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drawings/drawing4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人員・時間計画表\"/>
    </mc:Choice>
  </mc:AlternateContent>
  <xr:revisionPtr revIDLastSave="0" documentId="13_ncr:19_{30392E15-4A34-467B-B133-C6024903A8CB}" xr6:coauthVersionLast="47" xr6:coauthVersionMax="47" xr10:uidLastSave="{00000000-0000-0000-0000-000000000000}"/>
  <bookViews>
    <workbookView xWindow="-110" yWindow="-110" windowWidth="19420" windowHeight="10300" xr2:uid="{C374DE64-DCBA-44D8-B41F-1DE498E4BBB7}"/>
  </bookViews>
  <sheets>
    <sheet name="集計" sheetId="2" r:id="rId1"/>
    <sheet name="DATA" sheetId="8" r:id="rId2"/>
    <sheet name="人員計画" sheetId="1" r:id="rId3"/>
    <sheet name="KDTVN" sheetId="3" r:id="rId4"/>
    <sheet name="6221_コード" sheetId="4" r:id="rId5"/>
    <sheet name="6371_コード" sheetId="5" r:id="rId6"/>
    <sheet name="6421_コード" sheetId="6" r:id="rId7"/>
    <sheet name="6511_コード" sheetId="7" r:id="rId8"/>
  </sheets>
  <definedNames>
    <definedName name="_xlnm._FilterDatabase" localSheetId="4" hidden="1">'6221_コード'!$A$7:$BA$30</definedName>
    <definedName name="_xlnm._FilterDatabase" localSheetId="5" hidden="1">'6371_コード'!$A$7:$BA$40</definedName>
    <definedName name="_xlnm._FilterDatabase" localSheetId="6" hidden="1">'6421_コード'!$A$7:$BA$17</definedName>
    <definedName name="_xlnm._FilterDatabase" localSheetId="1" hidden="1">DATA!$A$1:$F$16</definedName>
    <definedName name="_xlnm._FilterDatabase" localSheetId="0" hidden="1">集計!$A$1:$X$1</definedName>
    <definedName name="_xlnm._FilterDatabase" localSheetId="2" hidden="1">人員計画!$A$2:$BX$88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3" l="1"/>
  <c r="N18" i="3"/>
  <c r="N17" i="3"/>
  <c r="N12" i="3"/>
  <c r="N11" i="3"/>
  <c r="N10" i="3"/>
  <c r="N5" i="3"/>
  <c r="N4" i="3"/>
  <c r="N3" i="3"/>
  <c r="M19" i="3"/>
  <c r="M18" i="3"/>
  <c r="M17" i="3"/>
  <c r="M12" i="3"/>
  <c r="M11" i="3"/>
  <c r="M10" i="3"/>
  <c r="M5" i="3"/>
  <c r="M4" i="3"/>
  <c r="M3" i="3"/>
  <c r="L19" i="3"/>
  <c r="L18" i="3"/>
  <c r="L17" i="3"/>
  <c r="L12" i="3"/>
  <c r="L11" i="3"/>
  <c r="L10" i="3"/>
  <c r="L5" i="3"/>
  <c r="L4" i="3"/>
  <c r="L3" i="3"/>
  <c r="K19" i="3"/>
  <c r="K18" i="3"/>
  <c r="K17" i="3"/>
  <c r="K12" i="3"/>
  <c r="K11" i="3"/>
  <c r="K10" i="3"/>
  <c r="K5" i="3"/>
  <c r="K4" i="3"/>
  <c r="K3" i="3"/>
  <c r="J19" i="3"/>
  <c r="J18" i="3"/>
  <c r="J17" i="3"/>
  <c r="J12" i="3"/>
  <c r="J11" i="3"/>
  <c r="J10" i="3"/>
  <c r="J5" i="3"/>
  <c r="J4" i="3"/>
  <c r="J3" i="3"/>
  <c r="I19" i="3"/>
  <c r="I18" i="3"/>
  <c r="I17" i="3"/>
  <c r="I12" i="3"/>
  <c r="I11" i="3"/>
  <c r="I10" i="3"/>
  <c r="I5" i="3"/>
  <c r="I4" i="3"/>
  <c r="I3" i="3"/>
  <c r="H19" i="3"/>
  <c r="H18" i="3"/>
  <c r="H17" i="3"/>
  <c r="H12" i="3"/>
  <c r="H11" i="3"/>
  <c r="H10" i="3"/>
  <c r="H5" i="3"/>
  <c r="H4" i="3"/>
  <c r="H3" i="3"/>
  <c r="G19" i="3"/>
  <c r="G18" i="3"/>
  <c r="G17" i="3"/>
  <c r="G12" i="3"/>
  <c r="G11" i="3"/>
  <c r="G10" i="3"/>
  <c r="G5" i="3"/>
  <c r="G4" i="3"/>
  <c r="G3" i="3"/>
  <c r="F19" i="3"/>
  <c r="F18" i="3"/>
  <c r="F17" i="3"/>
  <c r="F12" i="3"/>
  <c r="F11" i="3"/>
  <c r="F10" i="3"/>
  <c r="F5" i="3"/>
  <c r="F4" i="3"/>
  <c r="F3" i="3"/>
  <c r="E19" i="3"/>
  <c r="E18" i="3"/>
  <c r="E17" i="3"/>
  <c r="E12" i="3"/>
  <c r="E11" i="3"/>
  <c r="E10" i="3"/>
  <c r="E5" i="3"/>
  <c r="E4" i="3"/>
  <c r="E3" i="3"/>
  <c r="D19" i="3"/>
  <c r="D18" i="3"/>
  <c r="D17" i="3"/>
  <c r="D12" i="3"/>
  <c r="D11" i="3"/>
  <c r="D10" i="3"/>
  <c r="D5" i="3"/>
  <c r="D4" i="3"/>
  <c r="D3" i="3"/>
  <c r="C19" i="3"/>
  <c r="C18" i="3"/>
  <c r="C17" i="3"/>
  <c r="C12" i="3"/>
  <c r="C11" i="3"/>
  <c r="C10" i="3"/>
  <c r="C5" i="3"/>
  <c r="C4" i="3"/>
  <c r="C3" i="3"/>
  <c r="F4" i="8"/>
  <c r="F20" i="6"/>
  <c r="P83" i="1"/>
  <c r="P82" i="1"/>
  <c r="P84" i="1" s="1"/>
  <c r="P81" i="1"/>
  <c r="P85" i="1" s="1"/>
  <c r="P76" i="1"/>
  <c r="P75" i="1"/>
  <c r="P77" i="1" s="1"/>
  <c r="P74" i="1"/>
  <c r="P78" i="1" s="1"/>
  <c r="P69" i="1"/>
  <c r="P68" i="1"/>
  <c r="P70" i="1" s="1"/>
  <c r="P67" i="1"/>
  <c r="P71" i="1" s="1"/>
  <c r="P62" i="1"/>
  <c r="P61" i="1"/>
  <c r="P63" i="1" s="1"/>
  <c r="P60" i="1"/>
  <c r="P64" i="1" s="1"/>
  <c r="P55" i="1"/>
  <c r="P54" i="1"/>
  <c r="P53" i="1"/>
  <c r="P57" i="1" s="1"/>
  <c r="P48" i="1"/>
  <c r="P47" i="1"/>
  <c r="P49" i="1" s="1"/>
  <c r="P46" i="1"/>
  <c r="P50" i="1" s="1"/>
  <c r="P41" i="1"/>
  <c r="P40" i="1"/>
  <c r="P42" i="1" s="1"/>
  <c r="P39" i="1"/>
  <c r="P43" i="1" s="1"/>
  <c r="P34" i="1"/>
  <c r="P33" i="1"/>
  <c r="P35" i="1" s="1"/>
  <c r="P32" i="1"/>
  <c r="P36" i="1" s="1"/>
  <c r="P27" i="1"/>
  <c r="P26" i="1"/>
  <c r="P28" i="1" s="1"/>
  <c r="P25" i="1"/>
  <c r="P29" i="1" s="1"/>
  <c r="P20" i="1"/>
  <c r="P19" i="1"/>
  <c r="P21" i="1" s="1"/>
  <c r="P18" i="1"/>
  <c r="P22" i="1" s="1"/>
  <c r="P13" i="1"/>
  <c r="P12" i="1"/>
  <c r="P14" i="1" s="1"/>
  <c r="P11" i="1"/>
  <c r="P15" i="1" s="1"/>
  <c r="P6" i="1"/>
  <c r="P5" i="1"/>
  <c r="P7" i="1" s="1"/>
  <c r="P4" i="1"/>
  <c r="P8" i="1" s="1"/>
  <c r="P88" i="1" s="1"/>
  <c r="BP83" i="1"/>
  <c r="BP82" i="1"/>
  <c r="BP84" i="1" s="1"/>
  <c r="BP81" i="1"/>
  <c r="BP85" i="1" s="1"/>
  <c r="BP76" i="1"/>
  <c r="BP75" i="1"/>
  <c r="BP77" i="1" s="1"/>
  <c r="BP74" i="1"/>
  <c r="BP78" i="1" s="1"/>
  <c r="BP69" i="1"/>
  <c r="BP68" i="1"/>
  <c r="BP70" i="1" s="1"/>
  <c r="BP67" i="1"/>
  <c r="BP71" i="1" s="1"/>
  <c r="BP62" i="1"/>
  <c r="BP61" i="1"/>
  <c r="BP63" i="1" s="1"/>
  <c r="BP60" i="1"/>
  <c r="BP64" i="1" s="1"/>
  <c r="BP55" i="1"/>
  <c r="BP54" i="1"/>
  <c r="BP56" i="1" s="1"/>
  <c r="BP53" i="1"/>
  <c r="BP57" i="1" s="1"/>
  <c r="BP48" i="1"/>
  <c r="BP47" i="1"/>
  <c r="BP49" i="1" s="1"/>
  <c r="BP46" i="1"/>
  <c r="BP50" i="1" s="1"/>
  <c r="BP41" i="1"/>
  <c r="BP40" i="1"/>
  <c r="BP42" i="1" s="1"/>
  <c r="BP39" i="1"/>
  <c r="BP43" i="1" s="1"/>
  <c r="BP34" i="1"/>
  <c r="BP33" i="1"/>
  <c r="BP35" i="1" s="1"/>
  <c r="BP32" i="1"/>
  <c r="BP36" i="1" s="1"/>
  <c r="BP27" i="1"/>
  <c r="BP26" i="1"/>
  <c r="BP28" i="1" s="1"/>
  <c r="BP25" i="1"/>
  <c r="BP29" i="1" s="1"/>
  <c r="BP20" i="1"/>
  <c r="BP19" i="1"/>
  <c r="BP21" i="1" s="1"/>
  <c r="BP18" i="1"/>
  <c r="BP22" i="1" s="1"/>
  <c r="BP13" i="1"/>
  <c r="BP12" i="1"/>
  <c r="BP14" i="1" s="1"/>
  <c r="BP11" i="1"/>
  <c r="BP15" i="1" s="1"/>
  <c r="BP6" i="1"/>
  <c r="BP5" i="1"/>
  <c r="BP7" i="1" s="1"/>
  <c r="BP4" i="1"/>
  <c r="BP8" i="1" s="1"/>
  <c r="BP88" i="1" s="1"/>
  <c r="BO83" i="1"/>
  <c r="BO82" i="1"/>
  <c r="BO84" i="1" s="1"/>
  <c r="BO81" i="1"/>
  <c r="BO85" i="1" s="1"/>
  <c r="BO76" i="1"/>
  <c r="BO75" i="1"/>
  <c r="BO77" i="1" s="1"/>
  <c r="BO74" i="1"/>
  <c r="BO78" i="1" s="1"/>
  <c r="BO69" i="1"/>
  <c r="BO68" i="1"/>
  <c r="BO70" i="1" s="1"/>
  <c r="BO67" i="1"/>
  <c r="BO71" i="1" s="1"/>
  <c r="BO62" i="1"/>
  <c r="BO61" i="1"/>
  <c r="BO63" i="1" s="1"/>
  <c r="BO60" i="1"/>
  <c r="BO64" i="1" s="1"/>
  <c r="BO55" i="1"/>
  <c r="BO54" i="1"/>
  <c r="BO56" i="1" s="1"/>
  <c r="BO53" i="1"/>
  <c r="BO57" i="1" s="1"/>
  <c r="BO48" i="1"/>
  <c r="BO47" i="1"/>
  <c r="BO49" i="1" s="1"/>
  <c r="BO46" i="1"/>
  <c r="BO50" i="1" s="1"/>
  <c r="BO41" i="1"/>
  <c r="BO40" i="1"/>
  <c r="BO39" i="1"/>
  <c r="BO43" i="1" s="1"/>
  <c r="BO34" i="1"/>
  <c r="BO33" i="1"/>
  <c r="BO35" i="1" s="1"/>
  <c r="BO32" i="1"/>
  <c r="BO36" i="1" s="1"/>
  <c r="BO27" i="1"/>
  <c r="BO26" i="1"/>
  <c r="BO28" i="1" s="1"/>
  <c r="BO25" i="1"/>
  <c r="BO29" i="1" s="1"/>
  <c r="BO20" i="1"/>
  <c r="BO19" i="1"/>
  <c r="BO21" i="1" s="1"/>
  <c r="BO18" i="1"/>
  <c r="BO22" i="1" s="1"/>
  <c r="BO13" i="1"/>
  <c r="BO12" i="1"/>
  <c r="BO11" i="1"/>
  <c r="BO15" i="1" s="1"/>
  <c r="BO6" i="1"/>
  <c r="BO5" i="1"/>
  <c r="BO7" i="1" s="1"/>
  <c r="BO4" i="1"/>
  <c r="BO8" i="1" s="1"/>
  <c r="BO88" i="1" s="1"/>
  <c r="AQ83" i="1"/>
  <c r="AQ82" i="1"/>
  <c r="AQ84" i="1" s="1"/>
  <c r="AQ81" i="1"/>
  <c r="AQ85" i="1" s="1"/>
  <c r="AQ76" i="1"/>
  <c r="AQ75" i="1"/>
  <c r="AQ77" i="1" s="1"/>
  <c r="AQ74" i="1"/>
  <c r="AQ78" i="1" s="1"/>
  <c r="AQ69" i="1"/>
  <c r="AQ68" i="1"/>
  <c r="AQ67" i="1"/>
  <c r="AQ71" i="1" s="1"/>
  <c r="AQ62" i="1"/>
  <c r="AQ61" i="1"/>
  <c r="AQ63" i="1" s="1"/>
  <c r="AQ60" i="1"/>
  <c r="AQ64" i="1" s="1"/>
  <c r="AQ55" i="1"/>
  <c r="AQ54" i="1"/>
  <c r="AQ56" i="1" s="1"/>
  <c r="AQ53" i="1"/>
  <c r="AQ57" i="1" s="1"/>
  <c r="AQ48" i="1"/>
  <c r="AQ47" i="1"/>
  <c r="AQ49" i="1" s="1"/>
  <c r="AQ46" i="1"/>
  <c r="AQ50" i="1" s="1"/>
  <c r="AQ41" i="1"/>
  <c r="AQ40" i="1"/>
  <c r="AQ39" i="1"/>
  <c r="AQ43" i="1" s="1"/>
  <c r="AQ34" i="1"/>
  <c r="AQ33" i="1"/>
  <c r="AQ35" i="1" s="1"/>
  <c r="AQ32" i="1"/>
  <c r="AQ36" i="1" s="1"/>
  <c r="AQ27" i="1"/>
  <c r="AQ26" i="1"/>
  <c r="AQ28" i="1" s="1"/>
  <c r="AQ25" i="1"/>
  <c r="AQ29" i="1" s="1"/>
  <c r="AQ20" i="1"/>
  <c r="AQ19" i="1"/>
  <c r="AQ18" i="1"/>
  <c r="AQ22" i="1" s="1"/>
  <c r="AQ13" i="1"/>
  <c r="AQ12" i="1"/>
  <c r="AQ14" i="1" s="1"/>
  <c r="AQ11" i="1"/>
  <c r="AQ15" i="1" s="1"/>
  <c r="AQ6" i="1"/>
  <c r="AQ5" i="1"/>
  <c r="AQ7" i="1" s="1"/>
  <c r="AQ4" i="1"/>
  <c r="AQ8" i="1" s="1"/>
  <c r="AQ88" i="1" s="1"/>
  <c r="BM81" i="1"/>
  <c r="BM85" i="1" s="1"/>
  <c r="BM68" i="1"/>
  <c r="BM70" i="1" s="1"/>
  <c r="BM18" i="1"/>
  <c r="BM22" i="1" s="1"/>
  <c r="AJ83" i="1"/>
  <c r="AJ82" i="1"/>
  <c r="AJ84" i="1" s="1"/>
  <c r="AJ81" i="1"/>
  <c r="AJ85" i="1" s="1"/>
  <c r="AJ76" i="1"/>
  <c r="AJ75" i="1"/>
  <c r="AJ77" i="1" s="1"/>
  <c r="AJ74" i="1"/>
  <c r="AJ78" i="1" s="1"/>
  <c r="AJ69" i="1"/>
  <c r="AJ68" i="1"/>
  <c r="AJ70" i="1" s="1"/>
  <c r="AJ67" i="1"/>
  <c r="AJ62" i="1"/>
  <c r="AJ61" i="1"/>
  <c r="AJ63" i="1" s="1"/>
  <c r="AJ60" i="1"/>
  <c r="AJ64" i="1" s="1"/>
  <c r="AJ55" i="1"/>
  <c r="AJ54" i="1"/>
  <c r="AJ56" i="1" s="1"/>
  <c r="AJ53" i="1"/>
  <c r="AJ57" i="1" s="1"/>
  <c r="AJ48" i="1"/>
  <c r="AJ47" i="1"/>
  <c r="AJ49" i="1" s="1"/>
  <c r="AJ46" i="1"/>
  <c r="AJ41" i="1"/>
  <c r="AJ40" i="1"/>
  <c r="AJ42" i="1" s="1"/>
  <c r="AJ39" i="1"/>
  <c r="AJ43" i="1" s="1"/>
  <c r="AJ34" i="1"/>
  <c r="AJ33" i="1"/>
  <c r="AJ35" i="1" s="1"/>
  <c r="AJ32" i="1"/>
  <c r="AJ36" i="1" s="1"/>
  <c r="AJ27" i="1"/>
  <c r="AJ26" i="1"/>
  <c r="AJ25" i="1"/>
  <c r="AJ29" i="1" s="1"/>
  <c r="AJ20" i="1"/>
  <c r="AJ19" i="1"/>
  <c r="AJ21" i="1" s="1"/>
  <c r="AJ18" i="1"/>
  <c r="AJ22" i="1" s="1"/>
  <c r="AJ13" i="1"/>
  <c r="AJ12" i="1"/>
  <c r="AJ14" i="1" s="1"/>
  <c r="AJ11" i="1"/>
  <c r="AJ15" i="1" s="1"/>
  <c r="AJ6" i="1"/>
  <c r="AJ5" i="1"/>
  <c r="AJ7" i="1" s="1"/>
  <c r="AJ4" i="1"/>
  <c r="AJ8" i="1" s="1"/>
  <c r="AJ88" i="1" s="1"/>
  <c r="AE83" i="1"/>
  <c r="AE82" i="1"/>
  <c r="AE84" i="1" s="1"/>
  <c r="AE81" i="1"/>
  <c r="AE85" i="1" s="1"/>
  <c r="AE76" i="1"/>
  <c r="AE75" i="1"/>
  <c r="AE77" i="1" s="1"/>
  <c r="AE74" i="1"/>
  <c r="AE78" i="1" s="1"/>
  <c r="AE69" i="1"/>
  <c r="AE68" i="1"/>
  <c r="AE70" i="1" s="1"/>
  <c r="AE67" i="1"/>
  <c r="AE71" i="1" s="1"/>
  <c r="AE62" i="1"/>
  <c r="AE61" i="1"/>
  <c r="AE63" i="1" s="1"/>
  <c r="AE60" i="1"/>
  <c r="AE64" i="1" s="1"/>
  <c r="AE55" i="1"/>
  <c r="AE54" i="1"/>
  <c r="AE56" i="1" s="1"/>
  <c r="AE53" i="1"/>
  <c r="AE57" i="1" s="1"/>
  <c r="AE48" i="1"/>
  <c r="AE47" i="1"/>
  <c r="AE46" i="1"/>
  <c r="AE50" i="1" s="1"/>
  <c r="AE41" i="1"/>
  <c r="AE40" i="1"/>
  <c r="AE42" i="1" s="1"/>
  <c r="AE39" i="1"/>
  <c r="AE43" i="1" s="1"/>
  <c r="AE34" i="1"/>
  <c r="AE33" i="1"/>
  <c r="AE35" i="1" s="1"/>
  <c r="AE32" i="1"/>
  <c r="AE27" i="1"/>
  <c r="AE26" i="1"/>
  <c r="AE25" i="1"/>
  <c r="AE29" i="1" s="1"/>
  <c r="AE20" i="1"/>
  <c r="AE19" i="1"/>
  <c r="AE21" i="1" s="1"/>
  <c r="AE18" i="1"/>
  <c r="AE22" i="1" s="1"/>
  <c r="AE13" i="1"/>
  <c r="AE12" i="1"/>
  <c r="AE14" i="1" s="1"/>
  <c r="AE11" i="1"/>
  <c r="AE15" i="1" s="1"/>
  <c r="AE6" i="1"/>
  <c r="AE5" i="1"/>
  <c r="AE7" i="1" s="1"/>
  <c r="AE4" i="1"/>
  <c r="AE8" i="1" s="1"/>
  <c r="AE88" i="1" s="1"/>
  <c r="Q83" i="1"/>
  <c r="Q82" i="1"/>
  <c r="Q84" i="1" s="1"/>
  <c r="Q81" i="1"/>
  <c r="Q85" i="1" s="1"/>
  <c r="Q76" i="1"/>
  <c r="Q75" i="1"/>
  <c r="Q77" i="1" s="1"/>
  <c r="Q74" i="1"/>
  <c r="Q78" i="1" s="1"/>
  <c r="Q69" i="1"/>
  <c r="Q68" i="1"/>
  <c r="Q70" i="1" s="1"/>
  <c r="Q67" i="1"/>
  <c r="Q71" i="1" s="1"/>
  <c r="Q62" i="1"/>
  <c r="Q61" i="1"/>
  <c r="Q63" i="1" s="1"/>
  <c r="Q60" i="1"/>
  <c r="Q64" i="1" s="1"/>
  <c r="Q55" i="1"/>
  <c r="Q54" i="1"/>
  <c r="Q56" i="1" s="1"/>
  <c r="Q53" i="1"/>
  <c r="Q57" i="1" s="1"/>
  <c r="Q48" i="1"/>
  <c r="Q47" i="1"/>
  <c r="Q49" i="1" s="1"/>
  <c r="Q46" i="1"/>
  <c r="Q50" i="1" s="1"/>
  <c r="Q41" i="1"/>
  <c r="Q40" i="1"/>
  <c r="Q42" i="1" s="1"/>
  <c r="Q39" i="1"/>
  <c r="Q43" i="1" s="1"/>
  <c r="Q34" i="1"/>
  <c r="Q33" i="1"/>
  <c r="Q35" i="1" s="1"/>
  <c r="Q32" i="1"/>
  <c r="Q36" i="1" s="1"/>
  <c r="Q27" i="1"/>
  <c r="Q26" i="1"/>
  <c r="Q28" i="1" s="1"/>
  <c r="Q25" i="1"/>
  <c r="Q29" i="1" s="1"/>
  <c r="Q20" i="1"/>
  <c r="Q19" i="1"/>
  <c r="Q21" i="1" s="1"/>
  <c r="Q18" i="1"/>
  <c r="Q22" i="1" s="1"/>
  <c r="Q13" i="1"/>
  <c r="Q12" i="1"/>
  <c r="Q14" i="1" s="1"/>
  <c r="Q11" i="1"/>
  <c r="Q15" i="1" s="1"/>
  <c r="Q6" i="1"/>
  <c r="Q5" i="1"/>
  <c r="Q7" i="1" s="1"/>
  <c r="Q4" i="1"/>
  <c r="Q8" i="1" s="1"/>
  <c r="Q88" i="1" s="1"/>
  <c r="R83" i="1"/>
  <c r="R82" i="1"/>
  <c r="R84" i="1" s="1"/>
  <c r="R81" i="1"/>
  <c r="R85" i="1" s="1"/>
  <c r="R76" i="1"/>
  <c r="R75" i="1"/>
  <c r="R77" i="1" s="1"/>
  <c r="R74" i="1"/>
  <c r="R78" i="1" s="1"/>
  <c r="R69" i="1"/>
  <c r="R68" i="1"/>
  <c r="R70" i="1" s="1"/>
  <c r="R67" i="1"/>
  <c r="R71" i="1" s="1"/>
  <c r="R62" i="1"/>
  <c r="R61" i="1"/>
  <c r="R63" i="1" s="1"/>
  <c r="R60" i="1"/>
  <c r="R64" i="1" s="1"/>
  <c r="R55" i="1"/>
  <c r="R54" i="1"/>
  <c r="R56" i="1" s="1"/>
  <c r="R53" i="1"/>
  <c r="R57" i="1" s="1"/>
  <c r="R48" i="1"/>
  <c r="R47" i="1"/>
  <c r="R49" i="1" s="1"/>
  <c r="R46" i="1"/>
  <c r="R50" i="1" s="1"/>
  <c r="R41" i="1"/>
  <c r="R40" i="1"/>
  <c r="R42" i="1" s="1"/>
  <c r="R39" i="1"/>
  <c r="R43" i="1" s="1"/>
  <c r="R34" i="1"/>
  <c r="R33" i="1"/>
  <c r="R35" i="1" s="1"/>
  <c r="R32" i="1"/>
  <c r="R36" i="1" s="1"/>
  <c r="R27" i="1"/>
  <c r="R26" i="1"/>
  <c r="R25" i="1"/>
  <c r="R29" i="1" s="1"/>
  <c r="R20" i="1"/>
  <c r="R19" i="1"/>
  <c r="R21" i="1" s="1"/>
  <c r="R18" i="1"/>
  <c r="R22" i="1" s="1"/>
  <c r="R13" i="1"/>
  <c r="R12" i="1"/>
  <c r="R14" i="1" s="1"/>
  <c r="R11" i="1"/>
  <c r="R15" i="1" s="1"/>
  <c r="R6" i="1"/>
  <c r="R5" i="1"/>
  <c r="R7" i="1" s="1"/>
  <c r="R4" i="1"/>
  <c r="R8" i="1" s="1"/>
  <c r="R88" i="1" s="1"/>
  <c r="L83" i="1"/>
  <c r="L82" i="1"/>
  <c r="L84" i="1" s="1"/>
  <c r="L81" i="1"/>
  <c r="L85" i="1" s="1"/>
  <c r="L76" i="1"/>
  <c r="L75" i="1"/>
  <c r="L77" i="1" s="1"/>
  <c r="L74" i="1"/>
  <c r="L78" i="1" s="1"/>
  <c r="L69" i="1"/>
  <c r="L68" i="1"/>
  <c r="L70" i="1" s="1"/>
  <c r="L67" i="1"/>
  <c r="L71" i="1" s="1"/>
  <c r="L62" i="1"/>
  <c r="L61" i="1"/>
  <c r="L63" i="1" s="1"/>
  <c r="L60" i="1"/>
  <c r="L64" i="1" s="1"/>
  <c r="L55" i="1"/>
  <c r="L54" i="1"/>
  <c r="L56" i="1" s="1"/>
  <c r="L53" i="1"/>
  <c r="L57" i="1" s="1"/>
  <c r="L48" i="1"/>
  <c r="L47" i="1"/>
  <c r="L49" i="1" s="1"/>
  <c r="L46" i="1"/>
  <c r="L50" i="1" s="1"/>
  <c r="L41" i="1"/>
  <c r="L40" i="1"/>
  <c r="L42" i="1" s="1"/>
  <c r="L39" i="1"/>
  <c r="L43" i="1" s="1"/>
  <c r="L34" i="1"/>
  <c r="L33" i="1"/>
  <c r="L35" i="1" s="1"/>
  <c r="L32" i="1"/>
  <c r="L36" i="1" s="1"/>
  <c r="L27" i="1"/>
  <c r="L26" i="1"/>
  <c r="L28" i="1" s="1"/>
  <c r="L25" i="1"/>
  <c r="L29" i="1" s="1"/>
  <c r="L20" i="1"/>
  <c r="L19" i="1"/>
  <c r="L21" i="1" s="1"/>
  <c r="L18" i="1"/>
  <c r="L22" i="1" s="1"/>
  <c r="L13" i="1"/>
  <c r="L12" i="1"/>
  <c r="L14" i="1" s="1"/>
  <c r="L11" i="1"/>
  <c r="L15" i="1" s="1"/>
  <c r="L6" i="1"/>
  <c r="L5" i="1"/>
  <c r="L7" i="1" s="1"/>
  <c r="L4" i="1"/>
  <c r="L8" i="1" s="1"/>
  <c r="L88" i="1" s="1"/>
  <c r="F31" i="5"/>
  <c r="F10" i="5"/>
  <c r="F28" i="4"/>
  <c r="AW83" i="1"/>
  <c r="AW82" i="1"/>
  <c r="AW84" i="1" s="1"/>
  <c r="AW81" i="1"/>
  <c r="AW85" i="1" s="1"/>
  <c r="AW76" i="1"/>
  <c r="AW75" i="1"/>
  <c r="AW77" i="1" s="1"/>
  <c r="AW74" i="1"/>
  <c r="AW78" i="1" s="1"/>
  <c r="AW69" i="1"/>
  <c r="AW68" i="1"/>
  <c r="AW70" i="1" s="1"/>
  <c r="AW67" i="1"/>
  <c r="AW71" i="1" s="1"/>
  <c r="AW62" i="1"/>
  <c r="AW61" i="1"/>
  <c r="AW63" i="1" s="1"/>
  <c r="AW60" i="1"/>
  <c r="AW64" i="1" s="1"/>
  <c r="AW55" i="1"/>
  <c r="AW54" i="1"/>
  <c r="AW56" i="1" s="1"/>
  <c r="AW53" i="1"/>
  <c r="AW48" i="1"/>
  <c r="AW47" i="1"/>
  <c r="AW49" i="1" s="1"/>
  <c r="AW46" i="1"/>
  <c r="AW50" i="1" s="1"/>
  <c r="AW41" i="1"/>
  <c r="AW40" i="1"/>
  <c r="AW42" i="1" s="1"/>
  <c r="AW39" i="1"/>
  <c r="AW43" i="1" s="1"/>
  <c r="AW34" i="1"/>
  <c r="AW33" i="1"/>
  <c r="AW35" i="1" s="1"/>
  <c r="AW32" i="1"/>
  <c r="AW36" i="1" s="1"/>
  <c r="AW27" i="1"/>
  <c r="AW26" i="1"/>
  <c r="AW28" i="1" s="1"/>
  <c r="AW25" i="1"/>
  <c r="AW29" i="1" s="1"/>
  <c r="AW20" i="1"/>
  <c r="AW19" i="1"/>
  <c r="AW21" i="1" s="1"/>
  <c r="AW18" i="1"/>
  <c r="AW22" i="1" s="1"/>
  <c r="AW13" i="1"/>
  <c r="AW12" i="1"/>
  <c r="AW14" i="1" s="1"/>
  <c r="AW11" i="1"/>
  <c r="AW15" i="1" s="1"/>
  <c r="AW6" i="1"/>
  <c r="AW5" i="1"/>
  <c r="AW7" i="1" s="1"/>
  <c r="AW4" i="1"/>
  <c r="AW8" i="1" s="1"/>
  <c r="AW88" i="1" s="1"/>
  <c r="AK83" i="1"/>
  <c r="AK82" i="1"/>
  <c r="AK84" i="1" s="1"/>
  <c r="AK81" i="1"/>
  <c r="AK85" i="1" s="1"/>
  <c r="AK76" i="1"/>
  <c r="AK75" i="1"/>
  <c r="AK77" i="1" s="1"/>
  <c r="AK74" i="1"/>
  <c r="AK78" i="1" s="1"/>
  <c r="AK69" i="1"/>
  <c r="AK68" i="1"/>
  <c r="AK67" i="1"/>
  <c r="AK71" i="1" s="1"/>
  <c r="AK62" i="1"/>
  <c r="AK61" i="1"/>
  <c r="AK63" i="1" s="1"/>
  <c r="AK60" i="1"/>
  <c r="AK64" i="1" s="1"/>
  <c r="AK55" i="1"/>
  <c r="AK54" i="1"/>
  <c r="AK56" i="1" s="1"/>
  <c r="AK53" i="1"/>
  <c r="AK57" i="1" s="1"/>
  <c r="AK48" i="1"/>
  <c r="AK47" i="1"/>
  <c r="AK49" i="1" s="1"/>
  <c r="AK46" i="1"/>
  <c r="AK50" i="1" s="1"/>
  <c r="AK41" i="1"/>
  <c r="AK40" i="1"/>
  <c r="AK39" i="1"/>
  <c r="AK43" i="1" s="1"/>
  <c r="AK34" i="1"/>
  <c r="AK33" i="1"/>
  <c r="AK32" i="1"/>
  <c r="AK36" i="1" s="1"/>
  <c r="AK27" i="1"/>
  <c r="AK26" i="1"/>
  <c r="AK28" i="1" s="1"/>
  <c r="AK25" i="1"/>
  <c r="AK29" i="1" s="1"/>
  <c r="AK20" i="1"/>
  <c r="AK19" i="1"/>
  <c r="AK21" i="1" s="1"/>
  <c r="AK18" i="1"/>
  <c r="AK22" i="1" s="1"/>
  <c r="AK13" i="1"/>
  <c r="AK12" i="1"/>
  <c r="AK14" i="1" s="1"/>
  <c r="AK11" i="1"/>
  <c r="AK15" i="1" s="1"/>
  <c r="AK6" i="1"/>
  <c r="AK5" i="1"/>
  <c r="AK7" i="1" s="1"/>
  <c r="AK4" i="1"/>
  <c r="AK8" i="1" s="1"/>
  <c r="AK88" i="1" s="1"/>
  <c r="J2" i="6"/>
  <c r="N2" i="6"/>
  <c r="R2" i="6"/>
  <c r="V2" i="6"/>
  <c r="Z2" i="6"/>
  <c r="AD2" i="6"/>
  <c r="AH2" i="6"/>
  <c r="AL2" i="6"/>
  <c r="AT2" i="6"/>
  <c r="AX2" i="6"/>
  <c r="G3" i="6"/>
  <c r="H3" i="6"/>
  <c r="I3" i="6"/>
  <c r="I20" i="6"/>
  <c r="F9" i="6"/>
  <c r="G9" i="6"/>
  <c r="F10" i="6"/>
  <c r="G10" i="6"/>
  <c r="F14" i="6"/>
  <c r="I14" i="6"/>
  <c r="F16" i="6"/>
  <c r="I16" i="6"/>
  <c r="F17" i="6"/>
  <c r="I17" i="6"/>
  <c r="J2" i="5"/>
  <c r="N2" i="5"/>
  <c r="R2" i="5"/>
  <c r="V2" i="5"/>
  <c r="Z2" i="5"/>
  <c r="AD2" i="5"/>
  <c r="AH2" i="5"/>
  <c r="AL2" i="5"/>
  <c r="AT2" i="5"/>
  <c r="AX2" i="5"/>
  <c r="G3" i="5"/>
  <c r="G31" i="5"/>
  <c r="H3" i="5"/>
  <c r="H13" i="5"/>
  <c r="H31" i="5"/>
  <c r="I3" i="5"/>
  <c r="I20" i="5"/>
  <c r="F9" i="5"/>
  <c r="F13" i="5"/>
  <c r="F14" i="5"/>
  <c r="H14" i="5"/>
  <c r="F15" i="5"/>
  <c r="F17" i="5"/>
  <c r="G17" i="5"/>
  <c r="H17" i="5"/>
  <c r="F18" i="5"/>
  <c r="G18" i="5"/>
  <c r="H18" i="5"/>
  <c r="F20" i="5"/>
  <c r="F22" i="5"/>
  <c r="G22" i="5"/>
  <c r="I22" i="5"/>
  <c r="F23" i="5"/>
  <c r="G23" i="5"/>
  <c r="F27" i="5"/>
  <c r="G27" i="5"/>
  <c r="F29" i="5"/>
  <c r="G29" i="5"/>
  <c r="F30" i="5"/>
  <c r="G30" i="5"/>
  <c r="I30" i="5"/>
  <c r="F33" i="5"/>
  <c r="G33" i="5"/>
  <c r="F34" i="5"/>
  <c r="G34" i="5"/>
  <c r="F36" i="5"/>
  <c r="G36" i="5"/>
  <c r="F37" i="5"/>
  <c r="G37" i="5"/>
  <c r="H37" i="5"/>
  <c r="I37" i="5"/>
  <c r="F38" i="5"/>
  <c r="G38" i="5"/>
  <c r="H38" i="5"/>
  <c r="I38" i="5"/>
  <c r="F39" i="5"/>
  <c r="G39" i="5"/>
  <c r="H39" i="5"/>
  <c r="I39" i="5"/>
  <c r="F40" i="5"/>
  <c r="G40" i="5"/>
  <c r="H40" i="5"/>
  <c r="I40" i="5"/>
  <c r="J2" i="4"/>
  <c r="N2" i="4"/>
  <c r="R2" i="4"/>
  <c r="V2" i="4"/>
  <c r="Z2" i="4"/>
  <c r="AD2" i="4"/>
  <c r="AH2" i="4"/>
  <c r="AL2" i="4"/>
  <c r="AT2" i="4"/>
  <c r="AX2" i="4"/>
  <c r="G3" i="4"/>
  <c r="G28" i="4"/>
  <c r="H3" i="4"/>
  <c r="H28" i="4"/>
  <c r="I3" i="4"/>
  <c r="I18" i="4"/>
  <c r="F9" i="4"/>
  <c r="H9" i="4"/>
  <c r="F10" i="4"/>
  <c r="F11" i="4"/>
  <c r="H11" i="4"/>
  <c r="F12" i="4"/>
  <c r="H12" i="4"/>
  <c r="F13" i="4"/>
  <c r="H13" i="4"/>
  <c r="F15" i="4"/>
  <c r="H15" i="4"/>
  <c r="F16" i="4"/>
  <c r="H16" i="4"/>
  <c r="F18" i="4"/>
  <c r="H18" i="4"/>
  <c r="F20" i="4"/>
  <c r="H20" i="4"/>
  <c r="F24" i="4"/>
  <c r="I24" i="4"/>
  <c r="F26" i="4"/>
  <c r="F27" i="4"/>
  <c r="H27" i="4"/>
  <c r="F29" i="4"/>
  <c r="H29" i="4"/>
  <c r="D1" i="3"/>
  <c r="E1" i="3"/>
  <c r="F1" i="3"/>
  <c r="G1" i="3"/>
  <c r="H1" i="3"/>
  <c r="I1" i="3"/>
  <c r="J1" i="3"/>
  <c r="K1" i="3"/>
  <c r="M1" i="3"/>
  <c r="N1" i="3"/>
  <c r="D4" i="1"/>
  <c r="D8" i="1" s="1"/>
  <c r="D88" i="1" s="1"/>
  <c r="E4" i="1"/>
  <c r="E8" i="1" s="1"/>
  <c r="E88" i="1" s="1"/>
  <c r="F4" i="1"/>
  <c r="F8" i="1" s="1"/>
  <c r="F88" i="1" s="1"/>
  <c r="G4" i="1"/>
  <c r="G8" i="1" s="1"/>
  <c r="G88" i="1" s="1"/>
  <c r="H4" i="1"/>
  <c r="J4" i="1"/>
  <c r="J8" i="1" s="1"/>
  <c r="J88" i="1" s="1"/>
  <c r="K4" i="1"/>
  <c r="K8" i="1" s="1"/>
  <c r="K88" i="1" s="1"/>
  <c r="M4" i="1"/>
  <c r="M8" i="1" s="1"/>
  <c r="M88" i="1" s="1"/>
  <c r="O4" i="1"/>
  <c r="S4" i="1"/>
  <c r="S8" i="1" s="1"/>
  <c r="S88" i="1" s="1"/>
  <c r="AM4" i="1"/>
  <c r="AM8" i="1" s="1"/>
  <c r="AM88" i="1" s="1"/>
  <c r="AN4" i="1"/>
  <c r="AN8" i="1" s="1"/>
  <c r="AN88" i="1" s="1"/>
  <c r="U4" i="1"/>
  <c r="U8" i="1" s="1"/>
  <c r="U88" i="1" s="1"/>
  <c r="V4" i="1"/>
  <c r="V8" i="1" s="1"/>
  <c r="V88" i="1" s="1"/>
  <c r="W4" i="1"/>
  <c r="W8" i="1" s="1"/>
  <c r="W88" i="1" s="1"/>
  <c r="AP4" i="1"/>
  <c r="AP8" i="1" s="1"/>
  <c r="AP88" i="1" s="1"/>
  <c r="AR4" i="1"/>
  <c r="AR8" i="1" s="1"/>
  <c r="AR88" i="1" s="1"/>
  <c r="Y4" i="1"/>
  <c r="Y8" i="1" s="1"/>
  <c r="Y88" i="1" s="1"/>
  <c r="Z4" i="1"/>
  <c r="Z8" i="1" s="1"/>
  <c r="Z88" i="1" s="1"/>
  <c r="AA4" i="1"/>
  <c r="AD4" i="1"/>
  <c r="AF4" i="1"/>
  <c r="AF8" i="1" s="1"/>
  <c r="AF88" i="1" s="1"/>
  <c r="AG4" i="1"/>
  <c r="AG8" i="1" s="1"/>
  <c r="AG88" i="1" s="1"/>
  <c r="AI4" i="1"/>
  <c r="AU4" i="1"/>
  <c r="AU8" i="1" s="1"/>
  <c r="AU88" i="1" s="1"/>
  <c r="AV4" i="1"/>
  <c r="AV8" i="1" s="1"/>
  <c r="AV88" i="1" s="1"/>
  <c r="AX4" i="1"/>
  <c r="AX8" i="1" s="1"/>
  <c r="AX88" i="1" s="1"/>
  <c r="AY4" i="1"/>
  <c r="AY8" i="1" s="1"/>
  <c r="AY88" i="1" s="1"/>
  <c r="BB4" i="1"/>
  <c r="BC4" i="1"/>
  <c r="BC8" i="1" s="1"/>
  <c r="BC88" i="1" s="1"/>
  <c r="BE4" i="1"/>
  <c r="BE8" i="1" s="1"/>
  <c r="BE88" i="1" s="1"/>
  <c r="BF4" i="1"/>
  <c r="BG4" i="1"/>
  <c r="BG8" i="1" s="1"/>
  <c r="BG88" i="1" s="1"/>
  <c r="BH4" i="1"/>
  <c r="BH8" i="1" s="1"/>
  <c r="BH88" i="1" s="1"/>
  <c r="BI4" i="1"/>
  <c r="BI8" i="1" s="1"/>
  <c r="BI88" i="1" s="1"/>
  <c r="BK4" i="1"/>
  <c r="BL4" i="1"/>
  <c r="BL8" i="1" s="1"/>
  <c r="BL88" i="1" s="1"/>
  <c r="BN4" i="1"/>
  <c r="BN8" i="1" s="1"/>
  <c r="BN88" i="1" s="1"/>
  <c r="BR4" i="1"/>
  <c r="BR8" i="1" s="1"/>
  <c r="BR88" i="1" s="1"/>
  <c r="BS4" i="1"/>
  <c r="BS8" i="1" s="1"/>
  <c r="BS88" i="1" s="1"/>
  <c r="BT4" i="1"/>
  <c r="BT8" i="1" s="1"/>
  <c r="BT88" i="1" s="1"/>
  <c r="BV4" i="1"/>
  <c r="D5" i="1"/>
  <c r="D7" i="1" s="1"/>
  <c r="E5" i="1"/>
  <c r="E7" i="1" s="1"/>
  <c r="F5" i="1"/>
  <c r="F7" i="1" s="1"/>
  <c r="G5" i="1"/>
  <c r="G7" i="1" s="1"/>
  <c r="H5" i="1"/>
  <c r="H7" i="1" s="1"/>
  <c r="J5" i="1"/>
  <c r="J7" i="1" s="1"/>
  <c r="K5" i="1"/>
  <c r="K7" i="1" s="1"/>
  <c r="M5" i="1"/>
  <c r="M7" i="1" s="1"/>
  <c r="O5" i="1"/>
  <c r="S5" i="1"/>
  <c r="S7" i="1" s="1"/>
  <c r="AM5" i="1"/>
  <c r="AM7" i="1" s="1"/>
  <c r="AN5" i="1"/>
  <c r="AN7" i="1" s="1"/>
  <c r="U5" i="1"/>
  <c r="U7" i="1" s="1"/>
  <c r="V5" i="1"/>
  <c r="V7" i="1" s="1"/>
  <c r="W5" i="1"/>
  <c r="W7" i="1" s="1"/>
  <c r="AP5" i="1"/>
  <c r="AP7" i="1" s="1"/>
  <c r="AR5" i="1"/>
  <c r="AR7" i="1" s="1"/>
  <c r="Y5" i="1"/>
  <c r="Y7" i="1" s="1"/>
  <c r="Z5" i="1"/>
  <c r="Z7" i="1" s="1"/>
  <c r="AA5" i="1"/>
  <c r="AA7" i="1" s="1"/>
  <c r="AD5" i="1"/>
  <c r="AD7" i="1" s="1"/>
  <c r="AF5" i="1"/>
  <c r="AF7" i="1" s="1"/>
  <c r="AG5" i="1"/>
  <c r="AG7" i="1" s="1"/>
  <c r="AI5" i="1"/>
  <c r="AI7" i="1" s="1"/>
  <c r="AU5" i="1"/>
  <c r="AU7" i="1" s="1"/>
  <c r="AV5" i="1"/>
  <c r="AV7" i="1" s="1"/>
  <c r="AX5" i="1"/>
  <c r="AX7" i="1" s="1"/>
  <c r="AY5" i="1"/>
  <c r="AY7" i="1" s="1"/>
  <c r="BB5" i="1"/>
  <c r="BB7" i="1" s="1"/>
  <c r="BC5" i="1"/>
  <c r="BC7" i="1" s="1"/>
  <c r="BE5" i="1"/>
  <c r="BF5" i="1"/>
  <c r="BF7" i="1" s="1"/>
  <c r="BG5" i="1"/>
  <c r="BG7" i="1" s="1"/>
  <c r="BH5" i="1"/>
  <c r="BH7" i="1" s="1"/>
  <c r="BI5" i="1"/>
  <c r="BI7" i="1" s="1"/>
  <c r="BK5" i="1"/>
  <c r="BK7" i="1" s="1"/>
  <c r="BL5" i="1"/>
  <c r="BL7" i="1" s="1"/>
  <c r="BN5" i="1"/>
  <c r="BN7" i="1" s="1"/>
  <c r="BR5" i="1"/>
  <c r="BS5" i="1"/>
  <c r="BS7" i="1" s="1"/>
  <c r="BT5" i="1"/>
  <c r="BT7" i="1" s="1"/>
  <c r="BV5" i="1"/>
  <c r="D6" i="1"/>
  <c r="E6" i="1"/>
  <c r="F6" i="1"/>
  <c r="G6" i="1"/>
  <c r="H6" i="1"/>
  <c r="J6" i="1"/>
  <c r="K6" i="1"/>
  <c r="M6" i="1"/>
  <c r="O6" i="1"/>
  <c r="S6" i="1"/>
  <c r="AM6" i="1"/>
  <c r="AN6" i="1"/>
  <c r="U6" i="1"/>
  <c r="V6" i="1"/>
  <c r="W6" i="1"/>
  <c r="AP6" i="1"/>
  <c r="AR6" i="1"/>
  <c r="Y6" i="1"/>
  <c r="Z6" i="1"/>
  <c r="AA6" i="1"/>
  <c r="AD6" i="1"/>
  <c r="AF6" i="1"/>
  <c r="AG6" i="1"/>
  <c r="AI6" i="1"/>
  <c r="AU6" i="1"/>
  <c r="AV6" i="1"/>
  <c r="AX6" i="1"/>
  <c r="AY6" i="1"/>
  <c r="BB6" i="1"/>
  <c r="BC6" i="1"/>
  <c r="BE6" i="1"/>
  <c r="BF6" i="1"/>
  <c r="BG6" i="1"/>
  <c r="BH6" i="1"/>
  <c r="BI6" i="1"/>
  <c r="BK6" i="1"/>
  <c r="BL6" i="1"/>
  <c r="BN6" i="1"/>
  <c r="BR6" i="1"/>
  <c r="BS6" i="1"/>
  <c r="BT6" i="1"/>
  <c r="BV6" i="1"/>
  <c r="BW6" i="1" s="1"/>
  <c r="D11" i="1"/>
  <c r="D15" i="1" s="1"/>
  <c r="E11" i="1"/>
  <c r="E15" i="1" s="1"/>
  <c r="F11" i="1"/>
  <c r="F15" i="1" s="1"/>
  <c r="G11" i="1"/>
  <c r="G15" i="1" s="1"/>
  <c r="H11" i="1"/>
  <c r="J11" i="1"/>
  <c r="K11" i="1"/>
  <c r="K15" i="1" s="1"/>
  <c r="M11" i="1"/>
  <c r="M15" i="1" s="1"/>
  <c r="O11" i="1"/>
  <c r="O15" i="1" s="1"/>
  <c r="S11" i="1"/>
  <c r="S15" i="1" s="1"/>
  <c r="AM11" i="1"/>
  <c r="AM15" i="1" s="1"/>
  <c r="AN11" i="1"/>
  <c r="AN15" i="1" s="1"/>
  <c r="U11" i="1"/>
  <c r="U15" i="1" s="1"/>
  <c r="V11" i="1"/>
  <c r="V15" i="1" s="1"/>
  <c r="W11" i="1"/>
  <c r="W15" i="1" s="1"/>
  <c r="AP11" i="1"/>
  <c r="AP15" i="1" s="1"/>
  <c r="AR11" i="1"/>
  <c r="AR15" i="1" s="1"/>
  <c r="Y11" i="1"/>
  <c r="Y15" i="1" s="1"/>
  <c r="Z11" i="1"/>
  <c r="Z15" i="1" s="1"/>
  <c r="AA11" i="1"/>
  <c r="AA15" i="1" s="1"/>
  <c r="AD11" i="1"/>
  <c r="AD15" i="1" s="1"/>
  <c r="AF11" i="1"/>
  <c r="AF15" i="1" s="1"/>
  <c r="AG11" i="1"/>
  <c r="AG15" i="1" s="1"/>
  <c r="AI11" i="1"/>
  <c r="AU11" i="1"/>
  <c r="AU15" i="1" s="1"/>
  <c r="AV11" i="1"/>
  <c r="AV15" i="1" s="1"/>
  <c r="AX11" i="1"/>
  <c r="AX15" i="1" s="1"/>
  <c r="AY11" i="1"/>
  <c r="AY15" i="1" s="1"/>
  <c r="BB11" i="1"/>
  <c r="BC11" i="1"/>
  <c r="BC15" i="1" s="1"/>
  <c r="BE11" i="1"/>
  <c r="BE15" i="1" s="1"/>
  <c r="BF11" i="1"/>
  <c r="BF15" i="1" s="1"/>
  <c r="BG11" i="1"/>
  <c r="BG15" i="1" s="1"/>
  <c r="BH11" i="1"/>
  <c r="BH15" i="1" s="1"/>
  <c r="BI11" i="1"/>
  <c r="BI15" i="1" s="1"/>
  <c r="BK11" i="1"/>
  <c r="BK15" i="1" s="1"/>
  <c r="BL11" i="1"/>
  <c r="BL15" i="1" s="1"/>
  <c r="BN11" i="1"/>
  <c r="BN15" i="1" s="1"/>
  <c r="BR11" i="1"/>
  <c r="BR15" i="1" s="1"/>
  <c r="BS11" i="1"/>
  <c r="BT11" i="1"/>
  <c r="BT15" i="1" s="1"/>
  <c r="BV11" i="1"/>
  <c r="BW11" i="1" s="1"/>
  <c r="D12" i="1"/>
  <c r="D14" i="1" s="1"/>
  <c r="E12" i="1"/>
  <c r="F12" i="1"/>
  <c r="F14" i="1" s="1"/>
  <c r="G12" i="1"/>
  <c r="G14" i="1" s="1"/>
  <c r="H12" i="1"/>
  <c r="H14" i="1" s="1"/>
  <c r="J12" i="1"/>
  <c r="J14" i="1" s="1"/>
  <c r="K12" i="1"/>
  <c r="K14" i="1" s="1"/>
  <c r="M12" i="1"/>
  <c r="M14" i="1" s="1"/>
  <c r="O12" i="1"/>
  <c r="S12" i="1"/>
  <c r="S14" i="1" s="1"/>
  <c r="AM12" i="1"/>
  <c r="AN12" i="1"/>
  <c r="AN14" i="1" s="1"/>
  <c r="U12" i="1"/>
  <c r="V12" i="1"/>
  <c r="V14" i="1" s="1"/>
  <c r="W12" i="1"/>
  <c r="W14" i="1" s="1"/>
  <c r="AP12" i="1"/>
  <c r="AP14" i="1" s="1"/>
  <c r="AR12" i="1"/>
  <c r="AR14" i="1" s="1"/>
  <c r="Y12" i="1"/>
  <c r="Y14" i="1" s="1"/>
  <c r="Z12" i="1"/>
  <c r="Z14" i="1" s="1"/>
  <c r="AA12" i="1"/>
  <c r="AA14" i="1" s="1"/>
  <c r="AD12" i="1"/>
  <c r="AD14" i="1" s="1"/>
  <c r="AF12" i="1"/>
  <c r="AF14" i="1" s="1"/>
  <c r="AG12" i="1"/>
  <c r="AG14" i="1" s="1"/>
  <c r="AI12" i="1"/>
  <c r="AI14" i="1" s="1"/>
  <c r="AU12" i="1"/>
  <c r="AU14" i="1" s="1"/>
  <c r="AV12" i="1"/>
  <c r="AV14" i="1" s="1"/>
  <c r="AX12" i="1"/>
  <c r="AX14" i="1" s="1"/>
  <c r="AY12" i="1"/>
  <c r="AY14" i="1" s="1"/>
  <c r="BB12" i="1"/>
  <c r="BB14" i="1" s="1"/>
  <c r="BC12" i="1"/>
  <c r="BC14" i="1" s="1"/>
  <c r="BE12" i="1"/>
  <c r="BE14" i="1" s="1"/>
  <c r="BF12" i="1"/>
  <c r="BF14" i="1" s="1"/>
  <c r="BG12" i="1"/>
  <c r="BH12" i="1"/>
  <c r="BH14" i="1" s="1"/>
  <c r="BI12" i="1"/>
  <c r="BI14" i="1" s="1"/>
  <c r="BK12" i="1"/>
  <c r="BK14" i="1" s="1"/>
  <c r="BL12" i="1"/>
  <c r="BL14" i="1" s="1"/>
  <c r="BN12" i="1"/>
  <c r="BN14" i="1" s="1"/>
  <c r="BR12" i="1"/>
  <c r="BR14" i="1" s="1"/>
  <c r="BS12" i="1"/>
  <c r="BS14" i="1" s="1"/>
  <c r="BT12" i="1"/>
  <c r="BT14" i="1" s="1"/>
  <c r="BV12" i="1"/>
  <c r="BW12" i="1" s="1"/>
  <c r="BW14" i="1" s="1"/>
  <c r="D13" i="1"/>
  <c r="E13" i="1"/>
  <c r="F13" i="1"/>
  <c r="G13" i="1"/>
  <c r="H13" i="1"/>
  <c r="J13" i="1"/>
  <c r="K13" i="1"/>
  <c r="M13" i="1"/>
  <c r="O13" i="1"/>
  <c r="S13" i="1"/>
  <c r="AM13" i="1"/>
  <c r="AN13" i="1"/>
  <c r="U13" i="1"/>
  <c r="V13" i="1"/>
  <c r="W13" i="1"/>
  <c r="AP13" i="1"/>
  <c r="AR13" i="1"/>
  <c r="Y13" i="1"/>
  <c r="Z13" i="1"/>
  <c r="AA13" i="1"/>
  <c r="AD13" i="1"/>
  <c r="AF13" i="1"/>
  <c r="AG13" i="1"/>
  <c r="AI13" i="1"/>
  <c r="AU13" i="1"/>
  <c r="AV13" i="1"/>
  <c r="AX13" i="1"/>
  <c r="AY13" i="1"/>
  <c r="BB13" i="1"/>
  <c r="BC13" i="1"/>
  <c r="BE13" i="1"/>
  <c r="BF13" i="1"/>
  <c r="BG13" i="1"/>
  <c r="BH13" i="1"/>
  <c r="BI13" i="1"/>
  <c r="BK13" i="1"/>
  <c r="BL13" i="1"/>
  <c r="BN13" i="1"/>
  <c r="BR13" i="1"/>
  <c r="BS13" i="1"/>
  <c r="BT13" i="1"/>
  <c r="BV13" i="1"/>
  <c r="BW13" i="1" s="1"/>
  <c r="D18" i="1"/>
  <c r="E18" i="1"/>
  <c r="E22" i="1" s="1"/>
  <c r="F18" i="1"/>
  <c r="F22" i="1" s="1"/>
  <c r="G18" i="1"/>
  <c r="G22" i="1" s="1"/>
  <c r="H18" i="1"/>
  <c r="H22" i="1" s="1"/>
  <c r="J18" i="1"/>
  <c r="K18" i="1"/>
  <c r="K22" i="1" s="1"/>
  <c r="M18" i="1"/>
  <c r="M22" i="1" s="1"/>
  <c r="O18" i="1"/>
  <c r="O22" i="1" s="1"/>
  <c r="S18" i="1"/>
  <c r="AM18" i="1"/>
  <c r="AM22" i="1" s="1"/>
  <c r="AN18" i="1"/>
  <c r="AN22" i="1" s="1"/>
  <c r="U18" i="1"/>
  <c r="U22" i="1" s="1"/>
  <c r="V18" i="1"/>
  <c r="V22" i="1" s="1"/>
  <c r="W18" i="1"/>
  <c r="W22" i="1" s="1"/>
  <c r="AP18" i="1"/>
  <c r="AR18" i="1"/>
  <c r="AR22" i="1" s="1"/>
  <c r="Y18" i="1"/>
  <c r="Y22" i="1" s="1"/>
  <c r="Z18" i="1"/>
  <c r="AA18" i="1"/>
  <c r="AA22" i="1" s="1"/>
  <c r="AD18" i="1"/>
  <c r="AD22" i="1" s="1"/>
  <c r="AF18" i="1"/>
  <c r="AF22" i="1" s="1"/>
  <c r="AG18" i="1"/>
  <c r="AG22" i="1" s="1"/>
  <c r="AI18" i="1"/>
  <c r="AI22" i="1" s="1"/>
  <c r="AU18" i="1"/>
  <c r="AU22" i="1" s="1"/>
  <c r="AV18" i="1"/>
  <c r="AV22" i="1" s="1"/>
  <c r="AX18" i="1"/>
  <c r="AX22" i="1" s="1"/>
  <c r="AY18" i="1"/>
  <c r="AY22" i="1" s="1"/>
  <c r="BB18" i="1"/>
  <c r="BB22" i="1" s="1"/>
  <c r="BC18" i="1"/>
  <c r="BC22" i="1" s="1"/>
  <c r="BE18" i="1"/>
  <c r="BE22" i="1" s="1"/>
  <c r="BF18" i="1"/>
  <c r="BF22" i="1" s="1"/>
  <c r="BG18" i="1"/>
  <c r="BH18" i="1"/>
  <c r="BH22" i="1" s="1"/>
  <c r="BI18" i="1"/>
  <c r="BI22" i="1" s="1"/>
  <c r="BK18" i="1"/>
  <c r="BK22" i="1" s="1"/>
  <c r="BL18" i="1"/>
  <c r="BL22" i="1" s="1"/>
  <c r="BN18" i="1"/>
  <c r="BN22" i="1" s="1"/>
  <c r="BR18" i="1"/>
  <c r="BR22" i="1" s="1"/>
  <c r="BS18" i="1"/>
  <c r="BS22" i="1" s="1"/>
  <c r="BT18" i="1"/>
  <c r="BT22" i="1" s="1"/>
  <c r="BV18" i="1"/>
  <c r="BV22" i="1" s="1"/>
  <c r="D19" i="1"/>
  <c r="D21" i="1" s="1"/>
  <c r="E19" i="1"/>
  <c r="E21" i="1" s="1"/>
  <c r="F19" i="1"/>
  <c r="G19" i="1"/>
  <c r="G21" i="1" s="1"/>
  <c r="H19" i="1"/>
  <c r="H21" i="1" s="1"/>
  <c r="J19" i="1"/>
  <c r="J21" i="1" s="1"/>
  <c r="K19" i="1"/>
  <c r="K21" i="1" s="1"/>
  <c r="M19" i="1"/>
  <c r="M21" i="1" s="1"/>
  <c r="O19" i="1"/>
  <c r="O21" i="1" s="1"/>
  <c r="S19" i="1"/>
  <c r="S21" i="1" s="1"/>
  <c r="AM19" i="1"/>
  <c r="AM21" i="1" s="1"/>
  <c r="AN19" i="1"/>
  <c r="AN21" i="1" s="1"/>
  <c r="U19" i="1"/>
  <c r="U21" i="1" s="1"/>
  <c r="V19" i="1"/>
  <c r="V21" i="1" s="1"/>
  <c r="W19" i="1"/>
  <c r="W21" i="1" s="1"/>
  <c r="AP19" i="1"/>
  <c r="AP21" i="1" s="1"/>
  <c r="AR19" i="1"/>
  <c r="AR21" i="1" s="1"/>
  <c r="Y19" i="1"/>
  <c r="Y21" i="1" s="1"/>
  <c r="Z19" i="1"/>
  <c r="Z21" i="1" s="1"/>
  <c r="AA19" i="1"/>
  <c r="AA21" i="1" s="1"/>
  <c r="AD19" i="1"/>
  <c r="AD21" i="1" s="1"/>
  <c r="AF19" i="1"/>
  <c r="AG19" i="1"/>
  <c r="AG21" i="1" s="1"/>
  <c r="AI19" i="1"/>
  <c r="AI21" i="1" s="1"/>
  <c r="AU19" i="1"/>
  <c r="AU21" i="1" s="1"/>
  <c r="AV19" i="1"/>
  <c r="AV21" i="1" s="1"/>
  <c r="AX19" i="1"/>
  <c r="AX21" i="1" s="1"/>
  <c r="AY19" i="1"/>
  <c r="AY21" i="1" s="1"/>
  <c r="BB19" i="1"/>
  <c r="BB21" i="1" s="1"/>
  <c r="BC19" i="1"/>
  <c r="BC21" i="1" s="1"/>
  <c r="BE19" i="1"/>
  <c r="BE21" i="1" s="1"/>
  <c r="BF19" i="1"/>
  <c r="BF21" i="1" s="1"/>
  <c r="BG19" i="1"/>
  <c r="BG21" i="1" s="1"/>
  <c r="BH19" i="1"/>
  <c r="BH21" i="1" s="1"/>
  <c r="BI19" i="1"/>
  <c r="BI21" i="1" s="1"/>
  <c r="BK19" i="1"/>
  <c r="BK21" i="1" s="1"/>
  <c r="BL19" i="1"/>
  <c r="BN19" i="1"/>
  <c r="BN21" i="1" s="1"/>
  <c r="BR19" i="1"/>
  <c r="BR21" i="1" s="1"/>
  <c r="BS19" i="1"/>
  <c r="BS21" i="1" s="1"/>
  <c r="BT19" i="1"/>
  <c r="BT21" i="1" s="1"/>
  <c r="BV19" i="1"/>
  <c r="BW19" i="1" s="1"/>
  <c r="BW21" i="1" s="1"/>
  <c r="D20" i="1"/>
  <c r="E20" i="1"/>
  <c r="F20" i="1"/>
  <c r="G20" i="1"/>
  <c r="H20" i="1"/>
  <c r="J20" i="1"/>
  <c r="K20" i="1"/>
  <c r="M20" i="1"/>
  <c r="O20" i="1"/>
  <c r="S20" i="1"/>
  <c r="AM20" i="1"/>
  <c r="AN20" i="1"/>
  <c r="U20" i="1"/>
  <c r="V20" i="1"/>
  <c r="W20" i="1"/>
  <c r="AP20" i="1"/>
  <c r="AR20" i="1"/>
  <c r="Y20" i="1"/>
  <c r="Z20" i="1"/>
  <c r="AA20" i="1"/>
  <c r="AD20" i="1"/>
  <c r="AF20" i="1"/>
  <c r="AG20" i="1"/>
  <c r="AI20" i="1"/>
  <c r="AU20" i="1"/>
  <c r="AV20" i="1"/>
  <c r="AX20" i="1"/>
  <c r="AY20" i="1"/>
  <c r="BB20" i="1"/>
  <c r="BC20" i="1"/>
  <c r="BE20" i="1"/>
  <c r="BF20" i="1"/>
  <c r="BG20" i="1"/>
  <c r="BH20" i="1"/>
  <c r="BI20" i="1"/>
  <c r="BK20" i="1"/>
  <c r="BL20" i="1"/>
  <c r="BN20" i="1"/>
  <c r="BR20" i="1"/>
  <c r="BS20" i="1"/>
  <c r="BT20" i="1"/>
  <c r="BV20" i="1"/>
  <c r="BW20" i="1" s="1"/>
  <c r="D25" i="1"/>
  <c r="D29" i="1" s="1"/>
  <c r="E25" i="1"/>
  <c r="F25" i="1"/>
  <c r="F29" i="1" s="1"/>
  <c r="G25" i="1"/>
  <c r="G29" i="1" s="1"/>
  <c r="H25" i="1"/>
  <c r="H29" i="1" s="1"/>
  <c r="J25" i="1"/>
  <c r="J29" i="1" s="1"/>
  <c r="K25" i="1"/>
  <c r="K29" i="1" s="1"/>
  <c r="M25" i="1"/>
  <c r="O25" i="1"/>
  <c r="O29" i="1" s="1"/>
  <c r="S25" i="1"/>
  <c r="S29" i="1" s="1"/>
  <c r="AM25" i="1"/>
  <c r="AN25" i="1"/>
  <c r="AN29" i="1" s="1"/>
  <c r="U25" i="1"/>
  <c r="V25" i="1"/>
  <c r="V29" i="1" s="1"/>
  <c r="W25" i="1"/>
  <c r="W29" i="1" s="1"/>
  <c r="AP25" i="1"/>
  <c r="AP29" i="1" s="1"/>
  <c r="AR25" i="1"/>
  <c r="AR29" i="1" s="1"/>
  <c r="Y25" i="1"/>
  <c r="Y29" i="1" s="1"/>
  <c r="Z25" i="1"/>
  <c r="Z29" i="1" s="1"/>
  <c r="AA25" i="1"/>
  <c r="AA29" i="1" s="1"/>
  <c r="AD25" i="1"/>
  <c r="AF25" i="1"/>
  <c r="AF29" i="1" s="1"/>
  <c r="AG25" i="1"/>
  <c r="AG29" i="1" s="1"/>
  <c r="AI25" i="1"/>
  <c r="AI29" i="1" s="1"/>
  <c r="AU25" i="1"/>
  <c r="AU29" i="1" s="1"/>
  <c r="AV25" i="1"/>
  <c r="AV29" i="1" s="1"/>
  <c r="AX25" i="1"/>
  <c r="AX29" i="1" s="1"/>
  <c r="AY25" i="1"/>
  <c r="AY29" i="1" s="1"/>
  <c r="BB25" i="1"/>
  <c r="BB29" i="1" s="1"/>
  <c r="BC25" i="1"/>
  <c r="BC29" i="1" s="1"/>
  <c r="BE25" i="1"/>
  <c r="BE29" i="1" s="1"/>
  <c r="BF25" i="1"/>
  <c r="BF29" i="1" s="1"/>
  <c r="BG25" i="1"/>
  <c r="BG29" i="1" s="1"/>
  <c r="BH25" i="1"/>
  <c r="BH29" i="1" s="1"/>
  <c r="BI25" i="1"/>
  <c r="BI29" i="1" s="1"/>
  <c r="BK25" i="1"/>
  <c r="BK29" i="1" s="1"/>
  <c r="BL25" i="1"/>
  <c r="BL29" i="1" s="1"/>
  <c r="BN25" i="1"/>
  <c r="BN29" i="1" s="1"/>
  <c r="BR25" i="1"/>
  <c r="BR29" i="1" s="1"/>
  <c r="BS25" i="1"/>
  <c r="BS29" i="1" s="1"/>
  <c r="BT25" i="1"/>
  <c r="BV25" i="1"/>
  <c r="BW25" i="1" s="1"/>
  <c r="D26" i="1"/>
  <c r="D28" i="1" s="1"/>
  <c r="E26" i="1"/>
  <c r="E28" i="1" s="1"/>
  <c r="F26" i="1"/>
  <c r="F28" i="1" s="1"/>
  <c r="G26" i="1"/>
  <c r="G28" i="1" s="1"/>
  <c r="H26" i="1"/>
  <c r="H28" i="1" s="1"/>
  <c r="J26" i="1"/>
  <c r="J28" i="1" s="1"/>
  <c r="K26" i="1"/>
  <c r="K28" i="1" s="1"/>
  <c r="M26" i="1"/>
  <c r="M28" i="1" s="1"/>
  <c r="O26" i="1"/>
  <c r="O28" i="1" s="1"/>
  <c r="S26" i="1"/>
  <c r="S28" i="1" s="1"/>
  <c r="AM26" i="1"/>
  <c r="AM28" i="1" s="1"/>
  <c r="AN26" i="1"/>
  <c r="AN28" i="1" s="1"/>
  <c r="U26" i="1"/>
  <c r="U28" i="1" s="1"/>
  <c r="V26" i="1"/>
  <c r="W26" i="1"/>
  <c r="W28" i="1" s="1"/>
  <c r="AP26" i="1"/>
  <c r="AP28" i="1" s="1"/>
  <c r="AR26" i="1"/>
  <c r="AR28" i="1" s="1"/>
  <c r="Y26" i="1"/>
  <c r="Z26" i="1"/>
  <c r="Z28" i="1" s="1"/>
  <c r="AA26" i="1"/>
  <c r="AA28" i="1" s="1"/>
  <c r="AD26" i="1"/>
  <c r="AD28" i="1" s="1"/>
  <c r="AF26" i="1"/>
  <c r="AF28" i="1" s="1"/>
  <c r="AG26" i="1"/>
  <c r="AG28" i="1" s="1"/>
  <c r="AI26" i="1"/>
  <c r="AI28" i="1" s="1"/>
  <c r="AU26" i="1"/>
  <c r="AV26" i="1"/>
  <c r="AV28" i="1" s="1"/>
  <c r="AX26" i="1"/>
  <c r="AX28" i="1" s="1"/>
  <c r="AY26" i="1"/>
  <c r="AY28" i="1" s="1"/>
  <c r="BB26" i="1"/>
  <c r="BB28" i="1" s="1"/>
  <c r="BC26" i="1"/>
  <c r="BC28" i="1" s="1"/>
  <c r="BE26" i="1"/>
  <c r="BE28" i="1" s="1"/>
  <c r="BF26" i="1"/>
  <c r="BF28" i="1" s="1"/>
  <c r="BG26" i="1"/>
  <c r="BH26" i="1"/>
  <c r="BH28" i="1" s="1"/>
  <c r="BI26" i="1"/>
  <c r="BI28" i="1" s="1"/>
  <c r="BK26" i="1"/>
  <c r="BK28" i="1" s="1"/>
  <c r="BL26" i="1"/>
  <c r="BL28" i="1" s="1"/>
  <c r="BN26" i="1"/>
  <c r="BN28" i="1" s="1"/>
  <c r="BR26" i="1"/>
  <c r="BR28" i="1" s="1"/>
  <c r="BS26" i="1"/>
  <c r="BT26" i="1"/>
  <c r="BT28" i="1" s="1"/>
  <c r="BV26" i="1"/>
  <c r="BW26" i="1" s="1"/>
  <c r="BW28" i="1" s="1"/>
  <c r="D27" i="1"/>
  <c r="E27" i="1"/>
  <c r="F27" i="1"/>
  <c r="G27" i="1"/>
  <c r="H27" i="1"/>
  <c r="J27" i="1"/>
  <c r="K27" i="1"/>
  <c r="M27" i="1"/>
  <c r="O27" i="1"/>
  <c r="S27" i="1"/>
  <c r="AM27" i="1"/>
  <c r="AN27" i="1"/>
  <c r="U27" i="1"/>
  <c r="V27" i="1"/>
  <c r="W27" i="1"/>
  <c r="AP27" i="1"/>
  <c r="AR27" i="1"/>
  <c r="Y27" i="1"/>
  <c r="Z27" i="1"/>
  <c r="AA27" i="1"/>
  <c r="AD27" i="1"/>
  <c r="AF27" i="1"/>
  <c r="AG27" i="1"/>
  <c r="AI27" i="1"/>
  <c r="AU27" i="1"/>
  <c r="AV27" i="1"/>
  <c r="AX27" i="1"/>
  <c r="AY27" i="1"/>
  <c r="BB27" i="1"/>
  <c r="BC27" i="1"/>
  <c r="BE27" i="1"/>
  <c r="BF27" i="1"/>
  <c r="BG27" i="1"/>
  <c r="BH27" i="1"/>
  <c r="BI27" i="1"/>
  <c r="BK27" i="1"/>
  <c r="BL27" i="1"/>
  <c r="BN27" i="1"/>
  <c r="BR27" i="1"/>
  <c r="BS27" i="1"/>
  <c r="BT27" i="1"/>
  <c r="BV27" i="1"/>
  <c r="BW27" i="1" s="1"/>
  <c r="D32" i="1"/>
  <c r="D36" i="1" s="1"/>
  <c r="E32" i="1"/>
  <c r="E36" i="1" s="1"/>
  <c r="F32" i="1"/>
  <c r="G32" i="1"/>
  <c r="G36" i="1" s="1"/>
  <c r="H32" i="1"/>
  <c r="H36" i="1" s="1"/>
  <c r="J32" i="1"/>
  <c r="J36" i="1" s="1"/>
  <c r="K32" i="1"/>
  <c r="K36" i="1" s="1"/>
  <c r="M32" i="1"/>
  <c r="O32" i="1"/>
  <c r="O36" i="1" s="1"/>
  <c r="S32" i="1"/>
  <c r="S36" i="1" s="1"/>
  <c r="AM32" i="1"/>
  <c r="AM36" i="1" s="1"/>
  <c r="AN32" i="1"/>
  <c r="AN36" i="1" s="1"/>
  <c r="U32" i="1"/>
  <c r="V32" i="1"/>
  <c r="V36" i="1" s="1"/>
  <c r="W32" i="1"/>
  <c r="W36" i="1" s="1"/>
  <c r="AP32" i="1"/>
  <c r="AP36" i="1" s="1"/>
  <c r="AR32" i="1"/>
  <c r="Y32" i="1"/>
  <c r="Y36" i="1" s="1"/>
  <c r="Z32" i="1"/>
  <c r="Z36" i="1" s="1"/>
  <c r="AA32" i="1"/>
  <c r="AA36" i="1" s="1"/>
  <c r="AD32" i="1"/>
  <c r="AD36" i="1" s="1"/>
  <c r="AF32" i="1"/>
  <c r="AF36" i="1" s="1"/>
  <c r="AG32" i="1"/>
  <c r="AG36" i="1" s="1"/>
  <c r="AI32" i="1"/>
  <c r="AI36" i="1" s="1"/>
  <c r="AU32" i="1"/>
  <c r="AU36" i="1" s="1"/>
  <c r="AV32" i="1"/>
  <c r="AV36" i="1" s="1"/>
  <c r="AX32" i="1"/>
  <c r="AX36" i="1" s="1"/>
  <c r="AY32" i="1"/>
  <c r="AY36" i="1" s="1"/>
  <c r="BB32" i="1"/>
  <c r="BB36" i="1" s="1"/>
  <c r="BC32" i="1"/>
  <c r="BC36" i="1" s="1"/>
  <c r="BE32" i="1"/>
  <c r="BE36" i="1" s="1"/>
  <c r="BF32" i="1"/>
  <c r="BF36" i="1" s="1"/>
  <c r="BG32" i="1"/>
  <c r="BG36" i="1" s="1"/>
  <c r="BH32" i="1"/>
  <c r="BH36" i="1" s="1"/>
  <c r="BI32" i="1"/>
  <c r="BI36" i="1" s="1"/>
  <c r="BK32" i="1"/>
  <c r="BK36" i="1" s="1"/>
  <c r="BL32" i="1"/>
  <c r="BL36" i="1" s="1"/>
  <c r="BN32" i="1"/>
  <c r="BN36" i="1" s="1"/>
  <c r="BR32" i="1"/>
  <c r="BS32" i="1"/>
  <c r="BS36" i="1" s="1"/>
  <c r="BT32" i="1"/>
  <c r="BT36" i="1" s="1"/>
  <c r="BV32" i="1"/>
  <c r="BV36" i="1" s="1"/>
  <c r="D33" i="1"/>
  <c r="E33" i="1"/>
  <c r="E35" i="1" s="1"/>
  <c r="F33" i="1"/>
  <c r="F35" i="1" s="1"/>
  <c r="G33" i="1"/>
  <c r="G35" i="1" s="1"/>
  <c r="H33" i="1"/>
  <c r="H35" i="1" s="1"/>
  <c r="J33" i="1"/>
  <c r="J35" i="1" s="1"/>
  <c r="K33" i="1"/>
  <c r="K35" i="1" s="1"/>
  <c r="M33" i="1"/>
  <c r="M35" i="1" s="1"/>
  <c r="O33" i="1"/>
  <c r="S33" i="1"/>
  <c r="S35" i="1" s="1"/>
  <c r="AM33" i="1"/>
  <c r="AM35" i="1" s="1"/>
  <c r="AN33" i="1"/>
  <c r="AN35" i="1" s="1"/>
  <c r="U33" i="1"/>
  <c r="V33" i="1"/>
  <c r="V35" i="1" s="1"/>
  <c r="W33" i="1"/>
  <c r="W35" i="1" s="1"/>
  <c r="AP33" i="1"/>
  <c r="AP35" i="1" s="1"/>
  <c r="AR33" i="1"/>
  <c r="Y33" i="1"/>
  <c r="Y35" i="1" s="1"/>
  <c r="Z33" i="1"/>
  <c r="AA33" i="1"/>
  <c r="AA35" i="1" s="1"/>
  <c r="AD33" i="1"/>
  <c r="AD35" i="1" s="1"/>
  <c r="AF33" i="1"/>
  <c r="AF35" i="1" s="1"/>
  <c r="AG33" i="1"/>
  <c r="AG35" i="1" s="1"/>
  <c r="AI33" i="1"/>
  <c r="AI35" i="1" s="1"/>
  <c r="AU33" i="1"/>
  <c r="AV33" i="1"/>
  <c r="AV35" i="1" s="1"/>
  <c r="AX33" i="1"/>
  <c r="AX35" i="1" s="1"/>
  <c r="AY33" i="1"/>
  <c r="AY35" i="1" s="1"/>
  <c r="BB33" i="1"/>
  <c r="BB35" i="1" s="1"/>
  <c r="BC33" i="1"/>
  <c r="BE33" i="1"/>
  <c r="BF33" i="1"/>
  <c r="BF35" i="1" s="1"/>
  <c r="BG33" i="1"/>
  <c r="BG35" i="1" s="1"/>
  <c r="BH33" i="1"/>
  <c r="BH35" i="1" s="1"/>
  <c r="BI33" i="1"/>
  <c r="BI35" i="1" s="1"/>
  <c r="BK33" i="1"/>
  <c r="BK35" i="1" s="1"/>
  <c r="BL33" i="1"/>
  <c r="BL35" i="1" s="1"/>
  <c r="BN33" i="1"/>
  <c r="BN35" i="1" s="1"/>
  <c r="BR33" i="1"/>
  <c r="BR35" i="1" s="1"/>
  <c r="BS33" i="1"/>
  <c r="BT33" i="1"/>
  <c r="BT35" i="1" s="1"/>
  <c r="BV33" i="1"/>
  <c r="BW33" i="1" s="1"/>
  <c r="BW35" i="1" s="1"/>
  <c r="D34" i="1"/>
  <c r="E34" i="1"/>
  <c r="F34" i="1"/>
  <c r="G34" i="1"/>
  <c r="H34" i="1"/>
  <c r="J34" i="1"/>
  <c r="K34" i="1"/>
  <c r="M34" i="1"/>
  <c r="O34" i="1"/>
  <c r="S34" i="1"/>
  <c r="AM34" i="1"/>
  <c r="AN34" i="1"/>
  <c r="U34" i="1"/>
  <c r="V34" i="1"/>
  <c r="W34" i="1"/>
  <c r="AP34" i="1"/>
  <c r="AR34" i="1"/>
  <c r="Y34" i="1"/>
  <c r="Z34" i="1"/>
  <c r="AA34" i="1"/>
  <c r="AD34" i="1"/>
  <c r="AF34" i="1"/>
  <c r="AG34" i="1"/>
  <c r="AI34" i="1"/>
  <c r="AU34" i="1"/>
  <c r="AV34" i="1"/>
  <c r="AX34" i="1"/>
  <c r="AY34" i="1"/>
  <c r="BB34" i="1"/>
  <c r="BC34" i="1"/>
  <c r="BE34" i="1"/>
  <c r="BF34" i="1"/>
  <c r="BG34" i="1"/>
  <c r="BH34" i="1"/>
  <c r="BI34" i="1"/>
  <c r="BK34" i="1"/>
  <c r="BL34" i="1"/>
  <c r="BN34" i="1"/>
  <c r="BR34" i="1"/>
  <c r="BS34" i="1"/>
  <c r="BT34" i="1"/>
  <c r="BV34" i="1"/>
  <c r="BW34" i="1" s="1"/>
  <c r="D39" i="1"/>
  <c r="D43" i="1" s="1"/>
  <c r="E39" i="1"/>
  <c r="F39" i="1"/>
  <c r="F43" i="1" s="1"/>
  <c r="G39" i="1"/>
  <c r="G43" i="1" s="1"/>
  <c r="H39" i="1"/>
  <c r="H43" i="1" s="1"/>
  <c r="J39" i="1"/>
  <c r="K39" i="1"/>
  <c r="K43" i="1" s="1"/>
  <c r="M39" i="1"/>
  <c r="M43" i="1" s="1"/>
  <c r="O39" i="1"/>
  <c r="S39" i="1"/>
  <c r="S43" i="1" s="1"/>
  <c r="AM39" i="1"/>
  <c r="AM43" i="1" s="1"/>
  <c r="AN39" i="1"/>
  <c r="AN43" i="1" s="1"/>
  <c r="U39" i="1"/>
  <c r="U43" i="1" s="1"/>
  <c r="V39" i="1"/>
  <c r="V43" i="1" s="1"/>
  <c r="W39" i="1"/>
  <c r="AP39" i="1"/>
  <c r="AP43" i="1" s="1"/>
  <c r="AR39" i="1"/>
  <c r="AR43" i="1" s="1"/>
  <c r="Y39" i="1"/>
  <c r="Z39" i="1"/>
  <c r="Z43" i="1" s="1"/>
  <c r="AA39" i="1"/>
  <c r="AA43" i="1" s="1"/>
  <c r="AD39" i="1"/>
  <c r="AF39" i="1"/>
  <c r="AF43" i="1" s="1"/>
  <c r="AG39" i="1"/>
  <c r="AG43" i="1" s="1"/>
  <c r="AI39" i="1"/>
  <c r="AI43" i="1" s="1"/>
  <c r="AU39" i="1"/>
  <c r="AV39" i="1"/>
  <c r="AV43" i="1" s="1"/>
  <c r="AX39" i="1"/>
  <c r="AX43" i="1" s="1"/>
  <c r="AY39" i="1"/>
  <c r="AY43" i="1" s="1"/>
  <c r="BB39" i="1"/>
  <c r="BB43" i="1" s="1"/>
  <c r="BC39" i="1"/>
  <c r="BC43" i="1" s="1"/>
  <c r="BE39" i="1"/>
  <c r="BE43" i="1" s="1"/>
  <c r="BF39" i="1"/>
  <c r="BF43" i="1" s="1"/>
  <c r="BG39" i="1"/>
  <c r="BG43" i="1" s="1"/>
  <c r="BH39" i="1"/>
  <c r="BH43" i="1" s="1"/>
  <c r="BI39" i="1"/>
  <c r="BI43" i="1" s="1"/>
  <c r="BK39" i="1"/>
  <c r="BK43" i="1" s="1"/>
  <c r="BL39" i="1"/>
  <c r="BL43" i="1" s="1"/>
  <c r="BN39" i="1"/>
  <c r="BN43" i="1" s="1"/>
  <c r="BR39" i="1"/>
  <c r="BR43" i="1" s="1"/>
  <c r="BS39" i="1"/>
  <c r="BS43" i="1" s="1"/>
  <c r="BT39" i="1"/>
  <c r="BT43" i="1" s="1"/>
  <c r="BV39" i="1"/>
  <c r="BW39" i="1" s="1"/>
  <c r="D40" i="1"/>
  <c r="D42" i="1" s="1"/>
  <c r="E40" i="1"/>
  <c r="E42" i="1" s="1"/>
  <c r="F40" i="1"/>
  <c r="F42" i="1" s="1"/>
  <c r="G40" i="1"/>
  <c r="G42" i="1" s="1"/>
  <c r="H40" i="1"/>
  <c r="H42" i="1" s="1"/>
  <c r="J40" i="1"/>
  <c r="J42" i="1" s="1"/>
  <c r="K40" i="1"/>
  <c r="K42" i="1" s="1"/>
  <c r="M40" i="1"/>
  <c r="M42" i="1" s="1"/>
  <c r="O40" i="1"/>
  <c r="O42" i="1" s="1"/>
  <c r="S40" i="1"/>
  <c r="S42" i="1" s="1"/>
  <c r="AM40" i="1"/>
  <c r="AN40" i="1"/>
  <c r="AN42" i="1" s="1"/>
  <c r="U40" i="1"/>
  <c r="U42" i="1" s="1"/>
  <c r="V40" i="1"/>
  <c r="V42" i="1" s="1"/>
  <c r="W40" i="1"/>
  <c r="W42" i="1" s="1"/>
  <c r="AP40" i="1"/>
  <c r="AP42" i="1" s="1"/>
  <c r="AR40" i="1"/>
  <c r="AR42" i="1" s="1"/>
  <c r="Y40" i="1"/>
  <c r="Y42" i="1" s="1"/>
  <c r="Z40" i="1"/>
  <c r="AA40" i="1"/>
  <c r="AA42" i="1" s="1"/>
  <c r="AD40" i="1"/>
  <c r="AD42" i="1" s="1"/>
  <c r="AF40" i="1"/>
  <c r="AG40" i="1"/>
  <c r="AG42" i="1" s="1"/>
  <c r="AI40" i="1"/>
  <c r="AI42" i="1" s="1"/>
  <c r="AU40" i="1"/>
  <c r="AU42" i="1" s="1"/>
  <c r="AV40" i="1"/>
  <c r="AX40" i="1"/>
  <c r="AX42" i="1" s="1"/>
  <c r="AY40" i="1"/>
  <c r="AY42" i="1" s="1"/>
  <c r="BB40" i="1"/>
  <c r="BB42" i="1" s="1"/>
  <c r="BC40" i="1"/>
  <c r="BC42" i="1" s="1"/>
  <c r="BE40" i="1"/>
  <c r="BE42" i="1" s="1"/>
  <c r="BF40" i="1"/>
  <c r="BF42" i="1" s="1"/>
  <c r="BG40" i="1"/>
  <c r="BH40" i="1"/>
  <c r="BH42" i="1" s="1"/>
  <c r="BI40" i="1"/>
  <c r="BI42" i="1" s="1"/>
  <c r="BK40" i="1"/>
  <c r="BK42" i="1" s="1"/>
  <c r="BL40" i="1"/>
  <c r="BL42" i="1" s="1"/>
  <c r="BN40" i="1"/>
  <c r="BN42" i="1" s="1"/>
  <c r="BR40" i="1"/>
  <c r="BR42" i="1" s="1"/>
  <c r="BS40" i="1"/>
  <c r="BS42" i="1" s="1"/>
  <c r="BT40" i="1"/>
  <c r="BT42" i="1" s="1"/>
  <c r="BV40" i="1"/>
  <c r="BW40" i="1" s="1"/>
  <c r="BW42" i="1" s="1"/>
  <c r="D41" i="1"/>
  <c r="E41" i="1"/>
  <c r="F41" i="1"/>
  <c r="G41" i="1"/>
  <c r="H41" i="1"/>
  <c r="J41" i="1"/>
  <c r="K41" i="1"/>
  <c r="M41" i="1"/>
  <c r="O41" i="1"/>
  <c r="S41" i="1"/>
  <c r="AM41" i="1"/>
  <c r="AN41" i="1"/>
  <c r="U41" i="1"/>
  <c r="V41" i="1"/>
  <c r="W41" i="1"/>
  <c r="AP41" i="1"/>
  <c r="AR41" i="1"/>
  <c r="Y41" i="1"/>
  <c r="Z41" i="1"/>
  <c r="AA41" i="1"/>
  <c r="AD41" i="1"/>
  <c r="AF41" i="1"/>
  <c r="AG41" i="1"/>
  <c r="AI41" i="1"/>
  <c r="AU41" i="1"/>
  <c r="AV41" i="1"/>
  <c r="AX41" i="1"/>
  <c r="AY41" i="1"/>
  <c r="BB41" i="1"/>
  <c r="BC41" i="1"/>
  <c r="BE41" i="1"/>
  <c r="BF41" i="1"/>
  <c r="BG41" i="1"/>
  <c r="BH41" i="1"/>
  <c r="BI41" i="1"/>
  <c r="BK41" i="1"/>
  <c r="BL41" i="1"/>
  <c r="BN41" i="1"/>
  <c r="BR41" i="1"/>
  <c r="BS41" i="1"/>
  <c r="BT41" i="1"/>
  <c r="BV41" i="1"/>
  <c r="BW41" i="1" s="1"/>
  <c r="D46" i="1"/>
  <c r="D50" i="1" s="1"/>
  <c r="E46" i="1"/>
  <c r="E50" i="1" s="1"/>
  <c r="F46" i="1"/>
  <c r="F50" i="1" s="1"/>
  <c r="G46" i="1"/>
  <c r="G50" i="1" s="1"/>
  <c r="H46" i="1"/>
  <c r="J46" i="1"/>
  <c r="J50" i="1" s="1"/>
  <c r="K46" i="1"/>
  <c r="K50" i="1" s="1"/>
  <c r="M46" i="1"/>
  <c r="O46" i="1"/>
  <c r="S46" i="1"/>
  <c r="S50" i="1" s="1"/>
  <c r="AM46" i="1"/>
  <c r="AM50" i="1" s="1"/>
  <c r="AN46" i="1"/>
  <c r="AN50" i="1" s="1"/>
  <c r="U46" i="1"/>
  <c r="U50" i="1" s="1"/>
  <c r="V46" i="1"/>
  <c r="V50" i="1" s="1"/>
  <c r="W46" i="1"/>
  <c r="W50" i="1" s="1"/>
  <c r="AP46" i="1"/>
  <c r="AP50" i="1" s="1"/>
  <c r="AR46" i="1"/>
  <c r="AR50" i="1" s="1"/>
  <c r="Y46" i="1"/>
  <c r="Y50" i="1" s="1"/>
  <c r="Z46" i="1"/>
  <c r="Z50" i="1" s="1"/>
  <c r="AA46" i="1"/>
  <c r="AA50" i="1" s="1"/>
  <c r="AD46" i="1"/>
  <c r="AD50" i="1" s="1"/>
  <c r="AF46" i="1"/>
  <c r="AF50" i="1" s="1"/>
  <c r="AG46" i="1"/>
  <c r="AG50" i="1" s="1"/>
  <c r="AI46" i="1"/>
  <c r="AI50" i="1" s="1"/>
  <c r="AU46" i="1"/>
  <c r="AU50" i="1" s="1"/>
  <c r="AV46" i="1"/>
  <c r="AV50" i="1" s="1"/>
  <c r="AX46" i="1"/>
  <c r="AY46" i="1"/>
  <c r="AY50" i="1" s="1"/>
  <c r="BB46" i="1"/>
  <c r="BB50" i="1" s="1"/>
  <c r="BC46" i="1"/>
  <c r="BC50" i="1" s="1"/>
  <c r="BE46" i="1"/>
  <c r="BE50" i="1" s="1"/>
  <c r="BF46" i="1"/>
  <c r="BF50" i="1" s="1"/>
  <c r="BG46" i="1"/>
  <c r="BG50" i="1" s="1"/>
  <c r="BH46" i="1"/>
  <c r="BH50" i="1" s="1"/>
  <c r="BI46" i="1"/>
  <c r="BI50" i="1" s="1"/>
  <c r="BK46" i="1"/>
  <c r="BK50" i="1" s="1"/>
  <c r="BL46" i="1"/>
  <c r="BL50" i="1" s="1"/>
  <c r="BN46" i="1"/>
  <c r="BN50" i="1" s="1"/>
  <c r="BR46" i="1"/>
  <c r="BS46" i="1"/>
  <c r="BS50" i="1" s="1"/>
  <c r="BT46" i="1"/>
  <c r="BT50" i="1" s="1"/>
  <c r="BV46" i="1"/>
  <c r="BW46" i="1" s="1"/>
  <c r="D47" i="1"/>
  <c r="E47" i="1"/>
  <c r="E49" i="1" s="1"/>
  <c r="F47" i="1"/>
  <c r="F49" i="1" s="1"/>
  <c r="G47" i="1"/>
  <c r="G49" i="1" s="1"/>
  <c r="H47" i="1"/>
  <c r="H49" i="1" s="1"/>
  <c r="J47" i="1"/>
  <c r="K47" i="1"/>
  <c r="K49" i="1" s="1"/>
  <c r="M47" i="1"/>
  <c r="M49" i="1" s="1"/>
  <c r="O47" i="1"/>
  <c r="O49" i="1" s="1"/>
  <c r="S47" i="1"/>
  <c r="S49" i="1" s="1"/>
  <c r="AM47" i="1"/>
  <c r="AM49" i="1" s="1"/>
  <c r="AN47" i="1"/>
  <c r="AN49" i="1" s="1"/>
  <c r="U47" i="1"/>
  <c r="U49" i="1" s="1"/>
  <c r="V47" i="1"/>
  <c r="V49" i="1" s="1"/>
  <c r="W47" i="1"/>
  <c r="W49" i="1" s="1"/>
  <c r="AP47" i="1"/>
  <c r="AP49" i="1" s="1"/>
  <c r="AR47" i="1"/>
  <c r="AR49" i="1" s="1"/>
  <c r="Y47" i="1"/>
  <c r="Y49" i="1" s="1"/>
  <c r="Z47" i="1"/>
  <c r="AA47" i="1"/>
  <c r="AA49" i="1" s="1"/>
  <c r="AD47" i="1"/>
  <c r="AD49" i="1" s="1"/>
  <c r="AF47" i="1"/>
  <c r="AF49" i="1" s="1"/>
  <c r="AG47" i="1"/>
  <c r="AG49" i="1" s="1"/>
  <c r="AI47" i="1"/>
  <c r="AI49" i="1" s="1"/>
  <c r="AU47" i="1"/>
  <c r="AV47" i="1"/>
  <c r="AV49" i="1" s="1"/>
  <c r="AX47" i="1"/>
  <c r="AX49" i="1" s="1"/>
  <c r="AY47" i="1"/>
  <c r="AY49" i="1" s="1"/>
  <c r="BB47" i="1"/>
  <c r="BB49" i="1" s="1"/>
  <c r="BC47" i="1"/>
  <c r="BC49" i="1" s="1"/>
  <c r="BE47" i="1"/>
  <c r="BE49" i="1" s="1"/>
  <c r="BF47" i="1"/>
  <c r="BF49" i="1" s="1"/>
  <c r="BG47" i="1"/>
  <c r="BH47" i="1"/>
  <c r="BH49" i="1" s="1"/>
  <c r="BI47" i="1"/>
  <c r="BI49" i="1" s="1"/>
  <c r="BK47" i="1"/>
  <c r="BL47" i="1"/>
  <c r="BL49" i="1" s="1"/>
  <c r="BN47" i="1"/>
  <c r="BN49" i="1" s="1"/>
  <c r="BR47" i="1"/>
  <c r="BR49" i="1" s="1"/>
  <c r="BS47" i="1"/>
  <c r="BS49" i="1" s="1"/>
  <c r="BT47" i="1"/>
  <c r="BV47" i="1"/>
  <c r="BW47" i="1" s="1"/>
  <c r="BW49" i="1" s="1"/>
  <c r="D48" i="1"/>
  <c r="E48" i="1"/>
  <c r="F48" i="1"/>
  <c r="G48" i="1"/>
  <c r="H48" i="1"/>
  <c r="J48" i="1"/>
  <c r="K48" i="1"/>
  <c r="M48" i="1"/>
  <c r="O48" i="1"/>
  <c r="S48" i="1"/>
  <c r="AM48" i="1"/>
  <c r="AN48" i="1"/>
  <c r="U48" i="1"/>
  <c r="V48" i="1"/>
  <c r="W48" i="1"/>
  <c r="AP48" i="1"/>
  <c r="AR48" i="1"/>
  <c r="Y48" i="1"/>
  <c r="Z48" i="1"/>
  <c r="AA48" i="1"/>
  <c r="AD48" i="1"/>
  <c r="AF48" i="1"/>
  <c r="AG48" i="1"/>
  <c r="AI48" i="1"/>
  <c r="AU48" i="1"/>
  <c r="AV48" i="1"/>
  <c r="AX48" i="1"/>
  <c r="AY48" i="1"/>
  <c r="BB48" i="1"/>
  <c r="BC48" i="1"/>
  <c r="BE48" i="1"/>
  <c r="BF48" i="1"/>
  <c r="BG48" i="1"/>
  <c r="BH48" i="1"/>
  <c r="BI48" i="1"/>
  <c r="BK48" i="1"/>
  <c r="BL48" i="1"/>
  <c r="BN48" i="1"/>
  <c r="BR48" i="1"/>
  <c r="BS48" i="1"/>
  <c r="BT48" i="1"/>
  <c r="BV48" i="1"/>
  <c r="BW48" i="1" s="1"/>
  <c r="D53" i="1"/>
  <c r="D57" i="1" s="1"/>
  <c r="E53" i="1"/>
  <c r="E57" i="1" s="1"/>
  <c r="F53" i="1"/>
  <c r="F57" i="1" s="1"/>
  <c r="G53" i="1"/>
  <c r="G57" i="1" s="1"/>
  <c r="H53" i="1"/>
  <c r="H57" i="1" s="1"/>
  <c r="J53" i="1"/>
  <c r="K53" i="1"/>
  <c r="K57" i="1" s="1"/>
  <c r="M53" i="1"/>
  <c r="M57" i="1" s="1"/>
  <c r="O53" i="1"/>
  <c r="O57" i="1" s="1"/>
  <c r="S53" i="1"/>
  <c r="AM53" i="1"/>
  <c r="AN53" i="1"/>
  <c r="AN57" i="1" s="1"/>
  <c r="U53" i="1"/>
  <c r="U57" i="1" s="1"/>
  <c r="V53" i="1"/>
  <c r="V57" i="1" s="1"/>
  <c r="W53" i="1"/>
  <c r="W57" i="1" s="1"/>
  <c r="AP53" i="1"/>
  <c r="AP57" i="1" s="1"/>
  <c r="AR53" i="1"/>
  <c r="AR57" i="1" s="1"/>
  <c r="Y53" i="1"/>
  <c r="Y57" i="1" s="1"/>
  <c r="Z53" i="1"/>
  <c r="Z57" i="1" s="1"/>
  <c r="AA53" i="1"/>
  <c r="AD53" i="1"/>
  <c r="AD57" i="1" s="1"/>
  <c r="AF53" i="1"/>
  <c r="AF57" i="1" s="1"/>
  <c r="AG53" i="1"/>
  <c r="AG57" i="1" s="1"/>
  <c r="AI53" i="1"/>
  <c r="AU53" i="1"/>
  <c r="AU57" i="1" s="1"/>
  <c r="AV53" i="1"/>
  <c r="AV57" i="1" s="1"/>
  <c r="AX53" i="1"/>
  <c r="AX57" i="1" s="1"/>
  <c r="AY53" i="1"/>
  <c r="AY57" i="1" s="1"/>
  <c r="BB53" i="1"/>
  <c r="BB57" i="1" s="1"/>
  <c r="BC53" i="1"/>
  <c r="BC57" i="1" s="1"/>
  <c r="BE53" i="1"/>
  <c r="BE57" i="1" s="1"/>
  <c r="BF53" i="1"/>
  <c r="BF57" i="1" s="1"/>
  <c r="BG53" i="1"/>
  <c r="BG57" i="1" s="1"/>
  <c r="BH53" i="1"/>
  <c r="BH57" i="1" s="1"/>
  <c r="BI53" i="1"/>
  <c r="BI57" i="1" s="1"/>
  <c r="BK53" i="1"/>
  <c r="BK57" i="1" s="1"/>
  <c r="BL53" i="1"/>
  <c r="BL57" i="1" s="1"/>
  <c r="BN53" i="1"/>
  <c r="BN57" i="1" s="1"/>
  <c r="BR53" i="1"/>
  <c r="BS53" i="1"/>
  <c r="BS57" i="1" s="1"/>
  <c r="BT53" i="1"/>
  <c r="BT57" i="1" s="1"/>
  <c r="BV53" i="1"/>
  <c r="D54" i="1"/>
  <c r="D56" i="1" s="1"/>
  <c r="E54" i="1"/>
  <c r="E56" i="1" s="1"/>
  <c r="F54" i="1"/>
  <c r="G54" i="1"/>
  <c r="G56" i="1" s="1"/>
  <c r="H54" i="1"/>
  <c r="H56" i="1" s="1"/>
  <c r="J54" i="1"/>
  <c r="K54" i="1"/>
  <c r="K56" i="1" s="1"/>
  <c r="M54" i="1"/>
  <c r="M56" i="1" s="1"/>
  <c r="O54" i="1"/>
  <c r="O56" i="1" s="1"/>
  <c r="S54" i="1"/>
  <c r="S56" i="1" s="1"/>
  <c r="AM54" i="1"/>
  <c r="AN54" i="1"/>
  <c r="AN56" i="1" s="1"/>
  <c r="U54" i="1"/>
  <c r="V54" i="1"/>
  <c r="V56" i="1" s="1"/>
  <c r="W54" i="1"/>
  <c r="W56" i="1" s="1"/>
  <c r="AP54" i="1"/>
  <c r="AR54" i="1"/>
  <c r="AR56" i="1" s="1"/>
  <c r="Y54" i="1"/>
  <c r="Y56" i="1" s="1"/>
  <c r="Z54" i="1"/>
  <c r="Z56" i="1" s="1"/>
  <c r="AA54" i="1"/>
  <c r="AA56" i="1" s="1"/>
  <c r="AD54" i="1"/>
  <c r="AD56" i="1" s="1"/>
  <c r="AF54" i="1"/>
  <c r="AF56" i="1" s="1"/>
  <c r="AG54" i="1"/>
  <c r="AG56" i="1" s="1"/>
  <c r="AI54" i="1"/>
  <c r="AU54" i="1"/>
  <c r="AU56" i="1" s="1"/>
  <c r="AV54" i="1"/>
  <c r="AX54" i="1"/>
  <c r="AX56" i="1" s="1"/>
  <c r="AY54" i="1"/>
  <c r="AY56" i="1" s="1"/>
  <c r="BB54" i="1"/>
  <c r="BB56" i="1" s="1"/>
  <c r="BC54" i="1"/>
  <c r="BC56" i="1" s="1"/>
  <c r="BE54" i="1"/>
  <c r="BE56" i="1" s="1"/>
  <c r="BF54" i="1"/>
  <c r="BF56" i="1" s="1"/>
  <c r="BG54" i="1"/>
  <c r="BG56" i="1" s="1"/>
  <c r="BH54" i="1"/>
  <c r="BH56" i="1" s="1"/>
  <c r="BI54" i="1"/>
  <c r="BK54" i="1"/>
  <c r="BK56" i="1" s="1"/>
  <c r="BL54" i="1"/>
  <c r="BL56" i="1" s="1"/>
  <c r="BN54" i="1"/>
  <c r="BN56" i="1" s="1"/>
  <c r="BR54" i="1"/>
  <c r="BR56" i="1" s="1"/>
  <c r="BS54" i="1"/>
  <c r="BS56" i="1" s="1"/>
  <c r="BT54" i="1"/>
  <c r="BT56" i="1" s="1"/>
  <c r="BV54" i="1"/>
  <c r="D55" i="1"/>
  <c r="E55" i="1"/>
  <c r="F55" i="1"/>
  <c r="G55" i="1"/>
  <c r="H55" i="1"/>
  <c r="J55" i="1"/>
  <c r="K55" i="1"/>
  <c r="M55" i="1"/>
  <c r="O55" i="1"/>
  <c r="S55" i="1"/>
  <c r="AM55" i="1"/>
  <c r="AN55" i="1"/>
  <c r="U55" i="1"/>
  <c r="V55" i="1"/>
  <c r="W55" i="1"/>
  <c r="AP55" i="1"/>
  <c r="AR55" i="1"/>
  <c r="Y55" i="1"/>
  <c r="Z55" i="1"/>
  <c r="AA55" i="1"/>
  <c r="AD55" i="1"/>
  <c r="AF55" i="1"/>
  <c r="AG55" i="1"/>
  <c r="AI55" i="1"/>
  <c r="AU55" i="1"/>
  <c r="AV55" i="1"/>
  <c r="AX55" i="1"/>
  <c r="AY55" i="1"/>
  <c r="BB55" i="1"/>
  <c r="BC55" i="1"/>
  <c r="BE55" i="1"/>
  <c r="BF55" i="1"/>
  <c r="BG55" i="1"/>
  <c r="BH55" i="1"/>
  <c r="BI55" i="1"/>
  <c r="BK55" i="1"/>
  <c r="BL55" i="1"/>
  <c r="BN55" i="1"/>
  <c r="BR55" i="1"/>
  <c r="BS55" i="1"/>
  <c r="BT55" i="1"/>
  <c r="BV55" i="1"/>
  <c r="BW55" i="1" s="1"/>
  <c r="D60" i="1"/>
  <c r="D64" i="1" s="1"/>
  <c r="E60" i="1"/>
  <c r="E64" i="1" s="1"/>
  <c r="F60" i="1"/>
  <c r="F64" i="1" s="1"/>
  <c r="G60" i="1"/>
  <c r="G64" i="1" s="1"/>
  <c r="H60" i="1"/>
  <c r="H64" i="1" s="1"/>
  <c r="J60" i="1"/>
  <c r="J64" i="1" s="1"/>
  <c r="K60" i="1"/>
  <c r="K64" i="1" s="1"/>
  <c r="M60" i="1"/>
  <c r="M64" i="1" s="1"/>
  <c r="O60" i="1"/>
  <c r="O64" i="1" s="1"/>
  <c r="S60" i="1"/>
  <c r="S64" i="1" s="1"/>
  <c r="AM60" i="1"/>
  <c r="AM64" i="1" s="1"/>
  <c r="AN60" i="1"/>
  <c r="AN64" i="1" s="1"/>
  <c r="U60" i="1"/>
  <c r="U64" i="1" s="1"/>
  <c r="V60" i="1"/>
  <c r="V64" i="1" s="1"/>
  <c r="W60" i="1"/>
  <c r="W64" i="1" s="1"/>
  <c r="AP60" i="1"/>
  <c r="AP64" i="1" s="1"/>
  <c r="AR60" i="1"/>
  <c r="AR64" i="1" s="1"/>
  <c r="Y60" i="1"/>
  <c r="Y64" i="1" s="1"/>
  <c r="Z60" i="1"/>
  <c r="Z64" i="1" s="1"/>
  <c r="AA60" i="1"/>
  <c r="AD60" i="1"/>
  <c r="AD64" i="1" s="1"/>
  <c r="AF60" i="1"/>
  <c r="AF64" i="1" s="1"/>
  <c r="AG60" i="1"/>
  <c r="AG64" i="1" s="1"/>
  <c r="AI60" i="1"/>
  <c r="AI64" i="1" s="1"/>
  <c r="AU60" i="1"/>
  <c r="AU64" i="1" s="1"/>
  <c r="AV60" i="1"/>
  <c r="AV64" i="1" s="1"/>
  <c r="AX60" i="1"/>
  <c r="AX64" i="1" s="1"/>
  <c r="AY60" i="1"/>
  <c r="AY64" i="1" s="1"/>
  <c r="BB60" i="1"/>
  <c r="BB64" i="1" s="1"/>
  <c r="BC60" i="1"/>
  <c r="BE60" i="1"/>
  <c r="BE64" i="1" s="1"/>
  <c r="BF60" i="1"/>
  <c r="BF64" i="1" s="1"/>
  <c r="BG60" i="1"/>
  <c r="BG64" i="1" s="1"/>
  <c r="BH60" i="1"/>
  <c r="BH64" i="1" s="1"/>
  <c r="BI60" i="1"/>
  <c r="BI64" i="1" s="1"/>
  <c r="BK60" i="1"/>
  <c r="BK64" i="1" s="1"/>
  <c r="BL60" i="1"/>
  <c r="BN60" i="1"/>
  <c r="BN64" i="1" s="1"/>
  <c r="BR60" i="1"/>
  <c r="BR64" i="1" s="1"/>
  <c r="BS60" i="1"/>
  <c r="BS64" i="1" s="1"/>
  <c r="BT60" i="1"/>
  <c r="BT64" i="1" s="1"/>
  <c r="BV60" i="1"/>
  <c r="BV64" i="1" s="1"/>
  <c r="D61" i="1"/>
  <c r="D63" i="1" s="1"/>
  <c r="E61" i="1"/>
  <c r="E63" i="1" s="1"/>
  <c r="F61" i="1"/>
  <c r="F63" i="1" s="1"/>
  <c r="G61" i="1"/>
  <c r="G63" i="1" s="1"/>
  <c r="H61" i="1"/>
  <c r="J61" i="1"/>
  <c r="J63" i="1" s="1"/>
  <c r="K61" i="1"/>
  <c r="K63" i="1" s="1"/>
  <c r="M61" i="1"/>
  <c r="M63" i="1" s="1"/>
  <c r="O61" i="1"/>
  <c r="O63" i="1" s="1"/>
  <c r="S61" i="1"/>
  <c r="AM61" i="1"/>
  <c r="AM63" i="1" s="1"/>
  <c r="AN61" i="1"/>
  <c r="U61" i="1"/>
  <c r="U63" i="1" s="1"/>
  <c r="V61" i="1"/>
  <c r="V63" i="1" s="1"/>
  <c r="W61" i="1"/>
  <c r="W63" i="1" s="1"/>
  <c r="AP61" i="1"/>
  <c r="AP63" i="1" s="1"/>
  <c r="AR61" i="1"/>
  <c r="AR63" i="1" s="1"/>
  <c r="Y61" i="1"/>
  <c r="Z61" i="1"/>
  <c r="Z63" i="1" s="1"/>
  <c r="AA61" i="1"/>
  <c r="AA63" i="1" s="1"/>
  <c r="AD61" i="1"/>
  <c r="AD63" i="1" s="1"/>
  <c r="AF61" i="1"/>
  <c r="AF63" i="1" s="1"/>
  <c r="AG61" i="1"/>
  <c r="AG63" i="1" s="1"/>
  <c r="AI61" i="1"/>
  <c r="AU61" i="1"/>
  <c r="AU63" i="1" s="1"/>
  <c r="AV61" i="1"/>
  <c r="AV63" i="1" s="1"/>
  <c r="AX61" i="1"/>
  <c r="AX63" i="1" s="1"/>
  <c r="AY61" i="1"/>
  <c r="AY63" i="1" s="1"/>
  <c r="BB61" i="1"/>
  <c r="BB63" i="1" s="1"/>
  <c r="BC61" i="1"/>
  <c r="BC63" i="1" s="1"/>
  <c r="BE61" i="1"/>
  <c r="BF61" i="1"/>
  <c r="BF63" i="1" s="1"/>
  <c r="BG61" i="1"/>
  <c r="BG63" i="1" s="1"/>
  <c r="BH61" i="1"/>
  <c r="BH63" i="1" s="1"/>
  <c r="BI61" i="1"/>
  <c r="BI63" i="1" s="1"/>
  <c r="BK61" i="1"/>
  <c r="BK63" i="1" s="1"/>
  <c r="BL61" i="1"/>
  <c r="BL63" i="1" s="1"/>
  <c r="BN61" i="1"/>
  <c r="BR61" i="1"/>
  <c r="BS61" i="1"/>
  <c r="BS63" i="1" s="1"/>
  <c r="BT61" i="1"/>
  <c r="BT63" i="1" s="1"/>
  <c r="BV61" i="1"/>
  <c r="BV63" i="1" s="1"/>
  <c r="D62" i="1"/>
  <c r="E62" i="1"/>
  <c r="F62" i="1"/>
  <c r="G62" i="1"/>
  <c r="H62" i="1"/>
  <c r="J62" i="1"/>
  <c r="K62" i="1"/>
  <c r="M62" i="1"/>
  <c r="O62" i="1"/>
  <c r="S62" i="1"/>
  <c r="AM62" i="1"/>
  <c r="AN62" i="1"/>
  <c r="U62" i="1"/>
  <c r="V62" i="1"/>
  <c r="W62" i="1"/>
  <c r="AP62" i="1"/>
  <c r="AR62" i="1"/>
  <c r="Y62" i="1"/>
  <c r="Z62" i="1"/>
  <c r="AA62" i="1"/>
  <c r="AD62" i="1"/>
  <c r="AF62" i="1"/>
  <c r="AG62" i="1"/>
  <c r="AI62" i="1"/>
  <c r="AU62" i="1"/>
  <c r="AV62" i="1"/>
  <c r="AX62" i="1"/>
  <c r="AY62" i="1"/>
  <c r="BB62" i="1"/>
  <c r="BC62" i="1"/>
  <c r="BE62" i="1"/>
  <c r="BF62" i="1"/>
  <c r="BG62" i="1"/>
  <c r="BH62" i="1"/>
  <c r="BI62" i="1"/>
  <c r="BK62" i="1"/>
  <c r="BL62" i="1"/>
  <c r="BN62" i="1"/>
  <c r="BR62" i="1"/>
  <c r="BS62" i="1"/>
  <c r="BT62" i="1"/>
  <c r="BV62" i="1"/>
  <c r="BW62" i="1" s="1"/>
  <c r="D67" i="1"/>
  <c r="D71" i="1" s="1"/>
  <c r="E67" i="1"/>
  <c r="F67" i="1"/>
  <c r="F71" i="1" s="1"/>
  <c r="G67" i="1"/>
  <c r="G71" i="1" s="1"/>
  <c r="H67" i="1"/>
  <c r="H71" i="1" s="1"/>
  <c r="J67" i="1"/>
  <c r="J71" i="1" s="1"/>
  <c r="K67" i="1"/>
  <c r="K71" i="1" s="1"/>
  <c r="M67" i="1"/>
  <c r="M71" i="1" s="1"/>
  <c r="O67" i="1"/>
  <c r="O71" i="1" s="1"/>
  <c r="S67" i="1"/>
  <c r="S71" i="1" s="1"/>
  <c r="AM67" i="1"/>
  <c r="AM71" i="1" s="1"/>
  <c r="AN67" i="1"/>
  <c r="AN71" i="1" s="1"/>
  <c r="U67" i="1"/>
  <c r="U71" i="1" s="1"/>
  <c r="V67" i="1"/>
  <c r="V71" i="1" s="1"/>
  <c r="W67" i="1"/>
  <c r="W71" i="1" s="1"/>
  <c r="AP67" i="1"/>
  <c r="AP71" i="1" s="1"/>
  <c r="AR67" i="1"/>
  <c r="Y67" i="1"/>
  <c r="Y71" i="1" s="1"/>
  <c r="Z67" i="1"/>
  <c r="Z71" i="1" s="1"/>
  <c r="AA67" i="1"/>
  <c r="AA71" i="1" s="1"/>
  <c r="AD67" i="1"/>
  <c r="AF67" i="1"/>
  <c r="AF71" i="1" s="1"/>
  <c r="AG67" i="1"/>
  <c r="AG71" i="1" s="1"/>
  <c r="AI67" i="1"/>
  <c r="AI71" i="1" s="1"/>
  <c r="AU67" i="1"/>
  <c r="AU71" i="1" s="1"/>
  <c r="AV67" i="1"/>
  <c r="AV71" i="1" s="1"/>
  <c r="AX67" i="1"/>
  <c r="AX71" i="1" s="1"/>
  <c r="AY67" i="1"/>
  <c r="BB67" i="1"/>
  <c r="BB71" i="1" s="1"/>
  <c r="BC67" i="1"/>
  <c r="BC71" i="1" s="1"/>
  <c r="BE67" i="1"/>
  <c r="BE71" i="1" s="1"/>
  <c r="BF67" i="1"/>
  <c r="BF71" i="1" s="1"/>
  <c r="BG67" i="1"/>
  <c r="BG71" i="1" s="1"/>
  <c r="BH67" i="1"/>
  <c r="BH71" i="1" s="1"/>
  <c r="BI67" i="1"/>
  <c r="BI71" i="1" s="1"/>
  <c r="BK67" i="1"/>
  <c r="BK71" i="1" s="1"/>
  <c r="BL67" i="1"/>
  <c r="BL71" i="1" s="1"/>
  <c r="BN67" i="1"/>
  <c r="BN71" i="1" s="1"/>
  <c r="BR67" i="1"/>
  <c r="BR71" i="1" s="1"/>
  <c r="BS67" i="1"/>
  <c r="BS71" i="1" s="1"/>
  <c r="BT67" i="1"/>
  <c r="BT71" i="1" s="1"/>
  <c r="BV67" i="1"/>
  <c r="D68" i="1"/>
  <c r="D70" i="1" s="1"/>
  <c r="E68" i="1"/>
  <c r="E70" i="1" s="1"/>
  <c r="F68" i="1"/>
  <c r="F70" i="1" s="1"/>
  <c r="G68" i="1"/>
  <c r="G70" i="1" s="1"/>
  <c r="H68" i="1"/>
  <c r="H70" i="1" s="1"/>
  <c r="J68" i="1"/>
  <c r="K68" i="1"/>
  <c r="K70" i="1" s="1"/>
  <c r="M68" i="1"/>
  <c r="M70" i="1" s="1"/>
  <c r="O68" i="1"/>
  <c r="O70" i="1" s="1"/>
  <c r="S68" i="1"/>
  <c r="S70" i="1" s="1"/>
  <c r="AM68" i="1"/>
  <c r="AM70" i="1" s="1"/>
  <c r="AN68" i="1"/>
  <c r="AN70" i="1" s="1"/>
  <c r="U68" i="1"/>
  <c r="U70" i="1" s="1"/>
  <c r="V68" i="1"/>
  <c r="V70" i="1" s="1"/>
  <c r="W68" i="1"/>
  <c r="W70" i="1" s="1"/>
  <c r="AP68" i="1"/>
  <c r="AP70" i="1" s="1"/>
  <c r="AR68" i="1"/>
  <c r="AR70" i="1" s="1"/>
  <c r="Y68" i="1"/>
  <c r="Z68" i="1"/>
  <c r="Z70" i="1" s="1"/>
  <c r="AA68" i="1"/>
  <c r="AA70" i="1" s="1"/>
  <c r="AD68" i="1"/>
  <c r="AD70" i="1" s="1"/>
  <c r="AF68" i="1"/>
  <c r="AF70" i="1" s="1"/>
  <c r="AG68" i="1"/>
  <c r="AI68" i="1"/>
  <c r="AI70" i="1" s="1"/>
  <c r="AU68" i="1"/>
  <c r="AU70" i="1" s="1"/>
  <c r="AV68" i="1"/>
  <c r="AV70" i="1" s="1"/>
  <c r="AX68" i="1"/>
  <c r="AX70" i="1" s="1"/>
  <c r="AY68" i="1"/>
  <c r="AY70" i="1" s="1"/>
  <c r="BB68" i="1"/>
  <c r="BB70" i="1" s="1"/>
  <c r="BC68" i="1"/>
  <c r="BC70" i="1" s="1"/>
  <c r="BE68" i="1"/>
  <c r="BE70" i="1" s="1"/>
  <c r="BF68" i="1"/>
  <c r="BF70" i="1" s="1"/>
  <c r="BG68" i="1"/>
  <c r="BG70" i="1" s="1"/>
  <c r="BH68" i="1"/>
  <c r="BH70" i="1" s="1"/>
  <c r="BI68" i="1"/>
  <c r="BI70" i="1" s="1"/>
  <c r="BK68" i="1"/>
  <c r="BK70" i="1" s="1"/>
  <c r="BL68" i="1"/>
  <c r="BN68" i="1"/>
  <c r="BN70" i="1" s="1"/>
  <c r="BR68" i="1"/>
  <c r="BS68" i="1"/>
  <c r="BS70" i="1" s="1"/>
  <c r="BT68" i="1"/>
  <c r="BT70" i="1" s="1"/>
  <c r="BV68" i="1"/>
  <c r="BV70" i="1" s="1"/>
  <c r="D69" i="1"/>
  <c r="E69" i="1"/>
  <c r="F69" i="1"/>
  <c r="G69" i="1"/>
  <c r="H69" i="1"/>
  <c r="J69" i="1"/>
  <c r="K69" i="1"/>
  <c r="M69" i="1"/>
  <c r="O69" i="1"/>
  <c r="S69" i="1"/>
  <c r="AM69" i="1"/>
  <c r="AN69" i="1"/>
  <c r="U69" i="1"/>
  <c r="V69" i="1"/>
  <c r="W69" i="1"/>
  <c r="AP69" i="1"/>
  <c r="AR69" i="1"/>
  <c r="Y69" i="1"/>
  <c r="Z69" i="1"/>
  <c r="AA69" i="1"/>
  <c r="AD69" i="1"/>
  <c r="AF69" i="1"/>
  <c r="AG69" i="1"/>
  <c r="AI69" i="1"/>
  <c r="AU69" i="1"/>
  <c r="AV69" i="1"/>
  <c r="AX69" i="1"/>
  <c r="AY69" i="1"/>
  <c r="BB69" i="1"/>
  <c r="BC69" i="1"/>
  <c r="BE69" i="1"/>
  <c r="BF69" i="1"/>
  <c r="BG69" i="1"/>
  <c r="BH69" i="1"/>
  <c r="BI69" i="1"/>
  <c r="BK69" i="1"/>
  <c r="BL69" i="1"/>
  <c r="BN69" i="1"/>
  <c r="BR69" i="1"/>
  <c r="BS69" i="1"/>
  <c r="BT69" i="1"/>
  <c r="BV69" i="1"/>
  <c r="BW69" i="1" s="1"/>
  <c r="D74" i="1"/>
  <c r="D78" i="1" s="1"/>
  <c r="E74" i="1"/>
  <c r="E78" i="1" s="1"/>
  <c r="F74" i="1"/>
  <c r="F78" i="1" s="1"/>
  <c r="G74" i="1"/>
  <c r="G78" i="1" s="1"/>
  <c r="H74" i="1"/>
  <c r="H78" i="1" s="1"/>
  <c r="J74" i="1"/>
  <c r="K74" i="1"/>
  <c r="K78" i="1" s="1"/>
  <c r="M74" i="1"/>
  <c r="M78" i="1" s="1"/>
  <c r="O74" i="1"/>
  <c r="O78" i="1" s="1"/>
  <c r="S74" i="1"/>
  <c r="S78" i="1" s="1"/>
  <c r="AM74" i="1"/>
  <c r="AM78" i="1" s="1"/>
  <c r="AN74" i="1"/>
  <c r="AN78" i="1" s="1"/>
  <c r="U74" i="1"/>
  <c r="V74" i="1"/>
  <c r="V78" i="1" s="1"/>
  <c r="W74" i="1"/>
  <c r="W78" i="1" s="1"/>
  <c r="AP74" i="1"/>
  <c r="AP78" i="1" s="1"/>
  <c r="AR74" i="1"/>
  <c r="AR78" i="1" s="1"/>
  <c r="Y74" i="1"/>
  <c r="Y78" i="1" s="1"/>
  <c r="Z74" i="1"/>
  <c r="Z78" i="1" s="1"/>
  <c r="AA74" i="1"/>
  <c r="AA78" i="1" s="1"/>
  <c r="AD74" i="1"/>
  <c r="AF74" i="1"/>
  <c r="AF78" i="1" s="1"/>
  <c r="AG74" i="1"/>
  <c r="AG78" i="1" s="1"/>
  <c r="AI74" i="1"/>
  <c r="AI78" i="1" s="1"/>
  <c r="AU74" i="1"/>
  <c r="AU78" i="1" s="1"/>
  <c r="AV74" i="1"/>
  <c r="AV78" i="1" s="1"/>
  <c r="AX74" i="1"/>
  <c r="AY74" i="1"/>
  <c r="AY78" i="1" s="1"/>
  <c r="BB74" i="1"/>
  <c r="BB78" i="1" s="1"/>
  <c r="BC74" i="1"/>
  <c r="BC78" i="1" s="1"/>
  <c r="BE74" i="1"/>
  <c r="BE78" i="1" s="1"/>
  <c r="BF74" i="1"/>
  <c r="BF78" i="1" s="1"/>
  <c r="BG74" i="1"/>
  <c r="BG78" i="1" s="1"/>
  <c r="BH74" i="1"/>
  <c r="BH78" i="1" s="1"/>
  <c r="BI74" i="1"/>
  <c r="BI78" i="1" s="1"/>
  <c r="BK74" i="1"/>
  <c r="BL74" i="1"/>
  <c r="BL78" i="1" s="1"/>
  <c r="BN74" i="1"/>
  <c r="BN78" i="1" s="1"/>
  <c r="BR74" i="1"/>
  <c r="BR78" i="1" s="1"/>
  <c r="BS74" i="1"/>
  <c r="BS78" i="1" s="1"/>
  <c r="BT74" i="1"/>
  <c r="BT78" i="1" s="1"/>
  <c r="BV74" i="1"/>
  <c r="D75" i="1"/>
  <c r="D77" i="1" s="1"/>
  <c r="E75" i="1"/>
  <c r="E77" i="1" s="1"/>
  <c r="F75" i="1"/>
  <c r="F77" i="1" s="1"/>
  <c r="G75" i="1"/>
  <c r="G77" i="1" s="1"/>
  <c r="H75" i="1"/>
  <c r="H77" i="1" s="1"/>
  <c r="J75" i="1"/>
  <c r="K75" i="1"/>
  <c r="K77" i="1" s="1"/>
  <c r="M75" i="1"/>
  <c r="M77" i="1" s="1"/>
  <c r="O75" i="1"/>
  <c r="S75" i="1"/>
  <c r="S77" i="1" s="1"/>
  <c r="AM75" i="1"/>
  <c r="AM77" i="1" s="1"/>
  <c r="AN75" i="1"/>
  <c r="AN77" i="1" s="1"/>
  <c r="U75" i="1"/>
  <c r="U77" i="1" s="1"/>
  <c r="V75" i="1"/>
  <c r="V77" i="1" s="1"/>
  <c r="W75" i="1"/>
  <c r="W77" i="1" s="1"/>
  <c r="AP75" i="1"/>
  <c r="AP77" i="1" s="1"/>
  <c r="AR75" i="1"/>
  <c r="AR77" i="1" s="1"/>
  <c r="Y75" i="1"/>
  <c r="Y77" i="1" s="1"/>
  <c r="Z75" i="1"/>
  <c r="Z77" i="1" s="1"/>
  <c r="AA75" i="1"/>
  <c r="AD75" i="1"/>
  <c r="AF75" i="1"/>
  <c r="AF77" i="1" s="1"/>
  <c r="AG75" i="1"/>
  <c r="AG77" i="1" s="1"/>
  <c r="AI75" i="1"/>
  <c r="AU75" i="1"/>
  <c r="AU77" i="1" s="1"/>
  <c r="AV75" i="1"/>
  <c r="AV77" i="1" s="1"/>
  <c r="AX75" i="1"/>
  <c r="AY75" i="1"/>
  <c r="AY77" i="1" s="1"/>
  <c r="BB75" i="1"/>
  <c r="BB77" i="1" s="1"/>
  <c r="BC75" i="1"/>
  <c r="BC77" i="1" s="1"/>
  <c r="BE75" i="1"/>
  <c r="BE77" i="1" s="1"/>
  <c r="BF75" i="1"/>
  <c r="BF77" i="1" s="1"/>
  <c r="BG75" i="1"/>
  <c r="BG77" i="1" s="1"/>
  <c r="BH75" i="1"/>
  <c r="BH77" i="1" s="1"/>
  <c r="BI75" i="1"/>
  <c r="BI77" i="1" s="1"/>
  <c r="BK75" i="1"/>
  <c r="BK77" i="1" s="1"/>
  <c r="BL75" i="1"/>
  <c r="BL77" i="1" s="1"/>
  <c r="BN75" i="1"/>
  <c r="BR75" i="1"/>
  <c r="BR77" i="1" s="1"/>
  <c r="BS75" i="1"/>
  <c r="BS77" i="1" s="1"/>
  <c r="BT75" i="1"/>
  <c r="BT77" i="1" s="1"/>
  <c r="BV75" i="1"/>
  <c r="BV77" i="1" s="1"/>
  <c r="D76" i="1"/>
  <c r="E76" i="1"/>
  <c r="F76" i="1"/>
  <c r="G76" i="1"/>
  <c r="H76" i="1"/>
  <c r="J76" i="1"/>
  <c r="K76" i="1"/>
  <c r="M76" i="1"/>
  <c r="O76" i="1"/>
  <c r="S76" i="1"/>
  <c r="AM76" i="1"/>
  <c r="AN76" i="1"/>
  <c r="U76" i="1"/>
  <c r="V76" i="1"/>
  <c r="W76" i="1"/>
  <c r="AP76" i="1"/>
  <c r="AR76" i="1"/>
  <c r="Y76" i="1"/>
  <c r="Z76" i="1"/>
  <c r="AA76" i="1"/>
  <c r="AD76" i="1"/>
  <c r="AF76" i="1"/>
  <c r="AG76" i="1"/>
  <c r="AI76" i="1"/>
  <c r="AU76" i="1"/>
  <c r="AV76" i="1"/>
  <c r="AX76" i="1"/>
  <c r="AY76" i="1"/>
  <c r="BB76" i="1"/>
  <c r="BC76" i="1"/>
  <c r="BE76" i="1"/>
  <c r="BF76" i="1"/>
  <c r="BG76" i="1"/>
  <c r="BH76" i="1"/>
  <c r="BI76" i="1"/>
  <c r="BK76" i="1"/>
  <c r="BL76" i="1"/>
  <c r="BN76" i="1"/>
  <c r="BR76" i="1"/>
  <c r="BS76" i="1"/>
  <c r="BT76" i="1"/>
  <c r="BV76" i="1"/>
  <c r="BW76" i="1" s="1"/>
  <c r="D81" i="1"/>
  <c r="E81" i="1"/>
  <c r="E85" i="1" s="1"/>
  <c r="F81" i="1"/>
  <c r="F85" i="1" s="1"/>
  <c r="G81" i="1"/>
  <c r="G85" i="1" s="1"/>
  <c r="H81" i="1"/>
  <c r="H85" i="1" s="1"/>
  <c r="J81" i="1"/>
  <c r="J85" i="1" s="1"/>
  <c r="K81" i="1"/>
  <c r="M81" i="1"/>
  <c r="M85" i="1" s="1"/>
  <c r="O81" i="1"/>
  <c r="S81" i="1"/>
  <c r="S85" i="1" s="1"/>
  <c r="AM81" i="1"/>
  <c r="AM85" i="1" s="1"/>
  <c r="AN81" i="1"/>
  <c r="AN85" i="1" s="1"/>
  <c r="U81" i="1"/>
  <c r="U85" i="1" s="1"/>
  <c r="V81" i="1"/>
  <c r="W81" i="1"/>
  <c r="W85" i="1" s="1"/>
  <c r="AP81" i="1"/>
  <c r="AP85" i="1" s="1"/>
  <c r="AR81" i="1"/>
  <c r="AR85" i="1" s="1"/>
  <c r="Y81" i="1"/>
  <c r="Y85" i="1" s="1"/>
  <c r="Z81" i="1"/>
  <c r="Z85" i="1" s="1"/>
  <c r="AA81" i="1"/>
  <c r="AD81" i="1"/>
  <c r="AD85" i="1" s="1"/>
  <c r="AF81" i="1"/>
  <c r="AF85" i="1" s="1"/>
  <c r="AG81" i="1"/>
  <c r="AG85" i="1" s="1"/>
  <c r="AI81" i="1"/>
  <c r="AU81" i="1"/>
  <c r="AU85" i="1" s="1"/>
  <c r="AV81" i="1"/>
  <c r="AV85" i="1" s="1"/>
  <c r="AX81" i="1"/>
  <c r="AX85" i="1" s="1"/>
  <c r="AY81" i="1"/>
  <c r="AY85" i="1" s="1"/>
  <c r="BB81" i="1"/>
  <c r="BB85" i="1" s="1"/>
  <c r="BC81" i="1"/>
  <c r="BC85" i="1" s="1"/>
  <c r="BE81" i="1"/>
  <c r="BE85" i="1" s="1"/>
  <c r="BF81" i="1"/>
  <c r="BF85" i="1" s="1"/>
  <c r="BG81" i="1"/>
  <c r="BG85" i="1" s="1"/>
  <c r="BH81" i="1"/>
  <c r="BH85" i="1" s="1"/>
  <c r="BI81" i="1"/>
  <c r="BI85" i="1" s="1"/>
  <c r="BK81" i="1"/>
  <c r="BK85" i="1" s="1"/>
  <c r="BL81" i="1"/>
  <c r="BL85" i="1" s="1"/>
  <c r="BN81" i="1"/>
  <c r="BN85" i="1" s="1"/>
  <c r="BR81" i="1"/>
  <c r="BR85" i="1" s="1"/>
  <c r="BS81" i="1"/>
  <c r="BS85" i="1" s="1"/>
  <c r="BT81" i="1"/>
  <c r="BT85" i="1" s="1"/>
  <c r="BV81" i="1"/>
  <c r="D82" i="1"/>
  <c r="D84" i="1" s="1"/>
  <c r="E82" i="1"/>
  <c r="E84" i="1" s="1"/>
  <c r="F82" i="1"/>
  <c r="F84" i="1" s="1"/>
  <c r="G82" i="1"/>
  <c r="G84" i="1" s="1"/>
  <c r="H82" i="1"/>
  <c r="H84" i="1" s="1"/>
  <c r="J82" i="1"/>
  <c r="J84" i="1" s="1"/>
  <c r="K82" i="1"/>
  <c r="K84" i="1" s="1"/>
  <c r="M82" i="1"/>
  <c r="M84" i="1" s="1"/>
  <c r="O82" i="1"/>
  <c r="O84" i="1" s="1"/>
  <c r="S82" i="1"/>
  <c r="AM82" i="1"/>
  <c r="AM84" i="1" s="1"/>
  <c r="AN82" i="1"/>
  <c r="AN84" i="1" s="1"/>
  <c r="U82" i="1"/>
  <c r="U84" i="1" s="1"/>
  <c r="V82" i="1"/>
  <c r="V84" i="1" s="1"/>
  <c r="W82" i="1"/>
  <c r="W84" i="1" s="1"/>
  <c r="AP82" i="1"/>
  <c r="AR82" i="1"/>
  <c r="AR84" i="1" s="1"/>
  <c r="Y82" i="1"/>
  <c r="Y84" i="1" s="1"/>
  <c r="Z82" i="1"/>
  <c r="Z84" i="1" s="1"/>
  <c r="AA82" i="1"/>
  <c r="AA84" i="1" s="1"/>
  <c r="AD82" i="1"/>
  <c r="AD84" i="1" s="1"/>
  <c r="AF82" i="1"/>
  <c r="AF84" i="1" s="1"/>
  <c r="AG82" i="1"/>
  <c r="AG84" i="1" s="1"/>
  <c r="AI82" i="1"/>
  <c r="AU82" i="1"/>
  <c r="AU84" i="1" s="1"/>
  <c r="AV82" i="1"/>
  <c r="AV84" i="1" s="1"/>
  <c r="AX82" i="1"/>
  <c r="AX84" i="1" s="1"/>
  <c r="AY82" i="1"/>
  <c r="AY84" i="1" s="1"/>
  <c r="BB82" i="1"/>
  <c r="BB84" i="1" s="1"/>
  <c r="BC82" i="1"/>
  <c r="BE82" i="1"/>
  <c r="BE84" i="1" s="1"/>
  <c r="BF82" i="1"/>
  <c r="BF84" i="1" s="1"/>
  <c r="BG82" i="1"/>
  <c r="BG84" i="1" s="1"/>
  <c r="BH82" i="1"/>
  <c r="BH84" i="1" s="1"/>
  <c r="BI82" i="1"/>
  <c r="BI84" i="1" s="1"/>
  <c r="BK82" i="1"/>
  <c r="BK84" i="1" s="1"/>
  <c r="BL82" i="1"/>
  <c r="BN82" i="1"/>
  <c r="BN84" i="1" s="1"/>
  <c r="BR82" i="1"/>
  <c r="BR84" i="1" s="1"/>
  <c r="BS82" i="1"/>
  <c r="BS84" i="1" s="1"/>
  <c r="BT82" i="1"/>
  <c r="BT84" i="1" s="1"/>
  <c r="BV82" i="1"/>
  <c r="BW82" i="1" s="1"/>
  <c r="BW84" i="1" s="1"/>
  <c r="D83" i="1"/>
  <c r="E83" i="1"/>
  <c r="F83" i="1"/>
  <c r="G83" i="1"/>
  <c r="H83" i="1"/>
  <c r="J83" i="1"/>
  <c r="K83" i="1"/>
  <c r="M83" i="1"/>
  <c r="O83" i="1"/>
  <c r="S83" i="1"/>
  <c r="AM83" i="1"/>
  <c r="AN83" i="1"/>
  <c r="U83" i="1"/>
  <c r="V83" i="1"/>
  <c r="W83" i="1"/>
  <c r="AP83" i="1"/>
  <c r="AR83" i="1"/>
  <c r="Y83" i="1"/>
  <c r="Z83" i="1"/>
  <c r="AA83" i="1"/>
  <c r="AD83" i="1"/>
  <c r="AF83" i="1"/>
  <c r="AG83" i="1"/>
  <c r="AI83" i="1"/>
  <c r="AU83" i="1"/>
  <c r="AV83" i="1"/>
  <c r="AX83" i="1"/>
  <c r="AY83" i="1"/>
  <c r="BB83" i="1"/>
  <c r="BC83" i="1"/>
  <c r="BE83" i="1"/>
  <c r="BF83" i="1"/>
  <c r="BG83" i="1"/>
  <c r="BH83" i="1"/>
  <c r="BI83" i="1"/>
  <c r="BK83" i="1"/>
  <c r="BL83" i="1"/>
  <c r="BN83" i="1"/>
  <c r="BR83" i="1"/>
  <c r="BS83" i="1"/>
  <c r="BT83" i="1"/>
  <c r="BV83" i="1"/>
  <c r="BW83" i="1" s="1"/>
  <c r="I28" i="4"/>
  <c r="I10" i="4"/>
  <c r="I15" i="4"/>
  <c r="I13" i="4"/>
  <c r="H26" i="4"/>
  <c r="H24" i="4"/>
  <c r="I31" i="5"/>
  <c r="I10" i="5"/>
  <c r="J3" i="5"/>
  <c r="J31" i="5"/>
  <c r="I9" i="5"/>
  <c r="I13" i="5"/>
  <c r="I14" i="5"/>
  <c r="I15" i="5"/>
  <c r="I17" i="5"/>
  <c r="I18" i="5"/>
  <c r="J3" i="6"/>
  <c r="I9" i="6"/>
  <c r="I10" i="6"/>
  <c r="G10" i="5"/>
  <c r="G15" i="5"/>
  <c r="G14" i="5"/>
  <c r="G13" i="5"/>
  <c r="H9" i="5"/>
  <c r="H10" i="5"/>
  <c r="J10" i="6"/>
  <c r="J14" i="6"/>
  <c r="J16" i="6"/>
  <c r="J17" i="6"/>
  <c r="L3" i="6"/>
  <c r="J14" i="5"/>
  <c r="J15" i="5"/>
  <c r="J38" i="5"/>
  <c r="M25" i="5"/>
  <c r="L10" i="6"/>
  <c r="L17" i="6"/>
  <c r="BM75" i="1"/>
  <c r="BM77" i="1" s="1"/>
  <c r="BM40" i="1"/>
  <c r="BM42" i="1" s="1"/>
  <c r="BM46" i="1"/>
  <c r="BM50" i="1" s="1"/>
  <c r="BM12" i="1"/>
  <c r="BM14" i="1" s="1"/>
  <c r="Y25" i="5"/>
  <c r="BM26" i="1"/>
  <c r="BM28" i="1" s="1"/>
  <c r="BM54" i="1"/>
  <c r="BM56" i="1" s="1"/>
  <c r="BM82" i="1"/>
  <c r="BM84" i="1" s="1"/>
  <c r="BM4" i="1"/>
  <c r="BM8" i="1" s="1"/>
  <c r="BM88" i="1" s="1"/>
  <c r="BM32" i="1"/>
  <c r="BM36" i="1" s="1"/>
  <c r="BM60" i="1"/>
  <c r="BM64" i="1" s="1"/>
  <c r="BM76" i="1"/>
  <c r="J30" i="4"/>
  <c r="J25" i="5"/>
  <c r="L25" i="5"/>
  <c r="M13" i="6"/>
  <c r="M30" i="4"/>
  <c r="N25" i="5"/>
  <c r="O13" i="6"/>
  <c r="P25" i="5"/>
  <c r="P13" i="6"/>
  <c r="S30" i="4"/>
  <c r="U30" i="4"/>
  <c r="T25" i="5"/>
  <c r="Y13" i="6"/>
  <c r="X25" i="5"/>
  <c r="W30" i="4"/>
  <c r="W25" i="5"/>
  <c r="AB30" i="4"/>
  <c r="AD30" i="4"/>
  <c r="AH13" i="6"/>
  <c r="AI13" i="6"/>
  <c r="AI25" i="5"/>
  <c r="AL30" i="4"/>
  <c r="AM25" i="5"/>
  <c r="AO30" i="4"/>
  <c r="AP25" i="5"/>
  <c r="AS30" i="4"/>
  <c r="AQ25" i="5"/>
  <c r="AU30" i="4"/>
  <c r="AW25" i="5"/>
  <c r="AU13" i="6"/>
  <c r="AU25" i="5"/>
  <c r="AX25" i="5"/>
  <c r="BA13" i="6"/>
  <c r="AZ25" i="5"/>
  <c r="I13" i="6"/>
  <c r="L30" i="4"/>
  <c r="Q25" i="5"/>
  <c r="Q30" i="4"/>
  <c r="Q13" i="6"/>
  <c r="U25" i="5"/>
  <c r="V30" i="4"/>
  <c r="X30" i="4"/>
  <c r="W13" i="6"/>
  <c r="Z25" i="5"/>
  <c r="AC25" i="5"/>
  <c r="AB25" i="5"/>
  <c r="AC30" i="4"/>
  <c r="AD13" i="6"/>
  <c r="AF30" i="4"/>
  <c r="AG25" i="5"/>
  <c r="AE13" i="6"/>
  <c r="AH30" i="4"/>
  <c r="AK30" i="4"/>
  <c r="AK25" i="5"/>
  <c r="AL13" i="6"/>
  <c r="AL25" i="5"/>
  <c r="AM13" i="6"/>
  <c r="AP13" i="6"/>
  <c r="AS25" i="5"/>
  <c r="AT30" i="4"/>
  <c r="AV30" i="4"/>
  <c r="AX30" i="4"/>
  <c r="AZ30" i="4"/>
  <c r="BA25" i="5"/>
  <c r="BM69" i="1"/>
  <c r="J13" i="6"/>
  <c r="K30" i="4"/>
  <c r="N30" i="4"/>
  <c r="V13" i="6"/>
  <c r="Z30" i="4"/>
  <c r="AA25" i="5"/>
  <c r="AA30" i="4"/>
  <c r="AC13" i="6"/>
  <c r="AG30" i="4"/>
  <c r="AE30" i="4"/>
  <c r="AH25" i="5"/>
  <c r="AJ13" i="6"/>
  <c r="AN25" i="5"/>
  <c r="AN13" i="6"/>
  <c r="AW30" i="4"/>
  <c r="K13" i="6"/>
  <c r="N13" i="6"/>
  <c r="R30" i="4"/>
  <c r="R13" i="6"/>
  <c r="T13" i="6"/>
  <c r="T30" i="4"/>
  <c r="U13" i="6"/>
  <c r="AA13" i="6"/>
  <c r="AF13" i="6"/>
  <c r="AG13" i="6"/>
  <c r="AJ30" i="4"/>
  <c r="AI30" i="4"/>
  <c r="AK13" i="6"/>
  <c r="AT25" i="5"/>
  <c r="O25" i="5"/>
  <c r="O30" i="4"/>
  <c r="P30" i="4"/>
  <c r="V25" i="5"/>
  <c r="AM30" i="4"/>
  <c r="AN30" i="4"/>
  <c r="AQ30" i="4"/>
  <c r="AR30" i="4"/>
  <c r="AQ13" i="6"/>
  <c r="AR25" i="5"/>
  <c r="AS13" i="6"/>
  <c r="AT13" i="6"/>
  <c r="AW13" i="6"/>
  <c r="AV13" i="6"/>
  <c r="AY13" i="6"/>
  <c r="AY30" i="4"/>
  <c r="AZ13" i="6"/>
  <c r="BA30" i="4"/>
  <c r="S13" i="6"/>
  <c r="S25" i="5"/>
  <c r="Z13" i="6"/>
  <c r="AB13" i="6"/>
  <c r="AF25" i="5"/>
  <c r="AE25" i="5"/>
  <c r="AJ25" i="5"/>
  <c r="AO13" i="6"/>
  <c r="AO25" i="5"/>
  <c r="AP30" i="4"/>
  <c r="AR13" i="6"/>
  <c r="AV25" i="5"/>
  <c r="AX13" i="6"/>
  <c r="K25" i="5"/>
  <c r="L13" i="6"/>
  <c r="X13" i="6"/>
  <c r="AD25" i="5"/>
  <c r="AY25" i="5"/>
  <c r="R25" i="5"/>
  <c r="Y30" i="4"/>
  <c r="BM5" i="1"/>
  <c r="BM7" i="1" s="1"/>
  <c r="BM19" i="1"/>
  <c r="BM21" i="1" s="1"/>
  <c r="BM33" i="1"/>
  <c r="BM35" i="1" s="1"/>
  <c r="BM47" i="1"/>
  <c r="BM49" i="1" s="1"/>
  <c r="BM61" i="1"/>
  <c r="BM63" i="1" s="1"/>
  <c r="BM74" i="1"/>
  <c r="BM78" i="1" s="1"/>
  <c r="G13" i="6"/>
  <c r="BM11" i="1"/>
  <c r="BM25" i="1"/>
  <c r="BM29" i="1" s="1"/>
  <c r="BM39" i="1"/>
  <c r="BM43" i="1" s="1"/>
  <c r="BM53" i="1"/>
  <c r="BM57" i="1" s="1"/>
  <c r="BM67" i="1"/>
  <c r="BM71" i="1" s="1"/>
  <c r="I25" i="5"/>
  <c r="H30" i="4"/>
  <c r="BM13" i="1"/>
  <c r="BM41" i="1"/>
  <c r="G30" i="4"/>
  <c r="H25" i="5"/>
  <c r="F13" i="6"/>
  <c r="BM6" i="1"/>
  <c r="BM34" i="1"/>
  <c r="BM62" i="1"/>
  <c r="F30" i="4"/>
  <c r="G25" i="5"/>
  <c r="BM27" i="1"/>
  <c r="BM55" i="1"/>
  <c r="BM83" i="1"/>
  <c r="I30" i="4"/>
  <c r="F25" i="5"/>
  <c r="H13" i="6"/>
  <c r="BM20" i="1"/>
  <c r="BM48" i="1"/>
  <c r="I33" i="5"/>
  <c r="I23" i="5"/>
  <c r="I34" i="5"/>
  <c r="I27" i="5"/>
  <c r="I36" i="5"/>
  <c r="I29" i="5"/>
  <c r="H10" i="6"/>
  <c r="H20" i="6"/>
  <c r="K3" i="6"/>
  <c r="K20" i="6"/>
  <c r="J20" i="6"/>
  <c r="G14" i="6"/>
  <c r="G20" i="6"/>
  <c r="L14" i="6"/>
  <c r="L20" i="6"/>
  <c r="L9" i="6"/>
  <c r="M3" i="6"/>
  <c r="M20" i="6"/>
  <c r="K16" i="6"/>
  <c r="K10" i="6"/>
  <c r="K14" i="6"/>
  <c r="M14" i="6"/>
  <c r="M9" i="6"/>
  <c r="J9" i="6"/>
  <c r="M17" i="6"/>
  <c r="N3" i="6"/>
  <c r="N14" i="6"/>
  <c r="L16" i="6"/>
  <c r="K17" i="6"/>
  <c r="K9" i="6"/>
  <c r="H17" i="6"/>
  <c r="H16" i="6"/>
  <c r="H14" i="6"/>
  <c r="N9" i="6"/>
  <c r="G17" i="6"/>
  <c r="G16" i="6"/>
  <c r="H9" i="6"/>
  <c r="J40" i="5"/>
  <c r="J33" i="5"/>
  <c r="J18" i="5"/>
  <c r="G20" i="5"/>
  <c r="G9" i="5"/>
  <c r="M3" i="5"/>
  <c r="M37" i="5"/>
  <c r="J30" i="5"/>
  <c r="J9" i="5"/>
  <c r="M39" i="5"/>
  <c r="M27" i="5"/>
  <c r="M18" i="5"/>
  <c r="L3" i="5"/>
  <c r="L14" i="5"/>
  <c r="J37" i="5"/>
  <c r="J29" i="5"/>
  <c r="J22" i="5"/>
  <c r="J10" i="5"/>
  <c r="H36" i="5"/>
  <c r="H34" i="5"/>
  <c r="H33" i="5"/>
  <c r="H30" i="5"/>
  <c r="H29" i="5"/>
  <c r="H27" i="5"/>
  <c r="H23" i="5"/>
  <c r="H22" i="5"/>
  <c r="H20" i="5"/>
  <c r="M17" i="5"/>
  <c r="J36" i="5"/>
  <c r="J17" i="5"/>
  <c r="J20" i="5"/>
  <c r="H15" i="5"/>
  <c r="L33" i="5"/>
  <c r="M15" i="5"/>
  <c r="M22" i="5"/>
  <c r="M29" i="5"/>
  <c r="M34" i="5"/>
  <c r="M9" i="5"/>
  <c r="L40" i="5"/>
  <c r="L37" i="5"/>
  <c r="K3" i="5"/>
  <c r="J39" i="5"/>
  <c r="J34" i="5"/>
  <c r="J27" i="5"/>
  <c r="J23" i="5"/>
  <c r="J13" i="5"/>
  <c r="H10" i="4"/>
  <c r="G29" i="4"/>
  <c r="G16" i="4"/>
  <c r="G11" i="4"/>
  <c r="I16" i="4"/>
  <c r="I9" i="4"/>
  <c r="I26" i="4"/>
  <c r="G24" i="4"/>
  <c r="G20" i="4"/>
  <c r="G18" i="4"/>
  <c r="G12" i="4"/>
  <c r="I12" i="4"/>
  <c r="J3" i="4"/>
  <c r="I29" i="4"/>
  <c r="G26" i="4"/>
  <c r="G13" i="4"/>
  <c r="G9" i="4"/>
  <c r="I11" i="4"/>
  <c r="I27" i="4"/>
  <c r="G27" i="4"/>
  <c r="I20" i="4"/>
  <c r="G15" i="4"/>
  <c r="G10" i="4"/>
  <c r="M10" i="5"/>
  <c r="O3" i="6"/>
  <c r="O20" i="6"/>
  <c r="N20" i="6"/>
  <c r="M10" i="6"/>
  <c r="M16" i="6"/>
  <c r="N16" i="6"/>
  <c r="N10" i="6"/>
  <c r="N17" i="6"/>
  <c r="Q3" i="6"/>
  <c r="Q20" i="6"/>
  <c r="P3" i="6"/>
  <c r="P20" i="6"/>
  <c r="O14" i="6"/>
  <c r="O16" i="6"/>
  <c r="O9" i="6"/>
  <c r="O10" i="6"/>
  <c r="O17" i="6"/>
  <c r="L10" i="5"/>
  <c r="L20" i="5"/>
  <c r="L22" i="5"/>
  <c r="L36" i="5"/>
  <c r="L9" i="5"/>
  <c r="L29" i="5"/>
  <c r="L17" i="5"/>
  <c r="L23" i="5"/>
  <c r="L34" i="5"/>
  <c r="L13" i="5"/>
  <c r="L31" i="5"/>
  <c r="M31" i="5"/>
  <c r="M14" i="5"/>
  <c r="M30" i="5"/>
  <c r="M38" i="5"/>
  <c r="M36" i="5"/>
  <c r="M20" i="5"/>
  <c r="M33" i="5"/>
  <c r="N3" i="5"/>
  <c r="M23" i="5"/>
  <c r="M13" i="5"/>
  <c r="M40" i="5"/>
  <c r="L30" i="5"/>
  <c r="L27" i="5"/>
  <c r="L39" i="5"/>
  <c r="L15" i="5"/>
  <c r="L18" i="5"/>
  <c r="L38" i="5"/>
  <c r="K15" i="5"/>
  <c r="K22" i="5"/>
  <c r="K29" i="5"/>
  <c r="K38" i="5"/>
  <c r="K20" i="5"/>
  <c r="K33" i="5"/>
  <c r="K34" i="5"/>
  <c r="K13" i="5"/>
  <c r="K10" i="5"/>
  <c r="K30" i="5"/>
  <c r="K9" i="5"/>
  <c r="K14" i="5"/>
  <c r="K23" i="5"/>
  <c r="K36" i="5"/>
  <c r="K18" i="5"/>
  <c r="K37" i="5"/>
  <c r="K40" i="5"/>
  <c r="K17" i="5"/>
  <c r="K27" i="5"/>
  <c r="K39" i="5"/>
  <c r="K31" i="5"/>
  <c r="J9" i="4"/>
  <c r="J29" i="4"/>
  <c r="L3" i="4"/>
  <c r="J11" i="4"/>
  <c r="J16" i="4"/>
  <c r="J27" i="4"/>
  <c r="J13" i="4"/>
  <c r="M3" i="4"/>
  <c r="J18" i="4"/>
  <c r="J24" i="4"/>
  <c r="J10" i="4"/>
  <c r="K3" i="4"/>
  <c r="J28" i="4"/>
  <c r="J20" i="4"/>
  <c r="J26" i="4"/>
  <c r="J12" i="4"/>
  <c r="J15" i="4"/>
  <c r="P16" i="6"/>
  <c r="P9" i="6"/>
  <c r="P10" i="6"/>
  <c r="P17" i="6"/>
  <c r="P14" i="6"/>
  <c r="Q10" i="6"/>
  <c r="Q9" i="6"/>
  <c r="R3" i="6"/>
  <c r="R20" i="6"/>
  <c r="Q17" i="6"/>
  <c r="Q14" i="6"/>
  <c r="Q16" i="6"/>
  <c r="N31" i="5"/>
  <c r="N22" i="5"/>
  <c r="N34" i="5"/>
  <c r="Q3" i="5"/>
  <c r="N29" i="5"/>
  <c r="N9" i="5"/>
  <c r="N30" i="5"/>
  <c r="N14" i="5"/>
  <c r="N23" i="5"/>
  <c r="N37" i="5"/>
  <c r="P3" i="5"/>
  <c r="N15" i="5"/>
  <c r="N39" i="5"/>
  <c r="N20" i="5"/>
  <c r="N40" i="5"/>
  <c r="N27" i="5"/>
  <c r="N13" i="5"/>
  <c r="N18" i="5"/>
  <c r="N17" i="5"/>
  <c r="N33" i="5"/>
  <c r="O3" i="5"/>
  <c r="N10" i="5"/>
  <c r="N38" i="5"/>
  <c r="N36" i="5"/>
  <c r="L24" i="4"/>
  <c r="L16" i="4"/>
  <c r="L15" i="4"/>
  <c r="L10" i="4"/>
  <c r="L26" i="4"/>
  <c r="L27" i="4"/>
  <c r="L12" i="4"/>
  <c r="L29" i="4"/>
  <c r="L18" i="4"/>
  <c r="L11" i="4"/>
  <c r="L9" i="4"/>
  <c r="L20" i="4"/>
  <c r="L28" i="4"/>
  <c r="L13" i="4"/>
  <c r="K26" i="4"/>
  <c r="K29" i="4"/>
  <c r="K13" i="4"/>
  <c r="K28" i="4"/>
  <c r="K16" i="4"/>
  <c r="K15" i="4"/>
  <c r="K11" i="4"/>
  <c r="K9" i="4"/>
  <c r="K27" i="4"/>
  <c r="K10" i="4"/>
  <c r="K12" i="4"/>
  <c r="K18" i="4"/>
  <c r="K20" i="4"/>
  <c r="K24" i="4"/>
  <c r="M9" i="4"/>
  <c r="M16" i="4"/>
  <c r="M13" i="4"/>
  <c r="M20" i="4"/>
  <c r="M18" i="4"/>
  <c r="M10" i="4"/>
  <c r="N3" i="4"/>
  <c r="M12" i="4"/>
  <c r="M24" i="4"/>
  <c r="M15" i="4"/>
  <c r="M11" i="4"/>
  <c r="M27" i="4"/>
  <c r="M26" i="4"/>
  <c r="M29" i="4"/>
  <c r="M28" i="4"/>
  <c r="R14" i="6"/>
  <c r="R10" i="6"/>
  <c r="R17" i="6"/>
  <c r="R16" i="6"/>
  <c r="R9" i="6"/>
  <c r="T3" i="6"/>
  <c r="T20" i="6"/>
  <c r="U3" i="6"/>
  <c r="U20" i="6"/>
  <c r="S3" i="6"/>
  <c r="S20" i="6"/>
  <c r="P27" i="5"/>
  <c r="P23" i="5"/>
  <c r="P30" i="5"/>
  <c r="P36" i="5"/>
  <c r="P33" i="5"/>
  <c r="P13" i="5"/>
  <c r="P40" i="5"/>
  <c r="P18" i="5"/>
  <c r="P10" i="5"/>
  <c r="P14" i="5"/>
  <c r="P29" i="5"/>
  <c r="P9" i="5"/>
  <c r="P22" i="5"/>
  <c r="P37" i="5"/>
  <c r="P20" i="5"/>
  <c r="P15" i="5"/>
  <c r="P38" i="5"/>
  <c r="P34" i="5"/>
  <c r="P31" i="5"/>
  <c r="P39" i="5"/>
  <c r="P17" i="5"/>
  <c r="O31" i="5"/>
  <c r="O33" i="5"/>
  <c r="O39" i="5"/>
  <c r="O37" i="5"/>
  <c r="O17" i="5"/>
  <c r="O10" i="5"/>
  <c r="O34" i="5"/>
  <c r="O23" i="5"/>
  <c r="O15" i="5"/>
  <c r="O27" i="5"/>
  <c r="O36" i="5"/>
  <c r="O14" i="5"/>
  <c r="O29" i="5"/>
  <c r="O18" i="5"/>
  <c r="O13" i="5"/>
  <c r="O40" i="5"/>
  <c r="O38" i="5"/>
  <c r="O20" i="5"/>
  <c r="O30" i="5"/>
  <c r="O22" i="5"/>
  <c r="O9" i="5"/>
  <c r="Q14" i="5"/>
  <c r="Q40" i="5"/>
  <c r="Q22" i="5"/>
  <c r="Q31" i="5"/>
  <c r="Q17" i="5"/>
  <c r="Q39" i="5"/>
  <c r="Q38" i="5"/>
  <c r="Q29" i="5"/>
  <c r="Q36" i="5"/>
  <c r="Q20" i="5"/>
  <c r="Q10" i="5"/>
  <c r="R3" i="5"/>
  <c r="Q37" i="5"/>
  <c r="Q13" i="5"/>
  <c r="Q34" i="5"/>
  <c r="Q30" i="5"/>
  <c r="Q15" i="5"/>
  <c r="Q33" i="5"/>
  <c r="Q23" i="5"/>
  <c r="Q18" i="5"/>
  <c r="Q9" i="5"/>
  <c r="Q27" i="5"/>
  <c r="N9" i="4"/>
  <c r="N24" i="4"/>
  <c r="N10" i="4"/>
  <c r="P3" i="4"/>
  <c r="N16" i="4"/>
  <c r="N13" i="4"/>
  <c r="Q3" i="4"/>
  <c r="N26" i="4"/>
  <c r="N18" i="4"/>
  <c r="N11" i="4"/>
  <c r="N20" i="4"/>
  <c r="N15" i="4"/>
  <c r="N29" i="4"/>
  <c r="N27" i="4"/>
  <c r="N28" i="4"/>
  <c r="O3" i="4"/>
  <c r="N12" i="4"/>
  <c r="U14" i="6"/>
  <c r="U10" i="6"/>
  <c r="U16" i="6"/>
  <c r="V3" i="6"/>
  <c r="V20" i="6"/>
  <c r="U17" i="6"/>
  <c r="U9" i="6"/>
  <c r="T9" i="6"/>
  <c r="T10" i="6"/>
  <c r="T14" i="6"/>
  <c r="T17" i="6"/>
  <c r="T16" i="6"/>
  <c r="S14" i="6"/>
  <c r="S10" i="6"/>
  <c r="S17" i="6"/>
  <c r="S16" i="6"/>
  <c r="S9" i="6"/>
  <c r="R29" i="5"/>
  <c r="R33" i="5"/>
  <c r="R15" i="5"/>
  <c r="R14" i="5"/>
  <c r="R13" i="5"/>
  <c r="R36" i="5"/>
  <c r="R10" i="5"/>
  <c r="R38" i="5"/>
  <c r="R34" i="5"/>
  <c r="R39" i="5"/>
  <c r="R18" i="5"/>
  <c r="R22" i="5"/>
  <c r="S3" i="5"/>
  <c r="R40" i="5"/>
  <c r="T3" i="5"/>
  <c r="U3" i="5"/>
  <c r="R37" i="5"/>
  <c r="R17" i="5"/>
  <c r="R31" i="5"/>
  <c r="R27" i="5"/>
  <c r="R20" i="5"/>
  <c r="R30" i="5"/>
  <c r="R9" i="5"/>
  <c r="R23" i="5"/>
  <c r="O28" i="4"/>
  <c r="O29" i="4"/>
  <c r="O27" i="4"/>
  <c r="O13" i="4"/>
  <c r="O9" i="4"/>
  <c r="O24" i="4"/>
  <c r="O20" i="4"/>
  <c r="O15" i="4"/>
  <c r="O16" i="4"/>
  <c r="O12" i="4"/>
  <c r="O10" i="4"/>
  <c r="O18" i="4"/>
  <c r="O11" i="4"/>
  <c r="O26" i="4"/>
  <c r="P16" i="4"/>
  <c r="P10" i="4"/>
  <c r="P11" i="4"/>
  <c r="P9" i="4"/>
  <c r="P15" i="4"/>
  <c r="P26" i="4"/>
  <c r="P28" i="4"/>
  <c r="P18" i="4"/>
  <c r="P13" i="4"/>
  <c r="P12" i="4"/>
  <c r="P29" i="4"/>
  <c r="P27" i="4"/>
  <c r="P24" i="4"/>
  <c r="P20" i="4"/>
  <c r="Q28" i="4"/>
  <c r="Q16" i="4"/>
  <c r="Q10" i="4"/>
  <c r="Q20" i="4"/>
  <c r="Q9" i="4"/>
  <c r="Q18" i="4"/>
  <c r="Q15" i="4"/>
  <c r="Q26" i="4"/>
  <c r="Q24" i="4"/>
  <c r="Q13" i="4"/>
  <c r="Q27" i="4"/>
  <c r="Q11" i="4"/>
  <c r="Q29" i="4"/>
  <c r="Q12" i="4"/>
  <c r="R3" i="4"/>
  <c r="V16" i="6"/>
  <c r="Y3" i="6"/>
  <c r="Y20" i="6"/>
  <c r="V17" i="6"/>
  <c r="V9" i="6"/>
  <c r="V14" i="6"/>
  <c r="W3" i="6"/>
  <c r="W20" i="6"/>
  <c r="V10" i="6"/>
  <c r="X3" i="6"/>
  <c r="X20" i="6"/>
  <c r="T15" i="5"/>
  <c r="T40" i="5"/>
  <c r="T39" i="5"/>
  <c r="T30" i="5"/>
  <c r="T10" i="5"/>
  <c r="T14" i="5"/>
  <c r="T20" i="5"/>
  <c r="T22" i="5"/>
  <c r="T31" i="5"/>
  <c r="T9" i="5"/>
  <c r="T13" i="5"/>
  <c r="T17" i="5"/>
  <c r="T38" i="5"/>
  <c r="T37" i="5"/>
  <c r="T34" i="5"/>
  <c r="T18" i="5"/>
  <c r="T27" i="5"/>
  <c r="T29" i="5"/>
  <c r="T33" i="5"/>
  <c r="T23" i="5"/>
  <c r="T36" i="5"/>
  <c r="S20" i="5"/>
  <c r="S31" i="5"/>
  <c r="S9" i="5"/>
  <c r="S15" i="5"/>
  <c r="S39" i="5"/>
  <c r="S18" i="5"/>
  <c r="S10" i="5"/>
  <c r="S36" i="5"/>
  <c r="S30" i="5"/>
  <c r="S17" i="5"/>
  <c r="S14" i="5"/>
  <c r="S23" i="5"/>
  <c r="S29" i="5"/>
  <c r="S13" i="5"/>
  <c r="S27" i="5"/>
  <c r="S34" i="5"/>
  <c r="S22" i="5"/>
  <c r="S38" i="5"/>
  <c r="S37" i="5"/>
  <c r="S40" i="5"/>
  <c r="S33" i="5"/>
  <c r="U15" i="5"/>
  <c r="U39" i="5"/>
  <c r="U40" i="5"/>
  <c r="U17" i="5"/>
  <c r="U18" i="5"/>
  <c r="U9" i="5"/>
  <c r="U27" i="5"/>
  <c r="U36" i="5"/>
  <c r="U22" i="5"/>
  <c r="U13" i="5"/>
  <c r="U14" i="5"/>
  <c r="U29" i="5"/>
  <c r="U37" i="5"/>
  <c r="U10" i="5"/>
  <c r="U30" i="5"/>
  <c r="U34" i="5"/>
  <c r="U31" i="5"/>
  <c r="U20" i="5"/>
  <c r="V3" i="5"/>
  <c r="U23" i="5"/>
  <c r="U33" i="5"/>
  <c r="U38" i="5"/>
  <c r="R16" i="4"/>
  <c r="R13" i="4"/>
  <c r="U3" i="4"/>
  <c r="R20" i="4"/>
  <c r="R18" i="4"/>
  <c r="R11" i="4"/>
  <c r="R27" i="4"/>
  <c r="S3" i="4"/>
  <c r="R28" i="4"/>
  <c r="R29" i="4"/>
  <c r="R26" i="4"/>
  <c r="R12" i="4"/>
  <c r="R15" i="4"/>
  <c r="T3" i="4"/>
  <c r="R9" i="4"/>
  <c r="R10" i="4"/>
  <c r="R24" i="4"/>
  <c r="W10" i="6"/>
  <c r="W17" i="6"/>
  <c r="W14" i="6"/>
  <c r="W16" i="6"/>
  <c r="W9" i="6"/>
  <c r="Y14" i="6"/>
  <c r="Y17" i="6"/>
  <c r="Z3" i="6"/>
  <c r="Z20" i="6"/>
  <c r="Y9" i="6"/>
  <c r="Y10" i="6"/>
  <c r="Y16" i="6"/>
  <c r="X14" i="6"/>
  <c r="X16" i="6"/>
  <c r="X17" i="6"/>
  <c r="X10" i="6"/>
  <c r="X9" i="6"/>
  <c r="V23" i="5"/>
  <c r="V14" i="5"/>
  <c r="V9" i="5"/>
  <c r="Y3" i="5"/>
  <c r="X3" i="5"/>
  <c r="V15" i="5"/>
  <c r="W3" i="5"/>
  <c r="V40" i="5"/>
  <c r="V37" i="5"/>
  <c r="V33" i="5"/>
  <c r="V22" i="5"/>
  <c r="V31" i="5"/>
  <c r="V13" i="5"/>
  <c r="V29" i="5"/>
  <c r="V17" i="5"/>
  <c r="V36" i="5"/>
  <c r="V10" i="5"/>
  <c r="V38" i="5"/>
  <c r="V34" i="5"/>
  <c r="V18" i="5"/>
  <c r="V20" i="5"/>
  <c r="V27" i="5"/>
  <c r="V30" i="5"/>
  <c r="V39" i="5"/>
  <c r="U16" i="4"/>
  <c r="U13" i="4"/>
  <c r="U27" i="4"/>
  <c r="U26" i="4"/>
  <c r="U18" i="4"/>
  <c r="V3" i="4"/>
  <c r="U12" i="4"/>
  <c r="U28" i="4"/>
  <c r="U24" i="4"/>
  <c r="U10" i="4"/>
  <c r="U20" i="4"/>
  <c r="U11" i="4"/>
  <c r="U9" i="4"/>
  <c r="U15" i="4"/>
  <c r="U29" i="4"/>
  <c r="S28" i="4"/>
  <c r="S24" i="4"/>
  <c r="S27" i="4"/>
  <c r="S13" i="4"/>
  <c r="S9" i="4"/>
  <c r="S16" i="4"/>
  <c r="S20" i="4"/>
  <c r="S15" i="4"/>
  <c r="S18" i="4"/>
  <c r="S12" i="4"/>
  <c r="S10" i="4"/>
  <c r="S26" i="4"/>
  <c r="S11" i="4"/>
  <c r="S29" i="4"/>
  <c r="T28" i="4"/>
  <c r="T29" i="4"/>
  <c r="T13" i="4"/>
  <c r="T12" i="4"/>
  <c r="T24" i="4"/>
  <c r="T9" i="4"/>
  <c r="T26" i="4"/>
  <c r="T20" i="4"/>
  <c r="T16" i="4"/>
  <c r="T10" i="4"/>
  <c r="T11" i="4"/>
  <c r="T18" i="4"/>
  <c r="T15" i="4"/>
  <c r="T27" i="4"/>
  <c r="AC3" i="6"/>
  <c r="AC20" i="6"/>
  <c r="Z14" i="6"/>
  <c r="AA3" i="6"/>
  <c r="AA20" i="6"/>
  <c r="AB3" i="6"/>
  <c r="AB20" i="6"/>
  <c r="Z10" i="6"/>
  <c r="Z16" i="6"/>
  <c r="Z9" i="6"/>
  <c r="Z17" i="6"/>
  <c r="W36" i="5"/>
  <c r="W17" i="5"/>
  <c r="W13" i="5"/>
  <c r="W14" i="5"/>
  <c r="W10" i="5"/>
  <c r="W20" i="5"/>
  <c r="W34" i="5"/>
  <c r="W31" i="5"/>
  <c r="W30" i="5"/>
  <c r="W27" i="5"/>
  <c r="W18" i="5"/>
  <c r="W23" i="5"/>
  <c r="W22" i="5"/>
  <c r="W9" i="5"/>
  <c r="W29" i="5"/>
  <c r="W15" i="5"/>
  <c r="W33" i="5"/>
  <c r="W40" i="5"/>
  <c r="W37" i="5"/>
  <c r="W38" i="5"/>
  <c r="W39" i="5"/>
  <c r="X18" i="5"/>
  <c r="X39" i="5"/>
  <c r="X36" i="5"/>
  <c r="X40" i="5"/>
  <c r="X34" i="5"/>
  <c r="X23" i="5"/>
  <c r="X33" i="5"/>
  <c r="X30" i="5"/>
  <c r="X22" i="5"/>
  <c r="X37" i="5"/>
  <c r="X9" i="5"/>
  <c r="X10" i="5"/>
  <c r="X20" i="5"/>
  <c r="X38" i="5"/>
  <c r="X31" i="5"/>
  <c r="X13" i="5"/>
  <c r="X14" i="5"/>
  <c r="X27" i="5"/>
  <c r="X29" i="5"/>
  <c r="X15" i="5"/>
  <c r="X17" i="5"/>
  <c r="Y33" i="5"/>
  <c r="Y15" i="5"/>
  <c r="Y9" i="5"/>
  <c r="Y37" i="5"/>
  <c r="Y22" i="5"/>
  <c r="Y40" i="5"/>
  <c r="Y39" i="5"/>
  <c r="Y10" i="5"/>
  <c r="Y27" i="5"/>
  <c r="Y18" i="5"/>
  <c r="Y13" i="5"/>
  <c r="Y38" i="5"/>
  <c r="Y31" i="5"/>
  <c r="Y14" i="5"/>
  <c r="Y17" i="5"/>
  <c r="Z3" i="5"/>
  <c r="Y34" i="5"/>
  <c r="Y29" i="5"/>
  <c r="Y20" i="5"/>
  <c r="Y36" i="5"/>
  <c r="Y23" i="5"/>
  <c r="Y30" i="5"/>
  <c r="V28" i="4"/>
  <c r="V29" i="4"/>
  <c r="V26" i="4"/>
  <c r="V12" i="4"/>
  <c r="W3" i="4"/>
  <c r="V9" i="4"/>
  <c r="V24" i="4"/>
  <c r="V10" i="4"/>
  <c r="X3" i="4"/>
  <c r="V16" i="4"/>
  <c r="V13" i="4"/>
  <c r="Y3" i="4"/>
  <c r="V20" i="4"/>
  <c r="V15" i="4"/>
  <c r="V18" i="4"/>
  <c r="V27" i="4"/>
  <c r="V11" i="4"/>
  <c r="AB9" i="6"/>
  <c r="AB16" i="6"/>
  <c r="AB10" i="6"/>
  <c r="AB14" i="6"/>
  <c r="AB17" i="6"/>
  <c r="AA14" i="6"/>
  <c r="AA10" i="6"/>
  <c r="AA9" i="6"/>
  <c r="AA16" i="6"/>
  <c r="AA17" i="6"/>
  <c r="AC9" i="6"/>
  <c r="AC14" i="6"/>
  <c r="AD3" i="6"/>
  <c r="AD20" i="6"/>
  <c r="AC17" i="6"/>
  <c r="AC10" i="6"/>
  <c r="AC16" i="6"/>
  <c r="Z13" i="5"/>
  <c r="Z9" i="5"/>
  <c r="Z39" i="5"/>
  <c r="Z34" i="5"/>
  <c r="Z27" i="5"/>
  <c r="Z10" i="5"/>
  <c r="Z18" i="5"/>
  <c r="Z15" i="5"/>
  <c r="Z30" i="5"/>
  <c r="Z29" i="5"/>
  <c r="Z17" i="5"/>
  <c r="AC3" i="5"/>
  <c r="Z37" i="5"/>
  <c r="AB3" i="5"/>
  <c r="Z33" i="5"/>
  <c r="Z38" i="5"/>
  <c r="Z31" i="5"/>
  <c r="Z36" i="5"/>
  <c r="Z14" i="5"/>
  <c r="Z20" i="5"/>
  <c r="AA3" i="5"/>
  <c r="Z23" i="5"/>
  <c r="Z40" i="5"/>
  <c r="Z22" i="5"/>
  <c r="Y28" i="4"/>
  <c r="Y24" i="4"/>
  <c r="Y10" i="4"/>
  <c r="Y20" i="4"/>
  <c r="Y9" i="4"/>
  <c r="Y29" i="4"/>
  <c r="Y15" i="4"/>
  <c r="Y26" i="4"/>
  <c r="Y16" i="4"/>
  <c r="Y13" i="4"/>
  <c r="Y27" i="4"/>
  <c r="Y11" i="4"/>
  <c r="Y12" i="4"/>
  <c r="Z3" i="4"/>
  <c r="Y18" i="4"/>
  <c r="X18" i="4"/>
  <c r="X15" i="4"/>
  <c r="X27" i="4"/>
  <c r="X28" i="4"/>
  <c r="X29" i="4"/>
  <c r="X13" i="4"/>
  <c r="X12" i="4"/>
  <c r="X24" i="4"/>
  <c r="X16" i="4"/>
  <c r="X26" i="4"/>
  <c r="X20" i="4"/>
  <c r="X9" i="4"/>
  <c r="X11" i="4"/>
  <c r="X10" i="4"/>
  <c r="W28" i="4"/>
  <c r="W16" i="4"/>
  <c r="W27" i="4"/>
  <c r="W13" i="4"/>
  <c r="W9" i="4"/>
  <c r="W18" i="4"/>
  <c r="W20" i="4"/>
  <c r="W15" i="4"/>
  <c r="W29" i="4"/>
  <c r="W12" i="4"/>
  <c r="W10" i="4"/>
  <c r="W24" i="4"/>
  <c r="W26" i="4"/>
  <c r="W11" i="4"/>
  <c r="AD9" i="6"/>
  <c r="AD10" i="6"/>
  <c r="AF3" i="6"/>
  <c r="AF20" i="6"/>
  <c r="AD17" i="6"/>
  <c r="AD16" i="6"/>
  <c r="AG3" i="6"/>
  <c r="AG20" i="6"/>
  <c r="AE3" i="6"/>
  <c r="AE20" i="6"/>
  <c r="AD14" i="6"/>
  <c r="AB15" i="5"/>
  <c r="AB10" i="5"/>
  <c r="AB17" i="5"/>
  <c r="AB29" i="5"/>
  <c r="AB36" i="5"/>
  <c r="AB9" i="5"/>
  <c r="AB30" i="5"/>
  <c r="AB38" i="5"/>
  <c r="AB40" i="5"/>
  <c r="AB14" i="5"/>
  <c r="AB22" i="5"/>
  <c r="AB18" i="5"/>
  <c r="AB39" i="5"/>
  <c r="AB27" i="5"/>
  <c r="AB33" i="5"/>
  <c r="AB31" i="5"/>
  <c r="AB34" i="5"/>
  <c r="AB23" i="5"/>
  <c r="AB37" i="5"/>
  <c r="AB13" i="5"/>
  <c r="AB20" i="5"/>
  <c r="AC30" i="5"/>
  <c r="AC20" i="5"/>
  <c r="AC23" i="5"/>
  <c r="AC17" i="5"/>
  <c r="AC18" i="5"/>
  <c r="AC13" i="5"/>
  <c r="AC9" i="5"/>
  <c r="AC40" i="5"/>
  <c r="AC34" i="5"/>
  <c r="AC39" i="5"/>
  <c r="AC27" i="5"/>
  <c r="AC29" i="5"/>
  <c r="AC22" i="5"/>
  <c r="AC31" i="5"/>
  <c r="AC15" i="5"/>
  <c r="AC37" i="5"/>
  <c r="AC33" i="5"/>
  <c r="AC38" i="5"/>
  <c r="AC36" i="5"/>
  <c r="AC10" i="5"/>
  <c r="AC14" i="5"/>
  <c r="AD3" i="5"/>
  <c r="AA27" i="5"/>
  <c r="AA17" i="5"/>
  <c r="AA14" i="5"/>
  <c r="AA15" i="5"/>
  <c r="AA40" i="5"/>
  <c r="AA13" i="5"/>
  <c r="AA36" i="5"/>
  <c r="AA29" i="5"/>
  <c r="AA18" i="5"/>
  <c r="AA22" i="5"/>
  <c r="AA23" i="5"/>
  <c r="AA31" i="5"/>
  <c r="AA9" i="5"/>
  <c r="AA34" i="5"/>
  <c r="AA10" i="5"/>
  <c r="AA39" i="5"/>
  <c r="AA38" i="5"/>
  <c r="AA37" i="5"/>
  <c r="AA30" i="5"/>
  <c r="AA33" i="5"/>
  <c r="AA20" i="5"/>
  <c r="Z28" i="4"/>
  <c r="Z29" i="4"/>
  <c r="Z27" i="4"/>
  <c r="Z12" i="4"/>
  <c r="Z15" i="4"/>
  <c r="Z16" i="4"/>
  <c r="Z13" i="4"/>
  <c r="AC3" i="4"/>
  <c r="Z20" i="4"/>
  <c r="Z24" i="4"/>
  <c r="AB3" i="4"/>
  <c r="Z11" i="4"/>
  <c r="AA3" i="4"/>
  <c r="Z18" i="4"/>
  <c r="Z26" i="4"/>
  <c r="Z9" i="4"/>
  <c r="Z10" i="4"/>
  <c r="AE16" i="6"/>
  <c r="AE9" i="6"/>
  <c r="AE10" i="6"/>
  <c r="AE14" i="6"/>
  <c r="AE17" i="6"/>
  <c r="AH3" i="6"/>
  <c r="AH20" i="6"/>
  <c r="AG9" i="6"/>
  <c r="AG14" i="6"/>
  <c r="AG10" i="6"/>
  <c r="AG17" i="6"/>
  <c r="AG16" i="6"/>
  <c r="AF17" i="6"/>
  <c r="AF10" i="6"/>
  <c r="AF9" i="6"/>
  <c r="AF16" i="6"/>
  <c r="AF14" i="6"/>
  <c r="AD15" i="5"/>
  <c r="AD40" i="5"/>
  <c r="AD23" i="5"/>
  <c r="AD13" i="5"/>
  <c r="AD39" i="5"/>
  <c r="AD29" i="5"/>
  <c r="AD37" i="5"/>
  <c r="AD34" i="5"/>
  <c r="AD22" i="5"/>
  <c r="AF3" i="5"/>
  <c r="AD33" i="5"/>
  <c r="AD18" i="5"/>
  <c r="AG3" i="5"/>
  <c r="AD36" i="5"/>
  <c r="AD31" i="5"/>
  <c r="AD17" i="5"/>
  <c r="AD14" i="5"/>
  <c r="AD30" i="5"/>
  <c r="AD10" i="5"/>
  <c r="AD38" i="5"/>
  <c r="AD27" i="5"/>
  <c r="AD20" i="5"/>
  <c r="AE3" i="5"/>
  <c r="AD9" i="5"/>
  <c r="AA16" i="4"/>
  <c r="AA11" i="4"/>
  <c r="AA26" i="4"/>
  <c r="AA9" i="4"/>
  <c r="AA29" i="4"/>
  <c r="AA20" i="4"/>
  <c r="AA15" i="4"/>
  <c r="AA18" i="4"/>
  <c r="AA13" i="4"/>
  <c r="AA12" i="4"/>
  <c r="AA24" i="4"/>
  <c r="AA10" i="4"/>
  <c r="AA28" i="4"/>
  <c r="AA27" i="4"/>
  <c r="AC24" i="4"/>
  <c r="AD3" i="4"/>
  <c r="AC12" i="4"/>
  <c r="AC9" i="4"/>
  <c r="AC16" i="4"/>
  <c r="AC15" i="4"/>
  <c r="AC18" i="4"/>
  <c r="AC27" i="4"/>
  <c r="AC29" i="4"/>
  <c r="AC20" i="4"/>
  <c r="AC28" i="4"/>
  <c r="AC10" i="4"/>
  <c r="AC26" i="4"/>
  <c r="AC13" i="4"/>
  <c r="AC11" i="4"/>
  <c r="AB28" i="4"/>
  <c r="AB16" i="4"/>
  <c r="AB24" i="4"/>
  <c r="AB10" i="4"/>
  <c r="AB11" i="4"/>
  <c r="AB29" i="4"/>
  <c r="AB15" i="4"/>
  <c r="AB26" i="4"/>
  <c r="AB18" i="4"/>
  <c r="AB27" i="4"/>
  <c r="AB20" i="4"/>
  <c r="AB12" i="4"/>
  <c r="AB9" i="4"/>
  <c r="AB13" i="4"/>
  <c r="AJ3" i="6"/>
  <c r="AJ20" i="6"/>
  <c r="AH10" i="6"/>
  <c r="AH16" i="6"/>
  <c r="AI3" i="6"/>
  <c r="AI20" i="6"/>
  <c r="AK3" i="6"/>
  <c r="AK20" i="6"/>
  <c r="AH17" i="6"/>
  <c r="AH9" i="6"/>
  <c r="AH14" i="6"/>
  <c r="AF22" i="5"/>
  <c r="AF14" i="5"/>
  <c r="AF34" i="5"/>
  <c r="AF37" i="5"/>
  <c r="AF23" i="5"/>
  <c r="AF13" i="5"/>
  <c r="AF27" i="5"/>
  <c r="AF29" i="5"/>
  <c r="AF20" i="5"/>
  <c r="AF17" i="5"/>
  <c r="AF10" i="5"/>
  <c r="AF38" i="5"/>
  <c r="AF36" i="5"/>
  <c r="AF18" i="5"/>
  <c r="AF15" i="5"/>
  <c r="AF31" i="5"/>
  <c r="AF40" i="5"/>
  <c r="AF30" i="5"/>
  <c r="AF39" i="5"/>
  <c r="AF33" i="5"/>
  <c r="AF9" i="5"/>
  <c r="AE38" i="5"/>
  <c r="AE10" i="5"/>
  <c r="AE36" i="5"/>
  <c r="AE34" i="5"/>
  <c r="AE33" i="5"/>
  <c r="AE15" i="5"/>
  <c r="AE9" i="5"/>
  <c r="AE20" i="5"/>
  <c r="AE22" i="5"/>
  <c r="AE31" i="5"/>
  <c r="AE30" i="5"/>
  <c r="AE23" i="5"/>
  <c r="AE13" i="5"/>
  <c r="AE40" i="5"/>
  <c r="AE14" i="5"/>
  <c r="AE29" i="5"/>
  <c r="AE17" i="5"/>
  <c r="AE18" i="5"/>
  <c r="AE27" i="5"/>
  <c r="AE39" i="5"/>
  <c r="AE37" i="5"/>
  <c r="AG27" i="5"/>
  <c r="AG31" i="5"/>
  <c r="AG40" i="5"/>
  <c r="AG22" i="5"/>
  <c r="AG23" i="5"/>
  <c r="AG34" i="5"/>
  <c r="AG18" i="5"/>
  <c r="AG15" i="5"/>
  <c r="AG37" i="5"/>
  <c r="AG14" i="5"/>
  <c r="AG33" i="5"/>
  <c r="AG30" i="5"/>
  <c r="AG36" i="5"/>
  <c r="AG17" i="5"/>
  <c r="AG13" i="5"/>
  <c r="AG20" i="5"/>
  <c r="AH3" i="5"/>
  <c r="AG9" i="5"/>
  <c r="AG38" i="5"/>
  <c r="AG39" i="5"/>
  <c r="AG29" i="5"/>
  <c r="AG10" i="5"/>
  <c r="AD28" i="4"/>
  <c r="AD29" i="4"/>
  <c r="AD26" i="4"/>
  <c r="AD12" i="4"/>
  <c r="AE3" i="4"/>
  <c r="AD9" i="4"/>
  <c r="AD24" i="4"/>
  <c r="AD10" i="4"/>
  <c r="AF3" i="4"/>
  <c r="AD18" i="4"/>
  <c r="AD11" i="4"/>
  <c r="AD27" i="4"/>
  <c r="AD15" i="4"/>
  <c r="AD20" i="4"/>
  <c r="AD16" i="4"/>
  <c r="AD13" i="4"/>
  <c r="AG3" i="4"/>
  <c r="AK16" i="6"/>
  <c r="AK9" i="6"/>
  <c r="AK10" i="6"/>
  <c r="AK14" i="6"/>
  <c r="AL3" i="6"/>
  <c r="AL20" i="6"/>
  <c r="AK17" i="6"/>
  <c r="AI10" i="6"/>
  <c r="AI14" i="6"/>
  <c r="AI16" i="6"/>
  <c r="AI17" i="6"/>
  <c r="AI9" i="6"/>
  <c r="AJ14" i="6"/>
  <c r="AJ17" i="6"/>
  <c r="AJ9" i="6"/>
  <c r="AJ10" i="6"/>
  <c r="AJ16" i="6"/>
  <c r="AH14" i="5"/>
  <c r="AK3" i="5"/>
  <c r="AH33" i="5"/>
  <c r="AH23" i="5"/>
  <c r="AJ3" i="5"/>
  <c r="AH18" i="5"/>
  <c r="AH31" i="5"/>
  <c r="AH34" i="5"/>
  <c r="AH29" i="5"/>
  <c r="AH30" i="5"/>
  <c r="AH10" i="5"/>
  <c r="AH38" i="5"/>
  <c r="AH27" i="5"/>
  <c r="AH13" i="5"/>
  <c r="AH37" i="5"/>
  <c r="AI3" i="5"/>
  <c r="AH9" i="5"/>
  <c r="AH36" i="5"/>
  <c r="AH20" i="5"/>
  <c r="AH39" i="5"/>
  <c r="AH22" i="5"/>
  <c r="AH15" i="5"/>
  <c r="AH40" i="5"/>
  <c r="AH17" i="5"/>
  <c r="AG9" i="4"/>
  <c r="AG18" i="4"/>
  <c r="AG15" i="4"/>
  <c r="AG11" i="4"/>
  <c r="AG24" i="4"/>
  <c r="AG13" i="4"/>
  <c r="AG27" i="4"/>
  <c r="AG26" i="4"/>
  <c r="AG28" i="4"/>
  <c r="AG16" i="4"/>
  <c r="AG10" i="4"/>
  <c r="AG20" i="4"/>
  <c r="AH3" i="4"/>
  <c r="AG12" i="4"/>
  <c r="AG29" i="4"/>
  <c r="AF16" i="4"/>
  <c r="AF10" i="4"/>
  <c r="AF11" i="4"/>
  <c r="AF9" i="4"/>
  <c r="AF15" i="4"/>
  <c r="AF27" i="4"/>
  <c r="AF24" i="4"/>
  <c r="AF29" i="4"/>
  <c r="AF26" i="4"/>
  <c r="AF20" i="4"/>
  <c r="AF13" i="4"/>
  <c r="AF12" i="4"/>
  <c r="AF28" i="4"/>
  <c r="AF18" i="4"/>
  <c r="AE16" i="4"/>
  <c r="AE12" i="4"/>
  <c r="AE10" i="4"/>
  <c r="AE18" i="4"/>
  <c r="AE11" i="4"/>
  <c r="AE26" i="4"/>
  <c r="AE9" i="4"/>
  <c r="AE24" i="4"/>
  <c r="AE20" i="4"/>
  <c r="AE15" i="4"/>
  <c r="AE28" i="4"/>
  <c r="AE29" i="4"/>
  <c r="AE27" i="4"/>
  <c r="AE13" i="4"/>
  <c r="AL9" i="6"/>
  <c r="AN3" i="6"/>
  <c r="AN20" i="6"/>
  <c r="AL17" i="6"/>
  <c r="AO3" i="6"/>
  <c r="AO20" i="6"/>
  <c r="AL14" i="6"/>
  <c r="AL16" i="6"/>
  <c r="AL10" i="6"/>
  <c r="AM3" i="6"/>
  <c r="AM20" i="6"/>
  <c r="AI39" i="5"/>
  <c r="AI17" i="5"/>
  <c r="AI9" i="5"/>
  <c r="AI18" i="5"/>
  <c r="AI13" i="5"/>
  <c r="AI31" i="5"/>
  <c r="AI33" i="5"/>
  <c r="AI23" i="5"/>
  <c r="AI10" i="5"/>
  <c r="AI27" i="5"/>
  <c r="AI20" i="5"/>
  <c r="AI29" i="5"/>
  <c r="AI36" i="5"/>
  <c r="AI30" i="5"/>
  <c r="AI34" i="5"/>
  <c r="AI38" i="5"/>
  <c r="AI15" i="5"/>
  <c r="AI22" i="5"/>
  <c r="AI14" i="5"/>
  <c r="AI40" i="5"/>
  <c r="AI37" i="5"/>
  <c r="AK29" i="5"/>
  <c r="AK10" i="5"/>
  <c r="AK34" i="5"/>
  <c r="AK13" i="5"/>
  <c r="AK27" i="5"/>
  <c r="AK31" i="5"/>
  <c r="AK38" i="5"/>
  <c r="AK17" i="5"/>
  <c r="AL3" i="5"/>
  <c r="AK18" i="5"/>
  <c r="AK36" i="5"/>
  <c r="AK14" i="5"/>
  <c r="AK39" i="5"/>
  <c r="AK23" i="5"/>
  <c r="AK15" i="5"/>
  <c r="AK33" i="5"/>
  <c r="AK22" i="5"/>
  <c r="AK20" i="5"/>
  <c r="AK37" i="5"/>
  <c r="AK30" i="5"/>
  <c r="AK9" i="5"/>
  <c r="AK40" i="5"/>
  <c r="AJ17" i="5"/>
  <c r="AJ18" i="5"/>
  <c r="AJ23" i="5"/>
  <c r="AJ38" i="5"/>
  <c r="AJ40" i="5"/>
  <c r="AJ36" i="5"/>
  <c r="AJ13" i="5"/>
  <c r="AJ31" i="5"/>
  <c r="AJ39" i="5"/>
  <c r="AJ29" i="5"/>
  <c r="AJ10" i="5"/>
  <c r="AJ37" i="5"/>
  <c r="AJ33" i="5"/>
  <c r="AJ27" i="5"/>
  <c r="AJ30" i="5"/>
  <c r="AJ22" i="5"/>
  <c r="AJ9" i="5"/>
  <c r="AJ34" i="5"/>
  <c r="AJ14" i="5"/>
  <c r="AJ15" i="5"/>
  <c r="AJ20" i="5"/>
  <c r="AH18" i="4"/>
  <c r="AH11" i="4"/>
  <c r="AH26" i="4"/>
  <c r="AI3" i="4"/>
  <c r="AH28" i="4"/>
  <c r="AH29" i="4"/>
  <c r="AH27" i="4"/>
  <c r="AH12" i="4"/>
  <c r="AH15" i="4"/>
  <c r="AH16" i="4"/>
  <c r="AH13" i="4"/>
  <c r="AK3" i="4"/>
  <c r="AH20" i="4"/>
  <c r="AJ3" i="4"/>
  <c r="AH9" i="4"/>
  <c r="AH24" i="4"/>
  <c r="AH10" i="4"/>
  <c r="AP3" i="6"/>
  <c r="AP20" i="6"/>
  <c r="AO9" i="6"/>
  <c r="AO14" i="6"/>
  <c r="AO10" i="6"/>
  <c r="AO16" i="6"/>
  <c r="AO17" i="6"/>
  <c r="AN10" i="6"/>
  <c r="AN16" i="6"/>
  <c r="AN9" i="6"/>
  <c r="AN14" i="6"/>
  <c r="AN17" i="6"/>
  <c r="AM16" i="6"/>
  <c r="AM17" i="6"/>
  <c r="AM9" i="6"/>
  <c r="AM10" i="6"/>
  <c r="AM14" i="6"/>
  <c r="AL15" i="5"/>
  <c r="AL40" i="5"/>
  <c r="AL33" i="5"/>
  <c r="AL23" i="5"/>
  <c r="AL38" i="5"/>
  <c r="AM3" i="5"/>
  <c r="AL22" i="5"/>
  <c r="AL39" i="5"/>
  <c r="AL34" i="5"/>
  <c r="AL31" i="5"/>
  <c r="AL10" i="5"/>
  <c r="AL29" i="5"/>
  <c r="AL20" i="5"/>
  <c r="AL36" i="5"/>
  <c r="AL9" i="5"/>
  <c r="AL17" i="5"/>
  <c r="AL13" i="5"/>
  <c r="AN3" i="5"/>
  <c r="AL14" i="5"/>
  <c r="AO3" i="5"/>
  <c r="AL30" i="5"/>
  <c r="AL27" i="5"/>
  <c r="AL37" i="5"/>
  <c r="AL18" i="5"/>
  <c r="AK28" i="4"/>
  <c r="AK24" i="4"/>
  <c r="AK10" i="4"/>
  <c r="AK20" i="4"/>
  <c r="AK9" i="4"/>
  <c r="AK29" i="4"/>
  <c r="AK15" i="4"/>
  <c r="AK11" i="4"/>
  <c r="AK18" i="4"/>
  <c r="AL3" i="4"/>
  <c r="AK12" i="4"/>
  <c r="AK27" i="4"/>
  <c r="AK26" i="4"/>
  <c r="AK16" i="4"/>
  <c r="AK13" i="4"/>
  <c r="AI29" i="4"/>
  <c r="AI11" i="4"/>
  <c r="AI26" i="4"/>
  <c r="AI28" i="4"/>
  <c r="AI24" i="4"/>
  <c r="AI27" i="4"/>
  <c r="AI13" i="4"/>
  <c r="AI18" i="4"/>
  <c r="AI12" i="4"/>
  <c r="AI10" i="4"/>
  <c r="AI15" i="4"/>
  <c r="AI9" i="4"/>
  <c r="AI16" i="4"/>
  <c r="AI20" i="4"/>
  <c r="AJ28" i="4"/>
  <c r="AJ29" i="4"/>
  <c r="AJ13" i="4"/>
  <c r="AJ20" i="4"/>
  <c r="AJ24" i="4"/>
  <c r="AJ9" i="4"/>
  <c r="AJ27" i="4"/>
  <c r="AJ26" i="4"/>
  <c r="AJ18" i="4"/>
  <c r="AJ15" i="4"/>
  <c r="AJ11" i="4"/>
  <c r="AJ10" i="4"/>
  <c r="AJ12" i="4"/>
  <c r="AJ16" i="4"/>
  <c r="AQ3" i="6"/>
  <c r="AQ20" i="6"/>
  <c r="AP16" i="6"/>
  <c r="AP10" i="6"/>
  <c r="AR3" i="6"/>
  <c r="AR20" i="6"/>
  <c r="AP17" i="6"/>
  <c r="AP14" i="6"/>
  <c r="AS3" i="6"/>
  <c r="AS20" i="6"/>
  <c r="AP9" i="6"/>
  <c r="AO14" i="5"/>
  <c r="AO36" i="5"/>
  <c r="AO33" i="5"/>
  <c r="AO20" i="5"/>
  <c r="AO37" i="5"/>
  <c r="AO22" i="5"/>
  <c r="AO31" i="5"/>
  <c r="AO40" i="5"/>
  <c r="AO29" i="5"/>
  <c r="AO17" i="5"/>
  <c r="AO9" i="5"/>
  <c r="AO23" i="5"/>
  <c r="AO38" i="5"/>
  <c r="AO13" i="5"/>
  <c r="AO30" i="5"/>
  <c r="AO15" i="5"/>
  <c r="AP3" i="5"/>
  <c r="AO34" i="5"/>
  <c r="AO27" i="5"/>
  <c r="AO18" i="5"/>
  <c r="AO10" i="5"/>
  <c r="AO39" i="5"/>
  <c r="AN34" i="5"/>
  <c r="AN20" i="5"/>
  <c r="AN23" i="5"/>
  <c r="AN39" i="5"/>
  <c r="AN30" i="5"/>
  <c r="AN27" i="5"/>
  <c r="AN31" i="5"/>
  <c r="AN17" i="5"/>
  <c r="AN40" i="5"/>
  <c r="AN36" i="5"/>
  <c r="AN22" i="5"/>
  <c r="AN13" i="5"/>
  <c r="AN10" i="5"/>
  <c r="AN14" i="5"/>
  <c r="AN38" i="5"/>
  <c r="AN33" i="5"/>
  <c r="AN37" i="5"/>
  <c r="AN9" i="5"/>
  <c r="AN29" i="5"/>
  <c r="AN18" i="5"/>
  <c r="AN15" i="5"/>
  <c r="AM23" i="5"/>
  <c r="AM13" i="5"/>
  <c r="AM14" i="5"/>
  <c r="AM27" i="5"/>
  <c r="AM30" i="5"/>
  <c r="AM34" i="5"/>
  <c r="AM40" i="5"/>
  <c r="AM17" i="5"/>
  <c r="AM37" i="5"/>
  <c r="AM18" i="5"/>
  <c r="AM20" i="5"/>
  <c r="AM9" i="5"/>
  <c r="AM38" i="5"/>
  <c r="AM39" i="5"/>
  <c r="AM36" i="5"/>
  <c r="AM29" i="5"/>
  <c r="AM15" i="5"/>
  <c r="AM31" i="5"/>
  <c r="AM33" i="5"/>
  <c r="AM22" i="5"/>
  <c r="AM10" i="5"/>
  <c r="AL28" i="4"/>
  <c r="AL29" i="4"/>
  <c r="AN3" i="4"/>
  <c r="AL26" i="4"/>
  <c r="AL27" i="4"/>
  <c r="AL9" i="4"/>
  <c r="AL24" i="4"/>
  <c r="AL20" i="4"/>
  <c r="AM3" i="4"/>
  <c r="AL18" i="4"/>
  <c r="AL12" i="4"/>
  <c r="AL11" i="4"/>
  <c r="AO3" i="4"/>
  <c r="AL10" i="4"/>
  <c r="AL13" i="4"/>
  <c r="AL15" i="4"/>
  <c r="AL16" i="4"/>
  <c r="AQ17" i="6"/>
  <c r="AQ9" i="6"/>
  <c r="AQ16" i="6"/>
  <c r="AQ10" i="6"/>
  <c r="AQ14" i="6"/>
  <c r="AS17" i="6"/>
  <c r="AT3" i="6"/>
  <c r="AT20" i="6"/>
  <c r="AS9" i="6"/>
  <c r="AS10" i="6"/>
  <c r="AS14" i="6"/>
  <c r="AS16" i="6"/>
  <c r="AR9" i="6"/>
  <c r="AR17" i="6"/>
  <c r="AR14" i="6"/>
  <c r="AR16" i="6"/>
  <c r="AR10" i="6"/>
  <c r="AP13" i="5"/>
  <c r="AP9" i="5"/>
  <c r="AP30" i="5"/>
  <c r="AP17" i="5"/>
  <c r="AP39" i="5"/>
  <c r="AP15" i="5"/>
  <c r="AP29" i="5"/>
  <c r="AP37" i="5"/>
  <c r="AP23" i="5"/>
  <c r="AR3" i="5"/>
  <c r="AP33" i="5"/>
  <c r="AP20" i="5"/>
  <c r="AP10" i="5"/>
  <c r="AP31" i="5"/>
  <c r="AP36" i="5"/>
  <c r="AP40" i="5"/>
  <c r="AP27" i="5"/>
  <c r="AP38" i="5"/>
  <c r="AP18" i="5"/>
  <c r="AP14" i="5"/>
  <c r="AS3" i="5"/>
  <c r="AP34" i="5"/>
  <c r="AP22" i="5"/>
  <c r="AQ3" i="5"/>
  <c r="AN9" i="4"/>
  <c r="AN11" i="4"/>
  <c r="AN12" i="4"/>
  <c r="AN18" i="4"/>
  <c r="AN27" i="4"/>
  <c r="AN20" i="4"/>
  <c r="AN24" i="4"/>
  <c r="AN16" i="4"/>
  <c r="AN15" i="4"/>
  <c r="AN26" i="4"/>
  <c r="AN10" i="4"/>
  <c r="AN13" i="4"/>
  <c r="AN28" i="4"/>
  <c r="AN29" i="4"/>
  <c r="AO18" i="4"/>
  <c r="AO20" i="4"/>
  <c r="AO26" i="4"/>
  <c r="AO28" i="4"/>
  <c r="AO24" i="4"/>
  <c r="AO13" i="4"/>
  <c r="AO10" i="4"/>
  <c r="AO16" i="4"/>
  <c r="AO12" i="4"/>
  <c r="AO11" i="4"/>
  <c r="AO27" i="4"/>
  <c r="AO29" i="4"/>
  <c r="AP3" i="4"/>
  <c r="AO15" i="4"/>
  <c r="AO9" i="4"/>
  <c r="AM28" i="4"/>
  <c r="AM16" i="4"/>
  <c r="AM12" i="4"/>
  <c r="AM15" i="4"/>
  <c r="AM9" i="4"/>
  <c r="AM18" i="4"/>
  <c r="AM11" i="4"/>
  <c r="AM20" i="4"/>
  <c r="AM24" i="4"/>
  <c r="AM26" i="4"/>
  <c r="AM13" i="4"/>
  <c r="AM10" i="4"/>
  <c r="AM27" i="4"/>
  <c r="AM29" i="4"/>
  <c r="AV3" i="6"/>
  <c r="AV20" i="6"/>
  <c r="AT16" i="6"/>
  <c r="AW3" i="6"/>
  <c r="AW20" i="6"/>
  <c r="AU3" i="6"/>
  <c r="AU20" i="6"/>
  <c r="AT9" i="6"/>
  <c r="AT14" i="6"/>
  <c r="AT10" i="6"/>
  <c r="AT17" i="6"/>
  <c r="AS10" i="5"/>
  <c r="AS27" i="5"/>
  <c r="AS37" i="5"/>
  <c r="AS29" i="5"/>
  <c r="AS38" i="5"/>
  <c r="AS34" i="5"/>
  <c r="AS20" i="5"/>
  <c r="AS17" i="5"/>
  <c r="AT3" i="5"/>
  <c r="AS39" i="5"/>
  <c r="AS15" i="5"/>
  <c r="AS31" i="5"/>
  <c r="AS36" i="5"/>
  <c r="AS18" i="5"/>
  <c r="AS22" i="5"/>
  <c r="AS23" i="5"/>
  <c r="AS13" i="5"/>
  <c r="AS33" i="5"/>
  <c r="AS30" i="5"/>
  <c r="AS14" i="5"/>
  <c r="AS9" i="5"/>
  <c r="AS40" i="5"/>
  <c r="AR20" i="5"/>
  <c r="AR17" i="5"/>
  <c r="AR33" i="5"/>
  <c r="AR34" i="5"/>
  <c r="AR9" i="5"/>
  <c r="AR37" i="5"/>
  <c r="AR18" i="5"/>
  <c r="AR10" i="5"/>
  <c r="AR27" i="5"/>
  <c r="AR38" i="5"/>
  <c r="AR15" i="5"/>
  <c r="AR30" i="5"/>
  <c r="AR36" i="5"/>
  <c r="AR14" i="5"/>
  <c r="AR13" i="5"/>
  <c r="AR29" i="5"/>
  <c r="AR22" i="5"/>
  <c r="AR31" i="5"/>
  <c r="AR23" i="5"/>
  <c r="AR39" i="5"/>
  <c r="AR40" i="5"/>
  <c r="AQ30" i="5"/>
  <c r="AQ22" i="5"/>
  <c r="AQ18" i="5"/>
  <c r="AQ17" i="5"/>
  <c r="AQ34" i="5"/>
  <c r="AQ13" i="5"/>
  <c r="AQ40" i="5"/>
  <c r="AQ29" i="5"/>
  <c r="AQ23" i="5"/>
  <c r="AQ20" i="5"/>
  <c r="AQ38" i="5"/>
  <c r="AQ10" i="5"/>
  <c r="AQ9" i="5"/>
  <c r="AQ33" i="5"/>
  <c r="AQ36" i="5"/>
  <c r="AQ37" i="5"/>
  <c r="AQ27" i="5"/>
  <c r="AQ39" i="5"/>
  <c r="AQ15" i="5"/>
  <c r="AQ14" i="5"/>
  <c r="AQ31" i="5"/>
  <c r="AP9" i="4"/>
  <c r="AP24" i="4"/>
  <c r="AP13" i="4"/>
  <c r="AP15" i="4"/>
  <c r="AP16" i="4"/>
  <c r="AP12" i="4"/>
  <c r="AP11" i="4"/>
  <c r="AP10" i="4"/>
  <c r="AP28" i="4"/>
  <c r="AP20" i="4"/>
  <c r="AP26" i="4"/>
  <c r="AP18" i="4"/>
  <c r="AP27" i="4"/>
  <c r="AP29" i="4"/>
  <c r="AQ3" i="4"/>
  <c r="AR3" i="4"/>
  <c r="AS3" i="4"/>
  <c r="AW16" i="6"/>
  <c r="AW17" i="6"/>
  <c r="AX3" i="6"/>
  <c r="AX20" i="6"/>
  <c r="AW9" i="6"/>
  <c r="AW10" i="6"/>
  <c r="AW14" i="6"/>
  <c r="AV14" i="6"/>
  <c r="AV16" i="6"/>
  <c r="AV10" i="6"/>
  <c r="AV17" i="6"/>
  <c r="AV9" i="6"/>
  <c r="AU17" i="6"/>
  <c r="AU10" i="6"/>
  <c r="AU14" i="6"/>
  <c r="AU16" i="6"/>
  <c r="AU9" i="6"/>
  <c r="AT23" i="5"/>
  <c r="AT13" i="5"/>
  <c r="AT39" i="5"/>
  <c r="AT37" i="5"/>
  <c r="AT20" i="5"/>
  <c r="AT9" i="5"/>
  <c r="AT33" i="5"/>
  <c r="AT18" i="5"/>
  <c r="AW3" i="5"/>
  <c r="AV3" i="5"/>
  <c r="AT29" i="5"/>
  <c r="AT15" i="5"/>
  <c r="AT27" i="5"/>
  <c r="AT36" i="5"/>
  <c r="AT30" i="5"/>
  <c r="AT10" i="5"/>
  <c r="AT38" i="5"/>
  <c r="AT31" i="5"/>
  <c r="AT17" i="5"/>
  <c r="AU3" i="5"/>
  <c r="AT34" i="5"/>
  <c r="AT22" i="5"/>
  <c r="AT14" i="5"/>
  <c r="AT40" i="5"/>
  <c r="AR9" i="4"/>
  <c r="AR26" i="4"/>
  <c r="AR27" i="4"/>
  <c r="AR28" i="4"/>
  <c r="AR16" i="4"/>
  <c r="AR10" i="4"/>
  <c r="AR13" i="4"/>
  <c r="AR24" i="4"/>
  <c r="AR15" i="4"/>
  <c r="AR29" i="4"/>
  <c r="AR12" i="4"/>
  <c r="AR18" i="4"/>
  <c r="AR20" i="4"/>
  <c r="AR11" i="4"/>
  <c r="AQ9" i="4"/>
  <c r="AQ29" i="4"/>
  <c r="AQ11" i="4"/>
  <c r="AQ20" i="4"/>
  <c r="AQ24" i="4"/>
  <c r="AQ10" i="4"/>
  <c r="AQ27" i="4"/>
  <c r="AQ28" i="4"/>
  <c r="AQ12" i="4"/>
  <c r="AQ16" i="4"/>
  <c r="AQ13" i="4"/>
  <c r="AQ18" i="4"/>
  <c r="AQ15" i="4"/>
  <c r="AQ26" i="4"/>
  <c r="AS18" i="4"/>
  <c r="AS12" i="4"/>
  <c r="AS11" i="4"/>
  <c r="AS27" i="4"/>
  <c r="AS24" i="4"/>
  <c r="AT3" i="4"/>
  <c r="AS26" i="4"/>
  <c r="AS28" i="4"/>
  <c r="AS13" i="4"/>
  <c r="AS9" i="4"/>
  <c r="AS20" i="4"/>
  <c r="AS29" i="4"/>
  <c r="AS10" i="4"/>
  <c r="AS16" i="4"/>
  <c r="AS15" i="4"/>
  <c r="AX10" i="6"/>
  <c r="AX17" i="6"/>
  <c r="BA3" i="6"/>
  <c r="BA20" i="6"/>
  <c r="AY3" i="6"/>
  <c r="AY20" i="6"/>
  <c r="AX16" i="6"/>
  <c r="AZ3" i="6"/>
  <c r="AZ20" i="6"/>
  <c r="AX14" i="6"/>
  <c r="AX9" i="6"/>
  <c r="AV20" i="5"/>
  <c r="AV10" i="5"/>
  <c r="AV36" i="5"/>
  <c r="AV39" i="5"/>
  <c r="AV33" i="5"/>
  <c r="AV14" i="5"/>
  <c r="AV40" i="5"/>
  <c r="AV27" i="5"/>
  <c r="AV9" i="5"/>
  <c r="AV13" i="5"/>
  <c r="AV34" i="5"/>
  <c r="AV18" i="5"/>
  <c r="AV23" i="5"/>
  <c r="AV31" i="5"/>
  <c r="AV29" i="5"/>
  <c r="AV17" i="5"/>
  <c r="AV15" i="5"/>
  <c r="AV22" i="5"/>
  <c r="AV37" i="5"/>
  <c r="AV30" i="5"/>
  <c r="AV38" i="5"/>
  <c r="AU34" i="5"/>
  <c r="AU18" i="5"/>
  <c r="AU15" i="5"/>
  <c r="AU10" i="5"/>
  <c r="AU27" i="5"/>
  <c r="AU13" i="5"/>
  <c r="AU40" i="5"/>
  <c r="AU33" i="5"/>
  <c r="AU29" i="5"/>
  <c r="AU20" i="5"/>
  <c r="AU17" i="5"/>
  <c r="AU9" i="5"/>
  <c r="AU39" i="5"/>
  <c r="AU36" i="5"/>
  <c r="AU38" i="5"/>
  <c r="AU23" i="5"/>
  <c r="AU37" i="5"/>
  <c r="AU22" i="5"/>
  <c r="AU14" i="5"/>
  <c r="AU31" i="5"/>
  <c r="AU30" i="5"/>
  <c r="AW29" i="5"/>
  <c r="AW15" i="5"/>
  <c r="AW38" i="5"/>
  <c r="AW10" i="5"/>
  <c r="AW34" i="5"/>
  <c r="AW9" i="5"/>
  <c r="AW31" i="5"/>
  <c r="AW40" i="5"/>
  <c r="AW22" i="5"/>
  <c r="AW13" i="5"/>
  <c r="AW17" i="5"/>
  <c r="AX3" i="5"/>
  <c r="AW14" i="5"/>
  <c r="AW33" i="5"/>
  <c r="AW30" i="5"/>
  <c r="AW27" i="5"/>
  <c r="AW23" i="5"/>
  <c r="AW18" i="5"/>
  <c r="AW20" i="5"/>
  <c r="AW39" i="5"/>
  <c r="AW36" i="5"/>
  <c r="AW37" i="5"/>
  <c r="AT18" i="4"/>
  <c r="AV3" i="4"/>
  <c r="AT26" i="4"/>
  <c r="AW3" i="4"/>
  <c r="AT28" i="4"/>
  <c r="AT29" i="4"/>
  <c r="AT20" i="4"/>
  <c r="AU3" i="4"/>
  <c r="AT12" i="4"/>
  <c r="AT10" i="4"/>
  <c r="AT9" i="4"/>
  <c r="AT13" i="4"/>
  <c r="AT27" i="4"/>
  <c r="AT16" i="4"/>
  <c r="AT11" i="4"/>
  <c r="AT24" i="4"/>
  <c r="AT15" i="4"/>
  <c r="AY16" i="6"/>
  <c r="AY10" i="6"/>
  <c r="AY9" i="6"/>
  <c r="AY17" i="6"/>
  <c r="AY14" i="6"/>
  <c r="AZ16" i="6"/>
  <c r="AZ17" i="6"/>
  <c r="AZ9" i="6"/>
  <c r="AZ14" i="6"/>
  <c r="AZ10" i="6"/>
  <c r="BA14" i="6"/>
  <c r="BA9" i="6"/>
  <c r="BA10" i="6"/>
  <c r="BA17" i="6"/>
  <c r="BA16" i="6"/>
  <c r="AX27" i="5"/>
  <c r="AX31" i="5"/>
  <c r="AX36" i="5"/>
  <c r="AX18" i="5"/>
  <c r="AX38" i="5"/>
  <c r="AX34" i="5"/>
  <c r="AX17" i="5"/>
  <c r="AX40" i="5"/>
  <c r="AX13" i="5"/>
  <c r="BA3" i="5"/>
  <c r="AX20" i="5"/>
  <c r="AX15" i="5"/>
  <c r="AX39" i="5"/>
  <c r="AX23" i="5"/>
  <c r="AZ3" i="5"/>
  <c r="AX30" i="5"/>
  <c r="AX10" i="5"/>
  <c r="AY3" i="5"/>
  <c r="AX22" i="5"/>
  <c r="AX9" i="5"/>
  <c r="AX29" i="5"/>
  <c r="AX37" i="5"/>
  <c r="AX33" i="5"/>
  <c r="AX14" i="5"/>
  <c r="AU16" i="4"/>
  <c r="AU12" i="4"/>
  <c r="AU15" i="4"/>
  <c r="AU18" i="4"/>
  <c r="AU27" i="4"/>
  <c r="AU26" i="4"/>
  <c r="AU29" i="4"/>
  <c r="AU13" i="4"/>
  <c r="AU28" i="4"/>
  <c r="AU24" i="4"/>
  <c r="AU20" i="4"/>
  <c r="AU9" i="4"/>
  <c r="AU11" i="4"/>
  <c r="AU10" i="4"/>
  <c r="AW9" i="4"/>
  <c r="AW18" i="4"/>
  <c r="AW26" i="4"/>
  <c r="AW12" i="4"/>
  <c r="AW24" i="4"/>
  <c r="AW13" i="4"/>
  <c r="AW10" i="4"/>
  <c r="AX3" i="4"/>
  <c r="AW29" i="4"/>
  <c r="AW20" i="4"/>
  <c r="AW15" i="4"/>
  <c r="AW28" i="4"/>
  <c r="AW16" i="4"/>
  <c r="AW11" i="4"/>
  <c r="AW27" i="4"/>
  <c r="AV16" i="4"/>
  <c r="AV10" i="4"/>
  <c r="AV13" i="4"/>
  <c r="AV9" i="4"/>
  <c r="AV15" i="4"/>
  <c r="AV20" i="4"/>
  <c r="AV28" i="4"/>
  <c r="AV18" i="4"/>
  <c r="AV12" i="4"/>
  <c r="AV11" i="4"/>
  <c r="AV24" i="4"/>
  <c r="AV29" i="4"/>
  <c r="AV26" i="4"/>
  <c r="AV27" i="4"/>
  <c r="AZ10" i="5"/>
  <c r="AZ39" i="5"/>
  <c r="AZ23" i="5"/>
  <c r="AZ13" i="5"/>
  <c r="AZ30" i="5"/>
  <c r="AZ27" i="5"/>
  <c r="AZ18" i="5"/>
  <c r="AZ17" i="5"/>
  <c r="AZ15" i="5"/>
  <c r="AZ37" i="5"/>
  <c r="AZ33" i="5"/>
  <c r="AZ38" i="5"/>
  <c r="AZ36" i="5"/>
  <c r="AZ34" i="5"/>
  <c r="AZ9" i="5"/>
  <c r="AZ22" i="5"/>
  <c r="AZ40" i="5"/>
  <c r="AZ29" i="5"/>
  <c r="AZ31" i="5"/>
  <c r="AZ20" i="5"/>
  <c r="AZ14" i="5"/>
  <c r="AY39" i="5"/>
  <c r="AY10" i="5"/>
  <c r="AY37" i="5"/>
  <c r="AY36" i="5"/>
  <c r="AY27" i="5"/>
  <c r="AY31" i="5"/>
  <c r="AY33" i="5"/>
  <c r="AY20" i="5"/>
  <c r="AY13" i="5"/>
  <c r="AY40" i="5"/>
  <c r="AY15" i="5"/>
  <c r="AY29" i="5"/>
  <c r="AY30" i="5"/>
  <c r="AY17" i="5"/>
  <c r="AY9" i="5"/>
  <c r="AY22" i="5"/>
  <c r="AY38" i="5"/>
  <c r="AY23" i="5"/>
  <c r="AY34" i="5"/>
  <c r="AY18" i="5"/>
  <c r="AY14" i="5"/>
  <c r="BA27" i="5"/>
  <c r="BA14" i="5"/>
  <c r="BA34" i="5"/>
  <c r="BA30" i="5"/>
  <c r="BA37" i="5"/>
  <c r="BA33" i="5"/>
  <c r="BA20" i="5"/>
  <c r="BA40" i="5"/>
  <c r="BA17" i="5"/>
  <c r="BA13" i="5"/>
  <c r="BA36" i="5"/>
  <c r="BA29" i="5"/>
  <c r="BA15" i="5"/>
  <c r="BA39" i="5"/>
  <c r="BA9" i="5"/>
  <c r="BA18" i="5"/>
  <c r="BA31" i="5"/>
  <c r="BA38" i="5"/>
  <c r="BA22" i="5"/>
  <c r="BA10" i="5"/>
  <c r="BA23" i="5"/>
  <c r="AX16" i="4"/>
  <c r="AY3" i="4"/>
  <c r="AX26" i="4"/>
  <c r="AX13" i="4"/>
  <c r="AX18" i="4"/>
  <c r="AX15" i="4"/>
  <c r="AX12" i="4"/>
  <c r="AX11" i="4"/>
  <c r="AX28" i="4"/>
  <c r="AX29" i="4"/>
  <c r="AX10" i="4"/>
  <c r="AZ3" i="4"/>
  <c r="AX20" i="4"/>
  <c r="AX9" i="4"/>
  <c r="AX24" i="4"/>
  <c r="BA3" i="4"/>
  <c r="AX27" i="4"/>
  <c r="BA16" i="4"/>
  <c r="BA13" i="4"/>
  <c r="BA10" i="4"/>
  <c r="BA18" i="4"/>
  <c r="BA26" i="4"/>
  <c r="BA15" i="4"/>
  <c r="BA28" i="4"/>
  <c r="BA24" i="4"/>
  <c r="BA11" i="4"/>
  <c r="BA12" i="4"/>
  <c r="BA9" i="4"/>
  <c r="BA29" i="4"/>
  <c r="BA27" i="4"/>
  <c r="BA20" i="4"/>
  <c r="AZ28" i="4"/>
  <c r="AZ29" i="4"/>
  <c r="AZ12" i="4"/>
  <c r="AZ27" i="4"/>
  <c r="AZ24" i="4"/>
  <c r="AZ9" i="4"/>
  <c r="AZ26" i="4"/>
  <c r="AZ15" i="4"/>
  <c r="AZ16" i="4"/>
  <c r="AZ10" i="4"/>
  <c r="AZ13" i="4"/>
  <c r="AZ18" i="4"/>
  <c r="AZ20" i="4"/>
  <c r="AZ11" i="4"/>
  <c r="AY29" i="4"/>
  <c r="AY15" i="4"/>
  <c r="AY10" i="4"/>
  <c r="AY28" i="4"/>
  <c r="AY24" i="4"/>
  <c r="AY13" i="4"/>
  <c r="AY11" i="4"/>
  <c r="AY9" i="4"/>
  <c r="AY16" i="4"/>
  <c r="AY20" i="4"/>
  <c r="AY27" i="4"/>
  <c r="AY18" i="4"/>
  <c r="AY12" i="4"/>
  <c r="AY26" i="4"/>
  <c r="I13" i="3" l="1"/>
  <c r="I14" i="3" s="1"/>
  <c r="I61" i="1"/>
  <c r="AS62" i="1"/>
  <c r="L6" i="3"/>
  <c r="L7" i="3" s="1"/>
  <c r="M13" i="3"/>
  <c r="M14" i="3" s="1"/>
  <c r="N20" i="3"/>
  <c r="N21" i="3" s="1"/>
  <c r="AO83" i="1"/>
  <c r="N26" i="1"/>
  <c r="J20" i="3"/>
  <c r="J21" i="3" s="1"/>
  <c r="H63" i="1"/>
  <c r="X68" i="1"/>
  <c r="X70" i="1" s="1"/>
  <c r="T83" i="1"/>
  <c r="AO13" i="1"/>
  <c r="BV84" i="1"/>
  <c r="BV50" i="1"/>
  <c r="AB6" i="1"/>
  <c r="BV28" i="1"/>
  <c r="BV14" i="1"/>
  <c r="BW60" i="1"/>
  <c r="AO41" i="1"/>
  <c r="AL54" i="1"/>
  <c r="AL56" i="1" s="1"/>
  <c r="BD76" i="1"/>
  <c r="AB81" i="1"/>
  <c r="AS48" i="1"/>
  <c r="BU67" i="1"/>
  <c r="BJ41" i="1"/>
  <c r="AS74" i="1"/>
  <c r="T39" i="1"/>
  <c r="X6" i="1"/>
  <c r="BV42" i="1"/>
  <c r="BW15" i="1"/>
  <c r="C20" i="3"/>
  <c r="C21" i="3" s="1"/>
  <c r="E6" i="3"/>
  <c r="E7" i="3" s="1"/>
  <c r="F13" i="3"/>
  <c r="F14" i="3" s="1"/>
  <c r="G20" i="3"/>
  <c r="G21" i="3" s="1"/>
  <c r="I6" i="3"/>
  <c r="I7" i="3" s="1"/>
  <c r="J13" i="3"/>
  <c r="J14" i="3" s="1"/>
  <c r="K20" i="3"/>
  <c r="K21" i="3" s="1"/>
  <c r="M6" i="3"/>
  <c r="M7" i="3" s="1"/>
  <c r="N13" i="3"/>
  <c r="N14" i="3" s="1"/>
  <c r="BD40" i="1"/>
  <c r="BD42" i="1" s="1"/>
  <c r="AS46" i="1"/>
  <c r="AO11" i="1"/>
  <c r="AB69" i="1"/>
  <c r="D6" i="3"/>
  <c r="D7" i="3" s="1"/>
  <c r="F20" i="3"/>
  <c r="F21" i="3" s="1"/>
  <c r="H6" i="3"/>
  <c r="H7" i="3" s="1"/>
  <c r="AB83" i="1"/>
  <c r="I11" i="1"/>
  <c r="AL34" i="1"/>
  <c r="BD32" i="1"/>
  <c r="N76" i="1"/>
  <c r="N54" i="1"/>
  <c r="AB41" i="1"/>
  <c r="BJ6" i="1"/>
  <c r="AL12" i="1"/>
  <c r="AL14" i="1" s="1"/>
  <c r="AL67" i="1"/>
  <c r="AZ60" i="1"/>
  <c r="BA60" i="1" s="1"/>
  <c r="AS27" i="1"/>
  <c r="AO6" i="1"/>
  <c r="AB5" i="1"/>
  <c r="AB7" i="1" s="1"/>
  <c r="AO81" i="1"/>
  <c r="O43" i="1"/>
  <c r="BV21" i="1"/>
  <c r="AH13" i="1"/>
  <c r="X41" i="1"/>
  <c r="AL48" i="1"/>
  <c r="N6" i="1"/>
  <c r="AH69" i="1"/>
  <c r="AS39" i="1"/>
  <c r="AO34" i="1"/>
  <c r="X46" i="1"/>
  <c r="BU82" i="1"/>
  <c r="AB20" i="1"/>
  <c r="AS13" i="1"/>
  <c r="AO19" i="1"/>
  <c r="AO21" i="1" s="1"/>
  <c r="BD82" i="1"/>
  <c r="BD84" i="1" s="1"/>
  <c r="AO48" i="1"/>
  <c r="BD27" i="1"/>
  <c r="AH76" i="1"/>
  <c r="T32" i="1"/>
  <c r="BW68" i="1"/>
  <c r="BW70" i="1" s="1"/>
  <c r="BD55" i="1"/>
  <c r="AS55" i="1"/>
  <c r="BJ13" i="1"/>
  <c r="H15" i="1"/>
  <c r="AO46" i="1"/>
  <c r="X60" i="1"/>
  <c r="AL32" i="1"/>
  <c r="BQ32" i="1"/>
  <c r="T62" i="1"/>
  <c r="AH82" i="1"/>
  <c r="AH84" i="1" s="1"/>
  <c r="BV15" i="1"/>
  <c r="AO62" i="1"/>
  <c r="AS32" i="1"/>
  <c r="AO27" i="1"/>
  <c r="AO20" i="1"/>
  <c r="I33" i="1"/>
  <c r="T61" i="1"/>
  <c r="AO40" i="1"/>
  <c r="AO42" i="1" s="1"/>
  <c r="BQ18" i="1"/>
  <c r="BD39" i="1"/>
  <c r="AO5" i="1"/>
  <c r="AO7" i="1" s="1"/>
  <c r="BU75" i="1"/>
  <c r="AO32" i="1"/>
  <c r="X61" i="1"/>
  <c r="X63" i="1" s="1"/>
  <c r="N4" i="1"/>
  <c r="AL76" i="1"/>
  <c r="AS12" i="1"/>
  <c r="AS14" i="1" s="1"/>
  <c r="AJ71" i="1"/>
  <c r="X18" i="1"/>
  <c r="BJ34" i="1"/>
  <c r="AB33" i="1"/>
  <c r="AB35" i="1" s="1"/>
  <c r="AL41" i="1"/>
  <c r="BD67" i="1"/>
  <c r="AH54" i="1"/>
  <c r="AH56" i="1" s="1"/>
  <c r="AS76" i="1"/>
  <c r="BD69" i="1"/>
  <c r="AL83" i="1"/>
  <c r="AL74" i="1"/>
  <c r="I53" i="1"/>
  <c r="AI56" i="1"/>
  <c r="J56" i="1"/>
  <c r="BV35" i="1"/>
  <c r="AR36" i="1"/>
  <c r="BD13" i="1"/>
  <c r="BQ69" i="1"/>
  <c r="C6" i="3"/>
  <c r="C7" i="3" s="1"/>
  <c r="D13" i="3"/>
  <c r="D14" i="3" s="1"/>
  <c r="E20" i="3"/>
  <c r="E21" i="3" s="1"/>
  <c r="G6" i="3"/>
  <c r="G7" i="3" s="1"/>
  <c r="H13" i="3"/>
  <c r="H14" i="3" s="1"/>
  <c r="BD19" i="1"/>
  <c r="BD21" i="1" s="1"/>
  <c r="AS47" i="1"/>
  <c r="AS49" i="1" s="1"/>
  <c r="N12" i="1"/>
  <c r="AA85" i="1"/>
  <c r="T33" i="1"/>
  <c r="BD20" i="1"/>
  <c r="AO18" i="1"/>
  <c r="N82" i="1"/>
  <c r="X76" i="1"/>
  <c r="AH34" i="1"/>
  <c r="T48" i="1"/>
  <c r="C13" i="3"/>
  <c r="C14" i="3" s="1"/>
  <c r="D20" i="3"/>
  <c r="D21" i="3" s="1"/>
  <c r="F6" i="3"/>
  <c r="F7" i="3" s="1"/>
  <c r="G13" i="3"/>
  <c r="G14" i="3" s="1"/>
  <c r="H20" i="3"/>
  <c r="H21" i="3" s="1"/>
  <c r="J6" i="3"/>
  <c r="J7" i="3" s="1"/>
  <c r="K13" i="3"/>
  <c r="K14" i="3" s="1"/>
  <c r="L20" i="3"/>
  <c r="L21" i="3" s="1"/>
  <c r="N6" i="3"/>
  <c r="N7" i="3" s="1"/>
  <c r="BJ60" i="1"/>
  <c r="N48" i="1"/>
  <c r="I39" i="1"/>
  <c r="AH83" i="1"/>
  <c r="BD47" i="1"/>
  <c r="BD49" i="1" s="1"/>
  <c r="BU74" i="1"/>
  <c r="T53" i="1"/>
  <c r="BV43" i="1"/>
  <c r="D35" i="1"/>
  <c r="S63" i="1"/>
  <c r="BU40" i="1"/>
  <c r="AB34" i="1"/>
  <c r="N27" i="1"/>
  <c r="X20" i="1"/>
  <c r="AH62" i="1"/>
  <c r="BU76" i="1"/>
  <c r="AL25" i="1"/>
  <c r="AH33" i="1"/>
  <c r="AH35" i="1" s="1"/>
  <c r="AL39" i="1"/>
  <c r="AB11" i="1"/>
  <c r="AL20" i="1"/>
  <c r="AO33" i="1"/>
  <c r="AO35" i="1" s="1"/>
  <c r="X69" i="1"/>
  <c r="AL18" i="1"/>
  <c r="AH18" i="1"/>
  <c r="T67" i="1"/>
  <c r="AB19" i="1"/>
  <c r="AB21" i="1" s="1"/>
  <c r="BJ76" i="1"/>
  <c r="X62" i="1"/>
  <c r="AO60" i="1"/>
  <c r="X34" i="1"/>
  <c r="BJ18" i="1"/>
  <c r="BJ11" i="1"/>
  <c r="N20" i="1"/>
  <c r="I18" i="1"/>
  <c r="D22" i="1"/>
  <c r="BC64" i="1"/>
  <c r="BD60" i="1"/>
  <c r="S22" i="1"/>
  <c r="T18" i="1"/>
  <c r="BR50" i="1"/>
  <c r="BU46" i="1"/>
  <c r="AZ76" i="1"/>
  <c r="BA76" i="1" s="1"/>
  <c r="I32" i="1"/>
  <c r="F36" i="1"/>
  <c r="N11" i="1"/>
  <c r="J15" i="1"/>
  <c r="H8" i="1"/>
  <c r="H88" i="1" s="1"/>
  <c r="I4" i="1"/>
  <c r="AM57" i="1"/>
  <c r="AO53" i="1"/>
  <c r="BW67" i="1"/>
  <c r="BV71" i="1"/>
  <c r="BD48" i="1"/>
  <c r="AD43" i="1"/>
  <c r="AH39" i="1"/>
  <c r="E14" i="1"/>
  <c r="I12" i="1"/>
  <c r="BV8" i="1"/>
  <c r="BV88" i="1" s="1"/>
  <c r="BW4" i="1"/>
  <c r="AI8" i="1"/>
  <c r="AI88" i="1" s="1"/>
  <c r="AL4" i="1"/>
  <c r="BD46" i="1"/>
  <c r="BV57" i="1"/>
  <c r="BW53" i="1"/>
  <c r="AM14" i="1"/>
  <c r="AO12" i="1"/>
  <c r="AO14" i="1" s="1"/>
  <c r="BJ62" i="1"/>
  <c r="AL62" i="1"/>
  <c r="AZ19" i="1"/>
  <c r="BA19" i="1" s="1"/>
  <c r="BQ41" i="1"/>
  <c r="S57" i="1"/>
  <c r="N83" i="1"/>
  <c r="BC84" i="1"/>
  <c r="E43" i="1"/>
  <c r="BU33" i="1"/>
  <c r="Z35" i="1"/>
  <c r="O35" i="1"/>
  <c r="T41" i="1"/>
  <c r="I20" i="3"/>
  <c r="I21" i="3" s="1"/>
  <c r="K6" i="3"/>
  <c r="K7" i="3" s="1"/>
  <c r="L13" i="3"/>
  <c r="L14" i="3" s="1"/>
  <c r="M20" i="3"/>
  <c r="M21" i="3" s="1"/>
  <c r="I76" i="1"/>
  <c r="X67" i="1"/>
  <c r="BU60" i="1"/>
  <c r="AH60" i="1"/>
  <c r="BJ55" i="1"/>
  <c r="BQ27" i="1"/>
  <c r="T68" i="1"/>
  <c r="BJ48" i="1"/>
  <c r="BU39" i="1"/>
  <c r="BJ27" i="1"/>
  <c r="BU18" i="1"/>
  <c r="AB13" i="1"/>
  <c r="N13" i="1"/>
  <c r="BQ26" i="1"/>
  <c r="AZ83" i="1"/>
  <c r="BA83" i="1" s="1"/>
  <c r="AB82" i="1"/>
  <c r="AB84" i="1" s="1"/>
  <c r="N60" i="1"/>
  <c r="AB46" i="1"/>
  <c r="AS34" i="1"/>
  <c r="N33" i="1"/>
  <c r="AL19" i="1"/>
  <c r="AL21" i="1" s="1"/>
  <c r="T6" i="1"/>
  <c r="AL5" i="1"/>
  <c r="AL7" i="1" s="1"/>
  <c r="X11" i="1"/>
  <c r="BJ82" i="1"/>
  <c r="AB27" i="1"/>
  <c r="BJ83" i="1"/>
  <c r="AZ82" i="1"/>
  <c r="BA82" i="1" s="1"/>
  <c r="AO76" i="1"/>
  <c r="N68" i="1"/>
  <c r="BU13" i="1"/>
  <c r="AL69" i="1"/>
  <c r="BQ20" i="1"/>
  <c r="BU62" i="1"/>
  <c r="X48" i="1"/>
  <c r="I48" i="1"/>
  <c r="AL47" i="1"/>
  <c r="AL49" i="1" s="1"/>
  <c r="X33" i="1"/>
  <c r="X35" i="1" s="1"/>
  <c r="AO25" i="1"/>
  <c r="BQ13" i="1"/>
  <c r="AZ13" i="1"/>
  <c r="BA13" i="1" s="1"/>
  <c r="X13" i="1"/>
  <c r="AL6" i="1"/>
  <c r="T27" i="1"/>
  <c r="AS26" i="1"/>
  <c r="AS28" i="1" s="1"/>
  <c r="BU48" i="1"/>
  <c r="AZ34" i="1"/>
  <c r="BA34" i="1" s="1"/>
  <c r="AO39" i="1"/>
  <c r="I40" i="1"/>
  <c r="X82" i="1"/>
  <c r="X84" i="1" s="1"/>
  <c r="AO47" i="1"/>
  <c r="AO49" i="1" s="1"/>
  <c r="BU4" i="1"/>
  <c r="AO26" i="1"/>
  <c r="AO28" i="1" s="1"/>
  <c r="BJ74" i="1"/>
  <c r="BS35" i="1"/>
  <c r="BU54" i="1"/>
  <c r="AS60" i="1"/>
  <c r="T40" i="1"/>
  <c r="BW43" i="1"/>
  <c r="BW75" i="1"/>
  <c r="BW77" i="1" s="1"/>
  <c r="AZ62" i="1"/>
  <c r="BA62" i="1" s="1"/>
  <c r="I62" i="1"/>
  <c r="AL55" i="1"/>
  <c r="BW50" i="1"/>
  <c r="X27" i="1"/>
  <c r="AH48" i="1"/>
  <c r="E13" i="3"/>
  <c r="E14" i="3" s="1"/>
  <c r="BQ83" i="1"/>
  <c r="BW32" i="1"/>
  <c r="BW36" i="1" s="1"/>
  <c r="BD53" i="1"/>
  <c r="AS75" i="1"/>
  <c r="AS77" i="1" s="1"/>
  <c r="AO67" i="1"/>
  <c r="BD18" i="1"/>
  <c r="AB67" i="1"/>
  <c r="AS61" i="1"/>
  <c r="AS63" i="1" s="1"/>
  <c r="BV29" i="1"/>
  <c r="AM42" i="1"/>
  <c r="T11" i="1"/>
  <c r="BU81" i="1"/>
  <c r="BD12" i="1"/>
  <c r="BD14" i="1" s="1"/>
  <c r="AB76" i="1"/>
  <c r="BD68" i="1"/>
  <c r="BD70" i="1" s="1"/>
  <c r="AH55" i="1"/>
  <c r="AL13" i="1"/>
  <c r="AH32" i="1"/>
  <c r="J57" i="1"/>
  <c r="N53" i="1"/>
  <c r="X26" i="1"/>
  <c r="X28" i="1" s="1"/>
  <c r="V28" i="1"/>
  <c r="BQ39" i="1"/>
  <c r="BR36" i="1"/>
  <c r="BU32" i="1"/>
  <c r="U36" i="1"/>
  <c r="X32" i="1"/>
  <c r="AP22" i="1"/>
  <c r="AS18" i="1"/>
  <c r="BQ48" i="1"/>
  <c r="AS82" i="1"/>
  <c r="AS84" i="1" s="1"/>
  <c r="AS69" i="1"/>
  <c r="U56" i="1"/>
  <c r="X54" i="1"/>
  <c r="X56" i="1" s="1"/>
  <c r="I34" i="1"/>
  <c r="BU20" i="1"/>
  <c r="AS20" i="1"/>
  <c r="I20" i="1"/>
  <c r="BL21" i="1"/>
  <c r="BQ19" i="1"/>
  <c r="BG22" i="1"/>
  <c r="AZ18" i="1"/>
  <c r="BE7" i="1"/>
  <c r="BJ5" i="1"/>
  <c r="BJ26" i="1"/>
  <c r="BG28" i="1"/>
  <c r="O50" i="1"/>
  <c r="T46" i="1"/>
  <c r="AD29" i="1"/>
  <c r="AH25" i="1"/>
  <c r="BW81" i="1"/>
  <c r="BW85" i="1" s="1"/>
  <c r="BV85" i="1"/>
  <c r="AM56" i="1"/>
  <c r="AO54" i="1"/>
  <c r="AO56" i="1" s="1"/>
  <c r="AB32" i="1"/>
  <c r="BV49" i="1"/>
  <c r="X40" i="1"/>
  <c r="X42" i="1" s="1"/>
  <c r="BD25" i="1"/>
  <c r="AB75" i="1"/>
  <c r="AB77" i="1" s="1"/>
  <c r="AB62" i="1"/>
  <c r="N62" i="1"/>
  <c r="I27" i="1"/>
  <c r="AZ27" i="1"/>
  <c r="BA27" i="1" s="1"/>
  <c r="AH41" i="1"/>
  <c r="T34" i="1"/>
  <c r="AB68" i="1"/>
  <c r="AB70" i="1" s="1"/>
  <c r="BS28" i="1"/>
  <c r="BU26" i="1"/>
  <c r="BQ61" i="1"/>
  <c r="BN63" i="1"/>
  <c r="N25" i="1"/>
  <c r="M29" i="1"/>
  <c r="BW74" i="1"/>
  <c r="BV78" i="1"/>
  <c r="AL53" i="1"/>
  <c r="AI57" i="1"/>
  <c r="AZ39" i="1"/>
  <c r="BA39" i="1" s="1"/>
  <c r="BU5" i="1"/>
  <c r="BR7" i="1"/>
  <c r="X53" i="1"/>
  <c r="AL60" i="1"/>
  <c r="AR71" i="1"/>
  <c r="AS67" i="1"/>
  <c r="AB55" i="1"/>
  <c r="N55" i="1"/>
  <c r="BU25" i="1"/>
  <c r="BT29" i="1"/>
  <c r="AZ20" i="1"/>
  <c r="BA20" i="1" s="1"/>
  <c r="N19" i="1"/>
  <c r="AL75" i="1"/>
  <c r="AL77" i="1" s="1"/>
  <c r="AI77" i="1"/>
  <c r="I75" i="1"/>
  <c r="O85" i="1"/>
  <c r="T81" i="1"/>
  <c r="AB48" i="1"/>
  <c r="M36" i="1"/>
  <c r="N32" i="1"/>
  <c r="BU27" i="1"/>
  <c r="BD6" i="1"/>
  <c r="F21" i="1"/>
  <c r="I19" i="1"/>
  <c r="BU41" i="1"/>
  <c r="J22" i="1"/>
  <c r="N18" i="1"/>
  <c r="BV7" i="1"/>
  <c r="BW5" i="1"/>
  <c r="BW7" i="1" s="1"/>
  <c r="AZ61" i="1"/>
  <c r="BA61" i="1" s="1"/>
  <c r="I26" i="1"/>
  <c r="BD83" i="1"/>
  <c r="I83" i="1"/>
  <c r="BJ33" i="1"/>
  <c r="U29" i="1"/>
  <c r="X25" i="1"/>
  <c r="AB18" i="1"/>
  <c r="AZ11" i="1"/>
  <c r="BA11" i="1" s="1"/>
  <c r="T4" i="1"/>
  <c r="AK35" i="1"/>
  <c r="AL33" i="1"/>
  <c r="AL35" i="1" s="1"/>
  <c r="AH47" i="1"/>
  <c r="AH49" i="1" s="1"/>
  <c r="AE49" i="1"/>
  <c r="AZ48" i="1"/>
  <c r="BA48" i="1" s="1"/>
  <c r="I41" i="1"/>
  <c r="BM15" i="1"/>
  <c r="BQ11" i="1"/>
  <c r="AU35" i="1"/>
  <c r="AZ33" i="1"/>
  <c r="BA33" i="1" s="1"/>
  <c r="BB15" i="1"/>
  <c r="BD11" i="1"/>
  <c r="BW18" i="1"/>
  <c r="BW22" i="1" s="1"/>
  <c r="BQ53" i="1"/>
  <c r="AO75" i="1"/>
  <c r="AO77" i="1" s="1"/>
  <c r="AS53" i="1"/>
  <c r="X47" i="1"/>
  <c r="X49" i="1" s="1"/>
  <c r="K85" i="1"/>
  <c r="N81" i="1"/>
  <c r="BR70" i="1"/>
  <c r="BU68" i="1"/>
  <c r="BQ62" i="1"/>
  <c r="AH61" i="1"/>
  <c r="AH63" i="1" s="1"/>
  <c r="AN63" i="1"/>
  <c r="AO61" i="1"/>
  <c r="AO63" i="1" s="1"/>
  <c r="AA57" i="1"/>
  <c r="AB53" i="1"/>
  <c r="AH6" i="1"/>
  <c r="AH27" i="1"/>
  <c r="BQ34" i="1"/>
  <c r="AS41" i="1"/>
  <c r="BQ25" i="1"/>
  <c r="BW61" i="1"/>
  <c r="BW63" i="1" s="1"/>
  <c r="BD75" i="1"/>
  <c r="BD77" i="1" s="1"/>
  <c r="T19" i="1"/>
  <c r="AB74" i="1"/>
  <c r="BD54" i="1"/>
  <c r="BD56" i="1" s="1"/>
  <c r="AO4" i="1"/>
  <c r="T82" i="1"/>
  <c r="S84" i="1"/>
  <c r="BJ69" i="1"/>
  <c r="N67" i="1"/>
  <c r="AP56" i="1"/>
  <c r="AS54" i="1"/>
  <c r="AS56" i="1" s="1"/>
  <c r="BD41" i="1"/>
  <c r="N41" i="1"/>
  <c r="AZ26" i="1"/>
  <c r="BA26" i="1" s="1"/>
  <c r="AU28" i="1"/>
  <c r="AM29" i="1"/>
  <c r="AB12" i="1"/>
  <c r="AB14" i="1" s="1"/>
  <c r="O7" i="1"/>
  <c r="T5" i="1"/>
  <c r="AE36" i="1"/>
  <c r="AQ42" i="1"/>
  <c r="AS40" i="1"/>
  <c r="AS42" i="1" s="1"/>
  <c r="BQ12" i="1"/>
  <c r="BQ40" i="1"/>
  <c r="AO82" i="1"/>
  <c r="AO84" i="1" s="1"/>
  <c r="BD62" i="1"/>
  <c r="N39" i="1"/>
  <c r="AS5" i="1"/>
  <c r="AS7" i="1" s="1"/>
  <c r="AH46" i="1"/>
  <c r="BQ54" i="1"/>
  <c r="X83" i="1"/>
  <c r="X39" i="1"/>
  <c r="I5" i="1"/>
  <c r="AZ5" i="1"/>
  <c r="AH26" i="1"/>
  <c r="AH28" i="1" s="1"/>
  <c r="AZ6" i="1"/>
  <c r="BA6" i="1" s="1"/>
  <c r="BD5" i="1"/>
  <c r="BD7" i="1" s="1"/>
  <c r="T55" i="1"/>
  <c r="AL82" i="1"/>
  <c r="AL84" i="1" s="1"/>
  <c r="AS81" i="1"/>
  <c r="AZ68" i="1"/>
  <c r="BA68" i="1" s="1"/>
  <c r="BJ46" i="1"/>
  <c r="BJ20" i="1"/>
  <c r="AH20" i="1"/>
  <c r="T20" i="1"/>
  <c r="X4" i="1"/>
  <c r="AS11" i="1"/>
  <c r="BU55" i="1"/>
  <c r="T69" i="1"/>
  <c r="AS4" i="1"/>
  <c r="BD74" i="1"/>
  <c r="AO69" i="1"/>
  <c r="N34" i="1"/>
  <c r="AB25" i="1"/>
  <c r="T25" i="1"/>
  <c r="AZ55" i="1"/>
  <c r="BA55" i="1" s="1"/>
  <c r="X55" i="1"/>
  <c r="I55" i="1"/>
  <c r="AS33" i="1"/>
  <c r="AS35" i="1" s="1"/>
  <c r="BJ25" i="1"/>
  <c r="T13" i="1"/>
  <c r="BU11" i="1"/>
  <c r="AZ41" i="1"/>
  <c r="BA41" i="1" s="1"/>
  <c r="AS83" i="1"/>
  <c r="I82" i="1"/>
  <c r="I60" i="1"/>
  <c r="AO55" i="1"/>
  <c r="BJ19" i="1"/>
  <c r="AF21" i="1"/>
  <c r="AH19" i="1"/>
  <c r="M50" i="1"/>
  <c r="N46" i="1"/>
  <c r="AL81" i="1"/>
  <c r="AI85" i="1"/>
  <c r="J77" i="1"/>
  <c r="N75" i="1"/>
  <c r="N5" i="1"/>
  <c r="AV56" i="1"/>
  <c r="AZ54" i="1"/>
  <c r="BJ81" i="1"/>
  <c r="BC35" i="1"/>
  <c r="BD33" i="1"/>
  <c r="BD35" i="1" s="1"/>
  <c r="O14" i="1"/>
  <c r="T12" i="1"/>
  <c r="I6" i="1"/>
  <c r="AJ28" i="1"/>
  <c r="AL26" i="1"/>
  <c r="AY71" i="1"/>
  <c r="AZ67" i="1"/>
  <c r="BQ55" i="1"/>
  <c r="BG14" i="1"/>
  <c r="BJ12" i="1"/>
  <c r="AZ4" i="1"/>
  <c r="N61" i="1"/>
  <c r="AA64" i="1"/>
  <c r="AB60" i="1"/>
  <c r="AB39" i="1"/>
  <c r="Y43" i="1"/>
  <c r="AK42" i="1"/>
  <c r="AL40" i="1"/>
  <c r="AL42" i="1" s="1"/>
  <c r="AZ75" i="1"/>
  <c r="AX77" i="1"/>
  <c r="BG49" i="1"/>
  <c r="BJ47" i="1"/>
  <c r="BJ68" i="1"/>
  <c r="BT49" i="1"/>
  <c r="BU47" i="1"/>
  <c r="V85" i="1"/>
  <c r="X81" i="1"/>
  <c r="AH81" i="1"/>
  <c r="BW54" i="1"/>
  <c r="BW56" i="1" s="1"/>
  <c r="BV56" i="1"/>
  <c r="E29" i="1"/>
  <c r="I25" i="1"/>
  <c r="X19" i="1"/>
  <c r="X21" i="1" s="1"/>
  <c r="I68" i="1"/>
  <c r="J49" i="1"/>
  <c r="N47" i="1"/>
  <c r="AF42" i="1"/>
  <c r="AH40" i="1"/>
  <c r="AU43" i="1"/>
  <c r="BD34" i="1"/>
  <c r="BQ33" i="1"/>
  <c r="AZ25" i="1"/>
  <c r="AA8" i="1"/>
  <c r="AA88" i="1" s="1"/>
  <c r="AB4" i="1"/>
  <c r="U78" i="1"/>
  <c r="X74" i="1"/>
  <c r="AD78" i="1"/>
  <c r="AH74" i="1"/>
  <c r="Z42" i="1"/>
  <c r="AB40" i="1"/>
  <c r="AB42" i="1" s="1"/>
  <c r="I67" i="1"/>
  <c r="E71" i="1"/>
  <c r="AS6" i="1"/>
  <c r="AH5" i="1"/>
  <c r="AB54" i="1"/>
  <c r="AB56" i="1" s="1"/>
  <c r="BL84" i="1"/>
  <c r="BQ82" i="1"/>
  <c r="BQ67" i="1"/>
  <c r="BJ39" i="1"/>
  <c r="AZ46" i="1"/>
  <c r="AX50" i="1"/>
  <c r="BI56" i="1"/>
  <c r="BJ54" i="1"/>
  <c r="AH53" i="1"/>
  <c r="X5" i="1"/>
  <c r="X7" i="1" s="1"/>
  <c r="W43" i="1"/>
  <c r="J78" i="1"/>
  <c r="N74" i="1"/>
  <c r="BU69" i="1"/>
  <c r="I69" i="1"/>
  <c r="Y70" i="1"/>
  <c r="AO68" i="1"/>
  <c r="AO70" i="1" s="1"/>
  <c r="J43" i="1"/>
  <c r="BK8" i="1"/>
  <c r="BK88" i="1" s="1"/>
  <c r="BQ4" i="1"/>
  <c r="BB8" i="1"/>
  <c r="BB88" i="1" s="1"/>
  <c r="BD4" i="1"/>
  <c r="AV42" i="1"/>
  <c r="AZ40" i="1"/>
  <c r="AX78" i="1"/>
  <c r="AZ74" i="1"/>
  <c r="AK70" i="1"/>
  <c r="AL68" i="1"/>
  <c r="AL70" i="1" s="1"/>
  <c r="BJ67" i="1"/>
  <c r="BO42" i="1"/>
  <c r="D85" i="1"/>
  <c r="I81" i="1"/>
  <c r="BK78" i="1"/>
  <c r="BQ74" i="1"/>
  <c r="AH68" i="1"/>
  <c r="AG70" i="1"/>
  <c r="F56" i="1"/>
  <c r="I54" i="1"/>
  <c r="BK49" i="1"/>
  <c r="BQ47" i="1"/>
  <c r="H50" i="1"/>
  <c r="I46" i="1"/>
  <c r="AS25" i="1"/>
  <c r="Z22" i="1"/>
  <c r="X12" i="1"/>
  <c r="X14" i="1" s="1"/>
  <c r="U14" i="1"/>
  <c r="BS15" i="1"/>
  <c r="O8" i="1"/>
  <c r="O88" i="1" s="1"/>
  <c r="P56" i="1"/>
  <c r="T54" i="1"/>
  <c r="T74" i="1"/>
  <c r="BU83" i="1"/>
  <c r="AI63" i="1"/>
  <c r="AL61" i="1"/>
  <c r="AL63" i="1" s="1"/>
  <c r="AO74" i="1"/>
  <c r="X75" i="1"/>
  <c r="X77" i="1" s="1"/>
  <c r="BG42" i="1"/>
  <c r="BJ40" i="1"/>
  <c r="BU12" i="1"/>
  <c r="BN77" i="1"/>
  <c r="BQ75" i="1"/>
  <c r="AD77" i="1"/>
  <c r="AH75" i="1"/>
  <c r="BL70" i="1"/>
  <c r="BQ68" i="1"/>
  <c r="J70" i="1"/>
  <c r="AD71" i="1"/>
  <c r="AH67" i="1"/>
  <c r="T47" i="1"/>
  <c r="BE35" i="1"/>
  <c r="U35" i="1"/>
  <c r="AD8" i="1"/>
  <c r="AD88" i="1" s="1"/>
  <c r="AH4" i="1"/>
  <c r="R28" i="1"/>
  <c r="T26" i="1"/>
  <c r="AE28" i="1"/>
  <c r="AJ50" i="1"/>
  <c r="AL46" i="1"/>
  <c r="BD81" i="1"/>
  <c r="Y28" i="1"/>
  <c r="AB26" i="1"/>
  <c r="AB28" i="1" s="1"/>
  <c r="AI15" i="1"/>
  <c r="AL11" i="1"/>
  <c r="BU6" i="1"/>
  <c r="D49" i="1"/>
  <c r="I47" i="1"/>
  <c r="BL64" i="1"/>
  <c r="BQ60" i="1"/>
  <c r="BJ75" i="1"/>
  <c r="BU19" i="1"/>
  <c r="BO14" i="1"/>
  <c r="AA77" i="1"/>
  <c r="BJ61" i="1"/>
  <c r="BE63" i="1"/>
  <c r="AQ21" i="1"/>
  <c r="AS19" i="1"/>
  <c r="AS21" i="1" s="1"/>
  <c r="BW29" i="1"/>
  <c r="Z49" i="1"/>
  <c r="AB47" i="1"/>
  <c r="AB49" i="1" s="1"/>
  <c r="AZ69" i="1"/>
  <c r="BA69" i="1" s="1"/>
  <c r="AQ70" i="1"/>
  <c r="AS68" i="1"/>
  <c r="AS70" i="1" s="1"/>
  <c r="BQ5" i="1"/>
  <c r="AH11" i="1"/>
  <c r="BR63" i="1"/>
  <c r="BU61" i="1"/>
  <c r="AU49" i="1"/>
  <c r="AZ47" i="1"/>
  <c r="AI84" i="1"/>
  <c r="AP84" i="1"/>
  <c r="BQ76" i="1"/>
  <c r="O77" i="1"/>
  <c r="T75" i="1"/>
  <c r="AR35" i="1"/>
  <c r="BD26" i="1"/>
  <c r="BD28" i="1" s="1"/>
  <c r="BQ6" i="1"/>
  <c r="AW57" i="1"/>
  <c r="AZ53" i="1"/>
  <c r="T60" i="1"/>
  <c r="BU53" i="1"/>
  <c r="N40" i="1"/>
  <c r="I74" i="1"/>
  <c r="I13" i="1"/>
  <c r="BQ81" i="1"/>
  <c r="BD61" i="1"/>
  <c r="BD63" i="1" s="1"/>
  <c r="BJ32" i="1"/>
  <c r="AZ32" i="1"/>
  <c r="AZ12" i="1"/>
  <c r="BJ53" i="1"/>
  <c r="BR57" i="1"/>
  <c r="AZ81" i="1"/>
  <c r="T76" i="1"/>
  <c r="N69" i="1"/>
  <c r="N70" i="1" s="1"/>
  <c r="BQ46" i="1"/>
  <c r="Y63" i="1"/>
  <c r="AB61" i="1"/>
  <c r="AB63" i="1" s="1"/>
  <c r="BU34" i="1"/>
  <c r="AL27" i="1"/>
  <c r="AH12" i="1"/>
  <c r="BF8" i="1"/>
  <c r="BF88" i="1" s="1"/>
  <c r="BJ4" i="1"/>
  <c r="BW64" i="1" l="1"/>
  <c r="N28" i="1"/>
  <c r="N29" i="1" s="1"/>
  <c r="I63" i="1"/>
  <c r="I64" i="1" s="1"/>
  <c r="X71" i="1"/>
  <c r="AS64" i="1"/>
  <c r="AS43" i="1"/>
  <c r="AL57" i="1"/>
  <c r="AL71" i="1"/>
  <c r="T84" i="1"/>
  <c r="T85" i="1" s="1"/>
  <c r="T63" i="1"/>
  <c r="T64" i="1" s="1"/>
  <c r="BD22" i="1"/>
  <c r="AO43" i="1"/>
  <c r="BU84" i="1"/>
  <c r="BU85" i="1" s="1"/>
  <c r="BJ49" i="1"/>
  <c r="BJ50" i="1" s="1"/>
  <c r="BJ14" i="1"/>
  <c r="BJ15" i="1" s="1"/>
  <c r="N56" i="1"/>
  <c r="N57" i="1" s="1"/>
  <c r="AO36" i="1"/>
  <c r="AS8" i="1"/>
  <c r="AS50" i="1"/>
  <c r="BD29" i="1"/>
  <c r="I35" i="1"/>
  <c r="I36" i="1" s="1"/>
  <c r="BD85" i="1"/>
  <c r="AL36" i="1"/>
  <c r="AB36" i="1"/>
  <c r="N7" i="1"/>
  <c r="N8" i="1" s="1"/>
  <c r="BD36" i="1"/>
  <c r="AT32" i="1"/>
  <c r="I42" i="1"/>
  <c r="I43" i="1" s="1"/>
  <c r="AO15" i="1"/>
  <c r="AT13" i="1"/>
  <c r="AB8" i="1"/>
  <c r="BJ42" i="1"/>
  <c r="BJ43" i="1" s="1"/>
  <c r="AT48" i="1"/>
  <c r="AT76" i="1"/>
  <c r="AZ28" i="1"/>
  <c r="AZ29" i="1" s="1"/>
  <c r="AB85" i="1"/>
  <c r="AS78" i="1"/>
  <c r="AS15" i="1"/>
  <c r="BJ7" i="1"/>
  <c r="BJ8" i="1" s="1"/>
  <c r="AO85" i="1"/>
  <c r="AH36" i="1"/>
  <c r="BQ42" i="1"/>
  <c r="BQ43" i="1" s="1"/>
  <c r="AO22" i="1"/>
  <c r="BD71" i="1"/>
  <c r="N49" i="1"/>
  <c r="N50" i="1" s="1"/>
  <c r="BD43" i="1"/>
  <c r="BJ21" i="1"/>
  <c r="BJ22" i="1" s="1"/>
  <c r="BJ35" i="1"/>
  <c r="BJ36" i="1" s="1"/>
  <c r="AS71" i="1"/>
  <c r="AL43" i="1"/>
  <c r="N77" i="1"/>
  <c r="N78" i="1" s="1"/>
  <c r="BA63" i="1"/>
  <c r="BA64" i="1" s="1"/>
  <c r="X64" i="1"/>
  <c r="AT83" i="1"/>
  <c r="AL78" i="1"/>
  <c r="N21" i="1"/>
  <c r="N22" i="1" s="1"/>
  <c r="BW71" i="1"/>
  <c r="AC18" i="1"/>
  <c r="X50" i="1"/>
  <c r="BJ56" i="1"/>
  <c r="BJ57" i="1" s="1"/>
  <c r="AB15" i="1"/>
  <c r="BU56" i="1"/>
  <c r="BU57" i="1" s="1"/>
  <c r="X36" i="1"/>
  <c r="AC48" i="1"/>
  <c r="BU77" i="1"/>
  <c r="BU78" i="1" s="1"/>
  <c r="AS36" i="1"/>
  <c r="AC39" i="1"/>
  <c r="AB78" i="1"/>
  <c r="BW78" i="1"/>
  <c r="T42" i="1"/>
  <c r="T43" i="1" s="1"/>
  <c r="BJ70" i="1"/>
  <c r="BJ71" i="1" s="1"/>
  <c r="N14" i="1"/>
  <c r="N15" i="1" s="1"/>
  <c r="BU35" i="1"/>
  <c r="BU36" i="1" s="1"/>
  <c r="AH64" i="1"/>
  <c r="AT34" i="1"/>
  <c r="AT62" i="1"/>
  <c r="AL15" i="1"/>
  <c r="BQ14" i="1"/>
  <c r="BQ15" i="1" s="1"/>
  <c r="BD15" i="1"/>
  <c r="X43" i="1"/>
  <c r="AL22" i="1"/>
  <c r="X15" i="1"/>
  <c r="BQ70" i="1"/>
  <c r="BQ71" i="1" s="1"/>
  <c r="BQ84" i="1"/>
  <c r="BQ85" i="1" s="1"/>
  <c r="AO57" i="1"/>
  <c r="AT60" i="1"/>
  <c r="AC55" i="1"/>
  <c r="AO8" i="1"/>
  <c r="X22" i="1"/>
  <c r="T35" i="1"/>
  <c r="T36" i="1" s="1"/>
  <c r="AO50" i="1"/>
  <c r="AO64" i="1"/>
  <c r="AT41" i="1"/>
  <c r="N84" i="1"/>
  <c r="N85" i="1" s="1"/>
  <c r="AH50" i="1"/>
  <c r="AC76" i="1"/>
  <c r="BD64" i="1"/>
  <c r="BA28" i="1"/>
  <c r="BU21" i="1"/>
  <c r="BU22" i="1" s="1"/>
  <c r="BU70" i="1"/>
  <c r="BU71" i="1" s="1"/>
  <c r="BW57" i="1"/>
  <c r="BU42" i="1"/>
  <c r="BU43" i="1" s="1"/>
  <c r="AC11" i="1"/>
  <c r="BD50" i="1"/>
  <c r="AB50" i="1"/>
  <c r="BJ77" i="1"/>
  <c r="BJ78" i="1" s="1"/>
  <c r="X85" i="1"/>
  <c r="AB71" i="1"/>
  <c r="AC53" i="1"/>
  <c r="N35" i="1"/>
  <c r="N36" i="1" s="1"/>
  <c r="AZ84" i="1"/>
  <c r="AZ85" i="1" s="1"/>
  <c r="I28" i="1"/>
  <c r="I29" i="1" s="1"/>
  <c r="AT18" i="1"/>
  <c r="AH29" i="1"/>
  <c r="AT55" i="1"/>
  <c r="AC20" i="1"/>
  <c r="BW8" i="1"/>
  <c r="AT39" i="1"/>
  <c r="AO71" i="1"/>
  <c r="BD57" i="1"/>
  <c r="BJ84" i="1"/>
  <c r="BJ85" i="1" s="1"/>
  <c r="AB29" i="1"/>
  <c r="T49" i="1"/>
  <c r="T50" i="1" s="1"/>
  <c r="AC34" i="1"/>
  <c r="AB22" i="1"/>
  <c r="AC32" i="1"/>
  <c r="BQ21" i="1"/>
  <c r="BQ22" i="1" s="1"/>
  <c r="T77" i="1"/>
  <c r="T78" i="1" s="1"/>
  <c r="T28" i="1"/>
  <c r="T29" i="1" s="1"/>
  <c r="AT20" i="1"/>
  <c r="BQ56" i="1"/>
  <c r="BQ57" i="1" s="1"/>
  <c r="T7" i="1"/>
  <c r="T8" i="1" s="1"/>
  <c r="AC27" i="1"/>
  <c r="X8" i="1"/>
  <c r="AC6" i="1"/>
  <c r="AC62" i="1"/>
  <c r="AO29" i="1"/>
  <c r="BA84" i="1"/>
  <c r="BU7" i="1"/>
  <c r="BU8" i="1" s="1"/>
  <c r="BQ77" i="1"/>
  <c r="BQ78" i="1" s="1"/>
  <c r="BJ63" i="1"/>
  <c r="BJ64" i="1" s="1"/>
  <c r="AL64" i="1"/>
  <c r="AC33" i="1"/>
  <c r="AC35" i="1" s="1"/>
  <c r="BU49" i="1"/>
  <c r="BU50" i="1" s="1"/>
  <c r="AT27" i="1"/>
  <c r="BQ28" i="1"/>
  <c r="BQ29" i="1" s="1"/>
  <c r="AT6" i="1"/>
  <c r="BQ63" i="1"/>
  <c r="BQ64" i="1" s="1"/>
  <c r="T21" i="1"/>
  <c r="T22" i="1" s="1"/>
  <c r="AC83" i="1"/>
  <c r="I77" i="1"/>
  <c r="I78" i="1" s="1"/>
  <c r="X57" i="1"/>
  <c r="BJ28" i="1"/>
  <c r="BJ29" i="1" s="1"/>
  <c r="N71" i="1"/>
  <c r="BU63" i="1"/>
  <c r="BU64" i="1" s="1"/>
  <c r="BU14" i="1"/>
  <c r="BU15" i="1" s="1"/>
  <c r="BQ49" i="1"/>
  <c r="BQ50" i="1" s="1"/>
  <c r="BQ35" i="1"/>
  <c r="BQ36" i="1" s="1"/>
  <c r="T70" i="1"/>
  <c r="T71" i="1" s="1"/>
  <c r="AC41" i="1"/>
  <c r="I21" i="1"/>
  <c r="I22" i="1" s="1"/>
  <c r="AT69" i="1"/>
  <c r="AL8" i="1"/>
  <c r="AT82" i="1"/>
  <c r="AT84" i="1" s="1"/>
  <c r="BA18" i="1"/>
  <c r="AS57" i="1"/>
  <c r="AT47" i="1"/>
  <c r="AT49" i="1" s="1"/>
  <c r="AS22" i="1"/>
  <c r="AZ63" i="1"/>
  <c r="AZ64" i="1" s="1"/>
  <c r="AL85" i="1"/>
  <c r="BA5" i="1"/>
  <c r="BA7" i="1" s="1"/>
  <c r="AZ7" i="1"/>
  <c r="AZ8" i="1" s="1"/>
  <c r="BD8" i="1"/>
  <c r="T56" i="1"/>
  <c r="T57" i="1" s="1"/>
  <c r="X29" i="1"/>
  <c r="AZ35" i="1"/>
  <c r="AZ36" i="1" s="1"/>
  <c r="AB57" i="1"/>
  <c r="T14" i="1"/>
  <c r="T15" i="1" s="1"/>
  <c r="AO78" i="1"/>
  <c r="BA35" i="1"/>
  <c r="AT54" i="1"/>
  <c r="AT56" i="1" s="1"/>
  <c r="AC5" i="1"/>
  <c r="AC7" i="1" s="1"/>
  <c r="BD78" i="1"/>
  <c r="AC69" i="1"/>
  <c r="AS85" i="1"/>
  <c r="AT33" i="1"/>
  <c r="AT35" i="1" s="1"/>
  <c r="BA21" i="1"/>
  <c r="BU28" i="1"/>
  <c r="BU29" i="1" s="1"/>
  <c r="AZ21" i="1"/>
  <c r="AZ22" i="1" s="1"/>
  <c r="BA25" i="1"/>
  <c r="BA32" i="1"/>
  <c r="AH77" i="1"/>
  <c r="AH78" i="1" s="1"/>
  <c r="AT75" i="1"/>
  <c r="AT77" i="1" s="1"/>
  <c r="I7" i="1"/>
  <c r="I8" i="1" s="1"/>
  <c r="BA81" i="1"/>
  <c r="N63" i="1"/>
  <c r="N64" i="1" s="1"/>
  <c r="AC61" i="1"/>
  <c r="AZ49" i="1"/>
  <c r="AZ50" i="1" s="1"/>
  <c r="BA47" i="1"/>
  <c r="BA49" i="1" s="1"/>
  <c r="AL50" i="1"/>
  <c r="AT46" i="1"/>
  <c r="BA74" i="1"/>
  <c r="AC68" i="1"/>
  <c r="I70" i="1"/>
  <c r="I71" i="1" s="1"/>
  <c r="BA4" i="1"/>
  <c r="I84" i="1"/>
  <c r="I85" i="1" s="1"/>
  <c r="AC82" i="1"/>
  <c r="BA12" i="1"/>
  <c r="BA14" i="1" s="1"/>
  <c r="BA15" i="1" s="1"/>
  <c r="AZ14" i="1"/>
  <c r="AZ15" i="1" s="1"/>
  <c r="BA70" i="1"/>
  <c r="AT19" i="1"/>
  <c r="AT21" i="1" s="1"/>
  <c r="AH21" i="1"/>
  <c r="AH22" i="1" s="1"/>
  <c r="AT11" i="1"/>
  <c r="BA67" i="1"/>
  <c r="BA46" i="1"/>
  <c r="AT68" i="1"/>
  <c r="AT70" i="1" s="1"/>
  <c r="AH70" i="1"/>
  <c r="AH71" i="1" s="1"/>
  <c r="AB43" i="1"/>
  <c r="AT67" i="1"/>
  <c r="AC81" i="1"/>
  <c r="AH57" i="1"/>
  <c r="AT53" i="1"/>
  <c r="AZ42" i="1"/>
  <c r="AZ43" i="1" s="1"/>
  <c r="BA40" i="1"/>
  <c r="BA42" i="1" s="1"/>
  <c r="BA43" i="1" s="1"/>
  <c r="AZ70" i="1"/>
  <c r="AZ71" i="1" s="1"/>
  <c r="AT61" i="1"/>
  <c r="AT63" i="1" s="1"/>
  <c r="AT74" i="1"/>
  <c r="AH7" i="1"/>
  <c r="AH8" i="1" s="1"/>
  <c r="AT5" i="1"/>
  <c r="AT7" i="1" s="1"/>
  <c r="AH42" i="1"/>
  <c r="AH43" i="1" s="1"/>
  <c r="AT40" i="1"/>
  <c r="AT42" i="1" s="1"/>
  <c r="AC74" i="1"/>
  <c r="N42" i="1"/>
  <c r="N43" i="1" s="1"/>
  <c r="AC40" i="1"/>
  <c r="BQ7" i="1"/>
  <c r="BQ8" i="1" s="1"/>
  <c r="AB64" i="1"/>
  <c r="AL28" i="1"/>
  <c r="AL29" i="1" s="1"/>
  <c r="AT26" i="1"/>
  <c r="AT28" i="1" s="1"/>
  <c r="AC67" i="1"/>
  <c r="BA53" i="1"/>
  <c r="AS29" i="1"/>
  <c r="AT25" i="1"/>
  <c r="AC46" i="1"/>
  <c r="AT12" i="1"/>
  <c r="AT14" i="1" s="1"/>
  <c r="AH14" i="1"/>
  <c r="AH15" i="1" s="1"/>
  <c r="AC47" i="1"/>
  <c r="I49" i="1"/>
  <c r="I50" i="1" s="1"/>
  <c r="BA75" i="1"/>
  <c r="BA77" i="1" s="1"/>
  <c r="AZ77" i="1"/>
  <c r="AZ78" i="1" s="1"/>
  <c r="AT4" i="1"/>
  <c r="I56" i="1"/>
  <c r="I57" i="1" s="1"/>
  <c r="AC54" i="1"/>
  <c r="BA54" i="1"/>
  <c r="BA56" i="1" s="1"/>
  <c r="AZ56" i="1"/>
  <c r="AZ57" i="1" s="1"/>
  <c r="AC75" i="1"/>
  <c r="X78" i="1"/>
  <c r="AC25" i="1"/>
  <c r="I14" i="1"/>
  <c r="I15" i="1" s="1"/>
  <c r="AC13" i="1"/>
  <c r="AC12" i="1"/>
  <c r="AC26" i="1"/>
  <c r="AH85" i="1"/>
  <c r="AT81" i="1"/>
  <c r="AC4" i="1"/>
  <c r="AC60" i="1"/>
  <c r="AC19" i="1"/>
  <c r="BX13" i="1" l="1"/>
  <c r="AT36" i="1"/>
  <c r="BX34" i="1"/>
  <c r="BX39" i="1"/>
  <c r="BX76" i="1"/>
  <c r="BX48" i="1"/>
  <c r="AT22" i="1"/>
  <c r="BX62" i="1"/>
  <c r="BX83" i="1"/>
  <c r="BX32" i="1"/>
  <c r="BA85" i="1"/>
  <c r="AT64" i="1"/>
  <c r="BA29" i="1"/>
  <c r="BX55" i="1"/>
  <c r="AT43" i="1"/>
  <c r="BA57" i="1"/>
  <c r="BX41" i="1"/>
  <c r="BX6" i="1"/>
  <c r="AC36" i="1"/>
  <c r="BX27" i="1"/>
  <c r="BA8" i="1"/>
  <c r="BX20" i="1"/>
  <c r="BA71" i="1"/>
  <c r="BX69" i="1"/>
  <c r="AT50" i="1"/>
  <c r="BX33" i="1"/>
  <c r="BX35" i="1" s="1"/>
  <c r="AT85" i="1"/>
  <c r="AT78" i="1"/>
  <c r="AT15" i="1"/>
  <c r="BA22" i="1"/>
  <c r="AT71" i="1"/>
  <c r="AT29" i="1"/>
  <c r="BX18" i="1"/>
  <c r="BA36" i="1"/>
  <c r="BA50" i="1"/>
  <c r="AT57" i="1"/>
  <c r="BX53" i="1"/>
  <c r="BX81" i="1"/>
  <c r="AT8" i="1"/>
  <c r="BX4" i="1"/>
  <c r="AC8" i="1"/>
  <c r="BX67" i="1"/>
  <c r="BX11" i="1"/>
  <c r="BX74" i="1"/>
  <c r="BX5" i="1"/>
  <c r="BX7" i="1" s="1"/>
  <c r="AC21" i="1"/>
  <c r="AC22" i="1" s="1"/>
  <c r="BX19" i="1"/>
  <c r="BX21" i="1" s="1"/>
  <c r="AC77" i="1"/>
  <c r="AC78" i="1" s="1"/>
  <c r="BX75" i="1"/>
  <c r="BX77" i="1" s="1"/>
  <c r="BX68" i="1"/>
  <c r="BX70" i="1" s="1"/>
  <c r="AC70" i="1"/>
  <c r="AC71" i="1" s="1"/>
  <c r="BX26" i="1"/>
  <c r="BX28" i="1" s="1"/>
  <c r="AC28" i="1"/>
  <c r="AC29" i="1" s="1"/>
  <c r="AC49" i="1"/>
  <c r="AC50" i="1" s="1"/>
  <c r="BX47" i="1"/>
  <c r="BX49" i="1" s="1"/>
  <c r="BA78" i="1"/>
  <c r="AC14" i="1"/>
  <c r="AC15" i="1" s="1"/>
  <c r="BX12" i="1"/>
  <c r="BX14" i="1" s="1"/>
  <c r="BX46" i="1"/>
  <c r="AC63" i="1"/>
  <c r="AC64" i="1" s="1"/>
  <c r="BX61" i="1"/>
  <c r="BX63" i="1" s="1"/>
  <c r="BX25" i="1"/>
  <c r="BX60" i="1"/>
  <c r="BX40" i="1"/>
  <c r="BX42" i="1" s="1"/>
  <c r="BX43" i="1" s="1"/>
  <c r="AC42" i="1"/>
  <c r="AC43" i="1" s="1"/>
  <c r="BX54" i="1"/>
  <c r="BX56" i="1" s="1"/>
  <c r="AC56" i="1"/>
  <c r="AC57" i="1" s="1"/>
  <c r="BX82" i="1"/>
  <c r="BX84" i="1" s="1"/>
  <c r="AC84" i="1"/>
  <c r="AC85" i="1" s="1"/>
  <c r="BX36" i="1" l="1"/>
  <c r="BX64" i="1"/>
  <c r="BX15" i="1"/>
  <c r="BX57" i="1"/>
  <c r="BX22" i="1"/>
  <c r="BX78" i="1"/>
  <c r="BX71" i="1"/>
  <c r="BX8" i="1"/>
  <c r="BX88" i="1" s="1"/>
  <c r="BX29" i="1"/>
  <c r="BX50" i="1"/>
  <c r="BX85" i="1"/>
</calcChain>
</file>

<file path=xl/sharedStrings.xml><?xml version="1.0" encoding="utf-8"?>
<sst xmlns="http://schemas.openxmlformats.org/spreadsheetml/2006/main" count="3558" uniqueCount="175">
  <si>
    <t>トナー製造部計</t>
  </si>
  <si>
    <t>メカ製造技術1課</t>
  </si>
  <si>
    <t>メカ製造技術2課</t>
  </si>
  <si>
    <t>電気製造技術課</t>
  </si>
  <si>
    <t>製造技術部</t>
  </si>
  <si>
    <t>生産管理課</t>
  </si>
  <si>
    <t>マスター管理課</t>
  </si>
  <si>
    <t>採算管理課</t>
  </si>
  <si>
    <t>生産管理部</t>
  </si>
  <si>
    <t>部品検査課</t>
  </si>
  <si>
    <t>生産技術部</t>
  </si>
  <si>
    <t>品質保証課</t>
  </si>
  <si>
    <t>品質保証部</t>
  </si>
  <si>
    <t>第1資材課</t>
  </si>
  <si>
    <t>第2資材課</t>
  </si>
  <si>
    <t>資材管理課</t>
  </si>
  <si>
    <t>資材管理部</t>
  </si>
  <si>
    <t>総務課</t>
  </si>
  <si>
    <t>人事課</t>
  </si>
  <si>
    <t>施設課</t>
  </si>
  <si>
    <t>総務人事部</t>
  </si>
  <si>
    <t>会計課</t>
  </si>
  <si>
    <t>経営管理課</t>
  </si>
  <si>
    <t>経営管理部</t>
  </si>
  <si>
    <t>情報システム課</t>
  </si>
  <si>
    <t>出向社員</t>
  </si>
  <si>
    <t>ローカル社員</t>
  </si>
  <si>
    <t>人員合計</t>
  </si>
  <si>
    <t>定時間</t>
  </si>
  <si>
    <t>残業時間</t>
  </si>
  <si>
    <t>トナー製造課</t>
  </si>
  <si>
    <t>トナー生産技術課</t>
  </si>
  <si>
    <t>金型技術課</t>
  </si>
  <si>
    <t>生産技術本部  </t>
  </si>
  <si>
    <t>製品開発部</t>
  </si>
  <si>
    <t>KDTVN合計</t>
    <rPh sb="5" eb="7">
      <t>ゴウケイ</t>
    </rPh>
    <phoneticPr fontId="2"/>
  </si>
  <si>
    <t>部品製造課</t>
  </si>
  <si>
    <t>部品製造部</t>
  </si>
  <si>
    <t>部品技術課</t>
  </si>
  <si>
    <t>第3資材課</t>
  </si>
  <si>
    <t>人員</t>
  </si>
  <si>
    <t>CHECK</t>
  </si>
  <si>
    <t>採用課</t>
  </si>
  <si>
    <t>合計</t>
  </si>
  <si>
    <t>定時間合計</t>
  </si>
  <si>
    <t>残業時間合計</t>
  </si>
  <si>
    <t>KDTVN</t>
  </si>
  <si>
    <t>→　１＝日本語(tiếng nhật)、２＝ベトナム語(tiếng việt)</t>
  </si>
  <si>
    <t>Mã TK
コード</t>
  </si>
  <si>
    <t>Dự tính  Thời gian (người Việt )
残業時間（ローカル社員）</t>
  </si>
  <si>
    <t>Dự tính  Số người 
人員（ローカル社員）</t>
  </si>
  <si>
    <t>トナー製造部</t>
  </si>
  <si>
    <t>BẢNG DỰ TÍNH THỜI GIAN LÀM THÊM GIỜ THÁNG 6</t>
  </si>
  <si>
    <t>BẢNG DỰ TÍNH THỜI GIAN LÀM THÊM GIỜ THÁNG 7</t>
  </si>
  <si>
    <t>BẢNG DỰ TÍNH THỜI GIAN LÀM THÊM GIỜ THÁNG 8</t>
  </si>
  <si>
    <t>BẢNG DỰ TÍNH THỜI GIAN LÀM THÊM GIỜ THÁNG 9</t>
  </si>
  <si>
    <t>BẢNG DỰ TÍNH THỜI GIAN LÀM THÊM GIỜ THÁNG 10</t>
  </si>
  <si>
    <t>BẢNG DỰ TÍNH THỜI GIAN LÀM THÊM GIỜ THÁNG 11</t>
  </si>
  <si>
    <t>BẢNG DỰ TÍNH THỜI GIAN LÀM THÊM GIỜ THÁNG 12</t>
  </si>
  <si>
    <t>BẢNG DỰ TÍNH THỜI GIAN LÀM THÊM GIỜ THÁNG 1</t>
  </si>
  <si>
    <t>BẢNG DỰ TÍNH THỜI GIAN LÀM THÊM GIỜ THÁNG 2</t>
  </si>
  <si>
    <t>BẢNG DỰ TÍNH THỜI GIAN LÀM THÊM GIỜ THÁNG 3</t>
  </si>
  <si>
    <t>BẢNG DỰ TÍNH SỐ NGƯỜI &amp; THỜI GIAN LÀM THÊM THÁNG 4</t>
  </si>
  <si>
    <t>BẢNG DỰ TÍNH SỐ NGƯỜI &amp; THỜI GIAN LÀM THÊM THÁNG 5</t>
  </si>
  <si>
    <t>Nhân Viên
 (Staff )</t>
  </si>
  <si>
    <t>Công nhân
(Worker)</t>
  </si>
  <si>
    <t>RPS製造課</t>
  </si>
  <si>
    <t>1</t>
  </si>
  <si>
    <t>貿易管理課</t>
  </si>
  <si>
    <t>資材部</t>
  </si>
  <si>
    <t>外製品質管理部</t>
  </si>
  <si>
    <t>TYPE</t>
  </si>
  <si>
    <t>Trung tâm chi phí
原価センター</t>
  </si>
  <si>
    <t>a.</t>
  </si>
  <si>
    <t>b.</t>
  </si>
  <si>
    <t>c.</t>
  </si>
  <si>
    <t>d.</t>
  </si>
  <si>
    <t>f.</t>
  </si>
  <si>
    <t>g.</t>
  </si>
  <si>
    <t>i.</t>
  </si>
  <si>
    <t>j.</t>
  </si>
  <si>
    <t>k.</t>
  </si>
  <si>
    <t>l.</t>
  </si>
  <si>
    <t>m.</t>
  </si>
  <si>
    <t>o.</t>
  </si>
  <si>
    <t>p.</t>
  </si>
  <si>
    <t>生産技術1課</t>
  </si>
  <si>
    <t>生産技術2課</t>
  </si>
  <si>
    <t>Bộ phận
組織部</t>
  </si>
  <si>
    <t>Phòng
組織課</t>
  </si>
  <si>
    <t>工程品質管理1課</t>
  </si>
  <si>
    <t>工程品質管理2課</t>
  </si>
  <si>
    <t>物流部</t>
  </si>
  <si>
    <t>物流管理課</t>
  </si>
  <si>
    <t>外製管理課</t>
  </si>
  <si>
    <t>製品保証課</t>
  </si>
  <si>
    <t>第4資材課</t>
  </si>
  <si>
    <t>e.</t>
  </si>
  <si>
    <t>組織名</t>
  </si>
  <si>
    <t>原価センター</t>
  </si>
  <si>
    <t>MD1課</t>
  </si>
  <si>
    <t>MD2課</t>
  </si>
  <si>
    <t>EI1課</t>
  </si>
  <si>
    <t>EI2課</t>
  </si>
  <si>
    <t>1412C00001</t>
  </si>
  <si>
    <t>労働組合</t>
  </si>
  <si>
    <t>G5以上</t>
  </si>
  <si>
    <t>G7, G6</t>
  </si>
  <si>
    <t>製品管理課</t>
  </si>
  <si>
    <t>部品管理課</t>
  </si>
  <si>
    <t xml:space="preserve">          →　１＝日本語(tiếng nhật)、２＝ベトナム語(tiếng việt)</t>
  </si>
  <si>
    <t>機器製造2課</t>
  </si>
  <si>
    <t>機器製造管理課</t>
  </si>
  <si>
    <t>Tên phòng ban</t>
  </si>
  <si>
    <t>機器製造部</t>
  </si>
  <si>
    <t>機器製造1課</t>
  </si>
  <si>
    <t>工程品質管理部</t>
  </si>
  <si>
    <t>トナー製造管理課</t>
  </si>
  <si>
    <t>機器製造3課</t>
  </si>
  <si>
    <t>MD3課</t>
  </si>
  <si>
    <t>生産技術3課</t>
  </si>
  <si>
    <t>トナー品質管理課</t>
  </si>
  <si>
    <t>品質管理課</t>
  </si>
  <si>
    <t>部品製造管理課</t>
    <phoneticPr fontId="53"/>
  </si>
  <si>
    <t>メカ製造技術3課</t>
    <phoneticPr fontId="53"/>
  </si>
  <si>
    <t>工程品質管理部</t>
    <phoneticPr fontId="53"/>
  </si>
  <si>
    <t>ITソリューション推進部</t>
  </si>
  <si>
    <t>外製品質管理部</t>
    <phoneticPr fontId="53"/>
  </si>
  <si>
    <t>製造本</t>
    <phoneticPr fontId="53"/>
  </si>
  <si>
    <t>部品検査1課</t>
  </si>
  <si>
    <t>部品検査2課</t>
  </si>
  <si>
    <t>ESD1課</t>
  </si>
  <si>
    <t>製品開発本部</t>
  </si>
  <si>
    <t>人材開発課</t>
  </si>
  <si>
    <t>リスクマネジメント課</t>
  </si>
  <si>
    <t>保安課</t>
  </si>
  <si>
    <t>FY2024_MP</t>
  </si>
  <si>
    <t>部品製造管理課</t>
  </si>
  <si>
    <t>メカ製造技術3課</t>
  </si>
  <si>
    <t>◆FY2025マスタープラン人員・時間計画表</t>
  </si>
  <si>
    <t>原価センタ</t>
  </si>
  <si>
    <t>名称</t>
  </si>
  <si>
    <t>取締役共通</t>
  </si>
  <si>
    <t>製造本部</t>
  </si>
  <si>
    <t>生産技術本部</t>
  </si>
  <si>
    <t>機器工程品質管理部</t>
  </si>
  <si>
    <t>部品技術部</t>
  </si>
  <si>
    <t>ESD2課</t>
  </si>
  <si>
    <t>1412A00004</t>
  </si>
  <si>
    <t>Số người</t>
  </si>
  <si>
    <t>Nhân viên công tác</t>
  </si>
  <si>
    <t>Nhân viên địa phương</t>
  </si>
  <si>
    <t>Tổng số người</t>
  </si>
  <si>
    <t>Thời gian cố định</t>
  </si>
  <si>
    <t>Tổng thời gian cố định</t>
  </si>
  <si>
    <t>Thời gian thêm giờ</t>
  </si>
  <si>
    <t>Tổng thời gian thêm giờ</t>
  </si>
  <si>
    <t>KEY</t>
  </si>
  <si>
    <t>G7,G6</t>
  </si>
  <si>
    <t>G5 trở lên</t>
  </si>
  <si>
    <t>電工製造課</t>
  </si>
  <si>
    <t>部品在庫管理課</t>
  </si>
  <si>
    <t>部品管理1課</t>
  </si>
  <si>
    <t>部品管理2課</t>
  </si>
  <si>
    <t>工程品質管理3課</t>
  </si>
  <si>
    <t>工程品質管理4課</t>
  </si>
  <si>
    <t>部品品質管理課</t>
  </si>
  <si>
    <t>MD4課</t>
  </si>
  <si>
    <t>MD5課</t>
  </si>
  <si>
    <t>電工製造部</t>
  </si>
  <si>
    <t>部品品質管理部</t>
  </si>
  <si>
    <t>調整</t>
  </si>
  <si>
    <t>14120000XX</t>
  </si>
  <si>
    <t>14120000YY</t>
  </si>
  <si>
    <t>14120000ZZ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</si>
</sst>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81" formatCode="_(* #,##0_);_(* \(#,##0\);_(* &quot;-&quot;_);_(@_)"/>
    <numFmt numFmtId="183" formatCode="_(* #,##0.00_);_(* \(#,##0.00\);_(* &quot;-&quot;??_);_(@_)"/>
    <numFmt numFmtId="186" formatCode="#,##0_ ;[Red]\-#,##0\ "/>
    <numFmt numFmtId="187" formatCode="#,##0_ ;[Red]\-#,##0_)"/>
    <numFmt numFmtId="188" formatCode="#,##0.0_);[Red]\-#,##0.0_)"/>
    <numFmt numFmtId="189" formatCode="0&quot;月&quot;"/>
    <numFmt numFmtId="190" formatCode="#,##0.0_);[Red]\(#,##0.0\)"/>
    <numFmt numFmtId="193" formatCode="_(* #,##0.0_);_(* \(#,##0.0\);_(* &quot;-&quot;??_);_(@_)"/>
    <numFmt numFmtId="194" formatCode="0&quot;月_人員-残業時間予表&quot;"/>
    <numFmt numFmtId="200" formatCode="#,##0.0"/>
  </numFmts>
  <fonts count="71">
    <font>
      <sz val="11"/>
      <color theme="1"/>
      <name val="Calibri"/>
      <family val="3"/>
      <charset val="128"/>
      <scheme val="minor"/>
    </font>
    <font>
      <sz val="11"/>
      <color indexed="8"/>
      <name val="Calibri"/>
      <family val="2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0"/>
      <color indexed="8"/>
      <name val="Times"/>
      <family val="1"/>
    </font>
    <font>
      <b/>
      <sz val="10"/>
      <color indexed="8"/>
      <name val="Times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ＭＳ Ｐゴシック"/>
      <family val="3"/>
      <charset val="128"/>
    </font>
    <font>
      <b/>
      <sz val="10"/>
      <name val="Times"/>
      <family val="1"/>
    </font>
    <font>
      <sz val="10"/>
      <name val="Times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6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theme="0"/>
      <name val="Calibri"/>
      <family val="3"/>
      <charset val="128"/>
      <scheme val="minor"/>
    </font>
    <font>
      <u/>
      <sz val="11"/>
      <color theme="10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rgb="FFFF0000"/>
      <name val="Calibri"/>
      <family val="3"/>
      <charset val="128"/>
      <scheme val="minor"/>
    </font>
    <font>
      <sz val="11"/>
      <name val="Calibri"/>
      <family val="3"/>
      <charset val="128"/>
      <scheme val="minor"/>
    </font>
    <font>
      <b/>
      <sz val="11"/>
      <name val="Calibri"/>
      <family val="3"/>
      <charset val="128"/>
      <scheme val="minor"/>
    </font>
    <font>
      <sz val="10"/>
      <color theme="0"/>
      <name val="Times"/>
      <family val="1"/>
    </font>
    <font>
      <sz val="10"/>
      <color theme="0"/>
      <name val="Times New Roman"/>
      <family val="1"/>
    </font>
    <font>
      <sz val="10"/>
      <color theme="0"/>
      <name val="ＭＳ Ｐゴシック"/>
      <family val="3"/>
      <charset val="128"/>
    </font>
    <font>
      <sz val="16"/>
      <name val="Calibri"/>
      <family val="3"/>
      <charset val="128"/>
      <scheme val="minor"/>
    </font>
    <font>
      <sz val="8"/>
      <name val="Calibri"/>
      <family val="3"/>
      <charset val="128"/>
      <scheme val="minor"/>
    </font>
    <font>
      <b/>
      <sz val="16"/>
      <color theme="1"/>
      <name val="Calibri"/>
      <family val="3"/>
      <charset val="128"/>
      <scheme val="minor"/>
    </font>
    <font>
      <sz val="8"/>
      <color theme="0"/>
      <name val="Calibri"/>
      <family val="3"/>
      <charset val="128"/>
      <scheme val="minor"/>
    </font>
    <font>
      <b/>
      <sz val="11"/>
      <color theme="1"/>
      <name val="Times New Roman"/>
      <family val="1"/>
    </font>
    <font>
      <b/>
      <sz val="11"/>
      <color rgb="FFFF0000"/>
      <name val="Calibri"/>
      <family val="3"/>
      <charset val="128"/>
      <scheme val="minor"/>
    </font>
    <font>
      <sz val="10"/>
      <name val="Calibri"/>
      <family val="3"/>
      <charset val="128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9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28">
    <xf numFmtId="0" fontId="0" fillId="0" borderId="0"/>
    <xf numFmtId="0" fontId="5" fillId="0" borderId="0" applyBorder="0"/>
    <xf numFmtId="0" fontId="6" fillId="2" borderId="0" applyNumberFormat="0" applyBorder="0" applyAlignment="0" applyProtection="0"/>
    <xf numFmtId="0" fontId="1" fillId="2" borderId="0" applyNumberFormat="0" applyBorder="0" applyAlignment="0" applyProtection="0"/>
    <xf numFmtId="0" fontId="6" fillId="3" borderId="0" applyNumberFormat="0" applyBorder="0" applyAlignment="0" applyProtection="0"/>
    <xf numFmtId="0" fontId="1" fillId="3" borderId="0" applyNumberFormat="0" applyBorder="0" applyAlignment="0" applyProtection="0"/>
    <xf numFmtId="0" fontId="6" fillId="4" borderId="0" applyNumberFormat="0" applyBorder="0" applyAlignment="0" applyProtection="0"/>
    <xf numFmtId="0" fontId="1" fillId="4" borderId="0" applyNumberFormat="0" applyBorder="0" applyAlignment="0" applyProtection="0"/>
    <xf numFmtId="0" fontId="6" fillId="5" borderId="0" applyNumberFormat="0" applyBorder="0" applyAlignment="0" applyProtection="0"/>
    <xf numFmtId="0" fontId="1" fillId="5" borderId="0" applyNumberFormat="0" applyBorder="0" applyAlignment="0" applyProtection="0"/>
    <xf numFmtId="0" fontId="6" fillId="6" borderId="0" applyNumberFormat="0" applyBorder="0" applyAlignment="0" applyProtection="0"/>
    <xf numFmtId="0" fontId="1" fillId="6" borderId="0" applyNumberFormat="0" applyBorder="0" applyAlignment="0" applyProtection="0"/>
    <xf numFmtId="0" fontId="6" fillId="7" borderId="0" applyNumberFormat="0" applyBorder="0" applyAlignment="0" applyProtection="0"/>
    <xf numFmtId="0" fontId="1" fillId="7" borderId="0" applyNumberFormat="0" applyBorder="0" applyAlignment="0" applyProtection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0" borderId="0" applyBorder="0"/>
    <xf numFmtId="0" fontId="6" fillId="8" borderId="0" applyNumberFormat="0" applyBorder="0" applyAlignment="0" applyProtection="0"/>
    <xf numFmtId="0" fontId="1" fillId="8" borderId="0" applyNumberFormat="0" applyBorder="0" applyAlignment="0" applyProtection="0"/>
    <xf numFmtId="0" fontId="6" fillId="9" borderId="0" applyNumberFormat="0" applyBorder="0" applyAlignment="0" applyProtection="0"/>
    <xf numFmtId="0" fontId="1" fillId="9" borderId="0" applyNumberFormat="0" applyBorder="0" applyAlignment="0" applyProtection="0"/>
    <xf numFmtId="0" fontId="6" fillId="10" borderId="0" applyNumberFormat="0" applyBorder="0" applyAlignment="0" applyProtection="0"/>
    <xf numFmtId="0" fontId="1" fillId="10" borderId="0" applyNumberFormat="0" applyBorder="0" applyAlignment="0" applyProtection="0"/>
    <xf numFmtId="0" fontId="6" fillId="5" borderId="0" applyNumberFormat="0" applyBorder="0" applyAlignment="0" applyProtection="0"/>
    <xf numFmtId="0" fontId="1" fillId="5" borderId="0" applyNumberFormat="0" applyBorder="0" applyAlignment="0" applyProtection="0"/>
    <xf numFmtId="0" fontId="6" fillId="8" borderId="0" applyNumberFormat="0" applyBorder="0" applyAlignment="0" applyProtection="0"/>
    <xf numFmtId="0" fontId="1" fillId="8" borderId="0" applyNumberFormat="0" applyBorder="0" applyAlignment="0" applyProtection="0"/>
    <xf numFmtId="0" fontId="6" fillId="11" borderId="0" applyNumberFormat="0" applyBorder="0" applyAlignment="0" applyProtection="0"/>
    <xf numFmtId="0" fontId="1" fillId="11" borderId="0" applyNumberFormat="0" applyBorder="0" applyAlignment="0" applyProtection="0"/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183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54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181" fontId="54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183" fontId="6" fillId="0" borderId="0" applyFont="0" applyFill="0" applyBorder="0" applyAlignment="0" applyProtection="0"/>
    <xf numFmtId="183" fontId="1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40" fontId="2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40" fontId="2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0" fontId="54" fillId="0" borderId="0" applyFont="0" applyFill="0" applyBorder="0" applyAlignment="0" applyProtection="0">
      <alignment vertical="center"/>
    </xf>
    <xf numFmtId="40" fontId="54" fillId="0" borderId="0" applyFont="0" applyFill="0" applyBorder="0" applyAlignment="0" applyProtection="0">
      <alignment vertical="center"/>
    </xf>
    <xf numFmtId="40" fontId="54" fillId="0" borderId="0" applyFont="0" applyFill="0" applyBorder="0" applyAlignment="0" applyProtection="0">
      <alignment vertical="center"/>
    </xf>
    <xf numFmtId="40" fontId="54" fillId="0" borderId="0" applyFont="0" applyFill="0" applyBorder="0" applyAlignment="0" applyProtection="0">
      <alignment vertical="center"/>
    </xf>
    <xf numFmtId="40" fontId="54" fillId="0" borderId="0" applyFont="0" applyFill="0" applyBorder="0" applyAlignment="0" applyProtection="0">
      <alignment vertical="center"/>
    </xf>
    <xf numFmtId="40" fontId="54" fillId="0" borderId="0" applyFont="0" applyFill="0" applyBorder="0" applyAlignment="0" applyProtection="0">
      <alignment vertical="center"/>
    </xf>
    <xf numFmtId="40" fontId="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2" fillId="0" borderId="0" applyNumberFormat="0" applyFill="0" applyBorder="0" applyAlignment="0" applyProtection="0"/>
    <xf numFmtId="0" fontId="54" fillId="0" borderId="0">
      <alignment vertical="center"/>
    </xf>
    <xf numFmtId="0" fontId="21" fillId="0" borderId="0">
      <alignment vertical="top"/>
    </xf>
    <xf numFmtId="0" fontId="2" fillId="0" borderId="0"/>
    <xf numFmtId="0" fontId="54" fillId="0" borderId="0"/>
    <xf numFmtId="0" fontId="54" fillId="0" borderId="0"/>
    <xf numFmtId="0" fontId="2" fillId="23" borderId="7" applyNumberFormat="0" applyFont="0" applyAlignment="0" applyProtection="0"/>
    <xf numFmtId="0" fontId="22" fillId="20" borderId="8" applyNumberFormat="0" applyAlignment="0" applyProtection="0"/>
    <xf numFmtId="9" fontId="2" fillId="0" borderId="0" applyFont="0" applyFill="0" applyBorder="0" applyAlignment="0" applyProtection="0"/>
    <xf numFmtId="9" fontId="5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1" borderId="2" applyNumberFormat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54" fillId="0" borderId="0" applyFont="0" applyFill="0" applyBorder="0" applyAlignment="0" applyProtection="0">
      <alignment vertical="center"/>
    </xf>
    <xf numFmtId="0" fontId="2" fillId="23" borderId="7" applyNumberFormat="0" applyFont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" fillId="0" borderId="0"/>
    <xf numFmtId="0" fontId="39" fillId="20" borderId="1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40" fontId="2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54" fillId="0" borderId="0" applyFont="0" applyFill="0" applyBorder="0" applyAlignment="0" applyProtection="0">
      <alignment vertical="center"/>
    </xf>
    <xf numFmtId="38" fontId="54" fillId="0" borderId="0" applyFont="0" applyFill="0" applyBorder="0" applyAlignment="0" applyProtection="0">
      <alignment vertical="center"/>
    </xf>
    <xf numFmtId="38" fontId="54" fillId="0" borderId="0" applyFont="0" applyFill="0" applyBorder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7" fillId="0" borderId="4" applyNumberFormat="0" applyFill="0" applyAlignment="0" applyProtection="0">
      <alignment vertical="center"/>
    </xf>
    <xf numFmtId="0" fontId="38" fillId="0" borderId="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31" fillId="20" borderId="8" applyNumberFormat="0" applyAlignment="0" applyProtection="0">
      <alignment vertical="center"/>
    </xf>
    <xf numFmtId="0" fontId="32" fillId="0" borderId="0"/>
    <xf numFmtId="0" fontId="40" fillId="0" borderId="0" applyNumberFormat="0" applyFill="0" applyBorder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2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2" fillId="0" borderId="0">
      <alignment vertical="center"/>
    </xf>
    <xf numFmtId="0" fontId="2" fillId="0" borderId="0" applyBorder="0"/>
    <xf numFmtId="0" fontId="34" fillId="0" borderId="0"/>
    <xf numFmtId="0" fontId="35" fillId="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/>
  </cellStyleXfs>
  <cellXfs count="35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Border="1" applyProtection="1">
      <protection locked="0"/>
    </xf>
    <xf numFmtId="0" fontId="3" fillId="0" borderId="0" xfId="0" applyFont="1" applyProtection="1">
      <protection locked="0"/>
    </xf>
    <xf numFmtId="38" fontId="57" fillId="25" borderId="0" xfId="0" applyNumberFormat="1" applyFont="1" applyFill="1"/>
    <xf numFmtId="187" fontId="59" fillId="26" borderId="10" xfId="60" applyNumberFormat="1" applyFont="1" applyFill="1" applyBorder="1" applyAlignment="1" applyProtection="1">
      <alignment vertical="center"/>
      <protection locked="0"/>
    </xf>
    <xf numFmtId="187" fontId="59" fillId="26" borderId="11" xfId="60" applyNumberFormat="1" applyFont="1" applyFill="1" applyBorder="1" applyAlignment="1" applyProtection="1">
      <alignment vertical="center"/>
      <protection locked="0"/>
    </xf>
    <xf numFmtId="187" fontId="59" fillId="26" borderId="12" xfId="60" applyNumberFormat="1" applyFont="1" applyFill="1" applyBorder="1" applyAlignment="1" applyProtection="1">
      <alignment vertical="center"/>
      <protection locked="0"/>
    </xf>
    <xf numFmtId="187" fontId="59" fillId="26" borderId="13" xfId="60" applyNumberFormat="1" applyFont="1" applyFill="1" applyBorder="1" applyAlignment="1" applyProtection="1">
      <alignment vertical="center"/>
    </xf>
    <xf numFmtId="187" fontId="60" fillId="27" borderId="14" xfId="60" applyNumberFormat="1" applyFont="1" applyFill="1" applyBorder="1" applyAlignment="1" applyProtection="1">
      <alignment vertical="center"/>
    </xf>
    <xf numFmtId="189" fontId="57" fillId="28" borderId="15" xfId="0" applyNumberFormat="1" applyFont="1" applyFill="1" applyBorder="1" applyAlignment="1" applyProtection="1">
      <alignment horizontal="center" vertical="center" wrapText="1"/>
    </xf>
    <xf numFmtId="0" fontId="0" fillId="0" borderId="0" xfId="0" applyFill="1"/>
    <xf numFmtId="186" fontId="60" fillId="29" borderId="16" xfId="61" applyNumberFormat="1" applyFont="1" applyFill="1" applyBorder="1" applyAlignment="1" applyProtection="1"/>
    <xf numFmtId="187" fontId="60" fillId="0" borderId="16" xfId="60" applyNumberFormat="1" applyFont="1" applyFill="1" applyBorder="1" applyAlignment="1" applyProtection="1">
      <alignment vertical="center"/>
    </xf>
    <xf numFmtId="187" fontId="59" fillId="26" borderId="11" xfId="60" applyNumberFormat="1" applyFont="1" applyFill="1" applyBorder="1" applyAlignment="1" applyProtection="1">
      <alignment horizontal="right" vertical="center"/>
      <protection locked="0"/>
    </xf>
    <xf numFmtId="187" fontId="59" fillId="26" borderId="12" xfId="60" applyNumberFormat="1" applyFont="1" applyFill="1" applyBorder="1" applyAlignment="1" applyProtection="1">
      <alignment horizontal="right" vertical="center"/>
      <protection locked="0"/>
    </xf>
    <xf numFmtId="0" fontId="55" fillId="0" borderId="0" xfId="0" applyFont="1" applyFill="1"/>
    <xf numFmtId="0" fontId="55" fillId="0" borderId="0" xfId="0" applyFont="1"/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3" fillId="0" borderId="10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/>
    </xf>
    <xf numFmtId="0" fontId="44" fillId="0" borderId="17" xfId="0" applyFont="1" applyBorder="1" applyAlignment="1">
      <alignment vertical="center"/>
    </xf>
    <xf numFmtId="0" fontId="48" fillId="0" borderId="17" xfId="0" applyFont="1" applyBorder="1" applyAlignment="1">
      <alignment vertical="center"/>
    </xf>
    <xf numFmtId="0" fontId="43" fillId="0" borderId="18" xfId="0" applyFont="1" applyBorder="1" applyAlignment="1">
      <alignment horizontal="center" vertical="center"/>
    </xf>
    <xf numFmtId="0" fontId="44" fillId="0" borderId="18" xfId="0" applyFont="1" applyBorder="1" applyAlignment="1">
      <alignment horizontal="center" vertical="center"/>
    </xf>
    <xf numFmtId="0" fontId="43" fillId="0" borderId="18" xfId="0" applyFont="1" applyBorder="1" applyAlignment="1">
      <alignment vertical="center"/>
    </xf>
    <xf numFmtId="0" fontId="49" fillId="0" borderId="18" xfId="0" applyFont="1" applyBorder="1" applyAlignment="1">
      <alignment vertical="center"/>
    </xf>
    <xf numFmtId="0" fontId="44" fillId="0" borderId="15" xfId="0" applyFont="1" applyBorder="1" applyAlignment="1">
      <alignment horizontal="center" vertical="center" wrapText="1"/>
    </xf>
    <xf numFmtId="0" fontId="43" fillId="0" borderId="19" xfId="0" applyFont="1" applyBorder="1" applyAlignment="1">
      <alignment horizontal="center" vertical="center"/>
    </xf>
    <xf numFmtId="0" fontId="44" fillId="0" borderId="19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Continuous" vertical="center" wrapText="1"/>
    </xf>
    <xf numFmtId="0" fontId="49" fillId="0" borderId="18" xfId="0" applyFont="1" applyBorder="1" applyAlignment="1">
      <alignment horizontal="right" vertical="center"/>
    </xf>
    <xf numFmtId="190" fontId="48" fillId="0" borderId="17" xfId="79" applyNumberFormat="1" applyFont="1" applyBorder="1" applyAlignment="1">
      <alignment horizontal="right" vertical="center"/>
    </xf>
    <xf numFmtId="190" fontId="49" fillId="0" borderId="18" xfId="79" applyNumberFormat="1" applyFont="1" applyBorder="1" applyAlignment="1">
      <alignment horizontal="right" vertical="center"/>
    </xf>
    <xf numFmtId="3" fontId="48" fillId="0" borderId="17" xfId="79" applyNumberFormat="1" applyFont="1" applyBorder="1" applyAlignment="1">
      <alignment horizontal="right" vertical="center"/>
    </xf>
    <xf numFmtId="0" fontId="43" fillId="0" borderId="20" xfId="0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43" fillId="0" borderId="20" xfId="0" applyFont="1" applyBorder="1" applyAlignment="1">
      <alignment vertical="center"/>
    </xf>
    <xf numFmtId="0" fontId="49" fillId="0" borderId="20" xfId="0" applyFont="1" applyBorder="1" applyAlignment="1">
      <alignment vertical="center"/>
    </xf>
    <xf numFmtId="0" fontId="43" fillId="0" borderId="21" xfId="0" applyFont="1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43" fillId="0" borderId="21" xfId="0" applyFont="1" applyBorder="1" applyAlignment="1">
      <alignment vertical="center"/>
    </xf>
    <xf numFmtId="0" fontId="49" fillId="0" borderId="21" xfId="0" applyFont="1" applyBorder="1" applyAlignment="1">
      <alignment vertical="center"/>
    </xf>
    <xf numFmtId="190" fontId="49" fillId="0" borderId="20" xfId="79" applyNumberFormat="1" applyFont="1" applyBorder="1" applyAlignment="1">
      <alignment horizontal="right" vertical="center"/>
    </xf>
    <xf numFmtId="190" fontId="49" fillId="0" borderId="21" xfId="79" applyNumberFormat="1" applyFont="1" applyBorder="1" applyAlignment="1">
      <alignment horizontal="right" vertical="center"/>
    </xf>
    <xf numFmtId="0" fontId="49" fillId="0" borderId="21" xfId="0" applyFont="1" applyBorder="1" applyAlignment="1">
      <alignment horizontal="right" vertical="center"/>
    </xf>
    <xf numFmtId="0" fontId="44" fillId="0" borderId="22" xfId="0" applyFont="1" applyBorder="1" applyAlignment="1">
      <alignment horizontal="center" vertical="center" wrapText="1"/>
    </xf>
    <xf numFmtId="0" fontId="57" fillId="0" borderId="0" xfId="0" applyFont="1"/>
    <xf numFmtId="3" fontId="49" fillId="0" borderId="18" xfId="79" applyNumberFormat="1" applyFont="1" applyBorder="1" applyAlignment="1">
      <alignment horizontal="right" vertical="center"/>
    </xf>
    <xf numFmtId="0" fontId="44" fillId="0" borderId="20" xfId="0" applyFont="1" applyBorder="1" applyAlignment="1">
      <alignment vertical="center"/>
    </xf>
    <xf numFmtId="0" fontId="48" fillId="0" borderId="20" xfId="0" applyFont="1" applyBorder="1" applyAlignment="1">
      <alignment vertical="center"/>
    </xf>
    <xf numFmtId="190" fontId="48" fillId="0" borderId="20" xfId="79" applyNumberFormat="1" applyFont="1" applyBorder="1" applyAlignment="1">
      <alignment horizontal="right" vertical="center"/>
    </xf>
    <xf numFmtId="3" fontId="48" fillId="0" borderId="20" xfId="79" applyNumberFormat="1" applyFont="1" applyBorder="1" applyAlignment="1">
      <alignment horizontal="right" vertical="center"/>
    </xf>
    <xf numFmtId="3" fontId="49" fillId="0" borderId="21" xfId="79" applyNumberFormat="1" applyFont="1" applyBorder="1" applyAlignment="1">
      <alignment horizontal="right" vertical="center"/>
    </xf>
    <xf numFmtId="3" fontId="49" fillId="0" borderId="20" xfId="79" applyNumberFormat="1" applyFont="1" applyBorder="1" applyAlignment="1">
      <alignment horizontal="right" vertical="center"/>
    </xf>
    <xf numFmtId="0" fontId="44" fillId="0" borderId="10" xfId="0" applyFont="1" applyBorder="1" applyAlignment="1">
      <alignment horizontal="center" vertical="center"/>
    </xf>
    <xf numFmtId="0" fontId="48" fillId="0" borderId="20" xfId="0" applyFont="1" applyBorder="1" applyAlignment="1">
      <alignment horizontal="right" vertical="center"/>
    </xf>
    <xf numFmtId="0" fontId="61" fillId="0" borderId="18" xfId="0" applyFont="1" applyBorder="1" applyAlignment="1">
      <alignment horizontal="center" vertical="center"/>
    </xf>
    <xf numFmtId="0" fontId="61" fillId="0" borderId="21" xfId="0" applyFont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1" fontId="62" fillId="0" borderId="0" xfId="0" applyNumberFormat="1" applyFont="1" applyBorder="1" applyAlignment="1">
      <alignment horizontal="centerContinuous" vertical="center"/>
    </xf>
    <xf numFmtId="0" fontId="62" fillId="0" borderId="0" xfId="0" applyFont="1" applyBorder="1" applyAlignment="1">
      <alignment horizontal="centerContinuous" vertical="center"/>
    </xf>
    <xf numFmtId="1" fontId="62" fillId="0" borderId="23" xfId="0" applyNumberFormat="1" applyFont="1" applyBorder="1" applyAlignment="1">
      <alignment horizontal="centerContinuous" vertical="center"/>
    </xf>
    <xf numFmtId="1" fontId="62" fillId="0" borderId="24" xfId="0" applyNumberFormat="1" applyFont="1" applyBorder="1" applyAlignment="1">
      <alignment horizontal="centerContinuous" vertical="center"/>
    </xf>
    <xf numFmtId="0" fontId="62" fillId="0" borderId="23" xfId="0" applyFont="1" applyBorder="1" applyAlignment="1">
      <alignment horizontal="centerContinuous" vertical="center"/>
    </xf>
    <xf numFmtId="2" fontId="63" fillId="0" borderId="0" xfId="0" applyNumberFormat="1" applyFont="1" applyBorder="1" applyAlignment="1">
      <alignment horizontal="centerContinuous" vertical="center"/>
    </xf>
    <xf numFmtId="2" fontId="63" fillId="0" borderId="24" xfId="0" applyNumberFormat="1" applyFont="1" applyBorder="1" applyAlignment="1">
      <alignment horizontal="centerContinuous" vertical="center"/>
    </xf>
    <xf numFmtId="0" fontId="63" fillId="0" borderId="23" xfId="0" applyFont="1" applyBorder="1" applyAlignment="1">
      <alignment horizontal="center" vertical="center"/>
    </xf>
    <xf numFmtId="0" fontId="63" fillId="0" borderId="0" xfId="0" applyFont="1" applyBorder="1" applyAlignment="1">
      <alignment horizontal="center" vertical="center"/>
    </xf>
    <xf numFmtId="0" fontId="63" fillId="0" borderId="24" xfId="0" applyFont="1" applyBorder="1" applyAlignment="1">
      <alignment horizontal="center" vertical="center"/>
    </xf>
    <xf numFmtId="0" fontId="44" fillId="0" borderId="25" xfId="0" applyFont="1" applyBorder="1" applyAlignment="1">
      <alignment horizontal="centerContinuous" vertical="center" wrapText="1"/>
    </xf>
    <xf numFmtId="0" fontId="44" fillId="0" borderId="26" xfId="0" applyFont="1" applyBorder="1" applyAlignment="1">
      <alignment horizontal="centerContinuous" vertical="center" wrapText="1"/>
    </xf>
    <xf numFmtId="190" fontId="48" fillId="0" borderId="27" xfId="79" applyNumberFormat="1" applyFont="1" applyBorder="1" applyAlignment="1">
      <alignment horizontal="right" vertical="center"/>
    </xf>
    <xf numFmtId="3" fontId="48" fillId="0" borderId="28" xfId="79" applyNumberFormat="1" applyFont="1" applyBorder="1" applyAlignment="1">
      <alignment horizontal="right" vertical="center"/>
    </xf>
    <xf numFmtId="190" fontId="49" fillId="0" borderId="29" xfId="79" applyNumberFormat="1" applyFont="1" applyBorder="1" applyAlignment="1">
      <alignment horizontal="right" vertical="center"/>
    </xf>
    <xf numFmtId="38" fontId="49" fillId="0" borderId="30" xfId="79" applyNumberFormat="1" applyFont="1" applyBorder="1" applyAlignment="1">
      <alignment horizontal="right" vertical="center"/>
    </xf>
    <xf numFmtId="190" fontId="49" fillId="0" borderId="31" xfId="79" applyNumberFormat="1" applyFont="1" applyBorder="1" applyAlignment="1">
      <alignment horizontal="right" vertical="center"/>
    </xf>
    <xf numFmtId="38" fontId="49" fillId="0" borderId="32" xfId="79" applyNumberFormat="1" applyFont="1" applyBorder="1" applyAlignment="1">
      <alignment horizontal="right" vertical="center"/>
    </xf>
    <xf numFmtId="190" fontId="49" fillId="0" borderId="33" xfId="79" applyNumberFormat="1" applyFont="1" applyBorder="1" applyAlignment="1">
      <alignment horizontal="right" vertical="center"/>
    </xf>
    <xf numFmtId="3" fontId="49" fillId="0" borderId="32" xfId="79" applyNumberFormat="1" applyFont="1" applyBorder="1" applyAlignment="1">
      <alignment horizontal="right" vertical="center"/>
    </xf>
    <xf numFmtId="190" fontId="48" fillId="0" borderId="34" xfId="79" applyNumberFormat="1" applyFont="1" applyBorder="1" applyAlignment="1">
      <alignment horizontal="right" vertical="center"/>
    </xf>
    <xf numFmtId="3" fontId="48" fillId="0" borderId="35" xfId="79" applyNumberFormat="1" applyFont="1" applyBorder="1" applyAlignment="1">
      <alignment horizontal="right" vertical="center"/>
    </xf>
    <xf numFmtId="3" fontId="49" fillId="0" borderId="30" xfId="79" applyNumberFormat="1" applyFont="1" applyBorder="1" applyAlignment="1">
      <alignment horizontal="right" vertical="center"/>
    </xf>
    <xf numFmtId="190" fontId="49" fillId="0" borderId="34" xfId="79" applyNumberFormat="1" applyFont="1" applyBorder="1" applyAlignment="1">
      <alignment horizontal="right" vertical="center"/>
    </xf>
    <xf numFmtId="3" fontId="49" fillId="0" borderId="35" xfId="79" applyNumberFormat="1" applyFont="1" applyBorder="1" applyAlignment="1">
      <alignment horizontal="right" vertical="center"/>
    </xf>
    <xf numFmtId="190" fontId="49" fillId="0" borderId="36" xfId="79" applyNumberFormat="1" applyFont="1" applyBorder="1" applyAlignment="1">
      <alignment horizontal="right" vertical="center"/>
    </xf>
    <xf numFmtId="3" fontId="49" fillId="0" borderId="36" xfId="79" applyNumberFormat="1" applyFont="1" applyBorder="1" applyAlignment="1">
      <alignment horizontal="right" vertical="center"/>
    </xf>
    <xf numFmtId="3" fontId="49" fillId="0" borderId="37" xfId="79" applyNumberFormat="1" applyFont="1" applyBorder="1" applyAlignment="1">
      <alignment horizontal="right" vertical="center"/>
    </xf>
    <xf numFmtId="38" fontId="48" fillId="0" borderId="35" xfId="79" applyNumberFormat="1" applyFont="1" applyBorder="1" applyAlignment="1">
      <alignment horizontal="right" vertical="center"/>
    </xf>
    <xf numFmtId="0" fontId="59" fillId="0" borderId="0" xfId="0" applyFont="1"/>
    <xf numFmtId="0" fontId="49" fillId="0" borderId="17" xfId="0" applyFont="1" applyBorder="1" applyAlignment="1">
      <alignment vertical="center"/>
    </xf>
    <xf numFmtId="189" fontId="64" fillId="25" borderId="15" xfId="0" applyNumberFormat="1" applyFont="1" applyFill="1" applyBorder="1"/>
    <xf numFmtId="0" fontId="0" fillId="0" borderId="0" xfId="0" applyBorder="1"/>
    <xf numFmtId="0" fontId="4" fillId="0" borderId="15" xfId="224" applyFont="1" applyBorder="1" applyAlignment="1" applyProtection="1">
      <alignment horizontal="center"/>
    </xf>
    <xf numFmtId="0" fontId="3" fillId="24" borderId="38" xfId="0" applyFont="1" applyFill="1" applyBorder="1" applyAlignment="1" applyProtection="1">
      <alignment horizontal="center" vertical="center" wrapText="1"/>
      <protection locked="0"/>
    </xf>
    <xf numFmtId="0" fontId="3" fillId="0" borderId="39" xfId="0" applyFont="1" applyBorder="1" applyAlignment="1" applyProtection="1">
      <alignment horizontal="center" vertical="center" wrapText="1"/>
      <protection locked="0"/>
    </xf>
    <xf numFmtId="0" fontId="3" fillId="0" borderId="40" xfId="0" applyFont="1" applyBorder="1" applyAlignment="1" applyProtection="1">
      <alignment horizontal="center" vertical="center" wrapText="1"/>
      <protection locked="0"/>
    </xf>
    <xf numFmtId="0" fontId="3" fillId="24" borderId="39" xfId="0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>
      <alignment horizontal="left" vertical="center"/>
    </xf>
    <xf numFmtId="0" fontId="43" fillId="0" borderId="41" xfId="0" applyFont="1" applyBorder="1" applyAlignment="1">
      <alignment horizontal="left" vertical="center"/>
    </xf>
    <xf numFmtId="0" fontId="43" fillId="0" borderId="42" xfId="0" applyFont="1" applyBorder="1" applyAlignment="1">
      <alignment horizontal="left" vertical="center"/>
    </xf>
    <xf numFmtId="0" fontId="43" fillId="0" borderId="43" xfId="0" applyFont="1" applyBorder="1" applyAlignment="1">
      <alignment horizontal="left" vertical="center"/>
    </xf>
    <xf numFmtId="0" fontId="43" fillId="0" borderId="22" xfId="0" applyFont="1" applyBorder="1" applyAlignment="1">
      <alignment horizontal="left" vertical="center" wrapText="1"/>
    </xf>
    <xf numFmtId="0" fontId="43" fillId="0" borderId="44" xfId="0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46" fillId="25" borderId="0" xfId="0" applyFont="1" applyFill="1" applyAlignment="1" applyProtection="1"/>
    <xf numFmtId="0" fontId="44" fillId="25" borderId="0" xfId="0" applyFont="1" applyFill="1" applyAlignment="1">
      <alignment horizontal="left" vertical="center"/>
    </xf>
    <xf numFmtId="0" fontId="3" fillId="25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50" fillId="25" borderId="0" xfId="0" applyFont="1" applyFill="1" applyAlignment="1" applyProtection="1">
      <alignment horizontal="left" vertical="center"/>
    </xf>
    <xf numFmtId="0" fontId="50" fillId="25" borderId="0" xfId="0" applyFont="1" applyFill="1" applyAlignment="1" applyProtection="1"/>
    <xf numFmtId="0" fontId="61" fillId="0" borderId="45" xfId="0" applyFont="1" applyBorder="1" applyAlignment="1">
      <alignment horizontal="center" vertical="center"/>
    </xf>
    <xf numFmtId="0" fontId="43" fillId="0" borderId="45" xfId="0" applyFont="1" applyBorder="1" applyAlignment="1">
      <alignment vertical="center"/>
    </xf>
    <xf numFmtId="0" fontId="49" fillId="0" borderId="45" xfId="0" applyFont="1" applyBorder="1" applyAlignment="1">
      <alignment vertical="center"/>
    </xf>
    <xf numFmtId="0" fontId="3" fillId="0" borderId="46" xfId="0" applyFont="1" applyBorder="1" applyAlignment="1" applyProtection="1">
      <alignment horizontal="center" vertical="center" wrapText="1"/>
      <protection locked="0"/>
    </xf>
    <xf numFmtId="3" fontId="65" fillId="0" borderId="0" xfId="0" applyNumberFormat="1" applyFont="1"/>
    <xf numFmtId="3" fontId="54" fillId="0" borderId="10" xfId="224" applyNumberFormat="1" applyFont="1" applyBorder="1" applyAlignment="1" applyProtection="1">
      <alignment vertical="center"/>
      <protection locked="0"/>
    </xf>
    <xf numFmtId="3" fontId="3" fillId="0" borderId="47" xfId="60" applyNumberFormat="1" applyFont="1" applyFill="1" applyBorder="1" applyAlignment="1" applyProtection="1"/>
    <xf numFmtId="3" fontId="3" fillId="24" borderId="48" xfId="60" applyNumberFormat="1" applyFont="1" applyFill="1" applyBorder="1" applyAlignment="1" applyProtection="1"/>
    <xf numFmtId="3" fontId="0" fillId="0" borderId="0" xfId="0" applyNumberFormat="1"/>
    <xf numFmtId="3" fontId="54" fillId="0" borderId="17" xfId="224" applyNumberFormat="1" applyFont="1" applyFill="1" applyBorder="1" applyAlignment="1" applyProtection="1">
      <alignment horizontal="right" vertical="center"/>
      <protection locked="0"/>
    </xf>
    <xf numFmtId="3" fontId="3" fillId="0" borderId="49" xfId="60" applyNumberFormat="1" applyFont="1" applyFill="1" applyBorder="1" applyAlignment="1" applyProtection="1"/>
    <xf numFmtId="3" fontId="3" fillId="24" borderId="50" xfId="60" applyNumberFormat="1" applyFont="1" applyFill="1" applyBorder="1" applyAlignment="1" applyProtection="1"/>
    <xf numFmtId="3" fontId="54" fillId="0" borderId="18" xfId="224" applyNumberFormat="1" applyFont="1" applyFill="1" applyBorder="1" applyAlignment="1" applyProtection="1">
      <alignment horizontal="right" vertical="center"/>
      <protection locked="0"/>
    </xf>
    <xf numFmtId="3" fontId="3" fillId="0" borderId="51" xfId="60" applyNumberFormat="1" applyFont="1" applyFill="1" applyBorder="1" applyAlignment="1" applyProtection="1"/>
    <xf numFmtId="3" fontId="3" fillId="24" borderId="52" xfId="60" applyNumberFormat="1" applyFont="1" applyFill="1" applyBorder="1" applyAlignment="1" applyProtection="1"/>
    <xf numFmtId="3" fontId="54" fillId="0" borderId="21" xfId="224" applyNumberFormat="1" applyFont="1" applyFill="1" applyBorder="1" applyAlignment="1" applyProtection="1">
      <alignment vertical="center"/>
      <protection locked="0"/>
    </xf>
    <xf numFmtId="3" fontId="3" fillId="0" borderId="53" xfId="60" applyNumberFormat="1" applyFont="1" applyFill="1" applyBorder="1" applyAlignment="1" applyProtection="1"/>
    <xf numFmtId="3" fontId="3" fillId="24" borderId="54" xfId="60" applyNumberFormat="1" applyFont="1" applyFill="1" applyBorder="1" applyAlignment="1" applyProtection="1"/>
    <xf numFmtId="3" fontId="59" fillId="0" borderId="0" xfId="0" applyNumberFormat="1" applyFont="1"/>
    <xf numFmtId="3" fontId="2" fillId="0" borderId="10" xfId="224" applyNumberFormat="1" applyFont="1" applyFill="1" applyBorder="1" applyAlignment="1" applyProtection="1">
      <alignment vertical="center"/>
      <protection locked="0"/>
    </xf>
    <xf numFmtId="3" fontId="3" fillId="0" borderId="47" xfId="65" applyNumberFormat="1" applyFont="1" applyFill="1" applyBorder="1" applyAlignment="1" applyProtection="1"/>
    <xf numFmtId="3" fontId="3" fillId="24" borderId="55" xfId="65" applyNumberFormat="1" applyFont="1" applyFill="1" applyBorder="1" applyAlignment="1" applyProtection="1"/>
    <xf numFmtId="3" fontId="4" fillId="24" borderId="10" xfId="224" applyNumberFormat="1" applyFont="1" applyFill="1" applyBorder="1" applyAlignment="1" applyProtection="1">
      <alignment vertical="center"/>
      <protection locked="0"/>
    </xf>
    <xf numFmtId="3" fontId="3" fillId="24" borderId="16" xfId="65" applyNumberFormat="1" applyFont="1" applyFill="1" applyBorder="1" applyAlignment="1" applyProtection="1">
      <protection locked="0"/>
    </xf>
    <xf numFmtId="3" fontId="3" fillId="24" borderId="0" xfId="65" applyNumberFormat="1" applyFont="1" applyFill="1" applyBorder="1" applyAlignment="1" applyProtection="1">
      <protection locked="0"/>
    </xf>
    <xf numFmtId="3" fontId="3" fillId="24" borderId="56" xfId="65" applyNumberFormat="1" applyFont="1" applyFill="1" applyBorder="1" applyAlignment="1" applyProtection="1">
      <protection locked="0"/>
    </xf>
    <xf numFmtId="3" fontId="0" fillId="0" borderId="0" xfId="0" applyNumberFormat="1" applyAlignment="1">
      <alignment vertical="center"/>
    </xf>
    <xf numFmtId="3" fontId="3" fillId="0" borderId="0" xfId="0" applyNumberFormat="1" applyFont="1" applyBorder="1" applyProtection="1">
      <protection locked="0"/>
    </xf>
    <xf numFmtId="3" fontId="3" fillId="0" borderId="0" xfId="0" applyNumberFormat="1" applyFont="1" applyProtection="1">
      <protection locked="0"/>
    </xf>
    <xf numFmtId="3" fontId="3" fillId="24" borderId="57" xfId="65" applyNumberFormat="1" applyFont="1" applyFill="1" applyBorder="1" applyAlignment="1" applyProtection="1">
      <protection locked="0"/>
    </xf>
    <xf numFmtId="3" fontId="3" fillId="24" borderId="58" xfId="65" applyNumberFormat="1" applyFont="1" applyFill="1" applyBorder="1" applyAlignment="1" applyProtection="1">
      <protection locked="0"/>
    </xf>
    <xf numFmtId="3" fontId="3" fillId="24" borderId="59" xfId="65" applyNumberFormat="1" applyFont="1" applyFill="1" applyBorder="1" applyAlignment="1" applyProtection="1">
      <protection locked="0"/>
    </xf>
    <xf numFmtId="189" fontId="66" fillId="0" borderId="0" xfId="0" applyNumberFormat="1" applyFont="1" applyAlignment="1">
      <alignment vertical="center"/>
    </xf>
    <xf numFmtId="189" fontId="59" fillId="0" borderId="0" xfId="0" applyNumberFormat="1" applyFont="1"/>
    <xf numFmtId="189" fontId="67" fillId="0" borderId="0" xfId="0" applyNumberFormat="1" applyFont="1"/>
    <xf numFmtId="189" fontId="55" fillId="0" borderId="0" xfId="0" applyNumberFormat="1" applyFont="1"/>
    <xf numFmtId="189" fontId="67" fillId="0" borderId="0" xfId="0" applyNumberFormat="1" applyFont="1" applyFill="1"/>
    <xf numFmtId="189" fontId="55" fillId="0" borderId="0" xfId="0" applyNumberFormat="1" applyFont="1" applyFill="1"/>
    <xf numFmtId="189" fontId="59" fillId="0" borderId="0" xfId="0" applyNumberFormat="1" applyFont="1" applyBorder="1"/>
    <xf numFmtId="200" fontId="49" fillId="0" borderId="29" xfId="79" applyNumberFormat="1" applyFont="1" applyBorder="1" applyAlignment="1">
      <alignment horizontal="right" vertical="center"/>
    </xf>
    <xf numFmtId="200" fontId="49" fillId="0" borderId="18" xfId="60" applyNumberFormat="1" applyFont="1" applyBorder="1" applyAlignment="1">
      <alignment horizontal="right" vertical="center"/>
    </xf>
    <xf numFmtId="200" fontId="48" fillId="0" borderId="27" xfId="79" applyNumberFormat="1" applyFont="1" applyBorder="1" applyAlignment="1">
      <alignment horizontal="right" vertical="center"/>
    </xf>
    <xf numFmtId="200" fontId="48" fillId="0" borderId="17" xfId="79" applyNumberFormat="1" applyFont="1" applyBorder="1" applyAlignment="1">
      <alignment horizontal="right" vertical="center"/>
    </xf>
    <xf numFmtId="200" fontId="49" fillId="0" borderId="31" xfId="79" applyNumberFormat="1" applyFont="1" applyBorder="1" applyAlignment="1">
      <alignment horizontal="right" vertical="center"/>
    </xf>
    <xf numFmtId="200" fontId="49" fillId="0" borderId="21" xfId="60" applyNumberFormat="1" applyFont="1" applyBorder="1" applyAlignment="1">
      <alignment horizontal="right" vertical="center"/>
    </xf>
    <xf numFmtId="200" fontId="0" fillId="0" borderId="0" xfId="0" applyNumberFormat="1"/>
    <xf numFmtId="0" fontId="43" fillId="0" borderId="15" xfId="0" applyFont="1" applyBorder="1" applyAlignment="1">
      <alignment horizontal="left" vertical="center"/>
    </xf>
    <xf numFmtId="200" fontId="62" fillId="0" borderId="23" xfId="0" applyNumberFormat="1" applyFont="1" applyBorder="1" applyAlignment="1">
      <alignment horizontal="centerContinuous" vertical="center"/>
    </xf>
    <xf numFmtId="200" fontId="62" fillId="0" borderId="0" xfId="0" applyNumberFormat="1" applyFont="1" applyBorder="1" applyAlignment="1">
      <alignment horizontal="centerContinuous" vertical="center"/>
    </xf>
    <xf numFmtId="200" fontId="63" fillId="0" borderId="23" xfId="0" applyNumberFormat="1" applyFont="1" applyBorder="1" applyAlignment="1">
      <alignment horizontal="center" vertical="center"/>
    </xf>
    <xf numFmtId="200" fontId="63" fillId="0" borderId="0" xfId="0" applyNumberFormat="1" applyFont="1" applyBorder="1" applyAlignment="1">
      <alignment horizontal="center" vertical="center"/>
    </xf>
    <xf numFmtId="200" fontId="44" fillId="0" borderId="25" xfId="0" applyNumberFormat="1" applyFont="1" applyBorder="1" applyAlignment="1">
      <alignment horizontal="centerContinuous" vertical="center" wrapText="1"/>
    </xf>
    <xf numFmtId="200" fontId="44" fillId="0" borderId="10" xfId="0" applyNumberFormat="1" applyFont="1" applyBorder="1" applyAlignment="1">
      <alignment horizontal="centerContinuous" vertical="center" wrapText="1"/>
    </xf>
    <xf numFmtId="200" fontId="48" fillId="0" borderId="34" xfId="79" applyNumberFormat="1" applyFont="1" applyBorder="1" applyAlignment="1">
      <alignment horizontal="right" vertical="center"/>
    </xf>
    <xf numFmtId="200" fontId="48" fillId="0" borderId="20" xfId="60" applyNumberFormat="1" applyFont="1" applyBorder="1" applyAlignment="1">
      <alignment horizontal="right" vertical="center"/>
    </xf>
    <xf numFmtId="190" fontId="49" fillId="0" borderId="27" xfId="79" applyNumberFormat="1" applyFont="1" applyBorder="1" applyAlignment="1">
      <alignment horizontal="right" vertical="center"/>
    </xf>
    <xf numFmtId="190" fontId="49" fillId="0" borderId="17" xfId="79" applyNumberFormat="1" applyFont="1" applyBorder="1" applyAlignment="1">
      <alignment horizontal="right" vertical="center"/>
    </xf>
    <xf numFmtId="3" fontId="49" fillId="0" borderId="17" xfId="79" applyNumberFormat="1" applyFont="1" applyBorder="1" applyAlignment="1">
      <alignment horizontal="right" vertical="center"/>
    </xf>
    <xf numFmtId="3" fontId="49" fillId="0" borderId="28" xfId="79" applyNumberFormat="1" applyFont="1" applyBorder="1" applyAlignment="1">
      <alignment horizontal="right" vertical="center"/>
    </xf>
    <xf numFmtId="0" fontId="49" fillId="0" borderId="10" xfId="0" applyFont="1" applyBorder="1" applyAlignment="1">
      <alignment vertical="center"/>
    </xf>
    <xf numFmtId="0" fontId="52" fillId="26" borderId="60" xfId="0" applyNumberFormat="1" applyFont="1" applyFill="1" applyBorder="1" applyAlignment="1" applyProtection="1">
      <alignment horizontal="left" vertical="center"/>
      <protection locked="0"/>
    </xf>
    <xf numFmtId="0" fontId="52" fillId="26" borderId="61" xfId="0" applyNumberFormat="1" applyFont="1" applyFill="1" applyBorder="1" applyAlignment="1" applyProtection="1">
      <alignment horizontal="left" vertical="center"/>
      <protection locked="0"/>
    </xf>
    <xf numFmtId="0" fontId="51" fillId="27" borderId="62" xfId="0" applyNumberFormat="1" applyFont="1" applyFill="1" applyBorder="1" applyAlignment="1" applyProtection="1">
      <alignment vertical="center"/>
      <protection locked="0"/>
    </xf>
    <xf numFmtId="0" fontId="44" fillId="0" borderId="63" xfId="0" applyFont="1" applyBorder="1" applyAlignment="1">
      <alignment horizontal="center" vertical="center"/>
    </xf>
    <xf numFmtId="0" fontId="44" fillId="0" borderId="63" xfId="0" applyFont="1" applyBorder="1" applyAlignment="1">
      <alignment vertical="center"/>
    </xf>
    <xf numFmtId="0" fontId="43" fillId="0" borderId="64" xfId="0" applyFont="1" applyBorder="1" applyAlignment="1">
      <alignment horizontal="left" vertical="center"/>
    </xf>
    <xf numFmtId="0" fontId="49" fillId="0" borderId="63" xfId="0" applyFont="1" applyBorder="1" applyAlignment="1">
      <alignment vertical="center"/>
    </xf>
    <xf numFmtId="190" fontId="49" fillId="0" borderId="65" xfId="79" applyNumberFormat="1" applyFont="1" applyBorder="1" applyAlignment="1">
      <alignment horizontal="right" vertical="center"/>
    </xf>
    <xf numFmtId="190" fontId="49" fillId="0" borderId="63" xfId="79" applyNumberFormat="1" applyFont="1" applyBorder="1" applyAlignment="1">
      <alignment horizontal="right" vertical="center"/>
    </xf>
    <xf numFmtId="3" fontId="49" fillId="0" borderId="63" xfId="79" applyNumberFormat="1" applyFont="1" applyBorder="1" applyAlignment="1">
      <alignment horizontal="right" vertical="center"/>
    </xf>
    <xf numFmtId="3" fontId="49" fillId="0" borderId="66" xfId="79" applyNumberFormat="1" applyFont="1" applyBorder="1" applyAlignment="1">
      <alignment horizontal="right" vertical="center"/>
    </xf>
    <xf numFmtId="0" fontId="57" fillId="0" borderId="67" xfId="0" applyFont="1" applyBorder="1"/>
    <xf numFmtId="0" fontId="44" fillId="0" borderId="18" xfId="0" applyFont="1" applyBorder="1" applyAlignment="1">
      <alignment vertical="center"/>
    </xf>
    <xf numFmtId="0" fontId="43" fillId="0" borderId="10" xfId="0" applyFont="1" applyBorder="1" applyAlignment="1">
      <alignment vertical="center"/>
    </xf>
    <xf numFmtId="0" fontId="57" fillId="0" borderId="0" xfId="0" applyFont="1" applyBorder="1"/>
    <xf numFmtId="190" fontId="49" fillId="0" borderId="68" xfId="79" applyNumberFormat="1" applyFont="1" applyBorder="1" applyAlignment="1">
      <alignment horizontal="right" vertical="center"/>
    </xf>
    <xf numFmtId="190" fontId="49" fillId="0" borderId="13" xfId="79" applyNumberFormat="1" applyFont="1" applyBorder="1" applyAlignment="1">
      <alignment horizontal="right" vertical="center"/>
    </xf>
    <xf numFmtId="3" fontId="49" fillId="0" borderId="13" xfId="79" applyNumberFormat="1" applyFont="1" applyBorder="1" applyAlignment="1">
      <alignment horizontal="right" vertical="center"/>
    </xf>
    <xf numFmtId="3" fontId="49" fillId="0" borderId="69" xfId="79" applyNumberFormat="1" applyFont="1" applyBorder="1" applyAlignment="1">
      <alignment horizontal="right" vertical="center"/>
    </xf>
    <xf numFmtId="193" fontId="49" fillId="0" borderId="21" xfId="60" applyNumberFormat="1" applyFont="1" applyBorder="1" applyAlignment="1">
      <alignment horizontal="right" vertical="center"/>
    </xf>
    <xf numFmtId="186" fontId="51" fillId="29" borderId="70" xfId="63" applyNumberFormat="1" applyFont="1" applyFill="1" applyBorder="1" applyAlignment="1" applyProtection="1">
      <protection locked="0"/>
    </xf>
    <xf numFmtId="186" fontId="51" fillId="29" borderId="71" xfId="63" applyNumberFormat="1" applyFont="1" applyFill="1" applyBorder="1" applyAlignment="1" applyProtection="1">
      <protection locked="0"/>
    </xf>
    <xf numFmtId="0" fontId="52" fillId="26" borderId="72" xfId="0" applyNumberFormat="1" applyFont="1" applyFill="1" applyBorder="1" applyAlignment="1" applyProtection="1">
      <alignment vertical="center"/>
      <protection locked="0"/>
    </xf>
    <xf numFmtId="0" fontId="52" fillId="26" borderId="73" xfId="0" applyNumberFormat="1" applyFont="1" applyFill="1" applyBorder="1" applyAlignment="1" applyProtection="1">
      <alignment vertical="center"/>
      <protection locked="0"/>
    </xf>
    <xf numFmtId="49" fontId="51" fillId="27" borderId="74" xfId="0" applyNumberFormat="1" applyFont="1" applyFill="1" applyBorder="1" applyAlignment="1" applyProtection="1">
      <alignment vertical="center"/>
      <protection locked="0"/>
    </xf>
    <xf numFmtId="49" fontId="51" fillId="29" borderId="75" xfId="0" applyNumberFormat="1" applyFont="1" applyFill="1" applyBorder="1" applyAlignment="1" applyProtection="1">
      <alignment vertical="center"/>
      <protection locked="0"/>
    </xf>
    <xf numFmtId="49" fontId="51" fillId="29" borderId="71" xfId="0" applyNumberFormat="1" applyFont="1" applyFill="1" applyBorder="1" applyAlignment="1" applyProtection="1">
      <alignment vertical="center"/>
      <protection locked="0"/>
    </xf>
    <xf numFmtId="183" fontId="54" fillId="0" borderId="0" xfId="60" applyFont="1"/>
    <xf numFmtId="0" fontId="44" fillId="0" borderId="21" xfId="0" applyFont="1" applyBorder="1" applyAlignment="1">
      <alignment vertical="center"/>
    </xf>
    <xf numFmtId="0" fontId="43" fillId="0" borderId="45" xfId="0" applyFont="1" applyBorder="1" applyAlignment="1">
      <alignment horizontal="center" vertical="center"/>
    </xf>
    <xf numFmtId="0" fontId="43" fillId="0" borderId="76" xfId="0" applyFont="1" applyBorder="1" applyAlignment="1">
      <alignment horizontal="left" vertical="center"/>
    </xf>
    <xf numFmtId="190" fontId="49" fillId="0" borderId="77" xfId="79" applyNumberFormat="1" applyFont="1" applyBorder="1" applyAlignment="1">
      <alignment horizontal="right" vertical="center"/>
    </xf>
    <xf numFmtId="190" fontId="49" fillId="0" borderId="45" xfId="79" applyNumberFormat="1" applyFont="1" applyBorder="1" applyAlignment="1">
      <alignment horizontal="right" vertical="center"/>
    </xf>
    <xf numFmtId="3" fontId="49" fillId="0" borderId="45" xfId="79" applyNumberFormat="1" applyFont="1" applyBorder="1" applyAlignment="1">
      <alignment horizontal="right" vertical="center"/>
    </xf>
    <xf numFmtId="3" fontId="49" fillId="0" borderId="78" xfId="79" applyNumberFormat="1" applyFont="1" applyBorder="1" applyAlignment="1">
      <alignment horizontal="right" vertical="center"/>
    </xf>
    <xf numFmtId="0" fontId="57" fillId="0" borderId="0" xfId="175" applyFont="1"/>
    <xf numFmtId="0" fontId="57" fillId="0" borderId="0" xfId="175" applyNumberFormat="1" applyFont="1"/>
    <xf numFmtId="189" fontId="68" fillId="28" borderId="79" xfId="175" applyNumberFormat="1" applyFont="1" applyFill="1" applyBorder="1" applyAlignment="1" applyProtection="1">
      <alignment horizontal="center" vertical="center" wrapText="1"/>
    </xf>
    <xf numFmtId="189" fontId="68" fillId="28" borderId="80" xfId="175" applyNumberFormat="1" applyFont="1" applyFill="1" applyBorder="1" applyAlignment="1" applyProtection="1">
      <alignment horizontal="center" vertical="center" wrapText="1"/>
    </xf>
    <xf numFmtId="189" fontId="68" fillId="28" borderId="81" xfId="175" applyNumberFormat="1" applyFont="1" applyFill="1" applyBorder="1" applyAlignment="1" applyProtection="1">
      <alignment horizontal="center" vertical="center" wrapText="1"/>
    </xf>
    <xf numFmtId="189" fontId="68" fillId="28" borderId="82" xfId="175" applyNumberFormat="1" applyFont="1" applyFill="1" applyBorder="1" applyAlignment="1" applyProtection="1">
      <alignment horizontal="center" vertical="center"/>
    </xf>
    <xf numFmtId="189" fontId="68" fillId="28" borderId="80" xfId="175" applyNumberFormat="1" applyFont="1" applyFill="1" applyBorder="1" applyAlignment="1" applyProtection="1">
      <alignment horizontal="center" vertical="center"/>
    </xf>
    <xf numFmtId="189" fontId="68" fillId="28" borderId="81" xfId="175" applyNumberFormat="1" applyFont="1" applyFill="1" applyBorder="1" applyAlignment="1" applyProtection="1">
      <alignment horizontal="center" vertical="center"/>
    </xf>
    <xf numFmtId="43" fontId="68" fillId="28" borderId="81" xfId="152" applyFont="1" applyFill="1" applyBorder="1" applyAlignment="1" applyProtection="1">
      <alignment horizontal="center" vertical="center"/>
    </xf>
    <xf numFmtId="186" fontId="51" fillId="29" borderId="70" xfId="63" applyNumberFormat="1" applyFont="1" applyFill="1" applyBorder="1" applyAlignment="1" applyProtection="1">
      <protection locked="0"/>
    </xf>
    <xf numFmtId="0" fontId="69" fillId="30" borderId="0" xfId="0" applyFont="1" applyFill="1"/>
    <xf numFmtId="0" fontId="58" fillId="0" borderId="0" xfId="0" applyFont="1"/>
    <xf numFmtId="0" fontId="49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49" fillId="0" borderId="10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/>
    </xf>
    <xf numFmtId="0" fontId="48" fillId="0" borderId="19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8" fillId="0" borderId="25" xfId="0" applyFont="1" applyBorder="1" applyAlignment="1">
      <alignment horizontal="centerContinuous" vertical="center" wrapText="1"/>
    </xf>
    <xf numFmtId="0" fontId="48" fillId="0" borderId="10" xfId="0" applyFont="1" applyBorder="1" applyAlignment="1">
      <alignment horizontal="centerContinuous" vertical="center" wrapText="1"/>
    </xf>
    <xf numFmtId="0" fontId="48" fillId="0" borderId="26" xfId="0" applyFont="1" applyBorder="1" applyAlignment="1">
      <alignment horizontal="centerContinuous" vertical="center" wrapText="1"/>
    </xf>
    <xf numFmtId="0" fontId="48" fillId="0" borderId="17" xfId="0" applyFont="1" applyBorder="1" applyAlignment="1">
      <alignment horizontal="center" vertical="center"/>
    </xf>
    <xf numFmtId="0" fontId="49" fillId="0" borderId="18" xfId="0" applyFont="1" applyFill="1" applyBorder="1" applyAlignment="1">
      <alignment horizontal="center" vertical="center"/>
    </xf>
    <xf numFmtId="0" fontId="48" fillId="0" borderId="18" xfId="0" applyFont="1" applyBorder="1" applyAlignment="1">
      <alignment horizontal="center" vertical="center"/>
    </xf>
    <xf numFmtId="0" fontId="49" fillId="0" borderId="45" xfId="0" applyFont="1" applyFill="1" applyBorder="1" applyAlignment="1">
      <alignment horizontal="center" vertical="center"/>
    </xf>
    <xf numFmtId="0" fontId="48" fillId="0" borderId="45" xfId="0" applyFont="1" applyBorder="1" applyAlignment="1">
      <alignment horizontal="center" vertical="center"/>
    </xf>
    <xf numFmtId="0" fontId="49" fillId="0" borderId="21" xfId="0" applyFont="1" applyFill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/>
    </xf>
    <xf numFmtId="0" fontId="60" fillId="0" borderId="0" xfId="0" applyFont="1"/>
    <xf numFmtId="0" fontId="49" fillId="0" borderId="18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200" fontId="59" fillId="0" borderId="0" xfId="0" applyNumberFormat="1" applyFont="1"/>
    <xf numFmtId="0" fontId="68" fillId="26" borderId="0" xfId="175" applyNumberFormat="1" applyFont="1" applyFill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center" vertical="center"/>
    </xf>
    <xf numFmtId="0" fontId="46" fillId="0" borderId="0" xfId="0" applyFont="1" applyFill="1" applyAlignment="1" applyProtection="1">
      <alignment horizontal="center"/>
    </xf>
    <xf numFmtId="0" fontId="49" fillId="0" borderId="17" xfId="0" applyFont="1" applyBorder="1" applyAlignment="1">
      <alignment horizontal="center" vertical="center"/>
    </xf>
    <xf numFmtId="0" fontId="49" fillId="0" borderId="45" xfId="0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70" fillId="0" borderId="0" xfId="0" applyFont="1" applyAlignment="1">
      <alignment horizontal="center"/>
    </xf>
    <xf numFmtId="4" fontId="59" fillId="26" borderId="10" xfId="60" applyNumberFormat="1" applyFont="1" applyFill="1" applyBorder="1" applyAlignment="1" applyProtection="1">
      <alignment vertical="center"/>
      <protection locked="0"/>
    </xf>
    <xf numFmtId="4" fontId="59" fillId="26" borderId="12" xfId="60" applyNumberFormat="1" applyFont="1" applyFill="1" applyBorder="1" applyAlignment="1" applyProtection="1">
      <alignment vertical="center"/>
      <protection locked="0"/>
    </xf>
    <xf numFmtId="4" fontId="59" fillId="26" borderId="13" xfId="60" applyNumberFormat="1" applyFont="1" applyFill="1" applyBorder="1" applyAlignment="1" applyProtection="1">
      <alignment vertical="center"/>
    </xf>
    <xf numFmtId="4" fontId="60" fillId="27" borderId="14" xfId="60" applyNumberFormat="1" applyFont="1" applyFill="1" applyBorder="1" applyAlignment="1" applyProtection="1">
      <alignment vertical="center"/>
    </xf>
    <xf numFmtId="200" fontId="49" fillId="0" borderId="77" xfId="79" applyNumberFormat="1" applyFont="1" applyBorder="1" applyAlignment="1">
      <alignment horizontal="right" vertical="center"/>
    </xf>
    <xf numFmtId="200" fontId="49" fillId="0" borderId="45" xfId="60" applyNumberFormat="1" applyFont="1" applyBorder="1" applyAlignment="1">
      <alignment horizontal="right" vertical="center"/>
    </xf>
    <xf numFmtId="0" fontId="49" fillId="0" borderId="45" xfId="0" applyFont="1" applyBorder="1" applyAlignment="1">
      <alignment horizontal="right" vertical="center"/>
    </xf>
    <xf numFmtId="38" fontId="49" fillId="0" borderId="78" xfId="79" applyNumberFormat="1" applyFont="1" applyBorder="1" applyAlignment="1">
      <alignment horizontal="right" vertical="center"/>
    </xf>
    <xf numFmtId="200" fontId="49" fillId="0" borderId="34" xfId="79" applyNumberFormat="1" applyFont="1" applyBorder="1" applyAlignment="1">
      <alignment horizontal="right" vertical="center"/>
    </xf>
    <xf numFmtId="200" fontId="49" fillId="0" borderId="20" xfId="60" applyNumberFormat="1" applyFont="1" applyBorder="1" applyAlignment="1">
      <alignment horizontal="right" vertical="center"/>
    </xf>
    <xf numFmtId="0" fontId="49" fillId="0" borderId="20" xfId="0" applyFont="1" applyBorder="1" applyAlignment="1">
      <alignment horizontal="right" vertical="center"/>
    </xf>
    <xf numFmtId="38" fontId="49" fillId="0" borderId="35" xfId="79" applyNumberFormat="1" applyFont="1" applyBorder="1" applyAlignment="1">
      <alignment horizontal="right" vertical="center"/>
    </xf>
    <xf numFmtId="0" fontId="43" fillId="0" borderId="10" xfId="0" applyFont="1" applyBorder="1" applyAlignment="1">
      <alignment horizontal="center" vertical="center" wrapText="1"/>
    </xf>
    <xf numFmtId="0" fontId="43" fillId="0" borderId="19" xfId="0" applyFont="1" applyBorder="1" applyAlignment="1">
      <alignment horizontal="center" vertical="center" wrapText="1"/>
    </xf>
    <xf numFmtId="200" fontId="52" fillId="26" borderId="10" xfId="60" applyNumberFormat="1" applyFont="1" applyFill="1" applyBorder="1" applyAlignment="1" applyProtection="1">
      <alignment vertical="center"/>
      <protection locked="0"/>
    </xf>
    <xf numFmtId="200" fontId="52" fillId="26" borderId="26" xfId="60" applyNumberFormat="1" applyFont="1" applyFill="1" applyBorder="1" applyAlignment="1" applyProtection="1">
      <alignment vertical="center"/>
      <protection locked="0"/>
    </xf>
    <xf numFmtId="200" fontId="52" fillId="26" borderId="47" xfId="60" applyNumberFormat="1" applyFont="1" applyFill="1" applyBorder="1" applyAlignment="1" applyProtection="1">
      <alignment vertical="center"/>
      <protection locked="0"/>
    </xf>
    <xf numFmtId="200" fontId="52" fillId="31" borderId="13" xfId="60" applyNumberFormat="1" applyFont="1" applyFill="1" applyBorder="1" applyAlignment="1" applyProtection="1">
      <alignment vertical="center"/>
    </xf>
    <xf numFmtId="200" fontId="52" fillId="31" borderId="83" xfId="60" applyNumberFormat="1" applyFont="1" applyFill="1" applyBorder="1" applyAlignment="1" applyProtection="1">
      <alignment vertical="center"/>
    </xf>
    <xf numFmtId="200" fontId="52" fillId="31" borderId="69" xfId="60" applyNumberFormat="1" applyFont="1" applyFill="1" applyBorder="1" applyAlignment="1" applyProtection="1">
      <alignment vertical="center"/>
    </xf>
    <xf numFmtId="200" fontId="51" fillId="27" borderId="14" xfId="60" applyNumberFormat="1" applyFont="1" applyFill="1" applyBorder="1" applyAlignment="1" applyProtection="1">
      <alignment vertical="center"/>
    </xf>
    <xf numFmtId="200" fontId="51" fillId="27" borderId="59" xfId="60" applyNumberFormat="1" applyFont="1" applyFill="1" applyBorder="1" applyAlignment="1" applyProtection="1">
      <alignment vertical="center"/>
    </xf>
    <xf numFmtId="200" fontId="51" fillId="27" borderId="84" xfId="60" applyNumberFormat="1" applyFont="1" applyFill="1" applyBorder="1" applyAlignment="1" applyProtection="1">
      <alignment vertical="center"/>
    </xf>
    <xf numFmtId="183" fontId="52" fillId="26" borderId="0" xfId="60" applyFont="1" applyFill="1" applyBorder="1" applyAlignment="1" applyProtection="1">
      <alignment vertical="center"/>
      <protection locked="0"/>
    </xf>
    <xf numFmtId="183" fontId="51" fillId="29" borderId="75" xfId="60" applyFont="1" applyFill="1" applyBorder="1" applyAlignment="1" applyProtection="1">
      <alignment vertical="center"/>
      <protection locked="0"/>
    </xf>
    <xf numFmtId="183" fontId="51" fillId="29" borderId="71" xfId="60" applyFont="1" applyFill="1" applyBorder="1" applyAlignment="1" applyProtection="1">
      <alignment vertical="center"/>
      <protection locked="0"/>
    </xf>
    <xf numFmtId="4" fontId="52" fillId="26" borderId="10" xfId="60" applyNumberFormat="1" applyFont="1" applyFill="1" applyBorder="1" applyAlignment="1" applyProtection="1">
      <alignment vertical="center"/>
      <protection locked="0"/>
    </xf>
    <xf numFmtId="4" fontId="52" fillId="26" borderId="26" xfId="60" applyNumberFormat="1" applyFont="1" applyFill="1" applyBorder="1" applyAlignment="1" applyProtection="1">
      <alignment vertical="center"/>
      <protection locked="0"/>
    </xf>
    <xf numFmtId="4" fontId="52" fillId="26" borderId="47" xfId="60" applyNumberFormat="1" applyFont="1" applyFill="1" applyBorder="1" applyAlignment="1" applyProtection="1">
      <alignment vertical="center"/>
      <protection locked="0"/>
    </xf>
    <xf numFmtId="4" fontId="52" fillId="31" borderId="10" xfId="60" applyNumberFormat="1" applyFont="1" applyFill="1" applyBorder="1" applyAlignment="1" applyProtection="1">
      <alignment vertical="center"/>
    </xf>
    <xf numFmtId="4" fontId="52" fillId="31" borderId="47" xfId="60" applyNumberFormat="1" applyFont="1" applyFill="1" applyBorder="1" applyAlignment="1" applyProtection="1">
      <alignment vertical="center"/>
    </xf>
    <xf numFmtId="4" fontId="52" fillId="31" borderId="26" xfId="60" applyNumberFormat="1" applyFont="1" applyFill="1" applyBorder="1" applyAlignment="1" applyProtection="1">
      <alignment vertical="center"/>
    </xf>
    <xf numFmtId="4" fontId="51" fillId="27" borderId="14" xfId="60" applyNumberFormat="1" applyFont="1" applyFill="1" applyBorder="1" applyAlignment="1" applyProtection="1">
      <alignment vertical="center"/>
    </xf>
    <xf numFmtId="4" fontId="51" fillId="27" borderId="59" xfId="60" applyNumberFormat="1" applyFont="1" applyFill="1" applyBorder="1" applyAlignment="1" applyProtection="1">
      <alignment vertical="center"/>
    </xf>
    <xf numFmtId="4" fontId="51" fillId="27" borderId="84" xfId="60" applyNumberFormat="1" applyFont="1" applyFill="1" applyBorder="1" applyAlignment="1" applyProtection="1">
      <alignment vertical="center"/>
    </xf>
    <xf numFmtId="188" fontId="52" fillId="26" borderId="0" xfId="60" applyNumberFormat="1" applyFont="1" applyFill="1" applyBorder="1" applyAlignment="1" applyProtection="1">
      <alignment vertical="center"/>
      <protection locked="0"/>
    </xf>
    <xf numFmtId="188" fontId="52" fillId="29" borderId="75" xfId="60" applyNumberFormat="1" applyFont="1" applyFill="1" applyBorder="1" applyAlignment="1" applyProtection="1">
      <alignment vertical="center"/>
      <protection locked="0"/>
    </xf>
    <xf numFmtId="188" fontId="52" fillId="29" borderId="71" xfId="60" applyNumberFormat="1" applyFont="1" applyFill="1" applyBorder="1" applyAlignment="1" applyProtection="1">
      <alignment vertical="center"/>
      <protection locked="0"/>
    </xf>
    <xf numFmtId="0" fontId="44" fillId="0" borderId="70" xfId="0" applyFont="1" applyBorder="1" applyAlignment="1">
      <alignment horizontal="center" vertical="center" wrapText="1"/>
    </xf>
    <xf numFmtId="0" fontId="44" fillId="0" borderId="85" xfId="0" applyFont="1" applyBorder="1" applyAlignment="1">
      <alignment horizontal="center" vertical="center" wrapText="1"/>
    </xf>
    <xf numFmtId="0" fontId="44" fillId="0" borderId="86" xfId="0" applyFont="1" applyBorder="1" applyAlignment="1">
      <alignment horizontal="center" vertical="center" wrapText="1"/>
    </xf>
    <xf numFmtId="0" fontId="44" fillId="0" borderId="71" xfId="0" applyFont="1" applyBorder="1" applyAlignment="1">
      <alignment horizontal="center" vertical="center" wrapText="1"/>
    </xf>
    <xf numFmtId="2" fontId="45" fillId="0" borderId="87" xfId="0" applyNumberFormat="1" applyFont="1" applyBorder="1" applyAlignment="1">
      <alignment horizontal="center" vertical="center" wrapText="1"/>
    </xf>
    <xf numFmtId="2" fontId="45" fillId="0" borderId="88" xfId="0" applyNumberFormat="1" applyFont="1" applyBorder="1" applyAlignment="1">
      <alignment horizontal="center" vertical="center" wrapText="1"/>
    </xf>
    <xf numFmtId="2" fontId="45" fillId="0" borderId="89" xfId="0" applyNumberFormat="1" applyFont="1" applyBorder="1" applyAlignment="1">
      <alignment horizontal="center" vertical="center" wrapText="1"/>
    </xf>
    <xf numFmtId="194" fontId="45" fillId="0" borderId="23" xfId="0" applyNumberFormat="1" applyFont="1" applyBorder="1" applyAlignment="1">
      <alignment horizontal="center" vertical="center" wrapText="1"/>
    </xf>
    <xf numFmtId="194" fontId="45" fillId="0" borderId="24" xfId="0" applyNumberFormat="1" applyFont="1" applyBorder="1" applyAlignment="1">
      <alignment horizontal="center" vertical="center" wrapText="1"/>
    </xf>
    <xf numFmtId="200" fontId="52" fillId="26" borderId="11" xfId="60" applyNumberFormat="1" applyFont="1" applyFill="1" applyBorder="1" applyAlignment="1" applyProtection="1">
      <alignment vertical="center"/>
      <protection locked="0"/>
    </xf>
    <xf numFmtId="200" fontId="52" fillId="26" borderId="90" xfId="60" applyNumberFormat="1" applyFont="1" applyFill="1" applyBorder="1" applyAlignment="1" applyProtection="1">
      <alignment vertical="center"/>
      <protection locked="0"/>
    </xf>
    <xf numFmtId="200" fontId="52" fillId="26" borderId="91" xfId="60" applyNumberFormat="1" applyFont="1" applyFill="1" applyBorder="1" applyAlignment="1" applyProtection="1">
      <alignment vertical="center"/>
      <protection locked="0"/>
    </xf>
    <xf numFmtId="200" fontId="52" fillId="26" borderId="12" xfId="60" applyNumberFormat="1" applyFont="1" applyFill="1" applyBorder="1" applyAlignment="1" applyProtection="1">
      <alignment vertical="center"/>
      <protection locked="0"/>
    </xf>
    <xf numFmtId="200" fontId="52" fillId="26" borderId="92" xfId="60" applyNumberFormat="1" applyFont="1" applyFill="1" applyBorder="1" applyAlignment="1" applyProtection="1">
      <alignment vertical="center"/>
      <protection locked="0"/>
    </xf>
    <xf numFmtId="200" fontId="52" fillId="26" borderId="93" xfId="60" applyNumberFormat="1" applyFont="1" applyFill="1" applyBorder="1" applyAlignment="1" applyProtection="1">
      <alignment vertical="center"/>
      <protection locked="0"/>
    </xf>
    <xf numFmtId="4" fontId="52" fillId="26" borderId="11" xfId="60" applyNumberFormat="1" applyFont="1" applyFill="1" applyBorder="1" applyAlignment="1" applyProtection="1">
      <alignment vertical="center"/>
      <protection locked="0"/>
    </xf>
    <xf numFmtId="4" fontId="52" fillId="26" borderId="90" xfId="60" applyNumberFormat="1" applyFont="1" applyFill="1" applyBorder="1" applyAlignment="1" applyProtection="1">
      <alignment vertical="center"/>
      <protection locked="0"/>
    </xf>
    <xf numFmtId="4" fontId="52" fillId="26" borderId="91" xfId="60" applyNumberFormat="1" applyFont="1" applyFill="1" applyBorder="1" applyAlignment="1" applyProtection="1">
      <alignment vertical="center"/>
      <protection locked="0"/>
    </xf>
    <xf numFmtId="4" fontId="52" fillId="26" borderId="12" xfId="60" applyNumberFormat="1" applyFont="1" applyFill="1" applyBorder="1" applyAlignment="1" applyProtection="1">
      <alignment vertical="center"/>
      <protection locked="0"/>
    </xf>
    <xf numFmtId="4" fontId="52" fillId="26" borderId="92" xfId="60" applyNumberFormat="1" applyFont="1" applyFill="1" applyBorder="1" applyAlignment="1" applyProtection="1">
      <alignment vertical="center"/>
      <protection locked="0"/>
    </xf>
    <xf numFmtId="4" fontId="52" fillId="26" borderId="93" xfId="60" applyNumberFormat="1" applyFont="1" applyFill="1" applyBorder="1" applyAlignment="1" applyProtection="1">
      <alignment vertical="center"/>
      <protection locked="0"/>
    </xf>
    <xf numFmtId="0" fontId="52" fillId="26" borderId="61" xfId="0" applyNumberFormat="1" applyFont="1" applyFill="1" applyBorder="1" applyAlignment="1" applyProtection="1">
      <alignment horizontal="right" vertical="center"/>
      <protection locked="0"/>
    </xf>
    <xf numFmtId="0" fontId="52" fillId="26" borderId="94" xfId="0" applyNumberFormat="1" applyFont="1" applyFill="1" applyBorder="1" applyAlignment="1" applyProtection="1">
      <alignment horizontal="right" vertical="center"/>
      <protection locked="0"/>
    </xf>
    <xf numFmtId="0" fontId="52" fillId="26" borderId="95" xfId="0" applyNumberFormat="1" applyFont="1" applyFill="1" applyBorder="1" applyAlignment="1" applyProtection="1">
      <alignment horizontal="right" vertical="center"/>
      <protection locked="0"/>
    </xf>
    <xf numFmtId="4" fontId="59" fillId="26" borderId="11" xfId="60" applyNumberFormat="1" applyFont="1" applyFill="1" applyBorder="1" applyAlignment="1" applyProtection="1">
      <alignment vertical="center"/>
      <protection locked="0"/>
    </xf>
    <xf numFmtId="4" fontId="0" fillId="0" borderId="0" xfId="0" applyNumberFormat="1"/>
    <xf numFmtId="2" fontId="50" fillId="0" borderId="87" xfId="0" applyNumberFormat="1" applyFont="1" applyBorder="1" applyAlignment="1">
      <alignment horizontal="center" vertical="center" wrapText="1"/>
    </xf>
    <xf numFmtId="2" fontId="50" fillId="0" borderId="88" xfId="0" applyNumberFormat="1" applyFont="1" applyBorder="1" applyAlignment="1">
      <alignment horizontal="center" vertical="center" wrapText="1"/>
    </xf>
    <xf numFmtId="2" fontId="50" fillId="0" borderId="89" xfId="0" applyNumberFormat="1" applyFont="1" applyBorder="1" applyAlignment="1">
      <alignment horizontal="center" vertical="center" wrapText="1"/>
    </xf>
    <xf numFmtId="194" fontId="50" fillId="0" borderId="23" xfId="0" applyNumberFormat="1" applyFont="1" applyBorder="1" applyAlignment="1">
      <alignment horizontal="center" vertical="center" wrapText="1"/>
    </xf>
    <xf numFmtId="194" fontId="50" fillId="0" borderId="0" xfId="0" applyNumberFormat="1" applyFont="1" applyBorder="1" applyAlignment="1">
      <alignment horizontal="center" vertical="center" wrapText="1"/>
    </xf>
    <xf numFmtId="194" fontId="50" fillId="0" borderId="24" xfId="0" applyNumberFormat="1" applyFont="1" applyBorder="1" applyAlignment="1">
      <alignment horizontal="center" vertical="center" wrapText="1"/>
    </xf>
    <xf numFmtId="0" fontId="48" fillId="0" borderId="86" xfId="0" applyFont="1" applyBorder="1" applyAlignment="1">
      <alignment horizontal="center" vertical="center" wrapText="1"/>
    </xf>
    <xf numFmtId="0" fontId="48" fillId="0" borderId="71" xfId="0" applyFont="1" applyBorder="1" applyAlignment="1">
      <alignment horizontal="center" vertical="center" wrapText="1"/>
    </xf>
    <xf numFmtId="0" fontId="48" fillId="0" borderId="70" xfId="0" applyFont="1" applyBorder="1" applyAlignment="1">
      <alignment horizontal="center" vertical="center" wrapText="1"/>
    </xf>
    <xf numFmtId="0" fontId="48" fillId="0" borderId="85" xfId="0" applyFont="1" applyBorder="1" applyAlignment="1">
      <alignment horizontal="center" vertical="center" wrapText="1"/>
    </xf>
    <xf numFmtId="194" fontId="45" fillId="0" borderId="23" xfId="0" applyNumberFormat="1" applyFont="1" applyBorder="1" applyAlignment="1">
      <alignment horizontal="center" vertical="center" wrapText="1"/>
    </xf>
    <xf numFmtId="194" fontId="45" fillId="0" borderId="0" xfId="0" applyNumberFormat="1" applyFont="1" applyBorder="1" applyAlignment="1">
      <alignment horizontal="center" vertical="center" wrapText="1"/>
    </xf>
    <xf numFmtId="194" fontId="45" fillId="0" borderId="24" xfId="0" applyNumberFormat="1" applyFont="1" applyBorder="1" applyAlignment="1">
      <alignment horizontal="center" vertical="center" wrapText="1"/>
    </xf>
    <xf numFmtId="2" fontId="45" fillId="0" borderId="87" xfId="0" applyNumberFormat="1" applyFont="1" applyBorder="1" applyAlignment="1">
      <alignment horizontal="center" vertical="center" wrapText="1"/>
    </xf>
    <xf numFmtId="2" fontId="45" fillId="0" borderId="88" xfId="0" applyNumberFormat="1" applyFont="1" applyBorder="1" applyAlignment="1">
      <alignment horizontal="center" vertical="center" wrapText="1"/>
    </xf>
    <xf numFmtId="2" fontId="45" fillId="0" borderId="89" xfId="0" applyNumberFormat="1" applyFont="1" applyBorder="1" applyAlignment="1">
      <alignment horizontal="center" vertical="center" wrapText="1"/>
    </xf>
    <xf numFmtId="0" fontId="44" fillId="0" borderId="70" xfId="0" applyFont="1" applyBorder="1" applyAlignment="1">
      <alignment horizontal="center" vertical="center" wrapText="1"/>
    </xf>
    <xf numFmtId="0" fontId="44" fillId="0" borderId="85" xfId="0" applyFont="1" applyBorder="1" applyAlignment="1">
      <alignment horizontal="center" vertical="center" wrapText="1"/>
    </xf>
    <xf numFmtId="0" fontId="44" fillId="0" borderId="86" xfId="0" applyFont="1" applyBorder="1" applyAlignment="1">
      <alignment horizontal="center" vertical="center" wrapText="1"/>
    </xf>
    <xf numFmtId="0" fontId="44" fillId="0" borderId="71" xfId="0" applyFont="1" applyBorder="1" applyAlignment="1">
      <alignment horizontal="center" vertical="center" wrapText="1"/>
    </xf>
    <xf numFmtId="200" fontId="44" fillId="0" borderId="70" xfId="0" applyNumberFormat="1" applyFont="1" applyBorder="1" applyAlignment="1">
      <alignment horizontal="center" vertical="center" wrapText="1"/>
    </xf>
    <xf numFmtId="200" fontId="44" fillId="0" borderId="85" xfId="0" applyNumberFormat="1" applyFont="1" applyBorder="1" applyAlignment="1">
      <alignment horizontal="center" vertical="center" wrapText="1"/>
    </xf>
    <xf numFmtId="0" fontId="2" fillId="0" borderId="10" xfId="227" applyBorder="1" applyAlignment="1">
      <alignment horizontal="left"/>
    </xf>
    <xf numFmtId="0" fontId="2" fillId="0" borderId="10" xfId="227" applyBorder="1"/>
    <xf numFmtId="0" fontId="2" fillId="0" borderId="0" xfId="227" applyAlignment="1">
      <alignment horizontal="left" vertical="center"/>
    </xf>
    <xf numFmtId="0" fontId="2" fillId="0" borderId="0" xfId="227" applyAlignment="1">
      <alignment vertical="center"/>
    </xf>
    <xf numFmtId="194" fontId="45" fillId="0" borderId="0" xfId="0" applyNumberFormat="1" applyFont="1" applyAlignment="1">
      <alignment horizontal="center" vertical="center" wrapText="1"/>
    </xf>
    <xf numFmtId="1" fontId="62" fillId="0" borderId="0" xfId="0" applyNumberFormat="1" applyFont="1" applyAlignment="1">
      <alignment horizontal="center" vertical="center"/>
    </xf>
    <xf numFmtId="1" fontId="62" fillId="0" borderId="24" xfId="0" applyNumberFormat="1" applyFont="1" applyBorder="1" applyAlignment="1">
      <alignment horizontal="center" vertical="center"/>
    </xf>
    <xf numFmtId="1" fontId="62" fillId="0" borderId="23" xfId="0" applyNumberFormat="1" applyFont="1" applyBorder="1" applyAlignment="1">
      <alignment horizontal="center" vertical="center"/>
    </xf>
    <xf numFmtId="2" fontId="63" fillId="0" borderId="0" xfId="0" applyNumberFormat="1" applyFont="1" applyAlignment="1">
      <alignment horizontal="center" vertical="center"/>
    </xf>
    <xf numFmtId="2" fontId="63" fillId="0" borderId="24" xfId="0" applyNumberFormat="1" applyFont="1" applyBorder="1" applyAlignment="1">
      <alignment horizontal="center" vertical="center"/>
    </xf>
    <xf numFmtId="0" fontId="62" fillId="0" borderId="23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44" fillId="0" borderId="26" xfId="0" applyFont="1" applyBorder="1" applyAlignment="1">
      <alignment horizontal="center" vertical="center" wrapText="1"/>
    </xf>
    <xf numFmtId="0" fontId="44" fillId="0" borderId="25" xfId="0" applyFont="1" applyBorder="1" applyAlignment="1">
      <alignment horizontal="center" vertical="center" wrapText="1"/>
    </xf>
  </cellXfs>
  <cellStyles count="228">
    <cellStyle name="_FY2014 MP作成依頼（KDTCN).1207(3)" xfId="1" xr:uid="{A9C23D46-C34D-4714-ACA7-271D1A2ECCF6}"/>
    <cellStyle name="20% - Accent1 2" xfId="2" xr:uid="{EB3AC5EF-6E49-4FB2-A2C3-7766FA3997AC}"/>
    <cellStyle name="20% - Accent1 2 2" xfId="3" xr:uid="{46021AF9-4C40-4702-A1B1-466D50E6C5CB}"/>
    <cellStyle name="20% - Accent2 2" xfId="4" xr:uid="{6BE3E74F-9293-4D8F-9B92-99D47B415D47}"/>
    <cellStyle name="20% - Accent2 2 2" xfId="5" xr:uid="{CB505242-2D48-417E-80FB-C3DD82953FE8}"/>
    <cellStyle name="20% - Accent3 2" xfId="6" xr:uid="{3540B842-87D1-4FCA-B528-0F32BD105D8E}"/>
    <cellStyle name="20% - Accent3 2 2" xfId="7" xr:uid="{8C561A39-3E37-4680-91D2-13A12FA4936F}"/>
    <cellStyle name="20% - Accent4 2" xfId="8" xr:uid="{02405FFD-E91D-4134-9122-C1D10FBD7A54}"/>
    <cellStyle name="20% - Accent4 2 2" xfId="9" xr:uid="{FAC62CE0-CE54-4D4C-BCBB-5C7B3B396990}"/>
    <cellStyle name="20% - Accent5 2" xfId="10" xr:uid="{88462C50-2E6A-498C-9F0E-13BEAC1FD72E}"/>
    <cellStyle name="20% - Accent5 2 2" xfId="11" xr:uid="{80BC5381-CC48-412D-851B-8A4B26E38240}"/>
    <cellStyle name="20% - Accent6 2" xfId="12" xr:uid="{A76F2E84-36D1-4880-B308-4CDF314CAD2E}"/>
    <cellStyle name="20% - Accent6 2 2" xfId="13" xr:uid="{E271199A-39FF-4B3D-9EE3-84138069F345}"/>
    <cellStyle name="20% - アクセント 1" xfId="14" xr:uid="{C23101FC-D18B-4104-9237-70EC9E722292}"/>
    <cellStyle name="20% - アクセント 2" xfId="15" xr:uid="{C6E6A5EA-AA95-4290-A30A-CEA573A59AD5}"/>
    <cellStyle name="20% - アクセント 3" xfId="16" xr:uid="{80B1CD72-73F3-4651-A100-F9C32238631C}"/>
    <cellStyle name="20% - アクセント 4" xfId="17" xr:uid="{F37BBFD6-EF83-4AAB-9B46-3790E7E80EDB}"/>
    <cellStyle name="20% - アクセント 5" xfId="18" xr:uid="{252E786C-7C34-4D6A-947A-392E2822A26D}"/>
    <cellStyle name="20% - アクセント 6" xfId="19" xr:uid="{8519F85E-9AB3-40A8-B0CD-A430C11B8D8A}"/>
    <cellStyle name="3232" xfId="20" xr:uid="{223F04F5-7656-4356-8D80-D6CCD287CFCF}"/>
    <cellStyle name="40% - Accent1 2" xfId="21" xr:uid="{C3E589E8-599D-4880-A16C-D7D04EACEAC8}"/>
    <cellStyle name="40% - Accent1 2 2" xfId="22" xr:uid="{83B3AD97-9FE6-46DD-BAB8-9278442AA9F7}"/>
    <cellStyle name="40% - Accent2 2" xfId="23" xr:uid="{DCDB9D1B-916E-4F62-83D9-B47B15E06FD6}"/>
    <cellStyle name="40% - Accent2 2 2" xfId="24" xr:uid="{D15FF7BA-E220-4C9B-8C73-A589BB3BA131}"/>
    <cellStyle name="40% - Accent3 2" xfId="25" xr:uid="{963D562A-09DF-4B25-B825-2EDC3FEB54E3}"/>
    <cellStyle name="40% - Accent3 2 2" xfId="26" xr:uid="{3D211F92-9285-40D5-A9C1-4A3AA61F2EDE}"/>
    <cellStyle name="40% - Accent4 2" xfId="27" xr:uid="{5598A7E8-5EA9-467C-A954-64CCEAD1143B}"/>
    <cellStyle name="40% - Accent4 2 2" xfId="28" xr:uid="{DC7C2A56-8265-4E14-9BC5-A13A9BC8BA35}"/>
    <cellStyle name="40% - Accent5 2" xfId="29" xr:uid="{FFF49002-64EA-4DBB-B363-7BAD0B930B2F}"/>
    <cellStyle name="40% - Accent5 2 2" xfId="30" xr:uid="{210ACD65-9FCC-42D6-8C54-11407C01D974}"/>
    <cellStyle name="40% - Accent6 2" xfId="31" xr:uid="{5D094944-58EC-4321-A680-6A21E814CC94}"/>
    <cellStyle name="40% - Accent6 2 2" xfId="32" xr:uid="{FBD921F8-47DA-40B3-B76A-0481053B73F3}"/>
    <cellStyle name="40% - アクセント 1" xfId="33" xr:uid="{37641251-41D0-4F67-84FA-4942702F036E}"/>
    <cellStyle name="40% - アクセント 2" xfId="34" xr:uid="{8AC7D4F4-9FC2-46DD-B757-4FCB5D1F9363}"/>
    <cellStyle name="40% - アクセント 3" xfId="35" xr:uid="{CEB013F6-25E2-48A6-87C4-EBC3AFA2FE82}"/>
    <cellStyle name="40% - アクセント 4" xfId="36" xr:uid="{CDF09282-EA16-4B8A-B4F9-36E9047F393D}"/>
    <cellStyle name="40% - アクセント 5" xfId="37" xr:uid="{049E491D-3934-46E9-ABD5-7D45CFD8559E}"/>
    <cellStyle name="40% - アクセント 6" xfId="38" xr:uid="{4DA18D7E-979F-4A73-B761-76E2C698AB20}"/>
    <cellStyle name="60% - Accent1 2" xfId="39" xr:uid="{A07859B4-B81A-4073-BD31-C4C283C14314}"/>
    <cellStyle name="60% - Accent2 2" xfId="40" xr:uid="{FF0B5DA5-6030-45A6-97EF-5A43A1F311CF}"/>
    <cellStyle name="60% - Accent3 2" xfId="41" xr:uid="{67028ECB-F371-4807-B5C0-3B484D1E4673}"/>
    <cellStyle name="60% - Accent4 2" xfId="42" xr:uid="{790BE55E-57F2-45B4-8083-5A5150D1AC63}"/>
    <cellStyle name="60% - Accent5 2" xfId="43" xr:uid="{FCC6CDD4-67FB-413A-B348-57D6EE379663}"/>
    <cellStyle name="60% - Accent6 2" xfId="44" xr:uid="{51AE3168-5668-46C9-9D19-DAA00283D040}"/>
    <cellStyle name="60% - アクセント 1" xfId="45" xr:uid="{6872B372-8C99-4A6C-8407-7AE28439E57B}"/>
    <cellStyle name="60% - アクセント 2" xfId="46" xr:uid="{BF99B706-3401-4C37-A587-78435EB03270}"/>
    <cellStyle name="60% - アクセント 3" xfId="47" xr:uid="{88E11F05-486A-4C18-925C-4A86C1779973}"/>
    <cellStyle name="60% - アクセント 4" xfId="48" xr:uid="{B451484D-9ED4-4256-8666-41DD90B9A142}"/>
    <cellStyle name="60% - アクセント 5" xfId="49" xr:uid="{D5C13741-AA28-4DE5-B7DE-DCDE6A2C2A12}"/>
    <cellStyle name="60% - アクセント 6" xfId="50" xr:uid="{2717F345-8F59-4FFE-9CB4-453DF4894065}"/>
    <cellStyle name="Accent1 2" xfId="51" xr:uid="{00CCFD79-31C7-41F6-B4F3-40D89492C51D}"/>
    <cellStyle name="Accent2 2" xfId="52" xr:uid="{95A1DF4E-98A8-4ED4-B57E-D986D8E82BE4}"/>
    <cellStyle name="Accent3 2" xfId="53" xr:uid="{A034635D-199D-4EA5-AB9E-EDDFFCB1AA33}"/>
    <cellStyle name="Accent4 2" xfId="54" xr:uid="{6479B97E-409F-4030-8A91-0919BA9B1B5C}"/>
    <cellStyle name="Accent5 2" xfId="55" xr:uid="{DB0CDC3D-E196-4EA2-87C8-222616DE001E}"/>
    <cellStyle name="Accent6 2" xfId="56" xr:uid="{E7C94A87-50FD-4EE0-9CEA-E22E0B8E2961}"/>
    <cellStyle name="Bad 2" xfId="57" xr:uid="{B66786EB-8315-4025-87C7-CA568FACA50C}"/>
    <cellStyle name="Calculation 2" xfId="58" xr:uid="{99E83985-A630-46B2-BB51-190D4628FE8F}"/>
    <cellStyle name="Check Cell 2" xfId="59" xr:uid="{9EFFE680-42E9-4C9E-A1BA-F784E87DF4DD}"/>
    <cellStyle name="Comma" xfId="60" builtinId="3"/>
    <cellStyle name="Comma [0]" xfId="61" builtinId="6"/>
    <cellStyle name="Comma [0] 2" xfId="62" xr:uid="{DA26DED1-880C-4DDC-B88E-0A8C87FC8BD2}"/>
    <cellStyle name="Comma [0] 2 2" xfId="63" xr:uid="{5EBB6349-423F-44A9-86E2-54F0383843C7}"/>
    <cellStyle name="Comma [0] 2 3" xfId="64" xr:uid="{F53D1B0A-DFC1-448F-8609-E9C723AB8692}"/>
    <cellStyle name="Comma [0] 2 4" xfId="65" xr:uid="{9DC1B0F2-70A2-428A-8620-F6FD65358A8B}"/>
    <cellStyle name="Comma [0] 3" xfId="66" xr:uid="{86D81FF8-E919-4B28-B3EA-7ACDD88A3305}"/>
    <cellStyle name="Comma [0] 4" xfId="67" xr:uid="{678343D0-519A-4859-84C1-4B6E54F551E7}"/>
    <cellStyle name="Comma 10" xfId="68" xr:uid="{99CE7056-4DF8-4BE3-8D7B-54281593C087}"/>
    <cellStyle name="Comma 11" xfId="69" xr:uid="{AAFA8C07-B9F1-43E5-9810-8ACEF9A76DD0}"/>
    <cellStyle name="Comma 12" xfId="70" xr:uid="{7B6A660B-3A96-45EC-9BDA-399FA66D7E7B}"/>
    <cellStyle name="Comma 13" xfId="71" xr:uid="{9CF1C6BD-EA79-4292-9F6D-CDBE07DECE9E}"/>
    <cellStyle name="Comma 14" xfId="72" xr:uid="{DEFE93A7-1290-4FAF-80B7-E287CA45E519}"/>
    <cellStyle name="Comma 15" xfId="73" xr:uid="{D98A89F5-07DA-40BA-8E47-C8E821087560}"/>
    <cellStyle name="Comma 16" xfId="74" xr:uid="{8583C832-FBD3-4E11-8BF7-79E489440BF6}"/>
    <cellStyle name="Comma 17" xfId="75" xr:uid="{16E66427-F192-4892-85C3-43F5A0891C11}"/>
    <cellStyle name="Comma 18" xfId="76" xr:uid="{2689B259-FCB2-437B-94F4-DB179B506CEE}"/>
    <cellStyle name="Comma 19" xfId="77" xr:uid="{5A339E64-F3EE-4CCE-84D3-751104FDC37D}"/>
    <cellStyle name="Comma 2" xfId="78" xr:uid="{4E0767BE-1A8F-407F-B075-CE750552EDF2}"/>
    <cellStyle name="Comma 2 2" xfId="79" xr:uid="{6B3981F3-91F7-4C50-A5DA-93A95D13258F}"/>
    <cellStyle name="Comma 2 3" xfId="80" xr:uid="{7ED38D6B-B351-4E76-B4AA-A8C9424E7C2F}"/>
    <cellStyle name="Comma 2 3 2" xfId="81" xr:uid="{A5D9009D-A6D9-457D-8961-4B0106765D48}"/>
    <cellStyle name="Comma 20" xfId="82" xr:uid="{E76E71DF-E046-4365-B5F3-A78257F37734}"/>
    <cellStyle name="Comma 21" xfId="83" xr:uid="{0F569251-7CD3-4019-A06B-60CA9CABDE0B}"/>
    <cellStyle name="Comma 22" xfId="84" xr:uid="{3D64DA26-4093-4F96-A11D-025D99E81A78}"/>
    <cellStyle name="Comma 23" xfId="85" xr:uid="{80C5E68A-7496-45D1-9AD3-CF54125951CC}"/>
    <cellStyle name="Comma 24" xfId="86" xr:uid="{8D7AA72B-D340-4ACE-82B8-B44CBDE9A3D1}"/>
    <cellStyle name="Comma 25" xfId="87" xr:uid="{6516731C-F195-4AF9-B206-51E39DB445AD}"/>
    <cellStyle name="Comma 26" xfId="88" xr:uid="{8713320D-30F0-4598-967A-F57FD04120B5}"/>
    <cellStyle name="Comma 27" xfId="89" xr:uid="{C930060E-15BC-4A00-A87D-46A0E867CEB0}"/>
    <cellStyle name="Comma 28" xfId="90" xr:uid="{461B8B38-F4DB-4B1B-8AC5-B9CF0F0FC2A9}"/>
    <cellStyle name="Comma 29" xfId="91" xr:uid="{9CE70E3A-B94C-4A12-B0E2-7F7ED93F54FF}"/>
    <cellStyle name="Comma 3" xfId="92" xr:uid="{B755A8F7-AB50-4F5F-8DD4-3DA23520CCE0}"/>
    <cellStyle name="Comma 3 2" xfId="93" xr:uid="{45AB0A81-F470-40B5-B59A-13DB86B7F3B1}"/>
    <cellStyle name="Comma 30" xfId="94" xr:uid="{304B8114-9548-4BC8-9E2E-4FB32A5A9EA0}"/>
    <cellStyle name="Comma 31" xfId="95" xr:uid="{1E96D4BF-004A-497E-A2C0-4024881D1356}"/>
    <cellStyle name="Comma 32" xfId="96" xr:uid="{555CE822-30B2-444D-AE47-C6E5F90CB472}"/>
    <cellStyle name="Comma 33" xfId="97" xr:uid="{767DBB0E-C824-4CAD-8EA3-41FEC9F3CAF5}"/>
    <cellStyle name="Comma 34" xfId="98" xr:uid="{14E2B438-6442-4758-B83D-6B132D97D16C}"/>
    <cellStyle name="Comma 35" xfId="99" xr:uid="{E388A0C3-0826-4E32-B87D-4D0CAD678489}"/>
    <cellStyle name="Comma 36" xfId="100" xr:uid="{30013E0C-8C0E-49AD-A723-C1F59B1DE858}"/>
    <cellStyle name="Comma 37" xfId="101" xr:uid="{CFF3E8B2-8673-4C46-8118-9AAC682975FB}"/>
    <cellStyle name="Comma 38" xfId="102" xr:uid="{EA8DBDF4-C4A3-4D37-8602-D3335D7B75AF}"/>
    <cellStyle name="Comma 39" xfId="103" xr:uid="{FC626C5F-8F61-46D2-9C71-873147BB58D1}"/>
    <cellStyle name="Comma 4" xfId="104" xr:uid="{B654A366-9096-4B41-91D7-C7EBA1A06641}"/>
    <cellStyle name="Comma 40" xfId="105" xr:uid="{D06A32B0-44A2-4198-8013-3560715C2989}"/>
    <cellStyle name="Comma 41" xfId="106" xr:uid="{ED471948-FF73-465B-8DF9-E27B06C9DB10}"/>
    <cellStyle name="Comma 42" xfId="107" xr:uid="{B3A49703-D199-4DCD-92AC-C38A096FC70D}"/>
    <cellStyle name="Comma 43" xfId="108" xr:uid="{3BDAB5E8-4DD4-4604-AD3F-4800AD3CE4F9}"/>
    <cellStyle name="Comma 44" xfId="109" xr:uid="{A60CA899-282E-42A8-9137-589C2C18BC47}"/>
    <cellStyle name="Comma 45" xfId="110" xr:uid="{AA8DAC56-2AF1-4752-BF2F-A0EDAA3D2733}"/>
    <cellStyle name="Comma 46" xfId="111" xr:uid="{D0361018-E89D-4415-9D4E-667379E99F71}"/>
    <cellStyle name="Comma 47" xfId="112" xr:uid="{0D3DCF6E-3DFB-4B0D-B171-8B66459BDB5C}"/>
    <cellStyle name="Comma 48" xfId="113" xr:uid="{DCCA086B-C73F-4909-8520-0A5C153A4F42}"/>
    <cellStyle name="Comma 49" xfId="114" xr:uid="{8CCF4772-4485-4A11-9854-33D70C3B56EB}"/>
    <cellStyle name="Comma 5" xfId="115" xr:uid="{D4AC3941-EED6-48F4-A8D9-D179B6B82336}"/>
    <cellStyle name="Comma 50" xfId="116" xr:uid="{88AD90C8-F5F6-45A9-ABF7-F10770CCAB9C}"/>
    <cellStyle name="Comma 51" xfId="117" xr:uid="{93A569B1-03CB-44FA-BEB9-A3D7621AA1E4}"/>
    <cellStyle name="Comma 52" xfId="118" xr:uid="{97177D85-AA0A-4B63-81D5-7BF0EE0644B4}"/>
    <cellStyle name="Comma 53" xfId="119" xr:uid="{2C4E277B-3FC9-4E06-8E2A-6304949AB834}"/>
    <cellStyle name="Comma 54" xfId="120" xr:uid="{0F8ADDA5-458B-46A1-8EE9-DA5587CE365C}"/>
    <cellStyle name="Comma 55" xfId="121" xr:uid="{652B1C13-142C-4023-A0F9-653A732AB054}"/>
    <cellStyle name="Comma 56" xfId="122" xr:uid="{2EB6FC8F-8F6C-4021-B04F-6208EC958261}"/>
    <cellStyle name="Comma 57" xfId="123" xr:uid="{FE654E61-9902-4062-A886-21D1AC54C87A}"/>
    <cellStyle name="Comma 58" xfId="124" xr:uid="{D488C0BA-DCB0-48BF-A07C-98E06CAB242F}"/>
    <cellStyle name="Comma 59" xfId="125" xr:uid="{052305E2-0F34-4A98-984C-135199CD5FA6}"/>
    <cellStyle name="Comma 6" xfId="126" xr:uid="{8DBB84A9-D634-40D0-94AE-0468686CB263}"/>
    <cellStyle name="Comma 60" xfId="127" xr:uid="{AD3FD62B-0968-4D62-B47C-9A085238EC33}"/>
    <cellStyle name="Comma 61" xfId="128" xr:uid="{E289DAC6-4271-4FF0-A8E7-AD788AA4D3C9}"/>
    <cellStyle name="Comma 62" xfId="129" xr:uid="{8D551833-5573-41B5-A338-C09C39C4C53F}"/>
    <cellStyle name="Comma 63" xfId="130" xr:uid="{3356A913-1CFA-40D7-8AAE-9865D6A21025}"/>
    <cellStyle name="Comma 64" xfId="131" xr:uid="{91AF0D1E-6B17-42E0-8C1D-6D47D8E82772}"/>
    <cellStyle name="Comma 65" xfId="132" xr:uid="{03EBA4E2-E992-4428-9FFA-52C96017BBFA}"/>
    <cellStyle name="Comma 66" xfId="133" xr:uid="{34A6A100-2A69-4B8B-B7B1-87DB89764B4D}"/>
    <cellStyle name="Comma 67" xfId="134" xr:uid="{1437E0A8-AD83-47BD-8012-207E40864038}"/>
    <cellStyle name="Comma 68" xfId="135" xr:uid="{7BFE63EC-6AA0-46B7-9292-C998FA05EE59}"/>
    <cellStyle name="Comma 69" xfId="136" xr:uid="{12F0E8CC-710D-42F8-A127-F32B56C7F661}"/>
    <cellStyle name="Comma 7" xfId="137" xr:uid="{0B0C6CCA-24AA-415B-A16C-3E873299F9A2}"/>
    <cellStyle name="Comma 70" xfId="138" xr:uid="{97AFC0B9-901F-45A7-91F6-23A948D447D1}"/>
    <cellStyle name="Comma 71" xfId="139" xr:uid="{360533C7-9FE0-4F70-BB62-6E8D1FD82155}"/>
    <cellStyle name="Comma 72" xfId="140" xr:uid="{C3EFDD80-AA17-4765-A046-2318E436F406}"/>
    <cellStyle name="Comma 73" xfId="141" xr:uid="{4A59462C-DED9-4F58-8421-74CBA8EF50C2}"/>
    <cellStyle name="Comma 74" xfId="142" xr:uid="{F3393641-E1FD-4DF4-98E4-2B6FF3BD075A}"/>
    <cellStyle name="Comma 75" xfId="143" xr:uid="{45684BC4-A5AE-4E8B-A488-1452193A8908}"/>
    <cellStyle name="Comma 76" xfId="144" xr:uid="{8B8D4439-0B50-4EE7-98CA-C4E496B59AA4}"/>
    <cellStyle name="Comma 77" xfId="145" xr:uid="{77845235-E374-4A28-91C1-BA68D15BB9DB}"/>
    <cellStyle name="Comma 78" xfId="146" xr:uid="{A54EA6DE-7153-471C-A0D2-BADC5549298D}"/>
    <cellStyle name="Comma 79" xfId="147" xr:uid="{A9B5A39E-4B56-450F-849F-1B4CB99A4AB5}"/>
    <cellStyle name="Comma 8" xfId="148" xr:uid="{DA7A5588-8C1C-4B6B-8997-EB61BA96BB46}"/>
    <cellStyle name="Comma 80" xfId="149" xr:uid="{899C5E50-EE2B-475E-9496-E88D53BE32E7}"/>
    <cellStyle name="Comma 81" xfId="150" xr:uid="{25A2CD99-BC32-4374-80C0-DA45A89B357C}"/>
    <cellStyle name="Comma 82" xfId="151" xr:uid="{699C3A05-6214-4D46-881C-E583FA8248C1}"/>
    <cellStyle name="Comma 83" xfId="152" xr:uid="{58865C8D-4897-4363-BA00-009C098A89AE}"/>
    <cellStyle name="Comma 84" xfId="153" xr:uid="{BEAE2B3B-BBB0-4F7D-933D-CF8B04AAF6F4}"/>
    <cellStyle name="Comma 85" xfId="154" xr:uid="{57B0ABF0-E129-4052-814E-13F9A5DC4B97}"/>
    <cellStyle name="Comma 86" xfId="155" xr:uid="{26B40228-B28C-47A5-A48E-323FE8F47611}"/>
    <cellStyle name="Comma 87" xfId="156" xr:uid="{DAA337B5-9B00-4418-8576-A26CE15FF0F1}"/>
    <cellStyle name="Comma 88" xfId="157" xr:uid="{0C59C572-515C-4010-9A8E-E03471784002}"/>
    <cellStyle name="Comma 89" xfId="158" xr:uid="{ABF6460C-D96D-4E35-93E4-635D0FD3B398}"/>
    <cellStyle name="Comma 9" xfId="159" xr:uid="{7B92845E-5FA4-45C2-9ADE-2E1D9C49C52F}"/>
    <cellStyle name="Explanatory Text 2" xfId="160" xr:uid="{47B94AC0-91D1-4A5C-944B-DC7F2603A5B4}"/>
    <cellStyle name="Good 2" xfId="161" xr:uid="{1A25C179-54C9-4088-8286-BD8626D193E6}"/>
    <cellStyle name="Heading 1 2" xfId="162" xr:uid="{5D9D9046-52E0-47F4-90C1-488BF84DDA93}"/>
    <cellStyle name="Heading 2 2" xfId="163" xr:uid="{261FFC00-4DE0-4C2F-A3A3-02C5B3C32AC2}"/>
    <cellStyle name="Heading 3 2" xfId="164" xr:uid="{17C63E28-024D-467E-8B35-AED9428A7AB6}"/>
    <cellStyle name="Heading 4 2" xfId="165" xr:uid="{92A4CAD3-EBCF-4AA9-9720-5A1D22B45348}"/>
    <cellStyle name="Hyperlink 2" xfId="166" xr:uid="{4493242A-2F48-445A-AEDB-1EEEC7E22030}"/>
    <cellStyle name="Input 2" xfId="167" xr:uid="{81C21DC6-79AD-42FB-A808-D6932C4001D6}"/>
    <cellStyle name="Linked Cell 2" xfId="168" xr:uid="{38559FA7-1184-4BCB-8BCB-3C40E08ADF17}"/>
    <cellStyle name="Neutral 2" xfId="169" xr:uid="{809EE80B-2DE9-434C-901E-8D97CBFB4417}"/>
    <cellStyle name="Normal" xfId="0" builtinId="0"/>
    <cellStyle name="Normal 2" xfId="170" xr:uid="{F225808C-3F88-4334-89DC-190156A65CB1}"/>
    <cellStyle name="Normal 2 2" xfId="171" xr:uid="{DDB243B3-302C-4B89-9928-E5B76C77DCA9}"/>
    <cellStyle name="Normal 2 3" xfId="172" xr:uid="{A7672FB5-1F37-4A60-A365-B5AA1FE60336}"/>
    <cellStyle name="Normal 2 4" xfId="227" xr:uid="{921C7F2D-8DCD-4E35-B2B7-4024DDBFA968}"/>
    <cellStyle name="Normal 3" xfId="173" xr:uid="{A0BED6F7-BA67-4F05-86B0-9A0A94C71103}"/>
    <cellStyle name="Normal 4" xfId="174" xr:uid="{EAC2C6C1-4588-4BA4-BF05-91B126E62CC8}"/>
    <cellStyle name="Normal 5" xfId="175" xr:uid="{F1DB87EA-BA3F-4D5D-A9DB-D51FBEA62D6F}"/>
    <cellStyle name="Note 2" xfId="176" xr:uid="{49A9DF56-1B86-4AAE-AC39-DD1706241ADB}"/>
    <cellStyle name="Output 2" xfId="177" xr:uid="{0105E34B-1D5B-4920-BD93-B7405BA237A3}"/>
    <cellStyle name="Percent 2" xfId="178" xr:uid="{F0D3239F-6E4F-4DEB-8048-5357CADD357B}"/>
    <cellStyle name="Percent 2 2" xfId="179" xr:uid="{D57C3515-6B66-43AA-8223-FBF04502B0D9}"/>
    <cellStyle name="Percent 2 3" xfId="180" xr:uid="{82626C4C-3BCF-4CE0-BF59-7BCB8D500E6E}"/>
    <cellStyle name="Percent 3" xfId="181" xr:uid="{86DE913B-673E-4FE0-A1B0-67E0C7889AD3}"/>
    <cellStyle name="Title 2" xfId="182" xr:uid="{FAD6694F-CC32-4FFA-822C-C1F45A234E1F}"/>
    <cellStyle name="Total 2" xfId="183" xr:uid="{1CD6297E-8A1C-4003-A71D-14BF74EA9AE6}"/>
    <cellStyle name="Warning Text 2" xfId="184" xr:uid="{1EFDEFC8-5A58-4C73-BF0C-F4FED292640B}"/>
    <cellStyle name="アクセント 1" xfId="185" xr:uid="{15BA8590-D7B0-4467-9D0A-F9EA4A7EE88F}"/>
    <cellStyle name="アクセント 2" xfId="186" xr:uid="{5DF44241-BD3E-4093-A7BB-2DEFB0118445}"/>
    <cellStyle name="アクセント 3" xfId="187" xr:uid="{A0671F89-2AD0-480B-A7B3-50496BF34E5E}"/>
    <cellStyle name="アクセント 4" xfId="188" xr:uid="{E25BDF33-C1C9-40C1-B14F-214C51839730}"/>
    <cellStyle name="アクセント 5" xfId="189" xr:uid="{A99AC8C1-A328-4ADF-AF53-041AD7812548}"/>
    <cellStyle name="アクセント 6" xfId="190" xr:uid="{E4437C69-6B12-42D4-B3CD-A0D3F198AB33}"/>
    <cellStyle name="タイトル" xfId="191" xr:uid="{D96A92C6-291E-43B2-8F0D-94853F6D05A3}"/>
    <cellStyle name="チェック セル" xfId="192" xr:uid="{6E724E1C-1EC9-4340-B022-BF92450FEDF3}"/>
    <cellStyle name="どちらでもない" xfId="193" xr:uid="{AFFC21BC-4B2F-406E-BB9B-E5D329AC2643}"/>
    <cellStyle name="パーセント 2" xfId="194" xr:uid="{AD26A6A0-6E5C-4ABF-B141-9EBD1EFB6FD8}"/>
    <cellStyle name="パーセント 3" xfId="195" xr:uid="{86AF5B08-C0EA-4C0D-82E1-42A936115726}"/>
    <cellStyle name="メモ" xfId="196" xr:uid="{CA8F5CE2-3984-45AE-999C-0C862AF5E38E}"/>
    <cellStyle name="リンク セル" xfId="197" xr:uid="{0AAD154A-5292-4EAC-9D46-2C93F45E3B80}"/>
    <cellStyle name="悪い" xfId="198" xr:uid="{27252623-E58B-4DBB-BB42-B698D06510C4}"/>
    <cellStyle name="一般_KMHK FY2008 時間当り採算 2007年4月 ( Month Plan )" xfId="199" xr:uid="{145F5F03-5447-4EA3-BFEB-BEC070BC2CD5}"/>
    <cellStyle name="計算" xfId="200" xr:uid="{67EE9CEE-41D0-49FD-A9C1-DCDF1DBA3E7F}"/>
    <cellStyle name="警告文" xfId="201" xr:uid="{D0ACD657-B873-4F65-8A1E-097953C1C55A}"/>
    <cellStyle name="桁区切り [0.00] 2" xfId="202" xr:uid="{DF963EFE-FC44-4265-87E6-37797957E9D9}"/>
    <cellStyle name="桁区切り [0.00] 2 2" xfId="203" xr:uid="{99593BD8-FA46-424C-8511-9CAD0BE35369}"/>
    <cellStyle name="桁区切り 2" xfId="204" xr:uid="{D0EC65EF-C877-42B0-9ED1-9A45672F4E49}"/>
    <cellStyle name="桁区切り 2 2" xfId="205" xr:uid="{CD23AFF3-12A8-4CAC-9CCA-E2D8AF46F975}"/>
    <cellStyle name="桁区切り 2 3" xfId="206" xr:uid="{152E0072-867D-452B-AFC0-2EE3AD81C61A}"/>
    <cellStyle name="桁区切り 3" xfId="207" xr:uid="{F2D1CFCF-9084-4663-9366-4A322F3A96C1}"/>
    <cellStyle name="桁区切り 4" xfId="208" xr:uid="{891140F1-C26B-4E63-A02B-75987CA83085}"/>
    <cellStyle name="桁区切り 5" xfId="209" xr:uid="{6F71DAC2-CF23-41DC-9BAF-630AB66C0C53}"/>
    <cellStyle name="桁区切り 6" xfId="210" xr:uid="{7FAEBD7E-6511-4B99-A33A-5A94CE384865}"/>
    <cellStyle name="見出し 1" xfId="211" xr:uid="{3A710263-A426-450E-9879-FCF2584B1D68}"/>
    <cellStyle name="見出し 2" xfId="212" xr:uid="{06240AA1-DFDF-4AF1-AA2D-6EC483E91A1B}"/>
    <cellStyle name="見出し 3" xfId="213" xr:uid="{61B368FF-06D8-4C5D-B0C3-D4C7D4A60DD6}"/>
    <cellStyle name="見出し 4" xfId="214" xr:uid="{5A531764-4C8E-4C7A-9F26-7ABC19370ED0}"/>
    <cellStyle name="集計" xfId="215" xr:uid="{922459E5-EFA5-43F4-9F08-F428F376F9E9}"/>
    <cellStyle name="出力" xfId="216" xr:uid="{E9C8BA8A-4F55-4D4B-85B3-B795C5F07726}"/>
    <cellStyle name="常规_総生産分析(0605-0606)" xfId="217" xr:uid="{5A35105D-B0BC-4C0C-8688-952EB08BC13E}"/>
    <cellStyle name="説明文" xfId="218" xr:uid="{E4826246-9B8B-45EF-B386-F3CCBD835551}"/>
    <cellStyle name="入力" xfId="219" xr:uid="{7CB2A55C-512D-4C34-AACC-D3523EFB513F}"/>
    <cellStyle name="標準 2" xfId="220" xr:uid="{36BEB93C-A727-433A-B28E-EBE40AAC3F3F}"/>
    <cellStyle name="標準 3" xfId="221" xr:uid="{31C10106-DA11-4D76-8C77-0BA534FB2A68}"/>
    <cellStyle name="標準 4" xfId="222" xr:uid="{23B76281-E54D-4F67-9FF0-B49A968962BA}"/>
    <cellStyle name="標準_★予定用採算表フォーム（製造課用）" xfId="223" xr:uid="{F675AB6B-1AA7-4EF2-AB75-4380DEA993F2}"/>
    <cellStyle name="標準_KDTVN採算表フォーム" xfId="224" xr:uid="{EA397BE2-BF47-4CF6-ACFF-D6561E634E25}"/>
    <cellStyle name="未定義" xfId="225" xr:uid="{0B0C59F5-2B48-44B1-A330-9C516D7E68EA}"/>
    <cellStyle name="良い" xfId="226" xr:uid="{D7305C4C-8039-4DD0-9535-E761F4018CDF}"/>
  </cellStyles>
  <dxfs count="185"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195" formatCode="\-\-"/>
    </dxf>
    <dxf>
      <numFmt numFmtId="195" formatCode="\-\-"/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7" formatCode="&quot;時間➝0.25の倍数では無い&quot;"/>
      <fill>
        <patternFill>
          <bgColor rgb="FFFF0000"/>
        </patternFill>
      </fill>
    </dxf>
    <dxf>
      <numFmt numFmtId="216" formatCode="#,##0.00&quot;→小数点&quot;"/>
      <fill>
        <patternFill>
          <bgColor rgb="FFFF0000"/>
        </patternFill>
      </fill>
    </dxf>
    <dxf>
      <numFmt numFmtId="195" formatCode="\-\-"/>
    </dxf>
    <dxf>
      <numFmt numFmtId="195" formatCode="\-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44450</xdr:colOff>
          <xdr:row>2</xdr:row>
          <xdr:rowOff>146050</xdr:rowOff>
        </xdr:from>
        <xdr:to>
          <xdr:col>0</xdr:col>
          <xdr:colOff>342900</xdr:colOff>
          <xdr:row>4</xdr:row>
          <xdr:rowOff>76200</xdr:rowOff>
        </xdr:to>
        <xdr:sp macro="" textlink="">
          <xdr:nvSpPr>
            <xdr:cNvPr id="1047" name="TextBox1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1E64C3BC-5EBC-71E2-B36F-A3215AFF34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</xdr:row>
          <xdr:rowOff>146050</xdr:rowOff>
        </xdr:from>
        <xdr:to>
          <xdr:col>0</xdr:col>
          <xdr:colOff>317500</xdr:colOff>
          <xdr:row>4</xdr:row>
          <xdr:rowOff>76200</xdr:rowOff>
        </xdr:to>
        <xdr:sp macro="" textlink="">
          <xdr:nvSpPr>
            <xdr:cNvPr id="5175" name="TextBox1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BFDBCFF2-BEC1-1414-B5A5-68A4F53BCA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2</xdr:row>
          <xdr:rowOff>146050</xdr:rowOff>
        </xdr:from>
        <xdr:to>
          <xdr:col>0</xdr:col>
          <xdr:colOff>323850</xdr:colOff>
          <xdr:row>4</xdr:row>
          <xdr:rowOff>76200</xdr:rowOff>
        </xdr:to>
        <xdr:sp macro="" textlink="">
          <xdr:nvSpPr>
            <xdr:cNvPr id="6199" name="TextBox1" hidden="1">
              <a:extLst>
                <a:ext uri="{63B3BB69-23CF-44E3-9099-C40C66FF867C}">
                  <a14:compatExt spid="_x0000_s6199"/>
                </a:ext>
                <a:ext uri="{FF2B5EF4-FFF2-40B4-BE49-F238E27FC236}">
                  <a16:creationId xmlns:a16="http://schemas.microsoft.com/office/drawing/2014/main" id="{EFF3E6EA-FA39-F586-1541-05E8CDAB7D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</xdr:colOff>
          <xdr:row>2</xdr:row>
          <xdr:rowOff>146050</xdr:rowOff>
        </xdr:from>
        <xdr:to>
          <xdr:col>0</xdr:col>
          <xdr:colOff>323850</xdr:colOff>
          <xdr:row>4</xdr:row>
          <xdr:rowOff>76200</xdr:rowOff>
        </xdr:to>
        <xdr:sp macro="" textlink="">
          <xdr:nvSpPr>
            <xdr:cNvPr id="7170" name="TextBox1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EB9D6A7A-E2CC-7530-885A-F2962FB8C6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3.emf"/><Relationship Id="rId4" Type="http://schemas.openxmlformats.org/officeDocument/2006/relationships/control" Target="../activeX/activeX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image" Target="../media/image4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E968-19B9-42E1-9D9A-88A2D675CC19}">
  <sheetPr codeName="Sheet1"/>
  <dimension ref="A1:X1221"/>
  <sheetViews>
    <sheetView tabSelected="1" zoomScaleNormal="100" zoomScaleSheetLayoutView="100" workbookViewId="0">
      <pane ySplit="1" topLeftCell="A1193" activePane="bottomLeft" state="frozen"/>
      <selection pane="bottomLeft" activeCell="A1202" sqref="A1202:B1221"/>
    </sheetView>
  </sheetViews>
  <sheetFormatPr defaultRowHeight="14.5"/>
  <cols>
    <col min="1" max="1" width="13.7265625" bestFit="1" customWidth="1"/>
    <col min="2" max="2" width="21.26953125" bestFit="1" customWidth="1"/>
    <col min="3" max="3" width="8.90625" bestFit="1" customWidth="1"/>
    <col min="4" max="4" width="41.90625" bestFit="1" customWidth="1"/>
    <col min="5" max="5" width="13.7265625" bestFit="1" customWidth="1"/>
    <col min="6" max="10" width="11.26953125" bestFit="1" customWidth="1"/>
    <col min="11" max="11" width="12.36328125" customWidth="1"/>
    <col min="12" max="17" width="11.26953125" bestFit="1" customWidth="1"/>
    <col min="18" max="18" width="14.6328125" bestFit="1" customWidth="1"/>
    <col min="19" max="22" width="10.90625" bestFit="1" customWidth="1"/>
    <col min="23" max="23" width="11.26953125" customWidth="1"/>
    <col min="24" max="24" width="14.6328125" bestFit="1" customWidth="1"/>
  </cols>
  <sheetData>
    <row r="1" spans="1:24" ht="15" thickBot="1">
      <c r="A1" s="246" t="s">
        <v>99</v>
      </c>
      <c r="B1" s="246" t="s">
        <v>98</v>
      </c>
      <c r="C1" s="211" t="s">
        <v>71</v>
      </c>
      <c r="D1" s="212" t="s">
        <v>157</v>
      </c>
      <c r="E1" s="211"/>
      <c r="F1" s="213">
        <v>4</v>
      </c>
      <c r="G1" s="214">
        <v>5</v>
      </c>
      <c r="H1" s="214">
        <v>6</v>
      </c>
      <c r="I1" s="214">
        <v>7</v>
      </c>
      <c r="J1" s="214">
        <v>8</v>
      </c>
      <c r="K1" s="214">
        <v>9</v>
      </c>
      <c r="L1" s="214">
        <v>10</v>
      </c>
      <c r="M1" s="214">
        <v>11</v>
      </c>
      <c r="N1" s="215">
        <v>12</v>
      </c>
      <c r="O1" s="216">
        <v>1</v>
      </c>
      <c r="P1" s="217">
        <v>2</v>
      </c>
      <c r="Q1" s="218">
        <v>3</v>
      </c>
      <c r="R1" s="219"/>
      <c r="X1" s="203"/>
    </row>
    <row r="2" spans="1:24">
      <c r="A2">
        <v>1412000004</v>
      </c>
      <c r="B2" t="s">
        <v>115</v>
      </c>
      <c r="E2" s="220" t="s">
        <v>40</v>
      </c>
      <c r="F2" s="201"/>
      <c r="G2" s="201"/>
      <c r="H2" s="201"/>
      <c r="I2" s="201"/>
      <c r="J2" s="201"/>
      <c r="K2" s="201"/>
      <c r="L2" s="201"/>
      <c r="M2" s="201"/>
      <c r="N2" s="202"/>
      <c r="O2" s="201"/>
      <c r="P2" s="201"/>
      <c r="Q2" s="202"/>
    </row>
    <row r="3" spans="1:24">
      <c r="A3">
        <v>1412000004</v>
      </c>
      <c r="B3" t="s">
        <v>115</v>
      </c>
      <c r="E3" s="176" t="s">
        <v>25</v>
      </c>
      <c r="F3" s="267">
        <v>2</v>
      </c>
      <c r="G3" s="267">
        <v>2</v>
      </c>
      <c r="H3" s="267">
        <v>2</v>
      </c>
      <c r="I3" s="267">
        <v>2</v>
      </c>
      <c r="J3" s="267">
        <v>2</v>
      </c>
      <c r="K3" s="267">
        <v>2</v>
      </c>
      <c r="L3" s="267">
        <v>2</v>
      </c>
      <c r="M3" s="267">
        <v>2</v>
      </c>
      <c r="N3" s="268">
        <v>2</v>
      </c>
      <c r="O3" s="269">
        <v>2</v>
      </c>
      <c r="P3" s="267">
        <v>2</v>
      </c>
      <c r="Q3" s="268">
        <v>2</v>
      </c>
    </row>
    <row r="4" spans="1:24">
      <c r="A4">
        <v>1412000004</v>
      </c>
      <c r="B4" t="s">
        <v>115</v>
      </c>
      <c r="E4" s="312" t="s">
        <v>106</v>
      </c>
      <c r="F4" s="300">
        <v>77</v>
      </c>
      <c r="G4" s="300">
        <v>77</v>
      </c>
      <c r="H4" s="300">
        <v>77</v>
      </c>
      <c r="I4" s="300">
        <v>85</v>
      </c>
      <c r="J4" s="300">
        <v>85</v>
      </c>
      <c r="K4" s="300">
        <v>85</v>
      </c>
      <c r="L4" s="300">
        <v>85</v>
      </c>
      <c r="M4" s="300">
        <v>85</v>
      </c>
      <c r="N4" s="301">
        <v>85</v>
      </c>
      <c r="O4" s="302">
        <v>93</v>
      </c>
      <c r="P4" s="300">
        <v>93</v>
      </c>
      <c r="Q4" s="301">
        <v>93</v>
      </c>
    </row>
    <row r="5" spans="1:24">
      <c r="A5">
        <v>1412000004</v>
      </c>
      <c r="B5" t="s">
        <v>115</v>
      </c>
      <c r="E5" s="314" t="s">
        <v>158</v>
      </c>
      <c r="F5" s="303">
        <v>928</v>
      </c>
      <c r="G5" s="303">
        <v>965</v>
      </c>
      <c r="H5" s="303">
        <v>961</v>
      </c>
      <c r="I5" s="303">
        <v>1105</v>
      </c>
      <c r="J5" s="303">
        <v>1185</v>
      </c>
      <c r="K5" s="303">
        <v>1450</v>
      </c>
      <c r="L5" s="303">
        <v>1751</v>
      </c>
      <c r="M5" s="303">
        <v>1757</v>
      </c>
      <c r="N5" s="304">
        <v>1752</v>
      </c>
      <c r="O5" s="305">
        <v>1772</v>
      </c>
      <c r="P5" s="303">
        <v>1962</v>
      </c>
      <c r="Q5" s="304">
        <v>1789</v>
      </c>
    </row>
    <row r="6" spans="1:24">
      <c r="A6">
        <v>1412000004</v>
      </c>
      <c r="B6" t="s">
        <v>115</v>
      </c>
      <c r="E6" s="177" t="s">
        <v>26</v>
      </c>
      <c r="F6" s="270">
        <v>1005</v>
      </c>
      <c r="G6" s="270">
        <v>1042</v>
      </c>
      <c r="H6" s="270">
        <v>1038</v>
      </c>
      <c r="I6" s="270">
        <v>1190</v>
      </c>
      <c r="J6" s="270">
        <v>1270</v>
      </c>
      <c r="K6" s="270">
        <v>1535</v>
      </c>
      <c r="L6" s="271">
        <v>1836</v>
      </c>
      <c r="M6" s="270">
        <v>1842</v>
      </c>
      <c r="N6" s="272">
        <v>1837</v>
      </c>
      <c r="O6" s="271">
        <v>1865</v>
      </c>
      <c r="P6" s="270">
        <v>2055</v>
      </c>
      <c r="Q6" s="272">
        <v>1882</v>
      </c>
    </row>
    <row r="7" spans="1:24" ht="15" thickBot="1">
      <c r="A7">
        <v>1412000004</v>
      </c>
      <c r="B7" t="s">
        <v>115</v>
      </c>
      <c r="E7" s="178" t="s">
        <v>27</v>
      </c>
      <c r="F7" s="273">
        <v>1007</v>
      </c>
      <c r="G7" s="273">
        <v>1044</v>
      </c>
      <c r="H7" s="273">
        <v>1040</v>
      </c>
      <c r="I7" s="273">
        <v>1192</v>
      </c>
      <c r="J7" s="273">
        <v>1272</v>
      </c>
      <c r="K7" s="273">
        <v>1537</v>
      </c>
      <c r="L7" s="274">
        <v>1838</v>
      </c>
      <c r="M7" s="273">
        <v>1844</v>
      </c>
      <c r="N7" s="275">
        <v>1839</v>
      </c>
      <c r="O7" s="274">
        <v>1867</v>
      </c>
      <c r="P7" s="273">
        <v>2057</v>
      </c>
      <c r="Q7" s="275">
        <v>1884</v>
      </c>
    </row>
    <row r="8" spans="1:24" ht="15" thickBot="1">
      <c r="A8">
        <v>1412000004</v>
      </c>
      <c r="B8" t="s">
        <v>115</v>
      </c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</row>
    <row r="9" spans="1:24">
      <c r="A9">
        <v>1412000004</v>
      </c>
      <c r="B9" t="s">
        <v>115</v>
      </c>
      <c r="E9" s="220" t="s">
        <v>28</v>
      </c>
      <c r="F9" s="277"/>
      <c r="G9" s="277"/>
      <c r="H9" s="277"/>
      <c r="I9" s="277"/>
      <c r="J9" s="277"/>
      <c r="K9" s="277"/>
      <c r="L9" s="277"/>
      <c r="M9" s="277"/>
      <c r="N9" s="278"/>
      <c r="O9" s="277"/>
      <c r="P9" s="277"/>
      <c r="Q9" s="278"/>
    </row>
    <row r="10" spans="1:24">
      <c r="A10">
        <v>1412000004</v>
      </c>
      <c r="B10" t="s">
        <v>115</v>
      </c>
      <c r="E10" s="176" t="s">
        <v>25</v>
      </c>
      <c r="F10" s="279">
        <v>340</v>
      </c>
      <c r="G10" s="279">
        <v>323</v>
      </c>
      <c r="H10" s="279">
        <v>357</v>
      </c>
      <c r="I10" s="279">
        <v>391</v>
      </c>
      <c r="J10" s="279">
        <v>340</v>
      </c>
      <c r="K10" s="279">
        <v>323</v>
      </c>
      <c r="L10" s="279">
        <v>391</v>
      </c>
      <c r="M10" s="279">
        <v>340</v>
      </c>
      <c r="N10" s="280">
        <v>374</v>
      </c>
      <c r="O10" s="281">
        <v>340</v>
      </c>
      <c r="P10" s="279">
        <v>255</v>
      </c>
      <c r="Q10" s="280">
        <v>340</v>
      </c>
    </row>
    <row r="11" spans="1:24">
      <c r="A11">
        <v>1412000004</v>
      </c>
      <c r="B11" t="s">
        <v>115</v>
      </c>
      <c r="E11" s="312" t="s">
        <v>106</v>
      </c>
      <c r="F11" s="306">
        <v>13430</v>
      </c>
      <c r="G11" s="306">
        <v>12759</v>
      </c>
      <c r="H11" s="306">
        <v>14102</v>
      </c>
      <c r="I11" s="306">
        <v>17009</v>
      </c>
      <c r="J11" s="306">
        <v>14790</v>
      </c>
      <c r="K11" s="306">
        <v>14051</v>
      </c>
      <c r="L11" s="306">
        <v>17009</v>
      </c>
      <c r="M11" s="306">
        <v>14790</v>
      </c>
      <c r="N11" s="307">
        <v>16269</v>
      </c>
      <c r="O11" s="308">
        <v>16150</v>
      </c>
      <c r="P11" s="306">
        <v>12113</v>
      </c>
      <c r="Q11" s="307">
        <v>16150</v>
      </c>
    </row>
    <row r="12" spans="1:24">
      <c r="A12">
        <v>1412000004</v>
      </c>
      <c r="B12" t="s">
        <v>115</v>
      </c>
      <c r="E12" s="314" t="s">
        <v>158</v>
      </c>
      <c r="F12" s="309">
        <v>77074</v>
      </c>
      <c r="G12" s="309">
        <v>76933</v>
      </c>
      <c r="H12" s="309">
        <v>89856</v>
      </c>
      <c r="I12" s="309">
        <v>118502</v>
      </c>
      <c r="J12" s="309">
        <v>112189</v>
      </c>
      <c r="K12" s="309">
        <v>145429</v>
      </c>
      <c r="L12" s="309">
        <v>249945</v>
      </c>
      <c r="M12" s="309">
        <v>161958</v>
      </c>
      <c r="N12" s="310">
        <v>177584</v>
      </c>
      <c r="O12" s="311">
        <v>173898</v>
      </c>
      <c r="P12" s="309">
        <v>141193</v>
      </c>
      <c r="Q12" s="310">
        <v>168487</v>
      </c>
    </row>
    <row r="13" spans="1:24">
      <c r="A13">
        <v>1412000004</v>
      </c>
      <c r="B13" t="s">
        <v>115</v>
      </c>
      <c r="E13" s="177" t="s">
        <v>26</v>
      </c>
      <c r="F13" s="282">
        <v>90504</v>
      </c>
      <c r="G13" s="282">
        <v>89692</v>
      </c>
      <c r="H13" s="282">
        <v>103958</v>
      </c>
      <c r="I13" s="282">
        <v>135511</v>
      </c>
      <c r="J13" s="282">
        <v>126979</v>
      </c>
      <c r="K13" s="282">
        <v>159480</v>
      </c>
      <c r="L13" s="283">
        <v>266954</v>
      </c>
      <c r="M13" s="282">
        <v>176748</v>
      </c>
      <c r="N13" s="284">
        <v>193853</v>
      </c>
      <c r="O13" s="283">
        <v>190048</v>
      </c>
      <c r="P13" s="282">
        <v>153306</v>
      </c>
      <c r="Q13" s="284">
        <v>184637</v>
      </c>
    </row>
    <row r="14" spans="1:24" ht="15" thickBot="1">
      <c r="A14">
        <v>1412000004</v>
      </c>
      <c r="B14" t="s">
        <v>115</v>
      </c>
      <c r="E14" s="178" t="s">
        <v>44</v>
      </c>
      <c r="F14" s="285">
        <v>90844</v>
      </c>
      <c r="G14" s="285">
        <v>90015</v>
      </c>
      <c r="H14" s="285">
        <v>104315</v>
      </c>
      <c r="I14" s="285">
        <v>135902</v>
      </c>
      <c r="J14" s="285">
        <v>127319</v>
      </c>
      <c r="K14" s="285">
        <v>159803</v>
      </c>
      <c r="L14" s="286">
        <v>267345</v>
      </c>
      <c r="M14" s="285">
        <v>177088</v>
      </c>
      <c r="N14" s="287">
        <v>194227</v>
      </c>
      <c r="O14" s="286">
        <v>190388</v>
      </c>
      <c r="P14" s="285">
        <v>153561</v>
      </c>
      <c r="Q14" s="287">
        <v>184977</v>
      </c>
    </row>
    <row r="15" spans="1:24" ht="15" thickBot="1">
      <c r="A15">
        <v>1412000004</v>
      </c>
      <c r="B15" t="s">
        <v>115</v>
      </c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</row>
    <row r="16" spans="1:24">
      <c r="A16">
        <v>1412000004</v>
      </c>
      <c r="B16" t="s">
        <v>115</v>
      </c>
      <c r="E16" s="220" t="s">
        <v>29</v>
      </c>
      <c r="F16" s="289"/>
      <c r="G16" s="289"/>
      <c r="H16" s="289"/>
      <c r="I16" s="289"/>
      <c r="J16" s="289"/>
      <c r="K16" s="289"/>
      <c r="L16" s="289"/>
      <c r="M16" s="289"/>
      <c r="N16" s="290"/>
      <c r="O16" s="289"/>
      <c r="P16" s="289"/>
      <c r="Q16" s="278"/>
    </row>
    <row r="17" spans="1:17">
      <c r="A17">
        <v>1412000004</v>
      </c>
      <c r="B17" t="s">
        <v>115</v>
      </c>
      <c r="E17" s="176" t="s">
        <v>25</v>
      </c>
      <c r="F17" s="279">
        <v>80</v>
      </c>
      <c r="G17" s="279">
        <v>76</v>
      </c>
      <c r="H17" s="279">
        <v>84</v>
      </c>
      <c r="I17" s="279">
        <v>92</v>
      </c>
      <c r="J17" s="279">
        <v>80</v>
      </c>
      <c r="K17" s="279">
        <v>76</v>
      </c>
      <c r="L17" s="279">
        <v>92</v>
      </c>
      <c r="M17" s="279">
        <v>80</v>
      </c>
      <c r="N17" s="280">
        <v>88</v>
      </c>
      <c r="O17" s="281">
        <v>80</v>
      </c>
      <c r="P17" s="279">
        <v>60</v>
      </c>
      <c r="Q17" s="280">
        <v>80</v>
      </c>
    </row>
    <row r="18" spans="1:17">
      <c r="A18">
        <v>1412000004</v>
      </c>
      <c r="B18" t="s">
        <v>115</v>
      </c>
      <c r="E18" s="312" t="s">
        <v>106</v>
      </c>
      <c r="F18" s="306">
        <v>189</v>
      </c>
      <c r="G18" s="306">
        <v>221</v>
      </c>
      <c r="H18" s="306">
        <v>189</v>
      </c>
      <c r="I18" s="306">
        <v>216</v>
      </c>
      <c r="J18" s="306">
        <v>300</v>
      </c>
      <c r="K18" s="306">
        <v>570</v>
      </c>
      <c r="L18" s="306">
        <v>271</v>
      </c>
      <c r="M18" s="306">
        <v>281</v>
      </c>
      <c r="N18" s="307">
        <v>345</v>
      </c>
      <c r="O18" s="308">
        <v>503</v>
      </c>
      <c r="P18" s="306">
        <v>1053</v>
      </c>
      <c r="Q18" s="307">
        <v>423</v>
      </c>
    </row>
    <row r="19" spans="1:17">
      <c r="A19">
        <v>1412000004</v>
      </c>
      <c r="B19" t="s">
        <v>115</v>
      </c>
      <c r="E19" s="314" t="s">
        <v>158</v>
      </c>
      <c r="F19" s="309">
        <v>721</v>
      </c>
      <c r="G19" s="309">
        <v>732</v>
      </c>
      <c r="H19" s="309">
        <v>709</v>
      </c>
      <c r="I19" s="309">
        <v>667</v>
      </c>
      <c r="J19" s="309">
        <v>1081</v>
      </c>
      <c r="K19" s="309">
        <v>647</v>
      </c>
      <c r="L19" s="309">
        <v>615</v>
      </c>
      <c r="M19" s="309">
        <v>665</v>
      </c>
      <c r="N19" s="310">
        <v>555</v>
      </c>
      <c r="O19" s="311">
        <v>449</v>
      </c>
      <c r="P19" s="309">
        <v>3057</v>
      </c>
      <c r="Q19" s="310">
        <v>769</v>
      </c>
    </row>
    <row r="20" spans="1:17">
      <c r="A20">
        <v>1412000004</v>
      </c>
      <c r="B20" t="s">
        <v>115</v>
      </c>
      <c r="E20" s="177" t="s">
        <v>26</v>
      </c>
      <c r="F20" s="282">
        <v>910</v>
      </c>
      <c r="G20" s="282">
        <v>953</v>
      </c>
      <c r="H20" s="282">
        <v>898</v>
      </c>
      <c r="I20" s="282">
        <v>883</v>
      </c>
      <c r="J20" s="282">
        <v>1381</v>
      </c>
      <c r="K20" s="282">
        <v>1217</v>
      </c>
      <c r="L20" s="283">
        <v>886</v>
      </c>
      <c r="M20" s="282">
        <v>946</v>
      </c>
      <c r="N20" s="284">
        <v>900</v>
      </c>
      <c r="O20" s="283">
        <v>952</v>
      </c>
      <c r="P20" s="282">
        <v>4110</v>
      </c>
      <c r="Q20" s="284">
        <v>1192</v>
      </c>
    </row>
    <row r="21" spans="1:17" ht="15" thickBot="1">
      <c r="A21">
        <v>1412000004</v>
      </c>
      <c r="B21" t="s">
        <v>115</v>
      </c>
      <c r="E21" s="178" t="s">
        <v>45</v>
      </c>
      <c r="F21" s="285">
        <v>990</v>
      </c>
      <c r="G21" s="285">
        <v>1029</v>
      </c>
      <c r="H21" s="285">
        <v>982</v>
      </c>
      <c r="I21" s="285">
        <v>975</v>
      </c>
      <c r="J21" s="285">
        <v>1461</v>
      </c>
      <c r="K21" s="285">
        <v>1293</v>
      </c>
      <c r="L21" s="286">
        <v>978</v>
      </c>
      <c r="M21" s="285">
        <v>1026</v>
      </c>
      <c r="N21" s="287">
        <v>988</v>
      </c>
      <c r="O21" s="286">
        <v>1032</v>
      </c>
      <c r="P21" s="285">
        <v>4170</v>
      </c>
      <c r="Q21" s="287">
        <v>1272</v>
      </c>
    </row>
    <row r="22" spans="1:17">
      <c r="A22">
        <v>1412000005</v>
      </c>
      <c r="B22" t="s">
        <v>111</v>
      </c>
      <c r="E22" s="220" t="s">
        <v>40</v>
      </c>
      <c r="F22" s="201"/>
      <c r="G22" s="201"/>
      <c r="H22" s="201"/>
      <c r="I22" s="201"/>
      <c r="J22" s="201"/>
      <c r="K22" s="201"/>
      <c r="L22" s="201"/>
      <c r="M22" s="201"/>
      <c r="N22" s="202"/>
      <c r="O22" s="201"/>
      <c r="P22" s="201"/>
      <c r="Q22" s="202"/>
    </row>
    <row r="23" spans="1:17">
      <c r="A23">
        <v>1412000005</v>
      </c>
      <c r="B23" t="s">
        <v>111</v>
      </c>
      <c r="E23" s="176" t="s">
        <v>25</v>
      </c>
      <c r="F23" s="267">
        <v>0</v>
      </c>
      <c r="G23" s="267">
        <v>0</v>
      </c>
      <c r="H23" s="267">
        <v>0</v>
      </c>
      <c r="I23" s="267">
        <v>0</v>
      </c>
      <c r="J23" s="267">
        <v>0</v>
      </c>
      <c r="K23" s="267">
        <v>0</v>
      </c>
      <c r="L23" s="267">
        <v>0</v>
      </c>
      <c r="M23" s="267">
        <v>0</v>
      </c>
      <c r="N23" s="268">
        <v>0</v>
      </c>
      <c r="O23" s="269">
        <v>0</v>
      </c>
      <c r="P23" s="267">
        <v>0</v>
      </c>
      <c r="Q23" s="268">
        <v>0</v>
      </c>
    </row>
    <row r="24" spans="1:17">
      <c r="A24">
        <v>1412000005</v>
      </c>
      <c r="B24" t="s">
        <v>111</v>
      </c>
      <c r="E24" s="312" t="s">
        <v>106</v>
      </c>
      <c r="F24" s="300">
        <v>100</v>
      </c>
      <c r="G24" s="300">
        <v>100</v>
      </c>
      <c r="H24" s="300">
        <v>100</v>
      </c>
      <c r="I24" s="300">
        <v>116</v>
      </c>
      <c r="J24" s="300">
        <v>116</v>
      </c>
      <c r="K24" s="300">
        <v>116</v>
      </c>
      <c r="L24" s="300">
        <v>116</v>
      </c>
      <c r="M24" s="300">
        <v>116</v>
      </c>
      <c r="N24" s="301">
        <v>116</v>
      </c>
      <c r="O24" s="302">
        <v>132</v>
      </c>
      <c r="P24" s="300">
        <v>132</v>
      </c>
      <c r="Q24" s="301">
        <v>132</v>
      </c>
    </row>
    <row r="25" spans="1:17">
      <c r="A25">
        <v>1412000005</v>
      </c>
      <c r="B25" t="s">
        <v>111</v>
      </c>
      <c r="E25" s="314" t="s">
        <v>158</v>
      </c>
      <c r="F25" s="303">
        <v>1514</v>
      </c>
      <c r="G25" s="303">
        <v>1454</v>
      </c>
      <c r="H25" s="303">
        <v>1418</v>
      </c>
      <c r="I25" s="303">
        <v>1637</v>
      </c>
      <c r="J25" s="303">
        <v>1688</v>
      </c>
      <c r="K25" s="303">
        <v>1616</v>
      </c>
      <c r="L25" s="303">
        <v>1660</v>
      </c>
      <c r="M25" s="303">
        <v>1761</v>
      </c>
      <c r="N25" s="304">
        <v>1714</v>
      </c>
      <c r="O25" s="305">
        <v>1862</v>
      </c>
      <c r="P25" s="303">
        <v>2010</v>
      </c>
      <c r="Q25" s="304">
        <v>1761</v>
      </c>
    </row>
    <row r="26" spans="1:17">
      <c r="A26">
        <v>1412000005</v>
      </c>
      <c r="B26" t="s">
        <v>111</v>
      </c>
      <c r="E26" s="177" t="s">
        <v>26</v>
      </c>
      <c r="F26" s="270">
        <v>1614</v>
      </c>
      <c r="G26" s="270">
        <v>1554</v>
      </c>
      <c r="H26" s="270">
        <v>1518</v>
      </c>
      <c r="I26" s="270">
        <v>1753</v>
      </c>
      <c r="J26" s="270">
        <v>1804</v>
      </c>
      <c r="K26" s="270">
        <v>1732</v>
      </c>
      <c r="L26" s="271">
        <v>1776</v>
      </c>
      <c r="M26" s="270">
        <v>1877</v>
      </c>
      <c r="N26" s="272">
        <v>1830</v>
      </c>
      <c r="O26" s="271">
        <v>1994</v>
      </c>
      <c r="P26" s="270">
        <v>2142</v>
      </c>
      <c r="Q26" s="272">
        <v>1893</v>
      </c>
    </row>
    <row r="27" spans="1:17" ht="15" thickBot="1">
      <c r="A27">
        <v>1412000005</v>
      </c>
      <c r="B27" t="s">
        <v>111</v>
      </c>
      <c r="E27" s="178" t="s">
        <v>27</v>
      </c>
      <c r="F27" s="273">
        <v>1614</v>
      </c>
      <c r="G27" s="273">
        <v>1554</v>
      </c>
      <c r="H27" s="273">
        <v>1518</v>
      </c>
      <c r="I27" s="273">
        <v>1753</v>
      </c>
      <c r="J27" s="273">
        <v>1804</v>
      </c>
      <c r="K27" s="273">
        <v>1732</v>
      </c>
      <c r="L27" s="274">
        <v>1776</v>
      </c>
      <c r="M27" s="273">
        <v>1877</v>
      </c>
      <c r="N27" s="275">
        <v>1830</v>
      </c>
      <c r="O27" s="274">
        <v>1994</v>
      </c>
      <c r="P27" s="273">
        <v>2142</v>
      </c>
      <c r="Q27" s="275">
        <v>1893</v>
      </c>
    </row>
    <row r="28" spans="1:17" ht="15" thickBot="1">
      <c r="A28">
        <v>1412000005</v>
      </c>
      <c r="B28" t="s">
        <v>111</v>
      </c>
      <c r="F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</row>
    <row r="29" spans="1:17">
      <c r="A29">
        <v>1412000005</v>
      </c>
      <c r="B29" t="s">
        <v>111</v>
      </c>
      <c r="E29" s="220" t="s">
        <v>28</v>
      </c>
      <c r="F29" s="277"/>
      <c r="G29" s="277"/>
      <c r="H29" s="277"/>
      <c r="I29" s="277"/>
      <c r="J29" s="277"/>
      <c r="K29" s="277"/>
      <c r="L29" s="277"/>
      <c r="M29" s="277"/>
      <c r="N29" s="278"/>
      <c r="O29" s="277"/>
      <c r="P29" s="277"/>
      <c r="Q29" s="278"/>
    </row>
    <row r="30" spans="1:17">
      <c r="A30">
        <v>1412000005</v>
      </c>
      <c r="B30" t="s">
        <v>111</v>
      </c>
      <c r="E30" s="176" t="s">
        <v>25</v>
      </c>
      <c r="F30" s="279">
        <v>0</v>
      </c>
      <c r="G30" s="279">
        <v>0</v>
      </c>
      <c r="H30" s="279">
        <v>0</v>
      </c>
      <c r="I30" s="279">
        <v>0</v>
      </c>
      <c r="J30" s="279">
        <v>0</v>
      </c>
      <c r="K30" s="279">
        <v>0</v>
      </c>
      <c r="L30" s="279">
        <v>0</v>
      </c>
      <c r="M30" s="279">
        <v>0</v>
      </c>
      <c r="N30" s="280">
        <v>0</v>
      </c>
      <c r="O30" s="281">
        <v>0</v>
      </c>
      <c r="P30" s="279">
        <v>0</v>
      </c>
      <c r="Q30" s="280">
        <v>0</v>
      </c>
    </row>
    <row r="31" spans="1:17">
      <c r="A31">
        <v>1412000005</v>
      </c>
      <c r="B31" t="s">
        <v>111</v>
      </c>
      <c r="E31" s="312" t="s">
        <v>106</v>
      </c>
      <c r="F31" s="306">
        <v>17680</v>
      </c>
      <c r="G31" s="306">
        <v>16796</v>
      </c>
      <c r="H31" s="306">
        <v>18564</v>
      </c>
      <c r="I31" s="306">
        <v>23460</v>
      </c>
      <c r="J31" s="306">
        <v>20400</v>
      </c>
      <c r="K31" s="306">
        <v>19380</v>
      </c>
      <c r="L31" s="306">
        <v>23460</v>
      </c>
      <c r="M31" s="306">
        <v>20400</v>
      </c>
      <c r="N31" s="307">
        <v>22440</v>
      </c>
      <c r="O31" s="308">
        <v>23120</v>
      </c>
      <c r="P31" s="306">
        <v>17340</v>
      </c>
      <c r="Q31" s="307">
        <v>23120</v>
      </c>
    </row>
    <row r="32" spans="1:17">
      <c r="A32">
        <v>1412000005</v>
      </c>
      <c r="B32" t="s">
        <v>111</v>
      </c>
      <c r="E32" s="314" t="s">
        <v>158</v>
      </c>
      <c r="F32" s="309">
        <v>298714</v>
      </c>
      <c r="G32" s="309">
        <v>275654</v>
      </c>
      <c r="H32" s="309">
        <v>293133</v>
      </c>
      <c r="I32" s="309">
        <v>380903</v>
      </c>
      <c r="J32" s="309">
        <v>332664</v>
      </c>
      <c r="K32" s="309">
        <v>304855</v>
      </c>
      <c r="L32" s="309">
        <v>371226</v>
      </c>
      <c r="M32" s="309">
        <v>345745</v>
      </c>
      <c r="N32" s="310">
        <v>367426</v>
      </c>
      <c r="O32" s="311">
        <v>361894</v>
      </c>
      <c r="P32" s="309">
        <v>293047</v>
      </c>
      <c r="Q32" s="310">
        <v>342991</v>
      </c>
    </row>
    <row r="33" spans="1:17">
      <c r="A33">
        <v>1412000005</v>
      </c>
      <c r="B33" t="s">
        <v>111</v>
      </c>
      <c r="E33" s="177" t="s">
        <v>26</v>
      </c>
      <c r="F33" s="282">
        <v>316394</v>
      </c>
      <c r="G33" s="282">
        <v>292450</v>
      </c>
      <c r="H33" s="282">
        <v>311697</v>
      </c>
      <c r="I33" s="282">
        <v>404363</v>
      </c>
      <c r="J33" s="282">
        <v>353064</v>
      </c>
      <c r="K33" s="282">
        <v>324235</v>
      </c>
      <c r="L33" s="283">
        <v>394686</v>
      </c>
      <c r="M33" s="282">
        <v>366145</v>
      </c>
      <c r="N33" s="284">
        <v>389866</v>
      </c>
      <c r="O33" s="283">
        <v>385014</v>
      </c>
      <c r="P33" s="282">
        <v>310387</v>
      </c>
      <c r="Q33" s="284">
        <v>366111</v>
      </c>
    </row>
    <row r="34" spans="1:17" ht="15" thickBot="1">
      <c r="A34">
        <v>1412000005</v>
      </c>
      <c r="B34" t="s">
        <v>111</v>
      </c>
      <c r="E34" s="178" t="s">
        <v>44</v>
      </c>
      <c r="F34" s="285">
        <v>316394</v>
      </c>
      <c r="G34" s="285">
        <v>292450</v>
      </c>
      <c r="H34" s="285">
        <v>311697</v>
      </c>
      <c r="I34" s="285">
        <v>404363</v>
      </c>
      <c r="J34" s="285">
        <v>353064</v>
      </c>
      <c r="K34" s="285">
        <v>324235</v>
      </c>
      <c r="L34" s="286">
        <v>394686</v>
      </c>
      <c r="M34" s="285">
        <v>366145</v>
      </c>
      <c r="N34" s="287">
        <v>389866</v>
      </c>
      <c r="O34" s="286">
        <v>385014</v>
      </c>
      <c r="P34" s="285">
        <v>310387</v>
      </c>
      <c r="Q34" s="287">
        <v>366111</v>
      </c>
    </row>
    <row r="35" spans="1:17" ht="15" thickBot="1">
      <c r="A35">
        <v>1412000005</v>
      </c>
      <c r="B35" t="s">
        <v>111</v>
      </c>
      <c r="F35" s="288"/>
      <c r="G35" s="288"/>
      <c r="H35" s="288"/>
      <c r="I35" s="288"/>
      <c r="J35" s="288"/>
      <c r="K35" s="288"/>
      <c r="L35" s="288"/>
      <c r="M35" s="288"/>
      <c r="N35" s="288"/>
      <c r="O35" s="288"/>
      <c r="P35" s="288"/>
      <c r="Q35" s="288"/>
    </row>
    <row r="36" spans="1:17">
      <c r="A36">
        <v>1412000005</v>
      </c>
      <c r="B36" t="s">
        <v>111</v>
      </c>
      <c r="E36" s="220" t="s">
        <v>29</v>
      </c>
      <c r="F36" s="289"/>
      <c r="G36" s="289"/>
      <c r="H36" s="289"/>
      <c r="I36" s="289"/>
      <c r="J36" s="289"/>
      <c r="K36" s="289"/>
      <c r="L36" s="289"/>
      <c r="M36" s="289"/>
      <c r="N36" s="290"/>
      <c r="O36" s="289"/>
      <c r="P36" s="289"/>
      <c r="Q36" s="278"/>
    </row>
    <row r="37" spans="1:17">
      <c r="A37">
        <v>1412000005</v>
      </c>
      <c r="B37" t="s">
        <v>111</v>
      </c>
      <c r="E37" s="176" t="s">
        <v>25</v>
      </c>
      <c r="F37" s="279">
        <v>0</v>
      </c>
      <c r="G37" s="279">
        <v>0</v>
      </c>
      <c r="H37" s="279">
        <v>0</v>
      </c>
      <c r="I37" s="279">
        <v>0</v>
      </c>
      <c r="J37" s="279">
        <v>0</v>
      </c>
      <c r="K37" s="279">
        <v>0</v>
      </c>
      <c r="L37" s="279">
        <v>0</v>
      </c>
      <c r="M37" s="279">
        <v>0</v>
      </c>
      <c r="N37" s="280">
        <v>0</v>
      </c>
      <c r="O37" s="281">
        <v>0</v>
      </c>
      <c r="P37" s="279">
        <v>0</v>
      </c>
      <c r="Q37" s="280">
        <v>0</v>
      </c>
    </row>
    <row r="38" spans="1:17">
      <c r="A38">
        <v>1412000005</v>
      </c>
      <c r="B38" t="s">
        <v>111</v>
      </c>
      <c r="E38" s="312" t="s">
        <v>106</v>
      </c>
      <c r="F38" s="306">
        <v>263</v>
      </c>
      <c r="G38" s="306">
        <v>259</v>
      </c>
      <c r="H38" s="306">
        <v>267</v>
      </c>
      <c r="I38" s="306">
        <v>283</v>
      </c>
      <c r="J38" s="306">
        <v>356</v>
      </c>
      <c r="K38" s="306">
        <v>939</v>
      </c>
      <c r="L38" s="306">
        <v>328</v>
      </c>
      <c r="M38" s="306">
        <v>628</v>
      </c>
      <c r="N38" s="307">
        <v>288</v>
      </c>
      <c r="O38" s="308">
        <v>372</v>
      </c>
      <c r="P38" s="306">
        <v>1323</v>
      </c>
      <c r="Q38" s="307">
        <v>360</v>
      </c>
    </row>
    <row r="39" spans="1:17">
      <c r="A39">
        <v>1412000005</v>
      </c>
      <c r="B39" t="s">
        <v>111</v>
      </c>
      <c r="E39" s="314" t="s">
        <v>158</v>
      </c>
      <c r="F39" s="309">
        <v>2323</v>
      </c>
      <c r="G39" s="309">
        <v>2947</v>
      </c>
      <c r="H39" s="309">
        <v>2207</v>
      </c>
      <c r="I39" s="309">
        <v>2210</v>
      </c>
      <c r="J39" s="309">
        <v>4741</v>
      </c>
      <c r="K39" s="309">
        <v>17785</v>
      </c>
      <c r="L39" s="309">
        <v>3215</v>
      </c>
      <c r="M39" s="309">
        <v>8836</v>
      </c>
      <c r="N39" s="310">
        <v>3250</v>
      </c>
      <c r="O39" s="311">
        <v>7764</v>
      </c>
      <c r="P39" s="309">
        <v>28373</v>
      </c>
      <c r="Q39" s="310">
        <v>5748</v>
      </c>
    </row>
    <row r="40" spans="1:17">
      <c r="A40">
        <v>1412000005</v>
      </c>
      <c r="B40" t="s">
        <v>111</v>
      </c>
      <c r="E40" s="177" t="s">
        <v>26</v>
      </c>
      <c r="F40" s="282">
        <v>2586</v>
      </c>
      <c r="G40" s="282">
        <v>3206</v>
      </c>
      <c r="H40" s="282">
        <v>2474</v>
      </c>
      <c r="I40" s="282">
        <v>2493</v>
      </c>
      <c r="J40" s="282">
        <v>5097</v>
      </c>
      <c r="K40" s="282">
        <v>18724</v>
      </c>
      <c r="L40" s="283">
        <v>3543</v>
      </c>
      <c r="M40" s="282">
        <v>9464</v>
      </c>
      <c r="N40" s="284">
        <v>3538</v>
      </c>
      <c r="O40" s="283">
        <v>8136</v>
      </c>
      <c r="P40" s="282">
        <v>29696</v>
      </c>
      <c r="Q40" s="284">
        <v>6108</v>
      </c>
    </row>
    <row r="41" spans="1:17" ht="15" thickBot="1">
      <c r="A41">
        <v>1412000005</v>
      </c>
      <c r="B41" t="s">
        <v>111</v>
      </c>
      <c r="E41" s="178" t="s">
        <v>45</v>
      </c>
      <c r="F41" s="285">
        <v>2586</v>
      </c>
      <c r="G41" s="285">
        <v>3206</v>
      </c>
      <c r="H41" s="285">
        <v>2474</v>
      </c>
      <c r="I41" s="285">
        <v>2493</v>
      </c>
      <c r="J41" s="285">
        <v>5097</v>
      </c>
      <c r="K41" s="285">
        <v>18724</v>
      </c>
      <c r="L41" s="286">
        <v>3543</v>
      </c>
      <c r="M41" s="285">
        <v>9464</v>
      </c>
      <c r="N41" s="287">
        <v>3538</v>
      </c>
      <c r="O41" s="286">
        <v>8136</v>
      </c>
      <c r="P41" s="285">
        <v>29696</v>
      </c>
      <c r="Q41" s="287">
        <v>6108</v>
      </c>
    </row>
    <row r="42" spans="1:17">
      <c r="A42">
        <v>1412000062</v>
      </c>
      <c r="B42" t="s">
        <v>112</v>
      </c>
      <c r="E42" s="220" t="s">
        <v>40</v>
      </c>
      <c r="F42" s="201"/>
      <c r="G42" s="201"/>
      <c r="H42" s="201"/>
      <c r="I42" s="201"/>
      <c r="J42" s="201"/>
      <c r="K42" s="201"/>
      <c r="L42" s="201"/>
      <c r="M42" s="201"/>
      <c r="N42" s="202"/>
      <c r="O42" s="201"/>
      <c r="P42" s="201"/>
      <c r="Q42" s="202"/>
    </row>
    <row r="43" spans="1:17">
      <c r="A43">
        <v>1412000062</v>
      </c>
      <c r="B43" t="s">
        <v>112</v>
      </c>
      <c r="E43" s="176" t="s">
        <v>25</v>
      </c>
      <c r="F43" s="267">
        <v>0</v>
      </c>
      <c r="G43" s="267">
        <v>0</v>
      </c>
      <c r="H43" s="267">
        <v>0</v>
      </c>
      <c r="I43" s="267">
        <v>0</v>
      </c>
      <c r="J43" s="267">
        <v>0</v>
      </c>
      <c r="K43" s="267">
        <v>0</v>
      </c>
      <c r="L43" s="267">
        <v>0</v>
      </c>
      <c r="M43" s="267">
        <v>0</v>
      </c>
      <c r="N43" s="268">
        <v>0</v>
      </c>
      <c r="O43" s="269">
        <v>0</v>
      </c>
      <c r="P43" s="267">
        <v>0</v>
      </c>
      <c r="Q43" s="268">
        <v>0</v>
      </c>
    </row>
    <row r="44" spans="1:17">
      <c r="A44">
        <v>1412000062</v>
      </c>
      <c r="B44" t="s">
        <v>112</v>
      </c>
      <c r="E44" s="312" t="s">
        <v>106</v>
      </c>
      <c r="F44" s="300">
        <v>21</v>
      </c>
      <c r="G44" s="300">
        <v>21</v>
      </c>
      <c r="H44" s="300">
        <v>21</v>
      </c>
      <c r="I44" s="300">
        <v>21</v>
      </c>
      <c r="J44" s="300">
        <v>21</v>
      </c>
      <c r="K44" s="300">
        <v>21</v>
      </c>
      <c r="L44" s="300">
        <v>21</v>
      </c>
      <c r="M44" s="300">
        <v>21</v>
      </c>
      <c r="N44" s="301">
        <v>21</v>
      </c>
      <c r="O44" s="302">
        <v>21</v>
      </c>
      <c r="P44" s="300">
        <v>21</v>
      </c>
      <c r="Q44" s="301">
        <v>21</v>
      </c>
    </row>
    <row r="45" spans="1:17">
      <c r="A45">
        <v>1412000062</v>
      </c>
      <c r="B45" t="s">
        <v>112</v>
      </c>
      <c r="E45" s="314" t="s">
        <v>158</v>
      </c>
      <c r="F45" s="303">
        <v>7</v>
      </c>
      <c r="G45" s="303">
        <v>7</v>
      </c>
      <c r="H45" s="303">
        <v>7</v>
      </c>
      <c r="I45" s="303">
        <v>7</v>
      </c>
      <c r="J45" s="303">
        <v>7</v>
      </c>
      <c r="K45" s="303">
        <v>7</v>
      </c>
      <c r="L45" s="303">
        <v>7</v>
      </c>
      <c r="M45" s="303">
        <v>7</v>
      </c>
      <c r="N45" s="304">
        <v>7</v>
      </c>
      <c r="O45" s="305">
        <v>7</v>
      </c>
      <c r="P45" s="303">
        <v>7</v>
      </c>
      <c r="Q45" s="304">
        <v>7</v>
      </c>
    </row>
    <row r="46" spans="1:17">
      <c r="A46">
        <v>1412000062</v>
      </c>
      <c r="B46" t="s">
        <v>112</v>
      </c>
      <c r="E46" s="177" t="s">
        <v>26</v>
      </c>
      <c r="F46" s="270">
        <v>28</v>
      </c>
      <c r="G46" s="270">
        <v>28</v>
      </c>
      <c r="H46" s="270">
        <v>28</v>
      </c>
      <c r="I46" s="270">
        <v>28</v>
      </c>
      <c r="J46" s="270">
        <v>28</v>
      </c>
      <c r="K46" s="270">
        <v>28</v>
      </c>
      <c r="L46" s="271">
        <v>28</v>
      </c>
      <c r="M46" s="270">
        <v>28</v>
      </c>
      <c r="N46" s="272">
        <v>28</v>
      </c>
      <c r="O46" s="271">
        <v>28</v>
      </c>
      <c r="P46" s="270">
        <v>28</v>
      </c>
      <c r="Q46" s="272">
        <v>28</v>
      </c>
    </row>
    <row r="47" spans="1:17" ht="15" thickBot="1">
      <c r="A47">
        <v>1412000062</v>
      </c>
      <c r="B47" t="s">
        <v>112</v>
      </c>
      <c r="E47" s="178" t="s">
        <v>27</v>
      </c>
      <c r="F47" s="273">
        <v>28</v>
      </c>
      <c r="G47" s="273">
        <v>28</v>
      </c>
      <c r="H47" s="273">
        <v>28</v>
      </c>
      <c r="I47" s="273">
        <v>28</v>
      </c>
      <c r="J47" s="273">
        <v>28</v>
      </c>
      <c r="K47" s="273">
        <v>28</v>
      </c>
      <c r="L47" s="274">
        <v>28</v>
      </c>
      <c r="M47" s="273">
        <v>28</v>
      </c>
      <c r="N47" s="275">
        <v>28</v>
      </c>
      <c r="O47" s="274">
        <v>28</v>
      </c>
      <c r="P47" s="273">
        <v>28</v>
      </c>
      <c r="Q47" s="275">
        <v>28</v>
      </c>
    </row>
    <row r="48" spans="1:17" ht="15" thickBot="1">
      <c r="A48">
        <v>1412000062</v>
      </c>
      <c r="B48" t="s">
        <v>112</v>
      </c>
      <c r="F48" s="276"/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6"/>
    </row>
    <row r="49" spans="1:17">
      <c r="A49">
        <v>1412000062</v>
      </c>
      <c r="B49" t="s">
        <v>112</v>
      </c>
      <c r="E49" s="220" t="s">
        <v>28</v>
      </c>
      <c r="F49" s="277"/>
      <c r="G49" s="277"/>
      <c r="H49" s="277"/>
      <c r="I49" s="277"/>
      <c r="J49" s="277"/>
      <c r="K49" s="277"/>
      <c r="L49" s="277"/>
      <c r="M49" s="277"/>
      <c r="N49" s="278"/>
      <c r="O49" s="277"/>
      <c r="P49" s="277"/>
      <c r="Q49" s="278"/>
    </row>
    <row r="50" spans="1:17">
      <c r="A50">
        <v>1412000062</v>
      </c>
      <c r="B50" t="s">
        <v>112</v>
      </c>
      <c r="E50" s="176" t="s">
        <v>25</v>
      </c>
      <c r="F50" s="279">
        <v>0</v>
      </c>
      <c r="G50" s="279">
        <v>0</v>
      </c>
      <c r="H50" s="279">
        <v>0</v>
      </c>
      <c r="I50" s="279">
        <v>0</v>
      </c>
      <c r="J50" s="279">
        <v>0</v>
      </c>
      <c r="K50" s="279">
        <v>0</v>
      </c>
      <c r="L50" s="279">
        <v>0</v>
      </c>
      <c r="M50" s="279">
        <v>0</v>
      </c>
      <c r="N50" s="280">
        <v>0</v>
      </c>
      <c r="O50" s="281">
        <v>0</v>
      </c>
      <c r="P50" s="279">
        <v>0</v>
      </c>
      <c r="Q50" s="280">
        <v>0</v>
      </c>
    </row>
    <row r="51" spans="1:17">
      <c r="A51">
        <v>1412000062</v>
      </c>
      <c r="B51" t="s">
        <v>112</v>
      </c>
      <c r="E51" s="312" t="s">
        <v>106</v>
      </c>
      <c r="F51" s="306">
        <v>3499</v>
      </c>
      <c r="G51" s="306">
        <v>3001</v>
      </c>
      <c r="H51" s="306">
        <v>3317</v>
      </c>
      <c r="I51" s="306">
        <v>3632</v>
      </c>
      <c r="J51" s="306">
        <v>3159</v>
      </c>
      <c r="K51" s="306">
        <v>3001</v>
      </c>
      <c r="L51" s="306">
        <v>3632</v>
      </c>
      <c r="M51" s="306">
        <v>3459</v>
      </c>
      <c r="N51" s="307">
        <v>3804</v>
      </c>
      <c r="O51" s="308">
        <v>3459</v>
      </c>
      <c r="P51" s="306">
        <v>2594</v>
      </c>
      <c r="Q51" s="307">
        <v>3459</v>
      </c>
    </row>
    <row r="52" spans="1:17">
      <c r="A52">
        <v>1412000062</v>
      </c>
      <c r="B52" t="s">
        <v>112</v>
      </c>
      <c r="E52" s="314" t="s">
        <v>158</v>
      </c>
      <c r="F52" s="309">
        <v>1146</v>
      </c>
      <c r="G52" s="309">
        <v>927.5</v>
      </c>
      <c r="H52" s="309">
        <v>1025.5</v>
      </c>
      <c r="I52" s="309">
        <v>1122.5</v>
      </c>
      <c r="J52" s="309">
        <v>976</v>
      </c>
      <c r="K52" s="309">
        <v>927.5</v>
      </c>
      <c r="L52" s="309">
        <v>1145.5</v>
      </c>
      <c r="M52" s="309">
        <v>996</v>
      </c>
      <c r="N52" s="310">
        <v>1261</v>
      </c>
      <c r="O52" s="311">
        <v>1146</v>
      </c>
      <c r="P52" s="309">
        <v>860</v>
      </c>
      <c r="Q52" s="310">
        <v>1146</v>
      </c>
    </row>
    <row r="53" spans="1:17">
      <c r="A53">
        <v>1412000062</v>
      </c>
      <c r="B53" t="s">
        <v>112</v>
      </c>
      <c r="E53" s="177" t="s">
        <v>26</v>
      </c>
      <c r="F53" s="282">
        <v>4645</v>
      </c>
      <c r="G53" s="282">
        <v>3928.5</v>
      </c>
      <c r="H53" s="282">
        <v>4342.5</v>
      </c>
      <c r="I53" s="282">
        <v>4754.5</v>
      </c>
      <c r="J53" s="282">
        <v>4135</v>
      </c>
      <c r="K53" s="282">
        <v>3928.5</v>
      </c>
      <c r="L53" s="283">
        <v>4777.5</v>
      </c>
      <c r="M53" s="282">
        <v>4455</v>
      </c>
      <c r="N53" s="284">
        <v>5065</v>
      </c>
      <c r="O53" s="283">
        <v>4605</v>
      </c>
      <c r="P53" s="282">
        <v>3454</v>
      </c>
      <c r="Q53" s="284">
        <v>4605</v>
      </c>
    </row>
    <row r="54" spans="1:17" ht="15" thickBot="1">
      <c r="A54">
        <v>1412000062</v>
      </c>
      <c r="B54" t="s">
        <v>112</v>
      </c>
      <c r="E54" s="178" t="s">
        <v>44</v>
      </c>
      <c r="F54" s="285">
        <v>4645</v>
      </c>
      <c r="G54" s="285">
        <v>3928.5</v>
      </c>
      <c r="H54" s="285">
        <v>4342.5</v>
      </c>
      <c r="I54" s="285">
        <v>4754.5</v>
      </c>
      <c r="J54" s="285">
        <v>4135</v>
      </c>
      <c r="K54" s="285">
        <v>3928.5</v>
      </c>
      <c r="L54" s="286">
        <v>4777.5</v>
      </c>
      <c r="M54" s="285">
        <v>4455</v>
      </c>
      <c r="N54" s="287">
        <v>5065</v>
      </c>
      <c r="O54" s="286">
        <v>4605</v>
      </c>
      <c r="P54" s="285">
        <v>3454</v>
      </c>
      <c r="Q54" s="287">
        <v>4605</v>
      </c>
    </row>
    <row r="55" spans="1:17" ht="15" thickBot="1">
      <c r="A55">
        <v>1412000062</v>
      </c>
      <c r="B55" t="s">
        <v>112</v>
      </c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</row>
    <row r="56" spans="1:17">
      <c r="A56">
        <v>1412000062</v>
      </c>
      <c r="B56" t="s">
        <v>112</v>
      </c>
      <c r="E56" s="220" t="s">
        <v>29</v>
      </c>
      <c r="F56" s="289"/>
      <c r="G56" s="289"/>
      <c r="H56" s="289"/>
      <c r="I56" s="289"/>
      <c r="J56" s="289"/>
      <c r="K56" s="289"/>
      <c r="L56" s="289"/>
      <c r="M56" s="289"/>
      <c r="N56" s="290"/>
      <c r="O56" s="289"/>
      <c r="P56" s="289"/>
      <c r="Q56" s="278"/>
    </row>
    <row r="57" spans="1:17">
      <c r="A57">
        <v>1412000062</v>
      </c>
      <c r="B57" t="s">
        <v>112</v>
      </c>
      <c r="E57" s="176" t="s">
        <v>25</v>
      </c>
      <c r="F57" s="279">
        <v>0</v>
      </c>
      <c r="G57" s="279">
        <v>0</v>
      </c>
      <c r="H57" s="279">
        <v>0</v>
      </c>
      <c r="I57" s="279">
        <v>0</v>
      </c>
      <c r="J57" s="279">
        <v>0</v>
      </c>
      <c r="K57" s="279">
        <v>0</v>
      </c>
      <c r="L57" s="279">
        <v>0</v>
      </c>
      <c r="M57" s="279">
        <v>0</v>
      </c>
      <c r="N57" s="280">
        <v>0</v>
      </c>
      <c r="O57" s="281">
        <v>0</v>
      </c>
      <c r="P57" s="279">
        <v>0</v>
      </c>
      <c r="Q57" s="280">
        <v>0</v>
      </c>
    </row>
    <row r="58" spans="1:17">
      <c r="A58">
        <v>1412000062</v>
      </c>
      <c r="B58" t="s">
        <v>112</v>
      </c>
      <c r="E58" s="312" t="s">
        <v>106</v>
      </c>
      <c r="F58" s="306">
        <v>200</v>
      </c>
      <c r="G58" s="306">
        <v>200</v>
      </c>
      <c r="H58" s="306">
        <v>200</v>
      </c>
      <c r="I58" s="306">
        <v>200</v>
      </c>
      <c r="J58" s="306">
        <v>200</v>
      </c>
      <c r="K58" s="306">
        <v>200</v>
      </c>
      <c r="L58" s="306">
        <v>200</v>
      </c>
      <c r="M58" s="306">
        <v>200</v>
      </c>
      <c r="N58" s="307">
        <v>200</v>
      </c>
      <c r="O58" s="308">
        <v>200</v>
      </c>
      <c r="P58" s="306">
        <v>100</v>
      </c>
      <c r="Q58" s="307">
        <v>200</v>
      </c>
    </row>
    <row r="59" spans="1:17">
      <c r="A59">
        <v>1412000062</v>
      </c>
      <c r="B59" t="s">
        <v>112</v>
      </c>
      <c r="E59" s="314" t="s">
        <v>158</v>
      </c>
      <c r="F59" s="309">
        <v>100</v>
      </c>
      <c r="G59" s="309">
        <v>100</v>
      </c>
      <c r="H59" s="309">
        <v>100</v>
      </c>
      <c r="I59" s="309">
        <v>100</v>
      </c>
      <c r="J59" s="309">
        <v>100</v>
      </c>
      <c r="K59" s="309">
        <v>100</v>
      </c>
      <c r="L59" s="309">
        <v>100</v>
      </c>
      <c r="M59" s="309">
        <v>100</v>
      </c>
      <c r="N59" s="310">
        <v>100</v>
      </c>
      <c r="O59" s="311">
        <v>100</v>
      </c>
      <c r="P59" s="309">
        <v>80</v>
      </c>
      <c r="Q59" s="310">
        <v>100</v>
      </c>
    </row>
    <row r="60" spans="1:17">
      <c r="A60">
        <v>1412000062</v>
      </c>
      <c r="B60" t="s">
        <v>112</v>
      </c>
      <c r="E60" s="177" t="s">
        <v>26</v>
      </c>
      <c r="F60" s="282">
        <v>300</v>
      </c>
      <c r="G60" s="282">
        <v>300</v>
      </c>
      <c r="H60" s="282">
        <v>300</v>
      </c>
      <c r="I60" s="282">
        <v>300</v>
      </c>
      <c r="J60" s="282">
        <v>300</v>
      </c>
      <c r="K60" s="282">
        <v>300</v>
      </c>
      <c r="L60" s="283">
        <v>300</v>
      </c>
      <c r="M60" s="282">
        <v>300</v>
      </c>
      <c r="N60" s="284">
        <v>300</v>
      </c>
      <c r="O60" s="283">
        <v>300</v>
      </c>
      <c r="P60" s="282">
        <v>180</v>
      </c>
      <c r="Q60" s="284">
        <v>300</v>
      </c>
    </row>
    <row r="61" spans="1:17" ht="15" thickBot="1">
      <c r="A61">
        <v>1412000062</v>
      </c>
      <c r="B61" t="s">
        <v>112</v>
      </c>
      <c r="E61" s="178" t="s">
        <v>45</v>
      </c>
      <c r="F61" s="285">
        <v>300</v>
      </c>
      <c r="G61" s="285">
        <v>300</v>
      </c>
      <c r="H61" s="285">
        <v>300</v>
      </c>
      <c r="I61" s="285">
        <v>300</v>
      </c>
      <c r="J61" s="285">
        <v>300</v>
      </c>
      <c r="K61" s="285">
        <v>300</v>
      </c>
      <c r="L61" s="286">
        <v>300</v>
      </c>
      <c r="M61" s="285">
        <v>300</v>
      </c>
      <c r="N61" s="287">
        <v>300</v>
      </c>
      <c r="O61" s="286">
        <v>300</v>
      </c>
      <c r="P61" s="285">
        <v>180</v>
      </c>
      <c r="Q61" s="287">
        <v>300</v>
      </c>
    </row>
    <row r="62" spans="1:17">
      <c r="A62">
        <v>1412000034</v>
      </c>
      <c r="B62" t="s">
        <v>30</v>
      </c>
      <c r="E62" s="220" t="s">
        <v>40</v>
      </c>
      <c r="F62" s="201"/>
      <c r="G62" s="201"/>
      <c r="H62" s="201"/>
      <c r="I62" s="201"/>
      <c r="J62" s="201"/>
      <c r="K62" s="201"/>
      <c r="L62" s="201"/>
      <c r="M62" s="201"/>
      <c r="N62" s="202"/>
      <c r="O62" s="201"/>
      <c r="P62" s="201"/>
      <c r="Q62" s="202"/>
    </row>
    <row r="63" spans="1:17">
      <c r="A63">
        <v>1412000034</v>
      </c>
      <c r="B63" t="s">
        <v>30</v>
      </c>
      <c r="E63" s="176" t="s">
        <v>25</v>
      </c>
      <c r="F63" s="267">
        <v>1</v>
      </c>
      <c r="G63" s="267">
        <v>1</v>
      </c>
      <c r="H63" s="267">
        <v>1</v>
      </c>
      <c r="I63" s="267">
        <v>1</v>
      </c>
      <c r="J63" s="267">
        <v>1</v>
      </c>
      <c r="K63" s="267">
        <v>1</v>
      </c>
      <c r="L63" s="267">
        <v>1</v>
      </c>
      <c r="M63" s="267">
        <v>1</v>
      </c>
      <c r="N63" s="268">
        <v>1</v>
      </c>
      <c r="O63" s="269">
        <v>1</v>
      </c>
      <c r="P63" s="267">
        <v>1</v>
      </c>
      <c r="Q63" s="268">
        <v>1</v>
      </c>
    </row>
    <row r="64" spans="1:17">
      <c r="A64">
        <v>1412000034</v>
      </c>
      <c r="B64" t="s">
        <v>30</v>
      </c>
      <c r="E64" s="312" t="s">
        <v>106</v>
      </c>
      <c r="F64" s="300">
        <v>22</v>
      </c>
      <c r="G64" s="300">
        <v>22</v>
      </c>
      <c r="H64" s="300">
        <v>22</v>
      </c>
      <c r="I64" s="300">
        <v>22</v>
      </c>
      <c r="J64" s="300">
        <v>22</v>
      </c>
      <c r="K64" s="300">
        <v>22</v>
      </c>
      <c r="L64" s="300">
        <v>22</v>
      </c>
      <c r="M64" s="300">
        <v>22</v>
      </c>
      <c r="N64" s="301">
        <v>22</v>
      </c>
      <c r="O64" s="302">
        <v>22</v>
      </c>
      <c r="P64" s="300">
        <v>22</v>
      </c>
      <c r="Q64" s="301">
        <v>22</v>
      </c>
    </row>
    <row r="65" spans="1:17">
      <c r="A65">
        <v>1412000034</v>
      </c>
      <c r="B65" t="s">
        <v>30</v>
      </c>
      <c r="E65" s="314" t="s">
        <v>158</v>
      </c>
      <c r="F65" s="303">
        <v>297</v>
      </c>
      <c r="G65" s="303">
        <v>297</v>
      </c>
      <c r="H65" s="303">
        <v>298</v>
      </c>
      <c r="I65" s="303">
        <v>298</v>
      </c>
      <c r="J65" s="303">
        <v>306</v>
      </c>
      <c r="K65" s="303">
        <v>314</v>
      </c>
      <c r="L65" s="303">
        <v>314</v>
      </c>
      <c r="M65" s="303">
        <v>314</v>
      </c>
      <c r="N65" s="304">
        <v>314</v>
      </c>
      <c r="O65" s="305">
        <v>314</v>
      </c>
      <c r="P65" s="303">
        <v>324</v>
      </c>
      <c r="Q65" s="304">
        <v>324</v>
      </c>
    </row>
    <row r="66" spans="1:17">
      <c r="A66">
        <v>1412000034</v>
      </c>
      <c r="B66" t="s">
        <v>30</v>
      </c>
      <c r="E66" s="177" t="s">
        <v>26</v>
      </c>
      <c r="F66" s="270">
        <v>319</v>
      </c>
      <c r="G66" s="270">
        <v>319</v>
      </c>
      <c r="H66" s="270">
        <v>320</v>
      </c>
      <c r="I66" s="270">
        <v>320</v>
      </c>
      <c r="J66" s="270">
        <v>328</v>
      </c>
      <c r="K66" s="270">
        <v>336</v>
      </c>
      <c r="L66" s="271">
        <v>336</v>
      </c>
      <c r="M66" s="270">
        <v>336</v>
      </c>
      <c r="N66" s="272">
        <v>336</v>
      </c>
      <c r="O66" s="271">
        <v>336</v>
      </c>
      <c r="P66" s="270">
        <v>346</v>
      </c>
      <c r="Q66" s="272">
        <v>346</v>
      </c>
    </row>
    <row r="67" spans="1:17" ht="15" thickBot="1">
      <c r="A67">
        <v>1412000034</v>
      </c>
      <c r="B67" t="s">
        <v>30</v>
      </c>
      <c r="E67" s="178" t="s">
        <v>27</v>
      </c>
      <c r="F67" s="273">
        <v>320</v>
      </c>
      <c r="G67" s="273">
        <v>320</v>
      </c>
      <c r="H67" s="273">
        <v>321</v>
      </c>
      <c r="I67" s="273">
        <v>321</v>
      </c>
      <c r="J67" s="273">
        <v>329</v>
      </c>
      <c r="K67" s="273">
        <v>337</v>
      </c>
      <c r="L67" s="274">
        <v>337</v>
      </c>
      <c r="M67" s="273">
        <v>337</v>
      </c>
      <c r="N67" s="275">
        <v>337</v>
      </c>
      <c r="O67" s="274">
        <v>337</v>
      </c>
      <c r="P67" s="273">
        <v>347</v>
      </c>
      <c r="Q67" s="275">
        <v>347</v>
      </c>
    </row>
    <row r="68" spans="1:17" ht="15" thickBot="1">
      <c r="A68">
        <v>1412000034</v>
      </c>
      <c r="B68" t="s">
        <v>30</v>
      </c>
      <c r="F68" s="276"/>
      <c r="G68" s="276"/>
      <c r="H68" s="276"/>
      <c r="I68" s="276"/>
      <c r="J68" s="276"/>
      <c r="K68" s="276"/>
      <c r="L68" s="276"/>
      <c r="M68" s="276"/>
      <c r="N68" s="276"/>
      <c r="O68" s="276"/>
      <c r="P68" s="276"/>
      <c r="Q68" s="276"/>
    </row>
    <row r="69" spans="1:17">
      <c r="A69">
        <v>1412000034</v>
      </c>
      <c r="B69" t="s">
        <v>30</v>
      </c>
      <c r="E69" s="220" t="s">
        <v>28</v>
      </c>
      <c r="F69" s="277"/>
      <c r="G69" s="277"/>
      <c r="H69" s="277"/>
      <c r="I69" s="277"/>
      <c r="J69" s="277"/>
      <c r="K69" s="277"/>
      <c r="L69" s="277"/>
      <c r="M69" s="277"/>
      <c r="N69" s="278"/>
      <c r="O69" s="277"/>
      <c r="P69" s="277"/>
      <c r="Q69" s="278"/>
    </row>
    <row r="70" spans="1:17">
      <c r="A70">
        <v>1412000034</v>
      </c>
      <c r="B70" t="s">
        <v>30</v>
      </c>
      <c r="E70" s="176" t="s">
        <v>25</v>
      </c>
      <c r="F70" s="279">
        <v>170</v>
      </c>
      <c r="G70" s="279">
        <v>161.5</v>
      </c>
      <c r="H70" s="279">
        <v>178.5</v>
      </c>
      <c r="I70" s="279">
        <v>195.5</v>
      </c>
      <c r="J70" s="279">
        <v>170</v>
      </c>
      <c r="K70" s="279">
        <v>161.5</v>
      </c>
      <c r="L70" s="279">
        <v>195.5</v>
      </c>
      <c r="M70" s="279">
        <v>170</v>
      </c>
      <c r="N70" s="280">
        <v>187</v>
      </c>
      <c r="O70" s="281">
        <v>170</v>
      </c>
      <c r="P70" s="279">
        <v>127.5</v>
      </c>
      <c r="Q70" s="280">
        <v>170</v>
      </c>
    </row>
    <row r="71" spans="1:17">
      <c r="A71">
        <v>1412000034</v>
      </c>
      <c r="B71" t="s">
        <v>30</v>
      </c>
      <c r="E71" s="312" t="s">
        <v>106</v>
      </c>
      <c r="F71" s="306">
        <v>3456</v>
      </c>
      <c r="G71" s="306">
        <v>3200</v>
      </c>
      <c r="H71" s="306">
        <v>3528</v>
      </c>
      <c r="I71" s="306">
        <v>3854</v>
      </c>
      <c r="J71" s="306">
        <v>3456</v>
      </c>
      <c r="K71" s="306">
        <v>3200</v>
      </c>
      <c r="L71" s="306">
        <v>3854</v>
      </c>
      <c r="M71" s="306">
        <v>3456</v>
      </c>
      <c r="N71" s="307">
        <v>3691</v>
      </c>
      <c r="O71" s="308">
        <v>3456</v>
      </c>
      <c r="P71" s="306">
        <v>2546</v>
      </c>
      <c r="Q71" s="307">
        <v>3364</v>
      </c>
    </row>
    <row r="72" spans="1:17">
      <c r="A72">
        <v>1412000034</v>
      </c>
      <c r="B72" t="s">
        <v>30</v>
      </c>
      <c r="E72" s="314" t="s">
        <v>158</v>
      </c>
      <c r="F72" s="309">
        <v>46065</v>
      </c>
      <c r="G72" s="309">
        <v>41877</v>
      </c>
      <c r="H72" s="309">
        <v>46220</v>
      </c>
      <c r="I72" s="309">
        <v>50421</v>
      </c>
      <c r="J72" s="309">
        <v>47461</v>
      </c>
      <c r="K72" s="309">
        <v>40608</v>
      </c>
      <c r="L72" s="309">
        <v>53129</v>
      </c>
      <c r="M72" s="309">
        <v>48701</v>
      </c>
      <c r="N72" s="310">
        <v>50915</v>
      </c>
      <c r="O72" s="311">
        <v>48701</v>
      </c>
      <c r="P72" s="309">
        <v>36547</v>
      </c>
      <c r="Q72" s="310">
        <v>47969</v>
      </c>
    </row>
    <row r="73" spans="1:17">
      <c r="A73">
        <v>1412000034</v>
      </c>
      <c r="B73" t="s">
        <v>30</v>
      </c>
      <c r="E73" s="177" t="s">
        <v>26</v>
      </c>
      <c r="F73" s="282">
        <v>49521</v>
      </c>
      <c r="G73" s="282">
        <v>45077</v>
      </c>
      <c r="H73" s="282">
        <v>49748</v>
      </c>
      <c r="I73" s="282">
        <v>54275</v>
      </c>
      <c r="J73" s="282">
        <v>50917</v>
      </c>
      <c r="K73" s="282">
        <v>43808</v>
      </c>
      <c r="L73" s="283">
        <v>56983</v>
      </c>
      <c r="M73" s="282">
        <v>52157</v>
      </c>
      <c r="N73" s="284">
        <v>54606</v>
      </c>
      <c r="O73" s="283">
        <v>52157</v>
      </c>
      <c r="P73" s="282">
        <v>39093</v>
      </c>
      <c r="Q73" s="284">
        <v>51333</v>
      </c>
    </row>
    <row r="74" spans="1:17" ht="15" thickBot="1">
      <c r="A74">
        <v>1412000034</v>
      </c>
      <c r="B74" t="s">
        <v>30</v>
      </c>
      <c r="E74" s="178" t="s">
        <v>44</v>
      </c>
      <c r="F74" s="285">
        <v>49691</v>
      </c>
      <c r="G74" s="285">
        <v>45238.5</v>
      </c>
      <c r="H74" s="285">
        <v>49926.5</v>
      </c>
      <c r="I74" s="285">
        <v>54470.5</v>
      </c>
      <c r="J74" s="285">
        <v>51087</v>
      </c>
      <c r="K74" s="285">
        <v>43969.5</v>
      </c>
      <c r="L74" s="286">
        <v>57178.5</v>
      </c>
      <c r="M74" s="285">
        <v>52327</v>
      </c>
      <c r="N74" s="287">
        <v>54793</v>
      </c>
      <c r="O74" s="286">
        <v>52327</v>
      </c>
      <c r="P74" s="285">
        <v>39220.5</v>
      </c>
      <c r="Q74" s="287">
        <v>51503</v>
      </c>
    </row>
    <row r="75" spans="1:17" ht="15" thickBot="1">
      <c r="A75">
        <v>1412000034</v>
      </c>
      <c r="B75" t="s">
        <v>30</v>
      </c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288"/>
      <c r="Q75" s="288"/>
    </row>
    <row r="76" spans="1:17">
      <c r="A76">
        <v>1412000034</v>
      </c>
      <c r="B76" t="s">
        <v>30</v>
      </c>
      <c r="E76" s="220" t="s">
        <v>29</v>
      </c>
      <c r="F76" s="289"/>
      <c r="G76" s="289"/>
      <c r="H76" s="289"/>
      <c r="I76" s="289"/>
      <c r="J76" s="289"/>
      <c r="K76" s="289"/>
      <c r="L76" s="289"/>
      <c r="M76" s="289"/>
      <c r="N76" s="290"/>
      <c r="O76" s="289"/>
      <c r="P76" s="289"/>
      <c r="Q76" s="278"/>
    </row>
    <row r="77" spans="1:17">
      <c r="A77">
        <v>1412000034</v>
      </c>
      <c r="B77" t="s">
        <v>30</v>
      </c>
      <c r="E77" s="176" t="s">
        <v>25</v>
      </c>
      <c r="F77" s="279">
        <v>40</v>
      </c>
      <c r="G77" s="279">
        <v>38</v>
      </c>
      <c r="H77" s="279">
        <v>42</v>
      </c>
      <c r="I77" s="279">
        <v>46</v>
      </c>
      <c r="J77" s="279">
        <v>40</v>
      </c>
      <c r="K77" s="279">
        <v>38</v>
      </c>
      <c r="L77" s="279">
        <v>46</v>
      </c>
      <c r="M77" s="279">
        <v>40</v>
      </c>
      <c r="N77" s="280">
        <v>44</v>
      </c>
      <c r="O77" s="281">
        <v>40</v>
      </c>
      <c r="P77" s="279">
        <v>30</v>
      </c>
      <c r="Q77" s="280">
        <v>40</v>
      </c>
    </row>
    <row r="78" spans="1:17">
      <c r="A78">
        <v>1412000034</v>
      </c>
      <c r="B78" t="s">
        <v>30</v>
      </c>
      <c r="E78" s="312" t="s">
        <v>106</v>
      </c>
      <c r="F78" s="306">
        <v>76</v>
      </c>
      <c r="G78" s="306">
        <v>104</v>
      </c>
      <c r="H78" s="306">
        <v>112</v>
      </c>
      <c r="I78" s="306">
        <v>184</v>
      </c>
      <c r="J78" s="306">
        <v>132</v>
      </c>
      <c r="K78" s="306">
        <v>136</v>
      </c>
      <c r="L78" s="306">
        <v>160</v>
      </c>
      <c r="M78" s="306">
        <v>164</v>
      </c>
      <c r="N78" s="307">
        <v>132</v>
      </c>
      <c r="O78" s="308">
        <v>180</v>
      </c>
      <c r="P78" s="306">
        <v>136</v>
      </c>
      <c r="Q78" s="307">
        <v>124</v>
      </c>
    </row>
    <row r="79" spans="1:17">
      <c r="A79">
        <v>1412000034</v>
      </c>
      <c r="B79" t="s">
        <v>30</v>
      </c>
      <c r="E79" s="314" t="s">
        <v>158</v>
      </c>
      <c r="F79" s="309">
        <v>0</v>
      </c>
      <c r="G79" s="309">
        <v>720</v>
      </c>
      <c r="H79" s="309">
        <v>304</v>
      </c>
      <c r="I79" s="309">
        <v>2384</v>
      </c>
      <c r="J79" s="309">
        <v>1240</v>
      </c>
      <c r="K79" s="309">
        <v>2064</v>
      </c>
      <c r="L79" s="309">
        <v>1656</v>
      </c>
      <c r="M79" s="309">
        <v>1352</v>
      </c>
      <c r="N79" s="310">
        <v>1248</v>
      </c>
      <c r="O79" s="311">
        <v>2376</v>
      </c>
      <c r="P79" s="309">
        <v>1968</v>
      </c>
      <c r="Q79" s="310">
        <v>936</v>
      </c>
    </row>
    <row r="80" spans="1:17">
      <c r="A80">
        <v>1412000034</v>
      </c>
      <c r="B80" t="s">
        <v>30</v>
      </c>
      <c r="E80" s="177" t="s">
        <v>26</v>
      </c>
      <c r="F80" s="282">
        <v>76</v>
      </c>
      <c r="G80" s="282">
        <v>824</v>
      </c>
      <c r="H80" s="282">
        <v>416</v>
      </c>
      <c r="I80" s="282">
        <v>2568</v>
      </c>
      <c r="J80" s="282">
        <v>1372</v>
      </c>
      <c r="K80" s="282">
        <v>2200</v>
      </c>
      <c r="L80" s="283">
        <v>1816</v>
      </c>
      <c r="M80" s="282">
        <v>1516</v>
      </c>
      <c r="N80" s="284">
        <v>1380</v>
      </c>
      <c r="O80" s="283">
        <v>2556</v>
      </c>
      <c r="P80" s="282">
        <v>2104</v>
      </c>
      <c r="Q80" s="284">
        <v>1060</v>
      </c>
    </row>
    <row r="81" spans="1:17" ht="15" thickBot="1">
      <c r="A81">
        <v>1412000034</v>
      </c>
      <c r="B81" t="s">
        <v>30</v>
      </c>
      <c r="E81" s="178" t="s">
        <v>45</v>
      </c>
      <c r="F81" s="285">
        <v>116</v>
      </c>
      <c r="G81" s="285">
        <v>862</v>
      </c>
      <c r="H81" s="285">
        <v>458</v>
      </c>
      <c r="I81" s="285">
        <v>2614</v>
      </c>
      <c r="J81" s="285">
        <v>1412</v>
      </c>
      <c r="K81" s="285">
        <v>2238</v>
      </c>
      <c r="L81" s="286">
        <v>1862</v>
      </c>
      <c r="M81" s="285">
        <v>1556</v>
      </c>
      <c r="N81" s="287">
        <v>1424</v>
      </c>
      <c r="O81" s="286">
        <v>2596</v>
      </c>
      <c r="P81" s="285">
        <v>2134</v>
      </c>
      <c r="Q81" s="287">
        <v>1100</v>
      </c>
    </row>
    <row r="82" spans="1:17">
      <c r="A82">
        <v>1412000048</v>
      </c>
      <c r="B82" t="s">
        <v>31</v>
      </c>
      <c r="E82" s="220" t="s">
        <v>40</v>
      </c>
      <c r="F82" s="201"/>
      <c r="G82" s="201"/>
      <c r="H82" s="201"/>
      <c r="I82" s="201"/>
      <c r="J82" s="201"/>
      <c r="K82" s="201"/>
      <c r="L82" s="201"/>
      <c r="M82" s="201"/>
      <c r="N82" s="202"/>
      <c r="O82" s="201"/>
      <c r="P82" s="201"/>
      <c r="Q82" s="202"/>
    </row>
    <row r="83" spans="1:17">
      <c r="A83">
        <v>1412000048</v>
      </c>
      <c r="B83" t="s">
        <v>31</v>
      </c>
      <c r="E83" s="176" t="s">
        <v>25</v>
      </c>
      <c r="F83" s="267">
        <v>0</v>
      </c>
      <c r="G83" s="267">
        <v>0</v>
      </c>
      <c r="H83" s="267">
        <v>0</v>
      </c>
      <c r="I83" s="267">
        <v>0</v>
      </c>
      <c r="J83" s="267">
        <v>0</v>
      </c>
      <c r="K83" s="267">
        <v>0</v>
      </c>
      <c r="L83" s="267">
        <v>0</v>
      </c>
      <c r="M83" s="267">
        <v>0</v>
      </c>
      <c r="N83" s="268">
        <v>0</v>
      </c>
      <c r="O83" s="269">
        <v>0</v>
      </c>
      <c r="P83" s="267">
        <v>0</v>
      </c>
      <c r="Q83" s="268">
        <v>0</v>
      </c>
    </row>
    <row r="84" spans="1:17">
      <c r="A84">
        <v>1412000048</v>
      </c>
      <c r="B84" t="s">
        <v>31</v>
      </c>
      <c r="E84" s="312" t="s">
        <v>106</v>
      </c>
      <c r="F84" s="300">
        <v>14</v>
      </c>
      <c r="G84" s="300">
        <v>14</v>
      </c>
      <c r="H84" s="300">
        <v>14</v>
      </c>
      <c r="I84" s="300">
        <v>14</v>
      </c>
      <c r="J84" s="300">
        <v>14</v>
      </c>
      <c r="K84" s="300">
        <v>14</v>
      </c>
      <c r="L84" s="300">
        <v>14</v>
      </c>
      <c r="M84" s="300">
        <v>14</v>
      </c>
      <c r="N84" s="301">
        <v>14</v>
      </c>
      <c r="O84" s="302">
        <v>14</v>
      </c>
      <c r="P84" s="300">
        <v>14</v>
      </c>
      <c r="Q84" s="301">
        <v>14</v>
      </c>
    </row>
    <row r="85" spans="1:17">
      <c r="A85">
        <v>1412000048</v>
      </c>
      <c r="B85" t="s">
        <v>31</v>
      </c>
      <c r="E85" s="314" t="s">
        <v>158</v>
      </c>
      <c r="F85" s="303">
        <v>10</v>
      </c>
      <c r="G85" s="303">
        <v>10</v>
      </c>
      <c r="H85" s="303">
        <v>11</v>
      </c>
      <c r="I85" s="303">
        <v>11</v>
      </c>
      <c r="J85" s="303">
        <v>11</v>
      </c>
      <c r="K85" s="303">
        <v>11</v>
      </c>
      <c r="L85" s="303">
        <v>11</v>
      </c>
      <c r="M85" s="303">
        <v>11</v>
      </c>
      <c r="N85" s="304">
        <v>11</v>
      </c>
      <c r="O85" s="305">
        <v>11</v>
      </c>
      <c r="P85" s="303">
        <v>11</v>
      </c>
      <c r="Q85" s="304">
        <v>11</v>
      </c>
    </row>
    <row r="86" spans="1:17">
      <c r="A86">
        <v>1412000048</v>
      </c>
      <c r="B86" t="s">
        <v>31</v>
      </c>
      <c r="E86" s="177" t="s">
        <v>26</v>
      </c>
      <c r="F86" s="270">
        <v>24</v>
      </c>
      <c r="G86" s="270">
        <v>24</v>
      </c>
      <c r="H86" s="270">
        <v>25</v>
      </c>
      <c r="I86" s="270">
        <v>25</v>
      </c>
      <c r="J86" s="270">
        <v>25</v>
      </c>
      <c r="K86" s="270">
        <v>25</v>
      </c>
      <c r="L86" s="271">
        <v>25</v>
      </c>
      <c r="M86" s="270">
        <v>25</v>
      </c>
      <c r="N86" s="272">
        <v>25</v>
      </c>
      <c r="O86" s="271">
        <v>25</v>
      </c>
      <c r="P86" s="270">
        <v>25</v>
      </c>
      <c r="Q86" s="272">
        <v>25</v>
      </c>
    </row>
    <row r="87" spans="1:17" ht="15" thickBot="1">
      <c r="A87">
        <v>1412000048</v>
      </c>
      <c r="B87" t="s">
        <v>31</v>
      </c>
      <c r="E87" s="178" t="s">
        <v>27</v>
      </c>
      <c r="F87" s="273">
        <v>24</v>
      </c>
      <c r="G87" s="273">
        <v>24</v>
      </c>
      <c r="H87" s="273">
        <v>25</v>
      </c>
      <c r="I87" s="273">
        <v>25</v>
      </c>
      <c r="J87" s="273">
        <v>25</v>
      </c>
      <c r="K87" s="273">
        <v>25</v>
      </c>
      <c r="L87" s="274">
        <v>25</v>
      </c>
      <c r="M87" s="273">
        <v>25</v>
      </c>
      <c r="N87" s="275">
        <v>25</v>
      </c>
      <c r="O87" s="274">
        <v>25</v>
      </c>
      <c r="P87" s="273">
        <v>25</v>
      </c>
      <c r="Q87" s="275">
        <v>25</v>
      </c>
    </row>
    <row r="88" spans="1:17" ht="15" thickBot="1">
      <c r="A88">
        <v>1412000048</v>
      </c>
      <c r="B88" t="s">
        <v>31</v>
      </c>
      <c r="F88" s="276"/>
      <c r="G88" s="276"/>
      <c r="H88" s="276"/>
      <c r="I88" s="276"/>
      <c r="J88" s="276"/>
      <c r="K88" s="276"/>
      <c r="L88" s="276"/>
      <c r="M88" s="276"/>
      <c r="N88" s="276"/>
      <c r="O88" s="276"/>
      <c r="P88" s="276"/>
      <c r="Q88" s="276"/>
    </row>
    <row r="89" spans="1:17">
      <c r="A89">
        <v>1412000048</v>
      </c>
      <c r="B89" t="s">
        <v>31</v>
      </c>
      <c r="E89" s="220" t="s">
        <v>28</v>
      </c>
      <c r="F89" s="277"/>
      <c r="G89" s="277"/>
      <c r="H89" s="277"/>
      <c r="I89" s="277"/>
      <c r="J89" s="277"/>
      <c r="K89" s="277"/>
      <c r="L89" s="277"/>
      <c r="M89" s="277"/>
      <c r="N89" s="278"/>
      <c r="O89" s="277"/>
      <c r="P89" s="277"/>
      <c r="Q89" s="278"/>
    </row>
    <row r="90" spans="1:17">
      <c r="A90">
        <v>1412000048</v>
      </c>
      <c r="B90" t="s">
        <v>31</v>
      </c>
      <c r="E90" s="176" t="s">
        <v>25</v>
      </c>
      <c r="F90" s="279">
        <v>0</v>
      </c>
      <c r="G90" s="279">
        <v>0</v>
      </c>
      <c r="H90" s="279">
        <v>0</v>
      </c>
      <c r="I90" s="279">
        <v>0</v>
      </c>
      <c r="J90" s="279">
        <v>0</v>
      </c>
      <c r="K90" s="279">
        <v>0</v>
      </c>
      <c r="L90" s="279">
        <v>0</v>
      </c>
      <c r="M90" s="279">
        <v>0</v>
      </c>
      <c r="N90" s="280">
        <v>0</v>
      </c>
      <c r="O90" s="281">
        <v>0</v>
      </c>
      <c r="P90" s="279">
        <v>0</v>
      </c>
      <c r="Q90" s="280">
        <v>0</v>
      </c>
    </row>
    <row r="91" spans="1:17">
      <c r="A91">
        <v>1412000048</v>
      </c>
      <c r="B91" t="s">
        <v>31</v>
      </c>
      <c r="E91" s="312" t="s">
        <v>106</v>
      </c>
      <c r="F91" s="306">
        <v>2275</v>
      </c>
      <c r="G91" s="306">
        <v>2148</v>
      </c>
      <c r="H91" s="306">
        <v>2373</v>
      </c>
      <c r="I91" s="306">
        <v>2598</v>
      </c>
      <c r="J91" s="306">
        <v>2275</v>
      </c>
      <c r="K91" s="306">
        <v>2148</v>
      </c>
      <c r="L91" s="306">
        <v>2598</v>
      </c>
      <c r="M91" s="306">
        <v>2275</v>
      </c>
      <c r="N91" s="307">
        <v>2485</v>
      </c>
      <c r="O91" s="308">
        <v>2275</v>
      </c>
      <c r="P91" s="306">
        <v>1699</v>
      </c>
      <c r="Q91" s="307">
        <v>2261</v>
      </c>
    </row>
    <row r="92" spans="1:17">
      <c r="A92">
        <v>1412000048</v>
      </c>
      <c r="B92" t="s">
        <v>31</v>
      </c>
      <c r="E92" s="314" t="s">
        <v>158</v>
      </c>
      <c r="F92" s="309">
        <v>1584</v>
      </c>
      <c r="G92" s="309">
        <v>1440</v>
      </c>
      <c r="H92" s="309">
        <v>1742</v>
      </c>
      <c r="I92" s="309">
        <v>1901</v>
      </c>
      <c r="J92" s="309">
        <v>1742</v>
      </c>
      <c r="K92" s="309">
        <v>1584</v>
      </c>
      <c r="L92" s="309">
        <v>1901</v>
      </c>
      <c r="M92" s="309">
        <v>1742</v>
      </c>
      <c r="N92" s="310">
        <v>1822</v>
      </c>
      <c r="O92" s="311">
        <v>1742</v>
      </c>
      <c r="P92" s="309">
        <v>1267</v>
      </c>
      <c r="Q92" s="310">
        <v>1663</v>
      </c>
    </row>
    <row r="93" spans="1:17">
      <c r="A93">
        <v>1412000048</v>
      </c>
      <c r="B93" t="s">
        <v>31</v>
      </c>
      <c r="E93" s="177" t="s">
        <v>26</v>
      </c>
      <c r="F93" s="282">
        <v>3859</v>
      </c>
      <c r="G93" s="282">
        <v>3588</v>
      </c>
      <c r="H93" s="282">
        <v>4115</v>
      </c>
      <c r="I93" s="282">
        <v>4499</v>
      </c>
      <c r="J93" s="282">
        <v>4017</v>
      </c>
      <c r="K93" s="282">
        <v>3732</v>
      </c>
      <c r="L93" s="283">
        <v>4499</v>
      </c>
      <c r="M93" s="282">
        <v>4017</v>
      </c>
      <c r="N93" s="284">
        <v>4307</v>
      </c>
      <c r="O93" s="283">
        <v>4017</v>
      </c>
      <c r="P93" s="282">
        <v>2966</v>
      </c>
      <c r="Q93" s="284">
        <v>3924</v>
      </c>
    </row>
    <row r="94" spans="1:17" ht="15" thickBot="1">
      <c r="A94">
        <v>1412000048</v>
      </c>
      <c r="B94" t="s">
        <v>31</v>
      </c>
      <c r="E94" s="178" t="s">
        <v>44</v>
      </c>
      <c r="F94" s="285">
        <v>3859</v>
      </c>
      <c r="G94" s="285">
        <v>3588</v>
      </c>
      <c r="H94" s="285">
        <v>4115</v>
      </c>
      <c r="I94" s="285">
        <v>4499</v>
      </c>
      <c r="J94" s="285">
        <v>4017</v>
      </c>
      <c r="K94" s="285">
        <v>3732</v>
      </c>
      <c r="L94" s="286">
        <v>4499</v>
      </c>
      <c r="M94" s="285">
        <v>4017</v>
      </c>
      <c r="N94" s="287">
        <v>4307</v>
      </c>
      <c r="O94" s="286">
        <v>4017</v>
      </c>
      <c r="P94" s="285">
        <v>2966</v>
      </c>
      <c r="Q94" s="287">
        <v>3924</v>
      </c>
    </row>
    <row r="95" spans="1:17" ht="15" thickBot="1">
      <c r="A95">
        <v>1412000048</v>
      </c>
      <c r="B95" t="s">
        <v>31</v>
      </c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</row>
    <row r="96" spans="1:17">
      <c r="A96">
        <v>1412000048</v>
      </c>
      <c r="B96" t="s">
        <v>31</v>
      </c>
      <c r="E96" s="220" t="s">
        <v>29</v>
      </c>
      <c r="F96" s="289"/>
      <c r="G96" s="289"/>
      <c r="H96" s="289"/>
      <c r="I96" s="289"/>
      <c r="J96" s="289"/>
      <c r="K96" s="289"/>
      <c r="L96" s="289"/>
      <c r="M96" s="289"/>
      <c r="N96" s="290"/>
      <c r="O96" s="289"/>
      <c r="P96" s="289"/>
      <c r="Q96" s="278"/>
    </row>
    <row r="97" spans="1:17">
      <c r="A97">
        <v>1412000048</v>
      </c>
      <c r="B97" t="s">
        <v>31</v>
      </c>
      <c r="E97" s="176" t="s">
        <v>25</v>
      </c>
      <c r="F97" s="279">
        <v>0</v>
      </c>
      <c r="G97" s="279">
        <v>0</v>
      </c>
      <c r="H97" s="279">
        <v>0</v>
      </c>
      <c r="I97" s="279">
        <v>0</v>
      </c>
      <c r="J97" s="279">
        <v>0</v>
      </c>
      <c r="K97" s="279">
        <v>0</v>
      </c>
      <c r="L97" s="279">
        <v>0</v>
      </c>
      <c r="M97" s="279">
        <v>0</v>
      </c>
      <c r="N97" s="280">
        <v>0</v>
      </c>
      <c r="O97" s="281">
        <v>0</v>
      </c>
      <c r="P97" s="279">
        <v>0</v>
      </c>
      <c r="Q97" s="280">
        <v>0</v>
      </c>
    </row>
    <row r="98" spans="1:17">
      <c r="A98">
        <v>1412000048</v>
      </c>
      <c r="B98" t="s">
        <v>31</v>
      </c>
      <c r="E98" s="312" t="s">
        <v>106</v>
      </c>
      <c r="F98" s="306">
        <v>38</v>
      </c>
      <c r="G98" s="306">
        <v>52</v>
      </c>
      <c r="H98" s="306">
        <v>40</v>
      </c>
      <c r="I98" s="306">
        <v>60</v>
      </c>
      <c r="J98" s="306">
        <v>54</v>
      </c>
      <c r="K98" s="306">
        <v>60</v>
      </c>
      <c r="L98" s="306">
        <v>68</v>
      </c>
      <c r="M98" s="306">
        <v>54</v>
      </c>
      <c r="N98" s="307">
        <v>58</v>
      </c>
      <c r="O98" s="308">
        <v>54</v>
      </c>
      <c r="P98" s="306">
        <v>44</v>
      </c>
      <c r="Q98" s="307">
        <v>54</v>
      </c>
    </row>
    <row r="99" spans="1:17">
      <c r="A99">
        <v>1412000048</v>
      </c>
      <c r="B99" t="s">
        <v>31</v>
      </c>
      <c r="E99" s="314" t="s">
        <v>158</v>
      </c>
      <c r="F99" s="309">
        <v>0</v>
      </c>
      <c r="G99" s="309">
        <v>24</v>
      </c>
      <c r="H99" s="309">
        <v>0</v>
      </c>
      <c r="I99" s="309">
        <v>16</v>
      </c>
      <c r="J99" s="309">
        <v>16</v>
      </c>
      <c r="K99" s="309">
        <v>24</v>
      </c>
      <c r="L99" s="309">
        <v>24</v>
      </c>
      <c r="M99" s="309">
        <v>16</v>
      </c>
      <c r="N99" s="310">
        <v>16</v>
      </c>
      <c r="O99" s="311">
        <v>16</v>
      </c>
      <c r="P99" s="309">
        <v>16</v>
      </c>
      <c r="Q99" s="310">
        <v>16</v>
      </c>
    </row>
    <row r="100" spans="1:17">
      <c r="A100">
        <v>1412000048</v>
      </c>
      <c r="B100" t="s">
        <v>31</v>
      </c>
      <c r="E100" s="177" t="s">
        <v>26</v>
      </c>
      <c r="F100" s="282">
        <v>38</v>
      </c>
      <c r="G100" s="282">
        <v>76</v>
      </c>
      <c r="H100" s="282">
        <v>40</v>
      </c>
      <c r="I100" s="282">
        <v>76</v>
      </c>
      <c r="J100" s="282">
        <v>70</v>
      </c>
      <c r="K100" s="282">
        <v>84</v>
      </c>
      <c r="L100" s="283">
        <v>92</v>
      </c>
      <c r="M100" s="282">
        <v>70</v>
      </c>
      <c r="N100" s="284">
        <v>74</v>
      </c>
      <c r="O100" s="283">
        <v>70</v>
      </c>
      <c r="P100" s="282">
        <v>60</v>
      </c>
      <c r="Q100" s="284">
        <v>70</v>
      </c>
    </row>
    <row r="101" spans="1:17" ht="15" thickBot="1">
      <c r="A101">
        <v>1412000048</v>
      </c>
      <c r="B101" t="s">
        <v>31</v>
      </c>
      <c r="E101" s="178" t="s">
        <v>45</v>
      </c>
      <c r="F101" s="285">
        <v>38</v>
      </c>
      <c r="G101" s="285">
        <v>76</v>
      </c>
      <c r="H101" s="285">
        <v>40</v>
      </c>
      <c r="I101" s="285">
        <v>76</v>
      </c>
      <c r="J101" s="285">
        <v>70</v>
      </c>
      <c r="K101" s="285">
        <v>84</v>
      </c>
      <c r="L101" s="286">
        <v>92</v>
      </c>
      <c r="M101" s="285">
        <v>70</v>
      </c>
      <c r="N101" s="287">
        <v>74</v>
      </c>
      <c r="O101" s="286">
        <v>70</v>
      </c>
      <c r="P101" s="285">
        <v>60</v>
      </c>
      <c r="Q101" s="287">
        <v>70</v>
      </c>
    </row>
    <row r="102" spans="1:17">
      <c r="A102">
        <v>1412000055</v>
      </c>
      <c r="B102" t="s">
        <v>121</v>
      </c>
      <c r="E102" s="220" t="s">
        <v>40</v>
      </c>
      <c r="F102" s="201"/>
      <c r="G102" s="201"/>
      <c r="H102" s="201"/>
      <c r="I102" s="201"/>
      <c r="J102" s="201"/>
      <c r="K102" s="201"/>
      <c r="L102" s="201"/>
      <c r="M102" s="201"/>
      <c r="N102" s="202"/>
      <c r="O102" s="201"/>
      <c r="P102" s="201"/>
      <c r="Q102" s="202"/>
    </row>
    <row r="103" spans="1:17">
      <c r="A103">
        <v>1412000055</v>
      </c>
      <c r="B103" t="s">
        <v>121</v>
      </c>
      <c r="E103" s="176" t="s">
        <v>25</v>
      </c>
      <c r="F103" s="267">
        <v>0</v>
      </c>
      <c r="G103" s="267">
        <v>0</v>
      </c>
      <c r="H103" s="267">
        <v>0</v>
      </c>
      <c r="I103" s="267">
        <v>0</v>
      </c>
      <c r="J103" s="267">
        <v>0</v>
      </c>
      <c r="K103" s="267">
        <v>0</v>
      </c>
      <c r="L103" s="267">
        <v>0</v>
      </c>
      <c r="M103" s="267">
        <v>0</v>
      </c>
      <c r="N103" s="268">
        <v>0</v>
      </c>
      <c r="O103" s="269">
        <v>0</v>
      </c>
      <c r="P103" s="267">
        <v>0</v>
      </c>
      <c r="Q103" s="268">
        <v>0</v>
      </c>
    </row>
    <row r="104" spans="1:17">
      <c r="A104">
        <v>1412000055</v>
      </c>
      <c r="B104" t="s">
        <v>121</v>
      </c>
      <c r="E104" s="312" t="s">
        <v>106</v>
      </c>
      <c r="F104" s="300">
        <v>11</v>
      </c>
      <c r="G104" s="300">
        <v>11</v>
      </c>
      <c r="H104" s="300">
        <v>11</v>
      </c>
      <c r="I104" s="300">
        <v>10</v>
      </c>
      <c r="J104" s="300">
        <v>10</v>
      </c>
      <c r="K104" s="300">
        <v>10</v>
      </c>
      <c r="L104" s="300">
        <v>10</v>
      </c>
      <c r="M104" s="300">
        <v>10</v>
      </c>
      <c r="N104" s="301">
        <v>11</v>
      </c>
      <c r="O104" s="302">
        <v>11</v>
      </c>
      <c r="P104" s="300">
        <v>11</v>
      </c>
      <c r="Q104" s="301">
        <v>11</v>
      </c>
    </row>
    <row r="105" spans="1:17">
      <c r="A105">
        <v>1412000055</v>
      </c>
      <c r="B105" t="s">
        <v>121</v>
      </c>
      <c r="E105" s="314" t="s">
        <v>158</v>
      </c>
      <c r="F105" s="303">
        <v>14</v>
      </c>
      <c r="G105" s="303">
        <v>14</v>
      </c>
      <c r="H105" s="303">
        <v>14</v>
      </c>
      <c r="I105" s="303">
        <v>14</v>
      </c>
      <c r="J105" s="303">
        <v>15</v>
      </c>
      <c r="K105" s="303">
        <v>17</v>
      </c>
      <c r="L105" s="303">
        <v>17</v>
      </c>
      <c r="M105" s="303">
        <v>17</v>
      </c>
      <c r="N105" s="304">
        <v>17</v>
      </c>
      <c r="O105" s="305">
        <v>17</v>
      </c>
      <c r="P105" s="303">
        <v>17</v>
      </c>
      <c r="Q105" s="304">
        <v>19</v>
      </c>
    </row>
    <row r="106" spans="1:17">
      <c r="A106">
        <v>1412000055</v>
      </c>
      <c r="B106" t="s">
        <v>121</v>
      </c>
      <c r="E106" s="177" t="s">
        <v>26</v>
      </c>
      <c r="F106" s="270">
        <v>25</v>
      </c>
      <c r="G106" s="270">
        <v>25</v>
      </c>
      <c r="H106" s="270">
        <v>25</v>
      </c>
      <c r="I106" s="270">
        <v>24</v>
      </c>
      <c r="J106" s="270">
        <v>25</v>
      </c>
      <c r="K106" s="270">
        <v>27</v>
      </c>
      <c r="L106" s="271">
        <v>27</v>
      </c>
      <c r="M106" s="270">
        <v>27</v>
      </c>
      <c r="N106" s="272">
        <v>28</v>
      </c>
      <c r="O106" s="271">
        <v>28</v>
      </c>
      <c r="P106" s="270">
        <v>28</v>
      </c>
      <c r="Q106" s="272">
        <v>30</v>
      </c>
    </row>
    <row r="107" spans="1:17" ht="15" thickBot="1">
      <c r="A107">
        <v>1412000055</v>
      </c>
      <c r="B107" t="s">
        <v>121</v>
      </c>
      <c r="E107" s="178" t="s">
        <v>27</v>
      </c>
      <c r="F107" s="273">
        <v>25</v>
      </c>
      <c r="G107" s="273">
        <v>25</v>
      </c>
      <c r="H107" s="273">
        <v>25</v>
      </c>
      <c r="I107" s="273">
        <v>24</v>
      </c>
      <c r="J107" s="273">
        <v>25</v>
      </c>
      <c r="K107" s="273">
        <v>27</v>
      </c>
      <c r="L107" s="274">
        <v>27</v>
      </c>
      <c r="M107" s="273">
        <v>27</v>
      </c>
      <c r="N107" s="275">
        <v>28</v>
      </c>
      <c r="O107" s="274">
        <v>28</v>
      </c>
      <c r="P107" s="273">
        <v>28</v>
      </c>
      <c r="Q107" s="275">
        <v>30</v>
      </c>
    </row>
    <row r="108" spans="1:17" ht="15" thickBot="1">
      <c r="A108">
        <v>1412000055</v>
      </c>
      <c r="B108" t="s">
        <v>121</v>
      </c>
      <c r="F108" s="276"/>
      <c r="G108" s="276"/>
      <c r="H108" s="276"/>
      <c r="I108" s="276"/>
      <c r="J108" s="276"/>
      <c r="K108" s="276"/>
      <c r="L108" s="276"/>
      <c r="M108" s="276"/>
      <c r="N108" s="276"/>
      <c r="O108" s="276"/>
      <c r="P108" s="276"/>
      <c r="Q108" s="276"/>
    </row>
    <row r="109" spans="1:17">
      <c r="A109">
        <v>1412000055</v>
      </c>
      <c r="B109" t="s">
        <v>121</v>
      </c>
      <c r="E109" s="220" t="s">
        <v>28</v>
      </c>
      <c r="F109" s="277"/>
      <c r="G109" s="277"/>
      <c r="H109" s="277"/>
      <c r="I109" s="277"/>
      <c r="J109" s="277"/>
      <c r="K109" s="277"/>
      <c r="L109" s="277"/>
      <c r="M109" s="277"/>
      <c r="N109" s="278"/>
      <c r="O109" s="277"/>
      <c r="P109" s="277"/>
      <c r="Q109" s="278"/>
    </row>
    <row r="110" spans="1:17">
      <c r="A110">
        <v>1412000055</v>
      </c>
      <c r="B110" t="s">
        <v>121</v>
      </c>
      <c r="E110" s="176" t="s">
        <v>25</v>
      </c>
      <c r="F110" s="279">
        <v>0</v>
      </c>
      <c r="G110" s="279">
        <v>0</v>
      </c>
      <c r="H110" s="279">
        <v>0</v>
      </c>
      <c r="I110" s="279">
        <v>0</v>
      </c>
      <c r="J110" s="279">
        <v>0</v>
      </c>
      <c r="K110" s="279">
        <v>0</v>
      </c>
      <c r="L110" s="279">
        <v>0</v>
      </c>
      <c r="M110" s="279">
        <v>0</v>
      </c>
      <c r="N110" s="280">
        <v>0</v>
      </c>
      <c r="O110" s="281">
        <v>0</v>
      </c>
      <c r="P110" s="279">
        <v>0</v>
      </c>
      <c r="Q110" s="280">
        <v>0</v>
      </c>
    </row>
    <row r="111" spans="1:17">
      <c r="A111">
        <v>1412000055</v>
      </c>
      <c r="B111" t="s">
        <v>121</v>
      </c>
      <c r="E111" s="312" t="s">
        <v>106</v>
      </c>
      <c r="F111" s="306">
        <v>1757</v>
      </c>
      <c r="G111" s="306">
        <v>1617</v>
      </c>
      <c r="H111" s="306">
        <v>1781</v>
      </c>
      <c r="I111" s="306">
        <v>1758</v>
      </c>
      <c r="J111" s="306">
        <v>1594</v>
      </c>
      <c r="K111" s="306">
        <v>1462</v>
      </c>
      <c r="L111" s="306">
        <v>1758</v>
      </c>
      <c r="M111" s="306">
        <v>1594</v>
      </c>
      <c r="N111" s="307">
        <v>1863</v>
      </c>
      <c r="O111" s="308">
        <v>1757</v>
      </c>
      <c r="P111" s="306">
        <v>1289</v>
      </c>
      <c r="Q111" s="307">
        <v>1699</v>
      </c>
    </row>
    <row r="112" spans="1:17">
      <c r="A112">
        <v>1412000055</v>
      </c>
      <c r="B112" t="s">
        <v>121</v>
      </c>
      <c r="E112" s="314" t="s">
        <v>158</v>
      </c>
      <c r="F112" s="309">
        <v>2218</v>
      </c>
      <c r="G112" s="309">
        <v>2016</v>
      </c>
      <c r="H112" s="309">
        <v>2218</v>
      </c>
      <c r="I112" s="309">
        <v>2419</v>
      </c>
      <c r="J112" s="309">
        <v>2376</v>
      </c>
      <c r="K112" s="309">
        <v>2448</v>
      </c>
      <c r="L112" s="309">
        <v>2938</v>
      </c>
      <c r="M112" s="309">
        <v>2693</v>
      </c>
      <c r="N112" s="310">
        <v>2815</v>
      </c>
      <c r="O112" s="311">
        <v>2693</v>
      </c>
      <c r="P112" s="309">
        <v>1958</v>
      </c>
      <c r="Q112" s="310">
        <v>2873</v>
      </c>
    </row>
    <row r="113" spans="1:17">
      <c r="A113">
        <v>1412000055</v>
      </c>
      <c r="B113" t="s">
        <v>121</v>
      </c>
      <c r="E113" s="177" t="s">
        <v>26</v>
      </c>
      <c r="F113" s="282">
        <v>3975</v>
      </c>
      <c r="G113" s="282">
        <v>3633</v>
      </c>
      <c r="H113" s="282">
        <v>3999</v>
      </c>
      <c r="I113" s="282">
        <v>4177</v>
      </c>
      <c r="J113" s="282">
        <v>3970</v>
      </c>
      <c r="K113" s="282">
        <v>3910</v>
      </c>
      <c r="L113" s="283">
        <v>4696</v>
      </c>
      <c r="M113" s="282">
        <v>4287</v>
      </c>
      <c r="N113" s="284">
        <v>4678</v>
      </c>
      <c r="O113" s="283">
        <v>4450</v>
      </c>
      <c r="P113" s="282">
        <v>3247</v>
      </c>
      <c r="Q113" s="284">
        <v>4572</v>
      </c>
    </row>
    <row r="114" spans="1:17" ht="15" thickBot="1">
      <c r="A114">
        <v>1412000055</v>
      </c>
      <c r="B114" t="s">
        <v>121</v>
      </c>
      <c r="E114" s="178" t="s">
        <v>44</v>
      </c>
      <c r="F114" s="285">
        <v>3975</v>
      </c>
      <c r="G114" s="285">
        <v>3633</v>
      </c>
      <c r="H114" s="285">
        <v>3999</v>
      </c>
      <c r="I114" s="285">
        <v>4177</v>
      </c>
      <c r="J114" s="285">
        <v>3970</v>
      </c>
      <c r="K114" s="285">
        <v>3910</v>
      </c>
      <c r="L114" s="286">
        <v>4696</v>
      </c>
      <c r="M114" s="285">
        <v>4287</v>
      </c>
      <c r="N114" s="287">
        <v>4678</v>
      </c>
      <c r="O114" s="286">
        <v>4450</v>
      </c>
      <c r="P114" s="285">
        <v>3247</v>
      </c>
      <c r="Q114" s="287">
        <v>4572</v>
      </c>
    </row>
    <row r="115" spans="1:17" ht="15" thickBot="1">
      <c r="A115">
        <v>1412000055</v>
      </c>
      <c r="B115" t="s">
        <v>121</v>
      </c>
      <c r="F115" s="288"/>
      <c r="G115" s="288"/>
      <c r="H115" s="288"/>
      <c r="I115" s="288"/>
      <c r="J115" s="288"/>
      <c r="K115" s="288"/>
      <c r="L115" s="288"/>
      <c r="M115" s="288"/>
      <c r="N115" s="288"/>
      <c r="O115" s="288"/>
      <c r="P115" s="288"/>
      <c r="Q115" s="288"/>
    </row>
    <row r="116" spans="1:17">
      <c r="A116">
        <v>1412000055</v>
      </c>
      <c r="B116" t="s">
        <v>121</v>
      </c>
      <c r="E116" s="220" t="s">
        <v>29</v>
      </c>
      <c r="F116" s="289"/>
      <c r="G116" s="289"/>
      <c r="H116" s="289"/>
      <c r="I116" s="289"/>
      <c r="J116" s="289"/>
      <c r="K116" s="289"/>
      <c r="L116" s="289"/>
      <c r="M116" s="289"/>
      <c r="N116" s="290"/>
      <c r="O116" s="289"/>
      <c r="P116" s="289"/>
      <c r="Q116" s="278"/>
    </row>
    <row r="117" spans="1:17">
      <c r="A117">
        <v>1412000055</v>
      </c>
      <c r="B117" t="s">
        <v>121</v>
      </c>
      <c r="E117" s="176" t="s">
        <v>25</v>
      </c>
      <c r="F117" s="279">
        <v>0</v>
      </c>
      <c r="G117" s="279">
        <v>0</v>
      </c>
      <c r="H117" s="279">
        <v>0</v>
      </c>
      <c r="I117" s="279">
        <v>0</v>
      </c>
      <c r="J117" s="279">
        <v>0</v>
      </c>
      <c r="K117" s="279">
        <v>0</v>
      </c>
      <c r="L117" s="279">
        <v>0</v>
      </c>
      <c r="M117" s="279">
        <v>0</v>
      </c>
      <c r="N117" s="280">
        <v>0</v>
      </c>
      <c r="O117" s="281">
        <v>0</v>
      </c>
      <c r="P117" s="279">
        <v>0</v>
      </c>
      <c r="Q117" s="280">
        <v>0</v>
      </c>
    </row>
    <row r="118" spans="1:17">
      <c r="A118">
        <v>1412000055</v>
      </c>
      <c r="B118" t="s">
        <v>121</v>
      </c>
      <c r="E118" s="312" t="s">
        <v>106</v>
      </c>
      <c r="F118" s="306">
        <v>38</v>
      </c>
      <c r="G118" s="306">
        <v>60</v>
      </c>
      <c r="H118" s="306">
        <v>40</v>
      </c>
      <c r="I118" s="306">
        <v>68</v>
      </c>
      <c r="J118" s="306">
        <v>62</v>
      </c>
      <c r="K118" s="306">
        <v>60</v>
      </c>
      <c r="L118" s="306">
        <v>68</v>
      </c>
      <c r="M118" s="306">
        <v>62</v>
      </c>
      <c r="N118" s="307">
        <v>66</v>
      </c>
      <c r="O118" s="308">
        <v>62</v>
      </c>
      <c r="P118" s="306">
        <v>52</v>
      </c>
      <c r="Q118" s="307">
        <v>38</v>
      </c>
    </row>
    <row r="119" spans="1:17">
      <c r="A119">
        <v>1412000055</v>
      </c>
      <c r="B119" t="s">
        <v>121</v>
      </c>
      <c r="E119" s="314" t="s">
        <v>158</v>
      </c>
      <c r="F119" s="309">
        <v>0</v>
      </c>
      <c r="G119" s="309">
        <v>24</v>
      </c>
      <c r="H119" s="309">
        <v>24</v>
      </c>
      <c r="I119" s="309">
        <v>176</v>
      </c>
      <c r="J119" s="309">
        <v>24</v>
      </c>
      <c r="K119" s="309">
        <v>48</v>
      </c>
      <c r="L119" s="309">
        <v>48</v>
      </c>
      <c r="M119" s="309">
        <v>24</v>
      </c>
      <c r="N119" s="310">
        <v>24</v>
      </c>
      <c r="O119" s="311">
        <v>176</v>
      </c>
      <c r="P119" s="309">
        <v>152</v>
      </c>
      <c r="Q119" s="310">
        <v>72</v>
      </c>
    </row>
    <row r="120" spans="1:17">
      <c r="A120">
        <v>1412000055</v>
      </c>
      <c r="B120" t="s">
        <v>121</v>
      </c>
      <c r="E120" s="177" t="s">
        <v>26</v>
      </c>
      <c r="F120" s="282">
        <v>38</v>
      </c>
      <c r="G120" s="282">
        <v>84</v>
      </c>
      <c r="H120" s="282">
        <v>64</v>
      </c>
      <c r="I120" s="282">
        <v>244</v>
      </c>
      <c r="J120" s="282">
        <v>86</v>
      </c>
      <c r="K120" s="282">
        <v>108</v>
      </c>
      <c r="L120" s="283">
        <v>116</v>
      </c>
      <c r="M120" s="282">
        <v>86</v>
      </c>
      <c r="N120" s="284">
        <v>90</v>
      </c>
      <c r="O120" s="283">
        <v>238</v>
      </c>
      <c r="P120" s="282">
        <v>204</v>
      </c>
      <c r="Q120" s="284">
        <v>110</v>
      </c>
    </row>
    <row r="121" spans="1:17" ht="15" thickBot="1">
      <c r="A121">
        <v>1412000055</v>
      </c>
      <c r="B121" t="s">
        <v>121</v>
      </c>
      <c r="E121" s="178" t="s">
        <v>45</v>
      </c>
      <c r="F121" s="285">
        <v>38</v>
      </c>
      <c r="G121" s="285">
        <v>84</v>
      </c>
      <c r="H121" s="285">
        <v>64</v>
      </c>
      <c r="I121" s="285">
        <v>244</v>
      </c>
      <c r="J121" s="285">
        <v>86</v>
      </c>
      <c r="K121" s="285">
        <v>108</v>
      </c>
      <c r="L121" s="286">
        <v>116</v>
      </c>
      <c r="M121" s="285">
        <v>86</v>
      </c>
      <c r="N121" s="287">
        <v>90</v>
      </c>
      <c r="O121" s="286">
        <v>238</v>
      </c>
      <c r="P121" s="285">
        <v>204</v>
      </c>
      <c r="Q121" s="287">
        <v>110</v>
      </c>
    </row>
    <row r="122" spans="1:17">
      <c r="A122">
        <v>1412000050</v>
      </c>
      <c r="B122" t="s">
        <v>100</v>
      </c>
      <c r="E122" s="220" t="s">
        <v>40</v>
      </c>
      <c r="F122" s="201"/>
      <c r="G122" s="201"/>
      <c r="H122" s="201"/>
      <c r="I122" s="201"/>
      <c r="J122" s="201"/>
      <c r="K122" s="201"/>
      <c r="L122" s="201"/>
      <c r="M122" s="201"/>
      <c r="N122" s="202"/>
      <c r="O122" s="201"/>
      <c r="P122" s="201"/>
      <c r="Q122" s="202"/>
    </row>
    <row r="123" spans="1:17">
      <c r="A123">
        <v>1412000050</v>
      </c>
      <c r="B123" t="s">
        <v>100</v>
      </c>
      <c r="E123" s="176" t="s">
        <v>25</v>
      </c>
      <c r="F123" s="267">
        <v>0</v>
      </c>
      <c r="G123" s="267">
        <v>0</v>
      </c>
      <c r="H123" s="267">
        <v>0</v>
      </c>
      <c r="I123" s="267">
        <v>0</v>
      </c>
      <c r="J123" s="267">
        <v>0</v>
      </c>
      <c r="K123" s="267">
        <v>0</v>
      </c>
      <c r="L123" s="267">
        <v>0</v>
      </c>
      <c r="M123" s="267">
        <v>0</v>
      </c>
      <c r="N123" s="268">
        <v>0</v>
      </c>
      <c r="O123" s="269">
        <v>0</v>
      </c>
      <c r="P123" s="267">
        <v>0</v>
      </c>
      <c r="Q123" s="268">
        <v>0</v>
      </c>
    </row>
    <row r="124" spans="1:17">
      <c r="A124">
        <v>1412000050</v>
      </c>
      <c r="B124" t="s">
        <v>100</v>
      </c>
      <c r="E124" s="312" t="s">
        <v>106</v>
      </c>
      <c r="F124" s="300">
        <v>8</v>
      </c>
      <c r="G124" s="300">
        <v>8</v>
      </c>
      <c r="H124" s="300">
        <v>8</v>
      </c>
      <c r="I124" s="300">
        <v>8</v>
      </c>
      <c r="J124" s="300">
        <v>8</v>
      </c>
      <c r="K124" s="300">
        <v>9</v>
      </c>
      <c r="L124" s="300">
        <v>9</v>
      </c>
      <c r="M124" s="300">
        <v>9</v>
      </c>
      <c r="N124" s="301">
        <v>9</v>
      </c>
      <c r="O124" s="302">
        <v>9</v>
      </c>
      <c r="P124" s="300">
        <v>9</v>
      </c>
      <c r="Q124" s="301">
        <v>9</v>
      </c>
    </row>
    <row r="125" spans="1:17">
      <c r="A125">
        <v>1412000050</v>
      </c>
      <c r="B125" t="s">
        <v>100</v>
      </c>
      <c r="E125" s="314" t="s">
        <v>158</v>
      </c>
      <c r="F125" s="303">
        <v>0</v>
      </c>
      <c r="G125" s="303">
        <v>0</v>
      </c>
      <c r="H125" s="303">
        <v>0</v>
      </c>
      <c r="I125" s="303">
        <v>0</v>
      </c>
      <c r="J125" s="303">
        <v>0</v>
      </c>
      <c r="K125" s="303">
        <v>0</v>
      </c>
      <c r="L125" s="303">
        <v>0</v>
      </c>
      <c r="M125" s="303">
        <v>0</v>
      </c>
      <c r="N125" s="304">
        <v>0</v>
      </c>
      <c r="O125" s="305">
        <v>0</v>
      </c>
      <c r="P125" s="303">
        <v>0</v>
      </c>
      <c r="Q125" s="304">
        <v>0</v>
      </c>
    </row>
    <row r="126" spans="1:17">
      <c r="A126">
        <v>1412000050</v>
      </c>
      <c r="B126" t="s">
        <v>100</v>
      </c>
      <c r="E126" s="177" t="s">
        <v>26</v>
      </c>
      <c r="F126" s="270">
        <v>8</v>
      </c>
      <c r="G126" s="270">
        <v>8</v>
      </c>
      <c r="H126" s="270">
        <v>8</v>
      </c>
      <c r="I126" s="270">
        <v>8</v>
      </c>
      <c r="J126" s="270">
        <v>8</v>
      </c>
      <c r="K126" s="270">
        <v>9</v>
      </c>
      <c r="L126" s="271">
        <v>9</v>
      </c>
      <c r="M126" s="270">
        <v>9</v>
      </c>
      <c r="N126" s="272">
        <v>9</v>
      </c>
      <c r="O126" s="271">
        <v>9</v>
      </c>
      <c r="P126" s="270">
        <v>9</v>
      </c>
      <c r="Q126" s="272">
        <v>9</v>
      </c>
    </row>
    <row r="127" spans="1:17" ht="15" thickBot="1">
      <c r="A127">
        <v>1412000050</v>
      </c>
      <c r="B127" t="s">
        <v>100</v>
      </c>
      <c r="E127" s="178" t="s">
        <v>27</v>
      </c>
      <c r="F127" s="273">
        <v>8</v>
      </c>
      <c r="G127" s="273">
        <v>8</v>
      </c>
      <c r="H127" s="273">
        <v>8</v>
      </c>
      <c r="I127" s="273">
        <v>8</v>
      </c>
      <c r="J127" s="273">
        <v>8</v>
      </c>
      <c r="K127" s="273">
        <v>9</v>
      </c>
      <c r="L127" s="274">
        <v>9</v>
      </c>
      <c r="M127" s="273">
        <v>9</v>
      </c>
      <c r="N127" s="275">
        <v>9</v>
      </c>
      <c r="O127" s="274">
        <v>9</v>
      </c>
      <c r="P127" s="273">
        <v>9</v>
      </c>
      <c r="Q127" s="275">
        <v>9</v>
      </c>
    </row>
    <row r="128" spans="1:17" ht="15" thickBot="1">
      <c r="A128">
        <v>1412000050</v>
      </c>
      <c r="B128" t="s">
        <v>100</v>
      </c>
      <c r="F128" s="276"/>
      <c r="G128" s="276"/>
      <c r="H128" s="276"/>
      <c r="I128" s="276"/>
      <c r="J128" s="276"/>
      <c r="K128" s="276"/>
      <c r="L128" s="276"/>
      <c r="M128" s="276"/>
      <c r="N128" s="276"/>
      <c r="O128" s="276"/>
      <c r="P128" s="276"/>
      <c r="Q128" s="276"/>
    </row>
    <row r="129" spans="1:17">
      <c r="A129">
        <v>1412000050</v>
      </c>
      <c r="B129" t="s">
        <v>100</v>
      </c>
      <c r="E129" s="220" t="s">
        <v>28</v>
      </c>
      <c r="F129" s="277"/>
      <c r="G129" s="277"/>
      <c r="H129" s="277"/>
      <c r="I129" s="277"/>
      <c r="J129" s="277"/>
      <c r="K129" s="277"/>
      <c r="L129" s="277"/>
      <c r="M129" s="277"/>
      <c r="N129" s="278"/>
      <c r="O129" s="277"/>
      <c r="P129" s="277"/>
      <c r="Q129" s="278"/>
    </row>
    <row r="130" spans="1:17">
      <c r="A130">
        <v>1412000050</v>
      </c>
      <c r="B130" t="s">
        <v>100</v>
      </c>
      <c r="E130" s="176" t="s">
        <v>25</v>
      </c>
      <c r="F130" s="279">
        <v>0</v>
      </c>
      <c r="G130" s="279">
        <v>0</v>
      </c>
      <c r="H130" s="279">
        <v>0</v>
      </c>
      <c r="I130" s="279">
        <v>0</v>
      </c>
      <c r="J130" s="279">
        <v>0</v>
      </c>
      <c r="K130" s="279">
        <v>0</v>
      </c>
      <c r="L130" s="279">
        <v>0</v>
      </c>
      <c r="M130" s="279">
        <v>0</v>
      </c>
      <c r="N130" s="280">
        <v>0</v>
      </c>
      <c r="O130" s="281">
        <v>0</v>
      </c>
      <c r="P130" s="279">
        <v>0</v>
      </c>
      <c r="Q130" s="280">
        <v>0</v>
      </c>
    </row>
    <row r="131" spans="1:17">
      <c r="A131">
        <v>1412000050</v>
      </c>
      <c r="B131" t="s">
        <v>100</v>
      </c>
      <c r="E131" s="312" t="s">
        <v>106</v>
      </c>
      <c r="F131" s="306">
        <v>1292</v>
      </c>
      <c r="G131" s="306">
        <v>1224</v>
      </c>
      <c r="H131" s="306">
        <v>1360</v>
      </c>
      <c r="I131" s="306">
        <v>1496</v>
      </c>
      <c r="J131" s="306">
        <v>1292</v>
      </c>
      <c r="K131" s="306">
        <v>1377</v>
      </c>
      <c r="L131" s="306">
        <v>1683</v>
      </c>
      <c r="M131" s="306">
        <v>1453.5</v>
      </c>
      <c r="N131" s="307">
        <v>1606.5</v>
      </c>
      <c r="O131" s="308">
        <v>1453.5</v>
      </c>
      <c r="P131" s="306">
        <v>1071</v>
      </c>
      <c r="Q131" s="307">
        <v>1453.5</v>
      </c>
    </row>
    <row r="132" spans="1:17">
      <c r="A132">
        <v>1412000050</v>
      </c>
      <c r="B132" t="s">
        <v>100</v>
      </c>
      <c r="E132" s="314" t="s">
        <v>158</v>
      </c>
      <c r="F132" s="309">
        <v>0</v>
      </c>
      <c r="G132" s="309">
        <v>0</v>
      </c>
      <c r="H132" s="309">
        <v>0</v>
      </c>
      <c r="I132" s="309">
        <v>0</v>
      </c>
      <c r="J132" s="309">
        <v>0</v>
      </c>
      <c r="K132" s="309">
        <v>0</v>
      </c>
      <c r="L132" s="309">
        <v>0</v>
      </c>
      <c r="M132" s="309">
        <v>0</v>
      </c>
      <c r="N132" s="310">
        <v>0</v>
      </c>
      <c r="O132" s="311">
        <v>0</v>
      </c>
      <c r="P132" s="309">
        <v>0</v>
      </c>
      <c r="Q132" s="310">
        <v>0</v>
      </c>
    </row>
    <row r="133" spans="1:17">
      <c r="A133">
        <v>1412000050</v>
      </c>
      <c r="B133" t="s">
        <v>100</v>
      </c>
      <c r="E133" s="177" t="s">
        <v>26</v>
      </c>
      <c r="F133" s="282">
        <v>1292</v>
      </c>
      <c r="G133" s="282">
        <v>1224</v>
      </c>
      <c r="H133" s="282">
        <v>1360</v>
      </c>
      <c r="I133" s="282">
        <v>1496</v>
      </c>
      <c r="J133" s="282">
        <v>1292</v>
      </c>
      <c r="K133" s="282">
        <v>1377</v>
      </c>
      <c r="L133" s="283">
        <v>1683</v>
      </c>
      <c r="M133" s="282">
        <v>1453.5</v>
      </c>
      <c r="N133" s="284">
        <v>1606.5</v>
      </c>
      <c r="O133" s="283">
        <v>1453.5</v>
      </c>
      <c r="P133" s="282">
        <v>1071</v>
      </c>
      <c r="Q133" s="284">
        <v>1453.5</v>
      </c>
    </row>
    <row r="134" spans="1:17" ht="15" thickBot="1">
      <c r="A134">
        <v>1412000050</v>
      </c>
      <c r="B134" t="s">
        <v>100</v>
      </c>
      <c r="E134" s="178" t="s">
        <v>44</v>
      </c>
      <c r="F134" s="285">
        <v>1292</v>
      </c>
      <c r="G134" s="285">
        <v>1224</v>
      </c>
      <c r="H134" s="285">
        <v>1360</v>
      </c>
      <c r="I134" s="285">
        <v>1496</v>
      </c>
      <c r="J134" s="285">
        <v>1292</v>
      </c>
      <c r="K134" s="285">
        <v>1377</v>
      </c>
      <c r="L134" s="286">
        <v>1683</v>
      </c>
      <c r="M134" s="285">
        <v>1453.5</v>
      </c>
      <c r="N134" s="287">
        <v>1606.5</v>
      </c>
      <c r="O134" s="286">
        <v>1453.5</v>
      </c>
      <c r="P134" s="285">
        <v>1071</v>
      </c>
      <c r="Q134" s="287">
        <v>1453.5</v>
      </c>
    </row>
    <row r="135" spans="1:17" ht="15" thickBot="1">
      <c r="A135">
        <v>1412000050</v>
      </c>
      <c r="B135" t="s">
        <v>100</v>
      </c>
      <c r="F135" s="288"/>
      <c r="G135" s="288"/>
      <c r="H135" s="288"/>
      <c r="I135" s="288"/>
      <c r="J135" s="288"/>
      <c r="K135" s="288"/>
      <c r="L135" s="288"/>
      <c r="M135" s="288"/>
      <c r="N135" s="288"/>
      <c r="O135" s="288"/>
      <c r="P135" s="288"/>
      <c r="Q135" s="288"/>
    </row>
    <row r="136" spans="1:17">
      <c r="A136">
        <v>1412000050</v>
      </c>
      <c r="B136" t="s">
        <v>100</v>
      </c>
      <c r="E136" s="220" t="s">
        <v>29</v>
      </c>
      <c r="F136" s="289"/>
      <c r="G136" s="289"/>
      <c r="H136" s="289"/>
      <c r="I136" s="289"/>
      <c r="J136" s="289"/>
      <c r="K136" s="289"/>
      <c r="L136" s="289"/>
      <c r="M136" s="289"/>
      <c r="N136" s="290"/>
      <c r="O136" s="289"/>
      <c r="P136" s="289"/>
      <c r="Q136" s="278"/>
    </row>
    <row r="137" spans="1:17">
      <c r="A137">
        <v>1412000050</v>
      </c>
      <c r="B137" t="s">
        <v>100</v>
      </c>
      <c r="E137" s="176" t="s">
        <v>25</v>
      </c>
      <c r="F137" s="279">
        <v>0</v>
      </c>
      <c r="G137" s="279">
        <v>0</v>
      </c>
      <c r="H137" s="279">
        <v>0</v>
      </c>
      <c r="I137" s="279">
        <v>0</v>
      </c>
      <c r="J137" s="279">
        <v>0</v>
      </c>
      <c r="K137" s="279">
        <v>0</v>
      </c>
      <c r="L137" s="279">
        <v>0</v>
      </c>
      <c r="M137" s="279">
        <v>0</v>
      </c>
      <c r="N137" s="280">
        <v>0</v>
      </c>
      <c r="O137" s="281">
        <v>0</v>
      </c>
      <c r="P137" s="279">
        <v>0</v>
      </c>
      <c r="Q137" s="280">
        <v>0</v>
      </c>
    </row>
    <row r="138" spans="1:17">
      <c r="A138">
        <v>1412000050</v>
      </c>
      <c r="B138" t="s">
        <v>100</v>
      </c>
      <c r="E138" s="312" t="s">
        <v>106</v>
      </c>
      <c r="F138" s="306">
        <v>170</v>
      </c>
      <c r="G138" s="306">
        <v>166</v>
      </c>
      <c r="H138" s="306">
        <v>174</v>
      </c>
      <c r="I138" s="306">
        <v>182</v>
      </c>
      <c r="J138" s="306">
        <v>170</v>
      </c>
      <c r="K138" s="306">
        <v>166</v>
      </c>
      <c r="L138" s="306">
        <v>182</v>
      </c>
      <c r="M138" s="306">
        <v>170</v>
      </c>
      <c r="N138" s="307">
        <v>178</v>
      </c>
      <c r="O138" s="308">
        <v>170</v>
      </c>
      <c r="P138" s="306">
        <v>150</v>
      </c>
      <c r="Q138" s="307">
        <v>170</v>
      </c>
    </row>
    <row r="139" spans="1:17">
      <c r="A139">
        <v>1412000050</v>
      </c>
      <c r="B139" t="s">
        <v>100</v>
      </c>
      <c r="E139" s="314" t="s">
        <v>158</v>
      </c>
      <c r="F139" s="309">
        <v>0</v>
      </c>
      <c r="G139" s="309">
        <v>0</v>
      </c>
      <c r="H139" s="309">
        <v>0</v>
      </c>
      <c r="I139" s="309">
        <v>0</v>
      </c>
      <c r="J139" s="309">
        <v>0</v>
      </c>
      <c r="K139" s="309">
        <v>0</v>
      </c>
      <c r="L139" s="309">
        <v>0</v>
      </c>
      <c r="M139" s="309">
        <v>0</v>
      </c>
      <c r="N139" s="310">
        <v>0</v>
      </c>
      <c r="O139" s="311">
        <v>0</v>
      </c>
      <c r="P139" s="309">
        <v>0</v>
      </c>
      <c r="Q139" s="310">
        <v>0</v>
      </c>
    </row>
    <row r="140" spans="1:17">
      <c r="A140">
        <v>1412000050</v>
      </c>
      <c r="B140" t="s">
        <v>100</v>
      </c>
      <c r="E140" s="177" t="s">
        <v>26</v>
      </c>
      <c r="F140" s="282">
        <v>170</v>
      </c>
      <c r="G140" s="282">
        <v>166</v>
      </c>
      <c r="H140" s="282">
        <v>174</v>
      </c>
      <c r="I140" s="282">
        <v>182</v>
      </c>
      <c r="J140" s="282">
        <v>170</v>
      </c>
      <c r="K140" s="282">
        <v>166</v>
      </c>
      <c r="L140" s="283">
        <v>182</v>
      </c>
      <c r="M140" s="282">
        <v>170</v>
      </c>
      <c r="N140" s="284">
        <v>178</v>
      </c>
      <c r="O140" s="283">
        <v>170</v>
      </c>
      <c r="P140" s="282">
        <v>150</v>
      </c>
      <c r="Q140" s="284">
        <v>170</v>
      </c>
    </row>
    <row r="141" spans="1:17" ht="15" thickBot="1">
      <c r="A141">
        <v>1412000050</v>
      </c>
      <c r="B141" t="s">
        <v>100</v>
      </c>
      <c r="E141" s="178" t="s">
        <v>45</v>
      </c>
      <c r="F141" s="285">
        <v>170</v>
      </c>
      <c r="G141" s="285">
        <v>166</v>
      </c>
      <c r="H141" s="285">
        <v>174</v>
      </c>
      <c r="I141" s="285">
        <v>182</v>
      </c>
      <c r="J141" s="285">
        <v>170</v>
      </c>
      <c r="K141" s="285">
        <v>166</v>
      </c>
      <c r="L141" s="286">
        <v>182</v>
      </c>
      <c r="M141" s="285">
        <v>170</v>
      </c>
      <c r="N141" s="287">
        <v>178</v>
      </c>
      <c r="O141" s="286">
        <v>170</v>
      </c>
      <c r="P141" s="285">
        <v>150</v>
      </c>
      <c r="Q141" s="287">
        <v>170</v>
      </c>
    </row>
    <row r="142" spans="1:17">
      <c r="A142">
        <v>1412000077</v>
      </c>
      <c r="B142" t="s">
        <v>101</v>
      </c>
      <c r="E142" s="220" t="s">
        <v>40</v>
      </c>
      <c r="F142" s="201"/>
      <c r="G142" s="201"/>
      <c r="H142" s="201"/>
      <c r="I142" s="201"/>
      <c r="J142" s="201"/>
      <c r="K142" s="201"/>
      <c r="L142" s="201"/>
      <c r="M142" s="201"/>
      <c r="N142" s="202"/>
      <c r="O142" s="201"/>
      <c r="P142" s="201"/>
      <c r="Q142" s="202"/>
    </row>
    <row r="143" spans="1:17">
      <c r="A143">
        <v>1412000077</v>
      </c>
      <c r="B143" t="s">
        <v>101</v>
      </c>
      <c r="E143" s="176" t="s">
        <v>25</v>
      </c>
      <c r="F143" s="267">
        <v>9</v>
      </c>
      <c r="G143" s="267">
        <v>9</v>
      </c>
      <c r="H143" s="267">
        <v>9</v>
      </c>
      <c r="I143" s="267">
        <v>9</v>
      </c>
      <c r="J143" s="267">
        <v>9</v>
      </c>
      <c r="K143" s="267">
        <v>9</v>
      </c>
      <c r="L143" s="267">
        <v>11</v>
      </c>
      <c r="M143" s="267">
        <v>11</v>
      </c>
      <c r="N143" s="268">
        <v>11</v>
      </c>
      <c r="O143" s="269">
        <v>11</v>
      </c>
      <c r="P143" s="267">
        <v>11</v>
      </c>
      <c r="Q143" s="268">
        <v>11</v>
      </c>
    </row>
    <row r="144" spans="1:17">
      <c r="A144">
        <v>1412000077</v>
      </c>
      <c r="B144" t="s">
        <v>101</v>
      </c>
      <c r="E144" s="312" t="s">
        <v>106</v>
      </c>
      <c r="F144" s="300">
        <v>9</v>
      </c>
      <c r="G144" s="300">
        <v>9</v>
      </c>
      <c r="H144" s="300">
        <v>9</v>
      </c>
      <c r="I144" s="300">
        <v>9</v>
      </c>
      <c r="J144" s="300">
        <v>9</v>
      </c>
      <c r="K144" s="300">
        <v>9</v>
      </c>
      <c r="L144" s="300">
        <v>9</v>
      </c>
      <c r="M144" s="300">
        <v>9</v>
      </c>
      <c r="N144" s="301">
        <v>9</v>
      </c>
      <c r="O144" s="302">
        <v>9</v>
      </c>
      <c r="P144" s="300">
        <v>9</v>
      </c>
      <c r="Q144" s="301">
        <v>9</v>
      </c>
    </row>
    <row r="145" spans="1:17">
      <c r="A145">
        <v>1412000077</v>
      </c>
      <c r="B145" t="s">
        <v>101</v>
      </c>
      <c r="E145" s="314" t="s">
        <v>158</v>
      </c>
      <c r="F145" s="303"/>
      <c r="G145" s="303"/>
      <c r="H145" s="303"/>
      <c r="I145" s="303"/>
      <c r="J145" s="303"/>
      <c r="K145" s="303"/>
      <c r="L145" s="303"/>
      <c r="M145" s="303"/>
      <c r="N145" s="304"/>
      <c r="O145" s="305"/>
      <c r="P145" s="303"/>
      <c r="Q145" s="304"/>
    </row>
    <row r="146" spans="1:17">
      <c r="A146">
        <v>1412000077</v>
      </c>
      <c r="B146" t="s">
        <v>101</v>
      </c>
      <c r="E146" s="177" t="s">
        <v>26</v>
      </c>
      <c r="F146" s="270">
        <v>9</v>
      </c>
      <c r="G146" s="270">
        <v>9</v>
      </c>
      <c r="H146" s="270">
        <v>9</v>
      </c>
      <c r="I146" s="270">
        <v>9</v>
      </c>
      <c r="J146" s="270">
        <v>9</v>
      </c>
      <c r="K146" s="270">
        <v>9</v>
      </c>
      <c r="L146" s="271">
        <v>9</v>
      </c>
      <c r="M146" s="270">
        <v>9</v>
      </c>
      <c r="N146" s="272">
        <v>9</v>
      </c>
      <c r="O146" s="271">
        <v>9</v>
      </c>
      <c r="P146" s="270">
        <v>9</v>
      </c>
      <c r="Q146" s="272">
        <v>9</v>
      </c>
    </row>
    <row r="147" spans="1:17" ht="15" thickBot="1">
      <c r="A147">
        <v>1412000077</v>
      </c>
      <c r="B147" t="s">
        <v>101</v>
      </c>
      <c r="E147" s="178" t="s">
        <v>27</v>
      </c>
      <c r="F147" s="273">
        <v>18</v>
      </c>
      <c r="G147" s="273">
        <v>18</v>
      </c>
      <c r="H147" s="273">
        <v>18</v>
      </c>
      <c r="I147" s="273">
        <v>18</v>
      </c>
      <c r="J147" s="273">
        <v>18</v>
      </c>
      <c r="K147" s="273">
        <v>18</v>
      </c>
      <c r="L147" s="274">
        <v>20</v>
      </c>
      <c r="M147" s="273">
        <v>20</v>
      </c>
      <c r="N147" s="275">
        <v>20</v>
      </c>
      <c r="O147" s="274">
        <v>20</v>
      </c>
      <c r="P147" s="273">
        <v>20</v>
      </c>
      <c r="Q147" s="275">
        <v>20</v>
      </c>
    </row>
    <row r="148" spans="1:17" ht="15" thickBot="1">
      <c r="A148">
        <v>1412000077</v>
      </c>
      <c r="B148" t="s">
        <v>101</v>
      </c>
      <c r="F148" s="276"/>
      <c r="G148" s="276"/>
      <c r="H148" s="276"/>
      <c r="I148" s="276"/>
      <c r="J148" s="276"/>
      <c r="K148" s="276"/>
      <c r="L148" s="276"/>
      <c r="M148" s="276"/>
      <c r="N148" s="276"/>
      <c r="O148" s="276"/>
      <c r="P148" s="276"/>
      <c r="Q148" s="276"/>
    </row>
    <row r="149" spans="1:17">
      <c r="A149">
        <v>1412000077</v>
      </c>
      <c r="B149" t="s">
        <v>101</v>
      </c>
      <c r="E149" s="220" t="s">
        <v>28</v>
      </c>
      <c r="F149" s="277"/>
      <c r="G149" s="277"/>
      <c r="H149" s="277"/>
      <c r="I149" s="277"/>
      <c r="J149" s="277"/>
      <c r="K149" s="277"/>
      <c r="L149" s="277"/>
      <c r="M149" s="277"/>
      <c r="N149" s="278"/>
      <c r="O149" s="277"/>
      <c r="P149" s="277"/>
      <c r="Q149" s="278"/>
    </row>
    <row r="150" spans="1:17">
      <c r="A150">
        <v>1412000077</v>
      </c>
      <c r="B150" t="s">
        <v>101</v>
      </c>
      <c r="E150" s="176" t="s">
        <v>25</v>
      </c>
      <c r="F150" s="279">
        <v>1521.5</v>
      </c>
      <c r="G150" s="279">
        <v>1445</v>
      </c>
      <c r="H150" s="279">
        <v>1598</v>
      </c>
      <c r="I150" s="279">
        <v>1751</v>
      </c>
      <c r="J150" s="279">
        <v>1521.5</v>
      </c>
      <c r="K150" s="279">
        <v>1445</v>
      </c>
      <c r="L150" s="279">
        <v>2142</v>
      </c>
      <c r="M150" s="279">
        <v>1861.5</v>
      </c>
      <c r="N150" s="280">
        <v>2048.5</v>
      </c>
      <c r="O150" s="281">
        <v>1861.5</v>
      </c>
      <c r="P150" s="279">
        <v>1351.5</v>
      </c>
      <c r="Q150" s="280">
        <v>1861.5</v>
      </c>
    </row>
    <row r="151" spans="1:17">
      <c r="A151">
        <v>1412000077</v>
      </c>
      <c r="B151" t="s">
        <v>101</v>
      </c>
      <c r="E151" s="312" t="s">
        <v>106</v>
      </c>
      <c r="F151" s="306">
        <v>1470.5</v>
      </c>
      <c r="G151" s="306">
        <v>1394</v>
      </c>
      <c r="H151" s="306">
        <v>1547</v>
      </c>
      <c r="I151" s="306">
        <v>1700</v>
      </c>
      <c r="J151" s="306">
        <v>1470.5</v>
      </c>
      <c r="K151" s="306">
        <v>1394</v>
      </c>
      <c r="L151" s="306">
        <v>1700</v>
      </c>
      <c r="M151" s="306">
        <v>1470.5</v>
      </c>
      <c r="N151" s="307">
        <v>1623.5</v>
      </c>
      <c r="O151" s="308">
        <v>1470.5</v>
      </c>
      <c r="P151" s="306">
        <v>1088</v>
      </c>
      <c r="Q151" s="307">
        <v>1470.5</v>
      </c>
    </row>
    <row r="152" spans="1:17">
      <c r="A152">
        <v>1412000077</v>
      </c>
      <c r="B152" t="s">
        <v>101</v>
      </c>
      <c r="E152" s="314" t="s">
        <v>158</v>
      </c>
      <c r="F152" s="309"/>
      <c r="G152" s="309"/>
      <c r="H152" s="309"/>
      <c r="I152" s="309"/>
      <c r="J152" s="309"/>
      <c r="K152" s="309"/>
      <c r="L152" s="309"/>
      <c r="M152" s="309"/>
      <c r="N152" s="310"/>
      <c r="O152" s="311"/>
      <c r="P152" s="309"/>
      <c r="Q152" s="310"/>
    </row>
    <row r="153" spans="1:17">
      <c r="A153">
        <v>1412000077</v>
      </c>
      <c r="B153" t="s">
        <v>101</v>
      </c>
      <c r="E153" s="177" t="s">
        <v>26</v>
      </c>
      <c r="F153" s="282">
        <v>1470.5</v>
      </c>
      <c r="G153" s="282">
        <v>1394</v>
      </c>
      <c r="H153" s="282">
        <v>1547</v>
      </c>
      <c r="I153" s="282">
        <v>1700</v>
      </c>
      <c r="J153" s="282">
        <v>1470.5</v>
      </c>
      <c r="K153" s="282">
        <v>1394</v>
      </c>
      <c r="L153" s="283">
        <v>1700</v>
      </c>
      <c r="M153" s="282">
        <v>1470.5</v>
      </c>
      <c r="N153" s="284">
        <v>1623.5</v>
      </c>
      <c r="O153" s="283">
        <v>1470.5</v>
      </c>
      <c r="P153" s="282">
        <v>1088</v>
      </c>
      <c r="Q153" s="284">
        <v>1470.5</v>
      </c>
    </row>
    <row r="154" spans="1:17" ht="15" thickBot="1">
      <c r="A154">
        <v>1412000077</v>
      </c>
      <c r="B154" t="s">
        <v>101</v>
      </c>
      <c r="E154" s="178" t="s">
        <v>44</v>
      </c>
      <c r="F154" s="285">
        <v>2992</v>
      </c>
      <c r="G154" s="285">
        <v>2839</v>
      </c>
      <c r="H154" s="285">
        <v>3145</v>
      </c>
      <c r="I154" s="285">
        <v>3451</v>
      </c>
      <c r="J154" s="285">
        <v>2992</v>
      </c>
      <c r="K154" s="285">
        <v>2839</v>
      </c>
      <c r="L154" s="286">
        <v>3842</v>
      </c>
      <c r="M154" s="285">
        <v>3332</v>
      </c>
      <c r="N154" s="287">
        <v>3672</v>
      </c>
      <c r="O154" s="286">
        <v>3332</v>
      </c>
      <c r="P154" s="285">
        <v>2439.5</v>
      </c>
      <c r="Q154" s="287">
        <v>3332</v>
      </c>
    </row>
    <row r="155" spans="1:17" ht="15" thickBot="1">
      <c r="A155">
        <v>1412000077</v>
      </c>
      <c r="B155" t="s">
        <v>101</v>
      </c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</row>
    <row r="156" spans="1:17">
      <c r="A156">
        <v>1412000077</v>
      </c>
      <c r="B156" t="s">
        <v>101</v>
      </c>
      <c r="E156" s="220" t="s">
        <v>29</v>
      </c>
      <c r="F156" s="289"/>
      <c r="G156" s="289"/>
      <c r="H156" s="289"/>
      <c r="I156" s="289"/>
      <c r="J156" s="289"/>
      <c r="K156" s="289"/>
      <c r="L156" s="289"/>
      <c r="M156" s="289"/>
      <c r="N156" s="290"/>
      <c r="O156" s="289"/>
      <c r="P156" s="289"/>
      <c r="Q156" s="278"/>
    </row>
    <row r="157" spans="1:17">
      <c r="A157">
        <v>1412000077</v>
      </c>
      <c r="B157" t="s">
        <v>101</v>
      </c>
      <c r="E157" s="176" t="s">
        <v>25</v>
      </c>
      <c r="F157" s="279">
        <v>358</v>
      </c>
      <c r="G157" s="279">
        <v>340</v>
      </c>
      <c r="H157" s="279">
        <v>376</v>
      </c>
      <c r="I157" s="279">
        <v>412</v>
      </c>
      <c r="J157" s="279">
        <v>358</v>
      </c>
      <c r="K157" s="279">
        <v>340</v>
      </c>
      <c r="L157" s="279">
        <v>504</v>
      </c>
      <c r="M157" s="279">
        <v>438</v>
      </c>
      <c r="N157" s="280">
        <v>482</v>
      </c>
      <c r="O157" s="281">
        <v>438</v>
      </c>
      <c r="P157" s="279">
        <v>318</v>
      </c>
      <c r="Q157" s="280">
        <v>438</v>
      </c>
    </row>
    <row r="158" spans="1:17">
      <c r="A158">
        <v>1412000077</v>
      </c>
      <c r="B158" t="s">
        <v>101</v>
      </c>
      <c r="E158" s="312" t="s">
        <v>106</v>
      </c>
      <c r="F158" s="306">
        <v>144</v>
      </c>
      <c r="G158" s="306">
        <v>142</v>
      </c>
      <c r="H158" s="306">
        <v>146</v>
      </c>
      <c r="I158" s="306">
        <v>150</v>
      </c>
      <c r="J158" s="306">
        <v>144</v>
      </c>
      <c r="K158" s="306">
        <v>142</v>
      </c>
      <c r="L158" s="306">
        <v>150</v>
      </c>
      <c r="M158" s="306">
        <v>144</v>
      </c>
      <c r="N158" s="307">
        <v>148</v>
      </c>
      <c r="O158" s="308">
        <v>144</v>
      </c>
      <c r="P158" s="306">
        <v>134</v>
      </c>
      <c r="Q158" s="307">
        <v>144</v>
      </c>
    </row>
    <row r="159" spans="1:17">
      <c r="A159">
        <v>1412000077</v>
      </c>
      <c r="B159" t="s">
        <v>101</v>
      </c>
      <c r="E159" s="314" t="s">
        <v>158</v>
      </c>
      <c r="F159" s="309"/>
      <c r="G159" s="309"/>
      <c r="H159" s="309"/>
      <c r="I159" s="309"/>
      <c r="J159" s="309"/>
      <c r="K159" s="309"/>
      <c r="L159" s="309"/>
      <c r="M159" s="309"/>
      <c r="N159" s="310"/>
      <c r="O159" s="311"/>
      <c r="P159" s="309"/>
      <c r="Q159" s="310"/>
    </row>
    <row r="160" spans="1:17">
      <c r="A160">
        <v>1412000077</v>
      </c>
      <c r="B160" t="s">
        <v>101</v>
      </c>
      <c r="E160" s="177" t="s">
        <v>26</v>
      </c>
      <c r="F160" s="282">
        <v>144</v>
      </c>
      <c r="G160" s="282">
        <v>142</v>
      </c>
      <c r="H160" s="282">
        <v>146</v>
      </c>
      <c r="I160" s="282">
        <v>150</v>
      </c>
      <c r="J160" s="282">
        <v>144</v>
      </c>
      <c r="K160" s="282">
        <v>142</v>
      </c>
      <c r="L160" s="283">
        <v>150</v>
      </c>
      <c r="M160" s="282">
        <v>144</v>
      </c>
      <c r="N160" s="284">
        <v>148</v>
      </c>
      <c r="O160" s="283">
        <v>144</v>
      </c>
      <c r="P160" s="282">
        <v>134</v>
      </c>
      <c r="Q160" s="284">
        <v>144</v>
      </c>
    </row>
    <row r="161" spans="1:17" ht="15" thickBot="1">
      <c r="A161">
        <v>1412000077</v>
      </c>
      <c r="B161" t="s">
        <v>101</v>
      </c>
      <c r="E161" s="178" t="s">
        <v>45</v>
      </c>
      <c r="F161" s="285">
        <v>502</v>
      </c>
      <c r="G161" s="285">
        <v>482</v>
      </c>
      <c r="H161" s="285">
        <v>522</v>
      </c>
      <c r="I161" s="285">
        <v>562</v>
      </c>
      <c r="J161" s="285">
        <v>502</v>
      </c>
      <c r="K161" s="285">
        <v>482</v>
      </c>
      <c r="L161" s="286">
        <v>654</v>
      </c>
      <c r="M161" s="285">
        <v>582</v>
      </c>
      <c r="N161" s="287">
        <v>630</v>
      </c>
      <c r="O161" s="286">
        <v>582</v>
      </c>
      <c r="P161" s="285">
        <v>452</v>
      </c>
      <c r="Q161" s="287">
        <v>582</v>
      </c>
    </row>
    <row r="162" spans="1:17" ht="78.5" thickTop="1">
      <c r="B162" t="e">
        <v>#N/A</v>
      </c>
      <c r="E162" s="220" t="s">
        <v>40</v>
      </c>
      <c r="F162" s="296"/>
      <c r="G162" s="297"/>
      <c r="H162" s="295" t="s">
        <v>63</v>
      </c>
      <c r="I162" s="296"/>
      <c r="J162" s="296"/>
      <c r="K162" s="297"/>
      <c r="L162" s="295" t="s">
        <v>52</v>
      </c>
      <c r="M162" s="296"/>
      <c r="N162" s="296"/>
      <c r="O162" s="297"/>
      <c r="P162" s="295" t="s">
        <v>53</v>
      </c>
      <c r="Q162" s="296"/>
    </row>
    <row r="163" spans="1:17">
      <c r="B163" t="e">
        <v>#N/A</v>
      </c>
      <c r="E163" s="176" t="s">
        <v>25</v>
      </c>
      <c r="F163" s="343"/>
      <c r="G163" s="299"/>
      <c r="H163" s="298">
        <v>5</v>
      </c>
      <c r="I163" s="343"/>
      <c r="J163" s="343"/>
      <c r="K163" s="299"/>
      <c r="L163" s="298">
        <v>6</v>
      </c>
      <c r="M163" s="343"/>
      <c r="N163" s="343"/>
      <c r="O163" s="299"/>
      <c r="P163" s="298">
        <v>7</v>
      </c>
      <c r="Q163" s="343"/>
    </row>
    <row r="164" spans="1:17">
      <c r="B164" t="e">
        <v>#N/A</v>
      </c>
      <c r="E164" s="312" t="s">
        <v>106</v>
      </c>
      <c r="F164" s="344">
        <v>4</v>
      </c>
      <c r="G164" s="345">
        <v>4</v>
      </c>
      <c r="H164" s="346">
        <v>5</v>
      </c>
      <c r="I164" s="344">
        <v>5</v>
      </c>
      <c r="J164" s="344">
        <v>5</v>
      </c>
      <c r="K164" s="345">
        <v>5</v>
      </c>
      <c r="L164" s="346">
        <v>6</v>
      </c>
      <c r="M164" s="344">
        <v>6</v>
      </c>
      <c r="N164" s="344">
        <v>6</v>
      </c>
      <c r="O164" s="345">
        <v>6</v>
      </c>
      <c r="P164" s="346">
        <v>7</v>
      </c>
      <c r="Q164" s="344">
        <v>7</v>
      </c>
    </row>
    <row r="165" spans="1:17">
      <c r="B165" t="e">
        <v>#N/A</v>
      </c>
      <c r="E165" s="314" t="s">
        <v>158</v>
      </c>
      <c r="F165" s="347" t="s">
        <v>40</v>
      </c>
      <c r="G165" s="348" t="s">
        <v>40</v>
      </c>
      <c r="H165" s="349" t="s">
        <v>29</v>
      </c>
      <c r="I165" s="350" t="s">
        <v>29</v>
      </c>
      <c r="J165" s="347" t="s">
        <v>40</v>
      </c>
      <c r="K165" s="348" t="s">
        <v>40</v>
      </c>
      <c r="L165" s="349" t="s">
        <v>29</v>
      </c>
      <c r="M165" s="350" t="s">
        <v>29</v>
      </c>
      <c r="N165" s="347" t="s">
        <v>40</v>
      </c>
      <c r="O165" s="348" t="s">
        <v>40</v>
      </c>
      <c r="P165" s="349" t="s">
        <v>29</v>
      </c>
      <c r="Q165" s="350" t="s">
        <v>29</v>
      </c>
    </row>
    <row r="166" spans="1:17" ht="15" thickBot="1">
      <c r="B166" t="e">
        <v>#N/A</v>
      </c>
      <c r="E166" s="177" t="s">
        <v>26</v>
      </c>
      <c r="F166" s="351" t="s">
        <v>106</v>
      </c>
      <c r="G166" s="74" t="s">
        <v>107</v>
      </c>
      <c r="H166" s="72" t="s">
        <v>106</v>
      </c>
      <c r="I166" s="351" t="s">
        <v>107</v>
      </c>
      <c r="J166" s="351" t="s">
        <v>106</v>
      </c>
      <c r="K166" s="74" t="s">
        <v>107</v>
      </c>
      <c r="L166" s="72" t="s">
        <v>106</v>
      </c>
      <c r="M166" s="351" t="s">
        <v>107</v>
      </c>
      <c r="N166" s="351" t="s">
        <v>106</v>
      </c>
      <c r="O166" s="74" t="s">
        <v>107</v>
      </c>
      <c r="P166" s="72" t="s">
        <v>106</v>
      </c>
      <c r="Q166" s="351" t="s">
        <v>107</v>
      </c>
    </row>
    <row r="167" spans="1:17" ht="78.5" thickBot="1">
      <c r="B167" t="e">
        <v>#N/A</v>
      </c>
      <c r="E167" s="178" t="s">
        <v>27</v>
      </c>
      <c r="F167" s="293" t="s">
        <v>50</v>
      </c>
      <c r="G167" s="294"/>
      <c r="H167" s="291" t="s">
        <v>49</v>
      </c>
      <c r="I167" s="292"/>
      <c r="J167" s="293" t="s">
        <v>50</v>
      </c>
      <c r="K167" s="294"/>
      <c r="L167" s="291" t="s">
        <v>49</v>
      </c>
      <c r="M167" s="292"/>
      <c r="N167" s="293" t="s">
        <v>50</v>
      </c>
      <c r="O167" s="294"/>
      <c r="P167" s="291" t="s">
        <v>49</v>
      </c>
      <c r="Q167" s="292"/>
    </row>
    <row r="168" spans="1:17" ht="26.5" thickBot="1">
      <c r="B168" t="e">
        <v>#N/A</v>
      </c>
      <c r="F168" s="24" t="s">
        <v>64</v>
      </c>
      <c r="G168" s="352" t="s">
        <v>65</v>
      </c>
      <c r="H168" s="353" t="s">
        <v>64</v>
      </c>
      <c r="I168" s="24" t="s">
        <v>65</v>
      </c>
      <c r="J168" s="24" t="s">
        <v>64</v>
      </c>
      <c r="K168" s="352" t="s">
        <v>65</v>
      </c>
      <c r="L168" s="353" t="s">
        <v>64</v>
      </c>
      <c r="M168" s="24" t="s">
        <v>65</v>
      </c>
      <c r="N168" s="24" t="s">
        <v>64</v>
      </c>
      <c r="O168" s="352" t="s">
        <v>65</v>
      </c>
      <c r="P168" s="353" t="s">
        <v>64</v>
      </c>
      <c r="Q168" s="24" t="s">
        <v>65</v>
      </c>
    </row>
    <row r="169" spans="1:17">
      <c r="B169" t="e">
        <v>#N/A</v>
      </c>
      <c r="E169" s="220" t="s">
        <v>28</v>
      </c>
      <c r="F169" s="173"/>
      <c r="G169" s="174"/>
      <c r="H169" s="171"/>
      <c r="I169" s="172"/>
      <c r="J169" s="173"/>
      <c r="K169" s="174"/>
      <c r="L169" s="171"/>
      <c r="M169" s="172"/>
      <c r="N169" s="173"/>
      <c r="O169" s="174"/>
      <c r="P169" s="171"/>
      <c r="Q169" s="172"/>
    </row>
    <row r="170" spans="1:17">
      <c r="B170" t="e">
        <v>#N/A</v>
      </c>
      <c r="E170" s="176" t="s">
        <v>25</v>
      </c>
      <c r="F170" s="50">
        <v>17</v>
      </c>
      <c r="G170" s="82">
        <v>0</v>
      </c>
      <c r="H170" s="81">
        <v>84</v>
      </c>
      <c r="I170" s="195">
        <v>0</v>
      </c>
      <c r="J170" s="50">
        <v>17</v>
      </c>
      <c r="K170" s="82">
        <v>0</v>
      </c>
      <c r="L170" s="81">
        <v>80</v>
      </c>
      <c r="M170" s="195">
        <v>0</v>
      </c>
      <c r="N170" s="50">
        <v>17</v>
      </c>
      <c r="O170" s="82">
        <v>0</v>
      </c>
      <c r="P170" s="81">
        <v>92</v>
      </c>
      <c r="Q170" s="195">
        <v>0</v>
      </c>
    </row>
    <row r="171" spans="1:17">
      <c r="B171" t="e">
        <v>#N/A</v>
      </c>
      <c r="E171" s="312" t="s">
        <v>106</v>
      </c>
      <c r="F171" s="193">
        <v>14</v>
      </c>
      <c r="G171" s="194">
        <v>55</v>
      </c>
      <c r="H171" s="191">
        <v>114</v>
      </c>
      <c r="I171" s="192">
        <v>100</v>
      </c>
      <c r="J171" s="193">
        <v>14</v>
      </c>
      <c r="K171" s="194">
        <v>55</v>
      </c>
      <c r="L171" s="191">
        <v>130</v>
      </c>
      <c r="M171" s="192">
        <v>100</v>
      </c>
      <c r="N171" s="193">
        <v>14</v>
      </c>
      <c r="O171" s="194">
        <v>55</v>
      </c>
      <c r="P171" s="191">
        <v>192</v>
      </c>
      <c r="Q171" s="192">
        <v>100</v>
      </c>
    </row>
    <row r="172" spans="1:17">
      <c r="B172" t="e">
        <v>#N/A</v>
      </c>
      <c r="E172" s="314" t="s">
        <v>158</v>
      </c>
    </row>
    <row r="173" spans="1:17">
      <c r="B173" t="e">
        <v>#N/A</v>
      </c>
      <c r="E173" s="177" t="s">
        <v>26</v>
      </c>
    </row>
    <row r="174" spans="1:17" ht="15" thickBot="1">
      <c r="B174" t="e">
        <v>#N/A</v>
      </c>
      <c r="E174" s="178" t="s">
        <v>44</v>
      </c>
    </row>
    <row r="175" spans="1:17" ht="15" thickBot="1">
      <c r="B175" t="e">
        <v>#N/A</v>
      </c>
    </row>
    <row r="176" spans="1:17">
      <c r="B176" t="e">
        <v>#N/A</v>
      </c>
      <c r="E176" s="220" t="s">
        <v>29</v>
      </c>
    </row>
    <row r="177" spans="1:17">
      <c r="B177" t="e">
        <v>#N/A</v>
      </c>
      <c r="E177" s="176" t="s">
        <v>25</v>
      </c>
    </row>
    <row r="178" spans="1:17">
      <c r="B178" t="e">
        <v>#N/A</v>
      </c>
      <c r="E178" s="312" t="s">
        <v>106</v>
      </c>
    </row>
    <row r="179" spans="1:17">
      <c r="B179" t="e">
        <v>#N/A</v>
      </c>
      <c r="E179" s="314" t="s">
        <v>158</v>
      </c>
    </row>
    <row r="180" spans="1:17">
      <c r="B180" t="e">
        <v>#N/A</v>
      </c>
      <c r="E180" s="177" t="s">
        <v>26</v>
      </c>
    </row>
    <row r="181" spans="1:17" ht="15" thickBot="1">
      <c r="B181" t="e">
        <v>#N/A</v>
      </c>
      <c r="E181" s="178" t="s">
        <v>45</v>
      </c>
    </row>
    <row r="182" spans="1:17">
      <c r="A182">
        <v>1412000008</v>
      </c>
      <c r="B182" t="s">
        <v>5</v>
      </c>
      <c r="E182" s="220" t="s">
        <v>40</v>
      </c>
      <c r="F182" s="201"/>
      <c r="G182" s="201"/>
      <c r="H182" s="201"/>
      <c r="I182" s="201"/>
      <c r="J182" s="201"/>
      <c r="K182" s="201"/>
      <c r="L182" s="201"/>
      <c r="M182" s="201"/>
      <c r="N182" s="202"/>
      <c r="O182" s="201"/>
      <c r="P182" s="201"/>
      <c r="Q182" s="202"/>
    </row>
    <row r="183" spans="1:17">
      <c r="A183">
        <v>1412000008</v>
      </c>
      <c r="B183" t="s">
        <v>5</v>
      </c>
      <c r="E183" s="176" t="s">
        <v>25</v>
      </c>
      <c r="F183" s="267">
        <v>1</v>
      </c>
      <c r="G183" s="267">
        <v>1</v>
      </c>
      <c r="H183" s="267">
        <v>1</v>
      </c>
      <c r="I183" s="267">
        <v>1</v>
      </c>
      <c r="J183" s="267">
        <v>1</v>
      </c>
      <c r="K183" s="267">
        <v>1</v>
      </c>
      <c r="L183" s="267">
        <v>1</v>
      </c>
      <c r="M183" s="267">
        <v>1</v>
      </c>
      <c r="N183" s="268">
        <v>1</v>
      </c>
      <c r="O183" s="269">
        <v>1</v>
      </c>
      <c r="P183" s="267">
        <v>1</v>
      </c>
      <c r="Q183" s="268">
        <v>1</v>
      </c>
    </row>
    <row r="184" spans="1:17">
      <c r="A184">
        <v>1412000008</v>
      </c>
      <c r="B184" t="s">
        <v>5</v>
      </c>
      <c r="E184" s="312" t="s">
        <v>106</v>
      </c>
      <c r="F184" s="300">
        <v>10</v>
      </c>
      <c r="G184" s="300">
        <v>10</v>
      </c>
      <c r="H184" s="300">
        <v>10</v>
      </c>
      <c r="I184" s="300">
        <v>10</v>
      </c>
      <c r="J184" s="300">
        <v>10</v>
      </c>
      <c r="K184" s="300">
        <v>10</v>
      </c>
      <c r="L184" s="300">
        <v>10</v>
      </c>
      <c r="M184" s="300">
        <v>10</v>
      </c>
      <c r="N184" s="301">
        <v>10</v>
      </c>
      <c r="O184" s="302">
        <v>10</v>
      </c>
      <c r="P184" s="300">
        <v>10</v>
      </c>
      <c r="Q184" s="301">
        <v>10</v>
      </c>
    </row>
    <row r="185" spans="1:17">
      <c r="A185">
        <v>1412000008</v>
      </c>
      <c r="B185" t="s">
        <v>5</v>
      </c>
      <c r="E185" s="314" t="s">
        <v>158</v>
      </c>
      <c r="F185" s="303"/>
      <c r="G185" s="303"/>
      <c r="H185" s="303"/>
      <c r="I185" s="303"/>
      <c r="J185" s="303"/>
      <c r="K185" s="303"/>
      <c r="L185" s="303"/>
      <c r="M185" s="303"/>
      <c r="N185" s="304"/>
      <c r="O185" s="305"/>
      <c r="P185" s="303"/>
      <c r="Q185" s="304"/>
    </row>
    <row r="186" spans="1:17">
      <c r="A186">
        <v>1412000008</v>
      </c>
      <c r="B186" t="s">
        <v>5</v>
      </c>
      <c r="E186" s="177" t="s">
        <v>26</v>
      </c>
      <c r="F186" s="270">
        <v>10</v>
      </c>
      <c r="G186" s="270">
        <v>10</v>
      </c>
      <c r="H186" s="270">
        <v>10</v>
      </c>
      <c r="I186" s="270">
        <v>10</v>
      </c>
      <c r="J186" s="270">
        <v>10</v>
      </c>
      <c r="K186" s="270">
        <v>10</v>
      </c>
      <c r="L186" s="271">
        <v>10</v>
      </c>
      <c r="M186" s="270">
        <v>10</v>
      </c>
      <c r="N186" s="272">
        <v>10</v>
      </c>
      <c r="O186" s="271">
        <v>10</v>
      </c>
      <c r="P186" s="270">
        <v>10</v>
      </c>
      <c r="Q186" s="272">
        <v>10</v>
      </c>
    </row>
    <row r="187" spans="1:17" ht="15" thickBot="1">
      <c r="A187">
        <v>1412000008</v>
      </c>
      <c r="B187" t="s">
        <v>5</v>
      </c>
      <c r="E187" s="178" t="s">
        <v>27</v>
      </c>
      <c r="F187" s="273">
        <v>11</v>
      </c>
      <c r="G187" s="273">
        <v>11</v>
      </c>
      <c r="H187" s="273">
        <v>11</v>
      </c>
      <c r="I187" s="273">
        <v>11</v>
      </c>
      <c r="J187" s="273">
        <v>11</v>
      </c>
      <c r="K187" s="273">
        <v>11</v>
      </c>
      <c r="L187" s="274">
        <v>11</v>
      </c>
      <c r="M187" s="273">
        <v>11</v>
      </c>
      <c r="N187" s="275">
        <v>11</v>
      </c>
      <c r="O187" s="274">
        <v>11</v>
      </c>
      <c r="P187" s="273">
        <v>11</v>
      </c>
      <c r="Q187" s="275">
        <v>11</v>
      </c>
    </row>
    <row r="188" spans="1:17" ht="15" thickBot="1">
      <c r="A188">
        <v>1412000008</v>
      </c>
      <c r="B188" t="s">
        <v>5</v>
      </c>
      <c r="F188" s="276"/>
      <c r="G188" s="276"/>
      <c r="H188" s="276"/>
      <c r="I188" s="276"/>
      <c r="J188" s="276"/>
      <c r="K188" s="276"/>
      <c r="L188" s="276"/>
      <c r="M188" s="276"/>
      <c r="N188" s="276"/>
      <c r="O188" s="276"/>
      <c r="P188" s="276"/>
      <c r="Q188" s="276"/>
    </row>
    <row r="189" spans="1:17">
      <c r="A189">
        <v>1412000008</v>
      </c>
      <c r="B189" t="s">
        <v>5</v>
      </c>
      <c r="E189" s="220" t="s">
        <v>28</v>
      </c>
      <c r="F189" s="277"/>
      <c r="G189" s="277"/>
      <c r="H189" s="277"/>
      <c r="I189" s="277"/>
      <c r="J189" s="277"/>
      <c r="K189" s="277"/>
      <c r="L189" s="277"/>
      <c r="M189" s="277"/>
      <c r="N189" s="278"/>
      <c r="O189" s="277"/>
      <c r="P189" s="277"/>
      <c r="Q189" s="278"/>
    </row>
    <row r="190" spans="1:17">
      <c r="A190">
        <v>1412000008</v>
      </c>
      <c r="B190" t="s">
        <v>5</v>
      </c>
      <c r="E190" s="176" t="s">
        <v>25</v>
      </c>
      <c r="F190" s="279">
        <v>170</v>
      </c>
      <c r="G190" s="279">
        <v>161.5</v>
      </c>
      <c r="H190" s="279">
        <v>136</v>
      </c>
      <c r="I190" s="279">
        <v>195.5</v>
      </c>
      <c r="J190" s="279">
        <v>170</v>
      </c>
      <c r="K190" s="279">
        <v>161.5</v>
      </c>
      <c r="L190" s="279">
        <v>195.5</v>
      </c>
      <c r="M190" s="279">
        <v>170</v>
      </c>
      <c r="N190" s="280">
        <v>144.5</v>
      </c>
      <c r="O190" s="281">
        <v>170</v>
      </c>
      <c r="P190" s="279">
        <v>127.5</v>
      </c>
      <c r="Q190" s="280">
        <v>170</v>
      </c>
    </row>
    <row r="191" spans="1:17">
      <c r="A191">
        <v>1412000008</v>
      </c>
      <c r="B191" t="s">
        <v>5</v>
      </c>
      <c r="E191" s="312" t="s">
        <v>106</v>
      </c>
      <c r="F191" s="306">
        <v>1445</v>
      </c>
      <c r="G191" s="306">
        <v>1534.25</v>
      </c>
      <c r="H191" s="306">
        <v>1700</v>
      </c>
      <c r="I191" s="306">
        <v>1865.75</v>
      </c>
      <c r="J191" s="306">
        <v>1602.25</v>
      </c>
      <c r="K191" s="306">
        <v>1521.5</v>
      </c>
      <c r="L191" s="306">
        <v>1861.5</v>
      </c>
      <c r="M191" s="306">
        <v>1606.5</v>
      </c>
      <c r="N191" s="307">
        <v>1776.5</v>
      </c>
      <c r="O191" s="308">
        <v>1615</v>
      </c>
      <c r="P191" s="306">
        <v>1190</v>
      </c>
      <c r="Q191" s="307">
        <v>1615</v>
      </c>
    </row>
    <row r="192" spans="1:17">
      <c r="A192">
        <v>1412000008</v>
      </c>
      <c r="B192" t="s">
        <v>5</v>
      </c>
      <c r="E192" s="314" t="s">
        <v>158</v>
      </c>
      <c r="F192" s="309"/>
      <c r="G192" s="309"/>
      <c r="H192" s="309"/>
      <c r="I192" s="309"/>
      <c r="J192" s="309"/>
      <c r="K192" s="309"/>
      <c r="L192" s="309"/>
      <c r="M192" s="309"/>
      <c r="N192" s="310"/>
      <c r="O192" s="311"/>
      <c r="P192" s="309"/>
      <c r="Q192" s="310"/>
    </row>
    <row r="193" spans="1:17">
      <c r="A193">
        <v>1412000008</v>
      </c>
      <c r="B193" t="s">
        <v>5</v>
      </c>
      <c r="E193" s="177" t="s">
        <v>26</v>
      </c>
      <c r="F193" s="282">
        <v>1445</v>
      </c>
      <c r="G193" s="282">
        <v>1534.25</v>
      </c>
      <c r="H193" s="282">
        <v>1700</v>
      </c>
      <c r="I193" s="282">
        <v>1865.75</v>
      </c>
      <c r="J193" s="282">
        <v>1602.25</v>
      </c>
      <c r="K193" s="282">
        <v>1521.5</v>
      </c>
      <c r="L193" s="283">
        <v>1861.5</v>
      </c>
      <c r="M193" s="282">
        <v>1606.5</v>
      </c>
      <c r="N193" s="284">
        <v>1776.5</v>
      </c>
      <c r="O193" s="283">
        <v>1615</v>
      </c>
      <c r="P193" s="282">
        <v>1190</v>
      </c>
      <c r="Q193" s="284">
        <v>1615</v>
      </c>
    </row>
    <row r="194" spans="1:17" ht="15" thickBot="1">
      <c r="A194">
        <v>1412000008</v>
      </c>
      <c r="B194" t="s">
        <v>5</v>
      </c>
      <c r="E194" s="178" t="s">
        <v>44</v>
      </c>
      <c r="F194" s="285">
        <v>1615</v>
      </c>
      <c r="G194" s="285">
        <v>1695.75</v>
      </c>
      <c r="H194" s="285">
        <v>1836</v>
      </c>
      <c r="I194" s="285">
        <v>2061.25</v>
      </c>
      <c r="J194" s="285">
        <v>1772.25</v>
      </c>
      <c r="K194" s="285">
        <v>1683</v>
      </c>
      <c r="L194" s="286">
        <v>2057</v>
      </c>
      <c r="M194" s="285">
        <v>1776.5</v>
      </c>
      <c r="N194" s="287">
        <v>1921</v>
      </c>
      <c r="O194" s="286">
        <v>1785</v>
      </c>
      <c r="P194" s="285">
        <v>1317.5</v>
      </c>
      <c r="Q194" s="287">
        <v>1785</v>
      </c>
    </row>
    <row r="195" spans="1:17" ht="15" thickBot="1">
      <c r="A195">
        <v>1412000008</v>
      </c>
      <c r="B195" t="s">
        <v>5</v>
      </c>
      <c r="F195" s="288"/>
      <c r="G195" s="288"/>
      <c r="H195" s="288"/>
      <c r="I195" s="288"/>
      <c r="J195" s="288"/>
      <c r="K195" s="288"/>
      <c r="L195" s="288"/>
      <c r="M195" s="288"/>
      <c r="N195" s="288"/>
      <c r="O195" s="288"/>
      <c r="P195" s="288"/>
      <c r="Q195" s="288"/>
    </row>
    <row r="196" spans="1:17">
      <c r="A196">
        <v>1412000008</v>
      </c>
      <c r="B196" t="s">
        <v>5</v>
      </c>
      <c r="E196" s="220" t="s">
        <v>29</v>
      </c>
      <c r="F196" s="289"/>
      <c r="G196" s="289"/>
      <c r="H196" s="289"/>
      <c r="I196" s="289"/>
      <c r="J196" s="289"/>
      <c r="K196" s="289"/>
      <c r="L196" s="289"/>
      <c r="M196" s="289"/>
      <c r="N196" s="290"/>
      <c r="O196" s="289"/>
      <c r="P196" s="289"/>
      <c r="Q196" s="278"/>
    </row>
    <row r="197" spans="1:17">
      <c r="A197">
        <v>1412000008</v>
      </c>
      <c r="B197" t="s">
        <v>5</v>
      </c>
      <c r="E197" s="176" t="s">
        <v>25</v>
      </c>
      <c r="F197" s="279">
        <v>40</v>
      </c>
      <c r="G197" s="279">
        <v>38</v>
      </c>
      <c r="H197" s="279">
        <v>32</v>
      </c>
      <c r="I197" s="279">
        <v>46</v>
      </c>
      <c r="J197" s="279">
        <v>40</v>
      </c>
      <c r="K197" s="279">
        <v>38</v>
      </c>
      <c r="L197" s="279">
        <v>46</v>
      </c>
      <c r="M197" s="279">
        <v>40</v>
      </c>
      <c r="N197" s="280">
        <v>34</v>
      </c>
      <c r="O197" s="281">
        <v>40</v>
      </c>
      <c r="P197" s="279">
        <v>30</v>
      </c>
      <c r="Q197" s="280">
        <v>40</v>
      </c>
    </row>
    <row r="198" spans="1:17">
      <c r="A198">
        <v>1412000008</v>
      </c>
      <c r="B198" t="s">
        <v>5</v>
      </c>
      <c r="E198" s="312" t="s">
        <v>106</v>
      </c>
      <c r="F198" s="306">
        <v>112</v>
      </c>
      <c r="G198" s="306">
        <v>108</v>
      </c>
      <c r="H198" s="306">
        <v>120</v>
      </c>
      <c r="I198" s="306">
        <v>132</v>
      </c>
      <c r="J198" s="306">
        <v>124</v>
      </c>
      <c r="K198" s="306">
        <v>108</v>
      </c>
      <c r="L198" s="306">
        <v>132</v>
      </c>
      <c r="M198" s="306">
        <v>112</v>
      </c>
      <c r="N198" s="307">
        <v>124</v>
      </c>
      <c r="O198" s="308">
        <v>114</v>
      </c>
      <c r="P198" s="306">
        <v>94</v>
      </c>
      <c r="Q198" s="307">
        <v>114</v>
      </c>
    </row>
    <row r="199" spans="1:17">
      <c r="A199">
        <v>1412000008</v>
      </c>
      <c r="B199" t="s">
        <v>5</v>
      </c>
      <c r="E199" s="314" t="s">
        <v>158</v>
      </c>
      <c r="F199" s="309"/>
      <c r="G199" s="309"/>
      <c r="H199" s="309"/>
      <c r="I199" s="309"/>
      <c r="J199" s="309"/>
      <c r="K199" s="309"/>
      <c r="L199" s="309"/>
      <c r="M199" s="309"/>
      <c r="N199" s="310"/>
      <c r="O199" s="311"/>
      <c r="P199" s="309"/>
      <c r="Q199" s="310"/>
    </row>
    <row r="200" spans="1:17">
      <c r="A200">
        <v>1412000008</v>
      </c>
      <c r="B200" t="s">
        <v>5</v>
      </c>
      <c r="E200" s="177" t="s">
        <v>26</v>
      </c>
      <c r="F200" s="282">
        <v>112</v>
      </c>
      <c r="G200" s="282">
        <v>108</v>
      </c>
      <c r="H200" s="282">
        <v>120</v>
      </c>
      <c r="I200" s="282">
        <v>132</v>
      </c>
      <c r="J200" s="282">
        <v>124</v>
      </c>
      <c r="K200" s="282">
        <v>108</v>
      </c>
      <c r="L200" s="283">
        <v>132</v>
      </c>
      <c r="M200" s="282">
        <v>112</v>
      </c>
      <c r="N200" s="284">
        <v>124</v>
      </c>
      <c r="O200" s="283">
        <v>114</v>
      </c>
      <c r="P200" s="282">
        <v>94</v>
      </c>
      <c r="Q200" s="284">
        <v>114</v>
      </c>
    </row>
    <row r="201" spans="1:17" ht="15" thickBot="1">
      <c r="A201">
        <v>1412000008</v>
      </c>
      <c r="B201" t="s">
        <v>5</v>
      </c>
      <c r="E201" s="178" t="s">
        <v>45</v>
      </c>
      <c r="F201" s="285">
        <v>152</v>
      </c>
      <c r="G201" s="285">
        <v>146</v>
      </c>
      <c r="H201" s="285">
        <v>152</v>
      </c>
      <c r="I201" s="285">
        <v>178</v>
      </c>
      <c r="J201" s="285">
        <v>164</v>
      </c>
      <c r="K201" s="285">
        <v>146</v>
      </c>
      <c r="L201" s="286">
        <v>178</v>
      </c>
      <c r="M201" s="285">
        <v>152</v>
      </c>
      <c r="N201" s="287">
        <v>158</v>
      </c>
      <c r="O201" s="286">
        <v>154</v>
      </c>
      <c r="P201" s="285">
        <v>124</v>
      </c>
      <c r="Q201" s="287">
        <v>154</v>
      </c>
    </row>
    <row r="202" spans="1:17">
      <c r="A202">
        <v>1412000010</v>
      </c>
      <c r="B202" t="s">
        <v>7</v>
      </c>
      <c r="E202" s="220" t="s">
        <v>40</v>
      </c>
      <c r="F202" s="201"/>
      <c r="G202" s="201"/>
      <c r="H202" s="201"/>
      <c r="I202" s="201"/>
      <c r="J202" s="201"/>
      <c r="K202" s="201"/>
      <c r="L202" s="201"/>
      <c r="M202" s="201"/>
      <c r="N202" s="202"/>
      <c r="O202" s="201"/>
      <c r="P202" s="201"/>
      <c r="Q202" s="202"/>
    </row>
    <row r="203" spans="1:17">
      <c r="A203">
        <v>1412000010</v>
      </c>
      <c r="B203" t="s">
        <v>7</v>
      </c>
      <c r="E203" s="176" t="s">
        <v>25</v>
      </c>
      <c r="F203" s="267"/>
      <c r="G203" s="267"/>
      <c r="H203" s="267"/>
      <c r="I203" s="267"/>
      <c r="J203" s="267"/>
      <c r="K203" s="267"/>
      <c r="L203" s="267"/>
      <c r="M203" s="267"/>
      <c r="N203" s="268"/>
      <c r="O203" s="269"/>
      <c r="P203" s="267"/>
      <c r="Q203" s="268"/>
    </row>
    <row r="204" spans="1:17">
      <c r="A204">
        <v>1412000010</v>
      </c>
      <c r="B204" t="s">
        <v>7</v>
      </c>
      <c r="E204" s="312" t="s">
        <v>106</v>
      </c>
      <c r="F204" s="300">
        <v>6</v>
      </c>
      <c r="G204" s="300">
        <v>6</v>
      </c>
      <c r="H204" s="300">
        <v>6</v>
      </c>
      <c r="I204" s="300">
        <v>6</v>
      </c>
      <c r="J204" s="300">
        <v>6</v>
      </c>
      <c r="K204" s="300">
        <v>6</v>
      </c>
      <c r="L204" s="300">
        <v>6</v>
      </c>
      <c r="M204" s="300">
        <v>6</v>
      </c>
      <c r="N204" s="301">
        <v>6</v>
      </c>
      <c r="O204" s="302">
        <v>6</v>
      </c>
      <c r="P204" s="300">
        <v>6</v>
      </c>
      <c r="Q204" s="301">
        <v>6</v>
      </c>
    </row>
    <row r="205" spans="1:17">
      <c r="A205">
        <v>1412000010</v>
      </c>
      <c r="B205" t="s">
        <v>7</v>
      </c>
      <c r="E205" s="314" t="s">
        <v>158</v>
      </c>
      <c r="F205" s="303"/>
      <c r="G205" s="303"/>
      <c r="H205" s="303"/>
      <c r="I205" s="303"/>
      <c r="J205" s="303"/>
      <c r="K205" s="303"/>
      <c r="L205" s="303"/>
      <c r="M205" s="303"/>
      <c r="N205" s="304"/>
      <c r="O205" s="305"/>
      <c r="P205" s="303"/>
      <c r="Q205" s="304"/>
    </row>
    <row r="206" spans="1:17">
      <c r="A206">
        <v>1412000010</v>
      </c>
      <c r="B206" t="s">
        <v>7</v>
      </c>
      <c r="E206" s="177" t="s">
        <v>26</v>
      </c>
      <c r="F206" s="270">
        <v>6</v>
      </c>
      <c r="G206" s="270">
        <v>6</v>
      </c>
      <c r="H206" s="270">
        <v>6</v>
      </c>
      <c r="I206" s="270">
        <v>6</v>
      </c>
      <c r="J206" s="270">
        <v>6</v>
      </c>
      <c r="K206" s="270">
        <v>6</v>
      </c>
      <c r="L206" s="271">
        <v>6</v>
      </c>
      <c r="M206" s="270">
        <v>6</v>
      </c>
      <c r="N206" s="272">
        <v>6</v>
      </c>
      <c r="O206" s="271">
        <v>6</v>
      </c>
      <c r="P206" s="270">
        <v>6</v>
      </c>
      <c r="Q206" s="272">
        <v>6</v>
      </c>
    </row>
    <row r="207" spans="1:17" ht="15" thickBot="1">
      <c r="A207">
        <v>1412000010</v>
      </c>
      <c r="B207" t="s">
        <v>7</v>
      </c>
      <c r="E207" s="178" t="s">
        <v>27</v>
      </c>
      <c r="F207" s="273">
        <v>6</v>
      </c>
      <c r="G207" s="273">
        <v>6</v>
      </c>
      <c r="H207" s="273">
        <v>6</v>
      </c>
      <c r="I207" s="273">
        <v>6</v>
      </c>
      <c r="J207" s="273">
        <v>6</v>
      </c>
      <c r="K207" s="273">
        <v>6</v>
      </c>
      <c r="L207" s="274">
        <v>6</v>
      </c>
      <c r="M207" s="273">
        <v>6</v>
      </c>
      <c r="N207" s="275">
        <v>6</v>
      </c>
      <c r="O207" s="274">
        <v>6</v>
      </c>
      <c r="P207" s="273">
        <v>6</v>
      </c>
      <c r="Q207" s="275">
        <v>6</v>
      </c>
    </row>
    <row r="208" spans="1:17" ht="15" thickBot="1">
      <c r="A208">
        <v>1412000010</v>
      </c>
      <c r="B208" t="s">
        <v>7</v>
      </c>
      <c r="F208" s="276"/>
      <c r="G208" s="276"/>
      <c r="H208" s="276"/>
      <c r="I208" s="276"/>
      <c r="J208" s="276"/>
      <c r="K208" s="276"/>
      <c r="L208" s="276"/>
      <c r="M208" s="276"/>
      <c r="N208" s="276"/>
      <c r="O208" s="276"/>
      <c r="P208" s="276"/>
      <c r="Q208" s="276"/>
    </row>
    <row r="209" spans="1:17">
      <c r="A209">
        <v>1412000010</v>
      </c>
      <c r="B209" t="s">
        <v>7</v>
      </c>
      <c r="E209" s="220" t="s">
        <v>28</v>
      </c>
      <c r="F209" s="277"/>
      <c r="G209" s="277"/>
      <c r="H209" s="277"/>
      <c r="I209" s="277"/>
      <c r="J209" s="277"/>
      <c r="K209" s="277"/>
      <c r="L209" s="277"/>
      <c r="M209" s="277"/>
      <c r="N209" s="278"/>
      <c r="O209" s="277"/>
      <c r="P209" s="277"/>
      <c r="Q209" s="278"/>
    </row>
    <row r="210" spans="1:17">
      <c r="A210">
        <v>1412000010</v>
      </c>
      <c r="B210" t="s">
        <v>7</v>
      </c>
      <c r="E210" s="176" t="s">
        <v>25</v>
      </c>
      <c r="F210" s="279"/>
      <c r="G210" s="279"/>
      <c r="H210" s="279"/>
      <c r="I210" s="279"/>
      <c r="J210" s="279"/>
      <c r="K210" s="279"/>
      <c r="L210" s="279"/>
      <c r="M210" s="279"/>
      <c r="N210" s="280"/>
      <c r="O210" s="281"/>
      <c r="P210" s="279"/>
      <c r="Q210" s="280"/>
    </row>
    <row r="211" spans="1:17">
      <c r="A211">
        <v>1412000010</v>
      </c>
      <c r="B211" t="s">
        <v>7</v>
      </c>
      <c r="E211" s="312" t="s">
        <v>106</v>
      </c>
      <c r="F211" s="306">
        <v>969</v>
      </c>
      <c r="G211" s="306">
        <v>918</v>
      </c>
      <c r="H211" s="306">
        <v>1020</v>
      </c>
      <c r="I211" s="306">
        <v>1122</v>
      </c>
      <c r="J211" s="306">
        <v>969</v>
      </c>
      <c r="K211" s="306">
        <v>918</v>
      </c>
      <c r="L211" s="306">
        <v>1122</v>
      </c>
      <c r="M211" s="306">
        <v>969</v>
      </c>
      <c r="N211" s="307">
        <v>1071</v>
      </c>
      <c r="O211" s="308">
        <v>969</v>
      </c>
      <c r="P211" s="306">
        <v>765</v>
      </c>
      <c r="Q211" s="307">
        <v>969</v>
      </c>
    </row>
    <row r="212" spans="1:17">
      <c r="A212">
        <v>1412000010</v>
      </c>
      <c r="B212" t="s">
        <v>7</v>
      </c>
      <c r="E212" s="314" t="s">
        <v>158</v>
      </c>
      <c r="F212" s="309"/>
      <c r="G212" s="309"/>
      <c r="H212" s="309"/>
      <c r="I212" s="309"/>
      <c r="J212" s="309"/>
      <c r="K212" s="309"/>
      <c r="L212" s="309"/>
      <c r="M212" s="309"/>
      <c r="N212" s="310"/>
      <c r="O212" s="311"/>
      <c r="P212" s="309"/>
      <c r="Q212" s="310"/>
    </row>
    <row r="213" spans="1:17">
      <c r="A213">
        <v>1412000010</v>
      </c>
      <c r="B213" t="s">
        <v>7</v>
      </c>
      <c r="E213" s="177" t="s">
        <v>26</v>
      </c>
      <c r="F213" s="282">
        <v>969</v>
      </c>
      <c r="G213" s="282">
        <v>918</v>
      </c>
      <c r="H213" s="282">
        <v>1020</v>
      </c>
      <c r="I213" s="282">
        <v>1122</v>
      </c>
      <c r="J213" s="282">
        <v>969</v>
      </c>
      <c r="K213" s="282">
        <v>918</v>
      </c>
      <c r="L213" s="283">
        <v>1122</v>
      </c>
      <c r="M213" s="282">
        <v>969</v>
      </c>
      <c r="N213" s="284">
        <v>1071</v>
      </c>
      <c r="O213" s="283">
        <v>969</v>
      </c>
      <c r="P213" s="282">
        <v>765</v>
      </c>
      <c r="Q213" s="284">
        <v>969</v>
      </c>
    </row>
    <row r="214" spans="1:17" ht="15" thickBot="1">
      <c r="A214">
        <v>1412000010</v>
      </c>
      <c r="B214" t="s">
        <v>7</v>
      </c>
      <c r="E214" s="178" t="s">
        <v>44</v>
      </c>
      <c r="F214" s="285">
        <v>969</v>
      </c>
      <c r="G214" s="285">
        <v>918</v>
      </c>
      <c r="H214" s="285">
        <v>1020</v>
      </c>
      <c r="I214" s="285">
        <v>1122</v>
      </c>
      <c r="J214" s="285">
        <v>969</v>
      </c>
      <c r="K214" s="285">
        <v>918</v>
      </c>
      <c r="L214" s="286">
        <v>1122</v>
      </c>
      <c r="M214" s="285">
        <v>969</v>
      </c>
      <c r="N214" s="287">
        <v>1071</v>
      </c>
      <c r="O214" s="286">
        <v>969</v>
      </c>
      <c r="P214" s="285">
        <v>765</v>
      </c>
      <c r="Q214" s="287">
        <v>969</v>
      </c>
    </row>
    <row r="215" spans="1:17" ht="15" thickBot="1">
      <c r="A215">
        <v>1412000010</v>
      </c>
      <c r="B215" t="s">
        <v>7</v>
      </c>
      <c r="F215" s="288"/>
      <c r="G215" s="288"/>
      <c r="H215" s="288"/>
      <c r="I215" s="288"/>
      <c r="J215" s="288"/>
      <c r="K215" s="288"/>
      <c r="L215" s="288"/>
      <c r="M215" s="288"/>
      <c r="N215" s="288"/>
      <c r="O215" s="288"/>
      <c r="P215" s="288"/>
      <c r="Q215" s="288"/>
    </row>
    <row r="216" spans="1:17">
      <c r="A216">
        <v>1412000010</v>
      </c>
      <c r="B216" t="s">
        <v>7</v>
      </c>
      <c r="E216" s="220" t="s">
        <v>29</v>
      </c>
      <c r="F216" s="289"/>
      <c r="G216" s="289"/>
      <c r="H216" s="289"/>
      <c r="I216" s="289"/>
      <c r="J216" s="289"/>
      <c r="K216" s="289"/>
      <c r="L216" s="289"/>
      <c r="M216" s="289"/>
      <c r="N216" s="290"/>
      <c r="O216" s="289"/>
      <c r="P216" s="289"/>
      <c r="Q216" s="278"/>
    </row>
    <row r="217" spans="1:17">
      <c r="A217">
        <v>1412000010</v>
      </c>
      <c r="B217" t="s">
        <v>7</v>
      </c>
      <c r="E217" s="176" t="s">
        <v>25</v>
      </c>
      <c r="F217" s="279"/>
      <c r="G217" s="279"/>
      <c r="H217" s="279"/>
      <c r="I217" s="279"/>
      <c r="J217" s="279"/>
      <c r="K217" s="279"/>
      <c r="L217" s="279"/>
      <c r="M217" s="279"/>
      <c r="N217" s="280"/>
      <c r="O217" s="281"/>
      <c r="P217" s="279"/>
      <c r="Q217" s="280"/>
    </row>
    <row r="218" spans="1:17">
      <c r="A218">
        <v>1412000010</v>
      </c>
      <c r="B218" t="s">
        <v>7</v>
      </c>
      <c r="E218" s="312" t="s">
        <v>106</v>
      </c>
      <c r="F218" s="306">
        <v>76</v>
      </c>
      <c r="G218" s="306">
        <v>72</v>
      </c>
      <c r="H218" s="306">
        <v>80</v>
      </c>
      <c r="I218" s="306">
        <v>88</v>
      </c>
      <c r="J218" s="306">
        <v>76</v>
      </c>
      <c r="K218" s="306">
        <v>84.75</v>
      </c>
      <c r="L218" s="306">
        <v>88</v>
      </c>
      <c r="M218" s="306">
        <v>76</v>
      </c>
      <c r="N218" s="307">
        <v>84</v>
      </c>
      <c r="O218" s="308">
        <v>76</v>
      </c>
      <c r="P218" s="306">
        <v>60</v>
      </c>
      <c r="Q218" s="307">
        <v>88.75</v>
      </c>
    </row>
    <row r="219" spans="1:17">
      <c r="A219">
        <v>1412000010</v>
      </c>
      <c r="B219" t="s">
        <v>7</v>
      </c>
      <c r="E219" s="314" t="s">
        <v>158</v>
      </c>
      <c r="F219" s="309"/>
      <c r="G219" s="309"/>
      <c r="H219" s="309"/>
      <c r="I219" s="309"/>
      <c r="J219" s="309"/>
      <c r="K219" s="309"/>
      <c r="L219" s="309"/>
      <c r="M219" s="309"/>
      <c r="N219" s="310"/>
      <c r="O219" s="311"/>
      <c r="P219" s="309"/>
      <c r="Q219" s="310"/>
    </row>
    <row r="220" spans="1:17">
      <c r="A220">
        <v>1412000010</v>
      </c>
      <c r="B220" t="s">
        <v>7</v>
      </c>
      <c r="E220" s="177" t="s">
        <v>26</v>
      </c>
      <c r="F220" s="282">
        <v>76</v>
      </c>
      <c r="G220" s="282">
        <v>72</v>
      </c>
      <c r="H220" s="282">
        <v>80</v>
      </c>
      <c r="I220" s="282">
        <v>88</v>
      </c>
      <c r="J220" s="282">
        <v>76</v>
      </c>
      <c r="K220" s="282">
        <v>84.75</v>
      </c>
      <c r="L220" s="283">
        <v>88</v>
      </c>
      <c r="M220" s="282">
        <v>76</v>
      </c>
      <c r="N220" s="284">
        <v>84</v>
      </c>
      <c r="O220" s="283">
        <v>76</v>
      </c>
      <c r="P220" s="282">
        <v>60</v>
      </c>
      <c r="Q220" s="284">
        <v>88.75</v>
      </c>
    </row>
    <row r="221" spans="1:17" ht="15" thickBot="1">
      <c r="A221">
        <v>1412000010</v>
      </c>
      <c r="B221" t="s">
        <v>7</v>
      </c>
      <c r="E221" s="178" t="s">
        <v>45</v>
      </c>
      <c r="F221" s="285">
        <v>76</v>
      </c>
      <c r="G221" s="285">
        <v>72</v>
      </c>
      <c r="H221" s="285">
        <v>80</v>
      </c>
      <c r="I221" s="285">
        <v>88</v>
      </c>
      <c r="J221" s="285">
        <v>76</v>
      </c>
      <c r="K221" s="285">
        <v>84.75</v>
      </c>
      <c r="L221" s="286">
        <v>88</v>
      </c>
      <c r="M221" s="285">
        <v>76</v>
      </c>
      <c r="N221" s="287">
        <v>84</v>
      </c>
      <c r="O221" s="286">
        <v>76</v>
      </c>
      <c r="P221" s="285">
        <v>60</v>
      </c>
      <c r="Q221" s="287">
        <v>88.75</v>
      </c>
    </row>
    <row r="222" spans="1:17">
      <c r="A222">
        <v>1412000054</v>
      </c>
      <c r="B222" t="s">
        <v>6</v>
      </c>
      <c r="E222" s="220" t="s">
        <v>40</v>
      </c>
      <c r="F222" s="201"/>
      <c r="G222" s="201"/>
      <c r="H222" s="201"/>
      <c r="I222" s="201"/>
      <c r="J222" s="201"/>
      <c r="K222" s="201"/>
      <c r="L222" s="201"/>
      <c r="M222" s="201"/>
      <c r="N222" s="202"/>
      <c r="O222" s="201"/>
      <c r="P222" s="201"/>
      <c r="Q222" s="202"/>
    </row>
    <row r="223" spans="1:17">
      <c r="A223">
        <v>1412000054</v>
      </c>
      <c r="B223" t="s">
        <v>6</v>
      </c>
      <c r="E223" s="176" t="s">
        <v>25</v>
      </c>
      <c r="F223" s="267">
        <v>0</v>
      </c>
      <c r="G223" s="267">
        <v>0</v>
      </c>
      <c r="H223" s="267">
        <v>0</v>
      </c>
      <c r="I223" s="267">
        <v>0</v>
      </c>
      <c r="J223" s="267">
        <v>0</v>
      </c>
      <c r="K223" s="267">
        <v>0</v>
      </c>
      <c r="L223" s="267">
        <v>0</v>
      </c>
      <c r="M223" s="267">
        <v>0</v>
      </c>
      <c r="N223" s="268">
        <v>0</v>
      </c>
      <c r="O223" s="269">
        <v>0</v>
      </c>
      <c r="P223" s="267">
        <v>0</v>
      </c>
      <c r="Q223" s="268">
        <v>0</v>
      </c>
    </row>
    <row r="224" spans="1:17">
      <c r="A224">
        <v>1412000054</v>
      </c>
      <c r="B224" t="s">
        <v>6</v>
      </c>
      <c r="E224" s="312" t="s">
        <v>106</v>
      </c>
      <c r="F224" s="300">
        <v>15</v>
      </c>
      <c r="G224" s="300">
        <v>16</v>
      </c>
      <c r="H224" s="300">
        <v>16</v>
      </c>
      <c r="I224" s="300">
        <v>16</v>
      </c>
      <c r="J224" s="300">
        <v>16</v>
      </c>
      <c r="K224" s="300">
        <v>16</v>
      </c>
      <c r="L224" s="300">
        <v>16</v>
      </c>
      <c r="M224" s="300">
        <v>16</v>
      </c>
      <c r="N224" s="301">
        <v>16</v>
      </c>
      <c r="O224" s="302">
        <v>16</v>
      </c>
      <c r="P224" s="300">
        <v>16</v>
      </c>
      <c r="Q224" s="301">
        <v>16</v>
      </c>
    </row>
    <row r="225" spans="1:17">
      <c r="A225">
        <v>1412000054</v>
      </c>
      <c r="B225" t="s">
        <v>6</v>
      </c>
      <c r="E225" s="314" t="s">
        <v>158</v>
      </c>
      <c r="F225" s="303">
        <v>1</v>
      </c>
      <c r="G225" s="303">
        <v>1</v>
      </c>
      <c r="H225" s="303">
        <v>1</v>
      </c>
      <c r="I225" s="303">
        <v>1</v>
      </c>
      <c r="J225" s="303">
        <v>1</v>
      </c>
      <c r="K225" s="303">
        <v>1</v>
      </c>
      <c r="L225" s="303">
        <v>1</v>
      </c>
      <c r="M225" s="303">
        <v>1</v>
      </c>
      <c r="N225" s="304">
        <v>1</v>
      </c>
      <c r="O225" s="305">
        <v>1</v>
      </c>
      <c r="P225" s="303">
        <v>1</v>
      </c>
      <c r="Q225" s="304">
        <v>1</v>
      </c>
    </row>
    <row r="226" spans="1:17">
      <c r="A226">
        <v>1412000054</v>
      </c>
      <c r="B226" t="s">
        <v>6</v>
      </c>
      <c r="E226" s="177" t="s">
        <v>26</v>
      </c>
      <c r="F226" s="270">
        <v>16</v>
      </c>
      <c r="G226" s="270">
        <v>17</v>
      </c>
      <c r="H226" s="270">
        <v>17</v>
      </c>
      <c r="I226" s="270">
        <v>17</v>
      </c>
      <c r="J226" s="270">
        <v>17</v>
      </c>
      <c r="K226" s="270">
        <v>17</v>
      </c>
      <c r="L226" s="271">
        <v>17</v>
      </c>
      <c r="M226" s="270">
        <v>17</v>
      </c>
      <c r="N226" s="272">
        <v>17</v>
      </c>
      <c r="O226" s="271">
        <v>17</v>
      </c>
      <c r="P226" s="270">
        <v>17</v>
      </c>
      <c r="Q226" s="272">
        <v>17</v>
      </c>
    </row>
    <row r="227" spans="1:17" ht="15" thickBot="1">
      <c r="A227">
        <v>1412000054</v>
      </c>
      <c r="B227" t="s">
        <v>6</v>
      </c>
      <c r="E227" s="178" t="s">
        <v>27</v>
      </c>
      <c r="F227" s="273">
        <v>16</v>
      </c>
      <c r="G227" s="273">
        <v>17</v>
      </c>
      <c r="H227" s="273">
        <v>17</v>
      </c>
      <c r="I227" s="273">
        <v>17</v>
      </c>
      <c r="J227" s="273">
        <v>17</v>
      </c>
      <c r="K227" s="273">
        <v>17</v>
      </c>
      <c r="L227" s="274">
        <v>17</v>
      </c>
      <c r="M227" s="273">
        <v>17</v>
      </c>
      <c r="N227" s="275">
        <v>17</v>
      </c>
      <c r="O227" s="274">
        <v>17</v>
      </c>
      <c r="P227" s="273">
        <v>17</v>
      </c>
      <c r="Q227" s="275">
        <v>17</v>
      </c>
    </row>
    <row r="228" spans="1:17" ht="15" thickBot="1">
      <c r="A228">
        <v>1412000054</v>
      </c>
      <c r="B228" t="s">
        <v>6</v>
      </c>
      <c r="F228" s="276"/>
      <c r="G228" s="276"/>
      <c r="H228" s="276"/>
      <c r="I228" s="276"/>
      <c r="J228" s="276"/>
      <c r="K228" s="276"/>
      <c r="L228" s="276"/>
      <c r="M228" s="276"/>
      <c r="N228" s="276"/>
      <c r="O228" s="276"/>
      <c r="P228" s="276"/>
      <c r="Q228" s="276"/>
    </row>
    <row r="229" spans="1:17">
      <c r="A229">
        <v>1412000054</v>
      </c>
      <c r="B229" t="s">
        <v>6</v>
      </c>
      <c r="E229" s="220" t="s">
        <v>28</v>
      </c>
      <c r="F229" s="277"/>
      <c r="G229" s="277"/>
      <c r="H229" s="277"/>
      <c r="I229" s="277"/>
      <c r="J229" s="277"/>
      <c r="K229" s="277"/>
      <c r="L229" s="277"/>
      <c r="M229" s="277"/>
      <c r="N229" s="278"/>
      <c r="O229" s="277"/>
      <c r="P229" s="277"/>
      <c r="Q229" s="278"/>
    </row>
    <row r="230" spans="1:17">
      <c r="A230">
        <v>1412000054</v>
      </c>
      <c r="B230" t="s">
        <v>6</v>
      </c>
      <c r="E230" s="176" t="s">
        <v>25</v>
      </c>
      <c r="F230" s="279">
        <v>0</v>
      </c>
      <c r="G230" s="279">
        <v>0</v>
      </c>
      <c r="H230" s="279">
        <v>0</v>
      </c>
      <c r="I230" s="279">
        <v>0</v>
      </c>
      <c r="J230" s="279">
        <v>0</v>
      </c>
      <c r="K230" s="279">
        <v>0</v>
      </c>
      <c r="L230" s="279">
        <v>0</v>
      </c>
      <c r="M230" s="279">
        <v>0</v>
      </c>
      <c r="N230" s="280">
        <v>0</v>
      </c>
      <c r="O230" s="281">
        <v>0</v>
      </c>
      <c r="P230" s="279">
        <v>0</v>
      </c>
      <c r="Q230" s="280">
        <v>0</v>
      </c>
    </row>
    <row r="231" spans="1:17">
      <c r="A231">
        <v>1412000054</v>
      </c>
      <c r="B231" t="s">
        <v>6</v>
      </c>
      <c r="E231" s="312" t="s">
        <v>106</v>
      </c>
      <c r="F231" s="306">
        <v>2246</v>
      </c>
      <c r="G231" s="306">
        <v>2415</v>
      </c>
      <c r="H231" s="306">
        <v>2685</v>
      </c>
      <c r="I231" s="306">
        <v>2768</v>
      </c>
      <c r="J231" s="306">
        <v>2388.5</v>
      </c>
      <c r="K231" s="306">
        <v>2262</v>
      </c>
      <c r="L231" s="306">
        <v>2783</v>
      </c>
      <c r="M231" s="306">
        <v>2422.5</v>
      </c>
      <c r="N231" s="307">
        <v>2677.5</v>
      </c>
      <c r="O231" s="308">
        <v>2569</v>
      </c>
      <c r="P231" s="306">
        <v>1889</v>
      </c>
      <c r="Q231" s="307">
        <v>2569</v>
      </c>
    </row>
    <row r="232" spans="1:17">
      <c r="A232">
        <v>1412000054</v>
      </c>
      <c r="B232" t="s">
        <v>6</v>
      </c>
      <c r="E232" s="314" t="s">
        <v>158</v>
      </c>
      <c r="F232" s="309">
        <v>161.5</v>
      </c>
      <c r="G232" s="309">
        <v>153</v>
      </c>
      <c r="H232" s="309">
        <v>170</v>
      </c>
      <c r="I232" s="309">
        <v>187</v>
      </c>
      <c r="J232" s="309">
        <v>161.5</v>
      </c>
      <c r="K232" s="309">
        <v>153</v>
      </c>
      <c r="L232" s="309">
        <v>187</v>
      </c>
      <c r="M232" s="309">
        <v>161.5</v>
      </c>
      <c r="N232" s="310">
        <v>178.5</v>
      </c>
      <c r="O232" s="311">
        <v>161.5</v>
      </c>
      <c r="P232" s="309">
        <v>119</v>
      </c>
      <c r="Q232" s="310">
        <v>161.5</v>
      </c>
    </row>
    <row r="233" spans="1:17">
      <c r="A233">
        <v>1412000054</v>
      </c>
      <c r="B233" t="s">
        <v>6</v>
      </c>
      <c r="E233" s="177" t="s">
        <v>26</v>
      </c>
      <c r="F233" s="282">
        <v>2407.5</v>
      </c>
      <c r="G233" s="282">
        <v>2568</v>
      </c>
      <c r="H233" s="282">
        <v>2855</v>
      </c>
      <c r="I233" s="282">
        <v>2955</v>
      </c>
      <c r="J233" s="282">
        <v>2550</v>
      </c>
      <c r="K233" s="282">
        <v>2415</v>
      </c>
      <c r="L233" s="283">
        <v>2970</v>
      </c>
      <c r="M233" s="282">
        <v>2584</v>
      </c>
      <c r="N233" s="284">
        <v>2856</v>
      </c>
      <c r="O233" s="283">
        <v>2730.5</v>
      </c>
      <c r="P233" s="282">
        <v>2008</v>
      </c>
      <c r="Q233" s="284">
        <v>2730.5</v>
      </c>
    </row>
    <row r="234" spans="1:17" ht="15" thickBot="1">
      <c r="A234">
        <v>1412000054</v>
      </c>
      <c r="B234" t="s">
        <v>6</v>
      </c>
      <c r="E234" s="178" t="s">
        <v>44</v>
      </c>
      <c r="F234" s="285">
        <v>2407.5</v>
      </c>
      <c r="G234" s="285">
        <v>2568</v>
      </c>
      <c r="H234" s="285">
        <v>2855</v>
      </c>
      <c r="I234" s="285">
        <v>2955</v>
      </c>
      <c r="J234" s="285">
        <v>2550</v>
      </c>
      <c r="K234" s="285">
        <v>2415</v>
      </c>
      <c r="L234" s="286">
        <v>2970</v>
      </c>
      <c r="M234" s="285">
        <v>2584</v>
      </c>
      <c r="N234" s="287">
        <v>2856</v>
      </c>
      <c r="O234" s="286">
        <v>2730.5</v>
      </c>
      <c r="P234" s="285">
        <v>2008</v>
      </c>
      <c r="Q234" s="287">
        <v>2730.5</v>
      </c>
    </row>
    <row r="235" spans="1:17" ht="15" thickBot="1">
      <c r="A235">
        <v>1412000054</v>
      </c>
      <c r="B235" t="s">
        <v>6</v>
      </c>
      <c r="F235" s="288"/>
      <c r="G235" s="288"/>
      <c r="H235" s="288"/>
      <c r="I235" s="288"/>
      <c r="J235" s="288"/>
      <c r="K235" s="288"/>
      <c r="L235" s="288"/>
      <c r="M235" s="288"/>
      <c r="N235" s="288"/>
      <c r="O235" s="288"/>
      <c r="P235" s="288"/>
      <c r="Q235" s="288"/>
    </row>
    <row r="236" spans="1:17">
      <c r="A236">
        <v>1412000054</v>
      </c>
      <c r="B236" t="s">
        <v>6</v>
      </c>
      <c r="E236" s="220" t="s">
        <v>29</v>
      </c>
      <c r="F236" s="289"/>
      <c r="G236" s="289"/>
      <c r="H236" s="289"/>
      <c r="I236" s="289"/>
      <c r="J236" s="289"/>
      <c r="K236" s="289"/>
      <c r="L236" s="289"/>
      <c r="M236" s="289"/>
      <c r="N236" s="290"/>
      <c r="O236" s="289"/>
      <c r="P236" s="289"/>
      <c r="Q236" s="278"/>
    </row>
    <row r="237" spans="1:17">
      <c r="A237">
        <v>1412000054</v>
      </c>
      <c r="B237" t="s">
        <v>6</v>
      </c>
      <c r="E237" s="176" t="s">
        <v>25</v>
      </c>
      <c r="F237" s="279">
        <v>0</v>
      </c>
      <c r="G237" s="279">
        <v>0</v>
      </c>
      <c r="H237" s="279">
        <v>0</v>
      </c>
      <c r="I237" s="279">
        <v>0</v>
      </c>
      <c r="J237" s="279">
        <v>0</v>
      </c>
      <c r="K237" s="279">
        <v>0</v>
      </c>
      <c r="L237" s="279">
        <v>0</v>
      </c>
      <c r="M237" s="279">
        <v>0</v>
      </c>
      <c r="N237" s="280">
        <v>0</v>
      </c>
      <c r="O237" s="281">
        <v>0</v>
      </c>
      <c r="P237" s="279">
        <v>0</v>
      </c>
      <c r="Q237" s="280">
        <v>0</v>
      </c>
    </row>
    <row r="238" spans="1:17">
      <c r="A238">
        <v>1412000054</v>
      </c>
      <c r="B238" t="s">
        <v>6</v>
      </c>
      <c r="E238" s="312" t="s">
        <v>106</v>
      </c>
      <c r="F238" s="306">
        <v>152</v>
      </c>
      <c r="G238" s="306">
        <v>144</v>
      </c>
      <c r="H238" s="306">
        <v>160</v>
      </c>
      <c r="I238" s="306">
        <v>176</v>
      </c>
      <c r="J238" s="306">
        <v>177.5</v>
      </c>
      <c r="K238" s="306">
        <v>144</v>
      </c>
      <c r="L238" s="306">
        <v>176</v>
      </c>
      <c r="M238" s="306">
        <v>152</v>
      </c>
      <c r="N238" s="307">
        <v>168</v>
      </c>
      <c r="O238" s="308">
        <v>152</v>
      </c>
      <c r="P238" s="306">
        <v>137.5</v>
      </c>
      <c r="Q238" s="307">
        <v>152</v>
      </c>
    </row>
    <row r="239" spans="1:17">
      <c r="A239">
        <v>1412000054</v>
      </c>
      <c r="B239" t="s">
        <v>6</v>
      </c>
      <c r="E239" s="314" t="s">
        <v>158</v>
      </c>
      <c r="F239" s="309">
        <v>0</v>
      </c>
      <c r="G239" s="309">
        <v>0</v>
      </c>
      <c r="H239" s="309">
        <v>0</v>
      </c>
      <c r="I239" s="309">
        <v>0</v>
      </c>
      <c r="J239" s="309">
        <v>0</v>
      </c>
      <c r="K239" s="309">
        <v>0</v>
      </c>
      <c r="L239" s="309">
        <v>0</v>
      </c>
      <c r="M239" s="309">
        <v>0</v>
      </c>
      <c r="N239" s="310">
        <v>0</v>
      </c>
      <c r="O239" s="311">
        <v>0</v>
      </c>
      <c r="P239" s="309">
        <v>0</v>
      </c>
      <c r="Q239" s="310">
        <v>0</v>
      </c>
    </row>
    <row r="240" spans="1:17">
      <c r="A240">
        <v>1412000054</v>
      </c>
      <c r="B240" t="s">
        <v>6</v>
      </c>
      <c r="E240" s="177" t="s">
        <v>26</v>
      </c>
      <c r="F240" s="282">
        <v>152</v>
      </c>
      <c r="G240" s="282">
        <v>144</v>
      </c>
      <c r="H240" s="282">
        <v>160</v>
      </c>
      <c r="I240" s="282">
        <v>176</v>
      </c>
      <c r="J240" s="282">
        <v>177.5</v>
      </c>
      <c r="K240" s="282">
        <v>144</v>
      </c>
      <c r="L240" s="283">
        <v>176</v>
      </c>
      <c r="M240" s="282">
        <v>152</v>
      </c>
      <c r="N240" s="284">
        <v>168</v>
      </c>
      <c r="O240" s="283">
        <v>152</v>
      </c>
      <c r="P240" s="282">
        <v>137.5</v>
      </c>
      <c r="Q240" s="284">
        <v>152</v>
      </c>
    </row>
    <row r="241" spans="1:17" ht="15" thickBot="1">
      <c r="A241">
        <v>1412000054</v>
      </c>
      <c r="B241" t="s">
        <v>6</v>
      </c>
      <c r="E241" s="178" t="s">
        <v>45</v>
      </c>
      <c r="F241" s="285">
        <v>152</v>
      </c>
      <c r="G241" s="285">
        <v>144</v>
      </c>
      <c r="H241" s="285">
        <v>160</v>
      </c>
      <c r="I241" s="285">
        <v>176</v>
      </c>
      <c r="J241" s="285">
        <v>177.5</v>
      </c>
      <c r="K241" s="285">
        <v>144</v>
      </c>
      <c r="L241" s="286">
        <v>176</v>
      </c>
      <c r="M241" s="285">
        <v>152</v>
      </c>
      <c r="N241" s="287">
        <v>168</v>
      </c>
      <c r="O241" s="286">
        <v>152</v>
      </c>
      <c r="P241" s="285">
        <v>137.5</v>
      </c>
      <c r="Q241" s="287">
        <v>152</v>
      </c>
    </row>
    <row r="242" spans="1:17">
      <c r="A242">
        <v>1412000036</v>
      </c>
      <c r="B242" t="s">
        <v>162</v>
      </c>
      <c r="E242" s="220" t="s">
        <v>40</v>
      </c>
      <c r="F242" s="201"/>
      <c r="G242" s="201"/>
      <c r="H242" s="201"/>
      <c r="I242" s="201"/>
      <c r="J242" s="201"/>
      <c r="K242" s="201"/>
      <c r="L242" s="201"/>
      <c r="M242" s="201"/>
      <c r="N242" s="202"/>
      <c r="O242" s="201"/>
      <c r="P242" s="201"/>
      <c r="Q242" s="202"/>
    </row>
    <row r="243" spans="1:17">
      <c r="A243">
        <v>1412000036</v>
      </c>
      <c r="B243" t="s">
        <v>162</v>
      </c>
      <c r="E243" s="176" t="s">
        <v>25</v>
      </c>
      <c r="F243" s="267"/>
      <c r="G243" s="267"/>
      <c r="H243" s="267"/>
      <c r="I243" s="267"/>
      <c r="J243" s="267"/>
      <c r="K243" s="267"/>
      <c r="L243" s="267"/>
      <c r="M243" s="267"/>
      <c r="N243" s="268"/>
      <c r="O243" s="269"/>
      <c r="P243" s="267"/>
      <c r="Q243" s="268"/>
    </row>
    <row r="244" spans="1:17">
      <c r="A244">
        <v>1412000036</v>
      </c>
      <c r="B244" t="s">
        <v>162</v>
      </c>
      <c r="E244" s="312" t="s">
        <v>106</v>
      </c>
      <c r="F244" s="300">
        <v>35</v>
      </c>
      <c r="G244" s="300">
        <v>35</v>
      </c>
      <c r="H244" s="300">
        <v>35</v>
      </c>
      <c r="I244" s="300">
        <v>38</v>
      </c>
      <c r="J244" s="300">
        <v>38</v>
      </c>
      <c r="K244" s="300">
        <v>38</v>
      </c>
      <c r="L244" s="300">
        <v>38</v>
      </c>
      <c r="M244" s="300">
        <v>38</v>
      </c>
      <c r="N244" s="301">
        <v>38</v>
      </c>
      <c r="O244" s="302">
        <v>38</v>
      </c>
      <c r="P244" s="300">
        <v>38</v>
      </c>
      <c r="Q244" s="301">
        <v>38</v>
      </c>
    </row>
    <row r="245" spans="1:17">
      <c r="A245">
        <v>1412000036</v>
      </c>
      <c r="B245" t="s">
        <v>162</v>
      </c>
      <c r="E245" s="314" t="s">
        <v>158</v>
      </c>
      <c r="F245" s="303">
        <v>348</v>
      </c>
      <c r="G245" s="303">
        <v>344</v>
      </c>
      <c r="H245" s="303">
        <v>342</v>
      </c>
      <c r="I245" s="303">
        <v>337</v>
      </c>
      <c r="J245" s="303">
        <v>337</v>
      </c>
      <c r="K245" s="303">
        <v>336</v>
      </c>
      <c r="L245" s="303">
        <v>334</v>
      </c>
      <c r="M245" s="303">
        <v>332</v>
      </c>
      <c r="N245" s="304">
        <v>330</v>
      </c>
      <c r="O245" s="305">
        <v>346</v>
      </c>
      <c r="P245" s="303">
        <v>361</v>
      </c>
      <c r="Q245" s="304">
        <v>359</v>
      </c>
    </row>
    <row r="246" spans="1:17">
      <c r="A246">
        <v>1412000036</v>
      </c>
      <c r="B246" t="s">
        <v>162</v>
      </c>
      <c r="E246" s="177" t="s">
        <v>26</v>
      </c>
      <c r="F246" s="270">
        <v>383</v>
      </c>
      <c r="G246" s="270">
        <v>379</v>
      </c>
      <c r="H246" s="270">
        <v>377</v>
      </c>
      <c r="I246" s="270">
        <v>375</v>
      </c>
      <c r="J246" s="270">
        <v>375</v>
      </c>
      <c r="K246" s="270">
        <v>374</v>
      </c>
      <c r="L246" s="271">
        <v>372</v>
      </c>
      <c r="M246" s="270">
        <v>370</v>
      </c>
      <c r="N246" s="272">
        <v>368</v>
      </c>
      <c r="O246" s="271">
        <v>384</v>
      </c>
      <c r="P246" s="270">
        <v>399</v>
      </c>
      <c r="Q246" s="272">
        <v>397</v>
      </c>
    </row>
    <row r="247" spans="1:17" ht="15" thickBot="1">
      <c r="A247">
        <v>1412000036</v>
      </c>
      <c r="B247" t="s">
        <v>162</v>
      </c>
      <c r="E247" s="178" t="s">
        <v>27</v>
      </c>
      <c r="F247" s="273">
        <v>383</v>
      </c>
      <c r="G247" s="273">
        <v>379</v>
      </c>
      <c r="H247" s="273">
        <v>377</v>
      </c>
      <c r="I247" s="273">
        <v>375</v>
      </c>
      <c r="J247" s="273">
        <v>375</v>
      </c>
      <c r="K247" s="273">
        <v>374</v>
      </c>
      <c r="L247" s="274">
        <v>372</v>
      </c>
      <c r="M247" s="273">
        <v>370</v>
      </c>
      <c r="N247" s="275">
        <v>368</v>
      </c>
      <c r="O247" s="274">
        <v>384</v>
      </c>
      <c r="P247" s="273">
        <v>399</v>
      </c>
      <c r="Q247" s="275">
        <v>397</v>
      </c>
    </row>
    <row r="248" spans="1:17" ht="15" thickBot="1">
      <c r="A248">
        <v>1412000036</v>
      </c>
      <c r="B248" t="s">
        <v>162</v>
      </c>
      <c r="F248" s="276"/>
      <c r="G248" s="276"/>
      <c r="H248" s="276"/>
      <c r="I248" s="276"/>
      <c r="J248" s="276"/>
      <c r="K248" s="276"/>
      <c r="L248" s="276"/>
      <c r="M248" s="276"/>
      <c r="N248" s="276"/>
      <c r="O248" s="276"/>
      <c r="P248" s="276"/>
      <c r="Q248" s="276"/>
    </row>
    <row r="249" spans="1:17">
      <c r="A249">
        <v>1412000036</v>
      </c>
      <c r="B249" t="s">
        <v>162</v>
      </c>
      <c r="E249" s="220" t="s">
        <v>28</v>
      </c>
      <c r="F249" s="277"/>
      <c r="G249" s="277"/>
      <c r="H249" s="277"/>
      <c r="I249" s="277"/>
      <c r="J249" s="277"/>
      <c r="K249" s="277"/>
      <c r="L249" s="277"/>
      <c r="M249" s="277"/>
      <c r="N249" s="278"/>
      <c r="O249" s="277"/>
      <c r="P249" s="277"/>
      <c r="Q249" s="278"/>
    </row>
    <row r="250" spans="1:17">
      <c r="A250">
        <v>1412000036</v>
      </c>
      <c r="B250" t="s">
        <v>162</v>
      </c>
      <c r="E250" s="176" t="s">
        <v>25</v>
      </c>
      <c r="F250" s="279"/>
      <c r="G250" s="279"/>
      <c r="H250" s="279"/>
      <c r="I250" s="279"/>
      <c r="J250" s="279"/>
      <c r="K250" s="279"/>
      <c r="L250" s="279"/>
      <c r="M250" s="279"/>
      <c r="N250" s="280"/>
      <c r="O250" s="281"/>
      <c r="P250" s="279"/>
      <c r="Q250" s="280"/>
    </row>
    <row r="251" spans="1:17">
      <c r="A251">
        <v>1412000036</v>
      </c>
      <c r="B251" t="s">
        <v>162</v>
      </c>
      <c r="E251" s="312" t="s">
        <v>106</v>
      </c>
      <c r="F251" s="306">
        <v>5780</v>
      </c>
      <c r="G251" s="306">
        <v>5491</v>
      </c>
      <c r="H251" s="306">
        <v>6069</v>
      </c>
      <c r="I251" s="306">
        <v>7233.5</v>
      </c>
      <c r="J251" s="306">
        <v>6290</v>
      </c>
      <c r="K251" s="306">
        <v>5975.5</v>
      </c>
      <c r="L251" s="306">
        <v>7233.5</v>
      </c>
      <c r="M251" s="306">
        <v>6290</v>
      </c>
      <c r="N251" s="307">
        <v>6919</v>
      </c>
      <c r="O251" s="308">
        <v>6290</v>
      </c>
      <c r="P251" s="306">
        <v>4717.5</v>
      </c>
      <c r="Q251" s="307">
        <v>6290</v>
      </c>
    </row>
    <row r="252" spans="1:17">
      <c r="A252">
        <v>1412000036</v>
      </c>
      <c r="B252" t="s">
        <v>162</v>
      </c>
      <c r="E252" s="314" t="s">
        <v>158</v>
      </c>
      <c r="F252" s="309">
        <v>54060</v>
      </c>
      <c r="G252" s="309">
        <v>50711</v>
      </c>
      <c r="H252" s="309">
        <v>55692</v>
      </c>
      <c r="I252" s="309">
        <v>58981.5</v>
      </c>
      <c r="J252" s="309">
        <v>50464.5</v>
      </c>
      <c r="K252" s="309">
        <v>50923.5</v>
      </c>
      <c r="L252" s="309">
        <v>60681.5</v>
      </c>
      <c r="M252" s="309">
        <v>51340</v>
      </c>
      <c r="N252" s="310">
        <v>56100</v>
      </c>
      <c r="O252" s="311">
        <v>52691.5</v>
      </c>
      <c r="P252" s="309">
        <v>43979</v>
      </c>
      <c r="Q252" s="310">
        <v>56202</v>
      </c>
    </row>
    <row r="253" spans="1:17">
      <c r="A253">
        <v>1412000036</v>
      </c>
      <c r="B253" t="s">
        <v>162</v>
      </c>
      <c r="E253" s="177" t="s">
        <v>26</v>
      </c>
      <c r="F253" s="282">
        <v>59840</v>
      </c>
      <c r="G253" s="282">
        <v>56202</v>
      </c>
      <c r="H253" s="282">
        <v>61761</v>
      </c>
      <c r="I253" s="282">
        <v>66215</v>
      </c>
      <c r="J253" s="282">
        <v>56754.5</v>
      </c>
      <c r="K253" s="282">
        <v>56899</v>
      </c>
      <c r="L253" s="283">
        <v>67915</v>
      </c>
      <c r="M253" s="282">
        <v>57630</v>
      </c>
      <c r="N253" s="284">
        <v>63019</v>
      </c>
      <c r="O253" s="283">
        <v>58981.5</v>
      </c>
      <c r="P253" s="282">
        <v>48696.5</v>
      </c>
      <c r="Q253" s="284">
        <v>62492</v>
      </c>
    </row>
    <row r="254" spans="1:17" ht="15" thickBot="1">
      <c r="A254">
        <v>1412000036</v>
      </c>
      <c r="B254" t="s">
        <v>162</v>
      </c>
      <c r="E254" s="178" t="s">
        <v>44</v>
      </c>
      <c r="F254" s="285">
        <v>59840</v>
      </c>
      <c r="G254" s="285">
        <v>56202</v>
      </c>
      <c r="H254" s="285">
        <v>61761</v>
      </c>
      <c r="I254" s="285">
        <v>66215</v>
      </c>
      <c r="J254" s="285">
        <v>56754.5</v>
      </c>
      <c r="K254" s="285">
        <v>56899</v>
      </c>
      <c r="L254" s="286">
        <v>67915</v>
      </c>
      <c r="M254" s="285">
        <v>57630</v>
      </c>
      <c r="N254" s="287">
        <v>63019</v>
      </c>
      <c r="O254" s="286">
        <v>58981.5</v>
      </c>
      <c r="P254" s="285">
        <v>48696.5</v>
      </c>
      <c r="Q254" s="287">
        <v>62492</v>
      </c>
    </row>
    <row r="255" spans="1:17" ht="15" thickBot="1">
      <c r="A255">
        <v>1412000036</v>
      </c>
      <c r="B255" t="s">
        <v>162</v>
      </c>
      <c r="F255" s="288"/>
      <c r="G255" s="288"/>
      <c r="H255" s="288"/>
      <c r="I255" s="288"/>
      <c r="J255" s="288"/>
      <c r="K255" s="288"/>
      <c r="L255" s="288"/>
      <c r="M255" s="288"/>
      <c r="N255" s="288"/>
      <c r="O255" s="288"/>
      <c r="P255" s="288"/>
      <c r="Q255" s="288"/>
    </row>
    <row r="256" spans="1:17">
      <c r="A256">
        <v>1412000036</v>
      </c>
      <c r="B256" t="s">
        <v>162</v>
      </c>
      <c r="E256" s="220" t="s">
        <v>29</v>
      </c>
      <c r="F256" s="289"/>
      <c r="G256" s="289"/>
      <c r="H256" s="289"/>
      <c r="I256" s="289"/>
      <c r="J256" s="289"/>
      <c r="K256" s="289"/>
      <c r="L256" s="289"/>
      <c r="M256" s="289"/>
      <c r="N256" s="290"/>
      <c r="O256" s="289"/>
      <c r="P256" s="289"/>
      <c r="Q256" s="278"/>
    </row>
    <row r="257" spans="1:17">
      <c r="A257">
        <v>1412000036</v>
      </c>
      <c r="B257" t="s">
        <v>162</v>
      </c>
      <c r="E257" s="176" t="s">
        <v>25</v>
      </c>
      <c r="F257" s="279"/>
      <c r="G257" s="279"/>
      <c r="H257" s="279"/>
      <c r="I257" s="279"/>
      <c r="J257" s="279"/>
      <c r="K257" s="279"/>
      <c r="L257" s="279"/>
      <c r="M257" s="279"/>
      <c r="N257" s="280"/>
      <c r="O257" s="281"/>
      <c r="P257" s="279"/>
      <c r="Q257" s="280"/>
    </row>
    <row r="258" spans="1:17">
      <c r="A258">
        <v>1412000036</v>
      </c>
      <c r="B258" t="s">
        <v>162</v>
      </c>
      <c r="E258" s="312" t="s">
        <v>106</v>
      </c>
      <c r="F258" s="306">
        <v>120</v>
      </c>
      <c r="G258" s="306">
        <v>114</v>
      </c>
      <c r="H258" s="306">
        <v>126</v>
      </c>
      <c r="I258" s="306">
        <v>138</v>
      </c>
      <c r="J258" s="306">
        <v>443</v>
      </c>
      <c r="K258" s="306">
        <v>199</v>
      </c>
      <c r="L258" s="306">
        <v>223</v>
      </c>
      <c r="M258" s="306">
        <v>205</v>
      </c>
      <c r="N258" s="307">
        <v>217</v>
      </c>
      <c r="O258" s="308">
        <v>205</v>
      </c>
      <c r="P258" s="306">
        <v>413</v>
      </c>
      <c r="Q258" s="307">
        <v>205</v>
      </c>
    </row>
    <row r="259" spans="1:17">
      <c r="A259">
        <v>1412000036</v>
      </c>
      <c r="B259" t="s">
        <v>162</v>
      </c>
      <c r="E259" s="314" t="s">
        <v>158</v>
      </c>
      <c r="F259" s="309"/>
      <c r="G259" s="309"/>
      <c r="H259" s="309"/>
      <c r="I259" s="309"/>
      <c r="J259" s="309">
        <v>1922</v>
      </c>
      <c r="K259" s="309">
        <v>2593</v>
      </c>
      <c r="L259" s="309">
        <v>2619</v>
      </c>
      <c r="M259" s="309">
        <v>1249</v>
      </c>
      <c r="N259" s="310">
        <v>2988</v>
      </c>
      <c r="O259" s="311">
        <v>3852</v>
      </c>
      <c r="P259" s="309">
        <v>3456</v>
      </c>
      <c r="Q259" s="310">
        <v>3951</v>
      </c>
    </row>
    <row r="260" spans="1:17">
      <c r="A260">
        <v>1412000036</v>
      </c>
      <c r="B260" t="s">
        <v>162</v>
      </c>
      <c r="E260" s="177" t="s">
        <v>26</v>
      </c>
      <c r="F260" s="282">
        <v>120</v>
      </c>
      <c r="G260" s="282">
        <v>114</v>
      </c>
      <c r="H260" s="282">
        <v>126</v>
      </c>
      <c r="I260" s="282">
        <v>138</v>
      </c>
      <c r="J260" s="282">
        <v>2365</v>
      </c>
      <c r="K260" s="282">
        <v>2792</v>
      </c>
      <c r="L260" s="283">
        <v>2842</v>
      </c>
      <c r="M260" s="282">
        <v>1454</v>
      </c>
      <c r="N260" s="284">
        <v>3205</v>
      </c>
      <c r="O260" s="283">
        <v>4057</v>
      </c>
      <c r="P260" s="282">
        <v>3869</v>
      </c>
      <c r="Q260" s="284">
        <v>4156</v>
      </c>
    </row>
    <row r="261" spans="1:17" ht="15" thickBot="1">
      <c r="A261">
        <v>1412000036</v>
      </c>
      <c r="B261" t="s">
        <v>162</v>
      </c>
      <c r="E261" s="178" t="s">
        <v>45</v>
      </c>
      <c r="F261" s="285">
        <v>120</v>
      </c>
      <c r="G261" s="285">
        <v>114</v>
      </c>
      <c r="H261" s="285">
        <v>126</v>
      </c>
      <c r="I261" s="285">
        <v>138</v>
      </c>
      <c r="J261" s="285">
        <v>2365</v>
      </c>
      <c r="K261" s="285">
        <v>2792</v>
      </c>
      <c r="L261" s="286">
        <v>2842</v>
      </c>
      <c r="M261" s="285">
        <v>1454</v>
      </c>
      <c r="N261" s="287">
        <v>3205</v>
      </c>
      <c r="O261" s="286">
        <v>4057</v>
      </c>
      <c r="P261" s="285">
        <v>3869</v>
      </c>
      <c r="Q261" s="287">
        <v>4156</v>
      </c>
    </row>
    <row r="262" spans="1:17">
      <c r="A262">
        <v>1412000006</v>
      </c>
      <c r="B262" t="s">
        <v>1</v>
      </c>
      <c r="E262" s="220" t="s">
        <v>40</v>
      </c>
      <c r="F262" s="201"/>
      <c r="G262" s="201"/>
      <c r="H262" s="201"/>
      <c r="I262" s="201"/>
      <c r="J262" s="201"/>
      <c r="K262" s="201"/>
      <c r="L262" s="201"/>
      <c r="M262" s="201"/>
      <c r="N262" s="202"/>
      <c r="O262" s="201"/>
      <c r="P262" s="201"/>
      <c r="Q262" s="202"/>
    </row>
    <row r="263" spans="1:17">
      <c r="A263">
        <v>1412000006</v>
      </c>
      <c r="B263" t="s">
        <v>1</v>
      </c>
      <c r="E263" s="176" t="s">
        <v>25</v>
      </c>
      <c r="F263" s="267"/>
      <c r="G263" s="267"/>
      <c r="H263" s="267"/>
      <c r="I263" s="267"/>
      <c r="J263" s="267"/>
      <c r="K263" s="267"/>
      <c r="L263" s="267"/>
      <c r="M263" s="267"/>
      <c r="N263" s="268"/>
      <c r="O263" s="269"/>
      <c r="P263" s="267"/>
      <c r="Q263" s="268"/>
    </row>
    <row r="264" spans="1:17">
      <c r="A264">
        <v>1412000006</v>
      </c>
      <c r="B264" t="s">
        <v>1</v>
      </c>
      <c r="E264" s="312" t="s">
        <v>106</v>
      </c>
      <c r="F264" s="300">
        <v>14</v>
      </c>
      <c r="G264" s="300">
        <v>14</v>
      </c>
      <c r="H264" s="300">
        <v>14</v>
      </c>
      <c r="I264" s="300">
        <v>14</v>
      </c>
      <c r="J264" s="300">
        <v>15</v>
      </c>
      <c r="K264" s="300">
        <v>15</v>
      </c>
      <c r="L264" s="300">
        <v>15</v>
      </c>
      <c r="M264" s="300">
        <v>15</v>
      </c>
      <c r="N264" s="301">
        <v>15</v>
      </c>
      <c r="O264" s="302">
        <v>15</v>
      </c>
      <c r="P264" s="300">
        <v>15</v>
      </c>
      <c r="Q264" s="301">
        <v>15</v>
      </c>
    </row>
    <row r="265" spans="1:17">
      <c r="A265">
        <v>1412000006</v>
      </c>
      <c r="B265" t="s">
        <v>1</v>
      </c>
      <c r="E265" s="314" t="s">
        <v>158</v>
      </c>
      <c r="F265" s="303"/>
      <c r="G265" s="303"/>
      <c r="H265" s="303"/>
      <c r="I265" s="303"/>
      <c r="J265" s="303"/>
      <c r="K265" s="303"/>
      <c r="L265" s="303"/>
      <c r="M265" s="303"/>
      <c r="N265" s="304"/>
      <c r="O265" s="305"/>
      <c r="P265" s="303"/>
      <c r="Q265" s="304"/>
    </row>
    <row r="266" spans="1:17">
      <c r="A266">
        <v>1412000006</v>
      </c>
      <c r="B266" t="s">
        <v>1</v>
      </c>
      <c r="E266" s="177" t="s">
        <v>26</v>
      </c>
      <c r="F266" s="270">
        <v>14</v>
      </c>
      <c r="G266" s="270">
        <v>14</v>
      </c>
      <c r="H266" s="270">
        <v>14</v>
      </c>
      <c r="I266" s="270">
        <v>14</v>
      </c>
      <c r="J266" s="270">
        <v>15</v>
      </c>
      <c r="K266" s="270">
        <v>15</v>
      </c>
      <c r="L266" s="271">
        <v>15</v>
      </c>
      <c r="M266" s="270">
        <v>15</v>
      </c>
      <c r="N266" s="272">
        <v>15</v>
      </c>
      <c r="O266" s="271">
        <v>15</v>
      </c>
      <c r="P266" s="270">
        <v>15</v>
      </c>
      <c r="Q266" s="272">
        <v>15</v>
      </c>
    </row>
    <row r="267" spans="1:17" ht="15" thickBot="1">
      <c r="A267">
        <v>1412000006</v>
      </c>
      <c r="B267" t="s">
        <v>1</v>
      </c>
      <c r="E267" s="178" t="s">
        <v>27</v>
      </c>
      <c r="F267" s="273">
        <v>14</v>
      </c>
      <c r="G267" s="273">
        <v>14</v>
      </c>
      <c r="H267" s="273">
        <v>14</v>
      </c>
      <c r="I267" s="273">
        <v>14</v>
      </c>
      <c r="J267" s="273">
        <v>15</v>
      </c>
      <c r="K267" s="273">
        <v>15</v>
      </c>
      <c r="L267" s="274">
        <v>15</v>
      </c>
      <c r="M267" s="273">
        <v>15</v>
      </c>
      <c r="N267" s="275">
        <v>15</v>
      </c>
      <c r="O267" s="274">
        <v>15</v>
      </c>
      <c r="P267" s="273">
        <v>15</v>
      </c>
      <c r="Q267" s="275">
        <v>15</v>
      </c>
    </row>
    <row r="268" spans="1:17" ht="15" thickBot="1">
      <c r="A268">
        <v>1412000006</v>
      </c>
      <c r="B268" t="s">
        <v>1</v>
      </c>
      <c r="F268" s="276"/>
      <c r="G268" s="276"/>
      <c r="H268" s="276"/>
      <c r="I268" s="276"/>
      <c r="J268" s="276"/>
      <c r="K268" s="276"/>
      <c r="L268" s="276"/>
      <c r="M268" s="276"/>
      <c r="N268" s="276"/>
      <c r="O268" s="276"/>
      <c r="P268" s="276"/>
      <c r="Q268" s="276"/>
    </row>
    <row r="269" spans="1:17">
      <c r="A269">
        <v>1412000006</v>
      </c>
      <c r="B269" t="s">
        <v>1</v>
      </c>
      <c r="E269" s="220" t="s">
        <v>28</v>
      </c>
      <c r="F269" s="277"/>
      <c r="G269" s="277"/>
      <c r="H269" s="277"/>
      <c r="I269" s="277"/>
      <c r="J269" s="277"/>
      <c r="K269" s="277"/>
      <c r="L269" s="277"/>
      <c r="M269" s="277"/>
      <c r="N269" s="278"/>
      <c r="O269" s="277"/>
      <c r="P269" s="277"/>
      <c r="Q269" s="278"/>
    </row>
    <row r="270" spans="1:17">
      <c r="A270">
        <v>1412000006</v>
      </c>
      <c r="B270" t="s">
        <v>1</v>
      </c>
      <c r="E270" s="176" t="s">
        <v>25</v>
      </c>
      <c r="F270" s="279"/>
      <c r="G270" s="279"/>
      <c r="H270" s="279"/>
      <c r="I270" s="279"/>
      <c r="J270" s="279"/>
      <c r="K270" s="279"/>
      <c r="L270" s="279"/>
      <c r="M270" s="279"/>
      <c r="N270" s="280"/>
      <c r="O270" s="281"/>
      <c r="P270" s="279"/>
      <c r="Q270" s="280"/>
    </row>
    <row r="271" spans="1:17">
      <c r="A271">
        <v>1412000006</v>
      </c>
      <c r="B271" t="s">
        <v>1</v>
      </c>
      <c r="E271" s="312" t="s">
        <v>106</v>
      </c>
      <c r="F271" s="306">
        <v>2303.5</v>
      </c>
      <c r="G271" s="306">
        <v>2184.5</v>
      </c>
      <c r="H271" s="306">
        <v>2422.5</v>
      </c>
      <c r="I271" s="306">
        <v>2660.5</v>
      </c>
      <c r="J271" s="306">
        <v>2465</v>
      </c>
      <c r="K271" s="306">
        <v>2337.5</v>
      </c>
      <c r="L271" s="306">
        <v>2847.5</v>
      </c>
      <c r="M271" s="306">
        <v>2465</v>
      </c>
      <c r="N271" s="307">
        <v>2720</v>
      </c>
      <c r="O271" s="308">
        <v>2465</v>
      </c>
      <c r="P271" s="306">
        <v>1827.5</v>
      </c>
      <c r="Q271" s="307">
        <v>2465</v>
      </c>
    </row>
    <row r="272" spans="1:17">
      <c r="A272">
        <v>1412000006</v>
      </c>
      <c r="B272" t="s">
        <v>1</v>
      </c>
      <c r="E272" s="314" t="s">
        <v>158</v>
      </c>
      <c r="F272" s="309"/>
      <c r="G272" s="309"/>
      <c r="H272" s="309"/>
      <c r="I272" s="309"/>
      <c r="J272" s="309"/>
      <c r="K272" s="309"/>
      <c r="L272" s="309"/>
      <c r="M272" s="309"/>
      <c r="N272" s="310"/>
      <c r="O272" s="311"/>
      <c r="P272" s="309"/>
      <c r="Q272" s="310"/>
    </row>
    <row r="273" spans="1:17">
      <c r="A273">
        <v>1412000006</v>
      </c>
      <c r="B273" t="s">
        <v>1</v>
      </c>
      <c r="E273" s="177" t="s">
        <v>26</v>
      </c>
      <c r="F273" s="282">
        <v>2303.5</v>
      </c>
      <c r="G273" s="282">
        <v>2184.5</v>
      </c>
      <c r="H273" s="282">
        <v>2422.5</v>
      </c>
      <c r="I273" s="282">
        <v>2660.5</v>
      </c>
      <c r="J273" s="282">
        <v>2465</v>
      </c>
      <c r="K273" s="282">
        <v>2337.5</v>
      </c>
      <c r="L273" s="283">
        <v>2847.5</v>
      </c>
      <c r="M273" s="282">
        <v>2465</v>
      </c>
      <c r="N273" s="284">
        <v>2720</v>
      </c>
      <c r="O273" s="283">
        <v>2465</v>
      </c>
      <c r="P273" s="282">
        <v>1827.5</v>
      </c>
      <c r="Q273" s="284">
        <v>2465</v>
      </c>
    </row>
    <row r="274" spans="1:17" ht="15" thickBot="1">
      <c r="A274">
        <v>1412000006</v>
      </c>
      <c r="B274" t="s">
        <v>1</v>
      </c>
      <c r="E274" s="178" t="s">
        <v>44</v>
      </c>
      <c r="F274" s="285">
        <v>2303.5</v>
      </c>
      <c r="G274" s="285">
        <v>2184.5</v>
      </c>
      <c r="H274" s="285">
        <v>2422.5</v>
      </c>
      <c r="I274" s="285">
        <v>2660.5</v>
      </c>
      <c r="J274" s="285">
        <v>2465</v>
      </c>
      <c r="K274" s="285">
        <v>2337.5</v>
      </c>
      <c r="L274" s="286">
        <v>2847.5</v>
      </c>
      <c r="M274" s="285">
        <v>2465</v>
      </c>
      <c r="N274" s="287">
        <v>2720</v>
      </c>
      <c r="O274" s="286">
        <v>2465</v>
      </c>
      <c r="P274" s="285">
        <v>1827.5</v>
      </c>
      <c r="Q274" s="287">
        <v>2465</v>
      </c>
    </row>
    <row r="275" spans="1:17" ht="15" thickBot="1">
      <c r="A275">
        <v>1412000006</v>
      </c>
      <c r="B275" t="s">
        <v>1</v>
      </c>
      <c r="F275" s="288"/>
      <c r="G275" s="288"/>
      <c r="H275" s="288"/>
      <c r="I275" s="288"/>
      <c r="J275" s="288"/>
      <c r="K275" s="288"/>
      <c r="L275" s="288"/>
      <c r="M275" s="288"/>
      <c r="N275" s="288"/>
      <c r="O275" s="288"/>
      <c r="P275" s="288"/>
      <c r="Q275" s="288"/>
    </row>
    <row r="276" spans="1:17">
      <c r="A276">
        <v>1412000006</v>
      </c>
      <c r="B276" t="s">
        <v>1</v>
      </c>
      <c r="E276" s="220" t="s">
        <v>29</v>
      </c>
      <c r="F276" s="289"/>
      <c r="G276" s="289"/>
      <c r="H276" s="289"/>
      <c r="I276" s="289"/>
      <c r="J276" s="289"/>
      <c r="K276" s="289"/>
      <c r="L276" s="289"/>
      <c r="M276" s="289"/>
      <c r="N276" s="290"/>
      <c r="O276" s="289"/>
      <c r="P276" s="289"/>
      <c r="Q276" s="278"/>
    </row>
    <row r="277" spans="1:17">
      <c r="A277">
        <v>1412000006</v>
      </c>
      <c r="B277" t="s">
        <v>1</v>
      </c>
      <c r="E277" s="176" t="s">
        <v>25</v>
      </c>
      <c r="F277" s="279"/>
      <c r="G277" s="279"/>
      <c r="H277" s="279"/>
      <c r="I277" s="279"/>
      <c r="J277" s="279"/>
      <c r="K277" s="279"/>
      <c r="L277" s="279"/>
      <c r="M277" s="279"/>
      <c r="N277" s="280"/>
      <c r="O277" s="281"/>
      <c r="P277" s="279"/>
      <c r="Q277" s="280"/>
    </row>
    <row r="278" spans="1:17">
      <c r="A278">
        <v>1412000006</v>
      </c>
      <c r="B278" t="s">
        <v>1</v>
      </c>
      <c r="E278" s="312" t="s">
        <v>106</v>
      </c>
      <c r="F278" s="306">
        <v>130</v>
      </c>
      <c r="G278" s="306">
        <v>128</v>
      </c>
      <c r="H278" s="306">
        <v>82</v>
      </c>
      <c r="I278" s="306">
        <v>144</v>
      </c>
      <c r="J278" s="306">
        <v>132</v>
      </c>
      <c r="K278" s="306">
        <v>126</v>
      </c>
      <c r="L278" s="306">
        <v>198</v>
      </c>
      <c r="M278" s="306">
        <v>78</v>
      </c>
      <c r="N278" s="307">
        <v>84</v>
      </c>
      <c r="O278" s="308">
        <v>76</v>
      </c>
      <c r="P278" s="306">
        <v>164</v>
      </c>
      <c r="Q278" s="307">
        <v>78</v>
      </c>
    </row>
    <row r="279" spans="1:17">
      <c r="A279">
        <v>1412000006</v>
      </c>
      <c r="B279" t="s">
        <v>1</v>
      </c>
      <c r="E279" s="314" t="s">
        <v>158</v>
      </c>
      <c r="F279" s="309"/>
      <c r="G279" s="309"/>
      <c r="H279" s="309"/>
      <c r="I279" s="309"/>
      <c r="J279" s="309"/>
      <c r="K279" s="309"/>
      <c r="L279" s="309"/>
      <c r="M279" s="309"/>
      <c r="N279" s="310"/>
      <c r="O279" s="311"/>
      <c r="P279" s="309"/>
      <c r="Q279" s="310"/>
    </row>
    <row r="280" spans="1:17">
      <c r="A280">
        <v>1412000006</v>
      </c>
      <c r="B280" t="s">
        <v>1</v>
      </c>
      <c r="E280" s="177" t="s">
        <v>26</v>
      </c>
      <c r="F280" s="282">
        <v>130</v>
      </c>
      <c r="G280" s="282">
        <v>128</v>
      </c>
      <c r="H280" s="282">
        <v>82</v>
      </c>
      <c r="I280" s="282">
        <v>144</v>
      </c>
      <c r="J280" s="282">
        <v>132</v>
      </c>
      <c r="K280" s="282">
        <v>126</v>
      </c>
      <c r="L280" s="283">
        <v>198</v>
      </c>
      <c r="M280" s="282">
        <v>78</v>
      </c>
      <c r="N280" s="284">
        <v>84</v>
      </c>
      <c r="O280" s="283">
        <v>76</v>
      </c>
      <c r="P280" s="282">
        <v>164</v>
      </c>
      <c r="Q280" s="284">
        <v>78</v>
      </c>
    </row>
    <row r="281" spans="1:17" ht="15" thickBot="1">
      <c r="A281">
        <v>1412000006</v>
      </c>
      <c r="B281" t="s">
        <v>1</v>
      </c>
      <c r="E281" s="178" t="s">
        <v>45</v>
      </c>
      <c r="F281" s="285">
        <v>130</v>
      </c>
      <c r="G281" s="285">
        <v>128</v>
      </c>
      <c r="H281" s="285">
        <v>82</v>
      </c>
      <c r="I281" s="285">
        <v>144</v>
      </c>
      <c r="J281" s="285">
        <v>132</v>
      </c>
      <c r="K281" s="285">
        <v>126</v>
      </c>
      <c r="L281" s="286">
        <v>198</v>
      </c>
      <c r="M281" s="285">
        <v>78</v>
      </c>
      <c r="N281" s="287">
        <v>84</v>
      </c>
      <c r="O281" s="286">
        <v>76</v>
      </c>
      <c r="P281" s="285">
        <v>164</v>
      </c>
      <c r="Q281" s="287">
        <v>78</v>
      </c>
    </row>
    <row r="282" spans="1:17">
      <c r="A282">
        <v>1412000039</v>
      </c>
      <c r="B282" t="s">
        <v>2</v>
      </c>
      <c r="E282" s="220" t="s">
        <v>40</v>
      </c>
      <c r="F282" s="201"/>
      <c r="G282" s="201"/>
      <c r="H282" s="201"/>
      <c r="I282" s="201"/>
      <c r="J282" s="201"/>
      <c r="K282" s="201"/>
      <c r="L282" s="201"/>
      <c r="M282" s="201"/>
      <c r="N282" s="202"/>
      <c r="O282" s="201"/>
      <c r="P282" s="201"/>
      <c r="Q282" s="202"/>
    </row>
    <row r="283" spans="1:17">
      <c r="A283">
        <v>1412000039</v>
      </c>
      <c r="B283" t="s">
        <v>2</v>
      </c>
      <c r="E283" s="176" t="s">
        <v>25</v>
      </c>
      <c r="F283" s="267">
        <v>2</v>
      </c>
      <c r="G283" s="267">
        <v>2</v>
      </c>
      <c r="H283" s="267">
        <v>2</v>
      </c>
      <c r="I283" s="267">
        <v>2</v>
      </c>
      <c r="J283" s="267">
        <v>2</v>
      </c>
      <c r="K283" s="267">
        <v>2</v>
      </c>
      <c r="L283" s="267">
        <v>2</v>
      </c>
      <c r="M283" s="267">
        <v>2</v>
      </c>
      <c r="N283" s="268">
        <v>2</v>
      </c>
      <c r="O283" s="269">
        <v>2</v>
      </c>
      <c r="P283" s="267">
        <v>2</v>
      </c>
      <c r="Q283" s="268">
        <v>2</v>
      </c>
    </row>
    <row r="284" spans="1:17">
      <c r="A284">
        <v>1412000039</v>
      </c>
      <c r="B284" t="s">
        <v>2</v>
      </c>
      <c r="E284" s="312" t="s">
        <v>106</v>
      </c>
      <c r="F284" s="300">
        <v>19</v>
      </c>
      <c r="G284" s="300">
        <v>21</v>
      </c>
      <c r="H284" s="300">
        <v>21</v>
      </c>
      <c r="I284" s="300">
        <v>21</v>
      </c>
      <c r="J284" s="300">
        <v>21</v>
      </c>
      <c r="K284" s="300">
        <v>21</v>
      </c>
      <c r="L284" s="300">
        <v>21</v>
      </c>
      <c r="M284" s="300">
        <v>21</v>
      </c>
      <c r="N284" s="301">
        <v>21</v>
      </c>
      <c r="O284" s="302">
        <v>21</v>
      </c>
      <c r="P284" s="300">
        <v>21</v>
      </c>
      <c r="Q284" s="301">
        <v>21</v>
      </c>
    </row>
    <row r="285" spans="1:17">
      <c r="A285">
        <v>1412000039</v>
      </c>
      <c r="B285" t="s">
        <v>2</v>
      </c>
      <c r="E285" s="314" t="s">
        <v>158</v>
      </c>
      <c r="F285" s="303"/>
      <c r="G285" s="303"/>
      <c r="H285" s="303"/>
      <c r="I285" s="303"/>
      <c r="J285" s="303"/>
      <c r="K285" s="303"/>
      <c r="L285" s="303"/>
      <c r="M285" s="303"/>
      <c r="N285" s="304"/>
      <c r="O285" s="305"/>
      <c r="P285" s="303"/>
      <c r="Q285" s="304"/>
    </row>
    <row r="286" spans="1:17">
      <c r="A286">
        <v>1412000039</v>
      </c>
      <c r="B286" t="s">
        <v>2</v>
      </c>
      <c r="E286" s="177" t="s">
        <v>26</v>
      </c>
      <c r="F286" s="270">
        <v>19</v>
      </c>
      <c r="G286" s="270">
        <v>21</v>
      </c>
      <c r="H286" s="270">
        <v>21</v>
      </c>
      <c r="I286" s="270">
        <v>21</v>
      </c>
      <c r="J286" s="270">
        <v>21</v>
      </c>
      <c r="K286" s="270">
        <v>21</v>
      </c>
      <c r="L286" s="271">
        <v>21</v>
      </c>
      <c r="M286" s="270">
        <v>21</v>
      </c>
      <c r="N286" s="272">
        <v>21</v>
      </c>
      <c r="O286" s="271">
        <v>21</v>
      </c>
      <c r="P286" s="270">
        <v>21</v>
      </c>
      <c r="Q286" s="272">
        <v>21</v>
      </c>
    </row>
    <row r="287" spans="1:17" ht="15" thickBot="1">
      <c r="A287">
        <v>1412000039</v>
      </c>
      <c r="B287" t="s">
        <v>2</v>
      </c>
      <c r="E287" s="178" t="s">
        <v>27</v>
      </c>
      <c r="F287" s="273">
        <v>21</v>
      </c>
      <c r="G287" s="273">
        <v>23</v>
      </c>
      <c r="H287" s="273">
        <v>23</v>
      </c>
      <c r="I287" s="273">
        <v>23</v>
      </c>
      <c r="J287" s="273">
        <v>23</v>
      </c>
      <c r="K287" s="273">
        <v>23</v>
      </c>
      <c r="L287" s="274">
        <v>23</v>
      </c>
      <c r="M287" s="273">
        <v>23</v>
      </c>
      <c r="N287" s="275">
        <v>23</v>
      </c>
      <c r="O287" s="274">
        <v>23</v>
      </c>
      <c r="P287" s="273">
        <v>23</v>
      </c>
      <c r="Q287" s="275">
        <v>23</v>
      </c>
    </row>
    <row r="288" spans="1:17" ht="15" thickBot="1">
      <c r="A288">
        <v>1412000039</v>
      </c>
      <c r="B288" t="s">
        <v>2</v>
      </c>
      <c r="F288" s="276"/>
      <c r="G288" s="276"/>
      <c r="H288" s="276"/>
      <c r="I288" s="276"/>
      <c r="J288" s="276"/>
      <c r="K288" s="276"/>
      <c r="L288" s="276"/>
      <c r="M288" s="276"/>
      <c r="N288" s="276"/>
      <c r="O288" s="276"/>
      <c r="P288" s="276"/>
      <c r="Q288" s="276"/>
    </row>
    <row r="289" spans="1:17">
      <c r="A289">
        <v>1412000039</v>
      </c>
      <c r="B289" t="s">
        <v>2</v>
      </c>
      <c r="E289" s="220" t="s">
        <v>28</v>
      </c>
      <c r="F289" s="277"/>
      <c r="G289" s="277"/>
      <c r="H289" s="277"/>
      <c r="I289" s="277"/>
      <c r="J289" s="277"/>
      <c r="K289" s="277"/>
      <c r="L289" s="277"/>
      <c r="M289" s="277"/>
      <c r="N289" s="278"/>
      <c r="O289" s="277"/>
      <c r="P289" s="277"/>
      <c r="Q289" s="278"/>
    </row>
    <row r="290" spans="1:17">
      <c r="A290">
        <v>1412000039</v>
      </c>
      <c r="B290" t="s">
        <v>2</v>
      </c>
      <c r="E290" s="176" t="s">
        <v>25</v>
      </c>
      <c r="F290" s="279">
        <v>340</v>
      </c>
      <c r="G290" s="279">
        <v>323</v>
      </c>
      <c r="H290" s="279">
        <v>357</v>
      </c>
      <c r="I290" s="279">
        <v>391</v>
      </c>
      <c r="J290" s="279">
        <v>297.5</v>
      </c>
      <c r="K290" s="279">
        <v>323</v>
      </c>
      <c r="L290" s="279">
        <v>331.5</v>
      </c>
      <c r="M290" s="279">
        <v>340</v>
      </c>
      <c r="N290" s="280">
        <v>374</v>
      </c>
      <c r="O290" s="281">
        <v>297.5</v>
      </c>
      <c r="P290" s="279">
        <v>255</v>
      </c>
      <c r="Q290" s="280">
        <v>280.5</v>
      </c>
    </row>
    <row r="291" spans="1:17">
      <c r="A291">
        <v>1412000039</v>
      </c>
      <c r="B291" t="s">
        <v>2</v>
      </c>
      <c r="E291" s="312" t="s">
        <v>106</v>
      </c>
      <c r="F291" s="306">
        <v>2955</v>
      </c>
      <c r="G291" s="306">
        <v>3049.5</v>
      </c>
      <c r="H291" s="306">
        <v>3397</v>
      </c>
      <c r="I291" s="306">
        <v>3762</v>
      </c>
      <c r="J291" s="306">
        <v>3275</v>
      </c>
      <c r="K291" s="306">
        <v>3107</v>
      </c>
      <c r="L291" s="306">
        <v>3785</v>
      </c>
      <c r="M291" s="306">
        <v>3347.5</v>
      </c>
      <c r="N291" s="307">
        <v>3805.5</v>
      </c>
      <c r="O291" s="308">
        <v>3465</v>
      </c>
      <c r="P291" s="306">
        <v>2620</v>
      </c>
      <c r="Q291" s="307">
        <v>3465</v>
      </c>
    </row>
    <row r="292" spans="1:17">
      <c r="A292">
        <v>1412000039</v>
      </c>
      <c r="B292" t="s">
        <v>2</v>
      </c>
      <c r="E292" s="314" t="s">
        <v>158</v>
      </c>
      <c r="F292" s="309"/>
      <c r="G292" s="309"/>
      <c r="H292" s="309"/>
      <c r="I292" s="309"/>
      <c r="J292" s="309"/>
      <c r="K292" s="309"/>
      <c r="L292" s="309"/>
      <c r="M292" s="309"/>
      <c r="N292" s="310"/>
      <c r="O292" s="311"/>
      <c r="P292" s="309"/>
      <c r="Q292" s="310"/>
    </row>
    <row r="293" spans="1:17">
      <c r="A293">
        <v>1412000039</v>
      </c>
      <c r="B293" t="s">
        <v>2</v>
      </c>
      <c r="E293" s="177" t="s">
        <v>26</v>
      </c>
      <c r="F293" s="282">
        <v>2955</v>
      </c>
      <c r="G293" s="282">
        <v>3049.5</v>
      </c>
      <c r="H293" s="282">
        <v>3397</v>
      </c>
      <c r="I293" s="282">
        <v>3762</v>
      </c>
      <c r="J293" s="282">
        <v>3275</v>
      </c>
      <c r="K293" s="282">
        <v>3107</v>
      </c>
      <c r="L293" s="283">
        <v>3785</v>
      </c>
      <c r="M293" s="282">
        <v>3347.5</v>
      </c>
      <c r="N293" s="284">
        <v>3805.5</v>
      </c>
      <c r="O293" s="283">
        <v>3465</v>
      </c>
      <c r="P293" s="282">
        <v>2620</v>
      </c>
      <c r="Q293" s="284">
        <v>3465</v>
      </c>
    </row>
    <row r="294" spans="1:17" ht="15" thickBot="1">
      <c r="A294">
        <v>1412000039</v>
      </c>
      <c r="B294" t="s">
        <v>2</v>
      </c>
      <c r="E294" s="178" t="s">
        <v>44</v>
      </c>
      <c r="F294" s="285">
        <v>3295</v>
      </c>
      <c r="G294" s="285">
        <v>3372.5</v>
      </c>
      <c r="H294" s="285">
        <v>3754</v>
      </c>
      <c r="I294" s="285">
        <v>4153</v>
      </c>
      <c r="J294" s="285">
        <v>3572.5</v>
      </c>
      <c r="K294" s="285">
        <v>3430</v>
      </c>
      <c r="L294" s="286">
        <v>4116.5</v>
      </c>
      <c r="M294" s="285">
        <v>3687.5</v>
      </c>
      <c r="N294" s="287">
        <v>4179.5</v>
      </c>
      <c r="O294" s="286">
        <v>3762.5</v>
      </c>
      <c r="P294" s="285">
        <v>2875</v>
      </c>
      <c r="Q294" s="287">
        <v>3745.5</v>
      </c>
    </row>
    <row r="295" spans="1:17" ht="15" thickBot="1">
      <c r="A295">
        <v>1412000039</v>
      </c>
      <c r="B295" t="s">
        <v>2</v>
      </c>
      <c r="F295" s="288"/>
      <c r="G295" s="288"/>
      <c r="H295" s="288"/>
      <c r="I295" s="288"/>
      <c r="J295" s="288"/>
      <c r="K295" s="288"/>
      <c r="L295" s="288"/>
      <c r="M295" s="288"/>
      <c r="N295" s="288"/>
      <c r="O295" s="288"/>
      <c r="P295" s="288"/>
      <c r="Q295" s="288"/>
    </row>
    <row r="296" spans="1:17">
      <c r="A296">
        <v>1412000039</v>
      </c>
      <c r="B296" t="s">
        <v>2</v>
      </c>
      <c r="E296" s="220" t="s">
        <v>29</v>
      </c>
      <c r="F296" s="289"/>
      <c r="G296" s="289"/>
      <c r="H296" s="289"/>
      <c r="I296" s="289"/>
      <c r="J296" s="289"/>
      <c r="K296" s="289"/>
      <c r="L296" s="289"/>
      <c r="M296" s="289"/>
      <c r="N296" s="290"/>
      <c r="O296" s="289"/>
      <c r="P296" s="289"/>
      <c r="Q296" s="278"/>
    </row>
    <row r="297" spans="1:17">
      <c r="A297">
        <v>1412000039</v>
      </c>
      <c r="B297" t="s">
        <v>2</v>
      </c>
      <c r="E297" s="176" t="s">
        <v>25</v>
      </c>
      <c r="F297" s="279">
        <v>80</v>
      </c>
      <c r="G297" s="279">
        <v>76</v>
      </c>
      <c r="H297" s="279">
        <v>84</v>
      </c>
      <c r="I297" s="279">
        <v>92</v>
      </c>
      <c r="J297" s="279">
        <v>70</v>
      </c>
      <c r="K297" s="279">
        <v>76</v>
      </c>
      <c r="L297" s="279">
        <v>78</v>
      </c>
      <c r="M297" s="279">
        <v>80</v>
      </c>
      <c r="N297" s="280">
        <v>88</v>
      </c>
      <c r="O297" s="281">
        <v>70</v>
      </c>
      <c r="P297" s="279">
        <v>60</v>
      </c>
      <c r="Q297" s="280">
        <v>66</v>
      </c>
    </row>
    <row r="298" spans="1:17">
      <c r="A298">
        <v>1412000039</v>
      </c>
      <c r="B298" t="s">
        <v>2</v>
      </c>
      <c r="E298" s="312" t="s">
        <v>106</v>
      </c>
      <c r="F298" s="306">
        <v>118</v>
      </c>
      <c r="G298" s="306">
        <v>114</v>
      </c>
      <c r="H298" s="306">
        <v>171</v>
      </c>
      <c r="I298" s="306">
        <v>188</v>
      </c>
      <c r="J298" s="306">
        <v>120</v>
      </c>
      <c r="K298" s="306">
        <v>112</v>
      </c>
      <c r="L298" s="306">
        <v>138</v>
      </c>
      <c r="M298" s="306">
        <v>120</v>
      </c>
      <c r="N298" s="307">
        <v>130</v>
      </c>
      <c r="O298" s="308">
        <v>120</v>
      </c>
      <c r="P298" s="306">
        <v>90</v>
      </c>
      <c r="Q298" s="307">
        <v>341</v>
      </c>
    </row>
    <row r="299" spans="1:17">
      <c r="A299">
        <v>1412000039</v>
      </c>
      <c r="B299" t="s">
        <v>2</v>
      </c>
      <c r="E299" s="314" t="s">
        <v>158</v>
      </c>
      <c r="F299" s="309"/>
      <c r="G299" s="309"/>
      <c r="H299" s="309"/>
      <c r="I299" s="309"/>
      <c r="J299" s="309"/>
      <c r="K299" s="309"/>
      <c r="L299" s="309"/>
      <c r="M299" s="309"/>
      <c r="N299" s="310"/>
      <c r="O299" s="311"/>
      <c r="P299" s="309"/>
      <c r="Q299" s="310"/>
    </row>
    <row r="300" spans="1:17">
      <c r="A300">
        <v>1412000039</v>
      </c>
      <c r="B300" t="s">
        <v>2</v>
      </c>
      <c r="E300" s="177" t="s">
        <v>26</v>
      </c>
      <c r="F300" s="282">
        <v>118</v>
      </c>
      <c r="G300" s="282">
        <v>114</v>
      </c>
      <c r="H300" s="282">
        <v>171</v>
      </c>
      <c r="I300" s="282">
        <v>188</v>
      </c>
      <c r="J300" s="282">
        <v>120</v>
      </c>
      <c r="K300" s="282">
        <v>112</v>
      </c>
      <c r="L300" s="283">
        <v>138</v>
      </c>
      <c r="M300" s="282">
        <v>120</v>
      </c>
      <c r="N300" s="284">
        <v>130</v>
      </c>
      <c r="O300" s="283">
        <v>120</v>
      </c>
      <c r="P300" s="282">
        <v>90</v>
      </c>
      <c r="Q300" s="284">
        <v>341</v>
      </c>
    </row>
    <row r="301" spans="1:17" ht="15" thickBot="1">
      <c r="A301">
        <v>1412000039</v>
      </c>
      <c r="B301" t="s">
        <v>2</v>
      </c>
      <c r="E301" s="178" t="s">
        <v>45</v>
      </c>
      <c r="F301" s="285">
        <v>198</v>
      </c>
      <c r="G301" s="285">
        <v>190</v>
      </c>
      <c r="H301" s="285">
        <v>255</v>
      </c>
      <c r="I301" s="285">
        <v>280</v>
      </c>
      <c r="J301" s="285">
        <v>190</v>
      </c>
      <c r="K301" s="285">
        <v>188</v>
      </c>
      <c r="L301" s="286">
        <v>216</v>
      </c>
      <c r="M301" s="285">
        <v>200</v>
      </c>
      <c r="N301" s="287">
        <v>218</v>
      </c>
      <c r="O301" s="286">
        <v>190</v>
      </c>
      <c r="P301" s="285">
        <v>150</v>
      </c>
      <c r="Q301" s="287">
        <v>407</v>
      </c>
    </row>
    <row r="302" spans="1:17">
      <c r="A302">
        <v>1412000040</v>
      </c>
      <c r="B302" t="s">
        <v>3</v>
      </c>
      <c r="E302" s="220" t="s">
        <v>40</v>
      </c>
      <c r="F302" s="201"/>
      <c r="G302" s="201"/>
      <c r="H302" s="201"/>
      <c r="I302" s="201"/>
      <c r="J302" s="201"/>
      <c r="K302" s="201"/>
      <c r="L302" s="201"/>
      <c r="M302" s="201"/>
      <c r="N302" s="202"/>
      <c r="O302" s="201"/>
      <c r="P302" s="201"/>
      <c r="Q302" s="202"/>
    </row>
    <row r="303" spans="1:17">
      <c r="A303">
        <v>1412000040</v>
      </c>
      <c r="B303" t="s">
        <v>3</v>
      </c>
      <c r="E303" s="176" t="s">
        <v>25</v>
      </c>
      <c r="F303" s="306">
        <v>1</v>
      </c>
      <c r="G303" s="306">
        <v>1</v>
      </c>
      <c r="H303" s="306">
        <v>1</v>
      </c>
      <c r="I303" s="306">
        <v>1</v>
      </c>
      <c r="J303" s="306">
        <v>1</v>
      </c>
      <c r="K303" s="306">
        <v>1</v>
      </c>
      <c r="L303" s="306">
        <v>1</v>
      </c>
      <c r="M303" s="306">
        <v>1</v>
      </c>
      <c r="N303" s="306">
        <v>1</v>
      </c>
      <c r="O303" s="306">
        <v>1</v>
      </c>
      <c r="P303" s="306">
        <v>1</v>
      </c>
      <c r="Q303" s="306">
        <v>1</v>
      </c>
    </row>
    <row r="304" spans="1:17">
      <c r="A304">
        <v>1412000040</v>
      </c>
      <c r="B304" t="s">
        <v>3</v>
      </c>
      <c r="E304" s="312" t="s">
        <v>106</v>
      </c>
      <c r="F304" s="300">
        <v>18</v>
      </c>
      <c r="G304" s="300">
        <v>18</v>
      </c>
      <c r="H304" s="300">
        <v>18</v>
      </c>
      <c r="I304" s="300">
        <v>18</v>
      </c>
      <c r="J304" s="300">
        <v>18</v>
      </c>
      <c r="K304" s="300">
        <v>18</v>
      </c>
      <c r="L304" s="300">
        <v>18</v>
      </c>
      <c r="M304" s="300">
        <v>18</v>
      </c>
      <c r="N304" s="300">
        <v>18</v>
      </c>
      <c r="O304" s="300">
        <v>18</v>
      </c>
      <c r="P304" s="300">
        <v>18</v>
      </c>
      <c r="Q304" s="300">
        <v>18</v>
      </c>
    </row>
    <row r="305" spans="1:17">
      <c r="A305">
        <v>1412000040</v>
      </c>
      <c r="B305" t="s">
        <v>3</v>
      </c>
      <c r="E305" s="314" t="s">
        <v>158</v>
      </c>
      <c r="F305" s="303"/>
      <c r="G305" s="303"/>
      <c r="H305" s="303"/>
      <c r="I305" s="303"/>
      <c r="J305" s="303"/>
      <c r="K305" s="303"/>
      <c r="L305" s="303"/>
      <c r="M305" s="303"/>
      <c r="N305" s="304"/>
      <c r="O305" s="305"/>
      <c r="P305" s="303"/>
      <c r="Q305" s="304"/>
    </row>
    <row r="306" spans="1:17">
      <c r="A306">
        <v>1412000040</v>
      </c>
      <c r="B306" t="s">
        <v>3</v>
      </c>
      <c r="E306" s="177" t="s">
        <v>26</v>
      </c>
      <c r="F306" s="270">
        <v>18</v>
      </c>
      <c r="G306" s="270">
        <v>18</v>
      </c>
      <c r="H306" s="270">
        <v>18</v>
      </c>
      <c r="I306" s="270">
        <v>18</v>
      </c>
      <c r="J306" s="270">
        <v>18</v>
      </c>
      <c r="K306" s="270">
        <v>18</v>
      </c>
      <c r="L306" s="271">
        <v>18</v>
      </c>
      <c r="M306" s="270">
        <v>18</v>
      </c>
      <c r="N306" s="272">
        <v>18</v>
      </c>
      <c r="O306" s="271">
        <v>18</v>
      </c>
      <c r="P306" s="270">
        <v>18</v>
      </c>
      <c r="Q306" s="272">
        <v>18</v>
      </c>
    </row>
    <row r="307" spans="1:17" ht="15" thickBot="1">
      <c r="A307">
        <v>1412000040</v>
      </c>
      <c r="B307" t="s">
        <v>3</v>
      </c>
      <c r="E307" s="178" t="s">
        <v>27</v>
      </c>
      <c r="F307" s="273">
        <v>19</v>
      </c>
      <c r="G307" s="273">
        <v>19</v>
      </c>
      <c r="H307" s="273">
        <v>19</v>
      </c>
      <c r="I307" s="273">
        <v>19</v>
      </c>
      <c r="J307" s="273">
        <v>19</v>
      </c>
      <c r="K307" s="273">
        <v>19</v>
      </c>
      <c r="L307" s="274">
        <v>19</v>
      </c>
      <c r="M307" s="273">
        <v>19</v>
      </c>
      <c r="N307" s="275">
        <v>19</v>
      </c>
      <c r="O307" s="274">
        <v>19</v>
      </c>
      <c r="P307" s="273">
        <v>19</v>
      </c>
      <c r="Q307" s="275">
        <v>19</v>
      </c>
    </row>
    <row r="308" spans="1:17" ht="15" thickBot="1">
      <c r="A308">
        <v>1412000040</v>
      </c>
      <c r="B308" t="s">
        <v>3</v>
      </c>
      <c r="F308" s="276"/>
      <c r="G308" s="276"/>
      <c r="H308" s="276"/>
      <c r="I308" s="276"/>
      <c r="J308" s="276"/>
      <c r="K308" s="276"/>
      <c r="L308" s="276"/>
      <c r="M308" s="276"/>
      <c r="N308" s="276"/>
      <c r="O308" s="276"/>
      <c r="P308" s="276"/>
      <c r="Q308" s="276"/>
    </row>
    <row r="309" spans="1:17">
      <c r="A309">
        <v>1412000040</v>
      </c>
      <c r="B309" t="s">
        <v>3</v>
      </c>
      <c r="E309" s="220" t="s">
        <v>28</v>
      </c>
      <c r="F309" s="277"/>
      <c r="G309" s="277"/>
      <c r="H309" s="277"/>
      <c r="I309" s="277"/>
      <c r="J309" s="277"/>
      <c r="K309" s="277"/>
      <c r="L309" s="277"/>
      <c r="M309" s="277"/>
      <c r="N309" s="278"/>
      <c r="O309" s="277"/>
      <c r="P309" s="277"/>
      <c r="Q309" s="278"/>
    </row>
    <row r="310" spans="1:17">
      <c r="A310">
        <v>1412000040</v>
      </c>
      <c r="B310" t="s">
        <v>3</v>
      </c>
      <c r="E310" s="176" t="s">
        <v>25</v>
      </c>
      <c r="F310" s="279">
        <v>170</v>
      </c>
      <c r="G310" s="279">
        <v>153</v>
      </c>
      <c r="H310" s="279">
        <v>170</v>
      </c>
      <c r="I310" s="279">
        <v>136</v>
      </c>
      <c r="J310" s="279">
        <v>161.5</v>
      </c>
      <c r="K310" s="279">
        <v>153</v>
      </c>
      <c r="L310" s="279">
        <v>187</v>
      </c>
      <c r="M310" s="279">
        <v>110.5</v>
      </c>
      <c r="N310" s="279">
        <v>178.5</v>
      </c>
      <c r="O310" s="279">
        <v>161.5</v>
      </c>
      <c r="P310" s="279">
        <v>127.5</v>
      </c>
      <c r="Q310" s="279">
        <v>161.5</v>
      </c>
    </row>
    <row r="311" spans="1:17">
      <c r="A311">
        <v>1412000040</v>
      </c>
      <c r="B311" t="s">
        <v>3</v>
      </c>
      <c r="E311" s="312" t="s">
        <v>106</v>
      </c>
      <c r="F311" s="306">
        <v>2924</v>
      </c>
      <c r="G311" s="306">
        <v>2694.5</v>
      </c>
      <c r="H311" s="306">
        <v>2898.5</v>
      </c>
      <c r="I311" s="306">
        <v>3204.5</v>
      </c>
      <c r="J311" s="306">
        <v>2754</v>
      </c>
      <c r="K311" s="306">
        <v>2618</v>
      </c>
      <c r="L311" s="306">
        <v>3187.5</v>
      </c>
      <c r="M311" s="306">
        <v>2823.5</v>
      </c>
      <c r="N311" s="306">
        <v>3200.5</v>
      </c>
      <c r="O311" s="306">
        <v>2905</v>
      </c>
      <c r="P311" s="306">
        <v>2145</v>
      </c>
      <c r="Q311" s="306">
        <v>2905</v>
      </c>
    </row>
    <row r="312" spans="1:17">
      <c r="A312">
        <v>1412000040</v>
      </c>
      <c r="B312" t="s">
        <v>3</v>
      </c>
      <c r="E312" s="314" t="s">
        <v>158</v>
      </c>
      <c r="F312" s="309"/>
      <c r="G312" s="309"/>
      <c r="H312" s="309"/>
      <c r="I312" s="309"/>
      <c r="J312" s="309"/>
      <c r="K312" s="309"/>
      <c r="L312" s="309"/>
      <c r="M312" s="309"/>
      <c r="N312" s="310"/>
      <c r="O312" s="311"/>
      <c r="P312" s="309"/>
      <c r="Q312" s="310"/>
    </row>
    <row r="313" spans="1:17">
      <c r="A313">
        <v>1412000040</v>
      </c>
      <c r="B313" t="s">
        <v>3</v>
      </c>
      <c r="E313" s="177" t="s">
        <v>26</v>
      </c>
      <c r="F313" s="282">
        <v>2924</v>
      </c>
      <c r="G313" s="282">
        <v>2694.5</v>
      </c>
      <c r="H313" s="282">
        <v>2898.5</v>
      </c>
      <c r="I313" s="282">
        <v>3204.5</v>
      </c>
      <c r="J313" s="282">
        <v>2754</v>
      </c>
      <c r="K313" s="282">
        <v>2618</v>
      </c>
      <c r="L313" s="283">
        <v>3187.5</v>
      </c>
      <c r="M313" s="282">
        <v>2823.5</v>
      </c>
      <c r="N313" s="284">
        <v>3200.5</v>
      </c>
      <c r="O313" s="283">
        <v>2905</v>
      </c>
      <c r="P313" s="282">
        <v>2145</v>
      </c>
      <c r="Q313" s="284">
        <v>2905</v>
      </c>
    </row>
    <row r="314" spans="1:17" ht="15" thickBot="1">
      <c r="A314">
        <v>1412000040</v>
      </c>
      <c r="B314" t="s">
        <v>3</v>
      </c>
      <c r="E314" s="178" t="s">
        <v>44</v>
      </c>
      <c r="F314" s="285">
        <v>3094</v>
      </c>
      <c r="G314" s="285">
        <v>2847.5</v>
      </c>
      <c r="H314" s="285">
        <v>3068.5</v>
      </c>
      <c r="I314" s="285">
        <v>3340.5</v>
      </c>
      <c r="J314" s="285">
        <v>2915.5</v>
      </c>
      <c r="K314" s="285">
        <v>2771</v>
      </c>
      <c r="L314" s="286">
        <v>3374.5</v>
      </c>
      <c r="M314" s="285">
        <v>2934</v>
      </c>
      <c r="N314" s="287">
        <v>3379</v>
      </c>
      <c r="O314" s="286">
        <v>3066.5</v>
      </c>
      <c r="P314" s="285">
        <v>2272.5</v>
      </c>
      <c r="Q314" s="287">
        <v>3066.5</v>
      </c>
    </row>
    <row r="315" spans="1:17" ht="15" thickBot="1">
      <c r="A315">
        <v>1412000040</v>
      </c>
      <c r="B315" t="s">
        <v>3</v>
      </c>
      <c r="F315" s="288"/>
      <c r="G315" s="288"/>
      <c r="H315" s="288"/>
      <c r="I315" s="288"/>
      <c r="J315" s="288"/>
      <c r="K315" s="288"/>
      <c r="L315" s="288"/>
      <c r="M315" s="288"/>
      <c r="N315" s="288"/>
      <c r="O315" s="288"/>
      <c r="P315" s="288"/>
      <c r="Q315" s="288"/>
    </row>
    <row r="316" spans="1:17">
      <c r="A316">
        <v>1412000040</v>
      </c>
      <c r="B316" t="s">
        <v>3</v>
      </c>
      <c r="E316" s="220" t="s">
        <v>29</v>
      </c>
      <c r="F316" s="289"/>
      <c r="G316" s="289"/>
      <c r="H316" s="289"/>
      <c r="I316" s="289"/>
      <c r="J316" s="289"/>
      <c r="K316" s="289"/>
      <c r="L316" s="289"/>
      <c r="M316" s="289"/>
      <c r="N316" s="290"/>
      <c r="O316" s="289"/>
      <c r="P316" s="289"/>
      <c r="Q316" s="278"/>
    </row>
    <row r="317" spans="1:17">
      <c r="A317">
        <v>1412000040</v>
      </c>
      <c r="B317" t="s">
        <v>3</v>
      </c>
      <c r="E317" s="176" t="s">
        <v>25</v>
      </c>
      <c r="F317" s="279">
        <v>40</v>
      </c>
      <c r="G317" s="279">
        <v>36</v>
      </c>
      <c r="H317" s="279">
        <v>40</v>
      </c>
      <c r="I317" s="279">
        <v>32</v>
      </c>
      <c r="J317" s="279">
        <v>38</v>
      </c>
      <c r="K317" s="279">
        <v>36</v>
      </c>
      <c r="L317" s="279">
        <v>44</v>
      </c>
      <c r="M317" s="279">
        <v>26</v>
      </c>
      <c r="N317" s="279">
        <v>42</v>
      </c>
      <c r="O317" s="279">
        <v>38</v>
      </c>
      <c r="P317" s="279">
        <v>30</v>
      </c>
      <c r="Q317" s="280">
        <v>38</v>
      </c>
    </row>
    <row r="318" spans="1:17">
      <c r="A318">
        <v>1412000040</v>
      </c>
      <c r="B318" t="s">
        <v>3</v>
      </c>
      <c r="E318" s="312" t="s">
        <v>106</v>
      </c>
      <c r="F318" s="306">
        <v>167</v>
      </c>
      <c r="G318" s="306">
        <v>171</v>
      </c>
      <c r="H318" s="306">
        <v>201</v>
      </c>
      <c r="I318" s="306">
        <v>191</v>
      </c>
      <c r="J318" s="306">
        <v>177</v>
      </c>
      <c r="K318" s="306">
        <v>191</v>
      </c>
      <c r="L318" s="306">
        <v>215</v>
      </c>
      <c r="M318" s="306">
        <v>167</v>
      </c>
      <c r="N318" s="306">
        <v>189</v>
      </c>
      <c r="O318" s="306">
        <v>214</v>
      </c>
      <c r="P318" s="306">
        <v>176</v>
      </c>
      <c r="Q318" s="306">
        <v>167</v>
      </c>
    </row>
    <row r="319" spans="1:17">
      <c r="A319">
        <v>1412000040</v>
      </c>
      <c r="B319" t="s">
        <v>3</v>
      </c>
      <c r="E319" s="314" t="s">
        <v>158</v>
      </c>
      <c r="F319" s="309"/>
      <c r="G319" s="309"/>
      <c r="H319" s="309"/>
      <c r="I319" s="309"/>
      <c r="J319" s="309"/>
      <c r="K319" s="309"/>
      <c r="L319" s="309"/>
      <c r="M319" s="309"/>
      <c r="N319" s="310"/>
      <c r="O319" s="311"/>
      <c r="P319" s="309"/>
      <c r="Q319" s="310"/>
    </row>
    <row r="320" spans="1:17">
      <c r="A320">
        <v>1412000040</v>
      </c>
      <c r="B320" t="s">
        <v>3</v>
      </c>
      <c r="E320" s="177" t="s">
        <v>26</v>
      </c>
      <c r="F320" s="282">
        <v>167</v>
      </c>
      <c r="G320" s="282">
        <v>171</v>
      </c>
      <c r="H320" s="282">
        <v>201</v>
      </c>
      <c r="I320" s="282">
        <v>191</v>
      </c>
      <c r="J320" s="282">
        <v>177</v>
      </c>
      <c r="K320" s="282">
        <v>191</v>
      </c>
      <c r="L320" s="283">
        <v>215</v>
      </c>
      <c r="M320" s="282">
        <v>167</v>
      </c>
      <c r="N320" s="284">
        <v>189</v>
      </c>
      <c r="O320" s="283">
        <v>214</v>
      </c>
      <c r="P320" s="282">
        <v>176</v>
      </c>
      <c r="Q320" s="284">
        <v>167</v>
      </c>
    </row>
    <row r="321" spans="1:17" ht="15" thickBot="1">
      <c r="A321">
        <v>1412000040</v>
      </c>
      <c r="B321" t="s">
        <v>3</v>
      </c>
      <c r="E321" s="178" t="s">
        <v>45</v>
      </c>
      <c r="F321" s="285">
        <v>207</v>
      </c>
      <c r="G321" s="285">
        <v>207</v>
      </c>
      <c r="H321" s="285">
        <v>241</v>
      </c>
      <c r="I321" s="285">
        <v>223</v>
      </c>
      <c r="J321" s="285">
        <v>215</v>
      </c>
      <c r="K321" s="285">
        <v>227</v>
      </c>
      <c r="L321" s="286">
        <v>259</v>
      </c>
      <c r="M321" s="285">
        <v>193</v>
      </c>
      <c r="N321" s="287">
        <v>231</v>
      </c>
      <c r="O321" s="286">
        <v>252</v>
      </c>
      <c r="P321" s="285">
        <v>206</v>
      </c>
      <c r="Q321" s="287">
        <v>205</v>
      </c>
    </row>
    <row r="322" spans="1:17">
      <c r="A322">
        <v>1412000013</v>
      </c>
      <c r="B322" t="s">
        <v>129</v>
      </c>
      <c r="E322" s="220" t="s">
        <v>40</v>
      </c>
      <c r="F322" s="201"/>
      <c r="G322" s="201"/>
      <c r="H322" s="201"/>
      <c r="I322" s="201"/>
      <c r="J322" s="201"/>
      <c r="K322" s="201"/>
      <c r="L322" s="201"/>
      <c r="M322" s="201"/>
      <c r="N322" s="202"/>
      <c r="O322" s="201"/>
      <c r="P322" s="201"/>
      <c r="Q322" s="202"/>
    </row>
    <row r="323" spans="1:17">
      <c r="A323">
        <v>1412000013</v>
      </c>
      <c r="B323" t="s">
        <v>129</v>
      </c>
      <c r="E323" s="176" t="s">
        <v>25</v>
      </c>
      <c r="F323" s="267"/>
      <c r="G323" s="267"/>
      <c r="H323" s="267"/>
      <c r="I323" s="267"/>
      <c r="J323" s="267"/>
      <c r="K323" s="267"/>
      <c r="L323" s="267"/>
      <c r="M323" s="267"/>
      <c r="N323" s="268"/>
      <c r="O323" s="269"/>
      <c r="P323" s="267"/>
      <c r="Q323" s="268"/>
    </row>
    <row r="324" spans="1:17">
      <c r="A324">
        <v>1412000013</v>
      </c>
      <c r="B324" t="s">
        <v>129</v>
      </c>
      <c r="E324" s="312" t="s">
        <v>106</v>
      </c>
      <c r="F324" s="300">
        <v>25</v>
      </c>
      <c r="G324" s="300">
        <v>25</v>
      </c>
      <c r="H324" s="300">
        <v>25</v>
      </c>
      <c r="I324" s="300">
        <v>25</v>
      </c>
      <c r="J324" s="300">
        <v>25</v>
      </c>
      <c r="K324" s="300">
        <v>25</v>
      </c>
      <c r="L324" s="300">
        <v>25</v>
      </c>
      <c r="M324" s="300">
        <v>25</v>
      </c>
      <c r="N324" s="301">
        <v>25</v>
      </c>
      <c r="O324" s="302">
        <v>25</v>
      </c>
      <c r="P324" s="300">
        <v>25</v>
      </c>
      <c r="Q324" s="301">
        <v>25</v>
      </c>
    </row>
    <row r="325" spans="1:17">
      <c r="A325">
        <v>1412000013</v>
      </c>
      <c r="B325" t="s">
        <v>129</v>
      </c>
      <c r="E325" s="314" t="s">
        <v>158</v>
      </c>
      <c r="F325" s="303">
        <v>79</v>
      </c>
      <c r="G325" s="303">
        <v>79</v>
      </c>
      <c r="H325" s="303">
        <v>79</v>
      </c>
      <c r="I325" s="303">
        <v>79</v>
      </c>
      <c r="J325" s="303">
        <v>79</v>
      </c>
      <c r="K325" s="303">
        <v>79</v>
      </c>
      <c r="L325" s="303">
        <v>79</v>
      </c>
      <c r="M325" s="303">
        <v>79</v>
      </c>
      <c r="N325" s="304">
        <v>79</v>
      </c>
      <c r="O325" s="305">
        <v>79</v>
      </c>
      <c r="P325" s="303">
        <v>79</v>
      </c>
      <c r="Q325" s="304">
        <v>79</v>
      </c>
    </row>
    <row r="326" spans="1:17">
      <c r="A326">
        <v>1412000013</v>
      </c>
      <c r="B326" t="s">
        <v>129</v>
      </c>
      <c r="E326" s="177" t="s">
        <v>26</v>
      </c>
      <c r="F326" s="270">
        <v>104</v>
      </c>
      <c r="G326" s="270">
        <v>104</v>
      </c>
      <c r="H326" s="270">
        <v>104</v>
      </c>
      <c r="I326" s="270">
        <v>104</v>
      </c>
      <c r="J326" s="270">
        <v>104</v>
      </c>
      <c r="K326" s="270">
        <v>104</v>
      </c>
      <c r="L326" s="271">
        <v>104</v>
      </c>
      <c r="M326" s="270">
        <v>104</v>
      </c>
      <c r="N326" s="272">
        <v>104</v>
      </c>
      <c r="O326" s="271">
        <v>104</v>
      </c>
      <c r="P326" s="270">
        <v>104</v>
      </c>
      <c r="Q326" s="272">
        <v>104</v>
      </c>
    </row>
    <row r="327" spans="1:17" ht="15" thickBot="1">
      <c r="A327">
        <v>1412000013</v>
      </c>
      <c r="B327" t="s">
        <v>129</v>
      </c>
      <c r="E327" s="178" t="s">
        <v>27</v>
      </c>
      <c r="F327" s="273">
        <v>104</v>
      </c>
      <c r="G327" s="273">
        <v>104</v>
      </c>
      <c r="H327" s="273">
        <v>104</v>
      </c>
      <c r="I327" s="273">
        <v>104</v>
      </c>
      <c r="J327" s="273">
        <v>104</v>
      </c>
      <c r="K327" s="273">
        <v>104</v>
      </c>
      <c r="L327" s="274">
        <v>104</v>
      </c>
      <c r="M327" s="273">
        <v>104</v>
      </c>
      <c r="N327" s="275">
        <v>104</v>
      </c>
      <c r="O327" s="274">
        <v>104</v>
      </c>
      <c r="P327" s="273">
        <v>104</v>
      </c>
      <c r="Q327" s="275">
        <v>104</v>
      </c>
    </row>
    <row r="328" spans="1:17" ht="15" thickBot="1">
      <c r="A328">
        <v>1412000013</v>
      </c>
      <c r="B328" t="s">
        <v>129</v>
      </c>
      <c r="F328" s="276"/>
      <c r="G328" s="276"/>
      <c r="H328" s="276"/>
      <c r="I328" s="276"/>
      <c r="J328" s="276"/>
      <c r="K328" s="276"/>
      <c r="L328" s="276"/>
      <c r="M328" s="276"/>
      <c r="N328" s="276"/>
      <c r="O328" s="276"/>
      <c r="P328" s="276"/>
      <c r="Q328" s="276"/>
    </row>
    <row r="329" spans="1:17">
      <c r="A329">
        <v>1412000013</v>
      </c>
      <c r="B329" t="s">
        <v>129</v>
      </c>
      <c r="E329" s="220" t="s">
        <v>28</v>
      </c>
      <c r="F329" s="277"/>
      <c r="G329" s="277"/>
      <c r="H329" s="277"/>
      <c r="I329" s="277"/>
      <c r="J329" s="277"/>
      <c r="K329" s="277"/>
      <c r="L329" s="277"/>
      <c r="M329" s="277"/>
      <c r="N329" s="278"/>
      <c r="O329" s="277"/>
      <c r="P329" s="277"/>
      <c r="Q329" s="278"/>
    </row>
    <row r="330" spans="1:17">
      <c r="A330">
        <v>1412000013</v>
      </c>
      <c r="B330" t="s">
        <v>129</v>
      </c>
      <c r="E330" s="176" t="s">
        <v>25</v>
      </c>
      <c r="F330" s="279"/>
      <c r="G330" s="279"/>
      <c r="H330" s="279"/>
      <c r="I330" s="279"/>
      <c r="J330" s="279"/>
      <c r="K330" s="279"/>
      <c r="L330" s="279"/>
      <c r="M330" s="279"/>
      <c r="N330" s="280"/>
      <c r="O330" s="281"/>
      <c r="P330" s="279"/>
      <c r="Q330" s="280"/>
    </row>
    <row r="331" spans="1:17">
      <c r="A331">
        <v>1412000013</v>
      </c>
      <c r="B331" t="s">
        <v>129</v>
      </c>
      <c r="E331" s="312" t="s">
        <v>106</v>
      </c>
      <c r="F331" s="306">
        <v>4037.5</v>
      </c>
      <c r="G331" s="306">
        <v>3825</v>
      </c>
      <c r="H331" s="306">
        <v>4250</v>
      </c>
      <c r="I331" s="306">
        <v>4675</v>
      </c>
      <c r="J331" s="306">
        <v>4037.5</v>
      </c>
      <c r="K331" s="306">
        <v>3825</v>
      </c>
      <c r="L331" s="306">
        <v>4675</v>
      </c>
      <c r="M331" s="306">
        <v>4037.5</v>
      </c>
      <c r="N331" s="307">
        <v>4462.5</v>
      </c>
      <c r="O331" s="308">
        <v>4037.5</v>
      </c>
      <c r="P331" s="306">
        <v>2975</v>
      </c>
      <c r="Q331" s="307">
        <v>4037.5</v>
      </c>
    </row>
    <row r="332" spans="1:17">
      <c r="A332">
        <v>1412000013</v>
      </c>
      <c r="B332" t="s">
        <v>129</v>
      </c>
      <c r="E332" s="314" t="s">
        <v>158</v>
      </c>
      <c r="F332" s="309">
        <v>12408.5</v>
      </c>
      <c r="G332" s="309">
        <v>11737</v>
      </c>
      <c r="H332" s="309">
        <v>13080</v>
      </c>
      <c r="I332" s="309">
        <v>14423</v>
      </c>
      <c r="J332" s="309">
        <v>12408.5</v>
      </c>
      <c r="K332" s="309">
        <v>11737</v>
      </c>
      <c r="L332" s="309">
        <v>14423</v>
      </c>
      <c r="M332" s="309">
        <v>12408.5</v>
      </c>
      <c r="N332" s="310">
        <v>13751.5</v>
      </c>
      <c r="O332" s="311">
        <v>12408.5</v>
      </c>
      <c r="P332" s="309">
        <v>9051</v>
      </c>
      <c r="Q332" s="310">
        <v>12408.5</v>
      </c>
    </row>
    <row r="333" spans="1:17">
      <c r="A333">
        <v>1412000013</v>
      </c>
      <c r="B333" t="s">
        <v>129</v>
      </c>
      <c r="E333" s="177" t="s">
        <v>26</v>
      </c>
      <c r="F333" s="282">
        <v>16446</v>
      </c>
      <c r="G333" s="282">
        <v>15562</v>
      </c>
      <c r="H333" s="282">
        <v>17330</v>
      </c>
      <c r="I333" s="282">
        <v>19098</v>
      </c>
      <c r="J333" s="282">
        <v>16446</v>
      </c>
      <c r="K333" s="282">
        <v>15562</v>
      </c>
      <c r="L333" s="283">
        <v>19098</v>
      </c>
      <c r="M333" s="282">
        <v>16446</v>
      </c>
      <c r="N333" s="284">
        <v>18214</v>
      </c>
      <c r="O333" s="283">
        <v>16446</v>
      </c>
      <c r="P333" s="282">
        <v>12026</v>
      </c>
      <c r="Q333" s="284">
        <v>16446</v>
      </c>
    </row>
    <row r="334" spans="1:17" ht="15" thickBot="1">
      <c r="A334">
        <v>1412000013</v>
      </c>
      <c r="B334" t="s">
        <v>129</v>
      </c>
      <c r="E334" s="178" t="s">
        <v>44</v>
      </c>
      <c r="F334" s="285">
        <v>16446</v>
      </c>
      <c r="G334" s="285">
        <v>15562</v>
      </c>
      <c r="H334" s="285">
        <v>17330</v>
      </c>
      <c r="I334" s="285">
        <v>19098</v>
      </c>
      <c r="J334" s="285">
        <v>16446</v>
      </c>
      <c r="K334" s="285">
        <v>15562</v>
      </c>
      <c r="L334" s="286">
        <v>19098</v>
      </c>
      <c r="M334" s="285">
        <v>16446</v>
      </c>
      <c r="N334" s="287">
        <v>18214</v>
      </c>
      <c r="O334" s="286">
        <v>16446</v>
      </c>
      <c r="P334" s="285">
        <v>12026</v>
      </c>
      <c r="Q334" s="287">
        <v>16446</v>
      </c>
    </row>
    <row r="335" spans="1:17" ht="15" thickBot="1">
      <c r="A335">
        <v>1412000013</v>
      </c>
      <c r="B335" t="s">
        <v>129</v>
      </c>
      <c r="F335" s="288"/>
      <c r="G335" s="288"/>
      <c r="H335" s="288"/>
      <c r="I335" s="288"/>
      <c r="J335" s="288"/>
      <c r="K335" s="288"/>
      <c r="L335" s="288"/>
      <c r="M335" s="288"/>
      <c r="N335" s="288"/>
      <c r="O335" s="288"/>
      <c r="P335" s="288"/>
      <c r="Q335" s="288"/>
    </row>
    <row r="336" spans="1:17">
      <c r="A336">
        <v>1412000013</v>
      </c>
      <c r="B336" t="s">
        <v>129</v>
      </c>
      <c r="E336" s="220" t="s">
        <v>29</v>
      </c>
      <c r="F336" s="289"/>
      <c r="G336" s="289"/>
      <c r="H336" s="289"/>
      <c r="I336" s="289"/>
      <c r="J336" s="289"/>
      <c r="K336" s="289"/>
      <c r="L336" s="289"/>
      <c r="M336" s="289"/>
      <c r="N336" s="290"/>
      <c r="O336" s="289"/>
      <c r="P336" s="289"/>
      <c r="Q336" s="278"/>
    </row>
    <row r="337" spans="1:17">
      <c r="A337">
        <v>1412000013</v>
      </c>
      <c r="B337" t="s">
        <v>129</v>
      </c>
      <c r="E337" s="176" t="s">
        <v>25</v>
      </c>
      <c r="F337" s="279"/>
      <c r="G337" s="279"/>
      <c r="H337" s="279"/>
      <c r="I337" s="279"/>
      <c r="J337" s="279"/>
      <c r="K337" s="279"/>
      <c r="L337" s="279"/>
      <c r="M337" s="279"/>
      <c r="N337" s="280"/>
      <c r="O337" s="281"/>
      <c r="P337" s="279"/>
      <c r="Q337" s="280"/>
    </row>
    <row r="338" spans="1:17">
      <c r="A338">
        <v>1412000013</v>
      </c>
      <c r="B338" t="s">
        <v>129</v>
      </c>
      <c r="E338" s="312" t="s">
        <v>106</v>
      </c>
      <c r="F338" s="306">
        <v>425</v>
      </c>
      <c r="G338" s="306">
        <v>421</v>
      </c>
      <c r="H338" s="306">
        <v>429</v>
      </c>
      <c r="I338" s="306">
        <v>437</v>
      </c>
      <c r="J338" s="306">
        <v>425</v>
      </c>
      <c r="K338" s="306">
        <v>421</v>
      </c>
      <c r="L338" s="306">
        <v>437</v>
      </c>
      <c r="M338" s="306">
        <v>425</v>
      </c>
      <c r="N338" s="307">
        <v>433</v>
      </c>
      <c r="O338" s="308">
        <v>425</v>
      </c>
      <c r="P338" s="306">
        <v>405</v>
      </c>
      <c r="Q338" s="307">
        <v>425</v>
      </c>
    </row>
    <row r="339" spans="1:17">
      <c r="A339">
        <v>1412000013</v>
      </c>
      <c r="B339" t="s">
        <v>129</v>
      </c>
      <c r="E339" s="314" t="s">
        <v>158</v>
      </c>
      <c r="F339" s="309">
        <v>2370</v>
      </c>
      <c r="G339" s="309">
        <v>2370</v>
      </c>
      <c r="H339" s="309">
        <v>2370</v>
      </c>
      <c r="I339" s="309">
        <v>2370</v>
      </c>
      <c r="J339" s="309">
        <v>2370</v>
      </c>
      <c r="K339" s="309">
        <v>2370</v>
      </c>
      <c r="L339" s="309">
        <v>2370</v>
      </c>
      <c r="M339" s="309">
        <v>2370</v>
      </c>
      <c r="N339" s="310">
        <v>2370</v>
      </c>
      <c r="O339" s="311">
        <v>2370</v>
      </c>
      <c r="P339" s="309">
        <v>2370</v>
      </c>
      <c r="Q339" s="310">
        <v>2370</v>
      </c>
    </row>
    <row r="340" spans="1:17">
      <c r="A340">
        <v>1412000013</v>
      </c>
      <c r="B340" t="s">
        <v>129</v>
      </c>
      <c r="E340" s="177" t="s">
        <v>26</v>
      </c>
      <c r="F340" s="282">
        <v>2795</v>
      </c>
      <c r="G340" s="282">
        <v>2791</v>
      </c>
      <c r="H340" s="282">
        <v>2799</v>
      </c>
      <c r="I340" s="282">
        <v>2807</v>
      </c>
      <c r="J340" s="282">
        <v>2795</v>
      </c>
      <c r="K340" s="282">
        <v>2791</v>
      </c>
      <c r="L340" s="283">
        <v>2807</v>
      </c>
      <c r="M340" s="282">
        <v>2795</v>
      </c>
      <c r="N340" s="284">
        <v>2803</v>
      </c>
      <c r="O340" s="283">
        <v>2795</v>
      </c>
      <c r="P340" s="282">
        <v>2775</v>
      </c>
      <c r="Q340" s="284">
        <v>2795</v>
      </c>
    </row>
    <row r="341" spans="1:17" ht="15" thickBot="1">
      <c r="A341">
        <v>1412000013</v>
      </c>
      <c r="B341" t="s">
        <v>129</v>
      </c>
      <c r="E341" s="178" t="s">
        <v>45</v>
      </c>
      <c r="F341" s="285">
        <v>2795</v>
      </c>
      <c r="G341" s="285">
        <v>2791</v>
      </c>
      <c r="H341" s="285">
        <v>2799</v>
      </c>
      <c r="I341" s="285">
        <v>2807</v>
      </c>
      <c r="J341" s="285">
        <v>2795</v>
      </c>
      <c r="K341" s="285">
        <v>2791</v>
      </c>
      <c r="L341" s="286">
        <v>2807</v>
      </c>
      <c r="M341" s="285">
        <v>2795</v>
      </c>
      <c r="N341" s="287">
        <v>2803</v>
      </c>
      <c r="O341" s="286">
        <v>2795</v>
      </c>
      <c r="P341" s="285">
        <v>2775</v>
      </c>
      <c r="Q341" s="287">
        <v>2795</v>
      </c>
    </row>
    <row r="342" spans="1:17">
      <c r="A342">
        <v>1412000080</v>
      </c>
      <c r="B342" t="s">
        <v>38</v>
      </c>
      <c r="E342" s="220" t="s">
        <v>40</v>
      </c>
      <c r="F342" s="201"/>
      <c r="G342" s="201"/>
      <c r="H342" s="201"/>
      <c r="I342" s="201"/>
      <c r="J342" s="201"/>
      <c r="K342" s="201"/>
      <c r="L342" s="201"/>
      <c r="M342" s="201"/>
      <c r="N342" s="202"/>
      <c r="O342" s="201"/>
      <c r="P342" s="201"/>
      <c r="Q342" s="202"/>
    </row>
    <row r="343" spans="1:17">
      <c r="A343">
        <v>1412000080</v>
      </c>
      <c r="B343" t="s">
        <v>38</v>
      </c>
      <c r="E343" s="176" t="s">
        <v>25</v>
      </c>
      <c r="F343" s="267">
        <v>2</v>
      </c>
      <c r="G343" s="267">
        <v>2</v>
      </c>
      <c r="H343" s="267">
        <v>2</v>
      </c>
      <c r="I343" s="267">
        <v>2</v>
      </c>
      <c r="J343" s="267">
        <v>2</v>
      </c>
      <c r="K343" s="267">
        <v>2</v>
      </c>
      <c r="L343" s="267">
        <v>2</v>
      </c>
      <c r="M343" s="267">
        <v>2</v>
      </c>
      <c r="N343" s="268">
        <v>2</v>
      </c>
      <c r="O343" s="269">
        <v>2</v>
      </c>
      <c r="P343" s="267">
        <v>2</v>
      </c>
      <c r="Q343" s="268">
        <v>2</v>
      </c>
    </row>
    <row r="344" spans="1:17">
      <c r="A344">
        <v>1412000080</v>
      </c>
      <c r="B344" t="s">
        <v>38</v>
      </c>
      <c r="E344" s="312" t="s">
        <v>106</v>
      </c>
      <c r="F344" s="300">
        <v>21</v>
      </c>
      <c r="G344" s="300">
        <v>21</v>
      </c>
      <c r="H344" s="300">
        <v>21</v>
      </c>
      <c r="I344" s="300">
        <v>21</v>
      </c>
      <c r="J344" s="300">
        <v>23</v>
      </c>
      <c r="K344" s="300">
        <v>23</v>
      </c>
      <c r="L344" s="300">
        <v>23</v>
      </c>
      <c r="M344" s="300">
        <v>23</v>
      </c>
      <c r="N344" s="301">
        <v>23</v>
      </c>
      <c r="O344" s="302">
        <v>23</v>
      </c>
      <c r="P344" s="300">
        <v>23</v>
      </c>
      <c r="Q344" s="301">
        <v>23</v>
      </c>
    </row>
    <row r="345" spans="1:17">
      <c r="A345">
        <v>1412000080</v>
      </c>
      <c r="B345" t="s">
        <v>38</v>
      </c>
      <c r="E345" s="314" t="s">
        <v>158</v>
      </c>
      <c r="F345" s="303"/>
      <c r="G345" s="303"/>
      <c r="H345" s="303"/>
      <c r="I345" s="303"/>
      <c r="J345" s="303"/>
      <c r="K345" s="303"/>
      <c r="L345" s="303"/>
      <c r="M345" s="303"/>
      <c r="N345" s="304"/>
      <c r="O345" s="305"/>
      <c r="P345" s="303"/>
      <c r="Q345" s="304"/>
    </row>
    <row r="346" spans="1:17">
      <c r="A346">
        <v>1412000080</v>
      </c>
      <c r="B346" t="s">
        <v>38</v>
      </c>
      <c r="E346" s="177" t="s">
        <v>26</v>
      </c>
      <c r="F346" s="270">
        <v>21</v>
      </c>
      <c r="G346" s="270">
        <v>21</v>
      </c>
      <c r="H346" s="270">
        <v>21</v>
      </c>
      <c r="I346" s="270">
        <v>21</v>
      </c>
      <c r="J346" s="270">
        <v>23</v>
      </c>
      <c r="K346" s="270">
        <v>23</v>
      </c>
      <c r="L346" s="271">
        <v>23</v>
      </c>
      <c r="M346" s="270">
        <v>23</v>
      </c>
      <c r="N346" s="272">
        <v>23</v>
      </c>
      <c r="O346" s="271">
        <v>23</v>
      </c>
      <c r="P346" s="270">
        <v>23</v>
      </c>
      <c r="Q346" s="272">
        <v>23</v>
      </c>
    </row>
    <row r="347" spans="1:17" ht="15" thickBot="1">
      <c r="A347">
        <v>1412000080</v>
      </c>
      <c r="B347" t="s">
        <v>38</v>
      </c>
      <c r="E347" s="178" t="s">
        <v>27</v>
      </c>
      <c r="F347" s="273">
        <v>23</v>
      </c>
      <c r="G347" s="273">
        <v>23</v>
      </c>
      <c r="H347" s="273">
        <v>23</v>
      </c>
      <c r="I347" s="273">
        <v>23</v>
      </c>
      <c r="J347" s="273">
        <v>25</v>
      </c>
      <c r="K347" s="273">
        <v>25</v>
      </c>
      <c r="L347" s="274">
        <v>25</v>
      </c>
      <c r="M347" s="273">
        <v>25</v>
      </c>
      <c r="N347" s="275">
        <v>25</v>
      </c>
      <c r="O347" s="274">
        <v>25</v>
      </c>
      <c r="P347" s="273">
        <v>25</v>
      </c>
      <c r="Q347" s="275">
        <v>25</v>
      </c>
    </row>
    <row r="348" spans="1:17" ht="15" thickBot="1">
      <c r="A348">
        <v>1412000080</v>
      </c>
      <c r="B348" t="s">
        <v>38</v>
      </c>
      <c r="F348" s="276"/>
      <c r="G348" s="276"/>
      <c r="H348" s="276"/>
      <c r="I348" s="276"/>
      <c r="J348" s="276"/>
      <c r="K348" s="276"/>
      <c r="L348" s="276"/>
      <c r="M348" s="276"/>
      <c r="N348" s="276"/>
      <c r="O348" s="276"/>
      <c r="P348" s="276"/>
      <c r="Q348" s="276"/>
    </row>
    <row r="349" spans="1:17">
      <c r="A349">
        <v>1412000080</v>
      </c>
      <c r="B349" t="s">
        <v>38</v>
      </c>
      <c r="E349" s="220" t="s">
        <v>28</v>
      </c>
      <c r="F349" s="277"/>
      <c r="G349" s="277"/>
      <c r="H349" s="277"/>
      <c r="I349" s="277"/>
      <c r="J349" s="277"/>
      <c r="K349" s="277"/>
      <c r="L349" s="277"/>
      <c r="M349" s="277"/>
      <c r="N349" s="278"/>
      <c r="O349" s="277"/>
      <c r="P349" s="277"/>
      <c r="Q349" s="278"/>
    </row>
    <row r="350" spans="1:17">
      <c r="A350">
        <v>1412000080</v>
      </c>
      <c r="B350" t="s">
        <v>38</v>
      </c>
      <c r="E350" s="176" t="s">
        <v>25</v>
      </c>
      <c r="F350" s="279">
        <v>272</v>
      </c>
      <c r="G350" s="279">
        <v>323</v>
      </c>
      <c r="H350" s="279">
        <v>348.5</v>
      </c>
      <c r="I350" s="279">
        <v>391</v>
      </c>
      <c r="J350" s="279">
        <v>272</v>
      </c>
      <c r="K350" s="279">
        <v>314.5</v>
      </c>
      <c r="L350" s="279">
        <v>391</v>
      </c>
      <c r="M350" s="279">
        <v>331.5</v>
      </c>
      <c r="N350" s="280">
        <v>365.5</v>
      </c>
      <c r="O350" s="281">
        <v>340</v>
      </c>
      <c r="P350" s="279">
        <v>204</v>
      </c>
      <c r="Q350" s="280">
        <v>340</v>
      </c>
    </row>
    <row r="351" spans="1:17">
      <c r="A351">
        <v>1412000080</v>
      </c>
      <c r="B351" t="s">
        <v>38</v>
      </c>
      <c r="E351" s="312" t="s">
        <v>106</v>
      </c>
      <c r="F351" s="306">
        <v>3391.5</v>
      </c>
      <c r="G351" s="306">
        <v>3213</v>
      </c>
      <c r="H351" s="306">
        <v>3570</v>
      </c>
      <c r="I351" s="306">
        <v>3927</v>
      </c>
      <c r="J351" s="306">
        <v>3731.5</v>
      </c>
      <c r="K351" s="306">
        <v>3536</v>
      </c>
      <c r="L351" s="306">
        <v>4318</v>
      </c>
      <c r="M351" s="306">
        <v>3731.5</v>
      </c>
      <c r="N351" s="307">
        <v>4122.5</v>
      </c>
      <c r="O351" s="308">
        <v>3731.5</v>
      </c>
      <c r="P351" s="306">
        <v>2754</v>
      </c>
      <c r="Q351" s="307">
        <v>3731.5</v>
      </c>
    </row>
    <row r="352" spans="1:17">
      <c r="A352">
        <v>1412000080</v>
      </c>
      <c r="B352" t="s">
        <v>38</v>
      </c>
      <c r="E352" s="314" t="s">
        <v>158</v>
      </c>
      <c r="F352" s="309"/>
      <c r="G352" s="309"/>
      <c r="H352" s="309"/>
      <c r="I352" s="309"/>
      <c r="J352" s="309"/>
      <c r="K352" s="309"/>
      <c r="L352" s="309"/>
      <c r="M352" s="309"/>
      <c r="N352" s="310"/>
      <c r="O352" s="311"/>
      <c r="P352" s="309"/>
      <c r="Q352" s="310"/>
    </row>
    <row r="353" spans="1:17">
      <c r="A353">
        <v>1412000080</v>
      </c>
      <c r="B353" t="s">
        <v>38</v>
      </c>
      <c r="E353" s="177" t="s">
        <v>26</v>
      </c>
      <c r="F353" s="282">
        <v>3391.5</v>
      </c>
      <c r="G353" s="282">
        <v>3213</v>
      </c>
      <c r="H353" s="282">
        <v>3570</v>
      </c>
      <c r="I353" s="282">
        <v>3927</v>
      </c>
      <c r="J353" s="282">
        <v>3731.5</v>
      </c>
      <c r="K353" s="282">
        <v>3536</v>
      </c>
      <c r="L353" s="283">
        <v>4318</v>
      </c>
      <c r="M353" s="282">
        <v>3731.5</v>
      </c>
      <c r="N353" s="284">
        <v>4122.5</v>
      </c>
      <c r="O353" s="283">
        <v>3731.5</v>
      </c>
      <c r="P353" s="282">
        <v>2754</v>
      </c>
      <c r="Q353" s="284">
        <v>3731.5</v>
      </c>
    </row>
    <row r="354" spans="1:17" ht="15" thickBot="1">
      <c r="A354">
        <v>1412000080</v>
      </c>
      <c r="B354" t="s">
        <v>38</v>
      </c>
      <c r="E354" s="178" t="s">
        <v>44</v>
      </c>
      <c r="F354" s="285">
        <v>3663.5</v>
      </c>
      <c r="G354" s="285">
        <v>3536</v>
      </c>
      <c r="H354" s="285">
        <v>3918.5</v>
      </c>
      <c r="I354" s="285">
        <v>4318</v>
      </c>
      <c r="J354" s="285">
        <v>4003.5</v>
      </c>
      <c r="K354" s="285">
        <v>3850.5</v>
      </c>
      <c r="L354" s="286">
        <v>4709</v>
      </c>
      <c r="M354" s="285">
        <v>4063</v>
      </c>
      <c r="N354" s="287">
        <v>4488</v>
      </c>
      <c r="O354" s="286">
        <v>4071.5</v>
      </c>
      <c r="P354" s="285">
        <v>2958</v>
      </c>
      <c r="Q354" s="287">
        <v>4071.5</v>
      </c>
    </row>
    <row r="355" spans="1:17" ht="15" thickBot="1">
      <c r="A355">
        <v>1412000080</v>
      </c>
      <c r="B355" t="s">
        <v>38</v>
      </c>
      <c r="F355" s="288"/>
      <c r="G355" s="288"/>
      <c r="H355" s="288"/>
      <c r="I355" s="288"/>
      <c r="J355" s="288"/>
      <c r="K355" s="288"/>
      <c r="L355" s="288"/>
      <c r="M355" s="288"/>
      <c r="N355" s="288"/>
      <c r="O355" s="288"/>
      <c r="P355" s="288"/>
      <c r="Q355" s="288"/>
    </row>
    <row r="356" spans="1:17">
      <c r="A356">
        <v>1412000080</v>
      </c>
      <c r="B356" t="s">
        <v>38</v>
      </c>
      <c r="E356" s="220" t="s">
        <v>29</v>
      </c>
      <c r="F356" s="289"/>
      <c r="G356" s="289"/>
      <c r="H356" s="289"/>
      <c r="I356" s="289"/>
      <c r="J356" s="289"/>
      <c r="K356" s="289"/>
      <c r="L356" s="289"/>
      <c r="M356" s="289"/>
      <c r="N356" s="290"/>
      <c r="O356" s="289"/>
      <c r="P356" s="289"/>
      <c r="Q356" s="278"/>
    </row>
    <row r="357" spans="1:17">
      <c r="A357">
        <v>1412000080</v>
      </c>
      <c r="B357" t="s">
        <v>38</v>
      </c>
      <c r="E357" s="176" t="s">
        <v>25</v>
      </c>
      <c r="F357" s="279">
        <v>64</v>
      </c>
      <c r="G357" s="279">
        <v>76</v>
      </c>
      <c r="H357" s="279">
        <v>82</v>
      </c>
      <c r="I357" s="279">
        <v>92</v>
      </c>
      <c r="J357" s="279">
        <v>64</v>
      </c>
      <c r="K357" s="279">
        <v>74</v>
      </c>
      <c r="L357" s="279">
        <v>92</v>
      </c>
      <c r="M357" s="279">
        <v>78</v>
      </c>
      <c r="N357" s="280">
        <v>86</v>
      </c>
      <c r="O357" s="281">
        <v>80</v>
      </c>
      <c r="P357" s="279">
        <v>48</v>
      </c>
      <c r="Q357" s="280">
        <v>80</v>
      </c>
    </row>
    <row r="358" spans="1:17">
      <c r="A358">
        <v>1412000080</v>
      </c>
      <c r="B358" t="s">
        <v>38</v>
      </c>
      <c r="E358" s="312" t="s">
        <v>106</v>
      </c>
      <c r="F358" s="306">
        <v>40</v>
      </c>
      <c r="G358" s="306">
        <v>38</v>
      </c>
      <c r="H358" s="306">
        <v>52</v>
      </c>
      <c r="I358" s="306">
        <v>56</v>
      </c>
      <c r="J358" s="306">
        <v>40</v>
      </c>
      <c r="K358" s="306">
        <v>38</v>
      </c>
      <c r="L358" s="306">
        <v>56</v>
      </c>
      <c r="M358" s="306">
        <v>50</v>
      </c>
      <c r="N358" s="307">
        <v>44</v>
      </c>
      <c r="O358" s="308">
        <v>40</v>
      </c>
      <c r="P358" s="306">
        <v>30</v>
      </c>
      <c r="Q358" s="307">
        <v>40</v>
      </c>
    </row>
    <row r="359" spans="1:17">
      <c r="A359">
        <v>1412000080</v>
      </c>
      <c r="B359" t="s">
        <v>38</v>
      </c>
      <c r="E359" s="314" t="s">
        <v>158</v>
      </c>
      <c r="F359" s="309"/>
      <c r="G359" s="309"/>
      <c r="H359" s="309"/>
      <c r="I359" s="309"/>
      <c r="J359" s="309"/>
      <c r="K359" s="309"/>
      <c r="L359" s="309"/>
      <c r="M359" s="309"/>
      <c r="N359" s="310"/>
      <c r="O359" s="311"/>
      <c r="P359" s="309"/>
      <c r="Q359" s="310"/>
    </row>
    <row r="360" spans="1:17">
      <c r="A360">
        <v>1412000080</v>
      </c>
      <c r="B360" t="s">
        <v>38</v>
      </c>
      <c r="E360" s="177" t="s">
        <v>26</v>
      </c>
      <c r="F360" s="282">
        <v>40</v>
      </c>
      <c r="G360" s="282">
        <v>38</v>
      </c>
      <c r="H360" s="282">
        <v>52</v>
      </c>
      <c r="I360" s="282">
        <v>56</v>
      </c>
      <c r="J360" s="282">
        <v>40</v>
      </c>
      <c r="K360" s="282">
        <v>38</v>
      </c>
      <c r="L360" s="283">
        <v>56</v>
      </c>
      <c r="M360" s="282">
        <v>50</v>
      </c>
      <c r="N360" s="284">
        <v>44</v>
      </c>
      <c r="O360" s="283">
        <v>40</v>
      </c>
      <c r="P360" s="282">
        <v>30</v>
      </c>
      <c r="Q360" s="284">
        <v>40</v>
      </c>
    </row>
    <row r="361" spans="1:17" ht="15" thickBot="1">
      <c r="A361">
        <v>1412000080</v>
      </c>
      <c r="B361" t="s">
        <v>38</v>
      </c>
      <c r="E361" s="178" t="s">
        <v>45</v>
      </c>
      <c r="F361" s="285">
        <v>104</v>
      </c>
      <c r="G361" s="285">
        <v>114</v>
      </c>
      <c r="H361" s="285">
        <v>134</v>
      </c>
      <c r="I361" s="285">
        <v>148</v>
      </c>
      <c r="J361" s="285">
        <v>104</v>
      </c>
      <c r="K361" s="285">
        <v>112</v>
      </c>
      <c r="L361" s="286">
        <v>148</v>
      </c>
      <c r="M361" s="285">
        <v>128</v>
      </c>
      <c r="N361" s="287">
        <v>130</v>
      </c>
      <c r="O361" s="286">
        <v>120</v>
      </c>
      <c r="P361" s="285">
        <v>78</v>
      </c>
      <c r="Q361" s="287">
        <v>120</v>
      </c>
    </row>
    <row r="362" spans="1:17">
      <c r="A362">
        <v>1412000044</v>
      </c>
      <c r="B362" t="s">
        <v>32</v>
      </c>
      <c r="E362" s="220" t="s">
        <v>40</v>
      </c>
      <c r="F362" s="201"/>
      <c r="G362" s="201"/>
      <c r="H362" s="201"/>
      <c r="I362" s="201"/>
      <c r="J362" s="201"/>
      <c r="K362" s="201"/>
      <c r="L362" s="201"/>
      <c r="M362" s="201"/>
      <c r="N362" s="202"/>
      <c r="O362" s="201"/>
      <c r="P362" s="201"/>
      <c r="Q362" s="202"/>
    </row>
    <row r="363" spans="1:17">
      <c r="A363">
        <v>1412000044</v>
      </c>
      <c r="B363" t="s">
        <v>32</v>
      </c>
      <c r="E363" s="176" t="s">
        <v>25</v>
      </c>
      <c r="F363" s="267">
        <v>2</v>
      </c>
      <c r="G363" s="267">
        <v>2</v>
      </c>
      <c r="H363" s="267">
        <v>2</v>
      </c>
      <c r="I363" s="267">
        <v>2</v>
      </c>
      <c r="J363" s="267">
        <v>2</v>
      </c>
      <c r="K363" s="267">
        <v>2</v>
      </c>
      <c r="L363" s="267">
        <v>2</v>
      </c>
      <c r="M363" s="267">
        <v>2</v>
      </c>
      <c r="N363" s="268">
        <v>2</v>
      </c>
      <c r="O363" s="269">
        <v>2</v>
      </c>
      <c r="P363" s="267">
        <v>2</v>
      </c>
      <c r="Q363" s="268">
        <v>2</v>
      </c>
    </row>
    <row r="364" spans="1:17">
      <c r="A364">
        <v>1412000044</v>
      </c>
      <c r="B364" t="s">
        <v>32</v>
      </c>
      <c r="E364" s="312" t="s">
        <v>106</v>
      </c>
      <c r="F364" s="300">
        <v>23</v>
      </c>
      <c r="G364" s="300">
        <v>23</v>
      </c>
      <c r="H364" s="300">
        <v>23</v>
      </c>
      <c r="I364" s="300">
        <v>23</v>
      </c>
      <c r="J364" s="300">
        <v>23</v>
      </c>
      <c r="K364" s="300">
        <v>23</v>
      </c>
      <c r="L364" s="300">
        <v>23</v>
      </c>
      <c r="M364" s="300">
        <v>23</v>
      </c>
      <c r="N364" s="301">
        <v>23</v>
      </c>
      <c r="O364" s="302">
        <v>23</v>
      </c>
      <c r="P364" s="300">
        <v>23</v>
      </c>
      <c r="Q364" s="301">
        <v>23</v>
      </c>
    </row>
    <row r="365" spans="1:17">
      <c r="A365">
        <v>1412000044</v>
      </c>
      <c r="B365" t="s">
        <v>32</v>
      </c>
      <c r="E365" s="314" t="s">
        <v>158</v>
      </c>
      <c r="F365" s="303">
        <v>9</v>
      </c>
      <c r="G365" s="303">
        <v>9</v>
      </c>
      <c r="H365" s="303">
        <v>9</v>
      </c>
      <c r="I365" s="303">
        <v>9</v>
      </c>
      <c r="J365" s="303">
        <v>9</v>
      </c>
      <c r="K365" s="303">
        <v>9</v>
      </c>
      <c r="L365" s="303">
        <v>9</v>
      </c>
      <c r="M365" s="303">
        <v>9</v>
      </c>
      <c r="N365" s="304">
        <v>9</v>
      </c>
      <c r="O365" s="305">
        <v>9</v>
      </c>
      <c r="P365" s="303">
        <v>9</v>
      </c>
      <c r="Q365" s="304">
        <v>9</v>
      </c>
    </row>
    <row r="366" spans="1:17">
      <c r="A366">
        <v>1412000044</v>
      </c>
      <c r="B366" t="s">
        <v>32</v>
      </c>
      <c r="E366" s="177" t="s">
        <v>26</v>
      </c>
      <c r="F366" s="270">
        <v>32</v>
      </c>
      <c r="G366" s="270">
        <v>32</v>
      </c>
      <c r="H366" s="270">
        <v>32</v>
      </c>
      <c r="I366" s="270">
        <v>32</v>
      </c>
      <c r="J366" s="270">
        <v>32</v>
      </c>
      <c r="K366" s="270">
        <v>32</v>
      </c>
      <c r="L366" s="271">
        <v>32</v>
      </c>
      <c r="M366" s="270">
        <v>32</v>
      </c>
      <c r="N366" s="272">
        <v>32</v>
      </c>
      <c r="O366" s="271">
        <v>32</v>
      </c>
      <c r="P366" s="270">
        <v>32</v>
      </c>
      <c r="Q366" s="272">
        <v>32</v>
      </c>
    </row>
    <row r="367" spans="1:17" ht="15" thickBot="1">
      <c r="A367">
        <v>1412000044</v>
      </c>
      <c r="B367" t="s">
        <v>32</v>
      </c>
      <c r="E367" s="178" t="s">
        <v>27</v>
      </c>
      <c r="F367" s="273">
        <v>34</v>
      </c>
      <c r="G367" s="273">
        <v>34</v>
      </c>
      <c r="H367" s="273">
        <v>34</v>
      </c>
      <c r="I367" s="273">
        <v>34</v>
      </c>
      <c r="J367" s="273">
        <v>34</v>
      </c>
      <c r="K367" s="273">
        <v>34</v>
      </c>
      <c r="L367" s="274">
        <v>34</v>
      </c>
      <c r="M367" s="273">
        <v>34</v>
      </c>
      <c r="N367" s="275">
        <v>34</v>
      </c>
      <c r="O367" s="274">
        <v>34</v>
      </c>
      <c r="P367" s="273">
        <v>34</v>
      </c>
      <c r="Q367" s="275">
        <v>34</v>
      </c>
    </row>
    <row r="368" spans="1:17" ht="15" thickBot="1">
      <c r="A368">
        <v>1412000044</v>
      </c>
      <c r="B368" t="s">
        <v>32</v>
      </c>
      <c r="F368" s="276"/>
      <c r="G368" s="276"/>
      <c r="H368" s="276"/>
      <c r="I368" s="276"/>
      <c r="J368" s="276"/>
      <c r="K368" s="276"/>
      <c r="L368" s="276"/>
      <c r="M368" s="276"/>
      <c r="N368" s="276"/>
      <c r="O368" s="276"/>
      <c r="P368" s="276"/>
      <c r="Q368" s="276"/>
    </row>
    <row r="369" spans="1:17">
      <c r="A369">
        <v>1412000044</v>
      </c>
      <c r="B369" t="s">
        <v>32</v>
      </c>
      <c r="E369" s="220" t="s">
        <v>28</v>
      </c>
      <c r="F369" s="277"/>
      <c r="G369" s="277"/>
      <c r="H369" s="277"/>
      <c r="I369" s="277"/>
      <c r="J369" s="277"/>
      <c r="K369" s="277"/>
      <c r="L369" s="277"/>
      <c r="M369" s="277"/>
      <c r="N369" s="278"/>
      <c r="O369" s="277"/>
      <c r="P369" s="277"/>
      <c r="Q369" s="278"/>
    </row>
    <row r="370" spans="1:17">
      <c r="A370">
        <v>1412000044</v>
      </c>
      <c r="B370" t="s">
        <v>32</v>
      </c>
      <c r="E370" s="176" t="s">
        <v>25</v>
      </c>
      <c r="F370" s="279">
        <v>340</v>
      </c>
      <c r="G370" s="279">
        <v>323</v>
      </c>
      <c r="H370" s="279">
        <v>357</v>
      </c>
      <c r="I370" s="279">
        <v>391</v>
      </c>
      <c r="J370" s="279">
        <v>255</v>
      </c>
      <c r="K370" s="279">
        <v>323</v>
      </c>
      <c r="L370" s="279">
        <v>391</v>
      </c>
      <c r="M370" s="279">
        <v>340</v>
      </c>
      <c r="N370" s="280">
        <v>374</v>
      </c>
      <c r="O370" s="281">
        <v>340</v>
      </c>
      <c r="P370" s="279">
        <v>170</v>
      </c>
      <c r="Q370" s="280">
        <v>340</v>
      </c>
    </row>
    <row r="371" spans="1:17">
      <c r="A371">
        <v>1412000044</v>
      </c>
      <c r="B371" t="s">
        <v>32</v>
      </c>
      <c r="E371" s="312" t="s">
        <v>106</v>
      </c>
      <c r="F371" s="306">
        <v>3658</v>
      </c>
      <c r="G371" s="306">
        <v>3393</v>
      </c>
      <c r="H371" s="306">
        <v>3760</v>
      </c>
      <c r="I371" s="306">
        <v>4127</v>
      </c>
      <c r="J371" s="306">
        <v>3666.5</v>
      </c>
      <c r="K371" s="306">
        <v>3376</v>
      </c>
      <c r="L371" s="306">
        <v>4127</v>
      </c>
      <c r="M371" s="306">
        <v>3666.5</v>
      </c>
      <c r="N371" s="307">
        <v>3943.5</v>
      </c>
      <c r="O371" s="308">
        <v>3576.5</v>
      </c>
      <c r="P371" s="306">
        <v>2642</v>
      </c>
      <c r="Q371" s="307">
        <v>3568</v>
      </c>
    </row>
    <row r="372" spans="1:17">
      <c r="A372">
        <v>1412000044</v>
      </c>
      <c r="B372" t="s">
        <v>32</v>
      </c>
      <c r="E372" s="314" t="s">
        <v>158</v>
      </c>
      <c r="F372" s="309">
        <v>1425.5</v>
      </c>
      <c r="G372" s="309">
        <v>1303.5</v>
      </c>
      <c r="H372" s="309">
        <v>1442.5</v>
      </c>
      <c r="I372" s="309">
        <v>1581.5</v>
      </c>
      <c r="J372" s="309">
        <v>1425.5</v>
      </c>
      <c r="K372" s="309">
        <v>1303.5</v>
      </c>
      <c r="L372" s="309">
        <v>1581.5</v>
      </c>
      <c r="M372" s="309">
        <v>1425.5</v>
      </c>
      <c r="N372" s="310">
        <v>1512</v>
      </c>
      <c r="O372" s="311">
        <v>1373</v>
      </c>
      <c r="P372" s="309">
        <v>1025.5</v>
      </c>
      <c r="Q372" s="310">
        <v>1373</v>
      </c>
    </row>
    <row r="373" spans="1:17">
      <c r="A373">
        <v>1412000044</v>
      </c>
      <c r="B373" t="s">
        <v>32</v>
      </c>
      <c r="E373" s="177" t="s">
        <v>26</v>
      </c>
      <c r="F373" s="282">
        <v>5083.5</v>
      </c>
      <c r="G373" s="282">
        <v>4696.5</v>
      </c>
      <c r="H373" s="282">
        <v>5202.5</v>
      </c>
      <c r="I373" s="282">
        <v>5708.5</v>
      </c>
      <c r="J373" s="282">
        <v>5092</v>
      </c>
      <c r="K373" s="282">
        <v>4679.5</v>
      </c>
      <c r="L373" s="283">
        <v>5708.5</v>
      </c>
      <c r="M373" s="282">
        <v>5092</v>
      </c>
      <c r="N373" s="284">
        <v>5455.5</v>
      </c>
      <c r="O373" s="283">
        <v>4949.5</v>
      </c>
      <c r="P373" s="282">
        <v>3667.5</v>
      </c>
      <c r="Q373" s="284">
        <v>4941</v>
      </c>
    </row>
    <row r="374" spans="1:17" ht="15" thickBot="1">
      <c r="A374">
        <v>1412000044</v>
      </c>
      <c r="B374" t="s">
        <v>32</v>
      </c>
      <c r="E374" s="178" t="s">
        <v>44</v>
      </c>
      <c r="F374" s="285">
        <v>5423.5</v>
      </c>
      <c r="G374" s="285">
        <v>5019.5</v>
      </c>
      <c r="H374" s="285">
        <v>5559.5</v>
      </c>
      <c r="I374" s="285">
        <v>6099.5</v>
      </c>
      <c r="J374" s="285">
        <v>5347</v>
      </c>
      <c r="K374" s="285">
        <v>5002.5</v>
      </c>
      <c r="L374" s="286">
        <v>6099.5</v>
      </c>
      <c r="M374" s="285">
        <v>5432</v>
      </c>
      <c r="N374" s="287">
        <v>5829.5</v>
      </c>
      <c r="O374" s="286">
        <v>5289.5</v>
      </c>
      <c r="P374" s="285">
        <v>3837.5</v>
      </c>
      <c r="Q374" s="287">
        <v>5281</v>
      </c>
    </row>
    <row r="375" spans="1:17" ht="15" thickBot="1">
      <c r="A375">
        <v>1412000044</v>
      </c>
      <c r="B375" t="s">
        <v>32</v>
      </c>
      <c r="F375" s="288"/>
      <c r="G375" s="288"/>
      <c r="H375" s="288"/>
      <c r="I375" s="288"/>
      <c r="J375" s="288"/>
      <c r="K375" s="288"/>
      <c r="L375" s="288"/>
      <c r="M375" s="288"/>
      <c r="N375" s="288"/>
      <c r="O375" s="288"/>
      <c r="P375" s="288"/>
      <c r="Q375" s="288"/>
    </row>
    <row r="376" spans="1:17">
      <c r="A376">
        <v>1412000044</v>
      </c>
      <c r="B376" t="s">
        <v>32</v>
      </c>
      <c r="E376" s="220" t="s">
        <v>29</v>
      </c>
      <c r="F376" s="289"/>
      <c r="G376" s="289"/>
      <c r="H376" s="289"/>
      <c r="I376" s="289"/>
      <c r="J376" s="289"/>
      <c r="K376" s="289"/>
      <c r="L376" s="289"/>
      <c r="M376" s="289"/>
      <c r="N376" s="290"/>
      <c r="O376" s="289"/>
      <c r="P376" s="289"/>
      <c r="Q376" s="278"/>
    </row>
    <row r="377" spans="1:17">
      <c r="A377">
        <v>1412000044</v>
      </c>
      <c r="B377" t="s">
        <v>32</v>
      </c>
      <c r="E377" s="176" t="s">
        <v>25</v>
      </c>
      <c r="F377" s="279">
        <v>80</v>
      </c>
      <c r="G377" s="279">
        <v>76</v>
      </c>
      <c r="H377" s="279">
        <v>84</v>
      </c>
      <c r="I377" s="279">
        <v>92</v>
      </c>
      <c r="J377" s="279">
        <v>60</v>
      </c>
      <c r="K377" s="279">
        <v>76</v>
      </c>
      <c r="L377" s="279">
        <v>92</v>
      </c>
      <c r="M377" s="279">
        <v>80</v>
      </c>
      <c r="N377" s="280">
        <v>88</v>
      </c>
      <c r="O377" s="281">
        <v>80</v>
      </c>
      <c r="P377" s="279">
        <v>40</v>
      </c>
      <c r="Q377" s="280">
        <v>80</v>
      </c>
    </row>
    <row r="378" spans="1:17">
      <c r="A378">
        <v>1412000044</v>
      </c>
      <c r="B378" t="s">
        <v>32</v>
      </c>
      <c r="E378" s="312" t="s">
        <v>106</v>
      </c>
      <c r="F378" s="306">
        <v>230</v>
      </c>
      <c r="G378" s="306">
        <v>226</v>
      </c>
      <c r="H378" s="306">
        <v>234</v>
      </c>
      <c r="I378" s="306">
        <v>392</v>
      </c>
      <c r="J378" s="306">
        <v>230</v>
      </c>
      <c r="K378" s="306">
        <v>226</v>
      </c>
      <c r="L378" s="306">
        <v>392</v>
      </c>
      <c r="M378" s="306">
        <v>404</v>
      </c>
      <c r="N378" s="307">
        <v>238</v>
      </c>
      <c r="O378" s="308">
        <v>230</v>
      </c>
      <c r="P378" s="306">
        <v>360</v>
      </c>
      <c r="Q378" s="307">
        <v>380</v>
      </c>
    </row>
    <row r="379" spans="1:17">
      <c r="A379">
        <v>1412000044</v>
      </c>
      <c r="B379" t="s">
        <v>32</v>
      </c>
      <c r="E379" s="314" t="s">
        <v>158</v>
      </c>
      <c r="F379" s="309">
        <v>100</v>
      </c>
      <c r="G379" s="309">
        <v>100</v>
      </c>
      <c r="H379" s="309">
        <v>100</v>
      </c>
      <c r="I379" s="309">
        <v>100</v>
      </c>
      <c r="J379" s="309">
        <v>100</v>
      </c>
      <c r="K379" s="309">
        <v>100</v>
      </c>
      <c r="L379" s="309">
        <v>100</v>
      </c>
      <c r="M379" s="309">
        <v>114</v>
      </c>
      <c r="N379" s="310">
        <v>106</v>
      </c>
      <c r="O379" s="311">
        <v>100</v>
      </c>
      <c r="P379" s="309">
        <v>100</v>
      </c>
      <c r="Q379" s="310">
        <v>100</v>
      </c>
    </row>
    <row r="380" spans="1:17">
      <c r="A380">
        <v>1412000044</v>
      </c>
      <c r="B380" t="s">
        <v>32</v>
      </c>
      <c r="E380" s="177" t="s">
        <v>26</v>
      </c>
      <c r="F380" s="282">
        <v>330</v>
      </c>
      <c r="G380" s="282">
        <v>326</v>
      </c>
      <c r="H380" s="282">
        <v>334</v>
      </c>
      <c r="I380" s="282">
        <v>492</v>
      </c>
      <c r="J380" s="282">
        <v>330</v>
      </c>
      <c r="K380" s="282">
        <v>326</v>
      </c>
      <c r="L380" s="283">
        <v>492</v>
      </c>
      <c r="M380" s="282">
        <v>518</v>
      </c>
      <c r="N380" s="284">
        <v>344</v>
      </c>
      <c r="O380" s="283">
        <v>330</v>
      </c>
      <c r="P380" s="282">
        <v>460</v>
      </c>
      <c r="Q380" s="284">
        <v>480</v>
      </c>
    </row>
    <row r="381" spans="1:17" ht="15" thickBot="1">
      <c r="A381">
        <v>1412000044</v>
      </c>
      <c r="B381" t="s">
        <v>32</v>
      </c>
      <c r="E381" s="178" t="s">
        <v>45</v>
      </c>
      <c r="F381" s="285">
        <v>410</v>
      </c>
      <c r="G381" s="285">
        <v>402</v>
      </c>
      <c r="H381" s="285">
        <v>418</v>
      </c>
      <c r="I381" s="285">
        <v>584</v>
      </c>
      <c r="J381" s="285">
        <v>390</v>
      </c>
      <c r="K381" s="285">
        <v>402</v>
      </c>
      <c r="L381" s="286">
        <v>584</v>
      </c>
      <c r="M381" s="285">
        <v>598</v>
      </c>
      <c r="N381" s="287">
        <v>432</v>
      </c>
      <c r="O381" s="286">
        <v>410</v>
      </c>
      <c r="P381" s="285">
        <v>500</v>
      </c>
      <c r="Q381" s="287">
        <v>560</v>
      </c>
    </row>
    <row r="382" spans="1:17">
      <c r="A382">
        <v>1412000056</v>
      </c>
      <c r="B382" t="s">
        <v>36</v>
      </c>
      <c r="E382" s="220" t="s">
        <v>40</v>
      </c>
      <c r="F382" s="201"/>
      <c r="G382" s="201"/>
      <c r="H382" s="201"/>
      <c r="I382" s="201"/>
      <c r="J382" s="201"/>
      <c r="K382" s="201"/>
      <c r="L382" s="201"/>
      <c r="M382" s="201"/>
      <c r="N382" s="202"/>
      <c r="O382" s="201"/>
      <c r="P382" s="201"/>
      <c r="Q382" s="202"/>
    </row>
    <row r="383" spans="1:17">
      <c r="A383">
        <v>1412000056</v>
      </c>
      <c r="B383" t="s">
        <v>36</v>
      </c>
      <c r="E383" s="176" t="s">
        <v>25</v>
      </c>
      <c r="F383" s="267">
        <v>1</v>
      </c>
      <c r="G383" s="267">
        <v>1</v>
      </c>
      <c r="H383" s="267">
        <v>1</v>
      </c>
      <c r="I383" s="267">
        <v>1</v>
      </c>
      <c r="J383" s="267">
        <v>1</v>
      </c>
      <c r="K383" s="267">
        <v>1</v>
      </c>
      <c r="L383" s="267">
        <v>1</v>
      </c>
      <c r="M383" s="267">
        <v>1</v>
      </c>
      <c r="N383" s="268">
        <v>1</v>
      </c>
      <c r="O383" s="269">
        <v>1</v>
      </c>
      <c r="P383" s="267">
        <v>1</v>
      </c>
      <c r="Q383" s="268">
        <v>1</v>
      </c>
    </row>
    <row r="384" spans="1:17">
      <c r="A384">
        <v>1412000056</v>
      </c>
      <c r="B384" t="s">
        <v>36</v>
      </c>
      <c r="E384" s="312" t="s">
        <v>106</v>
      </c>
      <c r="F384" s="300">
        <v>16</v>
      </c>
      <c r="G384" s="300">
        <v>16</v>
      </c>
      <c r="H384" s="300">
        <v>16</v>
      </c>
      <c r="I384" s="300">
        <v>16</v>
      </c>
      <c r="J384" s="300">
        <v>16</v>
      </c>
      <c r="K384" s="300">
        <v>16</v>
      </c>
      <c r="L384" s="300">
        <v>16</v>
      </c>
      <c r="M384" s="300">
        <v>16</v>
      </c>
      <c r="N384" s="301">
        <v>16</v>
      </c>
      <c r="O384" s="302">
        <v>16</v>
      </c>
      <c r="P384" s="300">
        <v>16</v>
      </c>
      <c r="Q384" s="301">
        <v>16</v>
      </c>
    </row>
    <row r="385" spans="1:17">
      <c r="A385">
        <v>1412000056</v>
      </c>
      <c r="B385" t="s">
        <v>36</v>
      </c>
      <c r="E385" s="314" t="s">
        <v>158</v>
      </c>
      <c r="F385" s="303">
        <v>125</v>
      </c>
      <c r="G385" s="303">
        <v>125</v>
      </c>
      <c r="H385" s="303">
        <v>125</v>
      </c>
      <c r="I385" s="303">
        <v>125</v>
      </c>
      <c r="J385" s="303">
        <v>125</v>
      </c>
      <c r="K385" s="303">
        <v>125</v>
      </c>
      <c r="L385" s="303">
        <v>125</v>
      </c>
      <c r="M385" s="303">
        <v>125</v>
      </c>
      <c r="N385" s="304">
        <v>125</v>
      </c>
      <c r="O385" s="305">
        <v>125</v>
      </c>
      <c r="P385" s="303">
        <v>125</v>
      </c>
      <c r="Q385" s="304">
        <v>125</v>
      </c>
    </row>
    <row r="386" spans="1:17">
      <c r="A386">
        <v>1412000056</v>
      </c>
      <c r="B386" t="s">
        <v>36</v>
      </c>
      <c r="E386" s="177" t="s">
        <v>26</v>
      </c>
      <c r="F386" s="270">
        <v>141</v>
      </c>
      <c r="G386" s="270">
        <v>141</v>
      </c>
      <c r="H386" s="270">
        <v>141</v>
      </c>
      <c r="I386" s="270">
        <v>141</v>
      </c>
      <c r="J386" s="270">
        <v>141</v>
      </c>
      <c r="K386" s="270">
        <v>141</v>
      </c>
      <c r="L386" s="271">
        <v>141</v>
      </c>
      <c r="M386" s="270">
        <v>141</v>
      </c>
      <c r="N386" s="272">
        <v>141</v>
      </c>
      <c r="O386" s="271">
        <v>141</v>
      </c>
      <c r="P386" s="270">
        <v>141</v>
      </c>
      <c r="Q386" s="272">
        <v>141</v>
      </c>
    </row>
    <row r="387" spans="1:17" ht="15" thickBot="1">
      <c r="A387">
        <v>1412000056</v>
      </c>
      <c r="B387" t="s">
        <v>36</v>
      </c>
      <c r="E387" s="178" t="s">
        <v>27</v>
      </c>
      <c r="F387" s="273">
        <v>142</v>
      </c>
      <c r="G387" s="273">
        <v>142</v>
      </c>
      <c r="H387" s="273">
        <v>142</v>
      </c>
      <c r="I387" s="273">
        <v>142</v>
      </c>
      <c r="J387" s="273">
        <v>142</v>
      </c>
      <c r="K387" s="273">
        <v>142</v>
      </c>
      <c r="L387" s="274">
        <v>142</v>
      </c>
      <c r="M387" s="273">
        <v>142</v>
      </c>
      <c r="N387" s="275">
        <v>142</v>
      </c>
      <c r="O387" s="274">
        <v>142</v>
      </c>
      <c r="P387" s="273">
        <v>142</v>
      </c>
      <c r="Q387" s="275">
        <v>142</v>
      </c>
    </row>
    <row r="388" spans="1:17" ht="15" thickBot="1">
      <c r="A388">
        <v>1412000056</v>
      </c>
      <c r="B388" t="s">
        <v>36</v>
      </c>
      <c r="F388" s="276"/>
      <c r="G388" s="276"/>
      <c r="H388" s="276"/>
      <c r="I388" s="276"/>
      <c r="J388" s="276"/>
      <c r="K388" s="276"/>
      <c r="L388" s="276"/>
      <c r="M388" s="276"/>
      <c r="N388" s="276"/>
      <c r="O388" s="276"/>
      <c r="P388" s="276"/>
      <c r="Q388" s="276"/>
    </row>
    <row r="389" spans="1:17">
      <c r="A389">
        <v>1412000056</v>
      </c>
      <c r="B389" t="s">
        <v>36</v>
      </c>
      <c r="E389" s="220" t="s">
        <v>28</v>
      </c>
      <c r="F389" s="277"/>
      <c r="G389" s="277"/>
      <c r="H389" s="277"/>
      <c r="I389" s="277"/>
      <c r="J389" s="277"/>
      <c r="K389" s="277"/>
      <c r="L389" s="277"/>
      <c r="M389" s="277"/>
      <c r="N389" s="278"/>
      <c r="O389" s="277"/>
      <c r="P389" s="277"/>
      <c r="Q389" s="278"/>
    </row>
    <row r="390" spans="1:17">
      <c r="A390">
        <v>1412000056</v>
      </c>
      <c r="B390" t="s">
        <v>36</v>
      </c>
      <c r="E390" s="176" t="s">
        <v>25</v>
      </c>
      <c r="F390" s="279">
        <v>161.5</v>
      </c>
      <c r="G390" s="279">
        <v>161.5</v>
      </c>
      <c r="H390" s="279">
        <v>170</v>
      </c>
      <c r="I390" s="279">
        <v>153</v>
      </c>
      <c r="J390" s="279">
        <v>170</v>
      </c>
      <c r="K390" s="279">
        <v>153</v>
      </c>
      <c r="L390" s="279">
        <v>195.5</v>
      </c>
      <c r="M390" s="279">
        <v>161.5</v>
      </c>
      <c r="N390" s="280">
        <v>187</v>
      </c>
      <c r="O390" s="281">
        <v>161.5</v>
      </c>
      <c r="P390" s="279">
        <v>127.5</v>
      </c>
      <c r="Q390" s="280">
        <v>161.5</v>
      </c>
    </row>
    <row r="391" spans="1:17">
      <c r="A391">
        <v>1412000056</v>
      </c>
      <c r="B391" t="s">
        <v>36</v>
      </c>
      <c r="E391" s="312" t="s">
        <v>106</v>
      </c>
      <c r="F391" s="306">
        <v>2556</v>
      </c>
      <c r="G391" s="306">
        <v>2451</v>
      </c>
      <c r="H391" s="306">
        <v>2556</v>
      </c>
      <c r="I391" s="306">
        <v>2661</v>
      </c>
      <c r="J391" s="306">
        <v>2556</v>
      </c>
      <c r="K391" s="306">
        <v>2451</v>
      </c>
      <c r="L391" s="306">
        <v>2661</v>
      </c>
      <c r="M391" s="306">
        <v>2556</v>
      </c>
      <c r="N391" s="307">
        <v>2609</v>
      </c>
      <c r="O391" s="308">
        <v>2504</v>
      </c>
      <c r="P391" s="306">
        <v>2241</v>
      </c>
      <c r="Q391" s="307">
        <v>2504</v>
      </c>
    </row>
    <row r="392" spans="1:17">
      <c r="A392">
        <v>1412000056</v>
      </c>
      <c r="B392" t="s">
        <v>36</v>
      </c>
      <c r="E392" s="314" t="s">
        <v>158</v>
      </c>
      <c r="F392" s="309">
        <v>19274</v>
      </c>
      <c r="G392" s="309">
        <v>17784</v>
      </c>
      <c r="H392" s="309">
        <v>19209.5</v>
      </c>
      <c r="I392" s="309">
        <v>20956.5</v>
      </c>
      <c r="J392" s="309">
        <v>19411.5</v>
      </c>
      <c r="K392" s="309">
        <v>17926.5</v>
      </c>
      <c r="L392" s="309">
        <v>21039</v>
      </c>
      <c r="M392" s="309">
        <v>19634</v>
      </c>
      <c r="N392" s="310">
        <v>20297</v>
      </c>
      <c r="O392" s="311">
        <v>18992.5</v>
      </c>
      <c r="P392" s="309">
        <v>15298.5</v>
      </c>
      <c r="Q392" s="310">
        <v>19011.5</v>
      </c>
    </row>
    <row r="393" spans="1:17">
      <c r="A393">
        <v>1412000056</v>
      </c>
      <c r="B393" t="s">
        <v>36</v>
      </c>
      <c r="E393" s="177" t="s">
        <v>26</v>
      </c>
      <c r="F393" s="282">
        <v>21830</v>
      </c>
      <c r="G393" s="282">
        <v>20235</v>
      </c>
      <c r="H393" s="282">
        <v>21765.5</v>
      </c>
      <c r="I393" s="282">
        <v>23617.5</v>
      </c>
      <c r="J393" s="282">
        <v>21967.5</v>
      </c>
      <c r="K393" s="282">
        <v>20377.5</v>
      </c>
      <c r="L393" s="283">
        <v>23700</v>
      </c>
      <c r="M393" s="282">
        <v>22190</v>
      </c>
      <c r="N393" s="284">
        <v>22906</v>
      </c>
      <c r="O393" s="283">
        <v>21496.5</v>
      </c>
      <c r="P393" s="282">
        <v>17539.5</v>
      </c>
      <c r="Q393" s="284">
        <v>21515.5</v>
      </c>
    </row>
    <row r="394" spans="1:17" ht="15" thickBot="1">
      <c r="A394">
        <v>1412000056</v>
      </c>
      <c r="B394" t="s">
        <v>36</v>
      </c>
      <c r="E394" s="178" t="s">
        <v>44</v>
      </c>
      <c r="F394" s="285">
        <v>21991.5</v>
      </c>
      <c r="G394" s="285">
        <v>20396.5</v>
      </c>
      <c r="H394" s="285">
        <v>21935.5</v>
      </c>
      <c r="I394" s="285">
        <v>23770.5</v>
      </c>
      <c r="J394" s="285">
        <v>22137.5</v>
      </c>
      <c r="K394" s="285">
        <v>20530.5</v>
      </c>
      <c r="L394" s="286">
        <v>23895.5</v>
      </c>
      <c r="M394" s="285">
        <v>22351.5</v>
      </c>
      <c r="N394" s="287">
        <v>23093</v>
      </c>
      <c r="O394" s="286">
        <v>21658</v>
      </c>
      <c r="P394" s="285">
        <v>17667</v>
      </c>
      <c r="Q394" s="287">
        <v>21677</v>
      </c>
    </row>
    <row r="395" spans="1:17" ht="15" thickBot="1">
      <c r="A395">
        <v>1412000056</v>
      </c>
      <c r="B395" t="s">
        <v>36</v>
      </c>
      <c r="F395" s="288"/>
      <c r="G395" s="288"/>
      <c r="H395" s="288"/>
      <c r="I395" s="288"/>
      <c r="J395" s="288"/>
      <c r="K395" s="288"/>
      <c r="L395" s="288"/>
      <c r="M395" s="288"/>
      <c r="N395" s="288"/>
      <c r="O395" s="288"/>
      <c r="P395" s="288"/>
      <c r="Q395" s="288"/>
    </row>
    <row r="396" spans="1:17">
      <c r="A396">
        <v>1412000056</v>
      </c>
      <c r="B396" t="s">
        <v>36</v>
      </c>
      <c r="E396" s="220" t="s">
        <v>29</v>
      </c>
      <c r="F396" s="289"/>
      <c r="G396" s="289"/>
      <c r="H396" s="289"/>
      <c r="I396" s="289"/>
      <c r="J396" s="289"/>
      <c r="K396" s="289"/>
      <c r="L396" s="289"/>
      <c r="M396" s="289"/>
      <c r="N396" s="290"/>
      <c r="O396" s="289"/>
      <c r="P396" s="289"/>
      <c r="Q396" s="278"/>
    </row>
    <row r="397" spans="1:17">
      <c r="A397">
        <v>1412000056</v>
      </c>
      <c r="B397" t="s">
        <v>36</v>
      </c>
      <c r="E397" s="176" t="s">
        <v>25</v>
      </c>
      <c r="F397" s="279">
        <v>38</v>
      </c>
      <c r="G397" s="279">
        <v>38</v>
      </c>
      <c r="H397" s="279">
        <v>40</v>
      </c>
      <c r="I397" s="279">
        <v>36</v>
      </c>
      <c r="J397" s="279">
        <v>40</v>
      </c>
      <c r="K397" s="279">
        <v>36</v>
      </c>
      <c r="L397" s="279">
        <v>46</v>
      </c>
      <c r="M397" s="279">
        <v>38</v>
      </c>
      <c r="N397" s="280">
        <v>44</v>
      </c>
      <c r="O397" s="281">
        <v>38</v>
      </c>
      <c r="P397" s="279">
        <v>30</v>
      </c>
      <c r="Q397" s="280">
        <v>38</v>
      </c>
    </row>
    <row r="398" spans="1:17">
      <c r="A398">
        <v>1412000056</v>
      </c>
      <c r="B398" t="s">
        <v>36</v>
      </c>
      <c r="E398" s="312" t="s">
        <v>106</v>
      </c>
      <c r="F398" s="306">
        <v>56</v>
      </c>
      <c r="G398" s="306">
        <v>56</v>
      </c>
      <c r="H398" s="306">
        <v>56</v>
      </c>
      <c r="I398" s="306">
        <v>172</v>
      </c>
      <c r="J398" s="306">
        <v>112</v>
      </c>
      <c r="K398" s="306">
        <v>112</v>
      </c>
      <c r="L398" s="306">
        <v>116</v>
      </c>
      <c r="M398" s="306">
        <v>116</v>
      </c>
      <c r="N398" s="307">
        <v>112</v>
      </c>
      <c r="O398" s="308">
        <v>56</v>
      </c>
      <c r="P398" s="306">
        <v>172</v>
      </c>
      <c r="Q398" s="307">
        <v>172</v>
      </c>
    </row>
    <row r="399" spans="1:17">
      <c r="A399">
        <v>1412000056</v>
      </c>
      <c r="B399" t="s">
        <v>36</v>
      </c>
      <c r="E399" s="314" t="s">
        <v>158</v>
      </c>
      <c r="F399" s="309">
        <v>1300</v>
      </c>
      <c r="G399" s="309">
        <v>1300</v>
      </c>
      <c r="H399" s="309">
        <v>1300</v>
      </c>
      <c r="I399" s="309">
        <v>1300</v>
      </c>
      <c r="J399" s="309">
        <v>1400</v>
      </c>
      <c r="K399" s="309">
        <v>1400</v>
      </c>
      <c r="L399" s="309">
        <v>1300</v>
      </c>
      <c r="M399" s="309">
        <v>1400</v>
      </c>
      <c r="N399" s="310">
        <v>1300</v>
      </c>
      <c r="O399" s="311">
        <v>1300</v>
      </c>
      <c r="P399" s="309">
        <v>1400</v>
      </c>
      <c r="Q399" s="310">
        <v>1400</v>
      </c>
    </row>
    <row r="400" spans="1:17">
      <c r="A400">
        <v>1412000056</v>
      </c>
      <c r="B400" t="s">
        <v>36</v>
      </c>
      <c r="E400" s="177" t="s">
        <v>26</v>
      </c>
      <c r="F400" s="282">
        <v>1356</v>
      </c>
      <c r="G400" s="282">
        <v>1356</v>
      </c>
      <c r="H400" s="282">
        <v>1356</v>
      </c>
      <c r="I400" s="282">
        <v>1472</v>
      </c>
      <c r="J400" s="282">
        <v>1512</v>
      </c>
      <c r="K400" s="282">
        <v>1512</v>
      </c>
      <c r="L400" s="283">
        <v>1416</v>
      </c>
      <c r="M400" s="282">
        <v>1516</v>
      </c>
      <c r="N400" s="284">
        <v>1412</v>
      </c>
      <c r="O400" s="283">
        <v>1356</v>
      </c>
      <c r="P400" s="282">
        <v>1572</v>
      </c>
      <c r="Q400" s="284">
        <v>1572</v>
      </c>
    </row>
    <row r="401" spans="1:17" ht="15" thickBot="1">
      <c r="A401">
        <v>1412000056</v>
      </c>
      <c r="B401" t="s">
        <v>36</v>
      </c>
      <c r="E401" s="178" t="s">
        <v>45</v>
      </c>
      <c r="F401" s="285">
        <v>1394</v>
      </c>
      <c r="G401" s="285">
        <v>1394</v>
      </c>
      <c r="H401" s="285">
        <v>1396</v>
      </c>
      <c r="I401" s="285">
        <v>1508</v>
      </c>
      <c r="J401" s="285">
        <v>1552</v>
      </c>
      <c r="K401" s="285">
        <v>1548</v>
      </c>
      <c r="L401" s="286">
        <v>1462</v>
      </c>
      <c r="M401" s="285">
        <v>1554</v>
      </c>
      <c r="N401" s="287">
        <v>1456</v>
      </c>
      <c r="O401" s="286">
        <v>1394</v>
      </c>
      <c r="P401" s="285">
        <v>1602</v>
      </c>
      <c r="Q401" s="287">
        <v>1610</v>
      </c>
    </row>
    <row r="402" spans="1:17">
      <c r="A402">
        <v>1412000018</v>
      </c>
      <c r="B402" t="s">
        <v>11</v>
      </c>
      <c r="E402" s="220" t="s">
        <v>40</v>
      </c>
      <c r="F402" s="201"/>
      <c r="G402" s="201"/>
      <c r="H402" s="201"/>
      <c r="I402" s="201"/>
      <c r="J402" s="201"/>
      <c r="K402" s="201"/>
      <c r="L402" s="201"/>
      <c r="M402" s="201"/>
      <c r="N402" s="202"/>
      <c r="O402" s="201"/>
      <c r="P402" s="201"/>
      <c r="Q402" s="202"/>
    </row>
    <row r="403" spans="1:17">
      <c r="A403">
        <v>1412000018</v>
      </c>
      <c r="B403" t="s">
        <v>11</v>
      </c>
      <c r="E403" s="176" t="s">
        <v>25</v>
      </c>
      <c r="F403" s="267">
        <v>2</v>
      </c>
      <c r="G403" s="267">
        <v>2</v>
      </c>
      <c r="H403" s="267">
        <v>2</v>
      </c>
      <c r="I403" s="267">
        <v>2</v>
      </c>
      <c r="J403" s="267">
        <v>2</v>
      </c>
      <c r="K403" s="267">
        <v>2</v>
      </c>
      <c r="L403" s="267">
        <v>2</v>
      </c>
      <c r="M403" s="267">
        <v>2</v>
      </c>
      <c r="N403" s="268">
        <v>2</v>
      </c>
      <c r="O403" s="269">
        <v>2</v>
      </c>
      <c r="P403" s="267">
        <v>2</v>
      </c>
      <c r="Q403" s="268">
        <v>2</v>
      </c>
    </row>
    <row r="404" spans="1:17">
      <c r="A404">
        <v>1412000018</v>
      </c>
      <c r="B404" t="s">
        <v>11</v>
      </c>
      <c r="E404" s="312" t="s">
        <v>106</v>
      </c>
      <c r="F404" s="300">
        <v>11</v>
      </c>
      <c r="G404" s="300">
        <v>11</v>
      </c>
      <c r="H404" s="300">
        <v>11</v>
      </c>
      <c r="I404" s="300">
        <v>11</v>
      </c>
      <c r="J404" s="300">
        <v>11</v>
      </c>
      <c r="K404" s="300">
        <v>11</v>
      </c>
      <c r="L404" s="300">
        <v>11</v>
      </c>
      <c r="M404" s="300">
        <v>11</v>
      </c>
      <c r="N404" s="301">
        <v>11</v>
      </c>
      <c r="O404" s="302">
        <v>11</v>
      </c>
      <c r="P404" s="300">
        <v>11</v>
      </c>
      <c r="Q404" s="301">
        <v>11</v>
      </c>
    </row>
    <row r="405" spans="1:17">
      <c r="A405">
        <v>1412000018</v>
      </c>
      <c r="B405" t="s">
        <v>11</v>
      </c>
      <c r="E405" s="314" t="s">
        <v>158</v>
      </c>
      <c r="F405" s="303">
        <v>1</v>
      </c>
      <c r="G405" s="303">
        <v>1</v>
      </c>
      <c r="H405" s="303">
        <v>1</v>
      </c>
      <c r="I405" s="303">
        <v>1</v>
      </c>
      <c r="J405" s="303">
        <v>1</v>
      </c>
      <c r="K405" s="303">
        <v>1</v>
      </c>
      <c r="L405" s="303">
        <v>1</v>
      </c>
      <c r="M405" s="303">
        <v>1</v>
      </c>
      <c r="N405" s="304">
        <v>1</v>
      </c>
      <c r="O405" s="305">
        <v>1</v>
      </c>
      <c r="P405" s="303">
        <v>1</v>
      </c>
      <c r="Q405" s="304">
        <v>1</v>
      </c>
    </row>
    <row r="406" spans="1:17">
      <c r="A406">
        <v>1412000018</v>
      </c>
      <c r="B406" t="s">
        <v>11</v>
      </c>
      <c r="E406" s="177" t="s">
        <v>26</v>
      </c>
      <c r="F406" s="270">
        <v>12</v>
      </c>
      <c r="G406" s="270">
        <v>12</v>
      </c>
      <c r="H406" s="270">
        <v>12</v>
      </c>
      <c r="I406" s="270">
        <v>12</v>
      </c>
      <c r="J406" s="270">
        <v>12</v>
      </c>
      <c r="K406" s="270">
        <v>12</v>
      </c>
      <c r="L406" s="271">
        <v>12</v>
      </c>
      <c r="M406" s="270">
        <v>12</v>
      </c>
      <c r="N406" s="272">
        <v>12</v>
      </c>
      <c r="O406" s="271">
        <v>12</v>
      </c>
      <c r="P406" s="270">
        <v>12</v>
      </c>
      <c r="Q406" s="272">
        <v>12</v>
      </c>
    </row>
    <row r="407" spans="1:17" ht="15" thickBot="1">
      <c r="A407">
        <v>1412000018</v>
      </c>
      <c r="B407" t="s">
        <v>11</v>
      </c>
      <c r="E407" s="178" t="s">
        <v>27</v>
      </c>
      <c r="F407" s="273">
        <v>14</v>
      </c>
      <c r="G407" s="273">
        <v>14</v>
      </c>
      <c r="H407" s="273">
        <v>14</v>
      </c>
      <c r="I407" s="273">
        <v>14</v>
      </c>
      <c r="J407" s="273">
        <v>14</v>
      </c>
      <c r="K407" s="273">
        <v>14</v>
      </c>
      <c r="L407" s="274">
        <v>14</v>
      </c>
      <c r="M407" s="273">
        <v>14</v>
      </c>
      <c r="N407" s="275">
        <v>14</v>
      </c>
      <c r="O407" s="274">
        <v>14</v>
      </c>
      <c r="P407" s="273">
        <v>14</v>
      </c>
      <c r="Q407" s="275">
        <v>14</v>
      </c>
    </row>
    <row r="408" spans="1:17" ht="15" thickBot="1">
      <c r="A408">
        <v>1412000018</v>
      </c>
      <c r="B408" t="s">
        <v>11</v>
      </c>
      <c r="F408" s="276"/>
      <c r="G408" s="276"/>
      <c r="H408" s="276"/>
      <c r="I408" s="276"/>
      <c r="J408" s="276"/>
      <c r="K408" s="276"/>
      <c r="L408" s="276"/>
      <c r="M408" s="276"/>
      <c r="N408" s="276"/>
      <c r="O408" s="276"/>
      <c r="P408" s="276"/>
      <c r="Q408" s="276"/>
    </row>
    <row r="409" spans="1:17">
      <c r="A409">
        <v>1412000018</v>
      </c>
      <c r="B409" t="s">
        <v>11</v>
      </c>
      <c r="E409" s="220" t="s">
        <v>28</v>
      </c>
      <c r="F409" s="277"/>
      <c r="G409" s="277"/>
      <c r="H409" s="277"/>
      <c r="I409" s="277"/>
      <c r="J409" s="277"/>
      <c r="K409" s="277"/>
      <c r="L409" s="277"/>
      <c r="M409" s="277"/>
      <c r="N409" s="278"/>
      <c r="O409" s="277"/>
      <c r="P409" s="277"/>
      <c r="Q409" s="278"/>
    </row>
    <row r="410" spans="1:17">
      <c r="A410">
        <v>1412000018</v>
      </c>
      <c r="B410" t="s">
        <v>11</v>
      </c>
      <c r="E410" s="176" t="s">
        <v>25</v>
      </c>
      <c r="F410" s="279">
        <v>340</v>
      </c>
      <c r="G410" s="279">
        <v>238</v>
      </c>
      <c r="H410" s="279">
        <v>357</v>
      </c>
      <c r="I410" s="279">
        <v>391</v>
      </c>
      <c r="J410" s="279">
        <v>340</v>
      </c>
      <c r="K410" s="279">
        <v>280.5</v>
      </c>
      <c r="L410" s="279">
        <v>348.5</v>
      </c>
      <c r="M410" s="279">
        <v>340</v>
      </c>
      <c r="N410" s="280">
        <v>374</v>
      </c>
      <c r="O410" s="281">
        <v>340</v>
      </c>
      <c r="P410" s="279">
        <v>255</v>
      </c>
      <c r="Q410" s="280">
        <v>340</v>
      </c>
    </row>
    <row r="411" spans="1:17">
      <c r="A411">
        <v>1412000018</v>
      </c>
      <c r="B411" t="s">
        <v>11</v>
      </c>
      <c r="E411" s="312" t="s">
        <v>106</v>
      </c>
      <c r="F411" s="306">
        <v>1733.75</v>
      </c>
      <c r="G411" s="306">
        <v>1702.25</v>
      </c>
      <c r="H411" s="306">
        <v>1878.75</v>
      </c>
      <c r="I411" s="306">
        <v>2068</v>
      </c>
      <c r="J411" s="306">
        <v>1777.75</v>
      </c>
      <c r="K411" s="306">
        <v>1681</v>
      </c>
      <c r="L411" s="306">
        <v>2083</v>
      </c>
      <c r="M411" s="306">
        <v>1797.75</v>
      </c>
      <c r="N411" s="307">
        <v>1984.75</v>
      </c>
      <c r="O411" s="308">
        <v>1802</v>
      </c>
      <c r="P411" s="306">
        <v>1334.5</v>
      </c>
      <c r="Q411" s="307">
        <v>1802</v>
      </c>
    </row>
    <row r="412" spans="1:17">
      <c r="A412">
        <v>1412000018</v>
      </c>
      <c r="B412" t="s">
        <v>11</v>
      </c>
      <c r="E412" s="314" t="s">
        <v>158</v>
      </c>
      <c r="F412" s="309">
        <v>161.5</v>
      </c>
      <c r="G412" s="309">
        <v>153</v>
      </c>
      <c r="H412" s="309">
        <v>170</v>
      </c>
      <c r="I412" s="309">
        <v>187</v>
      </c>
      <c r="J412" s="309">
        <v>161.5</v>
      </c>
      <c r="K412" s="309">
        <v>153</v>
      </c>
      <c r="L412" s="309">
        <v>187</v>
      </c>
      <c r="M412" s="309">
        <v>161.5</v>
      </c>
      <c r="N412" s="310">
        <v>178.5</v>
      </c>
      <c r="O412" s="311">
        <v>161.5</v>
      </c>
      <c r="P412" s="309">
        <v>119</v>
      </c>
      <c r="Q412" s="310">
        <v>161.5</v>
      </c>
    </row>
    <row r="413" spans="1:17">
      <c r="A413">
        <v>1412000018</v>
      </c>
      <c r="B413" t="s">
        <v>11</v>
      </c>
      <c r="E413" s="177" t="s">
        <v>26</v>
      </c>
      <c r="F413" s="282">
        <v>1895.25</v>
      </c>
      <c r="G413" s="282">
        <v>1855.25</v>
      </c>
      <c r="H413" s="282">
        <v>2048.75</v>
      </c>
      <c r="I413" s="282">
        <v>2255</v>
      </c>
      <c r="J413" s="282">
        <v>1939.25</v>
      </c>
      <c r="K413" s="282">
        <v>1834</v>
      </c>
      <c r="L413" s="283">
        <v>2270</v>
      </c>
      <c r="M413" s="282">
        <v>1959.25</v>
      </c>
      <c r="N413" s="284">
        <v>2163.25</v>
      </c>
      <c r="O413" s="283">
        <v>1963.5</v>
      </c>
      <c r="P413" s="282">
        <v>1453.5</v>
      </c>
      <c r="Q413" s="284">
        <v>1963.5</v>
      </c>
    </row>
    <row r="414" spans="1:17" ht="15" thickBot="1">
      <c r="A414">
        <v>1412000018</v>
      </c>
      <c r="B414" t="s">
        <v>11</v>
      </c>
      <c r="E414" s="178" t="s">
        <v>44</v>
      </c>
      <c r="F414" s="285">
        <v>2235.25</v>
      </c>
      <c r="G414" s="285">
        <v>2093.25</v>
      </c>
      <c r="H414" s="285">
        <v>2405.75</v>
      </c>
      <c r="I414" s="285">
        <v>2646</v>
      </c>
      <c r="J414" s="285">
        <v>2279.25</v>
      </c>
      <c r="K414" s="285">
        <v>2114.5</v>
      </c>
      <c r="L414" s="286">
        <v>2618.5</v>
      </c>
      <c r="M414" s="285">
        <v>2299.25</v>
      </c>
      <c r="N414" s="287">
        <v>2537.25</v>
      </c>
      <c r="O414" s="286">
        <v>2303.5</v>
      </c>
      <c r="P414" s="285">
        <v>1708.5</v>
      </c>
      <c r="Q414" s="287">
        <v>2303.5</v>
      </c>
    </row>
    <row r="415" spans="1:17" ht="15" thickBot="1">
      <c r="A415">
        <v>1412000018</v>
      </c>
      <c r="B415" t="s">
        <v>11</v>
      </c>
      <c r="F415" s="288"/>
      <c r="G415" s="288"/>
      <c r="H415" s="288"/>
      <c r="I415" s="288"/>
      <c r="J415" s="288"/>
      <c r="K415" s="288"/>
      <c r="L415" s="288"/>
      <c r="M415" s="288"/>
      <c r="N415" s="288"/>
      <c r="O415" s="288"/>
      <c r="P415" s="288"/>
      <c r="Q415" s="288"/>
    </row>
    <row r="416" spans="1:17">
      <c r="A416">
        <v>1412000018</v>
      </c>
      <c r="B416" t="s">
        <v>11</v>
      </c>
      <c r="E416" s="220" t="s">
        <v>29</v>
      </c>
      <c r="F416" s="289"/>
      <c r="G416" s="289"/>
      <c r="H416" s="289"/>
      <c r="I416" s="289"/>
      <c r="J416" s="289"/>
      <c r="K416" s="289"/>
      <c r="L416" s="289"/>
      <c r="M416" s="289"/>
      <c r="N416" s="290"/>
      <c r="O416" s="289"/>
      <c r="P416" s="289"/>
      <c r="Q416" s="278"/>
    </row>
    <row r="417" spans="1:17">
      <c r="A417">
        <v>1412000018</v>
      </c>
      <c r="B417" t="s">
        <v>11</v>
      </c>
      <c r="E417" s="176" t="s">
        <v>25</v>
      </c>
      <c r="F417" s="279">
        <v>80</v>
      </c>
      <c r="G417" s="279">
        <v>56</v>
      </c>
      <c r="H417" s="279">
        <v>84</v>
      </c>
      <c r="I417" s="279">
        <v>92</v>
      </c>
      <c r="J417" s="279">
        <v>80</v>
      </c>
      <c r="K417" s="279">
        <v>66</v>
      </c>
      <c r="L417" s="279">
        <v>82</v>
      </c>
      <c r="M417" s="279">
        <v>80</v>
      </c>
      <c r="N417" s="280">
        <v>88</v>
      </c>
      <c r="O417" s="281">
        <v>80</v>
      </c>
      <c r="P417" s="279">
        <v>60</v>
      </c>
      <c r="Q417" s="280">
        <v>80</v>
      </c>
    </row>
    <row r="418" spans="1:17">
      <c r="A418">
        <v>1412000018</v>
      </c>
      <c r="B418" t="s">
        <v>11</v>
      </c>
      <c r="E418" s="312" t="s">
        <v>106</v>
      </c>
      <c r="F418" s="306">
        <v>90</v>
      </c>
      <c r="G418" s="306">
        <v>83</v>
      </c>
      <c r="H418" s="306">
        <v>99.5</v>
      </c>
      <c r="I418" s="306">
        <v>96</v>
      </c>
      <c r="J418" s="306">
        <v>107</v>
      </c>
      <c r="K418" s="306">
        <v>71</v>
      </c>
      <c r="L418" s="306">
        <v>103.5</v>
      </c>
      <c r="M418" s="306">
        <v>85</v>
      </c>
      <c r="N418" s="307">
        <v>89</v>
      </c>
      <c r="O418" s="308">
        <v>75</v>
      </c>
      <c r="P418" s="306">
        <v>97</v>
      </c>
      <c r="Q418" s="307">
        <v>75</v>
      </c>
    </row>
    <row r="419" spans="1:17">
      <c r="A419">
        <v>1412000018</v>
      </c>
      <c r="B419" t="s">
        <v>11</v>
      </c>
      <c r="E419" s="314" t="s">
        <v>158</v>
      </c>
      <c r="F419" s="309">
        <v>3</v>
      </c>
      <c r="G419" s="309">
        <v>3</v>
      </c>
      <c r="H419" s="309">
        <v>3</v>
      </c>
      <c r="I419" s="309">
        <v>3</v>
      </c>
      <c r="J419" s="309">
        <v>3</v>
      </c>
      <c r="K419" s="309">
        <v>3</v>
      </c>
      <c r="L419" s="309">
        <v>3</v>
      </c>
      <c r="M419" s="309">
        <v>3</v>
      </c>
      <c r="N419" s="310">
        <v>3</v>
      </c>
      <c r="O419" s="311">
        <v>3</v>
      </c>
      <c r="P419" s="309">
        <v>3</v>
      </c>
      <c r="Q419" s="310">
        <v>3</v>
      </c>
    </row>
    <row r="420" spans="1:17">
      <c r="A420">
        <v>1412000018</v>
      </c>
      <c r="B420" t="s">
        <v>11</v>
      </c>
      <c r="E420" s="177" t="s">
        <v>26</v>
      </c>
      <c r="F420" s="282">
        <v>93</v>
      </c>
      <c r="G420" s="282">
        <v>86</v>
      </c>
      <c r="H420" s="282">
        <v>102.5</v>
      </c>
      <c r="I420" s="282">
        <v>99</v>
      </c>
      <c r="J420" s="282">
        <v>110</v>
      </c>
      <c r="K420" s="282">
        <v>74</v>
      </c>
      <c r="L420" s="283">
        <v>106.5</v>
      </c>
      <c r="M420" s="282">
        <v>88</v>
      </c>
      <c r="N420" s="284">
        <v>92</v>
      </c>
      <c r="O420" s="283">
        <v>78</v>
      </c>
      <c r="P420" s="282">
        <v>100</v>
      </c>
      <c r="Q420" s="284">
        <v>78</v>
      </c>
    </row>
    <row r="421" spans="1:17" ht="15" thickBot="1">
      <c r="A421">
        <v>1412000018</v>
      </c>
      <c r="B421" t="s">
        <v>11</v>
      </c>
      <c r="E421" s="178" t="s">
        <v>45</v>
      </c>
      <c r="F421" s="285">
        <v>173</v>
      </c>
      <c r="G421" s="285">
        <v>142</v>
      </c>
      <c r="H421" s="285">
        <v>186.5</v>
      </c>
      <c r="I421" s="285">
        <v>191</v>
      </c>
      <c r="J421" s="285">
        <v>190</v>
      </c>
      <c r="K421" s="285">
        <v>140</v>
      </c>
      <c r="L421" s="286">
        <v>188.5</v>
      </c>
      <c r="M421" s="285">
        <v>168</v>
      </c>
      <c r="N421" s="287">
        <v>180</v>
      </c>
      <c r="O421" s="286">
        <v>158</v>
      </c>
      <c r="P421" s="285">
        <v>160</v>
      </c>
      <c r="Q421" s="287">
        <v>158</v>
      </c>
    </row>
    <row r="422" spans="1:17">
      <c r="A422">
        <v>1412000019</v>
      </c>
      <c r="B422" t="s">
        <v>95</v>
      </c>
      <c r="E422" s="220" t="s">
        <v>40</v>
      </c>
      <c r="F422" s="201"/>
      <c r="G422" s="201"/>
      <c r="H422" s="201"/>
      <c r="I422" s="201"/>
      <c r="J422" s="201"/>
      <c r="K422" s="201"/>
      <c r="L422" s="201"/>
      <c r="M422" s="201"/>
      <c r="N422" s="202"/>
      <c r="O422" s="201"/>
      <c r="P422" s="201"/>
      <c r="Q422" s="202"/>
    </row>
    <row r="423" spans="1:17">
      <c r="A423">
        <v>1412000019</v>
      </c>
      <c r="B423" t="s">
        <v>95</v>
      </c>
      <c r="E423" s="176" t="s">
        <v>25</v>
      </c>
      <c r="F423" s="267"/>
      <c r="G423" s="267"/>
      <c r="H423" s="267"/>
      <c r="I423" s="267"/>
      <c r="J423" s="267"/>
      <c r="K423" s="267"/>
      <c r="L423" s="267"/>
      <c r="M423" s="267"/>
      <c r="N423" s="268"/>
      <c r="O423" s="269"/>
      <c r="P423" s="267"/>
      <c r="Q423" s="268"/>
    </row>
    <row r="424" spans="1:17">
      <c r="A424">
        <v>1412000019</v>
      </c>
      <c r="B424" t="s">
        <v>95</v>
      </c>
      <c r="E424" s="312" t="s">
        <v>106</v>
      </c>
      <c r="F424" s="300">
        <v>13</v>
      </c>
      <c r="G424" s="300">
        <v>13</v>
      </c>
      <c r="H424" s="300">
        <v>13</v>
      </c>
      <c r="I424" s="300">
        <v>13</v>
      </c>
      <c r="J424" s="300">
        <v>14</v>
      </c>
      <c r="K424" s="300">
        <v>14</v>
      </c>
      <c r="L424" s="300">
        <v>14</v>
      </c>
      <c r="M424" s="300">
        <v>14</v>
      </c>
      <c r="N424" s="301">
        <v>14</v>
      </c>
      <c r="O424" s="302">
        <v>14</v>
      </c>
      <c r="P424" s="300">
        <v>14</v>
      </c>
      <c r="Q424" s="301">
        <v>14</v>
      </c>
    </row>
    <row r="425" spans="1:17">
      <c r="A425">
        <v>1412000019</v>
      </c>
      <c r="B425" t="s">
        <v>95</v>
      </c>
      <c r="E425" s="314" t="s">
        <v>158</v>
      </c>
      <c r="F425" s="303">
        <v>32</v>
      </c>
      <c r="G425" s="303">
        <v>32</v>
      </c>
      <c r="H425" s="303">
        <v>32</v>
      </c>
      <c r="I425" s="303">
        <v>32</v>
      </c>
      <c r="J425" s="303">
        <v>33</v>
      </c>
      <c r="K425" s="303">
        <v>33</v>
      </c>
      <c r="L425" s="303">
        <v>33</v>
      </c>
      <c r="M425" s="303">
        <v>33</v>
      </c>
      <c r="N425" s="304">
        <v>33</v>
      </c>
      <c r="O425" s="305">
        <v>33</v>
      </c>
      <c r="P425" s="303">
        <v>33</v>
      </c>
      <c r="Q425" s="304">
        <v>33</v>
      </c>
    </row>
    <row r="426" spans="1:17">
      <c r="A426">
        <v>1412000019</v>
      </c>
      <c r="B426" t="s">
        <v>95</v>
      </c>
      <c r="E426" s="177" t="s">
        <v>26</v>
      </c>
      <c r="F426" s="270">
        <v>45</v>
      </c>
      <c r="G426" s="270">
        <v>45</v>
      </c>
      <c r="H426" s="270">
        <v>45</v>
      </c>
      <c r="I426" s="270">
        <v>45</v>
      </c>
      <c r="J426" s="270">
        <v>47</v>
      </c>
      <c r="K426" s="270">
        <v>47</v>
      </c>
      <c r="L426" s="271">
        <v>47</v>
      </c>
      <c r="M426" s="270">
        <v>47</v>
      </c>
      <c r="N426" s="272">
        <v>47</v>
      </c>
      <c r="O426" s="271">
        <v>47</v>
      </c>
      <c r="P426" s="270">
        <v>47</v>
      </c>
      <c r="Q426" s="272">
        <v>47</v>
      </c>
    </row>
    <row r="427" spans="1:17" ht="15" thickBot="1">
      <c r="A427">
        <v>1412000019</v>
      </c>
      <c r="B427" t="s">
        <v>95</v>
      </c>
      <c r="E427" s="178" t="s">
        <v>27</v>
      </c>
      <c r="F427" s="273">
        <v>45</v>
      </c>
      <c r="G427" s="273">
        <v>45</v>
      </c>
      <c r="H427" s="273">
        <v>45</v>
      </c>
      <c r="I427" s="273">
        <v>45</v>
      </c>
      <c r="J427" s="273">
        <v>47</v>
      </c>
      <c r="K427" s="273">
        <v>47</v>
      </c>
      <c r="L427" s="274">
        <v>47</v>
      </c>
      <c r="M427" s="273">
        <v>47</v>
      </c>
      <c r="N427" s="275">
        <v>47</v>
      </c>
      <c r="O427" s="274">
        <v>47</v>
      </c>
      <c r="P427" s="273">
        <v>47</v>
      </c>
      <c r="Q427" s="275">
        <v>47</v>
      </c>
    </row>
    <row r="428" spans="1:17" ht="15" thickBot="1">
      <c r="A428">
        <v>1412000019</v>
      </c>
      <c r="B428" t="s">
        <v>95</v>
      </c>
      <c r="F428" s="276"/>
      <c r="G428" s="276"/>
      <c r="H428" s="276"/>
      <c r="I428" s="276"/>
      <c r="J428" s="276"/>
      <c r="K428" s="276"/>
      <c r="L428" s="276"/>
      <c r="M428" s="276"/>
      <c r="N428" s="276"/>
      <c r="O428" s="276"/>
      <c r="P428" s="276"/>
      <c r="Q428" s="276"/>
    </row>
    <row r="429" spans="1:17">
      <c r="A429">
        <v>1412000019</v>
      </c>
      <c r="B429" t="s">
        <v>95</v>
      </c>
      <c r="E429" s="220" t="s">
        <v>28</v>
      </c>
      <c r="F429" s="277"/>
      <c r="G429" s="277"/>
      <c r="H429" s="277"/>
      <c r="I429" s="277"/>
      <c r="J429" s="277"/>
      <c r="K429" s="277"/>
      <c r="L429" s="277"/>
      <c r="M429" s="277"/>
      <c r="N429" s="278"/>
      <c r="O429" s="277"/>
      <c r="P429" s="277"/>
      <c r="Q429" s="278"/>
    </row>
    <row r="430" spans="1:17">
      <c r="A430">
        <v>1412000019</v>
      </c>
      <c r="B430" t="s">
        <v>95</v>
      </c>
      <c r="E430" s="176" t="s">
        <v>25</v>
      </c>
      <c r="F430" s="279"/>
      <c r="G430" s="279"/>
      <c r="H430" s="279"/>
      <c r="I430" s="279"/>
      <c r="J430" s="279"/>
      <c r="K430" s="279"/>
      <c r="L430" s="279"/>
      <c r="M430" s="279"/>
      <c r="N430" s="280"/>
      <c r="O430" s="281"/>
      <c r="P430" s="279"/>
      <c r="Q430" s="280"/>
    </row>
    <row r="431" spans="1:17">
      <c r="A431">
        <v>1412000019</v>
      </c>
      <c r="B431" t="s">
        <v>95</v>
      </c>
      <c r="E431" s="312" t="s">
        <v>106</v>
      </c>
      <c r="F431" s="306">
        <v>2099.5</v>
      </c>
      <c r="G431" s="306">
        <v>1989</v>
      </c>
      <c r="H431" s="306">
        <v>2210</v>
      </c>
      <c r="I431" s="306">
        <v>2431</v>
      </c>
      <c r="J431" s="306">
        <v>2244</v>
      </c>
      <c r="K431" s="306">
        <v>2142</v>
      </c>
      <c r="L431" s="306">
        <v>2618</v>
      </c>
      <c r="M431" s="306">
        <v>2261</v>
      </c>
      <c r="N431" s="307">
        <v>2499</v>
      </c>
      <c r="O431" s="308">
        <v>2261</v>
      </c>
      <c r="P431" s="306">
        <v>1666</v>
      </c>
      <c r="Q431" s="307">
        <v>2261</v>
      </c>
    </row>
    <row r="432" spans="1:17">
      <c r="A432">
        <v>1412000019</v>
      </c>
      <c r="B432" t="s">
        <v>95</v>
      </c>
      <c r="E432" s="314" t="s">
        <v>158</v>
      </c>
      <c r="F432" s="309">
        <v>4982</v>
      </c>
      <c r="G432" s="309">
        <v>4692.5</v>
      </c>
      <c r="H432" s="309">
        <v>5211.5</v>
      </c>
      <c r="I432" s="309">
        <v>5820.5</v>
      </c>
      <c r="J432" s="309">
        <v>5276.5</v>
      </c>
      <c r="K432" s="309">
        <v>4988</v>
      </c>
      <c r="L432" s="309">
        <v>6090</v>
      </c>
      <c r="M432" s="309">
        <v>5293.5</v>
      </c>
      <c r="N432" s="310">
        <v>5814.5</v>
      </c>
      <c r="O432" s="311">
        <v>5304.5</v>
      </c>
      <c r="P432" s="309">
        <v>3901</v>
      </c>
      <c r="Q432" s="310">
        <v>5283.5</v>
      </c>
    </row>
    <row r="433" spans="1:17">
      <c r="A433">
        <v>1412000019</v>
      </c>
      <c r="B433" t="s">
        <v>95</v>
      </c>
      <c r="E433" s="177" t="s">
        <v>26</v>
      </c>
      <c r="F433" s="282">
        <v>7081.5</v>
      </c>
      <c r="G433" s="282">
        <v>6681.5</v>
      </c>
      <c r="H433" s="282">
        <v>7421.5</v>
      </c>
      <c r="I433" s="282">
        <v>8251.5</v>
      </c>
      <c r="J433" s="282">
        <v>7520.5</v>
      </c>
      <c r="K433" s="282">
        <v>7130</v>
      </c>
      <c r="L433" s="283">
        <v>8708</v>
      </c>
      <c r="M433" s="282">
        <v>7554.5</v>
      </c>
      <c r="N433" s="284">
        <v>8313.5</v>
      </c>
      <c r="O433" s="283">
        <v>7565.5</v>
      </c>
      <c r="P433" s="282">
        <v>5567</v>
      </c>
      <c r="Q433" s="284">
        <v>7544.5</v>
      </c>
    </row>
    <row r="434" spans="1:17" ht="15" thickBot="1">
      <c r="A434">
        <v>1412000019</v>
      </c>
      <c r="B434" t="s">
        <v>95</v>
      </c>
      <c r="E434" s="178" t="s">
        <v>44</v>
      </c>
      <c r="F434" s="285">
        <v>7081.5</v>
      </c>
      <c r="G434" s="285">
        <v>6681.5</v>
      </c>
      <c r="H434" s="285">
        <v>7421.5</v>
      </c>
      <c r="I434" s="285">
        <v>8251.5</v>
      </c>
      <c r="J434" s="285">
        <v>7520.5</v>
      </c>
      <c r="K434" s="285">
        <v>7130</v>
      </c>
      <c r="L434" s="286">
        <v>8708</v>
      </c>
      <c r="M434" s="285">
        <v>7554.5</v>
      </c>
      <c r="N434" s="287">
        <v>8313.5</v>
      </c>
      <c r="O434" s="286">
        <v>7565.5</v>
      </c>
      <c r="P434" s="285">
        <v>5567</v>
      </c>
      <c r="Q434" s="287">
        <v>7544.5</v>
      </c>
    </row>
    <row r="435" spans="1:17" ht="15" thickBot="1">
      <c r="A435">
        <v>1412000019</v>
      </c>
      <c r="B435" t="s">
        <v>95</v>
      </c>
      <c r="F435" s="288"/>
      <c r="G435" s="288"/>
      <c r="H435" s="288"/>
      <c r="I435" s="288"/>
      <c r="J435" s="288"/>
      <c r="K435" s="288"/>
      <c r="L435" s="288"/>
      <c r="M435" s="288"/>
      <c r="N435" s="288"/>
      <c r="O435" s="288"/>
      <c r="P435" s="288"/>
      <c r="Q435" s="288"/>
    </row>
    <row r="436" spans="1:17">
      <c r="A436">
        <v>1412000019</v>
      </c>
      <c r="B436" t="s">
        <v>95</v>
      </c>
      <c r="E436" s="220" t="s">
        <v>29</v>
      </c>
      <c r="F436" s="289"/>
      <c r="G436" s="289"/>
      <c r="H436" s="289"/>
      <c r="I436" s="289"/>
      <c r="J436" s="289"/>
      <c r="K436" s="289"/>
      <c r="L436" s="289"/>
      <c r="M436" s="289"/>
      <c r="N436" s="290"/>
      <c r="O436" s="289"/>
      <c r="P436" s="289"/>
      <c r="Q436" s="278"/>
    </row>
    <row r="437" spans="1:17">
      <c r="A437">
        <v>1412000019</v>
      </c>
      <c r="B437" t="s">
        <v>95</v>
      </c>
      <c r="E437" s="176" t="s">
        <v>25</v>
      </c>
      <c r="F437" s="279"/>
      <c r="G437" s="279"/>
      <c r="H437" s="279"/>
      <c r="I437" s="279"/>
      <c r="J437" s="279"/>
      <c r="K437" s="279"/>
      <c r="L437" s="279"/>
      <c r="M437" s="279"/>
      <c r="N437" s="280"/>
      <c r="O437" s="281"/>
      <c r="P437" s="279"/>
      <c r="Q437" s="280"/>
    </row>
    <row r="438" spans="1:17">
      <c r="A438">
        <v>1412000019</v>
      </c>
      <c r="B438" t="s">
        <v>95</v>
      </c>
      <c r="E438" s="312" t="s">
        <v>106</v>
      </c>
      <c r="F438" s="306">
        <v>175</v>
      </c>
      <c r="G438" s="306">
        <v>173</v>
      </c>
      <c r="H438" s="306">
        <v>177</v>
      </c>
      <c r="I438" s="306">
        <v>181</v>
      </c>
      <c r="J438" s="306">
        <v>185</v>
      </c>
      <c r="K438" s="306">
        <v>173</v>
      </c>
      <c r="L438" s="306">
        <v>181</v>
      </c>
      <c r="M438" s="306">
        <v>175</v>
      </c>
      <c r="N438" s="307">
        <v>179</v>
      </c>
      <c r="O438" s="308">
        <v>175</v>
      </c>
      <c r="P438" s="306">
        <v>165</v>
      </c>
      <c r="Q438" s="307">
        <v>189</v>
      </c>
    </row>
    <row r="439" spans="1:17">
      <c r="A439">
        <v>1412000019</v>
      </c>
      <c r="B439" t="s">
        <v>95</v>
      </c>
      <c r="E439" s="314" t="s">
        <v>158</v>
      </c>
      <c r="F439" s="309">
        <v>405</v>
      </c>
      <c r="G439" s="309">
        <v>405</v>
      </c>
      <c r="H439" s="309">
        <v>405</v>
      </c>
      <c r="I439" s="309">
        <v>405</v>
      </c>
      <c r="J439" s="309">
        <v>425</v>
      </c>
      <c r="K439" s="309">
        <v>355</v>
      </c>
      <c r="L439" s="309">
        <v>355</v>
      </c>
      <c r="M439" s="309">
        <v>355</v>
      </c>
      <c r="N439" s="310">
        <v>355</v>
      </c>
      <c r="O439" s="311">
        <v>355</v>
      </c>
      <c r="P439" s="309">
        <v>355</v>
      </c>
      <c r="Q439" s="310">
        <v>401</v>
      </c>
    </row>
    <row r="440" spans="1:17">
      <c r="A440">
        <v>1412000019</v>
      </c>
      <c r="B440" t="s">
        <v>95</v>
      </c>
      <c r="E440" s="177" t="s">
        <v>26</v>
      </c>
      <c r="F440" s="282">
        <v>580</v>
      </c>
      <c r="G440" s="282">
        <v>578</v>
      </c>
      <c r="H440" s="282">
        <v>582</v>
      </c>
      <c r="I440" s="282">
        <v>586</v>
      </c>
      <c r="J440" s="282">
        <v>610</v>
      </c>
      <c r="K440" s="282">
        <v>528</v>
      </c>
      <c r="L440" s="283">
        <v>536</v>
      </c>
      <c r="M440" s="282">
        <v>530</v>
      </c>
      <c r="N440" s="284">
        <v>534</v>
      </c>
      <c r="O440" s="283">
        <v>530</v>
      </c>
      <c r="P440" s="282">
        <v>520</v>
      </c>
      <c r="Q440" s="284">
        <v>590</v>
      </c>
    </row>
    <row r="441" spans="1:17" ht="15" thickBot="1">
      <c r="A441">
        <v>1412000019</v>
      </c>
      <c r="B441" t="s">
        <v>95</v>
      </c>
      <c r="E441" s="178" t="s">
        <v>45</v>
      </c>
      <c r="F441" s="285">
        <v>580</v>
      </c>
      <c r="G441" s="285">
        <v>578</v>
      </c>
      <c r="H441" s="285">
        <v>582</v>
      </c>
      <c r="I441" s="285">
        <v>586</v>
      </c>
      <c r="J441" s="285">
        <v>610</v>
      </c>
      <c r="K441" s="285">
        <v>528</v>
      </c>
      <c r="L441" s="286">
        <v>536</v>
      </c>
      <c r="M441" s="285">
        <v>530</v>
      </c>
      <c r="N441" s="287">
        <v>534</v>
      </c>
      <c r="O441" s="286">
        <v>530</v>
      </c>
      <c r="P441" s="285">
        <v>520</v>
      </c>
      <c r="Q441" s="287">
        <v>590</v>
      </c>
    </row>
    <row r="442" spans="1:17">
      <c r="A442">
        <v>1412000058</v>
      </c>
      <c r="B442" t="s">
        <v>13</v>
      </c>
      <c r="E442" s="220" t="s">
        <v>40</v>
      </c>
      <c r="F442" s="201"/>
      <c r="G442" s="201"/>
      <c r="H442" s="201"/>
      <c r="I442" s="201"/>
      <c r="J442" s="201"/>
      <c r="K442" s="201"/>
      <c r="L442" s="201"/>
      <c r="M442" s="201"/>
      <c r="N442" s="202"/>
      <c r="O442" s="201"/>
      <c r="P442" s="201"/>
      <c r="Q442" s="202"/>
    </row>
    <row r="443" spans="1:17">
      <c r="A443">
        <v>1412000058</v>
      </c>
      <c r="B443" t="s">
        <v>13</v>
      </c>
      <c r="E443" s="176" t="s">
        <v>25</v>
      </c>
      <c r="F443" s="267">
        <v>1</v>
      </c>
      <c r="G443" s="267">
        <v>1</v>
      </c>
      <c r="H443" s="267">
        <v>1</v>
      </c>
      <c r="I443" s="267">
        <v>1</v>
      </c>
      <c r="J443" s="267">
        <v>1</v>
      </c>
      <c r="K443" s="267">
        <v>1</v>
      </c>
      <c r="L443" s="267">
        <v>1</v>
      </c>
      <c r="M443" s="267">
        <v>1</v>
      </c>
      <c r="N443" s="268">
        <v>1</v>
      </c>
      <c r="O443" s="269">
        <v>1</v>
      </c>
      <c r="P443" s="267">
        <v>1</v>
      </c>
      <c r="Q443" s="268">
        <v>1</v>
      </c>
    </row>
    <row r="444" spans="1:17">
      <c r="A444">
        <v>1412000058</v>
      </c>
      <c r="B444" t="s">
        <v>13</v>
      </c>
      <c r="E444" s="312" t="s">
        <v>106</v>
      </c>
      <c r="F444" s="300">
        <v>17</v>
      </c>
      <c r="G444" s="300">
        <v>17</v>
      </c>
      <c r="H444" s="300">
        <v>17</v>
      </c>
      <c r="I444" s="300">
        <v>17</v>
      </c>
      <c r="J444" s="300">
        <v>17</v>
      </c>
      <c r="K444" s="300">
        <v>17</v>
      </c>
      <c r="L444" s="300">
        <v>17</v>
      </c>
      <c r="M444" s="300">
        <v>17</v>
      </c>
      <c r="N444" s="301">
        <v>17</v>
      </c>
      <c r="O444" s="302">
        <v>17</v>
      </c>
      <c r="P444" s="300">
        <v>17</v>
      </c>
      <c r="Q444" s="301">
        <v>17</v>
      </c>
    </row>
    <row r="445" spans="1:17">
      <c r="A445">
        <v>1412000058</v>
      </c>
      <c r="B445" t="s">
        <v>13</v>
      </c>
      <c r="E445" s="314" t="s">
        <v>158</v>
      </c>
      <c r="F445" s="303"/>
      <c r="G445" s="303"/>
      <c r="H445" s="303"/>
      <c r="I445" s="303"/>
      <c r="J445" s="303"/>
      <c r="K445" s="303"/>
      <c r="L445" s="303"/>
      <c r="M445" s="303"/>
      <c r="N445" s="304"/>
      <c r="O445" s="305"/>
      <c r="P445" s="303"/>
      <c r="Q445" s="304"/>
    </row>
    <row r="446" spans="1:17">
      <c r="A446">
        <v>1412000058</v>
      </c>
      <c r="B446" t="s">
        <v>13</v>
      </c>
      <c r="E446" s="177" t="s">
        <v>26</v>
      </c>
      <c r="F446" s="270">
        <v>17</v>
      </c>
      <c r="G446" s="270">
        <v>17</v>
      </c>
      <c r="H446" s="270">
        <v>17</v>
      </c>
      <c r="I446" s="270">
        <v>17</v>
      </c>
      <c r="J446" s="270">
        <v>17</v>
      </c>
      <c r="K446" s="270">
        <v>17</v>
      </c>
      <c r="L446" s="271">
        <v>17</v>
      </c>
      <c r="M446" s="270">
        <v>17</v>
      </c>
      <c r="N446" s="272">
        <v>17</v>
      </c>
      <c r="O446" s="271">
        <v>17</v>
      </c>
      <c r="P446" s="270">
        <v>17</v>
      </c>
      <c r="Q446" s="272">
        <v>17</v>
      </c>
    </row>
    <row r="447" spans="1:17" ht="15" thickBot="1">
      <c r="A447">
        <v>1412000058</v>
      </c>
      <c r="B447" t="s">
        <v>13</v>
      </c>
      <c r="E447" s="178" t="s">
        <v>27</v>
      </c>
      <c r="F447" s="273">
        <v>18</v>
      </c>
      <c r="G447" s="273">
        <v>18</v>
      </c>
      <c r="H447" s="273">
        <v>18</v>
      </c>
      <c r="I447" s="273">
        <v>18</v>
      </c>
      <c r="J447" s="273">
        <v>18</v>
      </c>
      <c r="K447" s="273">
        <v>18</v>
      </c>
      <c r="L447" s="274">
        <v>18</v>
      </c>
      <c r="M447" s="273">
        <v>18</v>
      </c>
      <c r="N447" s="275">
        <v>18</v>
      </c>
      <c r="O447" s="274">
        <v>18</v>
      </c>
      <c r="P447" s="273">
        <v>18</v>
      </c>
      <c r="Q447" s="275">
        <v>18</v>
      </c>
    </row>
    <row r="448" spans="1:17" ht="15" thickBot="1">
      <c r="A448">
        <v>1412000058</v>
      </c>
      <c r="B448" t="s">
        <v>13</v>
      </c>
      <c r="F448" s="276"/>
      <c r="G448" s="276"/>
      <c r="H448" s="276"/>
      <c r="I448" s="276"/>
      <c r="J448" s="276"/>
      <c r="K448" s="276"/>
      <c r="L448" s="276"/>
      <c r="M448" s="276"/>
      <c r="N448" s="276"/>
      <c r="O448" s="276"/>
      <c r="P448" s="276"/>
      <c r="Q448" s="276"/>
    </row>
    <row r="449" spans="1:17">
      <c r="A449">
        <v>1412000058</v>
      </c>
      <c r="B449" t="s">
        <v>13</v>
      </c>
      <c r="E449" s="220" t="s">
        <v>28</v>
      </c>
      <c r="F449" s="277"/>
      <c r="G449" s="277"/>
      <c r="H449" s="277"/>
      <c r="I449" s="277"/>
      <c r="J449" s="277"/>
      <c r="K449" s="277"/>
      <c r="L449" s="277"/>
      <c r="M449" s="277"/>
      <c r="N449" s="278"/>
      <c r="O449" s="277"/>
      <c r="P449" s="277"/>
      <c r="Q449" s="278"/>
    </row>
    <row r="450" spans="1:17">
      <c r="A450">
        <v>1412000058</v>
      </c>
      <c r="B450" t="s">
        <v>13</v>
      </c>
      <c r="E450" s="176" t="s">
        <v>25</v>
      </c>
      <c r="F450" s="279">
        <v>170</v>
      </c>
      <c r="G450" s="279">
        <v>161.5</v>
      </c>
      <c r="H450" s="279">
        <v>178.5</v>
      </c>
      <c r="I450" s="279">
        <v>153</v>
      </c>
      <c r="J450" s="279">
        <v>161.5</v>
      </c>
      <c r="K450" s="279">
        <v>161.5</v>
      </c>
      <c r="L450" s="279">
        <v>195.5</v>
      </c>
      <c r="M450" s="279">
        <v>170</v>
      </c>
      <c r="N450" s="280">
        <v>187</v>
      </c>
      <c r="O450" s="281">
        <v>170</v>
      </c>
      <c r="P450" s="279">
        <v>127.5</v>
      </c>
      <c r="Q450" s="280">
        <v>170</v>
      </c>
    </row>
    <row r="451" spans="1:17">
      <c r="A451">
        <v>1412000058</v>
      </c>
      <c r="B451" t="s">
        <v>13</v>
      </c>
      <c r="E451" s="312" t="s">
        <v>106</v>
      </c>
      <c r="F451" s="306">
        <v>2507.5</v>
      </c>
      <c r="G451" s="306">
        <v>2354.5</v>
      </c>
      <c r="H451" s="306">
        <v>2703</v>
      </c>
      <c r="I451" s="306">
        <v>2975</v>
      </c>
      <c r="J451" s="306">
        <v>2567</v>
      </c>
      <c r="K451" s="306">
        <v>2431</v>
      </c>
      <c r="L451" s="306">
        <v>3060</v>
      </c>
      <c r="M451" s="306">
        <v>2711.5</v>
      </c>
      <c r="N451" s="307">
        <v>3017.5</v>
      </c>
      <c r="O451" s="308">
        <v>2728.5</v>
      </c>
      <c r="P451" s="306">
        <v>2006</v>
      </c>
      <c r="Q451" s="307">
        <v>2728.5</v>
      </c>
    </row>
    <row r="452" spans="1:17">
      <c r="A452">
        <v>1412000058</v>
      </c>
      <c r="B452" t="s">
        <v>13</v>
      </c>
      <c r="E452" s="314" t="s">
        <v>158</v>
      </c>
      <c r="F452" s="309"/>
      <c r="G452" s="309"/>
      <c r="H452" s="309"/>
      <c r="I452" s="309"/>
      <c r="J452" s="309"/>
      <c r="K452" s="309"/>
      <c r="L452" s="309"/>
      <c r="M452" s="309"/>
      <c r="N452" s="310"/>
      <c r="O452" s="311"/>
      <c r="P452" s="309"/>
      <c r="Q452" s="310"/>
    </row>
    <row r="453" spans="1:17">
      <c r="A453">
        <v>1412000058</v>
      </c>
      <c r="B453" t="s">
        <v>13</v>
      </c>
      <c r="E453" s="177" t="s">
        <v>26</v>
      </c>
      <c r="F453" s="282">
        <v>2507.5</v>
      </c>
      <c r="G453" s="282">
        <v>2354.5</v>
      </c>
      <c r="H453" s="282">
        <v>2703</v>
      </c>
      <c r="I453" s="282">
        <v>2975</v>
      </c>
      <c r="J453" s="282">
        <v>2567</v>
      </c>
      <c r="K453" s="282">
        <v>2431</v>
      </c>
      <c r="L453" s="283">
        <v>3060</v>
      </c>
      <c r="M453" s="282">
        <v>2711.5</v>
      </c>
      <c r="N453" s="284">
        <v>3017.5</v>
      </c>
      <c r="O453" s="283">
        <v>2728.5</v>
      </c>
      <c r="P453" s="282">
        <v>2006</v>
      </c>
      <c r="Q453" s="284">
        <v>2728.5</v>
      </c>
    </row>
    <row r="454" spans="1:17" ht="15" thickBot="1">
      <c r="A454">
        <v>1412000058</v>
      </c>
      <c r="B454" t="s">
        <v>13</v>
      </c>
      <c r="E454" s="178" t="s">
        <v>44</v>
      </c>
      <c r="F454" s="285">
        <v>2677.5</v>
      </c>
      <c r="G454" s="285">
        <v>2516</v>
      </c>
      <c r="H454" s="285">
        <v>2881.5</v>
      </c>
      <c r="I454" s="285">
        <v>3128</v>
      </c>
      <c r="J454" s="285">
        <v>2728.5</v>
      </c>
      <c r="K454" s="285">
        <v>2592.5</v>
      </c>
      <c r="L454" s="286">
        <v>3255.5</v>
      </c>
      <c r="M454" s="285">
        <v>2881.5</v>
      </c>
      <c r="N454" s="287">
        <v>3204.5</v>
      </c>
      <c r="O454" s="286">
        <v>2898.5</v>
      </c>
      <c r="P454" s="285">
        <v>2133.5</v>
      </c>
      <c r="Q454" s="287">
        <v>2898.5</v>
      </c>
    </row>
    <row r="455" spans="1:17" ht="15" thickBot="1">
      <c r="A455">
        <v>1412000058</v>
      </c>
      <c r="B455" t="s">
        <v>13</v>
      </c>
      <c r="F455" s="288"/>
      <c r="G455" s="288"/>
      <c r="H455" s="288"/>
      <c r="I455" s="288"/>
      <c r="J455" s="288"/>
      <c r="K455" s="288"/>
      <c r="L455" s="288"/>
      <c r="M455" s="288"/>
      <c r="N455" s="288"/>
      <c r="O455" s="288"/>
      <c r="P455" s="288"/>
      <c r="Q455" s="288"/>
    </row>
    <row r="456" spans="1:17">
      <c r="A456">
        <v>1412000058</v>
      </c>
      <c r="B456" t="s">
        <v>13</v>
      </c>
      <c r="E456" s="220" t="s">
        <v>29</v>
      </c>
      <c r="F456" s="289"/>
      <c r="G456" s="289"/>
      <c r="H456" s="289"/>
      <c r="I456" s="289"/>
      <c r="J456" s="289"/>
      <c r="K456" s="289"/>
      <c r="L456" s="289"/>
      <c r="M456" s="289"/>
      <c r="N456" s="290"/>
      <c r="O456" s="289"/>
      <c r="P456" s="289"/>
      <c r="Q456" s="278"/>
    </row>
    <row r="457" spans="1:17">
      <c r="A457">
        <v>1412000058</v>
      </c>
      <c r="B457" t="s">
        <v>13</v>
      </c>
      <c r="E457" s="176" t="s">
        <v>25</v>
      </c>
      <c r="F457" s="279">
        <v>40</v>
      </c>
      <c r="G457" s="279">
        <v>38</v>
      </c>
      <c r="H457" s="279">
        <v>42</v>
      </c>
      <c r="I457" s="279">
        <v>36</v>
      </c>
      <c r="J457" s="279">
        <v>38</v>
      </c>
      <c r="K457" s="279">
        <v>38</v>
      </c>
      <c r="L457" s="279">
        <v>46</v>
      </c>
      <c r="M457" s="279">
        <v>40</v>
      </c>
      <c r="N457" s="280">
        <v>44</v>
      </c>
      <c r="O457" s="281">
        <v>40</v>
      </c>
      <c r="P457" s="279">
        <v>30</v>
      </c>
      <c r="Q457" s="280">
        <v>40</v>
      </c>
    </row>
    <row r="458" spans="1:17">
      <c r="A458">
        <v>1412000058</v>
      </c>
      <c r="B458" t="s">
        <v>13</v>
      </c>
      <c r="E458" s="312" t="s">
        <v>106</v>
      </c>
      <c r="F458" s="306">
        <v>154</v>
      </c>
      <c r="G458" s="306">
        <v>146</v>
      </c>
      <c r="H458" s="306">
        <v>162</v>
      </c>
      <c r="I458" s="306">
        <v>178</v>
      </c>
      <c r="J458" s="306">
        <v>154</v>
      </c>
      <c r="K458" s="306">
        <v>146</v>
      </c>
      <c r="L458" s="306">
        <v>178</v>
      </c>
      <c r="M458" s="306">
        <v>154</v>
      </c>
      <c r="N458" s="307">
        <v>170</v>
      </c>
      <c r="O458" s="308">
        <v>194</v>
      </c>
      <c r="P458" s="306">
        <v>144</v>
      </c>
      <c r="Q458" s="307">
        <v>194</v>
      </c>
    </row>
    <row r="459" spans="1:17">
      <c r="A459">
        <v>1412000058</v>
      </c>
      <c r="B459" t="s">
        <v>13</v>
      </c>
      <c r="E459" s="314" t="s">
        <v>158</v>
      </c>
      <c r="F459" s="309"/>
      <c r="G459" s="309"/>
      <c r="H459" s="309"/>
      <c r="I459" s="309"/>
      <c r="J459" s="309"/>
      <c r="K459" s="309"/>
      <c r="L459" s="309"/>
      <c r="M459" s="309"/>
      <c r="N459" s="310"/>
      <c r="O459" s="311"/>
      <c r="P459" s="309"/>
      <c r="Q459" s="310"/>
    </row>
    <row r="460" spans="1:17">
      <c r="A460">
        <v>1412000058</v>
      </c>
      <c r="B460" t="s">
        <v>13</v>
      </c>
      <c r="E460" s="177" t="s">
        <v>26</v>
      </c>
      <c r="F460" s="282">
        <v>154</v>
      </c>
      <c r="G460" s="282">
        <v>146</v>
      </c>
      <c r="H460" s="282">
        <v>162</v>
      </c>
      <c r="I460" s="282">
        <v>178</v>
      </c>
      <c r="J460" s="282">
        <v>154</v>
      </c>
      <c r="K460" s="282">
        <v>146</v>
      </c>
      <c r="L460" s="283">
        <v>178</v>
      </c>
      <c r="M460" s="282">
        <v>154</v>
      </c>
      <c r="N460" s="284">
        <v>170</v>
      </c>
      <c r="O460" s="283">
        <v>194</v>
      </c>
      <c r="P460" s="282">
        <v>144</v>
      </c>
      <c r="Q460" s="284">
        <v>194</v>
      </c>
    </row>
    <row r="461" spans="1:17" ht="15" thickBot="1">
      <c r="A461">
        <v>1412000058</v>
      </c>
      <c r="B461" t="s">
        <v>13</v>
      </c>
      <c r="E461" s="178" t="s">
        <v>45</v>
      </c>
      <c r="F461" s="285">
        <v>194</v>
      </c>
      <c r="G461" s="285">
        <v>184</v>
      </c>
      <c r="H461" s="285">
        <v>204</v>
      </c>
      <c r="I461" s="285">
        <v>214</v>
      </c>
      <c r="J461" s="285">
        <v>192</v>
      </c>
      <c r="K461" s="285">
        <v>184</v>
      </c>
      <c r="L461" s="286">
        <v>224</v>
      </c>
      <c r="M461" s="285">
        <v>194</v>
      </c>
      <c r="N461" s="287">
        <v>214</v>
      </c>
      <c r="O461" s="286">
        <v>234</v>
      </c>
      <c r="P461" s="285">
        <v>174</v>
      </c>
      <c r="Q461" s="287">
        <v>234</v>
      </c>
    </row>
    <row r="462" spans="1:17">
      <c r="A462">
        <v>1412000042</v>
      </c>
      <c r="B462" t="s">
        <v>14</v>
      </c>
      <c r="E462" s="220" t="s">
        <v>40</v>
      </c>
      <c r="F462" s="201"/>
      <c r="G462" s="201"/>
      <c r="H462" s="201"/>
      <c r="I462" s="201"/>
      <c r="J462" s="201"/>
      <c r="K462" s="201"/>
      <c r="L462" s="201"/>
      <c r="M462" s="201"/>
      <c r="N462" s="202"/>
      <c r="O462" s="201"/>
      <c r="P462" s="201"/>
      <c r="Q462" s="202"/>
    </row>
    <row r="463" spans="1:17">
      <c r="A463">
        <v>1412000042</v>
      </c>
      <c r="B463" t="s">
        <v>14</v>
      </c>
      <c r="E463" s="176" t="s">
        <v>25</v>
      </c>
      <c r="F463" s="267">
        <v>1</v>
      </c>
      <c r="G463" s="267">
        <v>1</v>
      </c>
      <c r="H463" s="267">
        <v>1</v>
      </c>
      <c r="I463" s="267">
        <v>1</v>
      </c>
      <c r="J463" s="267">
        <v>1</v>
      </c>
      <c r="K463" s="267">
        <v>1</v>
      </c>
      <c r="L463" s="267">
        <v>1</v>
      </c>
      <c r="M463" s="267">
        <v>1</v>
      </c>
      <c r="N463" s="268">
        <v>1</v>
      </c>
      <c r="O463" s="269">
        <v>1</v>
      </c>
      <c r="P463" s="267">
        <v>1</v>
      </c>
      <c r="Q463" s="268">
        <v>1</v>
      </c>
    </row>
    <row r="464" spans="1:17">
      <c r="A464">
        <v>1412000042</v>
      </c>
      <c r="B464" t="s">
        <v>14</v>
      </c>
      <c r="E464" s="312" t="s">
        <v>106</v>
      </c>
      <c r="F464" s="300">
        <v>4</v>
      </c>
      <c r="G464" s="300">
        <v>4</v>
      </c>
      <c r="H464" s="300">
        <v>4</v>
      </c>
      <c r="I464" s="300">
        <v>4</v>
      </c>
      <c r="J464" s="300">
        <v>4</v>
      </c>
      <c r="K464" s="300">
        <v>4</v>
      </c>
      <c r="L464" s="300">
        <v>4</v>
      </c>
      <c r="M464" s="300">
        <v>4</v>
      </c>
      <c r="N464" s="301">
        <v>4</v>
      </c>
      <c r="O464" s="302">
        <v>4</v>
      </c>
      <c r="P464" s="300">
        <v>4</v>
      </c>
      <c r="Q464" s="301">
        <v>4</v>
      </c>
    </row>
    <row r="465" spans="1:17">
      <c r="A465">
        <v>1412000042</v>
      </c>
      <c r="B465" t="s">
        <v>14</v>
      </c>
      <c r="E465" s="314" t="s">
        <v>158</v>
      </c>
      <c r="F465" s="303"/>
      <c r="G465" s="303"/>
      <c r="H465" s="303"/>
      <c r="I465" s="303"/>
      <c r="J465" s="303"/>
      <c r="K465" s="303"/>
      <c r="L465" s="303"/>
      <c r="M465" s="303"/>
      <c r="N465" s="304"/>
      <c r="O465" s="305"/>
      <c r="P465" s="303"/>
      <c r="Q465" s="304"/>
    </row>
    <row r="466" spans="1:17">
      <c r="A466">
        <v>1412000042</v>
      </c>
      <c r="B466" t="s">
        <v>14</v>
      </c>
      <c r="E466" s="177" t="s">
        <v>26</v>
      </c>
      <c r="F466" s="270">
        <v>4</v>
      </c>
      <c r="G466" s="270">
        <v>4</v>
      </c>
      <c r="H466" s="270">
        <v>4</v>
      </c>
      <c r="I466" s="270">
        <v>4</v>
      </c>
      <c r="J466" s="270">
        <v>4</v>
      </c>
      <c r="K466" s="270">
        <v>4</v>
      </c>
      <c r="L466" s="271">
        <v>4</v>
      </c>
      <c r="M466" s="270">
        <v>4</v>
      </c>
      <c r="N466" s="272">
        <v>4</v>
      </c>
      <c r="O466" s="271">
        <v>4</v>
      </c>
      <c r="P466" s="270">
        <v>4</v>
      </c>
      <c r="Q466" s="272">
        <v>4</v>
      </c>
    </row>
    <row r="467" spans="1:17" ht="15" thickBot="1">
      <c r="A467">
        <v>1412000042</v>
      </c>
      <c r="B467" t="s">
        <v>14</v>
      </c>
      <c r="E467" s="178" t="s">
        <v>27</v>
      </c>
      <c r="F467" s="273">
        <v>5</v>
      </c>
      <c r="G467" s="273">
        <v>5</v>
      </c>
      <c r="H467" s="273">
        <v>5</v>
      </c>
      <c r="I467" s="273">
        <v>5</v>
      </c>
      <c r="J467" s="273">
        <v>5</v>
      </c>
      <c r="K467" s="273">
        <v>5</v>
      </c>
      <c r="L467" s="274">
        <v>5</v>
      </c>
      <c r="M467" s="273">
        <v>5</v>
      </c>
      <c r="N467" s="275">
        <v>5</v>
      </c>
      <c r="O467" s="274">
        <v>5</v>
      </c>
      <c r="P467" s="273">
        <v>5</v>
      </c>
      <c r="Q467" s="275">
        <v>5</v>
      </c>
    </row>
    <row r="468" spans="1:17" ht="15" thickBot="1">
      <c r="A468">
        <v>1412000042</v>
      </c>
      <c r="B468" t="s">
        <v>14</v>
      </c>
      <c r="F468" s="276"/>
      <c r="G468" s="276"/>
      <c r="H468" s="276"/>
      <c r="I468" s="276"/>
      <c r="J468" s="276"/>
      <c r="K468" s="276"/>
      <c r="L468" s="276"/>
      <c r="M468" s="276"/>
      <c r="N468" s="276"/>
      <c r="O468" s="276"/>
      <c r="P468" s="276"/>
      <c r="Q468" s="276"/>
    </row>
    <row r="469" spans="1:17">
      <c r="A469">
        <v>1412000042</v>
      </c>
      <c r="B469" t="s">
        <v>14</v>
      </c>
      <c r="E469" s="220" t="s">
        <v>28</v>
      </c>
      <c r="F469" s="277"/>
      <c r="G469" s="277"/>
      <c r="H469" s="277"/>
      <c r="I469" s="277"/>
      <c r="J469" s="277"/>
      <c r="K469" s="277"/>
      <c r="L469" s="277"/>
      <c r="M469" s="277"/>
      <c r="N469" s="278"/>
      <c r="O469" s="277"/>
      <c r="P469" s="277"/>
      <c r="Q469" s="278"/>
    </row>
    <row r="470" spans="1:17">
      <c r="A470">
        <v>1412000042</v>
      </c>
      <c r="B470" t="s">
        <v>14</v>
      </c>
      <c r="E470" s="176" t="s">
        <v>25</v>
      </c>
      <c r="F470" s="279">
        <v>161.5</v>
      </c>
      <c r="G470" s="279">
        <v>153</v>
      </c>
      <c r="H470" s="279">
        <v>170</v>
      </c>
      <c r="I470" s="279">
        <v>187</v>
      </c>
      <c r="J470" s="279">
        <v>161.5</v>
      </c>
      <c r="K470" s="279">
        <v>153</v>
      </c>
      <c r="L470" s="279">
        <v>187</v>
      </c>
      <c r="M470" s="279">
        <v>161.5</v>
      </c>
      <c r="N470" s="280">
        <v>178.5</v>
      </c>
      <c r="O470" s="281">
        <v>161.5</v>
      </c>
      <c r="P470" s="279">
        <v>85</v>
      </c>
      <c r="Q470" s="280">
        <v>161.5</v>
      </c>
    </row>
    <row r="471" spans="1:17">
      <c r="A471">
        <v>1412000042</v>
      </c>
      <c r="B471" t="s">
        <v>14</v>
      </c>
      <c r="E471" s="312" t="s">
        <v>106</v>
      </c>
      <c r="F471" s="306">
        <v>643</v>
      </c>
      <c r="G471" s="306">
        <v>610</v>
      </c>
      <c r="H471" s="306">
        <v>664</v>
      </c>
      <c r="I471" s="306">
        <v>748</v>
      </c>
      <c r="J471" s="306">
        <v>646</v>
      </c>
      <c r="K471" s="306">
        <v>646</v>
      </c>
      <c r="L471" s="306">
        <v>765</v>
      </c>
      <c r="M471" s="306">
        <v>663</v>
      </c>
      <c r="N471" s="307">
        <v>748</v>
      </c>
      <c r="O471" s="308">
        <v>663</v>
      </c>
      <c r="P471" s="306">
        <v>493</v>
      </c>
      <c r="Q471" s="307">
        <v>646</v>
      </c>
    </row>
    <row r="472" spans="1:17">
      <c r="A472">
        <v>1412000042</v>
      </c>
      <c r="B472" t="s">
        <v>14</v>
      </c>
      <c r="E472" s="314" t="s">
        <v>158</v>
      </c>
      <c r="F472" s="309"/>
      <c r="G472" s="309"/>
      <c r="H472" s="309"/>
      <c r="I472" s="309"/>
      <c r="J472" s="309"/>
      <c r="K472" s="309"/>
      <c r="L472" s="309"/>
      <c r="M472" s="309"/>
      <c r="N472" s="310"/>
      <c r="O472" s="311"/>
      <c r="P472" s="309"/>
      <c r="Q472" s="310"/>
    </row>
    <row r="473" spans="1:17">
      <c r="A473">
        <v>1412000042</v>
      </c>
      <c r="B473" t="s">
        <v>14</v>
      </c>
      <c r="E473" s="177" t="s">
        <v>26</v>
      </c>
      <c r="F473" s="282">
        <v>643</v>
      </c>
      <c r="G473" s="282">
        <v>610</v>
      </c>
      <c r="H473" s="282">
        <v>664</v>
      </c>
      <c r="I473" s="282">
        <v>748</v>
      </c>
      <c r="J473" s="282">
        <v>646</v>
      </c>
      <c r="K473" s="282">
        <v>646</v>
      </c>
      <c r="L473" s="283">
        <v>765</v>
      </c>
      <c r="M473" s="282">
        <v>663</v>
      </c>
      <c r="N473" s="284">
        <v>748</v>
      </c>
      <c r="O473" s="283">
        <v>663</v>
      </c>
      <c r="P473" s="282">
        <v>493</v>
      </c>
      <c r="Q473" s="284">
        <v>646</v>
      </c>
    </row>
    <row r="474" spans="1:17" ht="15" thickBot="1">
      <c r="A474">
        <v>1412000042</v>
      </c>
      <c r="B474" t="s">
        <v>14</v>
      </c>
      <c r="E474" s="178" t="s">
        <v>44</v>
      </c>
      <c r="F474" s="285">
        <v>804.5</v>
      </c>
      <c r="G474" s="285">
        <v>763</v>
      </c>
      <c r="H474" s="285">
        <v>834</v>
      </c>
      <c r="I474" s="285">
        <v>935</v>
      </c>
      <c r="J474" s="285">
        <v>807.5</v>
      </c>
      <c r="K474" s="285">
        <v>799</v>
      </c>
      <c r="L474" s="286">
        <v>952</v>
      </c>
      <c r="M474" s="285">
        <v>824.5</v>
      </c>
      <c r="N474" s="287">
        <v>926.5</v>
      </c>
      <c r="O474" s="286">
        <v>824.5</v>
      </c>
      <c r="P474" s="285">
        <v>578</v>
      </c>
      <c r="Q474" s="287">
        <v>807.5</v>
      </c>
    </row>
    <row r="475" spans="1:17" ht="15" thickBot="1">
      <c r="A475">
        <v>1412000042</v>
      </c>
      <c r="B475" t="s">
        <v>14</v>
      </c>
      <c r="F475" s="288"/>
      <c r="G475" s="288"/>
      <c r="H475" s="288"/>
      <c r="I475" s="288"/>
      <c r="J475" s="288"/>
      <c r="K475" s="288"/>
      <c r="L475" s="288"/>
      <c r="M475" s="288"/>
      <c r="N475" s="288"/>
      <c r="O475" s="288"/>
      <c r="P475" s="288"/>
      <c r="Q475" s="288"/>
    </row>
    <row r="476" spans="1:17">
      <c r="A476">
        <v>1412000042</v>
      </c>
      <c r="B476" t="s">
        <v>14</v>
      </c>
      <c r="E476" s="220" t="s">
        <v>29</v>
      </c>
      <c r="F476" s="289"/>
      <c r="G476" s="289"/>
      <c r="H476" s="289"/>
      <c r="I476" s="289"/>
      <c r="J476" s="289"/>
      <c r="K476" s="289"/>
      <c r="L476" s="289"/>
      <c r="M476" s="289"/>
      <c r="N476" s="290"/>
      <c r="O476" s="289"/>
      <c r="P476" s="289"/>
      <c r="Q476" s="278"/>
    </row>
    <row r="477" spans="1:17">
      <c r="A477">
        <v>1412000042</v>
      </c>
      <c r="B477" t="s">
        <v>14</v>
      </c>
      <c r="E477" s="176" t="s">
        <v>25</v>
      </c>
      <c r="F477" s="279">
        <v>38</v>
      </c>
      <c r="G477" s="279">
        <v>36</v>
      </c>
      <c r="H477" s="279">
        <v>40</v>
      </c>
      <c r="I477" s="279">
        <v>44</v>
      </c>
      <c r="J477" s="279">
        <v>38</v>
      </c>
      <c r="K477" s="279">
        <v>36</v>
      </c>
      <c r="L477" s="279">
        <v>44</v>
      </c>
      <c r="M477" s="279">
        <v>38</v>
      </c>
      <c r="N477" s="280">
        <v>42</v>
      </c>
      <c r="O477" s="281">
        <v>38</v>
      </c>
      <c r="P477" s="279">
        <v>20</v>
      </c>
      <c r="Q477" s="280">
        <v>38</v>
      </c>
    </row>
    <row r="478" spans="1:17">
      <c r="A478">
        <v>1412000042</v>
      </c>
      <c r="B478" t="s">
        <v>14</v>
      </c>
      <c r="E478" s="312" t="s">
        <v>106</v>
      </c>
      <c r="F478" s="306">
        <v>38</v>
      </c>
      <c r="G478" s="306">
        <v>36</v>
      </c>
      <c r="H478" s="306">
        <v>38</v>
      </c>
      <c r="I478" s="306">
        <v>42</v>
      </c>
      <c r="J478" s="306">
        <v>36</v>
      </c>
      <c r="K478" s="306">
        <v>38</v>
      </c>
      <c r="L478" s="306">
        <v>44</v>
      </c>
      <c r="M478" s="306">
        <v>38</v>
      </c>
      <c r="N478" s="307">
        <v>44</v>
      </c>
      <c r="O478" s="308">
        <v>38</v>
      </c>
      <c r="P478" s="306">
        <v>28</v>
      </c>
      <c r="Q478" s="307">
        <v>36</v>
      </c>
    </row>
    <row r="479" spans="1:17">
      <c r="A479">
        <v>1412000042</v>
      </c>
      <c r="B479" t="s">
        <v>14</v>
      </c>
      <c r="E479" s="314" t="s">
        <v>158</v>
      </c>
      <c r="F479" s="309"/>
      <c r="G479" s="309"/>
      <c r="H479" s="309"/>
      <c r="I479" s="309"/>
      <c r="J479" s="309"/>
      <c r="K479" s="309"/>
      <c r="L479" s="309"/>
      <c r="M479" s="309"/>
      <c r="N479" s="310"/>
      <c r="O479" s="311"/>
      <c r="P479" s="309"/>
      <c r="Q479" s="310"/>
    </row>
    <row r="480" spans="1:17">
      <c r="A480">
        <v>1412000042</v>
      </c>
      <c r="B480" t="s">
        <v>14</v>
      </c>
      <c r="E480" s="177" t="s">
        <v>26</v>
      </c>
      <c r="F480" s="282">
        <v>38</v>
      </c>
      <c r="G480" s="282">
        <v>36</v>
      </c>
      <c r="H480" s="282">
        <v>38</v>
      </c>
      <c r="I480" s="282">
        <v>42</v>
      </c>
      <c r="J480" s="282">
        <v>36</v>
      </c>
      <c r="K480" s="282">
        <v>38</v>
      </c>
      <c r="L480" s="283">
        <v>44</v>
      </c>
      <c r="M480" s="282">
        <v>38</v>
      </c>
      <c r="N480" s="284">
        <v>44</v>
      </c>
      <c r="O480" s="283">
        <v>38</v>
      </c>
      <c r="P480" s="282">
        <v>28</v>
      </c>
      <c r="Q480" s="284">
        <v>36</v>
      </c>
    </row>
    <row r="481" spans="1:17" ht="15" thickBot="1">
      <c r="A481">
        <v>1412000042</v>
      </c>
      <c r="B481" t="s">
        <v>14</v>
      </c>
      <c r="E481" s="178" t="s">
        <v>45</v>
      </c>
      <c r="F481" s="285">
        <v>76</v>
      </c>
      <c r="G481" s="285">
        <v>72</v>
      </c>
      <c r="H481" s="285">
        <v>78</v>
      </c>
      <c r="I481" s="285">
        <v>86</v>
      </c>
      <c r="J481" s="285">
        <v>74</v>
      </c>
      <c r="K481" s="285">
        <v>74</v>
      </c>
      <c r="L481" s="286">
        <v>88</v>
      </c>
      <c r="M481" s="285">
        <v>76</v>
      </c>
      <c r="N481" s="287">
        <v>86</v>
      </c>
      <c r="O481" s="286">
        <v>76</v>
      </c>
      <c r="P481" s="285">
        <v>48</v>
      </c>
      <c r="Q481" s="287">
        <v>74</v>
      </c>
    </row>
    <row r="482" spans="1:17">
      <c r="A482">
        <v>1412000021</v>
      </c>
      <c r="B482" t="s">
        <v>39</v>
      </c>
      <c r="E482" s="220" t="s">
        <v>40</v>
      </c>
      <c r="F482" s="201"/>
      <c r="G482" s="201"/>
      <c r="H482" s="201"/>
      <c r="I482" s="201"/>
      <c r="J482" s="201"/>
      <c r="K482" s="201"/>
      <c r="L482" s="201"/>
      <c r="M482" s="201"/>
      <c r="N482" s="202"/>
      <c r="O482" s="201"/>
      <c r="P482" s="201"/>
      <c r="Q482" s="202"/>
    </row>
    <row r="483" spans="1:17">
      <c r="A483">
        <v>1412000021</v>
      </c>
      <c r="B483" t="s">
        <v>39</v>
      </c>
      <c r="E483" s="176" t="s">
        <v>25</v>
      </c>
      <c r="F483" s="267">
        <v>1</v>
      </c>
      <c r="G483" s="267">
        <v>1</v>
      </c>
      <c r="H483" s="267">
        <v>1</v>
      </c>
      <c r="I483" s="267">
        <v>1</v>
      </c>
      <c r="J483" s="267">
        <v>1</v>
      </c>
      <c r="K483" s="267">
        <v>1</v>
      </c>
      <c r="L483" s="267">
        <v>1</v>
      </c>
      <c r="M483" s="267">
        <v>1</v>
      </c>
      <c r="N483" s="268">
        <v>1</v>
      </c>
      <c r="O483" s="269">
        <v>1</v>
      </c>
      <c r="P483" s="267">
        <v>1</v>
      </c>
      <c r="Q483" s="268">
        <v>1</v>
      </c>
    </row>
    <row r="484" spans="1:17">
      <c r="A484">
        <v>1412000021</v>
      </c>
      <c r="B484" t="s">
        <v>39</v>
      </c>
      <c r="E484" s="312" t="s">
        <v>106</v>
      </c>
      <c r="F484" s="300">
        <v>6</v>
      </c>
      <c r="G484" s="300">
        <v>6</v>
      </c>
      <c r="H484" s="300">
        <v>6</v>
      </c>
      <c r="I484" s="300">
        <v>6</v>
      </c>
      <c r="J484" s="300">
        <v>6</v>
      </c>
      <c r="K484" s="300">
        <v>6</v>
      </c>
      <c r="L484" s="300">
        <v>6</v>
      </c>
      <c r="M484" s="300">
        <v>6</v>
      </c>
      <c r="N484" s="301">
        <v>6</v>
      </c>
      <c r="O484" s="302">
        <v>6</v>
      </c>
      <c r="P484" s="300">
        <v>6</v>
      </c>
      <c r="Q484" s="301">
        <v>6</v>
      </c>
    </row>
    <row r="485" spans="1:17">
      <c r="A485">
        <v>1412000021</v>
      </c>
      <c r="B485" t="s">
        <v>39</v>
      </c>
      <c r="E485" s="314" t="s">
        <v>158</v>
      </c>
      <c r="F485" s="303"/>
      <c r="G485" s="303"/>
      <c r="H485" s="303"/>
      <c r="I485" s="303"/>
      <c r="J485" s="303"/>
      <c r="K485" s="303"/>
      <c r="L485" s="303"/>
      <c r="M485" s="303"/>
      <c r="N485" s="304"/>
      <c r="O485" s="305"/>
      <c r="P485" s="303"/>
      <c r="Q485" s="304"/>
    </row>
    <row r="486" spans="1:17">
      <c r="A486">
        <v>1412000021</v>
      </c>
      <c r="B486" t="s">
        <v>39</v>
      </c>
      <c r="E486" s="177" t="s">
        <v>26</v>
      </c>
      <c r="F486" s="270">
        <v>6</v>
      </c>
      <c r="G486" s="270">
        <v>6</v>
      </c>
      <c r="H486" s="270">
        <v>6</v>
      </c>
      <c r="I486" s="270">
        <v>6</v>
      </c>
      <c r="J486" s="270">
        <v>6</v>
      </c>
      <c r="K486" s="270">
        <v>6</v>
      </c>
      <c r="L486" s="271">
        <v>6</v>
      </c>
      <c r="M486" s="270">
        <v>6</v>
      </c>
      <c r="N486" s="272">
        <v>6</v>
      </c>
      <c r="O486" s="271">
        <v>6</v>
      </c>
      <c r="P486" s="270">
        <v>6</v>
      </c>
      <c r="Q486" s="272">
        <v>6</v>
      </c>
    </row>
    <row r="487" spans="1:17" ht="15" thickBot="1">
      <c r="A487">
        <v>1412000021</v>
      </c>
      <c r="B487" t="s">
        <v>39</v>
      </c>
      <c r="E487" s="178" t="s">
        <v>27</v>
      </c>
      <c r="F487" s="273">
        <v>7</v>
      </c>
      <c r="G487" s="273">
        <v>7</v>
      </c>
      <c r="H487" s="273">
        <v>7</v>
      </c>
      <c r="I487" s="273">
        <v>7</v>
      </c>
      <c r="J487" s="273">
        <v>7</v>
      </c>
      <c r="K487" s="273">
        <v>7</v>
      </c>
      <c r="L487" s="274">
        <v>7</v>
      </c>
      <c r="M487" s="273">
        <v>7</v>
      </c>
      <c r="N487" s="275">
        <v>7</v>
      </c>
      <c r="O487" s="274">
        <v>7</v>
      </c>
      <c r="P487" s="273">
        <v>7</v>
      </c>
      <c r="Q487" s="275">
        <v>7</v>
      </c>
    </row>
    <row r="488" spans="1:17" ht="15" thickBot="1">
      <c r="A488">
        <v>1412000021</v>
      </c>
      <c r="B488" t="s">
        <v>39</v>
      </c>
      <c r="F488" s="276"/>
      <c r="G488" s="276"/>
      <c r="H488" s="276"/>
      <c r="I488" s="276"/>
      <c r="J488" s="276"/>
      <c r="K488" s="276"/>
      <c r="L488" s="276"/>
      <c r="M488" s="276"/>
      <c r="N488" s="276"/>
      <c r="O488" s="276"/>
      <c r="P488" s="276"/>
      <c r="Q488" s="276"/>
    </row>
    <row r="489" spans="1:17">
      <c r="A489">
        <v>1412000021</v>
      </c>
      <c r="B489" t="s">
        <v>39</v>
      </c>
      <c r="E489" s="220" t="s">
        <v>28</v>
      </c>
      <c r="F489" s="277"/>
      <c r="G489" s="277"/>
      <c r="H489" s="277"/>
      <c r="I489" s="277"/>
      <c r="J489" s="277"/>
      <c r="K489" s="277"/>
      <c r="L489" s="277"/>
      <c r="M489" s="277"/>
      <c r="N489" s="278"/>
      <c r="O489" s="277"/>
      <c r="P489" s="277"/>
      <c r="Q489" s="278"/>
    </row>
    <row r="490" spans="1:17">
      <c r="A490">
        <v>1412000021</v>
      </c>
      <c r="B490" t="s">
        <v>39</v>
      </c>
      <c r="E490" s="176" t="s">
        <v>25</v>
      </c>
      <c r="F490" s="279">
        <v>170</v>
      </c>
      <c r="G490" s="279">
        <v>161.5</v>
      </c>
      <c r="H490" s="279">
        <v>178.5</v>
      </c>
      <c r="I490" s="279">
        <v>195.5</v>
      </c>
      <c r="J490" s="279">
        <v>127.5</v>
      </c>
      <c r="K490" s="279">
        <v>161.5</v>
      </c>
      <c r="L490" s="279">
        <v>153</v>
      </c>
      <c r="M490" s="279">
        <v>170</v>
      </c>
      <c r="N490" s="280">
        <v>187</v>
      </c>
      <c r="O490" s="281">
        <v>170</v>
      </c>
      <c r="P490" s="279">
        <v>127.5</v>
      </c>
      <c r="Q490" s="280">
        <v>170</v>
      </c>
    </row>
    <row r="491" spans="1:17">
      <c r="A491">
        <v>1412000021</v>
      </c>
      <c r="B491" t="s">
        <v>39</v>
      </c>
      <c r="E491" s="312" t="s">
        <v>106</v>
      </c>
      <c r="F491" s="306">
        <v>749</v>
      </c>
      <c r="G491" s="306">
        <v>737.5</v>
      </c>
      <c r="H491" s="306">
        <v>820.5</v>
      </c>
      <c r="I491" s="306">
        <v>903.5</v>
      </c>
      <c r="J491" s="306">
        <v>779</v>
      </c>
      <c r="K491" s="306">
        <v>880</v>
      </c>
      <c r="L491" s="306">
        <v>1095</v>
      </c>
      <c r="M491" s="306">
        <v>949</v>
      </c>
      <c r="N491" s="307">
        <v>1049</v>
      </c>
      <c r="O491" s="308">
        <v>949</v>
      </c>
      <c r="P491" s="306">
        <v>699</v>
      </c>
      <c r="Q491" s="307">
        <v>969</v>
      </c>
    </row>
    <row r="492" spans="1:17">
      <c r="A492">
        <v>1412000021</v>
      </c>
      <c r="B492" t="s">
        <v>39</v>
      </c>
      <c r="E492" s="314" t="s">
        <v>158</v>
      </c>
      <c r="F492" s="309"/>
      <c r="G492" s="309"/>
      <c r="H492" s="309"/>
      <c r="I492" s="309"/>
      <c r="J492" s="309"/>
      <c r="K492" s="309"/>
      <c r="L492" s="309"/>
      <c r="M492" s="309"/>
      <c r="N492" s="310"/>
      <c r="O492" s="311"/>
      <c r="P492" s="309"/>
      <c r="Q492" s="310"/>
    </row>
    <row r="493" spans="1:17">
      <c r="A493">
        <v>1412000021</v>
      </c>
      <c r="B493" t="s">
        <v>39</v>
      </c>
      <c r="E493" s="177" t="s">
        <v>26</v>
      </c>
      <c r="F493" s="282">
        <v>749</v>
      </c>
      <c r="G493" s="282">
        <v>737.5</v>
      </c>
      <c r="H493" s="282">
        <v>820.5</v>
      </c>
      <c r="I493" s="282">
        <v>903.5</v>
      </c>
      <c r="J493" s="282">
        <v>779</v>
      </c>
      <c r="K493" s="282">
        <v>880</v>
      </c>
      <c r="L493" s="283">
        <v>1095</v>
      </c>
      <c r="M493" s="282">
        <v>949</v>
      </c>
      <c r="N493" s="284">
        <v>1049</v>
      </c>
      <c r="O493" s="283">
        <v>949</v>
      </c>
      <c r="P493" s="282">
        <v>699</v>
      </c>
      <c r="Q493" s="284">
        <v>969</v>
      </c>
    </row>
    <row r="494" spans="1:17" ht="15" thickBot="1">
      <c r="A494">
        <v>1412000021</v>
      </c>
      <c r="B494" t="s">
        <v>39</v>
      </c>
      <c r="E494" s="178" t="s">
        <v>44</v>
      </c>
      <c r="F494" s="285">
        <v>919</v>
      </c>
      <c r="G494" s="285">
        <v>899</v>
      </c>
      <c r="H494" s="285">
        <v>999</v>
      </c>
      <c r="I494" s="285">
        <v>1099</v>
      </c>
      <c r="J494" s="285">
        <v>906.5</v>
      </c>
      <c r="K494" s="285">
        <v>1041.5</v>
      </c>
      <c r="L494" s="286">
        <v>1248</v>
      </c>
      <c r="M494" s="285">
        <v>1119</v>
      </c>
      <c r="N494" s="287">
        <v>1236</v>
      </c>
      <c r="O494" s="286">
        <v>1119</v>
      </c>
      <c r="P494" s="285">
        <v>826.5</v>
      </c>
      <c r="Q494" s="287">
        <v>1139</v>
      </c>
    </row>
    <row r="495" spans="1:17" ht="15" thickBot="1">
      <c r="A495">
        <v>1412000021</v>
      </c>
      <c r="B495" t="s">
        <v>39</v>
      </c>
      <c r="F495" s="288"/>
      <c r="G495" s="288"/>
      <c r="H495" s="288"/>
      <c r="I495" s="288"/>
      <c r="J495" s="288"/>
      <c r="K495" s="288"/>
      <c r="L495" s="288"/>
      <c r="M495" s="288"/>
      <c r="N495" s="288"/>
      <c r="O495" s="288"/>
      <c r="P495" s="288"/>
      <c r="Q495" s="288"/>
    </row>
    <row r="496" spans="1:17">
      <c r="A496">
        <v>1412000021</v>
      </c>
      <c r="B496" t="s">
        <v>39</v>
      </c>
      <c r="E496" s="220" t="s">
        <v>29</v>
      </c>
      <c r="F496" s="289"/>
      <c r="G496" s="289"/>
      <c r="H496" s="289"/>
      <c r="I496" s="289"/>
      <c r="J496" s="289"/>
      <c r="K496" s="289"/>
      <c r="L496" s="289"/>
      <c r="M496" s="289"/>
      <c r="N496" s="290"/>
      <c r="O496" s="289"/>
      <c r="P496" s="289"/>
      <c r="Q496" s="278"/>
    </row>
    <row r="497" spans="1:17">
      <c r="A497">
        <v>1412000021</v>
      </c>
      <c r="B497" t="s">
        <v>39</v>
      </c>
      <c r="E497" s="176" t="s">
        <v>25</v>
      </c>
      <c r="F497" s="279">
        <v>40</v>
      </c>
      <c r="G497" s="279">
        <v>38</v>
      </c>
      <c r="H497" s="279">
        <v>42</v>
      </c>
      <c r="I497" s="279">
        <v>46</v>
      </c>
      <c r="J497" s="279">
        <v>30</v>
      </c>
      <c r="K497" s="279">
        <v>38</v>
      </c>
      <c r="L497" s="279">
        <v>36</v>
      </c>
      <c r="M497" s="279">
        <v>40</v>
      </c>
      <c r="N497" s="280">
        <v>44</v>
      </c>
      <c r="O497" s="281">
        <v>40</v>
      </c>
      <c r="P497" s="279">
        <v>30</v>
      </c>
      <c r="Q497" s="280">
        <v>40</v>
      </c>
    </row>
    <row r="498" spans="1:17">
      <c r="A498">
        <v>1412000021</v>
      </c>
      <c r="B498" t="s">
        <v>39</v>
      </c>
      <c r="E498" s="312" t="s">
        <v>106</v>
      </c>
      <c r="F498" s="306">
        <v>38</v>
      </c>
      <c r="G498" s="306">
        <v>36</v>
      </c>
      <c r="H498" s="306">
        <v>40</v>
      </c>
      <c r="I498" s="306">
        <v>44</v>
      </c>
      <c r="J498" s="306">
        <v>38</v>
      </c>
      <c r="K498" s="306">
        <v>36</v>
      </c>
      <c r="L498" s="306">
        <v>44</v>
      </c>
      <c r="M498" s="306">
        <v>38</v>
      </c>
      <c r="N498" s="307">
        <v>42</v>
      </c>
      <c r="O498" s="308">
        <v>38</v>
      </c>
      <c r="P498" s="306">
        <v>28</v>
      </c>
      <c r="Q498" s="307">
        <v>38</v>
      </c>
    </row>
    <row r="499" spans="1:17">
      <c r="A499">
        <v>1412000021</v>
      </c>
      <c r="B499" t="s">
        <v>39</v>
      </c>
      <c r="E499" s="314" t="s">
        <v>158</v>
      </c>
      <c r="F499" s="309"/>
      <c r="G499" s="309"/>
      <c r="H499" s="309"/>
      <c r="I499" s="309"/>
      <c r="J499" s="309"/>
      <c r="K499" s="309"/>
      <c r="L499" s="309"/>
      <c r="M499" s="309"/>
      <c r="N499" s="310"/>
      <c r="O499" s="311"/>
      <c r="P499" s="309"/>
      <c r="Q499" s="310"/>
    </row>
    <row r="500" spans="1:17">
      <c r="A500">
        <v>1412000021</v>
      </c>
      <c r="B500" t="s">
        <v>39</v>
      </c>
      <c r="E500" s="177" t="s">
        <v>26</v>
      </c>
      <c r="F500" s="282">
        <v>38</v>
      </c>
      <c r="G500" s="282">
        <v>36</v>
      </c>
      <c r="H500" s="282">
        <v>40</v>
      </c>
      <c r="I500" s="282">
        <v>44</v>
      </c>
      <c r="J500" s="282">
        <v>38</v>
      </c>
      <c r="K500" s="282">
        <v>36</v>
      </c>
      <c r="L500" s="283">
        <v>44</v>
      </c>
      <c r="M500" s="282">
        <v>38</v>
      </c>
      <c r="N500" s="284">
        <v>42</v>
      </c>
      <c r="O500" s="283">
        <v>38</v>
      </c>
      <c r="P500" s="282">
        <v>28</v>
      </c>
      <c r="Q500" s="284">
        <v>38</v>
      </c>
    </row>
    <row r="501" spans="1:17" ht="15" thickBot="1">
      <c r="A501">
        <v>1412000021</v>
      </c>
      <c r="B501" t="s">
        <v>39</v>
      </c>
      <c r="E501" s="178" t="s">
        <v>45</v>
      </c>
      <c r="F501" s="285">
        <v>78</v>
      </c>
      <c r="G501" s="285">
        <v>74</v>
      </c>
      <c r="H501" s="285">
        <v>82</v>
      </c>
      <c r="I501" s="285">
        <v>90</v>
      </c>
      <c r="J501" s="285">
        <v>68</v>
      </c>
      <c r="K501" s="285">
        <v>74</v>
      </c>
      <c r="L501" s="286">
        <v>80</v>
      </c>
      <c r="M501" s="285">
        <v>78</v>
      </c>
      <c r="N501" s="287">
        <v>86</v>
      </c>
      <c r="O501" s="286">
        <v>78</v>
      </c>
      <c r="P501" s="285">
        <v>58</v>
      </c>
      <c r="Q501" s="287">
        <v>78</v>
      </c>
    </row>
    <row r="502" spans="1:17">
      <c r="A502">
        <v>1412000022</v>
      </c>
      <c r="B502" t="s">
        <v>15</v>
      </c>
      <c r="E502" s="220" t="s">
        <v>40</v>
      </c>
      <c r="F502" s="201"/>
      <c r="G502" s="201"/>
      <c r="H502" s="201"/>
      <c r="I502" s="201"/>
      <c r="J502" s="201"/>
      <c r="K502" s="201"/>
      <c r="L502" s="201"/>
      <c r="M502" s="201"/>
      <c r="N502" s="202"/>
      <c r="O502" s="201"/>
      <c r="P502" s="201"/>
      <c r="Q502" s="202"/>
    </row>
    <row r="503" spans="1:17">
      <c r="A503">
        <v>1412000022</v>
      </c>
      <c r="B503" t="s">
        <v>15</v>
      </c>
      <c r="E503" s="176" t="s">
        <v>25</v>
      </c>
      <c r="F503" s="267">
        <v>2</v>
      </c>
      <c r="G503" s="267">
        <v>2</v>
      </c>
      <c r="H503" s="267">
        <v>2</v>
      </c>
      <c r="I503" s="267">
        <v>2</v>
      </c>
      <c r="J503" s="267">
        <v>2</v>
      </c>
      <c r="K503" s="267">
        <v>2</v>
      </c>
      <c r="L503" s="267">
        <v>2</v>
      </c>
      <c r="M503" s="267">
        <v>2</v>
      </c>
      <c r="N503" s="268">
        <v>2</v>
      </c>
      <c r="O503" s="269">
        <v>2</v>
      </c>
      <c r="P503" s="267">
        <v>2</v>
      </c>
      <c r="Q503" s="268">
        <v>2</v>
      </c>
    </row>
    <row r="504" spans="1:17">
      <c r="A504">
        <v>1412000022</v>
      </c>
      <c r="B504" t="s">
        <v>15</v>
      </c>
      <c r="E504" s="312" t="s">
        <v>106</v>
      </c>
      <c r="F504" s="300">
        <v>4</v>
      </c>
      <c r="G504" s="300">
        <v>4</v>
      </c>
      <c r="H504" s="300">
        <v>4</v>
      </c>
      <c r="I504" s="300">
        <v>4</v>
      </c>
      <c r="J504" s="300">
        <v>4</v>
      </c>
      <c r="K504" s="300">
        <v>4</v>
      </c>
      <c r="L504" s="300">
        <v>4</v>
      </c>
      <c r="M504" s="300">
        <v>4</v>
      </c>
      <c r="N504" s="301">
        <v>4</v>
      </c>
      <c r="O504" s="302">
        <v>4</v>
      </c>
      <c r="P504" s="300">
        <v>4</v>
      </c>
      <c r="Q504" s="301">
        <v>4</v>
      </c>
    </row>
    <row r="505" spans="1:17">
      <c r="A505">
        <v>1412000022</v>
      </c>
      <c r="B505" t="s">
        <v>15</v>
      </c>
      <c r="E505" s="314" t="s">
        <v>158</v>
      </c>
      <c r="F505" s="303"/>
      <c r="G505" s="303"/>
      <c r="H505" s="303"/>
      <c r="I505" s="303"/>
      <c r="J505" s="303"/>
      <c r="K505" s="303"/>
      <c r="L505" s="303"/>
      <c r="M505" s="303"/>
      <c r="N505" s="304"/>
      <c r="O505" s="305"/>
      <c r="P505" s="303"/>
      <c r="Q505" s="304"/>
    </row>
    <row r="506" spans="1:17">
      <c r="A506">
        <v>1412000022</v>
      </c>
      <c r="B506" t="s">
        <v>15</v>
      </c>
      <c r="E506" s="177" t="s">
        <v>26</v>
      </c>
      <c r="F506" s="270">
        <v>4</v>
      </c>
      <c r="G506" s="270">
        <v>4</v>
      </c>
      <c r="H506" s="270">
        <v>4</v>
      </c>
      <c r="I506" s="270">
        <v>4</v>
      </c>
      <c r="J506" s="270">
        <v>4</v>
      </c>
      <c r="K506" s="270">
        <v>4</v>
      </c>
      <c r="L506" s="271">
        <v>4</v>
      </c>
      <c r="M506" s="270">
        <v>4</v>
      </c>
      <c r="N506" s="272">
        <v>4</v>
      </c>
      <c r="O506" s="271">
        <v>4</v>
      </c>
      <c r="P506" s="270">
        <v>4</v>
      </c>
      <c r="Q506" s="272">
        <v>4</v>
      </c>
    </row>
    <row r="507" spans="1:17" ht="15" thickBot="1">
      <c r="A507">
        <v>1412000022</v>
      </c>
      <c r="B507" t="s">
        <v>15</v>
      </c>
      <c r="E507" s="178" t="s">
        <v>27</v>
      </c>
      <c r="F507" s="273">
        <v>6</v>
      </c>
      <c r="G507" s="273">
        <v>6</v>
      </c>
      <c r="H507" s="273">
        <v>6</v>
      </c>
      <c r="I507" s="273">
        <v>6</v>
      </c>
      <c r="J507" s="273">
        <v>6</v>
      </c>
      <c r="K507" s="273">
        <v>6</v>
      </c>
      <c r="L507" s="274">
        <v>6</v>
      </c>
      <c r="M507" s="273">
        <v>6</v>
      </c>
      <c r="N507" s="275">
        <v>6</v>
      </c>
      <c r="O507" s="274">
        <v>6</v>
      </c>
      <c r="P507" s="273">
        <v>6</v>
      </c>
      <c r="Q507" s="275">
        <v>6</v>
      </c>
    </row>
    <row r="508" spans="1:17" ht="15" thickBot="1">
      <c r="A508">
        <v>1412000022</v>
      </c>
      <c r="B508" t="s">
        <v>15</v>
      </c>
      <c r="F508" s="276"/>
      <c r="G508" s="276"/>
      <c r="H508" s="276"/>
      <c r="I508" s="276"/>
      <c r="J508" s="276"/>
      <c r="K508" s="276"/>
      <c r="L508" s="276"/>
      <c r="M508" s="276"/>
      <c r="N508" s="276"/>
      <c r="O508" s="276"/>
      <c r="P508" s="276"/>
      <c r="Q508" s="276"/>
    </row>
    <row r="509" spans="1:17">
      <c r="A509">
        <v>1412000022</v>
      </c>
      <c r="B509" t="s">
        <v>15</v>
      </c>
      <c r="E509" s="220" t="s">
        <v>28</v>
      </c>
      <c r="F509" s="277"/>
      <c r="G509" s="277"/>
      <c r="H509" s="277"/>
      <c r="I509" s="277"/>
      <c r="J509" s="277"/>
      <c r="K509" s="277"/>
      <c r="L509" s="277"/>
      <c r="M509" s="277"/>
      <c r="N509" s="278"/>
      <c r="O509" s="277"/>
      <c r="P509" s="277"/>
      <c r="Q509" s="278"/>
    </row>
    <row r="510" spans="1:17">
      <c r="A510">
        <v>1412000022</v>
      </c>
      <c r="B510" t="s">
        <v>15</v>
      </c>
      <c r="E510" s="176" t="s">
        <v>25</v>
      </c>
      <c r="F510" s="279">
        <v>331.5</v>
      </c>
      <c r="G510" s="279">
        <v>280.5</v>
      </c>
      <c r="H510" s="279">
        <v>348.5</v>
      </c>
      <c r="I510" s="279">
        <v>382.5</v>
      </c>
      <c r="J510" s="279">
        <v>297.5</v>
      </c>
      <c r="K510" s="279">
        <v>314.5</v>
      </c>
      <c r="L510" s="279">
        <v>382.5</v>
      </c>
      <c r="M510" s="279">
        <v>297.5</v>
      </c>
      <c r="N510" s="280">
        <v>365.5</v>
      </c>
      <c r="O510" s="281">
        <v>331.5</v>
      </c>
      <c r="P510" s="279">
        <v>246.5</v>
      </c>
      <c r="Q510" s="280">
        <v>297.5</v>
      </c>
    </row>
    <row r="511" spans="1:17">
      <c r="A511">
        <v>1412000022</v>
      </c>
      <c r="B511" t="s">
        <v>15</v>
      </c>
      <c r="E511" s="312" t="s">
        <v>106</v>
      </c>
      <c r="F511" s="306">
        <v>484.5</v>
      </c>
      <c r="G511" s="306">
        <v>459</v>
      </c>
      <c r="H511" s="306">
        <v>510</v>
      </c>
      <c r="I511" s="306">
        <v>718.5</v>
      </c>
      <c r="J511" s="306">
        <v>627</v>
      </c>
      <c r="K511" s="306">
        <v>594</v>
      </c>
      <c r="L511" s="306">
        <v>726</v>
      </c>
      <c r="M511" s="306">
        <v>627</v>
      </c>
      <c r="N511" s="307">
        <v>693</v>
      </c>
      <c r="O511" s="308">
        <v>637</v>
      </c>
      <c r="P511" s="306">
        <v>476</v>
      </c>
      <c r="Q511" s="307">
        <v>646</v>
      </c>
    </row>
    <row r="512" spans="1:17">
      <c r="A512">
        <v>1412000022</v>
      </c>
      <c r="B512" t="s">
        <v>15</v>
      </c>
      <c r="E512" s="314" t="s">
        <v>158</v>
      </c>
      <c r="F512" s="309"/>
      <c r="G512" s="309"/>
      <c r="H512" s="309"/>
      <c r="I512" s="309"/>
      <c r="J512" s="309"/>
      <c r="K512" s="309"/>
      <c r="L512" s="309"/>
      <c r="M512" s="309"/>
      <c r="N512" s="310"/>
      <c r="O512" s="311"/>
      <c r="P512" s="309"/>
      <c r="Q512" s="310"/>
    </row>
    <row r="513" spans="1:17">
      <c r="A513">
        <v>1412000022</v>
      </c>
      <c r="B513" t="s">
        <v>15</v>
      </c>
      <c r="E513" s="177" t="s">
        <v>26</v>
      </c>
      <c r="F513" s="282">
        <v>484.5</v>
      </c>
      <c r="G513" s="282">
        <v>459</v>
      </c>
      <c r="H513" s="282">
        <v>510</v>
      </c>
      <c r="I513" s="282">
        <v>718.5</v>
      </c>
      <c r="J513" s="282">
        <v>627</v>
      </c>
      <c r="K513" s="282">
        <v>594</v>
      </c>
      <c r="L513" s="283">
        <v>726</v>
      </c>
      <c r="M513" s="282">
        <v>627</v>
      </c>
      <c r="N513" s="284">
        <v>693</v>
      </c>
      <c r="O513" s="283">
        <v>637</v>
      </c>
      <c r="P513" s="282">
        <v>476</v>
      </c>
      <c r="Q513" s="284">
        <v>646</v>
      </c>
    </row>
    <row r="514" spans="1:17" ht="15" thickBot="1">
      <c r="A514">
        <v>1412000022</v>
      </c>
      <c r="B514" t="s">
        <v>15</v>
      </c>
      <c r="E514" s="178" t="s">
        <v>44</v>
      </c>
      <c r="F514" s="285">
        <v>816</v>
      </c>
      <c r="G514" s="285">
        <v>739.5</v>
      </c>
      <c r="H514" s="285">
        <v>858.5</v>
      </c>
      <c r="I514" s="285">
        <v>1101</v>
      </c>
      <c r="J514" s="285">
        <v>924.5</v>
      </c>
      <c r="K514" s="285">
        <v>908.5</v>
      </c>
      <c r="L514" s="286">
        <v>1108.5</v>
      </c>
      <c r="M514" s="285">
        <v>924.5</v>
      </c>
      <c r="N514" s="287">
        <v>1058.5</v>
      </c>
      <c r="O514" s="286">
        <v>968.5</v>
      </c>
      <c r="P514" s="285">
        <v>722.5</v>
      </c>
      <c r="Q514" s="287">
        <v>943.5</v>
      </c>
    </row>
    <row r="515" spans="1:17" ht="15" thickBot="1">
      <c r="A515">
        <v>1412000022</v>
      </c>
      <c r="B515" t="s">
        <v>15</v>
      </c>
      <c r="F515" s="288"/>
      <c r="G515" s="288"/>
      <c r="H515" s="288"/>
      <c r="I515" s="288"/>
      <c r="J515" s="288"/>
      <c r="K515" s="288"/>
      <c r="L515" s="288"/>
      <c r="M515" s="288"/>
      <c r="N515" s="288"/>
      <c r="O515" s="288"/>
      <c r="P515" s="288"/>
      <c r="Q515" s="288"/>
    </row>
    <row r="516" spans="1:17">
      <c r="A516">
        <v>1412000022</v>
      </c>
      <c r="B516" t="s">
        <v>15</v>
      </c>
      <c r="E516" s="220" t="s">
        <v>29</v>
      </c>
      <c r="F516" s="289"/>
      <c r="G516" s="289"/>
      <c r="H516" s="289"/>
      <c r="I516" s="289"/>
      <c r="J516" s="289"/>
      <c r="K516" s="289"/>
      <c r="L516" s="289"/>
      <c r="M516" s="289"/>
      <c r="N516" s="290"/>
      <c r="O516" s="289"/>
      <c r="P516" s="289"/>
      <c r="Q516" s="278"/>
    </row>
    <row r="517" spans="1:17">
      <c r="A517">
        <v>1412000022</v>
      </c>
      <c r="B517" t="s">
        <v>15</v>
      </c>
      <c r="E517" s="176" t="s">
        <v>25</v>
      </c>
      <c r="F517" s="279">
        <v>78</v>
      </c>
      <c r="G517" s="279">
        <v>66</v>
      </c>
      <c r="H517" s="279">
        <v>82</v>
      </c>
      <c r="I517" s="279">
        <v>90</v>
      </c>
      <c r="J517" s="279">
        <v>70</v>
      </c>
      <c r="K517" s="279">
        <v>74</v>
      </c>
      <c r="L517" s="279">
        <v>90</v>
      </c>
      <c r="M517" s="279">
        <v>70</v>
      </c>
      <c r="N517" s="280">
        <v>86</v>
      </c>
      <c r="O517" s="281">
        <v>78</v>
      </c>
      <c r="P517" s="279">
        <v>58</v>
      </c>
      <c r="Q517" s="280">
        <v>70</v>
      </c>
    </row>
    <row r="518" spans="1:17">
      <c r="A518">
        <v>1412000022</v>
      </c>
      <c r="B518" t="s">
        <v>15</v>
      </c>
      <c r="E518" s="312" t="s">
        <v>106</v>
      </c>
      <c r="F518" s="306">
        <v>38</v>
      </c>
      <c r="G518" s="306">
        <v>36</v>
      </c>
      <c r="H518" s="306">
        <v>40</v>
      </c>
      <c r="I518" s="306">
        <v>44</v>
      </c>
      <c r="J518" s="306">
        <v>38</v>
      </c>
      <c r="K518" s="306">
        <v>36</v>
      </c>
      <c r="L518" s="306">
        <v>44</v>
      </c>
      <c r="M518" s="306">
        <v>38</v>
      </c>
      <c r="N518" s="307">
        <v>42</v>
      </c>
      <c r="O518" s="308">
        <v>38</v>
      </c>
      <c r="P518" s="306">
        <v>28</v>
      </c>
      <c r="Q518" s="307">
        <v>38</v>
      </c>
    </row>
    <row r="519" spans="1:17">
      <c r="A519">
        <v>1412000022</v>
      </c>
      <c r="B519" t="s">
        <v>15</v>
      </c>
      <c r="E519" s="314" t="s">
        <v>158</v>
      </c>
      <c r="F519" s="309"/>
      <c r="G519" s="309"/>
      <c r="H519" s="309"/>
      <c r="I519" s="309"/>
      <c r="J519" s="309"/>
      <c r="K519" s="309"/>
      <c r="L519" s="309"/>
      <c r="M519" s="309"/>
      <c r="N519" s="310"/>
      <c r="O519" s="311"/>
      <c r="P519" s="309"/>
      <c r="Q519" s="310"/>
    </row>
    <row r="520" spans="1:17">
      <c r="A520">
        <v>1412000022</v>
      </c>
      <c r="B520" t="s">
        <v>15</v>
      </c>
      <c r="E520" s="177" t="s">
        <v>26</v>
      </c>
      <c r="F520" s="282">
        <v>38</v>
      </c>
      <c r="G520" s="282">
        <v>36</v>
      </c>
      <c r="H520" s="282">
        <v>40</v>
      </c>
      <c r="I520" s="282">
        <v>44</v>
      </c>
      <c r="J520" s="282">
        <v>38</v>
      </c>
      <c r="K520" s="282">
        <v>36</v>
      </c>
      <c r="L520" s="283">
        <v>44</v>
      </c>
      <c r="M520" s="282">
        <v>38</v>
      </c>
      <c r="N520" s="284">
        <v>42</v>
      </c>
      <c r="O520" s="283">
        <v>38</v>
      </c>
      <c r="P520" s="282">
        <v>28</v>
      </c>
      <c r="Q520" s="284">
        <v>38</v>
      </c>
    </row>
    <row r="521" spans="1:17" ht="15" thickBot="1">
      <c r="A521">
        <v>1412000022</v>
      </c>
      <c r="B521" t="s">
        <v>15</v>
      </c>
      <c r="E521" s="178" t="s">
        <v>45</v>
      </c>
      <c r="F521" s="285">
        <v>116</v>
      </c>
      <c r="G521" s="285">
        <v>102</v>
      </c>
      <c r="H521" s="285">
        <v>122</v>
      </c>
      <c r="I521" s="285">
        <v>134</v>
      </c>
      <c r="J521" s="285">
        <v>108</v>
      </c>
      <c r="K521" s="285">
        <v>110</v>
      </c>
      <c r="L521" s="286">
        <v>134</v>
      </c>
      <c r="M521" s="285">
        <v>108</v>
      </c>
      <c r="N521" s="287">
        <v>128</v>
      </c>
      <c r="O521" s="286">
        <v>116</v>
      </c>
      <c r="P521" s="285">
        <v>86</v>
      </c>
      <c r="Q521" s="287">
        <v>108</v>
      </c>
    </row>
    <row r="522" spans="1:17">
      <c r="A522">
        <v>1412000024</v>
      </c>
      <c r="B522" t="s">
        <v>17</v>
      </c>
      <c r="E522" s="220" t="s">
        <v>40</v>
      </c>
      <c r="F522" s="201"/>
      <c r="G522" s="201"/>
      <c r="H522" s="201"/>
      <c r="I522" s="201"/>
      <c r="J522" s="201"/>
      <c r="K522" s="201"/>
      <c r="L522" s="201"/>
      <c r="M522" s="201"/>
      <c r="N522" s="202"/>
      <c r="O522" s="201"/>
      <c r="P522" s="201"/>
      <c r="Q522" s="202"/>
    </row>
    <row r="523" spans="1:17">
      <c r="A523">
        <v>1412000024</v>
      </c>
      <c r="B523" t="s">
        <v>17</v>
      </c>
      <c r="E523" s="176" t="s">
        <v>25</v>
      </c>
      <c r="F523" s="267">
        <v>1</v>
      </c>
      <c r="G523" s="267">
        <v>1</v>
      </c>
      <c r="H523" s="267">
        <v>1</v>
      </c>
      <c r="I523" s="267">
        <v>1</v>
      </c>
      <c r="J523" s="267">
        <v>1</v>
      </c>
      <c r="K523" s="267">
        <v>1</v>
      </c>
      <c r="L523" s="267">
        <v>1</v>
      </c>
      <c r="M523" s="267">
        <v>1</v>
      </c>
      <c r="N523" s="268">
        <v>1</v>
      </c>
      <c r="O523" s="269">
        <v>1</v>
      </c>
      <c r="P523" s="267">
        <v>1</v>
      </c>
      <c r="Q523" s="268">
        <v>1</v>
      </c>
    </row>
    <row r="524" spans="1:17">
      <c r="A524">
        <v>1412000024</v>
      </c>
      <c r="B524" t="s">
        <v>17</v>
      </c>
      <c r="E524" s="312" t="s">
        <v>106</v>
      </c>
      <c r="F524" s="300">
        <v>10</v>
      </c>
      <c r="G524" s="300">
        <v>11</v>
      </c>
      <c r="H524" s="300">
        <v>11</v>
      </c>
      <c r="I524" s="300">
        <v>11</v>
      </c>
      <c r="J524" s="300">
        <v>11</v>
      </c>
      <c r="K524" s="300">
        <v>11</v>
      </c>
      <c r="L524" s="300">
        <v>11</v>
      </c>
      <c r="M524" s="300">
        <v>11</v>
      </c>
      <c r="N524" s="301">
        <v>11</v>
      </c>
      <c r="O524" s="302">
        <v>11</v>
      </c>
      <c r="P524" s="300">
        <v>11</v>
      </c>
      <c r="Q524" s="301">
        <v>11</v>
      </c>
    </row>
    <row r="525" spans="1:17">
      <c r="A525">
        <v>1412000024</v>
      </c>
      <c r="B525" t="s">
        <v>17</v>
      </c>
      <c r="E525" s="314" t="s">
        <v>158</v>
      </c>
      <c r="F525" s="303">
        <v>6</v>
      </c>
      <c r="G525" s="303">
        <v>6</v>
      </c>
      <c r="H525" s="303">
        <v>6</v>
      </c>
      <c r="I525" s="303">
        <v>6</v>
      </c>
      <c r="J525" s="303">
        <v>6</v>
      </c>
      <c r="K525" s="303">
        <v>6</v>
      </c>
      <c r="L525" s="303">
        <v>6</v>
      </c>
      <c r="M525" s="303">
        <v>6</v>
      </c>
      <c r="N525" s="304">
        <v>6</v>
      </c>
      <c r="O525" s="305">
        <v>6</v>
      </c>
      <c r="P525" s="303">
        <v>6</v>
      </c>
      <c r="Q525" s="304">
        <v>6</v>
      </c>
    </row>
    <row r="526" spans="1:17">
      <c r="A526">
        <v>1412000024</v>
      </c>
      <c r="B526" t="s">
        <v>17</v>
      </c>
      <c r="E526" s="177" t="s">
        <v>26</v>
      </c>
      <c r="F526" s="270">
        <v>16</v>
      </c>
      <c r="G526" s="270">
        <v>17</v>
      </c>
      <c r="H526" s="270">
        <v>17</v>
      </c>
      <c r="I526" s="270">
        <v>17</v>
      </c>
      <c r="J526" s="270">
        <v>17</v>
      </c>
      <c r="K526" s="270">
        <v>17</v>
      </c>
      <c r="L526" s="271">
        <v>17</v>
      </c>
      <c r="M526" s="270">
        <v>17</v>
      </c>
      <c r="N526" s="272">
        <v>17</v>
      </c>
      <c r="O526" s="271">
        <v>17</v>
      </c>
      <c r="P526" s="270">
        <v>17</v>
      </c>
      <c r="Q526" s="272">
        <v>17</v>
      </c>
    </row>
    <row r="527" spans="1:17" ht="15" thickBot="1">
      <c r="A527">
        <v>1412000024</v>
      </c>
      <c r="B527" t="s">
        <v>17</v>
      </c>
      <c r="E527" s="178" t="s">
        <v>27</v>
      </c>
      <c r="F527" s="273">
        <v>17</v>
      </c>
      <c r="G527" s="273">
        <v>18</v>
      </c>
      <c r="H527" s="273">
        <v>18</v>
      </c>
      <c r="I527" s="273">
        <v>18</v>
      </c>
      <c r="J527" s="273">
        <v>18</v>
      </c>
      <c r="K527" s="273">
        <v>18</v>
      </c>
      <c r="L527" s="274">
        <v>18</v>
      </c>
      <c r="M527" s="273">
        <v>18</v>
      </c>
      <c r="N527" s="275">
        <v>18</v>
      </c>
      <c r="O527" s="274">
        <v>18</v>
      </c>
      <c r="P527" s="273">
        <v>18</v>
      </c>
      <c r="Q527" s="275">
        <v>18</v>
      </c>
    </row>
    <row r="528" spans="1:17" ht="15" thickBot="1">
      <c r="A528">
        <v>1412000024</v>
      </c>
      <c r="B528" t="s">
        <v>17</v>
      </c>
      <c r="F528" s="276"/>
      <c r="G528" s="276"/>
      <c r="H528" s="276"/>
      <c r="I528" s="276">
        <v>1878.5</v>
      </c>
      <c r="J528" s="276"/>
      <c r="K528" s="276"/>
      <c r="L528" s="276"/>
      <c r="M528" s="276"/>
      <c r="N528" s="276"/>
      <c r="O528" s="276"/>
      <c r="P528" s="276"/>
      <c r="Q528" s="276"/>
    </row>
    <row r="529" spans="1:17">
      <c r="A529">
        <v>1412000024</v>
      </c>
      <c r="B529" t="s">
        <v>17</v>
      </c>
      <c r="E529" s="220" t="s">
        <v>28</v>
      </c>
      <c r="F529" s="277"/>
      <c r="G529" s="277"/>
      <c r="H529" s="277"/>
      <c r="I529" s="277"/>
      <c r="J529" s="277"/>
      <c r="K529" s="277"/>
      <c r="L529" s="277"/>
      <c r="M529" s="277"/>
      <c r="N529" s="278"/>
      <c r="O529" s="277"/>
      <c r="P529" s="277"/>
      <c r="Q529" s="278"/>
    </row>
    <row r="530" spans="1:17">
      <c r="A530">
        <v>1412000024</v>
      </c>
      <c r="B530" t="s">
        <v>17</v>
      </c>
      <c r="E530" s="176" t="s">
        <v>25</v>
      </c>
      <c r="F530" s="279">
        <v>170</v>
      </c>
      <c r="G530" s="279">
        <v>161.5</v>
      </c>
      <c r="H530" s="279">
        <v>178.5</v>
      </c>
      <c r="I530" s="279">
        <v>195.5</v>
      </c>
      <c r="J530" s="279">
        <v>170</v>
      </c>
      <c r="K530" s="279">
        <v>161.5</v>
      </c>
      <c r="L530" s="279">
        <v>195.5</v>
      </c>
      <c r="M530" s="279">
        <v>170</v>
      </c>
      <c r="N530" s="280">
        <v>187</v>
      </c>
      <c r="O530" s="281">
        <v>170</v>
      </c>
      <c r="P530" s="279">
        <v>127.5</v>
      </c>
      <c r="Q530" s="280">
        <v>170</v>
      </c>
    </row>
    <row r="531" spans="1:17">
      <c r="A531">
        <v>1412000024</v>
      </c>
      <c r="B531" t="s">
        <v>17</v>
      </c>
      <c r="E531" s="312" t="s">
        <v>106</v>
      </c>
      <c r="F531" s="306">
        <v>1632</v>
      </c>
      <c r="G531" s="306">
        <v>1640.5</v>
      </c>
      <c r="H531" s="306">
        <v>1887</v>
      </c>
      <c r="I531" s="306">
        <v>2074</v>
      </c>
      <c r="J531" s="306">
        <v>1793.5</v>
      </c>
      <c r="K531" s="306">
        <v>1700</v>
      </c>
      <c r="L531" s="306">
        <v>2074</v>
      </c>
      <c r="M531" s="306">
        <v>1793.5</v>
      </c>
      <c r="N531" s="307">
        <v>1980.5</v>
      </c>
      <c r="O531" s="308">
        <v>1793.5</v>
      </c>
      <c r="P531" s="306">
        <v>1326</v>
      </c>
      <c r="Q531" s="307">
        <v>1793.5</v>
      </c>
    </row>
    <row r="532" spans="1:17">
      <c r="A532">
        <v>1412000024</v>
      </c>
      <c r="B532" t="s">
        <v>17</v>
      </c>
      <c r="E532" s="314" t="s">
        <v>158</v>
      </c>
      <c r="F532" s="309">
        <v>965</v>
      </c>
      <c r="G532" s="309">
        <v>907.5</v>
      </c>
      <c r="H532" s="309">
        <v>914</v>
      </c>
      <c r="I532" s="309">
        <v>920.5</v>
      </c>
      <c r="J532" s="309">
        <v>803.5</v>
      </c>
      <c r="K532" s="309">
        <v>754.5</v>
      </c>
      <c r="L532" s="309">
        <v>920.5</v>
      </c>
      <c r="M532" s="309">
        <v>803.5</v>
      </c>
      <c r="N532" s="310">
        <v>954</v>
      </c>
      <c r="O532" s="311">
        <v>946</v>
      </c>
      <c r="P532" s="309">
        <v>693.5</v>
      </c>
      <c r="Q532" s="310">
        <v>938.5</v>
      </c>
    </row>
    <row r="533" spans="1:17">
      <c r="A533">
        <v>1412000024</v>
      </c>
      <c r="B533" t="s">
        <v>17</v>
      </c>
      <c r="E533" s="177" t="s">
        <v>26</v>
      </c>
      <c r="F533" s="282">
        <v>2597</v>
      </c>
      <c r="G533" s="282">
        <v>2548</v>
      </c>
      <c r="H533" s="282">
        <v>2801</v>
      </c>
      <c r="I533" s="282">
        <v>2994.5</v>
      </c>
      <c r="J533" s="282">
        <v>2597</v>
      </c>
      <c r="K533" s="282">
        <v>2454.5</v>
      </c>
      <c r="L533" s="283">
        <v>2994.5</v>
      </c>
      <c r="M533" s="282">
        <v>2597</v>
      </c>
      <c r="N533" s="284">
        <v>2934.5</v>
      </c>
      <c r="O533" s="283">
        <v>2739.5</v>
      </c>
      <c r="P533" s="282">
        <v>2019.5</v>
      </c>
      <c r="Q533" s="284">
        <v>2732</v>
      </c>
    </row>
    <row r="534" spans="1:17" ht="15" thickBot="1">
      <c r="A534">
        <v>1412000024</v>
      </c>
      <c r="B534" t="s">
        <v>17</v>
      </c>
      <c r="E534" s="178" t="s">
        <v>44</v>
      </c>
      <c r="F534" s="285">
        <v>2767</v>
      </c>
      <c r="G534" s="285">
        <v>2709.5</v>
      </c>
      <c r="H534" s="285">
        <v>2979.5</v>
      </c>
      <c r="I534" s="285">
        <v>3190</v>
      </c>
      <c r="J534" s="285">
        <v>2767</v>
      </c>
      <c r="K534" s="285">
        <v>2616</v>
      </c>
      <c r="L534" s="286">
        <v>3190</v>
      </c>
      <c r="M534" s="285">
        <v>2767</v>
      </c>
      <c r="N534" s="287">
        <v>3121.5</v>
      </c>
      <c r="O534" s="286">
        <v>2909.5</v>
      </c>
      <c r="P534" s="285">
        <v>2147</v>
      </c>
      <c r="Q534" s="287">
        <v>2902</v>
      </c>
    </row>
    <row r="535" spans="1:17" ht="15" thickBot="1">
      <c r="A535">
        <v>1412000024</v>
      </c>
      <c r="B535" t="s">
        <v>17</v>
      </c>
      <c r="F535" s="288"/>
      <c r="G535" s="288"/>
      <c r="H535" s="288"/>
      <c r="I535" s="288"/>
      <c r="J535" s="288"/>
      <c r="K535" s="288"/>
      <c r="L535" s="288"/>
      <c r="M535" s="288"/>
      <c r="N535" s="288"/>
      <c r="O535" s="288"/>
      <c r="P535" s="288"/>
      <c r="Q535" s="288"/>
    </row>
    <row r="536" spans="1:17">
      <c r="A536">
        <v>1412000024</v>
      </c>
      <c r="B536" t="s">
        <v>17</v>
      </c>
      <c r="E536" s="220" t="s">
        <v>29</v>
      </c>
      <c r="F536" s="289"/>
      <c r="G536" s="289"/>
      <c r="H536" s="289"/>
      <c r="I536" s="289"/>
      <c r="J536" s="289"/>
      <c r="K536" s="289"/>
      <c r="L536" s="289"/>
      <c r="M536" s="289"/>
      <c r="N536" s="290"/>
      <c r="O536" s="289"/>
      <c r="P536" s="289"/>
      <c r="Q536" s="278"/>
    </row>
    <row r="537" spans="1:17">
      <c r="A537">
        <v>1412000024</v>
      </c>
      <c r="B537" t="s">
        <v>17</v>
      </c>
      <c r="E537" s="176" t="s">
        <v>25</v>
      </c>
      <c r="F537" s="279">
        <v>40</v>
      </c>
      <c r="G537" s="279">
        <v>38</v>
      </c>
      <c r="H537" s="279">
        <v>42</v>
      </c>
      <c r="I537" s="279">
        <v>46</v>
      </c>
      <c r="J537" s="279">
        <v>40</v>
      </c>
      <c r="K537" s="279">
        <v>38</v>
      </c>
      <c r="L537" s="279">
        <v>46</v>
      </c>
      <c r="M537" s="279">
        <v>40</v>
      </c>
      <c r="N537" s="280">
        <v>44</v>
      </c>
      <c r="O537" s="281">
        <v>40</v>
      </c>
      <c r="P537" s="279">
        <v>30</v>
      </c>
      <c r="Q537" s="280">
        <v>40</v>
      </c>
    </row>
    <row r="538" spans="1:17">
      <c r="A538">
        <v>1412000024</v>
      </c>
      <c r="B538" t="s">
        <v>17</v>
      </c>
      <c r="E538" s="312" t="s">
        <v>106</v>
      </c>
      <c r="F538" s="306">
        <v>136.5</v>
      </c>
      <c r="G538" s="306">
        <v>145.5</v>
      </c>
      <c r="H538" s="306">
        <v>143.5</v>
      </c>
      <c r="I538" s="306">
        <v>157.5</v>
      </c>
      <c r="J538" s="306">
        <v>136.5</v>
      </c>
      <c r="K538" s="306">
        <v>183.5</v>
      </c>
      <c r="L538" s="306">
        <v>157.5</v>
      </c>
      <c r="M538" s="306">
        <v>181.5</v>
      </c>
      <c r="N538" s="307">
        <v>150.5</v>
      </c>
      <c r="O538" s="308">
        <v>136.5</v>
      </c>
      <c r="P538" s="306">
        <v>101.5</v>
      </c>
      <c r="Q538" s="307">
        <v>136.5</v>
      </c>
    </row>
    <row r="539" spans="1:17">
      <c r="A539">
        <v>1412000024</v>
      </c>
      <c r="B539" t="s">
        <v>17</v>
      </c>
      <c r="E539" s="314" t="s">
        <v>158</v>
      </c>
      <c r="F539" s="309">
        <v>0</v>
      </c>
      <c r="G539" s="309">
        <v>10</v>
      </c>
      <c r="H539" s="309">
        <v>0</v>
      </c>
      <c r="I539" s="309">
        <v>0</v>
      </c>
      <c r="J539" s="309">
        <v>0</v>
      </c>
      <c r="K539" s="309">
        <v>30</v>
      </c>
      <c r="L539" s="309">
        <v>0</v>
      </c>
      <c r="M539" s="309">
        <v>25</v>
      </c>
      <c r="N539" s="310">
        <v>0</v>
      </c>
      <c r="O539" s="311">
        <v>0</v>
      </c>
      <c r="P539" s="309">
        <v>0</v>
      </c>
      <c r="Q539" s="310">
        <v>0</v>
      </c>
    </row>
    <row r="540" spans="1:17">
      <c r="A540">
        <v>1412000024</v>
      </c>
      <c r="B540" t="s">
        <v>17</v>
      </c>
      <c r="E540" s="177" t="s">
        <v>26</v>
      </c>
      <c r="F540" s="282">
        <v>136.5</v>
      </c>
      <c r="G540" s="282">
        <v>155.5</v>
      </c>
      <c r="H540" s="282">
        <v>143.5</v>
      </c>
      <c r="I540" s="282">
        <v>157.5</v>
      </c>
      <c r="J540" s="282">
        <v>136.5</v>
      </c>
      <c r="K540" s="282">
        <v>213.5</v>
      </c>
      <c r="L540" s="283">
        <v>157.5</v>
      </c>
      <c r="M540" s="282">
        <v>206.5</v>
      </c>
      <c r="N540" s="284">
        <v>150.5</v>
      </c>
      <c r="O540" s="283">
        <v>136.5</v>
      </c>
      <c r="P540" s="282">
        <v>101.5</v>
      </c>
      <c r="Q540" s="284">
        <v>136.5</v>
      </c>
    </row>
    <row r="541" spans="1:17" ht="15" thickBot="1">
      <c r="A541">
        <v>1412000024</v>
      </c>
      <c r="B541" t="s">
        <v>17</v>
      </c>
      <c r="E541" s="178" t="s">
        <v>45</v>
      </c>
      <c r="F541" s="285">
        <v>176.5</v>
      </c>
      <c r="G541" s="285">
        <v>193.5</v>
      </c>
      <c r="H541" s="285">
        <v>185.5</v>
      </c>
      <c r="I541" s="285">
        <v>203.5</v>
      </c>
      <c r="J541" s="285">
        <v>176.5</v>
      </c>
      <c r="K541" s="285">
        <v>251.5</v>
      </c>
      <c r="L541" s="286">
        <v>203.5</v>
      </c>
      <c r="M541" s="285">
        <v>246.5</v>
      </c>
      <c r="N541" s="287">
        <v>194.5</v>
      </c>
      <c r="O541" s="286">
        <v>176.5</v>
      </c>
      <c r="P541" s="285">
        <v>131.5</v>
      </c>
      <c r="Q541" s="287">
        <v>176.5</v>
      </c>
    </row>
    <row r="542" spans="1:17">
      <c r="A542">
        <v>1412000025</v>
      </c>
      <c r="B542" t="s">
        <v>18</v>
      </c>
      <c r="E542" s="220" t="s">
        <v>40</v>
      </c>
      <c r="F542" s="201"/>
      <c r="G542" s="201"/>
      <c r="H542" s="201"/>
      <c r="I542" s="201"/>
      <c r="J542" s="201"/>
      <c r="K542" s="201"/>
      <c r="L542" s="201"/>
      <c r="M542" s="201"/>
      <c r="N542" s="202"/>
      <c r="O542" s="201"/>
      <c r="P542" s="201"/>
      <c r="Q542" s="202"/>
    </row>
    <row r="543" spans="1:17">
      <c r="A543">
        <v>1412000025</v>
      </c>
      <c r="B543" t="s">
        <v>18</v>
      </c>
      <c r="E543" s="176" t="s">
        <v>25</v>
      </c>
      <c r="F543" s="267">
        <v>1</v>
      </c>
      <c r="G543" s="267">
        <v>1</v>
      </c>
      <c r="H543" s="267">
        <v>1</v>
      </c>
      <c r="I543" s="267">
        <v>1</v>
      </c>
      <c r="J543" s="267">
        <v>1</v>
      </c>
      <c r="K543" s="267">
        <v>1</v>
      </c>
      <c r="L543" s="267">
        <v>1</v>
      </c>
      <c r="M543" s="267">
        <v>1</v>
      </c>
      <c r="N543" s="268">
        <v>1</v>
      </c>
      <c r="O543" s="269">
        <v>1</v>
      </c>
      <c r="P543" s="267">
        <v>1</v>
      </c>
      <c r="Q543" s="268">
        <v>1</v>
      </c>
    </row>
    <row r="544" spans="1:17">
      <c r="A544">
        <v>1412000025</v>
      </c>
      <c r="B544" t="s">
        <v>18</v>
      </c>
      <c r="E544" s="312" t="s">
        <v>106</v>
      </c>
      <c r="F544" s="300">
        <v>17</v>
      </c>
      <c r="G544" s="300">
        <v>16</v>
      </c>
      <c r="H544" s="300">
        <v>16</v>
      </c>
      <c r="I544" s="300">
        <v>16</v>
      </c>
      <c r="J544" s="300">
        <v>16</v>
      </c>
      <c r="K544" s="300">
        <v>16</v>
      </c>
      <c r="L544" s="300">
        <v>16</v>
      </c>
      <c r="M544" s="300">
        <v>16</v>
      </c>
      <c r="N544" s="301">
        <v>16</v>
      </c>
      <c r="O544" s="302">
        <v>16</v>
      </c>
      <c r="P544" s="300">
        <v>16</v>
      </c>
      <c r="Q544" s="301">
        <v>16</v>
      </c>
    </row>
    <row r="545" spans="1:17">
      <c r="A545">
        <v>1412000025</v>
      </c>
      <c r="B545" t="s">
        <v>18</v>
      </c>
      <c r="E545" s="314" t="s">
        <v>158</v>
      </c>
      <c r="F545" s="303"/>
      <c r="G545" s="303"/>
      <c r="H545" s="303"/>
      <c r="I545" s="303"/>
      <c r="J545" s="303"/>
      <c r="K545" s="303"/>
      <c r="L545" s="303"/>
      <c r="M545" s="303"/>
      <c r="N545" s="304"/>
      <c r="O545" s="305"/>
      <c r="P545" s="303"/>
      <c r="Q545" s="304"/>
    </row>
    <row r="546" spans="1:17">
      <c r="A546">
        <v>1412000025</v>
      </c>
      <c r="B546" t="s">
        <v>18</v>
      </c>
      <c r="E546" s="177" t="s">
        <v>26</v>
      </c>
      <c r="F546" s="270">
        <v>17</v>
      </c>
      <c r="G546" s="270">
        <v>16</v>
      </c>
      <c r="H546" s="270">
        <v>16</v>
      </c>
      <c r="I546" s="270">
        <v>16</v>
      </c>
      <c r="J546" s="270">
        <v>16</v>
      </c>
      <c r="K546" s="270">
        <v>16</v>
      </c>
      <c r="L546" s="271">
        <v>16</v>
      </c>
      <c r="M546" s="270">
        <v>16</v>
      </c>
      <c r="N546" s="272">
        <v>16</v>
      </c>
      <c r="O546" s="271">
        <v>16</v>
      </c>
      <c r="P546" s="270">
        <v>16</v>
      </c>
      <c r="Q546" s="272">
        <v>16</v>
      </c>
    </row>
    <row r="547" spans="1:17" ht="15" thickBot="1">
      <c r="A547">
        <v>1412000025</v>
      </c>
      <c r="B547" t="s">
        <v>18</v>
      </c>
      <c r="E547" s="178" t="s">
        <v>27</v>
      </c>
      <c r="F547" s="273">
        <v>18</v>
      </c>
      <c r="G547" s="273">
        <v>17</v>
      </c>
      <c r="H547" s="273">
        <v>17</v>
      </c>
      <c r="I547" s="273">
        <v>17</v>
      </c>
      <c r="J547" s="273">
        <v>17</v>
      </c>
      <c r="K547" s="273">
        <v>17</v>
      </c>
      <c r="L547" s="274">
        <v>17</v>
      </c>
      <c r="M547" s="273">
        <v>17</v>
      </c>
      <c r="N547" s="275">
        <v>17</v>
      </c>
      <c r="O547" s="274">
        <v>17</v>
      </c>
      <c r="P547" s="273">
        <v>17</v>
      </c>
      <c r="Q547" s="275">
        <v>17</v>
      </c>
    </row>
    <row r="548" spans="1:17" ht="15" thickBot="1">
      <c r="A548">
        <v>1412000025</v>
      </c>
      <c r="B548" t="s">
        <v>18</v>
      </c>
      <c r="F548" s="276"/>
      <c r="G548" s="276"/>
      <c r="H548" s="276"/>
      <c r="I548" s="276"/>
      <c r="J548" s="276"/>
      <c r="K548" s="276"/>
      <c r="L548" s="276"/>
      <c r="M548" s="276"/>
      <c r="N548" s="276"/>
      <c r="O548" s="276"/>
      <c r="P548" s="276"/>
      <c r="Q548" s="276"/>
    </row>
    <row r="549" spans="1:17">
      <c r="A549">
        <v>1412000025</v>
      </c>
      <c r="B549" t="s">
        <v>18</v>
      </c>
      <c r="E549" s="220" t="s">
        <v>28</v>
      </c>
      <c r="F549" s="277"/>
      <c r="G549" s="277"/>
      <c r="H549" s="277"/>
      <c r="I549" s="277"/>
      <c r="J549" s="277"/>
      <c r="K549" s="277"/>
      <c r="L549" s="277"/>
      <c r="M549" s="277"/>
      <c r="N549" s="278"/>
      <c r="O549" s="277"/>
      <c r="P549" s="277"/>
      <c r="Q549" s="278"/>
    </row>
    <row r="550" spans="1:17">
      <c r="A550">
        <v>1412000025</v>
      </c>
      <c r="B550" t="s">
        <v>18</v>
      </c>
      <c r="E550" s="176" t="s">
        <v>25</v>
      </c>
      <c r="F550" s="279">
        <v>170</v>
      </c>
      <c r="G550" s="279">
        <v>161.5</v>
      </c>
      <c r="H550" s="279">
        <v>178.5</v>
      </c>
      <c r="I550" s="279">
        <v>195.5</v>
      </c>
      <c r="J550" s="279">
        <v>127.5</v>
      </c>
      <c r="K550" s="279">
        <v>161.5</v>
      </c>
      <c r="L550" s="279">
        <v>195.5</v>
      </c>
      <c r="M550" s="279">
        <v>170</v>
      </c>
      <c r="N550" s="280">
        <v>187</v>
      </c>
      <c r="O550" s="281">
        <v>153</v>
      </c>
      <c r="P550" s="279">
        <v>127.5</v>
      </c>
      <c r="Q550" s="280">
        <v>170</v>
      </c>
    </row>
    <row r="551" spans="1:17">
      <c r="A551">
        <v>1412000025</v>
      </c>
      <c r="B551" t="s">
        <v>18</v>
      </c>
      <c r="E551" s="312" t="s">
        <v>106</v>
      </c>
      <c r="F551" s="306">
        <v>2732</v>
      </c>
      <c r="G551" s="306">
        <v>2391</v>
      </c>
      <c r="H551" s="306">
        <v>2436</v>
      </c>
      <c r="I551" s="306">
        <v>2673</v>
      </c>
      <c r="J551" s="306">
        <v>2340</v>
      </c>
      <c r="K551" s="306">
        <v>2242</v>
      </c>
      <c r="L551" s="306">
        <v>2837</v>
      </c>
      <c r="M551" s="306">
        <v>2567.5</v>
      </c>
      <c r="N551" s="307">
        <v>2948</v>
      </c>
      <c r="O551" s="308">
        <v>2680</v>
      </c>
      <c r="P551" s="306">
        <v>2010</v>
      </c>
      <c r="Q551" s="307">
        <v>2680</v>
      </c>
    </row>
    <row r="552" spans="1:17">
      <c r="A552">
        <v>1412000025</v>
      </c>
      <c r="B552" t="s">
        <v>18</v>
      </c>
      <c r="E552" s="314" t="s">
        <v>158</v>
      </c>
      <c r="F552" s="309"/>
      <c r="G552" s="309"/>
      <c r="H552" s="309"/>
      <c r="I552" s="309"/>
      <c r="J552" s="309"/>
      <c r="K552" s="309"/>
      <c r="L552" s="309"/>
      <c r="M552" s="309"/>
      <c r="N552" s="310"/>
      <c r="O552" s="311"/>
      <c r="P552" s="309"/>
      <c r="Q552" s="310"/>
    </row>
    <row r="553" spans="1:17">
      <c r="A553">
        <v>1412000025</v>
      </c>
      <c r="B553" t="s">
        <v>18</v>
      </c>
      <c r="E553" s="177" t="s">
        <v>26</v>
      </c>
      <c r="F553" s="282">
        <v>2732</v>
      </c>
      <c r="G553" s="282">
        <v>2391</v>
      </c>
      <c r="H553" s="282">
        <v>2436</v>
      </c>
      <c r="I553" s="282">
        <v>2673</v>
      </c>
      <c r="J553" s="282">
        <v>2340</v>
      </c>
      <c r="K553" s="282">
        <v>2242</v>
      </c>
      <c r="L553" s="283">
        <v>2837</v>
      </c>
      <c r="M553" s="282">
        <v>2567.5</v>
      </c>
      <c r="N553" s="284">
        <v>2948</v>
      </c>
      <c r="O553" s="283">
        <v>2680</v>
      </c>
      <c r="P553" s="282">
        <v>2010</v>
      </c>
      <c r="Q553" s="284">
        <v>2680</v>
      </c>
    </row>
    <row r="554" spans="1:17" ht="15" thickBot="1">
      <c r="A554">
        <v>1412000025</v>
      </c>
      <c r="B554" t="s">
        <v>18</v>
      </c>
      <c r="E554" s="178" t="s">
        <v>44</v>
      </c>
      <c r="F554" s="285">
        <v>2902</v>
      </c>
      <c r="G554" s="285">
        <v>2552.5</v>
      </c>
      <c r="H554" s="285">
        <v>2614.5</v>
      </c>
      <c r="I554" s="285">
        <v>2868.5</v>
      </c>
      <c r="J554" s="285">
        <v>2467.5</v>
      </c>
      <c r="K554" s="285">
        <v>2403.5</v>
      </c>
      <c r="L554" s="286">
        <v>3032.5</v>
      </c>
      <c r="M554" s="285">
        <v>2737.5</v>
      </c>
      <c r="N554" s="287">
        <v>3135</v>
      </c>
      <c r="O554" s="286">
        <v>2833</v>
      </c>
      <c r="P554" s="285">
        <v>2137.5</v>
      </c>
      <c r="Q554" s="287">
        <v>2850</v>
      </c>
    </row>
    <row r="555" spans="1:17" ht="15" thickBot="1">
      <c r="A555">
        <v>1412000025</v>
      </c>
      <c r="B555" t="s">
        <v>18</v>
      </c>
      <c r="F555" s="288"/>
      <c r="G555" s="288"/>
      <c r="H555" s="288"/>
      <c r="I555" s="288"/>
      <c r="J555" s="288"/>
      <c r="K555" s="288"/>
      <c r="L555" s="288"/>
      <c r="M555" s="288"/>
      <c r="N555" s="288"/>
      <c r="O555" s="288"/>
      <c r="P555" s="288"/>
      <c r="Q555" s="288"/>
    </row>
    <row r="556" spans="1:17">
      <c r="A556">
        <v>1412000025</v>
      </c>
      <c r="B556" t="s">
        <v>18</v>
      </c>
      <c r="E556" s="220" t="s">
        <v>29</v>
      </c>
      <c r="F556" s="289"/>
      <c r="G556" s="289"/>
      <c r="H556" s="289"/>
      <c r="I556" s="289"/>
      <c r="J556" s="289"/>
      <c r="K556" s="289"/>
      <c r="L556" s="289"/>
      <c r="M556" s="289"/>
      <c r="N556" s="290"/>
      <c r="O556" s="289"/>
      <c r="P556" s="289"/>
      <c r="Q556" s="278"/>
    </row>
    <row r="557" spans="1:17">
      <c r="A557">
        <v>1412000025</v>
      </c>
      <c r="B557" t="s">
        <v>18</v>
      </c>
      <c r="E557" s="176" t="s">
        <v>25</v>
      </c>
      <c r="F557" s="279">
        <v>40</v>
      </c>
      <c r="G557" s="279">
        <v>38</v>
      </c>
      <c r="H557" s="279">
        <v>42</v>
      </c>
      <c r="I557" s="279">
        <v>46</v>
      </c>
      <c r="J557" s="279">
        <v>30</v>
      </c>
      <c r="K557" s="279">
        <v>38</v>
      </c>
      <c r="L557" s="279">
        <v>46</v>
      </c>
      <c r="M557" s="279">
        <v>40</v>
      </c>
      <c r="N557" s="280">
        <v>44</v>
      </c>
      <c r="O557" s="281">
        <v>36</v>
      </c>
      <c r="P557" s="279">
        <v>30</v>
      </c>
      <c r="Q557" s="280">
        <v>40</v>
      </c>
    </row>
    <row r="558" spans="1:17">
      <c r="A558">
        <v>1412000025</v>
      </c>
      <c r="B558" t="s">
        <v>18</v>
      </c>
      <c r="E558" s="312" t="s">
        <v>106</v>
      </c>
      <c r="F558" s="306">
        <v>83</v>
      </c>
      <c r="G558" s="306">
        <v>79</v>
      </c>
      <c r="H558" s="306">
        <v>87</v>
      </c>
      <c r="I558" s="306">
        <v>95</v>
      </c>
      <c r="J558" s="306">
        <v>83</v>
      </c>
      <c r="K558" s="306">
        <v>79</v>
      </c>
      <c r="L558" s="306">
        <v>95</v>
      </c>
      <c r="M558" s="306">
        <v>83</v>
      </c>
      <c r="N558" s="307">
        <v>91</v>
      </c>
      <c r="O558" s="308">
        <v>83</v>
      </c>
      <c r="P558" s="306">
        <v>63</v>
      </c>
      <c r="Q558" s="307">
        <v>83</v>
      </c>
    </row>
    <row r="559" spans="1:17">
      <c r="A559">
        <v>1412000025</v>
      </c>
      <c r="B559" t="s">
        <v>18</v>
      </c>
      <c r="E559" s="314" t="s">
        <v>158</v>
      </c>
      <c r="F559" s="309"/>
      <c r="G559" s="309"/>
      <c r="H559" s="309"/>
      <c r="I559" s="309"/>
      <c r="J559" s="309"/>
      <c r="K559" s="309"/>
      <c r="L559" s="309"/>
      <c r="M559" s="309"/>
      <c r="N559" s="310"/>
      <c r="O559" s="311"/>
      <c r="P559" s="309"/>
      <c r="Q559" s="310"/>
    </row>
    <row r="560" spans="1:17">
      <c r="A560">
        <v>1412000025</v>
      </c>
      <c r="B560" t="s">
        <v>18</v>
      </c>
      <c r="E560" s="177" t="s">
        <v>26</v>
      </c>
      <c r="F560" s="282">
        <v>83</v>
      </c>
      <c r="G560" s="282">
        <v>79</v>
      </c>
      <c r="H560" s="282">
        <v>87</v>
      </c>
      <c r="I560" s="282">
        <v>95</v>
      </c>
      <c r="J560" s="282">
        <v>83</v>
      </c>
      <c r="K560" s="282">
        <v>79</v>
      </c>
      <c r="L560" s="283">
        <v>95</v>
      </c>
      <c r="M560" s="282">
        <v>83</v>
      </c>
      <c r="N560" s="284">
        <v>91</v>
      </c>
      <c r="O560" s="283">
        <v>83</v>
      </c>
      <c r="P560" s="282">
        <v>63</v>
      </c>
      <c r="Q560" s="284">
        <v>83</v>
      </c>
    </row>
    <row r="561" spans="1:17" ht="15" thickBot="1">
      <c r="A561">
        <v>1412000025</v>
      </c>
      <c r="B561" t="s">
        <v>18</v>
      </c>
      <c r="E561" s="178" t="s">
        <v>45</v>
      </c>
      <c r="F561" s="285">
        <v>123</v>
      </c>
      <c r="G561" s="285">
        <v>117</v>
      </c>
      <c r="H561" s="285">
        <v>129</v>
      </c>
      <c r="I561" s="285">
        <v>141</v>
      </c>
      <c r="J561" s="285">
        <v>113</v>
      </c>
      <c r="K561" s="285">
        <v>117</v>
      </c>
      <c r="L561" s="286">
        <v>141</v>
      </c>
      <c r="M561" s="285">
        <v>123</v>
      </c>
      <c r="N561" s="287">
        <v>135</v>
      </c>
      <c r="O561" s="286">
        <v>119</v>
      </c>
      <c r="P561" s="285">
        <v>93</v>
      </c>
      <c r="Q561" s="287">
        <v>123</v>
      </c>
    </row>
    <row r="562" spans="1:17">
      <c r="A562">
        <v>1412000026</v>
      </c>
      <c r="B562" t="s">
        <v>19</v>
      </c>
      <c r="E562" s="220" t="s">
        <v>40</v>
      </c>
      <c r="F562" s="201"/>
      <c r="G562" s="201"/>
      <c r="H562" s="201"/>
      <c r="I562" s="201"/>
      <c r="J562" s="201"/>
      <c r="K562" s="201"/>
      <c r="L562" s="201"/>
      <c r="M562" s="201"/>
      <c r="N562" s="202"/>
      <c r="O562" s="201"/>
      <c r="P562" s="201"/>
      <c r="Q562" s="202"/>
    </row>
    <row r="563" spans="1:17">
      <c r="A563">
        <v>1412000026</v>
      </c>
      <c r="B563" t="s">
        <v>19</v>
      </c>
      <c r="E563" s="176" t="s">
        <v>25</v>
      </c>
      <c r="F563" s="267"/>
      <c r="G563" s="267"/>
      <c r="H563" s="267"/>
      <c r="I563" s="267"/>
      <c r="J563" s="267"/>
      <c r="K563" s="267"/>
      <c r="L563" s="267"/>
      <c r="M563" s="267"/>
      <c r="N563" s="268"/>
      <c r="O563" s="269"/>
      <c r="P563" s="267"/>
      <c r="Q563" s="268"/>
    </row>
    <row r="564" spans="1:17">
      <c r="A564">
        <v>1412000026</v>
      </c>
      <c r="B564" t="s">
        <v>19</v>
      </c>
      <c r="E564" s="312" t="s">
        <v>106</v>
      </c>
      <c r="F564" s="300">
        <v>11</v>
      </c>
      <c r="G564" s="300">
        <v>11</v>
      </c>
      <c r="H564" s="300">
        <v>11</v>
      </c>
      <c r="I564" s="300">
        <v>11</v>
      </c>
      <c r="J564" s="300">
        <v>11</v>
      </c>
      <c r="K564" s="300">
        <v>11</v>
      </c>
      <c r="L564" s="300">
        <v>11</v>
      </c>
      <c r="M564" s="300">
        <v>11</v>
      </c>
      <c r="N564" s="301">
        <v>11</v>
      </c>
      <c r="O564" s="302">
        <v>11</v>
      </c>
      <c r="P564" s="300">
        <v>11</v>
      </c>
      <c r="Q564" s="301">
        <v>11</v>
      </c>
    </row>
    <row r="565" spans="1:17">
      <c r="A565">
        <v>1412000026</v>
      </c>
      <c r="B565" t="s">
        <v>19</v>
      </c>
      <c r="E565" s="314" t="s">
        <v>158</v>
      </c>
      <c r="F565" s="303">
        <v>3</v>
      </c>
      <c r="G565" s="303">
        <v>3</v>
      </c>
      <c r="H565" s="303">
        <v>3</v>
      </c>
      <c r="I565" s="303">
        <v>3</v>
      </c>
      <c r="J565" s="303">
        <v>3</v>
      </c>
      <c r="K565" s="303">
        <v>3</v>
      </c>
      <c r="L565" s="303">
        <v>3</v>
      </c>
      <c r="M565" s="303">
        <v>3</v>
      </c>
      <c r="N565" s="304">
        <v>3</v>
      </c>
      <c r="O565" s="305">
        <v>3</v>
      </c>
      <c r="P565" s="303">
        <v>3</v>
      </c>
      <c r="Q565" s="304">
        <v>3</v>
      </c>
    </row>
    <row r="566" spans="1:17">
      <c r="A566">
        <v>1412000026</v>
      </c>
      <c r="B566" t="s">
        <v>19</v>
      </c>
      <c r="E566" s="177" t="s">
        <v>26</v>
      </c>
      <c r="F566" s="270">
        <v>14</v>
      </c>
      <c r="G566" s="270">
        <v>14</v>
      </c>
      <c r="H566" s="270">
        <v>14</v>
      </c>
      <c r="I566" s="270">
        <v>14</v>
      </c>
      <c r="J566" s="270">
        <v>14</v>
      </c>
      <c r="K566" s="270">
        <v>14</v>
      </c>
      <c r="L566" s="271">
        <v>14</v>
      </c>
      <c r="M566" s="270">
        <v>14</v>
      </c>
      <c r="N566" s="272">
        <v>14</v>
      </c>
      <c r="O566" s="271">
        <v>14</v>
      </c>
      <c r="P566" s="270">
        <v>14</v>
      </c>
      <c r="Q566" s="272">
        <v>14</v>
      </c>
    </row>
    <row r="567" spans="1:17" ht="15" thickBot="1">
      <c r="A567">
        <v>1412000026</v>
      </c>
      <c r="B567" t="s">
        <v>19</v>
      </c>
      <c r="E567" s="178" t="s">
        <v>27</v>
      </c>
      <c r="F567" s="273">
        <v>14</v>
      </c>
      <c r="G567" s="273">
        <v>14</v>
      </c>
      <c r="H567" s="273">
        <v>14</v>
      </c>
      <c r="I567" s="273">
        <v>14</v>
      </c>
      <c r="J567" s="273">
        <v>14</v>
      </c>
      <c r="K567" s="273">
        <v>14</v>
      </c>
      <c r="L567" s="274">
        <v>14</v>
      </c>
      <c r="M567" s="273">
        <v>14</v>
      </c>
      <c r="N567" s="275">
        <v>14</v>
      </c>
      <c r="O567" s="274">
        <v>14</v>
      </c>
      <c r="P567" s="273">
        <v>14</v>
      </c>
      <c r="Q567" s="275">
        <v>14</v>
      </c>
    </row>
    <row r="568" spans="1:17" ht="15" thickBot="1">
      <c r="A568">
        <v>1412000026</v>
      </c>
      <c r="B568" t="s">
        <v>19</v>
      </c>
      <c r="F568" s="276"/>
      <c r="G568" s="276"/>
      <c r="H568" s="276"/>
      <c r="I568" s="276"/>
      <c r="J568" s="276"/>
      <c r="K568" s="276"/>
      <c r="L568" s="276"/>
      <c r="M568" s="276"/>
      <c r="N568" s="276"/>
      <c r="O568" s="276"/>
      <c r="P568" s="276"/>
      <c r="Q568" s="276"/>
    </row>
    <row r="569" spans="1:17">
      <c r="A569">
        <v>1412000026</v>
      </c>
      <c r="B569" t="s">
        <v>19</v>
      </c>
      <c r="E569" s="220" t="s">
        <v>28</v>
      </c>
      <c r="F569" s="277"/>
      <c r="G569" s="277"/>
      <c r="H569" s="277"/>
      <c r="I569" s="277"/>
      <c r="J569" s="277"/>
      <c r="K569" s="277"/>
      <c r="L569" s="277"/>
      <c r="M569" s="277"/>
      <c r="N569" s="278"/>
      <c r="O569" s="277"/>
      <c r="P569" s="277"/>
      <c r="Q569" s="278"/>
    </row>
    <row r="570" spans="1:17">
      <c r="A570">
        <v>1412000026</v>
      </c>
      <c r="B570" t="s">
        <v>19</v>
      </c>
      <c r="E570" s="176" t="s">
        <v>25</v>
      </c>
      <c r="F570" s="279"/>
      <c r="G570" s="279"/>
      <c r="H570" s="279"/>
      <c r="I570" s="279"/>
      <c r="J570" s="279"/>
      <c r="K570" s="279"/>
      <c r="L570" s="279"/>
      <c r="M570" s="279"/>
      <c r="N570" s="280"/>
      <c r="O570" s="281"/>
      <c r="P570" s="279"/>
      <c r="Q570" s="280"/>
    </row>
    <row r="571" spans="1:17">
      <c r="A571">
        <v>1412000026</v>
      </c>
      <c r="B571" t="s">
        <v>19</v>
      </c>
      <c r="E571" s="312" t="s">
        <v>106</v>
      </c>
      <c r="F571" s="306">
        <v>1823.25</v>
      </c>
      <c r="G571" s="306">
        <v>1683</v>
      </c>
      <c r="H571" s="306">
        <v>1870</v>
      </c>
      <c r="I571" s="306">
        <v>2103.75</v>
      </c>
      <c r="J571" s="306">
        <v>1776.5</v>
      </c>
      <c r="K571" s="306">
        <v>1683</v>
      </c>
      <c r="L571" s="306">
        <v>2103.75</v>
      </c>
      <c r="M571" s="306">
        <v>1823.25</v>
      </c>
      <c r="N571" s="307">
        <v>1963.5</v>
      </c>
      <c r="O571" s="308">
        <v>1776.5</v>
      </c>
      <c r="P571" s="306">
        <v>1355.75</v>
      </c>
      <c r="Q571" s="307">
        <v>1776.5</v>
      </c>
    </row>
    <row r="572" spans="1:17">
      <c r="A572">
        <v>1412000026</v>
      </c>
      <c r="B572" t="s">
        <v>19</v>
      </c>
      <c r="E572" s="314" t="s">
        <v>158</v>
      </c>
      <c r="F572" s="309">
        <v>454.75</v>
      </c>
      <c r="G572" s="309">
        <v>459</v>
      </c>
      <c r="H572" s="309">
        <v>522.75</v>
      </c>
      <c r="I572" s="309">
        <v>561</v>
      </c>
      <c r="J572" s="309">
        <v>484.5</v>
      </c>
      <c r="K572" s="309">
        <v>471.75</v>
      </c>
      <c r="L572" s="309">
        <v>561</v>
      </c>
      <c r="M572" s="309">
        <v>484.5</v>
      </c>
      <c r="N572" s="310">
        <v>535.5</v>
      </c>
      <c r="O572" s="311">
        <v>459</v>
      </c>
      <c r="P572" s="309">
        <v>357</v>
      </c>
      <c r="Q572" s="310">
        <v>459</v>
      </c>
    </row>
    <row r="573" spans="1:17">
      <c r="A573">
        <v>1412000026</v>
      </c>
      <c r="B573" t="s">
        <v>19</v>
      </c>
      <c r="E573" s="177" t="s">
        <v>26</v>
      </c>
      <c r="F573" s="282">
        <v>2278</v>
      </c>
      <c r="G573" s="282">
        <v>2142</v>
      </c>
      <c r="H573" s="282">
        <v>2392.75</v>
      </c>
      <c r="I573" s="282">
        <v>2664.75</v>
      </c>
      <c r="J573" s="282">
        <v>2261</v>
      </c>
      <c r="K573" s="282">
        <v>2154.75</v>
      </c>
      <c r="L573" s="283">
        <v>2664.75</v>
      </c>
      <c r="M573" s="282">
        <v>2307.75</v>
      </c>
      <c r="N573" s="284">
        <v>2499</v>
      </c>
      <c r="O573" s="283">
        <v>2235.5</v>
      </c>
      <c r="P573" s="282">
        <v>1712.75</v>
      </c>
      <c r="Q573" s="284">
        <v>2235.5</v>
      </c>
    </row>
    <row r="574" spans="1:17" ht="15" thickBot="1">
      <c r="A574">
        <v>1412000026</v>
      </c>
      <c r="B574" t="s">
        <v>19</v>
      </c>
      <c r="E574" s="178" t="s">
        <v>44</v>
      </c>
      <c r="F574" s="285">
        <v>2278</v>
      </c>
      <c r="G574" s="285">
        <v>2142</v>
      </c>
      <c r="H574" s="285">
        <v>2392.75</v>
      </c>
      <c r="I574" s="285">
        <v>2664.75</v>
      </c>
      <c r="J574" s="285">
        <v>2261</v>
      </c>
      <c r="K574" s="285">
        <v>2154.75</v>
      </c>
      <c r="L574" s="286">
        <v>2664.75</v>
      </c>
      <c r="M574" s="285">
        <v>2307.75</v>
      </c>
      <c r="N574" s="287">
        <v>2499</v>
      </c>
      <c r="O574" s="286">
        <v>2235.5</v>
      </c>
      <c r="P574" s="285">
        <v>1712.75</v>
      </c>
      <c r="Q574" s="287">
        <v>2235.5</v>
      </c>
    </row>
    <row r="575" spans="1:17" ht="15" thickBot="1">
      <c r="A575">
        <v>1412000026</v>
      </c>
      <c r="B575" t="s">
        <v>19</v>
      </c>
      <c r="F575" s="288"/>
      <c r="G575" s="288"/>
      <c r="H575" s="288"/>
      <c r="I575" s="288"/>
      <c r="J575" s="288"/>
      <c r="K575" s="288"/>
      <c r="L575" s="288"/>
      <c r="M575" s="288"/>
      <c r="N575" s="288"/>
      <c r="O575" s="288"/>
      <c r="P575" s="288"/>
      <c r="Q575" s="288"/>
    </row>
    <row r="576" spans="1:17">
      <c r="A576">
        <v>1412000026</v>
      </c>
      <c r="B576" t="s">
        <v>19</v>
      </c>
      <c r="E576" s="220" t="s">
        <v>29</v>
      </c>
      <c r="F576" s="289"/>
      <c r="G576" s="289"/>
      <c r="H576" s="289"/>
      <c r="I576" s="289"/>
      <c r="J576" s="289"/>
      <c r="K576" s="289"/>
      <c r="L576" s="289"/>
      <c r="M576" s="289"/>
      <c r="N576" s="290"/>
      <c r="O576" s="289"/>
      <c r="P576" s="289"/>
      <c r="Q576" s="278"/>
    </row>
    <row r="577" spans="1:17">
      <c r="A577">
        <v>1412000026</v>
      </c>
      <c r="B577" t="s">
        <v>19</v>
      </c>
      <c r="E577" s="176" t="s">
        <v>25</v>
      </c>
      <c r="F577" s="279"/>
      <c r="G577" s="279"/>
      <c r="H577" s="279"/>
      <c r="I577" s="279"/>
      <c r="J577" s="279"/>
      <c r="K577" s="279"/>
      <c r="L577" s="279"/>
      <c r="M577" s="279"/>
      <c r="N577" s="280"/>
      <c r="O577" s="281"/>
      <c r="P577" s="279"/>
      <c r="Q577" s="280"/>
    </row>
    <row r="578" spans="1:17">
      <c r="A578">
        <v>1412000026</v>
      </c>
      <c r="B578" t="s">
        <v>19</v>
      </c>
      <c r="E578" s="312" t="s">
        <v>106</v>
      </c>
      <c r="F578" s="306">
        <v>233</v>
      </c>
      <c r="G578" s="306">
        <v>234</v>
      </c>
      <c r="H578" s="306">
        <v>226</v>
      </c>
      <c r="I578" s="306">
        <v>257</v>
      </c>
      <c r="J578" s="306">
        <v>251</v>
      </c>
      <c r="K578" s="306">
        <v>240</v>
      </c>
      <c r="L578" s="306">
        <v>257</v>
      </c>
      <c r="M578" s="306">
        <v>243</v>
      </c>
      <c r="N578" s="307">
        <v>252</v>
      </c>
      <c r="O578" s="308">
        <v>240</v>
      </c>
      <c r="P578" s="306">
        <v>204</v>
      </c>
      <c r="Q578" s="307">
        <v>258</v>
      </c>
    </row>
    <row r="579" spans="1:17">
      <c r="A579">
        <v>1412000026</v>
      </c>
      <c r="B579" t="s">
        <v>19</v>
      </c>
      <c r="E579" s="314" t="s">
        <v>158</v>
      </c>
      <c r="F579" s="309">
        <v>34</v>
      </c>
      <c r="G579" s="309">
        <v>38</v>
      </c>
      <c r="H579" s="309">
        <v>37</v>
      </c>
      <c r="I579" s="309">
        <v>39</v>
      </c>
      <c r="J579" s="309">
        <v>35</v>
      </c>
      <c r="K579" s="309">
        <v>37</v>
      </c>
      <c r="L579" s="309">
        <v>34</v>
      </c>
      <c r="M579" s="309">
        <v>34</v>
      </c>
      <c r="N579" s="310">
        <v>34</v>
      </c>
      <c r="O579" s="311">
        <v>34</v>
      </c>
      <c r="P579" s="309">
        <v>34</v>
      </c>
      <c r="Q579" s="310">
        <v>34</v>
      </c>
    </row>
    <row r="580" spans="1:17">
      <c r="A580">
        <v>1412000026</v>
      </c>
      <c r="B580" t="s">
        <v>19</v>
      </c>
      <c r="E580" s="177" t="s">
        <v>26</v>
      </c>
      <c r="F580" s="282">
        <v>267</v>
      </c>
      <c r="G580" s="282">
        <v>272</v>
      </c>
      <c r="H580" s="282">
        <v>263</v>
      </c>
      <c r="I580" s="282">
        <v>296</v>
      </c>
      <c r="J580" s="282">
        <v>286</v>
      </c>
      <c r="K580" s="282">
        <v>277</v>
      </c>
      <c r="L580" s="283">
        <v>291</v>
      </c>
      <c r="M580" s="282">
        <v>277</v>
      </c>
      <c r="N580" s="284">
        <v>286</v>
      </c>
      <c r="O580" s="283">
        <v>274</v>
      </c>
      <c r="P580" s="282">
        <v>238</v>
      </c>
      <c r="Q580" s="284">
        <v>292</v>
      </c>
    </row>
    <row r="581" spans="1:17" ht="15" thickBot="1">
      <c r="A581">
        <v>1412000026</v>
      </c>
      <c r="B581" t="s">
        <v>19</v>
      </c>
      <c r="E581" s="178" t="s">
        <v>45</v>
      </c>
      <c r="F581" s="285">
        <v>267</v>
      </c>
      <c r="G581" s="285">
        <v>272</v>
      </c>
      <c r="H581" s="285">
        <v>263</v>
      </c>
      <c r="I581" s="285">
        <v>296</v>
      </c>
      <c r="J581" s="285">
        <v>286</v>
      </c>
      <c r="K581" s="285">
        <v>277</v>
      </c>
      <c r="L581" s="286">
        <v>291</v>
      </c>
      <c r="M581" s="285">
        <v>277</v>
      </c>
      <c r="N581" s="287">
        <v>286</v>
      </c>
      <c r="O581" s="286">
        <v>274</v>
      </c>
      <c r="P581" s="285">
        <v>238</v>
      </c>
      <c r="Q581" s="287">
        <v>292</v>
      </c>
    </row>
    <row r="582" spans="1:17">
      <c r="A582">
        <v>1412000028</v>
      </c>
      <c r="B582" t="s">
        <v>21</v>
      </c>
      <c r="E582" s="220" t="s">
        <v>40</v>
      </c>
      <c r="F582" s="201"/>
      <c r="G582" s="201"/>
      <c r="H582" s="201"/>
      <c r="I582" s="201"/>
      <c r="J582" s="201"/>
      <c r="K582" s="201"/>
      <c r="L582" s="201"/>
      <c r="M582" s="201"/>
      <c r="N582" s="202"/>
      <c r="O582" s="201"/>
      <c r="P582" s="201"/>
      <c r="Q582" s="202"/>
    </row>
    <row r="583" spans="1:17">
      <c r="A583">
        <v>1412000028</v>
      </c>
      <c r="B583" t="s">
        <v>21</v>
      </c>
      <c r="E583" s="176" t="s">
        <v>25</v>
      </c>
      <c r="F583" s="267"/>
      <c r="G583" s="267"/>
      <c r="H583" s="267"/>
      <c r="I583" s="267"/>
      <c r="J583" s="267"/>
      <c r="K583" s="267"/>
      <c r="L583" s="267"/>
      <c r="M583" s="267"/>
      <c r="N583" s="268"/>
      <c r="O583" s="269"/>
      <c r="P583" s="267"/>
      <c r="Q583" s="268"/>
    </row>
    <row r="584" spans="1:17">
      <c r="A584">
        <v>1412000028</v>
      </c>
      <c r="B584" t="s">
        <v>21</v>
      </c>
      <c r="E584" s="312" t="s">
        <v>106</v>
      </c>
      <c r="F584" s="300">
        <v>12</v>
      </c>
      <c r="G584" s="300">
        <v>12</v>
      </c>
      <c r="H584" s="300">
        <v>12</v>
      </c>
      <c r="I584" s="300">
        <v>12</v>
      </c>
      <c r="J584" s="300">
        <v>12</v>
      </c>
      <c r="K584" s="300">
        <v>12</v>
      </c>
      <c r="L584" s="300">
        <v>12</v>
      </c>
      <c r="M584" s="300">
        <v>12</v>
      </c>
      <c r="N584" s="301">
        <v>12</v>
      </c>
      <c r="O584" s="302">
        <v>12</v>
      </c>
      <c r="P584" s="300">
        <v>12</v>
      </c>
      <c r="Q584" s="301">
        <v>12</v>
      </c>
    </row>
    <row r="585" spans="1:17">
      <c r="A585">
        <v>1412000028</v>
      </c>
      <c r="B585" t="s">
        <v>21</v>
      </c>
      <c r="E585" s="314" t="s">
        <v>158</v>
      </c>
      <c r="F585" s="303"/>
      <c r="G585" s="303"/>
      <c r="H585" s="303"/>
      <c r="I585" s="303"/>
      <c r="J585" s="303"/>
      <c r="K585" s="303"/>
      <c r="L585" s="303"/>
      <c r="M585" s="303"/>
      <c r="N585" s="304"/>
      <c r="O585" s="305"/>
      <c r="P585" s="303"/>
      <c r="Q585" s="304"/>
    </row>
    <row r="586" spans="1:17">
      <c r="A586">
        <v>1412000028</v>
      </c>
      <c r="B586" t="s">
        <v>21</v>
      </c>
      <c r="E586" s="177" t="s">
        <v>26</v>
      </c>
      <c r="F586" s="270">
        <v>12</v>
      </c>
      <c r="G586" s="270">
        <v>12</v>
      </c>
      <c r="H586" s="270">
        <v>12</v>
      </c>
      <c r="I586" s="270">
        <v>12</v>
      </c>
      <c r="J586" s="270">
        <v>12</v>
      </c>
      <c r="K586" s="270">
        <v>12</v>
      </c>
      <c r="L586" s="271">
        <v>12</v>
      </c>
      <c r="M586" s="270">
        <v>12</v>
      </c>
      <c r="N586" s="272">
        <v>12</v>
      </c>
      <c r="O586" s="271">
        <v>12</v>
      </c>
      <c r="P586" s="270">
        <v>12</v>
      </c>
      <c r="Q586" s="272">
        <v>12</v>
      </c>
    </row>
    <row r="587" spans="1:17" ht="15" thickBot="1">
      <c r="A587">
        <v>1412000028</v>
      </c>
      <c r="B587" t="s">
        <v>21</v>
      </c>
      <c r="E587" s="178" t="s">
        <v>27</v>
      </c>
      <c r="F587" s="273">
        <v>12</v>
      </c>
      <c r="G587" s="273">
        <v>12</v>
      </c>
      <c r="H587" s="273">
        <v>12</v>
      </c>
      <c r="I587" s="273">
        <v>12</v>
      </c>
      <c r="J587" s="273">
        <v>12</v>
      </c>
      <c r="K587" s="273">
        <v>12</v>
      </c>
      <c r="L587" s="274">
        <v>12</v>
      </c>
      <c r="M587" s="273">
        <v>12</v>
      </c>
      <c r="N587" s="275">
        <v>12</v>
      </c>
      <c r="O587" s="274">
        <v>12</v>
      </c>
      <c r="P587" s="273">
        <v>12</v>
      </c>
      <c r="Q587" s="275">
        <v>12</v>
      </c>
    </row>
    <row r="588" spans="1:17" ht="15" thickBot="1">
      <c r="A588">
        <v>1412000028</v>
      </c>
      <c r="B588" t="s">
        <v>21</v>
      </c>
      <c r="F588" s="276"/>
      <c r="G588" s="276"/>
      <c r="H588" s="276"/>
      <c r="I588" s="276"/>
      <c r="J588" s="276"/>
      <c r="K588" s="276"/>
      <c r="L588" s="276"/>
      <c r="M588" s="276"/>
      <c r="N588" s="276"/>
      <c r="O588" s="276"/>
      <c r="P588" s="276"/>
      <c r="Q588" s="276"/>
    </row>
    <row r="589" spans="1:17">
      <c r="A589">
        <v>1412000028</v>
      </c>
      <c r="B589" t="s">
        <v>21</v>
      </c>
      <c r="E589" s="220" t="s">
        <v>28</v>
      </c>
      <c r="F589" s="277"/>
      <c r="G589" s="277"/>
      <c r="H589" s="277"/>
      <c r="I589" s="277"/>
      <c r="J589" s="277"/>
      <c r="K589" s="277"/>
      <c r="L589" s="277"/>
      <c r="M589" s="277"/>
      <c r="N589" s="278"/>
      <c r="O589" s="277"/>
      <c r="P589" s="277"/>
      <c r="Q589" s="278"/>
    </row>
    <row r="590" spans="1:17">
      <c r="A590">
        <v>1412000028</v>
      </c>
      <c r="B590" t="s">
        <v>21</v>
      </c>
      <c r="E590" s="176" t="s">
        <v>25</v>
      </c>
      <c r="F590" s="279"/>
      <c r="G590" s="279"/>
      <c r="H590" s="279"/>
      <c r="I590" s="279"/>
      <c r="J590" s="279"/>
      <c r="K590" s="279"/>
      <c r="L590" s="279"/>
      <c r="M590" s="279"/>
      <c r="N590" s="280"/>
      <c r="O590" s="281"/>
      <c r="P590" s="279"/>
      <c r="Q590" s="280"/>
    </row>
    <row r="591" spans="1:17">
      <c r="A591">
        <v>1412000028</v>
      </c>
      <c r="B591" t="s">
        <v>21</v>
      </c>
      <c r="E591" s="312" t="s">
        <v>106</v>
      </c>
      <c r="F591" s="306">
        <v>1785</v>
      </c>
      <c r="G591" s="306">
        <v>1810.5</v>
      </c>
      <c r="H591" s="306">
        <v>2040</v>
      </c>
      <c r="I591" s="306">
        <v>2244</v>
      </c>
      <c r="J591" s="306">
        <v>1997.5</v>
      </c>
      <c r="K591" s="306">
        <v>1776.5</v>
      </c>
      <c r="L591" s="306">
        <v>2244</v>
      </c>
      <c r="M591" s="306">
        <v>1938</v>
      </c>
      <c r="N591" s="307">
        <v>2142</v>
      </c>
      <c r="O591" s="308">
        <v>1921</v>
      </c>
      <c r="P591" s="306">
        <v>1487.5</v>
      </c>
      <c r="Q591" s="307">
        <v>1997.5</v>
      </c>
    </row>
    <row r="592" spans="1:17">
      <c r="A592">
        <v>1412000028</v>
      </c>
      <c r="B592" t="s">
        <v>21</v>
      </c>
      <c r="E592" s="314" t="s">
        <v>158</v>
      </c>
      <c r="F592" s="309"/>
      <c r="G592" s="309"/>
      <c r="H592" s="309"/>
      <c r="I592" s="309"/>
      <c r="J592" s="309"/>
      <c r="K592" s="309"/>
      <c r="L592" s="309"/>
      <c r="M592" s="309"/>
      <c r="N592" s="310"/>
      <c r="O592" s="311"/>
      <c r="P592" s="309"/>
      <c r="Q592" s="310"/>
    </row>
    <row r="593" spans="1:17">
      <c r="A593">
        <v>1412000028</v>
      </c>
      <c r="B593" t="s">
        <v>21</v>
      </c>
      <c r="E593" s="177" t="s">
        <v>26</v>
      </c>
      <c r="F593" s="282">
        <v>1785</v>
      </c>
      <c r="G593" s="282">
        <v>1810.5</v>
      </c>
      <c r="H593" s="282">
        <v>2040</v>
      </c>
      <c r="I593" s="282">
        <v>2244</v>
      </c>
      <c r="J593" s="282">
        <v>1997.5</v>
      </c>
      <c r="K593" s="282">
        <v>1776.5</v>
      </c>
      <c r="L593" s="283">
        <v>2244</v>
      </c>
      <c r="M593" s="282">
        <v>1938</v>
      </c>
      <c r="N593" s="284">
        <v>2142</v>
      </c>
      <c r="O593" s="283">
        <v>1921</v>
      </c>
      <c r="P593" s="282">
        <v>1487.5</v>
      </c>
      <c r="Q593" s="284">
        <v>1997.5</v>
      </c>
    </row>
    <row r="594" spans="1:17" ht="15" thickBot="1">
      <c r="A594">
        <v>1412000028</v>
      </c>
      <c r="B594" t="s">
        <v>21</v>
      </c>
      <c r="E594" s="178" t="s">
        <v>44</v>
      </c>
      <c r="F594" s="285">
        <v>1785</v>
      </c>
      <c r="G594" s="285">
        <v>1810.5</v>
      </c>
      <c r="H594" s="285">
        <v>2040</v>
      </c>
      <c r="I594" s="285">
        <v>2244</v>
      </c>
      <c r="J594" s="285">
        <v>1997.5</v>
      </c>
      <c r="K594" s="285">
        <v>1776.5</v>
      </c>
      <c r="L594" s="286">
        <v>2244</v>
      </c>
      <c r="M594" s="285">
        <v>1938</v>
      </c>
      <c r="N594" s="287">
        <v>2142</v>
      </c>
      <c r="O594" s="286">
        <v>1921</v>
      </c>
      <c r="P594" s="285">
        <v>1487.5</v>
      </c>
      <c r="Q594" s="287">
        <v>1997.5</v>
      </c>
    </row>
    <row r="595" spans="1:17" ht="15" thickBot="1">
      <c r="A595">
        <v>1412000028</v>
      </c>
      <c r="B595" t="s">
        <v>21</v>
      </c>
      <c r="F595" s="288"/>
      <c r="G595" s="288"/>
      <c r="H595" s="288"/>
      <c r="I595" s="288"/>
      <c r="J595" s="288"/>
      <c r="K595" s="288"/>
      <c r="L595" s="288"/>
      <c r="M595" s="288"/>
      <c r="N595" s="288"/>
      <c r="O595" s="288"/>
      <c r="P595" s="288"/>
      <c r="Q595" s="288"/>
    </row>
    <row r="596" spans="1:17">
      <c r="A596">
        <v>1412000028</v>
      </c>
      <c r="B596" t="s">
        <v>21</v>
      </c>
      <c r="E596" s="220" t="s">
        <v>29</v>
      </c>
      <c r="F596" s="289"/>
      <c r="G596" s="289"/>
      <c r="H596" s="289"/>
      <c r="I596" s="289"/>
      <c r="J596" s="289"/>
      <c r="K596" s="289"/>
      <c r="L596" s="289"/>
      <c r="M596" s="289"/>
      <c r="N596" s="290"/>
      <c r="O596" s="289"/>
      <c r="P596" s="289"/>
      <c r="Q596" s="278"/>
    </row>
    <row r="597" spans="1:17">
      <c r="A597">
        <v>1412000028</v>
      </c>
      <c r="B597" t="s">
        <v>21</v>
      </c>
      <c r="E597" s="176" t="s">
        <v>25</v>
      </c>
      <c r="F597" s="279"/>
      <c r="G597" s="279"/>
      <c r="H597" s="279"/>
      <c r="I597" s="279"/>
      <c r="J597" s="279"/>
      <c r="K597" s="279"/>
      <c r="L597" s="279"/>
      <c r="M597" s="279"/>
      <c r="N597" s="280"/>
      <c r="O597" s="281"/>
      <c r="P597" s="279"/>
      <c r="Q597" s="280"/>
    </row>
    <row r="598" spans="1:17">
      <c r="A598">
        <v>1412000028</v>
      </c>
      <c r="B598" t="s">
        <v>21</v>
      </c>
      <c r="E598" s="312" t="s">
        <v>106</v>
      </c>
      <c r="F598" s="306">
        <v>46</v>
      </c>
      <c r="G598" s="306">
        <v>66</v>
      </c>
      <c r="H598" s="306">
        <v>80</v>
      </c>
      <c r="I598" s="306">
        <v>88</v>
      </c>
      <c r="J598" s="306">
        <v>122.5</v>
      </c>
      <c r="K598" s="306">
        <v>68</v>
      </c>
      <c r="L598" s="306">
        <v>88</v>
      </c>
      <c r="M598" s="306">
        <v>76</v>
      </c>
      <c r="N598" s="307">
        <v>84</v>
      </c>
      <c r="O598" s="308">
        <v>72</v>
      </c>
      <c r="P598" s="306">
        <v>60</v>
      </c>
      <c r="Q598" s="307">
        <v>122.5</v>
      </c>
    </row>
    <row r="599" spans="1:17">
      <c r="A599">
        <v>1412000028</v>
      </c>
      <c r="B599" t="s">
        <v>21</v>
      </c>
      <c r="E599" s="314" t="s">
        <v>158</v>
      </c>
      <c r="F599" s="309"/>
      <c r="G599" s="309"/>
      <c r="H599" s="309"/>
      <c r="I599" s="309"/>
      <c r="J599" s="309"/>
      <c r="K599" s="309"/>
      <c r="L599" s="309"/>
      <c r="M599" s="309"/>
      <c r="N599" s="310"/>
      <c r="O599" s="311"/>
      <c r="P599" s="309"/>
      <c r="Q599" s="310"/>
    </row>
    <row r="600" spans="1:17">
      <c r="A600">
        <v>1412000028</v>
      </c>
      <c r="B600" t="s">
        <v>21</v>
      </c>
      <c r="E600" s="177" t="s">
        <v>26</v>
      </c>
      <c r="F600" s="282">
        <v>46</v>
      </c>
      <c r="G600" s="282">
        <v>66</v>
      </c>
      <c r="H600" s="282">
        <v>80</v>
      </c>
      <c r="I600" s="282">
        <v>88</v>
      </c>
      <c r="J600" s="282">
        <v>122.5</v>
      </c>
      <c r="K600" s="282">
        <v>68</v>
      </c>
      <c r="L600" s="283">
        <v>88</v>
      </c>
      <c r="M600" s="282">
        <v>76</v>
      </c>
      <c r="N600" s="284">
        <v>84</v>
      </c>
      <c r="O600" s="283">
        <v>72</v>
      </c>
      <c r="P600" s="282">
        <v>60</v>
      </c>
      <c r="Q600" s="284">
        <v>122.5</v>
      </c>
    </row>
    <row r="601" spans="1:17" ht="15" thickBot="1">
      <c r="A601">
        <v>1412000028</v>
      </c>
      <c r="B601" t="s">
        <v>21</v>
      </c>
      <c r="E601" s="178" t="s">
        <v>45</v>
      </c>
      <c r="F601" s="285">
        <v>46</v>
      </c>
      <c r="G601" s="285">
        <v>66</v>
      </c>
      <c r="H601" s="285">
        <v>80</v>
      </c>
      <c r="I601" s="285">
        <v>88</v>
      </c>
      <c r="J601" s="285">
        <v>122.5</v>
      </c>
      <c r="K601" s="285">
        <v>68</v>
      </c>
      <c r="L601" s="286">
        <v>88</v>
      </c>
      <c r="M601" s="285">
        <v>76</v>
      </c>
      <c r="N601" s="287">
        <v>84</v>
      </c>
      <c r="O601" s="286">
        <v>72</v>
      </c>
      <c r="P601" s="285">
        <v>60</v>
      </c>
      <c r="Q601" s="287">
        <v>122.5</v>
      </c>
    </row>
    <row r="602" spans="1:17">
      <c r="A602">
        <v>1412000029</v>
      </c>
      <c r="B602" t="s">
        <v>22</v>
      </c>
      <c r="E602" s="220" t="s">
        <v>40</v>
      </c>
      <c r="F602" s="201"/>
      <c r="G602" s="201"/>
      <c r="H602" s="201"/>
      <c r="I602" s="201"/>
      <c r="J602" s="201"/>
      <c r="K602" s="201"/>
      <c r="L602" s="201"/>
      <c r="M602" s="201"/>
      <c r="N602" s="202"/>
      <c r="O602" s="201"/>
      <c r="P602" s="201"/>
      <c r="Q602" s="202"/>
    </row>
    <row r="603" spans="1:17">
      <c r="A603">
        <v>1412000029</v>
      </c>
      <c r="B603" t="s">
        <v>22</v>
      </c>
      <c r="E603" s="176" t="s">
        <v>25</v>
      </c>
      <c r="F603" s="267">
        <v>1</v>
      </c>
      <c r="G603" s="267">
        <v>1</v>
      </c>
      <c r="H603" s="267">
        <v>1</v>
      </c>
      <c r="I603" s="267">
        <v>1</v>
      </c>
      <c r="J603" s="267">
        <v>1</v>
      </c>
      <c r="K603" s="267">
        <v>1</v>
      </c>
      <c r="L603" s="267">
        <v>1</v>
      </c>
      <c r="M603" s="267">
        <v>1</v>
      </c>
      <c r="N603" s="268">
        <v>1</v>
      </c>
      <c r="O603" s="269">
        <v>1</v>
      </c>
      <c r="P603" s="267">
        <v>1</v>
      </c>
      <c r="Q603" s="268">
        <v>1</v>
      </c>
    </row>
    <row r="604" spans="1:17">
      <c r="A604">
        <v>1412000029</v>
      </c>
      <c r="B604" t="s">
        <v>22</v>
      </c>
      <c r="E604" s="312" t="s">
        <v>106</v>
      </c>
      <c r="F604" s="300">
        <v>8</v>
      </c>
      <c r="G604" s="300">
        <v>8</v>
      </c>
      <c r="H604" s="300">
        <v>8</v>
      </c>
      <c r="I604" s="300">
        <v>8</v>
      </c>
      <c r="J604" s="300">
        <v>8</v>
      </c>
      <c r="K604" s="300">
        <v>8</v>
      </c>
      <c r="L604" s="300">
        <v>8</v>
      </c>
      <c r="M604" s="300">
        <v>8</v>
      </c>
      <c r="N604" s="301">
        <v>8</v>
      </c>
      <c r="O604" s="302">
        <v>8</v>
      </c>
      <c r="P604" s="300">
        <v>8</v>
      </c>
      <c r="Q604" s="301">
        <v>8</v>
      </c>
    </row>
    <row r="605" spans="1:17">
      <c r="A605">
        <v>1412000029</v>
      </c>
      <c r="B605" t="s">
        <v>22</v>
      </c>
      <c r="E605" s="314" t="s">
        <v>158</v>
      </c>
      <c r="F605" s="303">
        <v>0</v>
      </c>
      <c r="G605" s="303">
        <v>0</v>
      </c>
      <c r="H605" s="303">
        <v>0</v>
      </c>
      <c r="I605" s="303">
        <v>0</v>
      </c>
      <c r="J605" s="303">
        <v>0</v>
      </c>
      <c r="K605" s="303">
        <v>0</v>
      </c>
      <c r="L605" s="303">
        <v>0</v>
      </c>
      <c r="M605" s="303">
        <v>0</v>
      </c>
      <c r="N605" s="304">
        <v>0</v>
      </c>
      <c r="O605" s="305">
        <v>0</v>
      </c>
      <c r="P605" s="303">
        <v>0</v>
      </c>
      <c r="Q605" s="304">
        <v>0</v>
      </c>
    </row>
    <row r="606" spans="1:17">
      <c r="A606">
        <v>1412000029</v>
      </c>
      <c r="B606" t="s">
        <v>22</v>
      </c>
      <c r="E606" s="177" t="s">
        <v>26</v>
      </c>
      <c r="F606" s="270">
        <v>8</v>
      </c>
      <c r="G606" s="270">
        <v>8</v>
      </c>
      <c r="H606" s="270">
        <v>8</v>
      </c>
      <c r="I606" s="270">
        <v>8</v>
      </c>
      <c r="J606" s="270">
        <v>8</v>
      </c>
      <c r="K606" s="270">
        <v>8</v>
      </c>
      <c r="L606" s="271">
        <v>8</v>
      </c>
      <c r="M606" s="270">
        <v>8</v>
      </c>
      <c r="N606" s="272">
        <v>8</v>
      </c>
      <c r="O606" s="271">
        <v>8</v>
      </c>
      <c r="P606" s="270">
        <v>8</v>
      </c>
      <c r="Q606" s="272">
        <v>8</v>
      </c>
    </row>
    <row r="607" spans="1:17" ht="15" thickBot="1">
      <c r="A607">
        <v>1412000029</v>
      </c>
      <c r="B607" t="s">
        <v>22</v>
      </c>
      <c r="E607" s="178" t="s">
        <v>27</v>
      </c>
      <c r="F607" s="273">
        <v>9</v>
      </c>
      <c r="G607" s="273">
        <v>9</v>
      </c>
      <c r="H607" s="273">
        <v>9</v>
      </c>
      <c r="I607" s="273">
        <v>9</v>
      </c>
      <c r="J607" s="273">
        <v>9</v>
      </c>
      <c r="K607" s="273">
        <v>9</v>
      </c>
      <c r="L607" s="274">
        <v>9</v>
      </c>
      <c r="M607" s="273">
        <v>9</v>
      </c>
      <c r="N607" s="275">
        <v>9</v>
      </c>
      <c r="O607" s="274">
        <v>9</v>
      </c>
      <c r="P607" s="273">
        <v>9</v>
      </c>
      <c r="Q607" s="275">
        <v>9</v>
      </c>
    </row>
    <row r="608" spans="1:17" ht="15" thickBot="1">
      <c r="A608">
        <v>1412000029</v>
      </c>
      <c r="B608" t="s">
        <v>22</v>
      </c>
      <c r="F608" s="276"/>
      <c r="G608" s="276"/>
      <c r="H608" s="276"/>
      <c r="I608" s="276"/>
      <c r="J608" s="276"/>
      <c r="K608" s="276"/>
      <c r="L608" s="276"/>
      <c r="M608" s="276"/>
      <c r="N608" s="276"/>
      <c r="O608" s="276"/>
      <c r="P608" s="276"/>
      <c r="Q608" s="276"/>
    </row>
    <row r="609" spans="1:17">
      <c r="A609">
        <v>1412000029</v>
      </c>
      <c r="B609" t="s">
        <v>22</v>
      </c>
      <c r="E609" s="220" t="s">
        <v>28</v>
      </c>
      <c r="F609" s="277"/>
      <c r="G609" s="277"/>
      <c r="H609" s="277"/>
      <c r="I609" s="277"/>
      <c r="J609" s="277"/>
      <c r="K609" s="277"/>
      <c r="L609" s="277"/>
      <c r="M609" s="277"/>
      <c r="N609" s="278"/>
      <c r="O609" s="277"/>
      <c r="P609" s="277"/>
      <c r="Q609" s="278"/>
    </row>
    <row r="610" spans="1:17">
      <c r="A610">
        <v>1412000029</v>
      </c>
      <c r="B610" t="s">
        <v>22</v>
      </c>
      <c r="E610" s="176" t="s">
        <v>25</v>
      </c>
      <c r="F610" s="279">
        <v>170</v>
      </c>
      <c r="G610" s="279">
        <v>161.5</v>
      </c>
      <c r="H610" s="279">
        <v>178.5</v>
      </c>
      <c r="I610" s="279">
        <v>195.5</v>
      </c>
      <c r="J610" s="279">
        <v>127.5</v>
      </c>
      <c r="K610" s="279">
        <v>161.5</v>
      </c>
      <c r="L610" s="279">
        <v>195.5</v>
      </c>
      <c r="M610" s="279">
        <v>170</v>
      </c>
      <c r="N610" s="280">
        <v>187</v>
      </c>
      <c r="O610" s="281">
        <v>170</v>
      </c>
      <c r="P610" s="279">
        <v>110.5</v>
      </c>
      <c r="Q610" s="280">
        <v>170</v>
      </c>
    </row>
    <row r="611" spans="1:17">
      <c r="A611">
        <v>1412000029</v>
      </c>
      <c r="B611" t="s">
        <v>22</v>
      </c>
      <c r="E611" s="312" t="s">
        <v>106</v>
      </c>
      <c r="F611" s="306">
        <v>1287.75</v>
      </c>
      <c r="G611" s="306">
        <v>1224</v>
      </c>
      <c r="H611" s="306">
        <v>1347.25</v>
      </c>
      <c r="I611" s="306">
        <v>1496</v>
      </c>
      <c r="J611" s="306">
        <v>1351.5</v>
      </c>
      <c r="K611" s="306">
        <v>1224</v>
      </c>
      <c r="L611" s="306">
        <v>1483.25</v>
      </c>
      <c r="M611" s="306">
        <v>1292</v>
      </c>
      <c r="N611" s="307">
        <v>1428</v>
      </c>
      <c r="O611" s="308">
        <v>1292</v>
      </c>
      <c r="P611" s="306">
        <v>1020</v>
      </c>
      <c r="Q611" s="307">
        <v>1360</v>
      </c>
    </row>
    <row r="612" spans="1:17">
      <c r="A612">
        <v>1412000029</v>
      </c>
      <c r="B612" t="s">
        <v>22</v>
      </c>
      <c r="E612" s="314" t="s">
        <v>158</v>
      </c>
      <c r="F612" s="309">
        <v>0</v>
      </c>
      <c r="G612" s="309">
        <v>0</v>
      </c>
      <c r="H612" s="309">
        <v>0</v>
      </c>
      <c r="I612" s="309">
        <v>0</v>
      </c>
      <c r="J612" s="309">
        <v>0</v>
      </c>
      <c r="K612" s="309">
        <v>0</v>
      </c>
      <c r="L612" s="309">
        <v>0</v>
      </c>
      <c r="M612" s="309">
        <v>0</v>
      </c>
      <c r="N612" s="310">
        <v>0</v>
      </c>
      <c r="O612" s="311">
        <v>0</v>
      </c>
      <c r="P612" s="309">
        <v>0</v>
      </c>
      <c r="Q612" s="310">
        <v>0</v>
      </c>
    </row>
    <row r="613" spans="1:17">
      <c r="A613">
        <v>1412000029</v>
      </c>
      <c r="B613" t="s">
        <v>22</v>
      </c>
      <c r="E613" s="177" t="s">
        <v>26</v>
      </c>
      <c r="F613" s="282">
        <v>1287.75</v>
      </c>
      <c r="G613" s="282">
        <v>1224</v>
      </c>
      <c r="H613" s="282">
        <v>1347.25</v>
      </c>
      <c r="I613" s="282">
        <v>1496</v>
      </c>
      <c r="J613" s="282">
        <v>1351.5</v>
      </c>
      <c r="K613" s="282">
        <v>1224</v>
      </c>
      <c r="L613" s="283">
        <v>1483.25</v>
      </c>
      <c r="M613" s="282">
        <v>1292</v>
      </c>
      <c r="N613" s="284">
        <v>1428</v>
      </c>
      <c r="O613" s="283">
        <v>1292</v>
      </c>
      <c r="P613" s="282">
        <v>1020</v>
      </c>
      <c r="Q613" s="284">
        <v>1360</v>
      </c>
    </row>
    <row r="614" spans="1:17" ht="15" thickBot="1">
      <c r="A614">
        <v>1412000029</v>
      </c>
      <c r="B614" t="s">
        <v>22</v>
      </c>
      <c r="E614" s="178" t="s">
        <v>44</v>
      </c>
      <c r="F614" s="285">
        <v>1457.75</v>
      </c>
      <c r="G614" s="285">
        <v>1385.5</v>
      </c>
      <c r="H614" s="285">
        <v>1525.75</v>
      </c>
      <c r="I614" s="285">
        <v>1691.5</v>
      </c>
      <c r="J614" s="285">
        <v>1479</v>
      </c>
      <c r="K614" s="285">
        <v>1385.5</v>
      </c>
      <c r="L614" s="286">
        <v>1678.75</v>
      </c>
      <c r="M614" s="285">
        <v>1462</v>
      </c>
      <c r="N614" s="287">
        <v>1615</v>
      </c>
      <c r="O614" s="286">
        <v>1462</v>
      </c>
      <c r="P614" s="285">
        <v>1130.5</v>
      </c>
      <c r="Q614" s="287">
        <v>1530</v>
      </c>
    </row>
    <row r="615" spans="1:17" ht="15" thickBot="1">
      <c r="A615">
        <v>1412000029</v>
      </c>
      <c r="B615" t="s">
        <v>22</v>
      </c>
      <c r="F615" s="288"/>
      <c r="G615" s="288"/>
      <c r="H615" s="288"/>
      <c r="I615" s="288"/>
      <c r="J615" s="288"/>
      <c r="K615" s="288"/>
      <c r="L615" s="288"/>
      <c r="M615" s="288"/>
      <c r="N615" s="288"/>
      <c r="O615" s="288"/>
      <c r="P615" s="288"/>
      <c r="Q615" s="288"/>
    </row>
    <row r="616" spans="1:17">
      <c r="A616">
        <v>1412000029</v>
      </c>
      <c r="B616" t="s">
        <v>22</v>
      </c>
      <c r="E616" s="220" t="s">
        <v>29</v>
      </c>
      <c r="F616" s="289"/>
      <c r="G616" s="289"/>
      <c r="H616" s="289"/>
      <c r="I616" s="289"/>
      <c r="J616" s="289"/>
      <c r="K616" s="289"/>
      <c r="L616" s="289"/>
      <c r="M616" s="289"/>
      <c r="N616" s="290"/>
      <c r="O616" s="289"/>
      <c r="P616" s="289"/>
      <c r="Q616" s="278"/>
    </row>
    <row r="617" spans="1:17">
      <c r="A617">
        <v>1412000029</v>
      </c>
      <c r="B617" t="s">
        <v>22</v>
      </c>
      <c r="E617" s="176" t="s">
        <v>25</v>
      </c>
      <c r="F617" s="279">
        <v>40</v>
      </c>
      <c r="G617" s="279">
        <v>38</v>
      </c>
      <c r="H617" s="279">
        <v>42</v>
      </c>
      <c r="I617" s="279">
        <v>46</v>
      </c>
      <c r="J617" s="279">
        <v>30</v>
      </c>
      <c r="K617" s="279">
        <v>38</v>
      </c>
      <c r="L617" s="279">
        <v>46</v>
      </c>
      <c r="M617" s="279">
        <v>40</v>
      </c>
      <c r="N617" s="280">
        <v>44</v>
      </c>
      <c r="O617" s="281">
        <v>40</v>
      </c>
      <c r="P617" s="279">
        <v>26</v>
      </c>
      <c r="Q617" s="280">
        <v>40</v>
      </c>
    </row>
    <row r="618" spans="1:17">
      <c r="A618">
        <v>1412000029</v>
      </c>
      <c r="B618" t="s">
        <v>22</v>
      </c>
      <c r="E618" s="312" t="s">
        <v>106</v>
      </c>
      <c r="F618" s="306">
        <v>38</v>
      </c>
      <c r="G618" s="306">
        <v>36</v>
      </c>
      <c r="H618" s="306">
        <v>38</v>
      </c>
      <c r="I618" s="306">
        <v>44</v>
      </c>
      <c r="J618" s="306">
        <v>75</v>
      </c>
      <c r="K618" s="306">
        <v>36</v>
      </c>
      <c r="L618" s="306">
        <v>42</v>
      </c>
      <c r="M618" s="306">
        <v>38</v>
      </c>
      <c r="N618" s="307">
        <v>42</v>
      </c>
      <c r="O618" s="308">
        <v>38</v>
      </c>
      <c r="P618" s="306">
        <v>30</v>
      </c>
      <c r="Q618" s="307">
        <v>75</v>
      </c>
    </row>
    <row r="619" spans="1:17">
      <c r="A619">
        <v>1412000029</v>
      </c>
      <c r="B619" t="s">
        <v>22</v>
      </c>
      <c r="E619" s="314" t="s">
        <v>158</v>
      </c>
      <c r="F619" s="309">
        <v>0</v>
      </c>
      <c r="G619" s="309">
        <v>0</v>
      </c>
      <c r="H619" s="309">
        <v>0</v>
      </c>
      <c r="I619" s="309">
        <v>0</v>
      </c>
      <c r="J619" s="309">
        <v>0</v>
      </c>
      <c r="K619" s="309">
        <v>0</v>
      </c>
      <c r="L619" s="309">
        <v>0</v>
      </c>
      <c r="M619" s="309">
        <v>0</v>
      </c>
      <c r="N619" s="310">
        <v>0</v>
      </c>
      <c r="O619" s="311">
        <v>0</v>
      </c>
      <c r="P619" s="309">
        <v>0</v>
      </c>
      <c r="Q619" s="310">
        <v>0</v>
      </c>
    </row>
    <row r="620" spans="1:17">
      <c r="A620">
        <v>1412000029</v>
      </c>
      <c r="B620" t="s">
        <v>22</v>
      </c>
      <c r="E620" s="177" t="s">
        <v>26</v>
      </c>
      <c r="F620" s="282">
        <v>38</v>
      </c>
      <c r="G620" s="282">
        <v>36</v>
      </c>
      <c r="H620" s="282">
        <v>38</v>
      </c>
      <c r="I620" s="282">
        <v>44</v>
      </c>
      <c r="J620" s="282">
        <v>75</v>
      </c>
      <c r="K620" s="282">
        <v>36</v>
      </c>
      <c r="L620" s="283">
        <v>42</v>
      </c>
      <c r="M620" s="282">
        <v>38</v>
      </c>
      <c r="N620" s="284">
        <v>42</v>
      </c>
      <c r="O620" s="283">
        <v>38</v>
      </c>
      <c r="P620" s="282">
        <v>30</v>
      </c>
      <c r="Q620" s="284">
        <v>75</v>
      </c>
    </row>
    <row r="621" spans="1:17" ht="15" thickBot="1">
      <c r="A621">
        <v>1412000029</v>
      </c>
      <c r="B621" t="s">
        <v>22</v>
      </c>
      <c r="E621" s="178" t="s">
        <v>45</v>
      </c>
      <c r="F621" s="285">
        <v>78</v>
      </c>
      <c r="G621" s="285">
        <v>74</v>
      </c>
      <c r="H621" s="285">
        <v>80</v>
      </c>
      <c r="I621" s="285">
        <v>90</v>
      </c>
      <c r="J621" s="285">
        <v>105</v>
      </c>
      <c r="K621" s="285">
        <v>74</v>
      </c>
      <c r="L621" s="286">
        <v>88</v>
      </c>
      <c r="M621" s="285">
        <v>78</v>
      </c>
      <c r="N621" s="287">
        <v>86</v>
      </c>
      <c r="O621" s="286">
        <v>78</v>
      </c>
      <c r="P621" s="285">
        <v>56</v>
      </c>
      <c r="Q621" s="287">
        <v>115</v>
      </c>
    </row>
    <row r="622" spans="1:17">
      <c r="A622">
        <v>1412000030</v>
      </c>
      <c r="B622" t="s">
        <v>68</v>
      </c>
      <c r="E622" s="220" t="s">
        <v>40</v>
      </c>
      <c r="F622" s="201"/>
      <c r="G622" s="201"/>
      <c r="H622" s="201"/>
      <c r="I622" s="201"/>
      <c r="J622" s="201"/>
      <c r="K622" s="201"/>
      <c r="L622" s="201"/>
      <c r="M622" s="201"/>
      <c r="N622" s="202"/>
      <c r="O622" s="201"/>
      <c r="P622" s="201"/>
      <c r="Q622" s="202"/>
    </row>
    <row r="623" spans="1:17">
      <c r="A623">
        <v>1412000030</v>
      </c>
      <c r="B623" t="s">
        <v>68</v>
      </c>
      <c r="E623" s="176" t="s">
        <v>25</v>
      </c>
      <c r="F623" s="267">
        <v>1</v>
      </c>
      <c r="G623" s="267">
        <v>1</v>
      </c>
      <c r="H623" s="267">
        <v>1</v>
      </c>
      <c r="I623" s="267">
        <v>1</v>
      </c>
      <c r="J623" s="267">
        <v>1</v>
      </c>
      <c r="K623" s="267">
        <v>1</v>
      </c>
      <c r="L623" s="267">
        <v>1</v>
      </c>
      <c r="M623" s="267">
        <v>1</v>
      </c>
      <c r="N623" s="268">
        <v>1</v>
      </c>
      <c r="O623" s="269">
        <v>1</v>
      </c>
      <c r="P623" s="267">
        <v>1</v>
      </c>
      <c r="Q623" s="268">
        <v>1</v>
      </c>
    </row>
    <row r="624" spans="1:17">
      <c r="A624">
        <v>1412000030</v>
      </c>
      <c r="B624" t="s">
        <v>68</v>
      </c>
      <c r="E624" s="312" t="s">
        <v>106</v>
      </c>
      <c r="F624" s="300">
        <v>17</v>
      </c>
      <c r="G624" s="300">
        <v>17</v>
      </c>
      <c r="H624" s="300">
        <v>17</v>
      </c>
      <c r="I624" s="300">
        <v>17</v>
      </c>
      <c r="J624" s="300">
        <v>17</v>
      </c>
      <c r="K624" s="300">
        <v>17</v>
      </c>
      <c r="L624" s="300">
        <v>17</v>
      </c>
      <c r="M624" s="300">
        <v>17</v>
      </c>
      <c r="N624" s="301">
        <v>17</v>
      </c>
      <c r="O624" s="302">
        <v>17</v>
      </c>
      <c r="P624" s="300">
        <v>17</v>
      </c>
      <c r="Q624" s="301">
        <v>17</v>
      </c>
    </row>
    <row r="625" spans="1:17">
      <c r="A625">
        <v>1412000030</v>
      </c>
      <c r="B625" t="s">
        <v>68</v>
      </c>
      <c r="E625" s="314" t="s">
        <v>158</v>
      </c>
      <c r="F625" s="303"/>
      <c r="G625" s="303"/>
      <c r="H625" s="303"/>
      <c r="I625" s="303"/>
      <c r="J625" s="303"/>
      <c r="K625" s="303"/>
      <c r="L625" s="303"/>
      <c r="M625" s="303"/>
      <c r="N625" s="304"/>
      <c r="O625" s="305"/>
      <c r="P625" s="303"/>
      <c r="Q625" s="304"/>
    </row>
    <row r="626" spans="1:17">
      <c r="A626">
        <v>1412000030</v>
      </c>
      <c r="B626" t="s">
        <v>68</v>
      </c>
      <c r="E626" s="177" t="s">
        <v>26</v>
      </c>
      <c r="F626" s="270">
        <v>17</v>
      </c>
      <c r="G626" s="270">
        <v>17</v>
      </c>
      <c r="H626" s="270">
        <v>17</v>
      </c>
      <c r="I626" s="270">
        <v>17</v>
      </c>
      <c r="J626" s="270">
        <v>17</v>
      </c>
      <c r="K626" s="270">
        <v>17</v>
      </c>
      <c r="L626" s="271">
        <v>17</v>
      </c>
      <c r="M626" s="270">
        <v>17</v>
      </c>
      <c r="N626" s="272">
        <v>17</v>
      </c>
      <c r="O626" s="271">
        <v>17</v>
      </c>
      <c r="P626" s="270">
        <v>17</v>
      </c>
      <c r="Q626" s="272">
        <v>17</v>
      </c>
    </row>
    <row r="627" spans="1:17" ht="15" thickBot="1">
      <c r="A627">
        <v>1412000030</v>
      </c>
      <c r="B627" t="s">
        <v>68</v>
      </c>
      <c r="E627" s="178" t="s">
        <v>27</v>
      </c>
      <c r="F627" s="273">
        <v>18</v>
      </c>
      <c r="G627" s="273">
        <v>18</v>
      </c>
      <c r="H627" s="273">
        <v>18</v>
      </c>
      <c r="I627" s="273">
        <v>18</v>
      </c>
      <c r="J627" s="273">
        <v>18</v>
      </c>
      <c r="K627" s="273">
        <v>18</v>
      </c>
      <c r="L627" s="274">
        <v>18</v>
      </c>
      <c r="M627" s="273">
        <v>18</v>
      </c>
      <c r="N627" s="275">
        <v>18</v>
      </c>
      <c r="O627" s="274">
        <v>18</v>
      </c>
      <c r="P627" s="273">
        <v>18</v>
      </c>
      <c r="Q627" s="275">
        <v>18</v>
      </c>
    </row>
    <row r="628" spans="1:17" ht="15" thickBot="1">
      <c r="A628">
        <v>1412000030</v>
      </c>
      <c r="B628" t="s">
        <v>68</v>
      </c>
      <c r="F628" s="276"/>
      <c r="G628" s="276"/>
      <c r="H628" s="276"/>
      <c r="I628" s="276"/>
      <c r="J628" s="276"/>
      <c r="K628" s="276"/>
      <c r="L628" s="276"/>
      <c r="M628" s="276"/>
      <c r="N628" s="276"/>
      <c r="O628" s="276"/>
      <c r="P628" s="276"/>
      <c r="Q628" s="276"/>
    </row>
    <row r="629" spans="1:17">
      <c r="A629">
        <v>1412000030</v>
      </c>
      <c r="B629" t="s">
        <v>68</v>
      </c>
      <c r="E629" s="220" t="s">
        <v>28</v>
      </c>
      <c r="F629" s="277"/>
      <c r="G629" s="277"/>
      <c r="H629" s="277"/>
      <c r="I629" s="277"/>
      <c r="J629" s="277"/>
      <c r="K629" s="277"/>
      <c r="L629" s="277"/>
      <c r="M629" s="277"/>
      <c r="N629" s="278"/>
      <c r="O629" s="277"/>
      <c r="P629" s="277"/>
      <c r="Q629" s="278"/>
    </row>
    <row r="630" spans="1:17">
      <c r="A630">
        <v>1412000030</v>
      </c>
      <c r="B630" t="s">
        <v>68</v>
      </c>
      <c r="E630" s="176" t="s">
        <v>25</v>
      </c>
      <c r="F630" s="279">
        <v>170</v>
      </c>
      <c r="G630" s="279">
        <v>161.5</v>
      </c>
      <c r="H630" s="279">
        <v>178.5</v>
      </c>
      <c r="I630" s="279">
        <v>195.5</v>
      </c>
      <c r="J630" s="279">
        <v>170</v>
      </c>
      <c r="K630" s="279">
        <v>161.5</v>
      </c>
      <c r="L630" s="279">
        <v>195.5</v>
      </c>
      <c r="M630" s="279">
        <v>170</v>
      </c>
      <c r="N630" s="280">
        <v>187</v>
      </c>
      <c r="O630" s="281">
        <v>153</v>
      </c>
      <c r="P630" s="279">
        <v>127.5</v>
      </c>
      <c r="Q630" s="280">
        <v>170</v>
      </c>
    </row>
    <row r="631" spans="1:17">
      <c r="A631">
        <v>1412000030</v>
      </c>
      <c r="B631" t="s">
        <v>68</v>
      </c>
      <c r="E631" s="312" t="s">
        <v>106</v>
      </c>
      <c r="F631" s="306">
        <v>2805</v>
      </c>
      <c r="G631" s="306">
        <v>2507.5</v>
      </c>
      <c r="H631" s="306">
        <v>2779.5</v>
      </c>
      <c r="I631" s="306">
        <v>3051.5</v>
      </c>
      <c r="J631" s="306">
        <v>2643.5</v>
      </c>
      <c r="K631" s="306">
        <v>2507.5</v>
      </c>
      <c r="L631" s="306">
        <v>3051.5</v>
      </c>
      <c r="M631" s="306">
        <v>2870</v>
      </c>
      <c r="N631" s="307">
        <v>3046.5</v>
      </c>
      <c r="O631" s="308">
        <v>2827.5</v>
      </c>
      <c r="P631" s="306">
        <v>2110</v>
      </c>
      <c r="Q631" s="307">
        <v>2827.5</v>
      </c>
    </row>
    <row r="632" spans="1:17">
      <c r="A632">
        <v>1412000030</v>
      </c>
      <c r="B632" t="s">
        <v>68</v>
      </c>
      <c r="E632" s="314" t="s">
        <v>158</v>
      </c>
      <c r="F632" s="309"/>
      <c r="G632" s="309"/>
      <c r="H632" s="309"/>
      <c r="I632" s="309"/>
      <c r="J632" s="309"/>
      <c r="K632" s="309"/>
      <c r="L632" s="309"/>
      <c r="M632" s="309"/>
      <c r="N632" s="310"/>
      <c r="O632" s="311"/>
      <c r="P632" s="309"/>
      <c r="Q632" s="310"/>
    </row>
    <row r="633" spans="1:17">
      <c r="A633">
        <v>1412000030</v>
      </c>
      <c r="B633" t="s">
        <v>68</v>
      </c>
      <c r="E633" s="177" t="s">
        <v>26</v>
      </c>
      <c r="F633" s="282">
        <v>2805</v>
      </c>
      <c r="G633" s="282">
        <v>2507.5</v>
      </c>
      <c r="H633" s="282">
        <v>2779.5</v>
      </c>
      <c r="I633" s="282">
        <v>3051.5</v>
      </c>
      <c r="J633" s="282">
        <v>2643.5</v>
      </c>
      <c r="K633" s="282">
        <v>2507.5</v>
      </c>
      <c r="L633" s="283">
        <v>3051.5</v>
      </c>
      <c r="M633" s="282">
        <v>2870</v>
      </c>
      <c r="N633" s="284">
        <v>3046.5</v>
      </c>
      <c r="O633" s="283">
        <v>2827.5</v>
      </c>
      <c r="P633" s="282">
        <v>2110</v>
      </c>
      <c r="Q633" s="284">
        <v>2827.5</v>
      </c>
    </row>
    <row r="634" spans="1:17" ht="15" thickBot="1">
      <c r="A634">
        <v>1412000030</v>
      </c>
      <c r="B634" t="s">
        <v>68</v>
      </c>
      <c r="E634" s="178" t="s">
        <v>44</v>
      </c>
      <c r="F634" s="285">
        <v>2975</v>
      </c>
      <c r="G634" s="285">
        <v>2669</v>
      </c>
      <c r="H634" s="285">
        <v>2958</v>
      </c>
      <c r="I634" s="285">
        <v>3247</v>
      </c>
      <c r="J634" s="285">
        <v>2813.5</v>
      </c>
      <c r="K634" s="285">
        <v>2669</v>
      </c>
      <c r="L634" s="286">
        <v>3247</v>
      </c>
      <c r="M634" s="285">
        <v>3040</v>
      </c>
      <c r="N634" s="287">
        <v>3233.5</v>
      </c>
      <c r="O634" s="286">
        <v>2980.5</v>
      </c>
      <c r="P634" s="285">
        <v>2237.5</v>
      </c>
      <c r="Q634" s="287">
        <v>2997.5</v>
      </c>
    </row>
    <row r="635" spans="1:17" ht="15" thickBot="1">
      <c r="A635">
        <v>1412000030</v>
      </c>
      <c r="B635" t="s">
        <v>68</v>
      </c>
      <c r="F635" s="288"/>
      <c r="G635" s="288"/>
      <c r="H635" s="288"/>
      <c r="I635" s="288"/>
      <c r="J635" s="288"/>
      <c r="K635" s="288"/>
      <c r="L635" s="288"/>
      <c r="M635" s="288"/>
      <c r="N635" s="288"/>
      <c r="O635" s="288"/>
      <c r="P635" s="288"/>
      <c r="Q635" s="288"/>
    </row>
    <row r="636" spans="1:17">
      <c r="A636">
        <v>1412000030</v>
      </c>
      <c r="B636" t="s">
        <v>68</v>
      </c>
      <c r="E636" s="220" t="s">
        <v>29</v>
      </c>
      <c r="F636" s="289"/>
      <c r="G636" s="289"/>
      <c r="H636" s="289"/>
      <c r="I636" s="289"/>
      <c r="J636" s="289"/>
      <c r="K636" s="289"/>
      <c r="L636" s="289"/>
      <c r="M636" s="289"/>
      <c r="N636" s="290"/>
      <c r="O636" s="289"/>
      <c r="P636" s="289"/>
      <c r="Q636" s="278"/>
    </row>
    <row r="637" spans="1:17">
      <c r="A637">
        <v>1412000030</v>
      </c>
      <c r="B637" t="s">
        <v>68</v>
      </c>
      <c r="E637" s="176" t="s">
        <v>25</v>
      </c>
      <c r="F637" s="279">
        <v>40</v>
      </c>
      <c r="G637" s="279">
        <v>38</v>
      </c>
      <c r="H637" s="279">
        <v>42</v>
      </c>
      <c r="I637" s="279">
        <v>46</v>
      </c>
      <c r="J637" s="279">
        <v>40</v>
      </c>
      <c r="K637" s="279">
        <v>38</v>
      </c>
      <c r="L637" s="279">
        <v>46</v>
      </c>
      <c r="M637" s="279">
        <v>40</v>
      </c>
      <c r="N637" s="280">
        <v>44</v>
      </c>
      <c r="O637" s="281">
        <v>36</v>
      </c>
      <c r="P637" s="279">
        <v>30</v>
      </c>
      <c r="Q637" s="280">
        <v>40</v>
      </c>
    </row>
    <row r="638" spans="1:17">
      <c r="A638">
        <v>1412000030</v>
      </c>
      <c r="B638" t="s">
        <v>68</v>
      </c>
      <c r="E638" s="312" t="s">
        <v>106</v>
      </c>
      <c r="F638" s="306">
        <v>80</v>
      </c>
      <c r="G638" s="306">
        <v>76</v>
      </c>
      <c r="H638" s="306">
        <v>84</v>
      </c>
      <c r="I638" s="306">
        <v>92</v>
      </c>
      <c r="J638" s="306">
        <v>80</v>
      </c>
      <c r="K638" s="306">
        <v>76</v>
      </c>
      <c r="L638" s="306">
        <v>92</v>
      </c>
      <c r="M638" s="306">
        <v>80</v>
      </c>
      <c r="N638" s="307">
        <v>88</v>
      </c>
      <c r="O638" s="308">
        <v>80</v>
      </c>
      <c r="P638" s="306">
        <v>60</v>
      </c>
      <c r="Q638" s="307">
        <v>80</v>
      </c>
    </row>
    <row r="639" spans="1:17">
      <c r="A639">
        <v>1412000030</v>
      </c>
      <c r="B639" t="s">
        <v>68</v>
      </c>
      <c r="E639" s="314" t="s">
        <v>158</v>
      </c>
      <c r="F639" s="309"/>
      <c r="G639" s="309"/>
      <c r="H639" s="309"/>
      <c r="I639" s="309"/>
      <c r="J639" s="309"/>
      <c r="K639" s="309"/>
      <c r="L639" s="309"/>
      <c r="M639" s="309"/>
      <c r="N639" s="310"/>
      <c r="O639" s="311"/>
      <c r="P639" s="309"/>
      <c r="Q639" s="310"/>
    </row>
    <row r="640" spans="1:17">
      <c r="A640">
        <v>1412000030</v>
      </c>
      <c r="B640" t="s">
        <v>68</v>
      </c>
      <c r="E640" s="177" t="s">
        <v>26</v>
      </c>
      <c r="F640" s="282">
        <v>80</v>
      </c>
      <c r="G640" s="282">
        <v>76</v>
      </c>
      <c r="H640" s="282">
        <v>84</v>
      </c>
      <c r="I640" s="282">
        <v>92</v>
      </c>
      <c r="J640" s="282">
        <v>80</v>
      </c>
      <c r="K640" s="282">
        <v>76</v>
      </c>
      <c r="L640" s="283">
        <v>92</v>
      </c>
      <c r="M640" s="282">
        <v>80</v>
      </c>
      <c r="N640" s="284">
        <v>88</v>
      </c>
      <c r="O640" s="283">
        <v>80</v>
      </c>
      <c r="P640" s="282">
        <v>60</v>
      </c>
      <c r="Q640" s="284">
        <v>80</v>
      </c>
    </row>
    <row r="641" spans="1:17" ht="15" thickBot="1">
      <c r="A641">
        <v>1412000030</v>
      </c>
      <c r="B641" t="s">
        <v>68</v>
      </c>
      <c r="E641" s="178" t="s">
        <v>45</v>
      </c>
      <c r="F641" s="285">
        <v>120</v>
      </c>
      <c r="G641" s="285">
        <v>114</v>
      </c>
      <c r="H641" s="285">
        <v>126</v>
      </c>
      <c r="I641" s="285">
        <v>138</v>
      </c>
      <c r="J641" s="285">
        <v>120</v>
      </c>
      <c r="K641" s="285">
        <v>114</v>
      </c>
      <c r="L641" s="286">
        <v>138</v>
      </c>
      <c r="M641" s="285">
        <v>120</v>
      </c>
      <c r="N641" s="287">
        <v>132</v>
      </c>
      <c r="O641" s="286">
        <v>116</v>
      </c>
      <c r="P641" s="285">
        <v>90</v>
      </c>
      <c r="Q641" s="287">
        <v>120</v>
      </c>
    </row>
    <row r="642" spans="1:17">
      <c r="A642">
        <v>1412000086</v>
      </c>
      <c r="B642" t="s">
        <v>24</v>
      </c>
      <c r="E642" s="220" t="s">
        <v>40</v>
      </c>
      <c r="F642" s="201"/>
      <c r="G642" s="201"/>
      <c r="H642" s="201"/>
      <c r="I642" s="201"/>
      <c r="J642" s="201"/>
      <c r="K642" s="201"/>
      <c r="L642" s="201"/>
      <c r="M642" s="201"/>
      <c r="N642" s="202"/>
      <c r="O642" s="201"/>
      <c r="P642" s="201"/>
      <c r="Q642" s="202"/>
    </row>
    <row r="643" spans="1:17">
      <c r="A643">
        <v>1412000086</v>
      </c>
      <c r="B643" t="s">
        <v>24</v>
      </c>
      <c r="E643" s="176" t="s">
        <v>25</v>
      </c>
      <c r="F643" s="267">
        <v>1</v>
      </c>
      <c r="G643" s="267">
        <v>1</v>
      </c>
      <c r="H643" s="267">
        <v>1</v>
      </c>
      <c r="I643" s="267">
        <v>1</v>
      </c>
      <c r="J643" s="267">
        <v>1</v>
      </c>
      <c r="K643" s="267">
        <v>1</v>
      </c>
      <c r="L643" s="267">
        <v>1</v>
      </c>
      <c r="M643" s="267">
        <v>1</v>
      </c>
      <c r="N643" s="268">
        <v>1</v>
      </c>
      <c r="O643" s="269">
        <v>1</v>
      </c>
      <c r="P643" s="267">
        <v>1</v>
      </c>
      <c r="Q643" s="268">
        <v>1</v>
      </c>
    </row>
    <row r="644" spans="1:17">
      <c r="A644">
        <v>1412000086</v>
      </c>
      <c r="B644" t="s">
        <v>24</v>
      </c>
      <c r="E644" s="312" t="s">
        <v>106</v>
      </c>
      <c r="F644" s="300">
        <v>13</v>
      </c>
      <c r="G644" s="300">
        <v>13</v>
      </c>
      <c r="H644" s="300">
        <v>13</v>
      </c>
      <c r="I644" s="300">
        <v>13</v>
      </c>
      <c r="J644" s="300">
        <v>13</v>
      </c>
      <c r="K644" s="300">
        <v>14</v>
      </c>
      <c r="L644" s="300">
        <v>14</v>
      </c>
      <c r="M644" s="300">
        <v>14</v>
      </c>
      <c r="N644" s="301">
        <v>14</v>
      </c>
      <c r="O644" s="302">
        <v>14</v>
      </c>
      <c r="P644" s="300">
        <v>14</v>
      </c>
      <c r="Q644" s="301">
        <v>14</v>
      </c>
    </row>
    <row r="645" spans="1:17">
      <c r="A645">
        <v>1412000086</v>
      </c>
      <c r="B645" t="s">
        <v>24</v>
      </c>
      <c r="E645" s="314" t="s">
        <v>158</v>
      </c>
      <c r="F645" s="303"/>
      <c r="G645" s="303"/>
      <c r="H645" s="303"/>
      <c r="I645" s="303"/>
      <c r="J645" s="303"/>
      <c r="K645" s="303"/>
      <c r="L645" s="303"/>
      <c r="M645" s="303"/>
      <c r="N645" s="304"/>
      <c r="O645" s="305"/>
      <c r="P645" s="303"/>
      <c r="Q645" s="304"/>
    </row>
    <row r="646" spans="1:17">
      <c r="A646">
        <v>1412000086</v>
      </c>
      <c r="B646" t="s">
        <v>24</v>
      </c>
      <c r="E646" s="177" t="s">
        <v>26</v>
      </c>
      <c r="F646" s="270">
        <v>13</v>
      </c>
      <c r="G646" s="270">
        <v>13</v>
      </c>
      <c r="H646" s="270">
        <v>13</v>
      </c>
      <c r="I646" s="270">
        <v>13</v>
      </c>
      <c r="J646" s="270">
        <v>13</v>
      </c>
      <c r="K646" s="270">
        <v>14</v>
      </c>
      <c r="L646" s="271">
        <v>14</v>
      </c>
      <c r="M646" s="270">
        <v>14</v>
      </c>
      <c r="N646" s="272">
        <v>14</v>
      </c>
      <c r="O646" s="271">
        <v>14</v>
      </c>
      <c r="P646" s="270">
        <v>14</v>
      </c>
      <c r="Q646" s="272">
        <v>14</v>
      </c>
    </row>
    <row r="647" spans="1:17" ht="15" thickBot="1">
      <c r="A647">
        <v>1412000086</v>
      </c>
      <c r="B647" t="s">
        <v>24</v>
      </c>
      <c r="E647" s="178" t="s">
        <v>27</v>
      </c>
      <c r="F647" s="273">
        <v>14</v>
      </c>
      <c r="G647" s="273">
        <v>14</v>
      </c>
      <c r="H647" s="273">
        <v>14</v>
      </c>
      <c r="I647" s="273">
        <v>14</v>
      </c>
      <c r="J647" s="273">
        <v>14</v>
      </c>
      <c r="K647" s="273">
        <v>15</v>
      </c>
      <c r="L647" s="274">
        <v>15</v>
      </c>
      <c r="M647" s="273">
        <v>15</v>
      </c>
      <c r="N647" s="275">
        <v>15</v>
      </c>
      <c r="O647" s="274">
        <v>15</v>
      </c>
      <c r="P647" s="273">
        <v>15</v>
      </c>
      <c r="Q647" s="275">
        <v>15</v>
      </c>
    </row>
    <row r="648" spans="1:17" ht="15" thickBot="1">
      <c r="A648">
        <v>1412000086</v>
      </c>
      <c r="B648" t="s">
        <v>24</v>
      </c>
      <c r="F648" s="276"/>
      <c r="G648" s="276"/>
      <c r="H648" s="276"/>
      <c r="I648" s="276"/>
      <c r="J648" s="276"/>
      <c r="K648" s="276"/>
      <c r="L648" s="276"/>
      <c r="M648" s="276"/>
      <c r="N648" s="276"/>
      <c r="O648" s="276"/>
      <c r="P648" s="276"/>
      <c r="Q648" s="276"/>
    </row>
    <row r="649" spans="1:17">
      <c r="A649">
        <v>1412000086</v>
      </c>
      <c r="B649" t="s">
        <v>24</v>
      </c>
      <c r="E649" s="220" t="s">
        <v>28</v>
      </c>
      <c r="F649" s="277"/>
      <c r="G649" s="277"/>
      <c r="H649" s="277"/>
      <c r="I649" s="277"/>
      <c r="J649" s="277"/>
      <c r="K649" s="277"/>
      <c r="L649" s="277"/>
      <c r="M649" s="277"/>
      <c r="N649" s="278"/>
      <c r="O649" s="277"/>
      <c r="P649" s="277"/>
      <c r="Q649" s="278"/>
    </row>
    <row r="650" spans="1:17">
      <c r="A650">
        <v>1412000086</v>
      </c>
      <c r="B650" t="s">
        <v>24</v>
      </c>
      <c r="E650" s="176" t="s">
        <v>25</v>
      </c>
      <c r="F650" s="279">
        <v>161.5</v>
      </c>
      <c r="G650" s="279">
        <v>161.5</v>
      </c>
      <c r="H650" s="279">
        <v>170</v>
      </c>
      <c r="I650" s="279">
        <v>195.5</v>
      </c>
      <c r="J650" s="279">
        <v>127.5</v>
      </c>
      <c r="K650" s="279">
        <v>161.5</v>
      </c>
      <c r="L650" s="279">
        <v>187</v>
      </c>
      <c r="M650" s="279">
        <v>161.5</v>
      </c>
      <c r="N650" s="280">
        <v>187</v>
      </c>
      <c r="O650" s="281">
        <v>170</v>
      </c>
      <c r="P650" s="279">
        <v>127.5</v>
      </c>
      <c r="Q650" s="280">
        <v>161.5</v>
      </c>
    </row>
    <row r="651" spans="1:17">
      <c r="A651">
        <v>1412000086</v>
      </c>
      <c r="B651" t="s">
        <v>24</v>
      </c>
      <c r="E651" s="312" t="s">
        <v>106</v>
      </c>
      <c r="F651" s="306">
        <v>2184.5</v>
      </c>
      <c r="G651" s="306">
        <v>2091</v>
      </c>
      <c r="H651" s="306">
        <v>2303.5</v>
      </c>
      <c r="I651" s="306">
        <v>2499</v>
      </c>
      <c r="J651" s="306">
        <v>2201.5</v>
      </c>
      <c r="K651" s="306">
        <v>2252.5</v>
      </c>
      <c r="L651" s="306">
        <v>2720</v>
      </c>
      <c r="M651" s="306">
        <v>2354.5</v>
      </c>
      <c r="N651" s="307">
        <v>2601</v>
      </c>
      <c r="O651" s="308">
        <v>2380</v>
      </c>
      <c r="P651" s="306">
        <v>1776.5</v>
      </c>
      <c r="Q651" s="307">
        <v>2371.5</v>
      </c>
    </row>
    <row r="652" spans="1:17">
      <c r="A652">
        <v>1412000086</v>
      </c>
      <c r="B652" t="s">
        <v>24</v>
      </c>
      <c r="E652" s="314" t="s">
        <v>158</v>
      </c>
      <c r="F652" s="309"/>
      <c r="G652" s="309"/>
      <c r="H652" s="309"/>
      <c r="I652" s="309"/>
      <c r="J652" s="309"/>
      <c r="K652" s="309"/>
      <c r="L652" s="309"/>
      <c r="M652" s="309"/>
      <c r="N652" s="310"/>
      <c r="O652" s="311"/>
      <c r="P652" s="309"/>
      <c r="Q652" s="310"/>
    </row>
    <row r="653" spans="1:17">
      <c r="A653">
        <v>1412000086</v>
      </c>
      <c r="B653" t="s">
        <v>24</v>
      </c>
      <c r="E653" s="177" t="s">
        <v>26</v>
      </c>
      <c r="F653" s="282">
        <v>2184.5</v>
      </c>
      <c r="G653" s="282">
        <v>2091</v>
      </c>
      <c r="H653" s="282">
        <v>2303.5</v>
      </c>
      <c r="I653" s="282">
        <v>2499</v>
      </c>
      <c r="J653" s="282">
        <v>2201.5</v>
      </c>
      <c r="K653" s="282">
        <v>2252.5</v>
      </c>
      <c r="L653" s="283">
        <v>2720</v>
      </c>
      <c r="M653" s="282">
        <v>2354.5</v>
      </c>
      <c r="N653" s="284">
        <v>2601</v>
      </c>
      <c r="O653" s="283">
        <v>2380</v>
      </c>
      <c r="P653" s="282">
        <v>1776.5</v>
      </c>
      <c r="Q653" s="284">
        <v>2371.5</v>
      </c>
    </row>
    <row r="654" spans="1:17" ht="15" thickBot="1">
      <c r="A654">
        <v>1412000086</v>
      </c>
      <c r="B654" t="s">
        <v>24</v>
      </c>
      <c r="E654" s="178" t="s">
        <v>44</v>
      </c>
      <c r="F654" s="285">
        <v>2346</v>
      </c>
      <c r="G654" s="285">
        <v>2252.5</v>
      </c>
      <c r="H654" s="285">
        <v>2473.5</v>
      </c>
      <c r="I654" s="285">
        <v>2694.5</v>
      </c>
      <c r="J654" s="285">
        <v>2329</v>
      </c>
      <c r="K654" s="285">
        <v>2414</v>
      </c>
      <c r="L654" s="286">
        <v>2907</v>
      </c>
      <c r="M654" s="285">
        <v>2516</v>
      </c>
      <c r="N654" s="287">
        <v>2788</v>
      </c>
      <c r="O654" s="286">
        <v>2550</v>
      </c>
      <c r="P654" s="285">
        <v>1904</v>
      </c>
      <c r="Q654" s="287">
        <v>2533</v>
      </c>
    </row>
    <row r="655" spans="1:17" ht="15" thickBot="1">
      <c r="A655">
        <v>1412000086</v>
      </c>
      <c r="B655" t="s">
        <v>24</v>
      </c>
      <c r="F655" s="288"/>
      <c r="G655" s="288"/>
      <c r="H655" s="288"/>
      <c r="I655" s="288"/>
      <c r="J655" s="288"/>
      <c r="K655" s="288"/>
      <c r="L655" s="288"/>
      <c r="M655" s="288"/>
      <c r="N655" s="288"/>
      <c r="O655" s="288"/>
      <c r="P655" s="288"/>
      <c r="Q655" s="288"/>
    </row>
    <row r="656" spans="1:17">
      <c r="A656">
        <v>1412000086</v>
      </c>
      <c r="B656" t="s">
        <v>24</v>
      </c>
      <c r="E656" s="220" t="s">
        <v>29</v>
      </c>
      <c r="F656" s="289"/>
      <c r="G656" s="289"/>
      <c r="H656" s="289"/>
      <c r="I656" s="289"/>
      <c r="J656" s="289"/>
      <c r="K656" s="289"/>
      <c r="L656" s="289"/>
      <c r="M656" s="289"/>
      <c r="N656" s="290"/>
      <c r="O656" s="289"/>
      <c r="P656" s="289"/>
      <c r="Q656" s="278"/>
    </row>
    <row r="657" spans="1:17">
      <c r="A657">
        <v>1412000086</v>
      </c>
      <c r="B657" t="s">
        <v>24</v>
      </c>
      <c r="E657" s="176" t="s">
        <v>25</v>
      </c>
      <c r="F657" s="279">
        <v>38</v>
      </c>
      <c r="G657" s="279">
        <v>38</v>
      </c>
      <c r="H657" s="279">
        <v>40</v>
      </c>
      <c r="I657" s="279">
        <v>46</v>
      </c>
      <c r="J657" s="279">
        <v>30</v>
      </c>
      <c r="K657" s="279">
        <v>38</v>
      </c>
      <c r="L657" s="279">
        <v>44</v>
      </c>
      <c r="M657" s="279">
        <v>38</v>
      </c>
      <c r="N657" s="280">
        <v>44</v>
      </c>
      <c r="O657" s="281">
        <v>40</v>
      </c>
      <c r="P657" s="279">
        <v>30</v>
      </c>
      <c r="Q657" s="280">
        <v>38</v>
      </c>
    </row>
    <row r="658" spans="1:17">
      <c r="A658">
        <v>1412000086</v>
      </c>
      <c r="B658" t="s">
        <v>24</v>
      </c>
      <c r="E658" s="312" t="s">
        <v>106</v>
      </c>
      <c r="F658" s="306">
        <v>40</v>
      </c>
      <c r="G658" s="306">
        <v>38</v>
      </c>
      <c r="H658" s="306">
        <v>42</v>
      </c>
      <c r="I658" s="306">
        <v>40</v>
      </c>
      <c r="J658" s="306">
        <v>40</v>
      </c>
      <c r="K658" s="306">
        <v>38</v>
      </c>
      <c r="L658" s="306">
        <v>46</v>
      </c>
      <c r="M658" s="306">
        <v>40</v>
      </c>
      <c r="N658" s="307">
        <v>42</v>
      </c>
      <c r="O658" s="308">
        <v>40</v>
      </c>
      <c r="P658" s="306">
        <v>30</v>
      </c>
      <c r="Q658" s="307">
        <v>40</v>
      </c>
    </row>
    <row r="659" spans="1:17">
      <c r="A659">
        <v>1412000086</v>
      </c>
      <c r="B659" t="s">
        <v>24</v>
      </c>
      <c r="E659" s="314" t="s">
        <v>158</v>
      </c>
      <c r="F659" s="309"/>
      <c r="G659" s="309"/>
      <c r="H659" s="309"/>
      <c r="I659" s="309"/>
      <c r="J659" s="309"/>
      <c r="K659" s="309"/>
      <c r="L659" s="309"/>
      <c r="M659" s="309"/>
      <c r="N659" s="310"/>
      <c r="O659" s="311"/>
      <c r="P659" s="309"/>
      <c r="Q659" s="310"/>
    </row>
    <row r="660" spans="1:17">
      <c r="A660">
        <v>1412000086</v>
      </c>
      <c r="B660" t="s">
        <v>24</v>
      </c>
      <c r="E660" s="177" t="s">
        <v>26</v>
      </c>
      <c r="F660" s="282">
        <v>40</v>
      </c>
      <c r="G660" s="282">
        <v>38</v>
      </c>
      <c r="H660" s="282">
        <v>42</v>
      </c>
      <c r="I660" s="282">
        <v>40</v>
      </c>
      <c r="J660" s="282">
        <v>40</v>
      </c>
      <c r="K660" s="282">
        <v>38</v>
      </c>
      <c r="L660" s="283">
        <v>46</v>
      </c>
      <c r="M660" s="282">
        <v>40</v>
      </c>
      <c r="N660" s="284">
        <v>42</v>
      </c>
      <c r="O660" s="283">
        <v>40</v>
      </c>
      <c r="P660" s="282">
        <v>30</v>
      </c>
      <c r="Q660" s="284">
        <v>40</v>
      </c>
    </row>
    <row r="661" spans="1:17" ht="15" thickBot="1">
      <c r="A661">
        <v>1412000086</v>
      </c>
      <c r="B661" t="s">
        <v>24</v>
      </c>
      <c r="E661" s="178" t="s">
        <v>45</v>
      </c>
      <c r="F661" s="285">
        <v>78</v>
      </c>
      <c r="G661" s="285">
        <v>76</v>
      </c>
      <c r="H661" s="285">
        <v>82</v>
      </c>
      <c r="I661" s="285">
        <v>86</v>
      </c>
      <c r="J661" s="285">
        <v>70</v>
      </c>
      <c r="K661" s="285">
        <v>76</v>
      </c>
      <c r="L661" s="286">
        <v>90</v>
      </c>
      <c r="M661" s="285">
        <v>78</v>
      </c>
      <c r="N661" s="287">
        <v>86</v>
      </c>
      <c r="O661" s="286">
        <v>80</v>
      </c>
      <c r="P661" s="285">
        <v>60</v>
      </c>
      <c r="Q661" s="287">
        <v>78</v>
      </c>
    </row>
    <row r="662" spans="1:17">
      <c r="A662">
        <v>1412000063</v>
      </c>
      <c r="B662" t="s">
        <v>117</v>
      </c>
      <c r="E662" s="220" t="s">
        <v>40</v>
      </c>
      <c r="F662" s="201"/>
      <c r="G662" s="201"/>
      <c r="H662" s="201"/>
      <c r="I662" s="201"/>
      <c r="J662" s="201"/>
      <c r="K662" s="201"/>
      <c r="L662" s="201"/>
      <c r="M662" s="201"/>
      <c r="N662" s="202"/>
      <c r="O662" s="201"/>
      <c r="P662" s="201"/>
      <c r="Q662" s="202"/>
    </row>
    <row r="663" spans="1:17">
      <c r="A663">
        <v>1412000063</v>
      </c>
      <c r="B663" t="s">
        <v>117</v>
      </c>
      <c r="E663" s="176" t="s">
        <v>25</v>
      </c>
      <c r="F663" s="267">
        <v>0</v>
      </c>
      <c r="G663" s="267">
        <v>0</v>
      </c>
      <c r="H663" s="267">
        <v>0</v>
      </c>
      <c r="I663" s="267">
        <v>0</v>
      </c>
      <c r="J663" s="267">
        <v>0</v>
      </c>
      <c r="K663" s="267">
        <v>0</v>
      </c>
      <c r="L663" s="267">
        <v>0</v>
      </c>
      <c r="M663" s="267">
        <v>0</v>
      </c>
      <c r="N663" s="268">
        <v>0</v>
      </c>
      <c r="O663" s="269">
        <v>0</v>
      </c>
      <c r="P663" s="267">
        <v>0</v>
      </c>
      <c r="Q663" s="268">
        <v>0</v>
      </c>
    </row>
    <row r="664" spans="1:17">
      <c r="A664">
        <v>1412000063</v>
      </c>
      <c r="B664" t="s">
        <v>117</v>
      </c>
      <c r="E664" s="312" t="s">
        <v>106</v>
      </c>
      <c r="F664" s="300">
        <v>7</v>
      </c>
      <c r="G664" s="300">
        <v>6</v>
      </c>
      <c r="H664" s="300">
        <v>5</v>
      </c>
      <c r="I664" s="300">
        <v>6</v>
      </c>
      <c r="J664" s="300">
        <v>6</v>
      </c>
      <c r="K664" s="300">
        <v>6</v>
      </c>
      <c r="L664" s="300">
        <v>6</v>
      </c>
      <c r="M664" s="300">
        <v>6</v>
      </c>
      <c r="N664" s="301">
        <v>5</v>
      </c>
      <c r="O664" s="302">
        <v>5</v>
      </c>
      <c r="P664" s="300">
        <v>5</v>
      </c>
      <c r="Q664" s="301">
        <v>5</v>
      </c>
    </row>
    <row r="665" spans="1:17">
      <c r="A665">
        <v>1412000063</v>
      </c>
      <c r="B665" t="s">
        <v>117</v>
      </c>
      <c r="E665" s="314" t="s">
        <v>158</v>
      </c>
      <c r="F665" s="303">
        <v>6</v>
      </c>
      <c r="G665" s="303">
        <v>6</v>
      </c>
      <c r="H665" s="303">
        <v>4</v>
      </c>
      <c r="I665" s="303">
        <v>3</v>
      </c>
      <c r="J665" s="303">
        <v>3</v>
      </c>
      <c r="K665" s="303">
        <v>3</v>
      </c>
      <c r="L665" s="303">
        <v>3</v>
      </c>
      <c r="M665" s="303">
        <v>3</v>
      </c>
      <c r="N665" s="304">
        <v>3</v>
      </c>
      <c r="O665" s="305">
        <v>3</v>
      </c>
      <c r="P665" s="303">
        <v>3</v>
      </c>
      <c r="Q665" s="304">
        <v>3</v>
      </c>
    </row>
    <row r="666" spans="1:17">
      <c r="A666">
        <v>1412000063</v>
      </c>
      <c r="B666" t="s">
        <v>117</v>
      </c>
      <c r="E666" s="177" t="s">
        <v>26</v>
      </c>
      <c r="F666" s="270">
        <v>13</v>
      </c>
      <c r="G666" s="270">
        <v>12</v>
      </c>
      <c r="H666" s="270">
        <v>9</v>
      </c>
      <c r="I666" s="270">
        <v>9</v>
      </c>
      <c r="J666" s="270">
        <v>9</v>
      </c>
      <c r="K666" s="270">
        <v>9</v>
      </c>
      <c r="L666" s="271">
        <v>9</v>
      </c>
      <c r="M666" s="270">
        <v>9</v>
      </c>
      <c r="N666" s="272">
        <v>8</v>
      </c>
      <c r="O666" s="271">
        <v>8</v>
      </c>
      <c r="P666" s="270">
        <v>8</v>
      </c>
      <c r="Q666" s="272">
        <v>8</v>
      </c>
    </row>
    <row r="667" spans="1:17" ht="15" thickBot="1">
      <c r="A667">
        <v>1412000063</v>
      </c>
      <c r="B667" t="s">
        <v>117</v>
      </c>
      <c r="E667" s="178" t="s">
        <v>27</v>
      </c>
      <c r="F667" s="273">
        <v>13</v>
      </c>
      <c r="G667" s="273">
        <v>12</v>
      </c>
      <c r="H667" s="273">
        <v>9</v>
      </c>
      <c r="I667" s="273">
        <v>9</v>
      </c>
      <c r="J667" s="273">
        <v>9</v>
      </c>
      <c r="K667" s="273">
        <v>9</v>
      </c>
      <c r="L667" s="274">
        <v>9</v>
      </c>
      <c r="M667" s="273">
        <v>9</v>
      </c>
      <c r="N667" s="275">
        <v>8</v>
      </c>
      <c r="O667" s="274">
        <v>8</v>
      </c>
      <c r="P667" s="273">
        <v>8</v>
      </c>
      <c r="Q667" s="275">
        <v>8</v>
      </c>
    </row>
    <row r="668" spans="1:17" ht="15" thickBot="1">
      <c r="A668">
        <v>1412000063</v>
      </c>
      <c r="B668" t="s">
        <v>117</v>
      </c>
      <c r="F668" s="276"/>
      <c r="G668" s="276"/>
      <c r="H668" s="276"/>
      <c r="I668" s="276"/>
      <c r="J668" s="276"/>
      <c r="K668" s="276"/>
      <c r="L668" s="276"/>
      <c r="M668" s="276"/>
      <c r="N668" s="276"/>
      <c r="O668" s="276"/>
      <c r="P668" s="276"/>
      <c r="Q668" s="276"/>
    </row>
    <row r="669" spans="1:17">
      <c r="A669">
        <v>1412000063</v>
      </c>
      <c r="B669" t="s">
        <v>117</v>
      </c>
      <c r="E669" s="220" t="s">
        <v>28</v>
      </c>
      <c r="F669" s="277"/>
      <c r="G669" s="277"/>
      <c r="H669" s="277"/>
      <c r="I669" s="277"/>
      <c r="J669" s="277"/>
      <c r="K669" s="277"/>
      <c r="L669" s="277"/>
      <c r="M669" s="277"/>
      <c r="N669" s="278"/>
      <c r="O669" s="277"/>
      <c r="P669" s="277"/>
      <c r="Q669" s="278"/>
    </row>
    <row r="670" spans="1:17">
      <c r="A670">
        <v>1412000063</v>
      </c>
      <c r="B670" t="s">
        <v>117</v>
      </c>
      <c r="E670" s="176" t="s">
        <v>25</v>
      </c>
      <c r="F670" s="279">
        <v>0</v>
      </c>
      <c r="G670" s="279">
        <v>0</v>
      </c>
      <c r="H670" s="279">
        <v>0</v>
      </c>
      <c r="I670" s="279">
        <v>0</v>
      </c>
      <c r="J670" s="279">
        <v>0</v>
      </c>
      <c r="K670" s="279">
        <v>0</v>
      </c>
      <c r="L670" s="279">
        <v>0</v>
      </c>
      <c r="M670" s="279">
        <v>0</v>
      </c>
      <c r="N670" s="280">
        <v>0</v>
      </c>
      <c r="O670" s="281">
        <v>0</v>
      </c>
      <c r="P670" s="279">
        <v>0</v>
      </c>
      <c r="Q670" s="280">
        <v>0</v>
      </c>
    </row>
    <row r="671" spans="1:17">
      <c r="A671">
        <v>1412000063</v>
      </c>
      <c r="B671" t="s">
        <v>117</v>
      </c>
      <c r="E671" s="312" t="s">
        <v>106</v>
      </c>
      <c r="F671" s="306">
        <v>816</v>
      </c>
      <c r="G671" s="306">
        <v>775</v>
      </c>
      <c r="H671" s="306">
        <v>857</v>
      </c>
      <c r="I671" s="306">
        <v>938</v>
      </c>
      <c r="J671" s="306">
        <v>816</v>
      </c>
      <c r="K671" s="306">
        <v>775</v>
      </c>
      <c r="L671" s="306">
        <v>938</v>
      </c>
      <c r="M671" s="306">
        <v>816</v>
      </c>
      <c r="N671" s="307">
        <v>898</v>
      </c>
      <c r="O671" s="308">
        <v>816</v>
      </c>
      <c r="P671" s="306">
        <v>612</v>
      </c>
      <c r="Q671" s="307">
        <v>816</v>
      </c>
    </row>
    <row r="672" spans="1:17">
      <c r="A672">
        <v>1412000063</v>
      </c>
      <c r="B672" t="s">
        <v>117</v>
      </c>
      <c r="E672" s="314" t="s">
        <v>158</v>
      </c>
      <c r="F672" s="309">
        <v>0</v>
      </c>
      <c r="G672" s="309">
        <v>0</v>
      </c>
      <c r="H672" s="309">
        <v>0</v>
      </c>
      <c r="I672" s="309">
        <v>0</v>
      </c>
      <c r="J672" s="309">
        <v>0</v>
      </c>
      <c r="K672" s="309">
        <v>0</v>
      </c>
      <c r="L672" s="309">
        <v>0</v>
      </c>
      <c r="M672" s="309">
        <v>0</v>
      </c>
      <c r="N672" s="310">
        <v>0</v>
      </c>
      <c r="O672" s="311">
        <v>0</v>
      </c>
      <c r="P672" s="309">
        <v>0</v>
      </c>
      <c r="Q672" s="310">
        <v>0</v>
      </c>
    </row>
    <row r="673" spans="1:17">
      <c r="A673">
        <v>1412000063</v>
      </c>
      <c r="B673" t="s">
        <v>117</v>
      </c>
      <c r="E673" s="177" t="s">
        <v>26</v>
      </c>
      <c r="F673" s="282">
        <v>816</v>
      </c>
      <c r="G673" s="282">
        <v>775</v>
      </c>
      <c r="H673" s="282">
        <v>857</v>
      </c>
      <c r="I673" s="282">
        <v>938</v>
      </c>
      <c r="J673" s="282">
        <v>816</v>
      </c>
      <c r="K673" s="282">
        <v>775</v>
      </c>
      <c r="L673" s="283">
        <v>938</v>
      </c>
      <c r="M673" s="282">
        <v>816</v>
      </c>
      <c r="N673" s="284">
        <v>898</v>
      </c>
      <c r="O673" s="283">
        <v>816</v>
      </c>
      <c r="P673" s="282">
        <v>612</v>
      </c>
      <c r="Q673" s="284">
        <v>816</v>
      </c>
    </row>
    <row r="674" spans="1:17" ht="15" thickBot="1">
      <c r="A674">
        <v>1412000063</v>
      </c>
      <c r="B674" t="s">
        <v>117</v>
      </c>
      <c r="E674" s="178" t="s">
        <v>44</v>
      </c>
      <c r="F674" s="285">
        <v>816</v>
      </c>
      <c r="G674" s="285">
        <v>775</v>
      </c>
      <c r="H674" s="285">
        <v>857</v>
      </c>
      <c r="I674" s="285">
        <v>938</v>
      </c>
      <c r="J674" s="285">
        <v>816</v>
      </c>
      <c r="K674" s="285">
        <v>775</v>
      </c>
      <c r="L674" s="286">
        <v>938</v>
      </c>
      <c r="M674" s="285">
        <v>816</v>
      </c>
      <c r="N674" s="287">
        <v>898</v>
      </c>
      <c r="O674" s="286">
        <v>816</v>
      </c>
      <c r="P674" s="285">
        <v>612</v>
      </c>
      <c r="Q674" s="287">
        <v>816</v>
      </c>
    </row>
    <row r="675" spans="1:17" ht="15" thickBot="1">
      <c r="A675">
        <v>1412000063</v>
      </c>
      <c r="B675" t="s">
        <v>117</v>
      </c>
      <c r="F675" s="288"/>
      <c r="G675" s="288"/>
      <c r="H675" s="288"/>
      <c r="I675" s="288"/>
      <c r="J675" s="288"/>
      <c r="K675" s="288"/>
      <c r="L675" s="288"/>
      <c r="M675" s="288"/>
      <c r="N675" s="288"/>
      <c r="O675" s="288"/>
      <c r="P675" s="288"/>
      <c r="Q675" s="288"/>
    </row>
    <row r="676" spans="1:17">
      <c r="A676">
        <v>1412000063</v>
      </c>
      <c r="B676" t="s">
        <v>117</v>
      </c>
      <c r="E676" s="220" t="s">
        <v>29</v>
      </c>
      <c r="F676" s="289"/>
      <c r="G676" s="289"/>
      <c r="H676" s="289"/>
      <c r="I676" s="289"/>
      <c r="J676" s="289"/>
      <c r="K676" s="289"/>
      <c r="L676" s="289"/>
      <c r="M676" s="289"/>
      <c r="N676" s="290"/>
      <c r="O676" s="289"/>
      <c r="P676" s="289"/>
      <c r="Q676" s="278"/>
    </row>
    <row r="677" spans="1:17">
      <c r="A677">
        <v>1412000063</v>
      </c>
      <c r="B677" t="s">
        <v>117</v>
      </c>
      <c r="E677" s="176" t="s">
        <v>25</v>
      </c>
      <c r="F677" s="279">
        <v>0</v>
      </c>
      <c r="G677" s="279">
        <v>0</v>
      </c>
      <c r="H677" s="279">
        <v>0</v>
      </c>
      <c r="I677" s="279">
        <v>0</v>
      </c>
      <c r="J677" s="279">
        <v>0</v>
      </c>
      <c r="K677" s="279">
        <v>0</v>
      </c>
      <c r="L677" s="279">
        <v>0</v>
      </c>
      <c r="M677" s="279">
        <v>0</v>
      </c>
      <c r="N677" s="280">
        <v>0</v>
      </c>
      <c r="O677" s="281">
        <v>0</v>
      </c>
      <c r="P677" s="279">
        <v>0</v>
      </c>
      <c r="Q677" s="280">
        <v>0</v>
      </c>
    </row>
    <row r="678" spans="1:17">
      <c r="A678">
        <v>1412000063</v>
      </c>
      <c r="B678" t="s">
        <v>117</v>
      </c>
      <c r="E678" s="312" t="s">
        <v>106</v>
      </c>
      <c r="F678" s="306">
        <v>0</v>
      </c>
      <c r="G678" s="306">
        <v>0</v>
      </c>
      <c r="H678" s="306">
        <v>0</v>
      </c>
      <c r="I678" s="306">
        <v>0</v>
      </c>
      <c r="J678" s="306">
        <v>0</v>
      </c>
      <c r="K678" s="306">
        <v>0</v>
      </c>
      <c r="L678" s="306">
        <v>0</v>
      </c>
      <c r="M678" s="306">
        <v>0</v>
      </c>
      <c r="N678" s="307">
        <v>0</v>
      </c>
      <c r="O678" s="308">
        <v>0</v>
      </c>
      <c r="P678" s="306">
        <v>0</v>
      </c>
      <c r="Q678" s="307">
        <v>0</v>
      </c>
    </row>
    <row r="679" spans="1:17">
      <c r="A679">
        <v>1412000063</v>
      </c>
      <c r="B679" t="s">
        <v>117</v>
      </c>
      <c r="E679" s="314" t="s">
        <v>158</v>
      </c>
      <c r="F679" s="309">
        <v>0</v>
      </c>
      <c r="G679" s="309">
        <v>0</v>
      </c>
      <c r="H679" s="309">
        <v>0</v>
      </c>
      <c r="I679" s="309">
        <v>0</v>
      </c>
      <c r="J679" s="309">
        <v>0</v>
      </c>
      <c r="K679" s="309">
        <v>0</v>
      </c>
      <c r="L679" s="309">
        <v>0</v>
      </c>
      <c r="M679" s="309">
        <v>0</v>
      </c>
      <c r="N679" s="310">
        <v>0</v>
      </c>
      <c r="O679" s="311">
        <v>0</v>
      </c>
      <c r="P679" s="309">
        <v>0</v>
      </c>
      <c r="Q679" s="310">
        <v>0</v>
      </c>
    </row>
    <row r="680" spans="1:17">
      <c r="A680">
        <v>1412000063</v>
      </c>
      <c r="B680" t="s">
        <v>117</v>
      </c>
      <c r="E680" s="177" t="s">
        <v>26</v>
      </c>
      <c r="F680" s="282">
        <v>0</v>
      </c>
      <c r="G680" s="282">
        <v>0</v>
      </c>
      <c r="H680" s="282">
        <v>0</v>
      </c>
      <c r="I680" s="282">
        <v>0</v>
      </c>
      <c r="J680" s="282">
        <v>0</v>
      </c>
      <c r="K680" s="282">
        <v>0</v>
      </c>
      <c r="L680" s="283">
        <v>0</v>
      </c>
      <c r="M680" s="282">
        <v>0</v>
      </c>
      <c r="N680" s="284">
        <v>0</v>
      </c>
      <c r="O680" s="283">
        <v>0</v>
      </c>
      <c r="P680" s="282">
        <v>0</v>
      </c>
      <c r="Q680" s="284">
        <v>0</v>
      </c>
    </row>
    <row r="681" spans="1:17" ht="15" thickBot="1">
      <c r="A681">
        <v>1412000063</v>
      </c>
      <c r="B681" t="s">
        <v>117</v>
      </c>
      <c r="E681" s="178" t="s">
        <v>45</v>
      </c>
      <c r="F681" s="285">
        <v>0</v>
      </c>
      <c r="G681" s="285">
        <v>0</v>
      </c>
      <c r="H681" s="285">
        <v>0</v>
      </c>
      <c r="I681" s="285">
        <v>0</v>
      </c>
      <c r="J681" s="285">
        <v>0</v>
      </c>
      <c r="K681" s="285">
        <v>0</v>
      </c>
      <c r="L681" s="286">
        <v>0</v>
      </c>
      <c r="M681" s="285">
        <v>0</v>
      </c>
      <c r="N681" s="287">
        <v>0</v>
      </c>
      <c r="O681" s="286">
        <v>0</v>
      </c>
      <c r="P681" s="285">
        <v>0</v>
      </c>
      <c r="Q681" s="287">
        <v>0</v>
      </c>
    </row>
    <row r="682" spans="1:17">
      <c r="A682">
        <v>1412000066</v>
      </c>
      <c r="B682" t="s">
        <v>66</v>
      </c>
      <c r="E682" s="220" t="s">
        <v>40</v>
      </c>
      <c r="F682" s="201"/>
      <c r="G682" s="201"/>
      <c r="H682" s="201"/>
      <c r="I682" s="201"/>
      <c r="J682" s="201"/>
      <c r="K682" s="201"/>
      <c r="L682" s="201"/>
      <c r="M682" s="201"/>
      <c r="N682" s="202"/>
      <c r="O682" s="201"/>
      <c r="P682" s="201"/>
      <c r="Q682" s="202"/>
    </row>
    <row r="683" spans="1:17">
      <c r="A683">
        <v>1412000066</v>
      </c>
      <c r="B683" t="s">
        <v>66</v>
      </c>
      <c r="E683" s="176" t="s">
        <v>25</v>
      </c>
      <c r="F683" s="267">
        <v>0</v>
      </c>
      <c r="G683" s="267">
        <v>0</v>
      </c>
      <c r="H683" s="267">
        <v>0</v>
      </c>
      <c r="I683" s="267">
        <v>0</v>
      </c>
      <c r="J683" s="267">
        <v>0</v>
      </c>
      <c r="K683" s="267">
        <v>0</v>
      </c>
      <c r="L683" s="267">
        <v>0</v>
      </c>
      <c r="M683" s="267">
        <v>0</v>
      </c>
      <c r="N683" s="268">
        <v>0</v>
      </c>
      <c r="O683" s="269">
        <v>0</v>
      </c>
      <c r="P683" s="267">
        <v>0</v>
      </c>
      <c r="Q683" s="268">
        <v>0</v>
      </c>
    </row>
    <row r="684" spans="1:17">
      <c r="A684">
        <v>1412000066</v>
      </c>
      <c r="B684" t="s">
        <v>66</v>
      </c>
      <c r="E684" s="312" t="s">
        <v>106</v>
      </c>
      <c r="F684" s="300">
        <v>0</v>
      </c>
      <c r="G684" s="300">
        <v>0</v>
      </c>
      <c r="H684" s="300">
        <v>0</v>
      </c>
      <c r="I684" s="300">
        <v>0</v>
      </c>
      <c r="J684" s="300">
        <v>0</v>
      </c>
      <c r="K684" s="300">
        <v>0</v>
      </c>
      <c r="L684" s="300">
        <v>0</v>
      </c>
      <c r="M684" s="300">
        <v>0</v>
      </c>
      <c r="N684" s="301">
        <v>0</v>
      </c>
      <c r="O684" s="302">
        <v>0</v>
      </c>
      <c r="P684" s="300">
        <v>0</v>
      </c>
      <c r="Q684" s="301">
        <v>0</v>
      </c>
    </row>
    <row r="685" spans="1:17">
      <c r="A685">
        <v>1412000066</v>
      </c>
      <c r="B685" t="s">
        <v>66</v>
      </c>
      <c r="E685" s="314" t="s">
        <v>158</v>
      </c>
      <c r="F685" s="303">
        <v>0</v>
      </c>
      <c r="G685" s="303">
        <v>0</v>
      </c>
      <c r="H685" s="303">
        <v>0</v>
      </c>
      <c r="I685" s="303">
        <v>0</v>
      </c>
      <c r="J685" s="303">
        <v>0</v>
      </c>
      <c r="K685" s="303">
        <v>0</v>
      </c>
      <c r="L685" s="303">
        <v>0</v>
      </c>
      <c r="M685" s="303">
        <v>0</v>
      </c>
      <c r="N685" s="304">
        <v>0</v>
      </c>
      <c r="O685" s="305">
        <v>0</v>
      </c>
      <c r="P685" s="303">
        <v>0</v>
      </c>
      <c r="Q685" s="304">
        <v>0</v>
      </c>
    </row>
    <row r="686" spans="1:17">
      <c r="A686">
        <v>1412000066</v>
      </c>
      <c r="B686" t="s">
        <v>66</v>
      </c>
      <c r="E686" s="177" t="s">
        <v>26</v>
      </c>
      <c r="F686" s="270">
        <v>0</v>
      </c>
      <c r="G686" s="270">
        <v>0</v>
      </c>
      <c r="H686" s="270">
        <v>0</v>
      </c>
      <c r="I686" s="270">
        <v>0</v>
      </c>
      <c r="J686" s="270">
        <v>0</v>
      </c>
      <c r="K686" s="270">
        <v>0</v>
      </c>
      <c r="L686" s="271">
        <v>0</v>
      </c>
      <c r="M686" s="270">
        <v>0</v>
      </c>
      <c r="N686" s="272">
        <v>0</v>
      </c>
      <c r="O686" s="271">
        <v>0</v>
      </c>
      <c r="P686" s="270">
        <v>0</v>
      </c>
      <c r="Q686" s="272">
        <v>0</v>
      </c>
    </row>
    <row r="687" spans="1:17" ht="15" thickBot="1">
      <c r="A687">
        <v>1412000066</v>
      </c>
      <c r="B687" t="s">
        <v>66</v>
      </c>
      <c r="E687" s="178" t="s">
        <v>27</v>
      </c>
      <c r="F687" s="273">
        <v>0</v>
      </c>
      <c r="G687" s="273">
        <v>0</v>
      </c>
      <c r="H687" s="273">
        <v>0</v>
      </c>
      <c r="I687" s="273">
        <v>0</v>
      </c>
      <c r="J687" s="273">
        <v>0</v>
      </c>
      <c r="K687" s="273">
        <v>0</v>
      </c>
      <c r="L687" s="274">
        <v>0</v>
      </c>
      <c r="M687" s="273">
        <v>0</v>
      </c>
      <c r="N687" s="275">
        <v>0</v>
      </c>
      <c r="O687" s="274">
        <v>0</v>
      </c>
      <c r="P687" s="273">
        <v>0</v>
      </c>
      <c r="Q687" s="275">
        <v>0</v>
      </c>
    </row>
    <row r="688" spans="1:17" ht="15" thickBot="1">
      <c r="A688">
        <v>1412000066</v>
      </c>
      <c r="B688" t="s">
        <v>66</v>
      </c>
      <c r="F688" s="276"/>
      <c r="G688" s="276"/>
      <c r="H688" s="276"/>
      <c r="I688" s="276"/>
      <c r="J688" s="276"/>
      <c r="K688" s="276"/>
      <c r="L688" s="276"/>
      <c r="M688" s="276"/>
      <c r="N688" s="276"/>
      <c r="O688" s="276"/>
      <c r="P688" s="276"/>
      <c r="Q688" s="276"/>
    </row>
    <row r="689" spans="1:17">
      <c r="A689">
        <v>1412000066</v>
      </c>
      <c r="B689" t="s">
        <v>66</v>
      </c>
      <c r="E689" s="220" t="s">
        <v>28</v>
      </c>
      <c r="F689" s="277"/>
      <c r="G689" s="277"/>
      <c r="H689" s="277"/>
      <c r="I689" s="277"/>
      <c r="J689" s="277"/>
      <c r="K689" s="277"/>
      <c r="L689" s="277"/>
      <c r="M689" s="277"/>
      <c r="N689" s="278"/>
      <c r="O689" s="277"/>
      <c r="P689" s="277"/>
      <c r="Q689" s="278"/>
    </row>
    <row r="690" spans="1:17">
      <c r="A690">
        <v>1412000066</v>
      </c>
      <c r="B690" t="s">
        <v>66</v>
      </c>
      <c r="E690" s="176" t="s">
        <v>25</v>
      </c>
      <c r="F690" s="279">
        <v>0</v>
      </c>
      <c r="G690" s="279">
        <v>0</v>
      </c>
      <c r="H690" s="279">
        <v>0</v>
      </c>
      <c r="I690" s="279">
        <v>0</v>
      </c>
      <c r="J690" s="279">
        <v>0</v>
      </c>
      <c r="K690" s="279">
        <v>0</v>
      </c>
      <c r="L690" s="279">
        <v>0</v>
      </c>
      <c r="M690" s="279">
        <v>0</v>
      </c>
      <c r="N690" s="280">
        <v>0</v>
      </c>
      <c r="O690" s="281">
        <v>0</v>
      </c>
      <c r="P690" s="279">
        <v>0</v>
      </c>
      <c r="Q690" s="280">
        <v>0</v>
      </c>
    </row>
    <row r="691" spans="1:17">
      <c r="A691">
        <v>1412000066</v>
      </c>
      <c r="B691" t="s">
        <v>66</v>
      </c>
      <c r="E691" s="312" t="s">
        <v>106</v>
      </c>
      <c r="F691" s="306">
        <v>80</v>
      </c>
      <c r="G691" s="306">
        <v>76</v>
      </c>
      <c r="H691" s="306">
        <v>84</v>
      </c>
      <c r="I691" s="306">
        <v>92</v>
      </c>
      <c r="J691" s="306">
        <v>80</v>
      </c>
      <c r="K691" s="306">
        <v>76</v>
      </c>
      <c r="L691" s="306">
        <v>92</v>
      </c>
      <c r="M691" s="306">
        <v>80</v>
      </c>
      <c r="N691" s="307">
        <v>88</v>
      </c>
      <c r="O691" s="308">
        <v>80</v>
      </c>
      <c r="P691" s="306">
        <v>60</v>
      </c>
      <c r="Q691" s="307">
        <v>80</v>
      </c>
    </row>
    <row r="692" spans="1:17">
      <c r="A692">
        <v>1412000066</v>
      </c>
      <c r="B692" t="s">
        <v>66</v>
      </c>
      <c r="E692" s="314" t="s">
        <v>158</v>
      </c>
      <c r="F692" s="309">
        <v>850</v>
      </c>
      <c r="G692" s="309">
        <v>807.5</v>
      </c>
      <c r="H692" s="309">
        <v>892.5</v>
      </c>
      <c r="I692" s="309">
        <v>977.5</v>
      </c>
      <c r="J692" s="309">
        <v>850</v>
      </c>
      <c r="K692" s="309">
        <v>807.5</v>
      </c>
      <c r="L692" s="309">
        <v>977.5</v>
      </c>
      <c r="M692" s="309">
        <v>850</v>
      </c>
      <c r="N692" s="310">
        <v>935</v>
      </c>
      <c r="O692" s="311">
        <v>850</v>
      </c>
      <c r="P692" s="309">
        <v>637.5</v>
      </c>
      <c r="Q692" s="310">
        <v>850</v>
      </c>
    </row>
    <row r="693" spans="1:17">
      <c r="A693">
        <v>1412000066</v>
      </c>
      <c r="B693" t="s">
        <v>66</v>
      </c>
      <c r="E693" s="177" t="s">
        <v>26</v>
      </c>
      <c r="F693" s="282">
        <v>930</v>
      </c>
      <c r="G693" s="282">
        <v>883.5</v>
      </c>
      <c r="H693" s="282">
        <v>976.5</v>
      </c>
      <c r="I693" s="282">
        <v>1069.5</v>
      </c>
      <c r="J693" s="282">
        <v>930</v>
      </c>
      <c r="K693" s="282">
        <v>883.5</v>
      </c>
      <c r="L693" s="283">
        <v>1069.5</v>
      </c>
      <c r="M693" s="282">
        <v>930</v>
      </c>
      <c r="N693" s="284">
        <v>1023</v>
      </c>
      <c r="O693" s="283">
        <v>930</v>
      </c>
      <c r="P693" s="282">
        <v>697.5</v>
      </c>
      <c r="Q693" s="284">
        <v>930</v>
      </c>
    </row>
    <row r="694" spans="1:17" ht="15" thickBot="1">
      <c r="A694">
        <v>1412000066</v>
      </c>
      <c r="B694" t="s">
        <v>66</v>
      </c>
      <c r="E694" s="178" t="s">
        <v>44</v>
      </c>
      <c r="F694" s="285">
        <v>930</v>
      </c>
      <c r="G694" s="285">
        <v>883.5</v>
      </c>
      <c r="H694" s="285">
        <v>976.5</v>
      </c>
      <c r="I694" s="285">
        <v>1069.5</v>
      </c>
      <c r="J694" s="285">
        <v>930</v>
      </c>
      <c r="K694" s="285">
        <v>883.5</v>
      </c>
      <c r="L694" s="286">
        <v>1069.5</v>
      </c>
      <c r="M694" s="285">
        <v>930</v>
      </c>
      <c r="N694" s="287">
        <v>1023</v>
      </c>
      <c r="O694" s="286">
        <v>930</v>
      </c>
      <c r="P694" s="285">
        <v>697.5</v>
      </c>
      <c r="Q694" s="287">
        <v>930</v>
      </c>
    </row>
    <row r="695" spans="1:17" ht="15" thickBot="1">
      <c r="A695">
        <v>1412000066</v>
      </c>
      <c r="B695" t="s">
        <v>66</v>
      </c>
      <c r="F695" s="288"/>
      <c r="G695" s="288"/>
      <c r="H695" s="288"/>
      <c r="I695" s="288"/>
      <c r="J695" s="288"/>
      <c r="K695" s="288"/>
      <c r="L695" s="288"/>
      <c r="M695" s="288"/>
      <c r="N695" s="288"/>
      <c r="O695" s="288"/>
      <c r="P695" s="288"/>
      <c r="Q695" s="288"/>
    </row>
    <row r="696" spans="1:17">
      <c r="A696">
        <v>1412000066</v>
      </c>
      <c r="B696" t="s">
        <v>66</v>
      </c>
      <c r="E696" s="220" t="s">
        <v>29</v>
      </c>
      <c r="F696" s="289"/>
      <c r="G696" s="289"/>
      <c r="H696" s="289"/>
      <c r="I696" s="289"/>
      <c r="J696" s="289"/>
      <c r="K696" s="289"/>
      <c r="L696" s="289"/>
      <c r="M696" s="289"/>
      <c r="N696" s="290"/>
      <c r="O696" s="289"/>
      <c r="P696" s="289"/>
      <c r="Q696" s="278"/>
    </row>
    <row r="697" spans="1:17">
      <c r="A697">
        <v>1412000066</v>
      </c>
      <c r="B697" t="s">
        <v>66</v>
      </c>
      <c r="E697" s="176" t="s">
        <v>25</v>
      </c>
      <c r="F697" s="279">
        <v>0</v>
      </c>
      <c r="G697" s="279">
        <v>0</v>
      </c>
      <c r="H697" s="279">
        <v>0</v>
      </c>
      <c r="I697" s="279">
        <v>0</v>
      </c>
      <c r="J697" s="279">
        <v>0</v>
      </c>
      <c r="K697" s="279">
        <v>0</v>
      </c>
      <c r="L697" s="279">
        <v>0</v>
      </c>
      <c r="M697" s="279">
        <v>0</v>
      </c>
      <c r="N697" s="280">
        <v>0</v>
      </c>
      <c r="O697" s="281">
        <v>0</v>
      </c>
      <c r="P697" s="279">
        <v>0</v>
      </c>
      <c r="Q697" s="280">
        <v>0</v>
      </c>
    </row>
    <row r="698" spans="1:17">
      <c r="A698">
        <v>1412000066</v>
      </c>
      <c r="B698" t="s">
        <v>66</v>
      </c>
      <c r="E698" s="312" t="s">
        <v>106</v>
      </c>
      <c r="F698" s="306">
        <v>0</v>
      </c>
      <c r="G698" s="306">
        <v>0</v>
      </c>
      <c r="H698" s="306">
        <v>0</v>
      </c>
      <c r="I698" s="306">
        <v>0</v>
      </c>
      <c r="J698" s="306">
        <v>0</v>
      </c>
      <c r="K698" s="306">
        <v>0</v>
      </c>
      <c r="L698" s="306">
        <v>0</v>
      </c>
      <c r="M698" s="306">
        <v>0</v>
      </c>
      <c r="N698" s="307">
        <v>0</v>
      </c>
      <c r="O698" s="308">
        <v>0</v>
      </c>
      <c r="P698" s="306">
        <v>0</v>
      </c>
      <c r="Q698" s="307">
        <v>0</v>
      </c>
    </row>
    <row r="699" spans="1:17">
      <c r="A699">
        <v>1412000066</v>
      </c>
      <c r="B699" t="s">
        <v>66</v>
      </c>
      <c r="E699" s="314" t="s">
        <v>158</v>
      </c>
      <c r="F699" s="309">
        <v>0</v>
      </c>
      <c r="G699" s="309">
        <v>0</v>
      </c>
      <c r="H699" s="309">
        <v>0</v>
      </c>
      <c r="I699" s="309">
        <v>0</v>
      </c>
      <c r="J699" s="309">
        <v>0</v>
      </c>
      <c r="K699" s="309">
        <v>0</v>
      </c>
      <c r="L699" s="309">
        <v>0</v>
      </c>
      <c r="M699" s="309">
        <v>0</v>
      </c>
      <c r="N699" s="310">
        <v>0</v>
      </c>
      <c r="O699" s="311">
        <v>0</v>
      </c>
      <c r="P699" s="309">
        <v>0</v>
      </c>
      <c r="Q699" s="310">
        <v>0</v>
      </c>
    </row>
    <row r="700" spans="1:17">
      <c r="A700">
        <v>1412000066</v>
      </c>
      <c r="B700" t="s">
        <v>66</v>
      </c>
      <c r="E700" s="177" t="s">
        <v>26</v>
      </c>
      <c r="F700" s="282">
        <v>0</v>
      </c>
      <c r="G700" s="282">
        <v>0</v>
      </c>
      <c r="H700" s="282">
        <v>0</v>
      </c>
      <c r="I700" s="282">
        <v>0</v>
      </c>
      <c r="J700" s="282">
        <v>0</v>
      </c>
      <c r="K700" s="282">
        <v>0</v>
      </c>
      <c r="L700" s="283">
        <v>0</v>
      </c>
      <c r="M700" s="282">
        <v>0</v>
      </c>
      <c r="N700" s="284">
        <v>0</v>
      </c>
      <c r="O700" s="283">
        <v>0</v>
      </c>
      <c r="P700" s="282">
        <v>0</v>
      </c>
      <c r="Q700" s="284">
        <v>0</v>
      </c>
    </row>
    <row r="701" spans="1:17" ht="15" thickBot="1">
      <c r="A701">
        <v>1412000066</v>
      </c>
      <c r="B701" t="s">
        <v>66</v>
      </c>
      <c r="E701" s="178" t="s">
        <v>45</v>
      </c>
      <c r="F701" s="285">
        <v>0</v>
      </c>
      <c r="G701" s="285">
        <v>0</v>
      </c>
      <c r="H701" s="285">
        <v>0</v>
      </c>
      <c r="I701" s="285">
        <v>0</v>
      </c>
      <c r="J701" s="285">
        <v>0</v>
      </c>
      <c r="K701" s="285">
        <v>0</v>
      </c>
      <c r="L701" s="286">
        <v>0</v>
      </c>
      <c r="M701" s="285">
        <v>0</v>
      </c>
      <c r="N701" s="287">
        <v>0</v>
      </c>
      <c r="O701" s="286">
        <v>0</v>
      </c>
      <c r="P701" s="285">
        <v>0</v>
      </c>
      <c r="Q701" s="287">
        <v>0</v>
      </c>
    </row>
    <row r="702" spans="1:17">
      <c r="A702">
        <v>1412000035</v>
      </c>
      <c r="B702" t="s">
        <v>166</v>
      </c>
      <c r="E702" s="220" t="s">
        <v>40</v>
      </c>
      <c r="F702" s="201"/>
      <c r="G702" s="201"/>
      <c r="H702" s="201"/>
      <c r="I702" s="201"/>
      <c r="J702" s="201"/>
      <c r="K702" s="201"/>
      <c r="L702" s="201"/>
      <c r="M702" s="201"/>
      <c r="N702" s="202"/>
      <c r="O702" s="201"/>
      <c r="P702" s="201"/>
      <c r="Q702" s="202"/>
    </row>
    <row r="703" spans="1:17">
      <c r="A703">
        <v>1412000035</v>
      </c>
      <c r="B703" t="s">
        <v>166</v>
      </c>
      <c r="E703" s="176" t="s">
        <v>25</v>
      </c>
      <c r="F703" s="267">
        <v>2</v>
      </c>
      <c r="G703" s="267">
        <v>2</v>
      </c>
      <c r="H703" s="267">
        <v>2</v>
      </c>
      <c r="I703" s="267">
        <v>2</v>
      </c>
      <c r="J703" s="267">
        <v>2</v>
      </c>
      <c r="K703" s="267">
        <v>2</v>
      </c>
      <c r="L703" s="267">
        <v>2</v>
      </c>
      <c r="M703" s="267">
        <v>2</v>
      </c>
      <c r="N703" s="268">
        <v>2</v>
      </c>
      <c r="O703" s="269">
        <v>2</v>
      </c>
      <c r="P703" s="267">
        <v>2</v>
      </c>
      <c r="Q703" s="268">
        <v>2</v>
      </c>
    </row>
    <row r="704" spans="1:17">
      <c r="A704">
        <v>1412000035</v>
      </c>
      <c r="B704" t="s">
        <v>166</v>
      </c>
      <c r="E704" s="312" t="s">
        <v>106</v>
      </c>
      <c r="F704" s="300">
        <v>25</v>
      </c>
      <c r="G704" s="300">
        <v>27</v>
      </c>
      <c r="H704" s="300">
        <v>29</v>
      </c>
      <c r="I704" s="300">
        <v>30</v>
      </c>
      <c r="J704" s="300">
        <v>30</v>
      </c>
      <c r="K704" s="300">
        <v>31</v>
      </c>
      <c r="L704" s="300">
        <v>32</v>
      </c>
      <c r="M704" s="300">
        <v>32</v>
      </c>
      <c r="N704" s="301">
        <v>32</v>
      </c>
      <c r="O704" s="302">
        <v>32</v>
      </c>
      <c r="P704" s="300">
        <v>32</v>
      </c>
      <c r="Q704" s="301">
        <v>32</v>
      </c>
    </row>
    <row r="705" spans="1:17">
      <c r="A705">
        <v>1412000035</v>
      </c>
      <c r="B705" t="s">
        <v>166</v>
      </c>
      <c r="E705" s="314" t="s">
        <v>158</v>
      </c>
      <c r="F705" s="303">
        <v>4</v>
      </c>
      <c r="G705" s="303">
        <v>4</v>
      </c>
      <c r="H705" s="303">
        <v>4</v>
      </c>
      <c r="I705" s="303">
        <v>4</v>
      </c>
      <c r="J705" s="303">
        <v>4</v>
      </c>
      <c r="K705" s="303">
        <v>4</v>
      </c>
      <c r="L705" s="303">
        <v>4</v>
      </c>
      <c r="M705" s="303">
        <v>4</v>
      </c>
      <c r="N705" s="304">
        <v>4</v>
      </c>
      <c r="O705" s="305">
        <v>4</v>
      </c>
      <c r="P705" s="303">
        <v>4</v>
      </c>
      <c r="Q705" s="304">
        <v>4</v>
      </c>
    </row>
    <row r="706" spans="1:17">
      <c r="A706">
        <v>1412000035</v>
      </c>
      <c r="B706" t="s">
        <v>166</v>
      </c>
      <c r="E706" s="177" t="s">
        <v>26</v>
      </c>
      <c r="F706" s="270">
        <v>29</v>
      </c>
      <c r="G706" s="270">
        <v>31</v>
      </c>
      <c r="H706" s="270">
        <v>33</v>
      </c>
      <c r="I706" s="270">
        <v>34</v>
      </c>
      <c r="J706" s="270">
        <v>34</v>
      </c>
      <c r="K706" s="270">
        <v>35</v>
      </c>
      <c r="L706" s="271">
        <v>36</v>
      </c>
      <c r="M706" s="270">
        <v>36</v>
      </c>
      <c r="N706" s="272">
        <v>36</v>
      </c>
      <c r="O706" s="271">
        <v>36</v>
      </c>
      <c r="P706" s="270">
        <v>36</v>
      </c>
      <c r="Q706" s="272">
        <v>36</v>
      </c>
    </row>
    <row r="707" spans="1:17" ht="15" thickBot="1">
      <c r="A707">
        <v>1412000035</v>
      </c>
      <c r="B707" t="s">
        <v>166</v>
      </c>
      <c r="E707" s="178" t="s">
        <v>27</v>
      </c>
      <c r="F707" s="273">
        <v>31</v>
      </c>
      <c r="G707" s="273">
        <v>33</v>
      </c>
      <c r="H707" s="273">
        <v>35</v>
      </c>
      <c r="I707" s="273">
        <v>36</v>
      </c>
      <c r="J707" s="273">
        <v>36</v>
      </c>
      <c r="K707" s="273">
        <v>37</v>
      </c>
      <c r="L707" s="274">
        <v>38</v>
      </c>
      <c r="M707" s="273">
        <v>38</v>
      </c>
      <c r="N707" s="275">
        <v>38</v>
      </c>
      <c r="O707" s="274">
        <v>38</v>
      </c>
      <c r="P707" s="273">
        <v>38</v>
      </c>
      <c r="Q707" s="275">
        <v>38</v>
      </c>
    </row>
    <row r="708" spans="1:17" ht="15" thickBot="1">
      <c r="A708">
        <v>1412000035</v>
      </c>
      <c r="B708" t="s">
        <v>166</v>
      </c>
      <c r="F708" s="276"/>
      <c r="G708" s="276"/>
      <c r="H708" s="276"/>
      <c r="I708" s="276"/>
      <c r="J708" s="276"/>
      <c r="K708" s="276"/>
      <c r="L708" s="276"/>
      <c r="M708" s="276"/>
      <c r="N708" s="276"/>
      <c r="O708" s="276"/>
      <c r="P708" s="276"/>
      <c r="Q708" s="276"/>
    </row>
    <row r="709" spans="1:17">
      <c r="A709">
        <v>1412000035</v>
      </c>
      <c r="B709" t="s">
        <v>166</v>
      </c>
      <c r="E709" s="220" t="s">
        <v>28</v>
      </c>
      <c r="F709" s="277"/>
      <c r="G709" s="277"/>
      <c r="H709" s="277"/>
      <c r="I709" s="277"/>
      <c r="J709" s="277"/>
      <c r="K709" s="277"/>
      <c r="L709" s="277"/>
      <c r="M709" s="277"/>
      <c r="N709" s="278"/>
      <c r="O709" s="277"/>
      <c r="P709" s="277"/>
      <c r="Q709" s="278"/>
    </row>
    <row r="710" spans="1:17">
      <c r="A710">
        <v>1412000035</v>
      </c>
      <c r="B710" t="s">
        <v>166</v>
      </c>
      <c r="E710" s="176" t="s">
        <v>25</v>
      </c>
      <c r="F710" s="279">
        <v>340</v>
      </c>
      <c r="G710" s="279">
        <v>323</v>
      </c>
      <c r="H710" s="279">
        <v>357</v>
      </c>
      <c r="I710" s="279">
        <v>391</v>
      </c>
      <c r="J710" s="279">
        <v>297.5</v>
      </c>
      <c r="K710" s="279">
        <v>280.5</v>
      </c>
      <c r="L710" s="279">
        <v>391</v>
      </c>
      <c r="M710" s="279">
        <v>340</v>
      </c>
      <c r="N710" s="280">
        <v>374</v>
      </c>
      <c r="O710" s="281">
        <v>297.5</v>
      </c>
      <c r="P710" s="279">
        <v>212.5</v>
      </c>
      <c r="Q710" s="280">
        <v>340</v>
      </c>
    </row>
    <row r="711" spans="1:17">
      <c r="A711">
        <v>1412000035</v>
      </c>
      <c r="B711" t="s">
        <v>166</v>
      </c>
      <c r="E711" s="312" t="s">
        <v>106</v>
      </c>
      <c r="F711" s="306">
        <v>4037.5</v>
      </c>
      <c r="G711" s="306">
        <v>4131</v>
      </c>
      <c r="H711" s="306">
        <v>4930</v>
      </c>
      <c r="I711" s="306">
        <v>5610</v>
      </c>
      <c r="J711" s="306">
        <v>4845</v>
      </c>
      <c r="K711" s="306">
        <v>4743</v>
      </c>
      <c r="L711" s="306">
        <v>5984</v>
      </c>
      <c r="M711" s="306">
        <v>5168</v>
      </c>
      <c r="N711" s="307">
        <v>5712</v>
      </c>
      <c r="O711" s="308">
        <v>5168</v>
      </c>
      <c r="P711" s="306">
        <v>3808</v>
      </c>
      <c r="Q711" s="307">
        <v>5168</v>
      </c>
    </row>
    <row r="712" spans="1:17">
      <c r="A712">
        <v>1412000035</v>
      </c>
      <c r="B712" t="s">
        <v>166</v>
      </c>
      <c r="E712" s="314" t="s">
        <v>158</v>
      </c>
      <c r="F712" s="309">
        <v>646</v>
      </c>
      <c r="G712" s="309">
        <v>612</v>
      </c>
      <c r="H712" s="309">
        <v>680</v>
      </c>
      <c r="I712" s="309">
        <v>748</v>
      </c>
      <c r="J712" s="309">
        <v>646</v>
      </c>
      <c r="K712" s="309">
        <v>612</v>
      </c>
      <c r="L712" s="309">
        <v>748</v>
      </c>
      <c r="M712" s="309">
        <v>646</v>
      </c>
      <c r="N712" s="310">
        <v>714</v>
      </c>
      <c r="O712" s="311">
        <v>646</v>
      </c>
      <c r="P712" s="309">
        <v>476</v>
      </c>
      <c r="Q712" s="310">
        <v>646</v>
      </c>
    </row>
    <row r="713" spans="1:17">
      <c r="A713">
        <v>1412000035</v>
      </c>
      <c r="B713" t="s">
        <v>166</v>
      </c>
      <c r="E713" s="177" t="s">
        <v>26</v>
      </c>
      <c r="F713" s="282">
        <v>4683.5</v>
      </c>
      <c r="G713" s="282">
        <v>4743</v>
      </c>
      <c r="H713" s="282">
        <v>5610</v>
      </c>
      <c r="I713" s="282">
        <v>6358</v>
      </c>
      <c r="J713" s="282">
        <v>5491</v>
      </c>
      <c r="K713" s="282">
        <v>5355</v>
      </c>
      <c r="L713" s="283">
        <v>6732</v>
      </c>
      <c r="M713" s="282">
        <v>5814</v>
      </c>
      <c r="N713" s="284">
        <v>6426</v>
      </c>
      <c r="O713" s="283">
        <v>5814</v>
      </c>
      <c r="P713" s="282">
        <v>4284</v>
      </c>
      <c r="Q713" s="284">
        <v>5814</v>
      </c>
    </row>
    <row r="714" spans="1:17" ht="15" thickBot="1">
      <c r="A714">
        <v>1412000035</v>
      </c>
      <c r="B714" t="s">
        <v>166</v>
      </c>
      <c r="E714" s="178" t="s">
        <v>44</v>
      </c>
      <c r="F714" s="285">
        <v>5023.5</v>
      </c>
      <c r="G714" s="285">
        <v>5066</v>
      </c>
      <c r="H714" s="285">
        <v>5967</v>
      </c>
      <c r="I714" s="285">
        <v>6749</v>
      </c>
      <c r="J714" s="285">
        <v>5788.5</v>
      </c>
      <c r="K714" s="285">
        <v>5635.5</v>
      </c>
      <c r="L714" s="286">
        <v>7123</v>
      </c>
      <c r="M714" s="285">
        <v>6154</v>
      </c>
      <c r="N714" s="287">
        <v>6800</v>
      </c>
      <c r="O714" s="286">
        <v>6111.5</v>
      </c>
      <c r="P714" s="285">
        <v>4496.5</v>
      </c>
      <c r="Q714" s="287">
        <v>6154</v>
      </c>
    </row>
    <row r="715" spans="1:17" ht="15" thickBot="1">
      <c r="A715">
        <v>1412000035</v>
      </c>
      <c r="B715" t="s">
        <v>166</v>
      </c>
      <c r="F715" s="288"/>
      <c r="G715" s="288"/>
      <c r="H715" s="288"/>
      <c r="I715" s="288"/>
      <c r="J715" s="288"/>
      <c r="K715" s="288"/>
      <c r="L715" s="288"/>
      <c r="M715" s="288"/>
      <c r="N715" s="288"/>
      <c r="O715" s="288"/>
      <c r="P715" s="288"/>
      <c r="Q715" s="288"/>
    </row>
    <row r="716" spans="1:17">
      <c r="A716">
        <v>1412000035</v>
      </c>
      <c r="B716" t="s">
        <v>166</v>
      </c>
      <c r="E716" s="220" t="s">
        <v>29</v>
      </c>
      <c r="F716" s="289"/>
      <c r="G716" s="289"/>
      <c r="H716" s="289"/>
      <c r="I716" s="289"/>
      <c r="J716" s="289"/>
      <c r="K716" s="289"/>
      <c r="L716" s="289"/>
      <c r="M716" s="289"/>
      <c r="N716" s="290"/>
      <c r="O716" s="289"/>
      <c r="P716" s="289"/>
      <c r="Q716" s="278"/>
    </row>
    <row r="717" spans="1:17">
      <c r="A717">
        <v>1412000035</v>
      </c>
      <c r="B717" t="s">
        <v>166</v>
      </c>
      <c r="E717" s="176" t="s">
        <v>25</v>
      </c>
      <c r="F717" s="279">
        <v>80</v>
      </c>
      <c r="G717" s="279">
        <v>76</v>
      </c>
      <c r="H717" s="279">
        <v>84</v>
      </c>
      <c r="I717" s="279">
        <v>92</v>
      </c>
      <c r="J717" s="279">
        <v>70</v>
      </c>
      <c r="K717" s="279">
        <v>66</v>
      </c>
      <c r="L717" s="279">
        <v>92</v>
      </c>
      <c r="M717" s="279">
        <v>80</v>
      </c>
      <c r="N717" s="280">
        <v>88</v>
      </c>
      <c r="O717" s="281">
        <v>70</v>
      </c>
      <c r="P717" s="279">
        <v>50</v>
      </c>
      <c r="Q717" s="280">
        <v>80</v>
      </c>
    </row>
    <row r="718" spans="1:17">
      <c r="A718">
        <v>1412000035</v>
      </c>
      <c r="B718" t="s">
        <v>166</v>
      </c>
      <c r="E718" s="312" t="s">
        <v>106</v>
      </c>
      <c r="F718" s="306">
        <v>444</v>
      </c>
      <c r="G718" s="306">
        <v>468</v>
      </c>
      <c r="H718" s="306">
        <v>510</v>
      </c>
      <c r="I718" s="306">
        <v>595</v>
      </c>
      <c r="J718" s="306">
        <v>565</v>
      </c>
      <c r="K718" s="306">
        <v>570</v>
      </c>
      <c r="L718" s="306">
        <v>625</v>
      </c>
      <c r="M718" s="306">
        <v>595</v>
      </c>
      <c r="N718" s="307">
        <v>615</v>
      </c>
      <c r="O718" s="308">
        <v>595</v>
      </c>
      <c r="P718" s="306">
        <v>545</v>
      </c>
      <c r="Q718" s="307">
        <v>595</v>
      </c>
    </row>
    <row r="719" spans="1:17">
      <c r="A719">
        <v>1412000035</v>
      </c>
      <c r="B719" t="s">
        <v>166</v>
      </c>
      <c r="E719" s="314" t="s">
        <v>158</v>
      </c>
      <c r="F719" s="309">
        <v>60</v>
      </c>
      <c r="G719" s="309">
        <v>60</v>
      </c>
      <c r="H719" s="309">
        <v>60</v>
      </c>
      <c r="I719" s="309">
        <v>60</v>
      </c>
      <c r="J719" s="309">
        <v>60</v>
      </c>
      <c r="K719" s="309">
        <v>60</v>
      </c>
      <c r="L719" s="309">
        <v>60</v>
      </c>
      <c r="M719" s="309">
        <v>60</v>
      </c>
      <c r="N719" s="310">
        <v>60</v>
      </c>
      <c r="O719" s="311">
        <v>60</v>
      </c>
      <c r="P719" s="309">
        <v>60</v>
      </c>
      <c r="Q719" s="310">
        <v>60</v>
      </c>
    </row>
    <row r="720" spans="1:17">
      <c r="A720">
        <v>1412000035</v>
      </c>
      <c r="B720" t="s">
        <v>166</v>
      </c>
      <c r="E720" s="177" t="s">
        <v>26</v>
      </c>
      <c r="F720" s="282">
        <v>504</v>
      </c>
      <c r="G720" s="282">
        <v>528</v>
      </c>
      <c r="H720" s="282">
        <v>570</v>
      </c>
      <c r="I720" s="282">
        <v>655</v>
      </c>
      <c r="J720" s="282">
        <v>625</v>
      </c>
      <c r="K720" s="282">
        <v>630</v>
      </c>
      <c r="L720" s="283">
        <v>685</v>
      </c>
      <c r="M720" s="282">
        <v>655</v>
      </c>
      <c r="N720" s="284">
        <v>675</v>
      </c>
      <c r="O720" s="283">
        <v>655</v>
      </c>
      <c r="P720" s="282">
        <v>605</v>
      </c>
      <c r="Q720" s="284">
        <v>655</v>
      </c>
    </row>
    <row r="721" spans="1:17" ht="15" thickBot="1">
      <c r="A721">
        <v>1412000035</v>
      </c>
      <c r="B721" t="s">
        <v>166</v>
      </c>
      <c r="E721" s="178" t="s">
        <v>45</v>
      </c>
      <c r="F721" s="285">
        <v>584</v>
      </c>
      <c r="G721" s="285">
        <v>604</v>
      </c>
      <c r="H721" s="285">
        <v>654</v>
      </c>
      <c r="I721" s="285">
        <v>747</v>
      </c>
      <c r="J721" s="285">
        <v>695</v>
      </c>
      <c r="K721" s="285">
        <v>696</v>
      </c>
      <c r="L721" s="286">
        <v>777</v>
      </c>
      <c r="M721" s="285">
        <v>735</v>
      </c>
      <c r="N721" s="287">
        <v>763</v>
      </c>
      <c r="O721" s="286">
        <v>725</v>
      </c>
      <c r="P721" s="285">
        <v>655</v>
      </c>
      <c r="Q721" s="287">
        <v>735</v>
      </c>
    </row>
    <row r="722" spans="1:17">
      <c r="A722">
        <v>1412000016</v>
      </c>
      <c r="B722" t="s">
        <v>86</v>
      </c>
      <c r="E722" s="220" t="s">
        <v>40</v>
      </c>
      <c r="F722" s="201"/>
      <c r="G722" s="201"/>
      <c r="H722" s="201"/>
      <c r="I722" s="201"/>
      <c r="J722" s="201"/>
      <c r="K722" s="201"/>
      <c r="L722" s="201"/>
      <c r="M722" s="201"/>
      <c r="N722" s="202"/>
      <c r="O722" s="201"/>
      <c r="P722" s="201"/>
      <c r="Q722" s="202"/>
    </row>
    <row r="723" spans="1:17">
      <c r="A723">
        <v>1412000016</v>
      </c>
      <c r="B723" t="s">
        <v>86</v>
      </c>
      <c r="E723" s="176" t="s">
        <v>25</v>
      </c>
      <c r="F723" s="267">
        <v>1</v>
      </c>
      <c r="G723" s="267">
        <v>1</v>
      </c>
      <c r="H723" s="267">
        <v>1</v>
      </c>
      <c r="I723" s="267">
        <v>1</v>
      </c>
      <c r="J723" s="267">
        <v>1</v>
      </c>
      <c r="K723" s="267">
        <v>1</v>
      </c>
      <c r="L723" s="267">
        <v>1</v>
      </c>
      <c r="M723" s="267">
        <v>1</v>
      </c>
      <c r="N723" s="268">
        <v>1</v>
      </c>
      <c r="O723" s="269">
        <v>1</v>
      </c>
      <c r="P723" s="267">
        <v>1</v>
      </c>
      <c r="Q723" s="268">
        <v>1</v>
      </c>
    </row>
    <row r="724" spans="1:17">
      <c r="A724">
        <v>1412000016</v>
      </c>
      <c r="B724" t="s">
        <v>86</v>
      </c>
      <c r="E724" s="312" t="s">
        <v>106</v>
      </c>
      <c r="F724" s="300">
        <v>16</v>
      </c>
      <c r="G724" s="300">
        <v>17</v>
      </c>
      <c r="H724" s="300">
        <v>17</v>
      </c>
      <c r="I724" s="300">
        <v>17</v>
      </c>
      <c r="J724" s="300">
        <v>17</v>
      </c>
      <c r="K724" s="300">
        <v>17</v>
      </c>
      <c r="L724" s="300">
        <v>17</v>
      </c>
      <c r="M724" s="300">
        <v>17</v>
      </c>
      <c r="N724" s="301">
        <v>17</v>
      </c>
      <c r="O724" s="302">
        <v>17</v>
      </c>
      <c r="P724" s="300">
        <v>17</v>
      </c>
      <c r="Q724" s="301">
        <v>17</v>
      </c>
    </row>
    <row r="725" spans="1:17">
      <c r="A725">
        <v>1412000016</v>
      </c>
      <c r="B725" t="s">
        <v>86</v>
      </c>
      <c r="E725" s="314" t="s">
        <v>158</v>
      </c>
      <c r="F725" s="303"/>
      <c r="G725" s="303"/>
      <c r="H725" s="303"/>
      <c r="I725" s="303"/>
      <c r="J725" s="303"/>
      <c r="K725" s="303"/>
      <c r="L725" s="303"/>
      <c r="M725" s="303"/>
      <c r="N725" s="304"/>
      <c r="O725" s="305"/>
      <c r="P725" s="303"/>
      <c r="Q725" s="304"/>
    </row>
    <row r="726" spans="1:17">
      <c r="A726">
        <v>1412000016</v>
      </c>
      <c r="B726" t="s">
        <v>86</v>
      </c>
      <c r="E726" s="177" t="s">
        <v>26</v>
      </c>
      <c r="F726" s="270">
        <v>16</v>
      </c>
      <c r="G726" s="270">
        <v>17</v>
      </c>
      <c r="H726" s="270">
        <v>17</v>
      </c>
      <c r="I726" s="270">
        <v>17</v>
      </c>
      <c r="J726" s="270">
        <v>17</v>
      </c>
      <c r="K726" s="270">
        <v>17</v>
      </c>
      <c r="L726" s="271">
        <v>17</v>
      </c>
      <c r="M726" s="270">
        <v>17</v>
      </c>
      <c r="N726" s="272">
        <v>17</v>
      </c>
      <c r="O726" s="271">
        <v>17</v>
      </c>
      <c r="P726" s="270">
        <v>17</v>
      </c>
      <c r="Q726" s="272">
        <v>17</v>
      </c>
    </row>
    <row r="727" spans="1:17" ht="15" thickBot="1">
      <c r="A727">
        <v>1412000016</v>
      </c>
      <c r="B727" t="s">
        <v>86</v>
      </c>
      <c r="E727" s="178" t="s">
        <v>27</v>
      </c>
      <c r="F727" s="273">
        <v>17</v>
      </c>
      <c r="G727" s="273">
        <v>18</v>
      </c>
      <c r="H727" s="273">
        <v>18</v>
      </c>
      <c r="I727" s="273">
        <v>18</v>
      </c>
      <c r="J727" s="273">
        <v>18</v>
      </c>
      <c r="K727" s="273">
        <v>18</v>
      </c>
      <c r="L727" s="274">
        <v>18</v>
      </c>
      <c r="M727" s="273">
        <v>18</v>
      </c>
      <c r="N727" s="275">
        <v>18</v>
      </c>
      <c r="O727" s="274">
        <v>18</v>
      </c>
      <c r="P727" s="273">
        <v>18</v>
      </c>
      <c r="Q727" s="275">
        <v>18</v>
      </c>
    </row>
    <row r="728" spans="1:17" ht="15" thickBot="1">
      <c r="A728">
        <v>1412000016</v>
      </c>
      <c r="B728" t="s">
        <v>86</v>
      </c>
      <c r="F728" s="276"/>
      <c r="G728" s="276"/>
      <c r="H728" s="276"/>
      <c r="I728" s="276"/>
      <c r="J728" s="276"/>
      <c r="K728" s="276"/>
      <c r="L728" s="276"/>
      <c r="M728" s="276"/>
      <c r="N728" s="276"/>
      <c r="O728" s="276"/>
      <c r="P728" s="276"/>
      <c r="Q728" s="276"/>
    </row>
    <row r="729" spans="1:17">
      <c r="A729">
        <v>1412000016</v>
      </c>
      <c r="B729" t="s">
        <v>86</v>
      </c>
      <c r="E729" s="220" t="s">
        <v>28</v>
      </c>
      <c r="F729" s="277"/>
      <c r="G729" s="277"/>
      <c r="H729" s="277"/>
      <c r="I729" s="277"/>
      <c r="J729" s="277"/>
      <c r="K729" s="277"/>
      <c r="L729" s="277"/>
      <c r="M729" s="277"/>
      <c r="N729" s="278"/>
      <c r="O729" s="277"/>
      <c r="P729" s="277"/>
      <c r="Q729" s="278"/>
    </row>
    <row r="730" spans="1:17">
      <c r="A730">
        <v>1412000016</v>
      </c>
      <c r="B730" t="s">
        <v>86</v>
      </c>
      <c r="E730" s="176" t="s">
        <v>25</v>
      </c>
      <c r="F730" s="279">
        <v>153</v>
      </c>
      <c r="G730" s="279">
        <v>144.5</v>
      </c>
      <c r="H730" s="279">
        <v>178.5</v>
      </c>
      <c r="I730" s="279">
        <v>195.5</v>
      </c>
      <c r="J730" s="279">
        <v>170</v>
      </c>
      <c r="K730" s="279">
        <v>161.5</v>
      </c>
      <c r="L730" s="279">
        <v>195.5</v>
      </c>
      <c r="M730" s="279">
        <v>170</v>
      </c>
      <c r="N730" s="280">
        <v>170</v>
      </c>
      <c r="O730" s="281">
        <v>170</v>
      </c>
      <c r="P730" s="279">
        <v>127.5</v>
      </c>
      <c r="Q730" s="280">
        <v>170</v>
      </c>
    </row>
    <row r="731" spans="1:17">
      <c r="A731">
        <v>1412000016</v>
      </c>
      <c r="B731" t="s">
        <v>86</v>
      </c>
      <c r="E731" s="312" t="s">
        <v>106</v>
      </c>
      <c r="F731" s="306">
        <v>2720</v>
      </c>
      <c r="G731" s="306">
        <v>2745.5</v>
      </c>
      <c r="H731" s="306">
        <v>3034.5</v>
      </c>
      <c r="I731" s="306">
        <v>3323.5</v>
      </c>
      <c r="J731" s="306">
        <v>2890</v>
      </c>
      <c r="K731" s="306">
        <v>2745.5</v>
      </c>
      <c r="L731" s="306">
        <v>3323.5</v>
      </c>
      <c r="M731" s="306">
        <v>2890</v>
      </c>
      <c r="N731" s="307">
        <v>3179</v>
      </c>
      <c r="O731" s="308">
        <v>2890</v>
      </c>
      <c r="P731" s="306">
        <v>2167.5</v>
      </c>
      <c r="Q731" s="307">
        <v>2890</v>
      </c>
    </row>
    <row r="732" spans="1:17">
      <c r="A732">
        <v>1412000016</v>
      </c>
      <c r="B732" t="s">
        <v>86</v>
      </c>
      <c r="E732" s="314" t="s">
        <v>158</v>
      </c>
      <c r="F732" s="309"/>
      <c r="G732" s="309"/>
      <c r="H732" s="309"/>
      <c r="I732" s="309"/>
      <c r="J732" s="309"/>
      <c r="K732" s="309"/>
      <c r="L732" s="309"/>
      <c r="M732" s="309"/>
      <c r="N732" s="310"/>
      <c r="O732" s="311"/>
      <c r="P732" s="309"/>
      <c r="Q732" s="310"/>
    </row>
    <row r="733" spans="1:17">
      <c r="A733">
        <v>1412000016</v>
      </c>
      <c r="B733" t="s">
        <v>86</v>
      </c>
      <c r="E733" s="177" t="s">
        <v>26</v>
      </c>
      <c r="F733" s="282">
        <v>2720</v>
      </c>
      <c r="G733" s="282">
        <v>2745.5</v>
      </c>
      <c r="H733" s="282">
        <v>3034.5</v>
      </c>
      <c r="I733" s="282">
        <v>3323.5</v>
      </c>
      <c r="J733" s="282">
        <v>2890</v>
      </c>
      <c r="K733" s="282">
        <v>2745.5</v>
      </c>
      <c r="L733" s="283">
        <v>3323.5</v>
      </c>
      <c r="M733" s="282">
        <v>2890</v>
      </c>
      <c r="N733" s="284">
        <v>3179</v>
      </c>
      <c r="O733" s="283">
        <v>2890</v>
      </c>
      <c r="P733" s="282">
        <v>2167.5</v>
      </c>
      <c r="Q733" s="284">
        <v>2890</v>
      </c>
    </row>
    <row r="734" spans="1:17" ht="15" thickBot="1">
      <c r="A734">
        <v>1412000016</v>
      </c>
      <c r="B734" t="s">
        <v>86</v>
      </c>
      <c r="E734" s="178" t="s">
        <v>44</v>
      </c>
      <c r="F734" s="285">
        <v>2873</v>
      </c>
      <c r="G734" s="285">
        <v>2890</v>
      </c>
      <c r="H734" s="285">
        <v>3213</v>
      </c>
      <c r="I734" s="285">
        <v>3519</v>
      </c>
      <c r="J734" s="285">
        <v>3060</v>
      </c>
      <c r="K734" s="285">
        <v>2907</v>
      </c>
      <c r="L734" s="286">
        <v>3519</v>
      </c>
      <c r="M734" s="285">
        <v>3060</v>
      </c>
      <c r="N734" s="287">
        <v>3349</v>
      </c>
      <c r="O734" s="286">
        <v>3060</v>
      </c>
      <c r="P734" s="285">
        <v>2295</v>
      </c>
      <c r="Q734" s="287">
        <v>3060</v>
      </c>
    </row>
    <row r="735" spans="1:17" ht="15" thickBot="1">
      <c r="A735">
        <v>1412000016</v>
      </c>
      <c r="B735" t="s">
        <v>86</v>
      </c>
      <c r="F735" s="288"/>
      <c r="G735" s="288"/>
      <c r="H735" s="288"/>
      <c r="I735" s="288"/>
      <c r="J735" s="288"/>
      <c r="K735" s="288"/>
      <c r="L735" s="288"/>
      <c r="M735" s="288"/>
      <c r="N735" s="288"/>
      <c r="O735" s="288"/>
      <c r="P735" s="288"/>
      <c r="Q735" s="288"/>
    </row>
    <row r="736" spans="1:17">
      <c r="A736">
        <v>1412000016</v>
      </c>
      <c r="B736" t="s">
        <v>86</v>
      </c>
      <c r="E736" s="220" t="s">
        <v>29</v>
      </c>
      <c r="F736" s="289"/>
      <c r="G736" s="289"/>
      <c r="H736" s="289"/>
      <c r="I736" s="289"/>
      <c r="J736" s="289"/>
      <c r="K736" s="289"/>
      <c r="L736" s="289"/>
      <c r="M736" s="289"/>
      <c r="N736" s="290"/>
      <c r="O736" s="289"/>
      <c r="P736" s="289"/>
      <c r="Q736" s="278"/>
    </row>
    <row r="737" spans="1:17">
      <c r="A737">
        <v>1412000016</v>
      </c>
      <c r="B737" t="s">
        <v>86</v>
      </c>
      <c r="E737" s="176" t="s">
        <v>25</v>
      </c>
      <c r="F737" s="279">
        <v>36</v>
      </c>
      <c r="G737" s="279">
        <v>34</v>
      </c>
      <c r="H737" s="279">
        <v>42</v>
      </c>
      <c r="I737" s="279">
        <v>46</v>
      </c>
      <c r="J737" s="279">
        <v>40</v>
      </c>
      <c r="K737" s="279">
        <v>38</v>
      </c>
      <c r="L737" s="279">
        <v>46</v>
      </c>
      <c r="M737" s="279">
        <v>40</v>
      </c>
      <c r="N737" s="280">
        <v>40</v>
      </c>
      <c r="O737" s="281">
        <v>40</v>
      </c>
      <c r="P737" s="279">
        <v>30</v>
      </c>
      <c r="Q737" s="280">
        <v>40</v>
      </c>
    </row>
    <row r="738" spans="1:17">
      <c r="A738">
        <v>1412000016</v>
      </c>
      <c r="B738" t="s">
        <v>86</v>
      </c>
      <c r="E738" s="312" t="s">
        <v>106</v>
      </c>
      <c r="F738" s="306">
        <v>200</v>
      </c>
      <c r="G738" s="306">
        <v>200</v>
      </c>
      <c r="H738" s="306">
        <v>250</v>
      </c>
      <c r="I738" s="306">
        <v>300</v>
      </c>
      <c r="J738" s="306">
        <v>250</v>
      </c>
      <c r="K738" s="306">
        <v>250</v>
      </c>
      <c r="L738" s="306">
        <v>300</v>
      </c>
      <c r="M738" s="306">
        <v>300</v>
      </c>
      <c r="N738" s="307">
        <v>250</v>
      </c>
      <c r="O738" s="308">
        <v>200</v>
      </c>
      <c r="P738" s="306">
        <v>150</v>
      </c>
      <c r="Q738" s="307">
        <v>200</v>
      </c>
    </row>
    <row r="739" spans="1:17">
      <c r="A739">
        <v>1412000016</v>
      </c>
      <c r="B739" t="s">
        <v>86</v>
      </c>
      <c r="E739" s="314" t="s">
        <v>158</v>
      </c>
      <c r="F739" s="309"/>
      <c r="G739" s="309"/>
      <c r="H739" s="309"/>
      <c r="I739" s="309"/>
      <c r="J739" s="309"/>
      <c r="K739" s="309"/>
      <c r="L739" s="309"/>
      <c r="M739" s="309"/>
      <c r="N739" s="310"/>
      <c r="O739" s="311"/>
      <c r="P739" s="309"/>
      <c r="Q739" s="310"/>
    </row>
    <row r="740" spans="1:17">
      <c r="A740">
        <v>1412000016</v>
      </c>
      <c r="B740" t="s">
        <v>86</v>
      </c>
      <c r="E740" s="177" t="s">
        <v>26</v>
      </c>
      <c r="F740" s="282">
        <v>200</v>
      </c>
      <c r="G740" s="282">
        <v>200</v>
      </c>
      <c r="H740" s="282">
        <v>250</v>
      </c>
      <c r="I740" s="282">
        <v>300</v>
      </c>
      <c r="J740" s="282">
        <v>250</v>
      </c>
      <c r="K740" s="282">
        <v>250</v>
      </c>
      <c r="L740" s="283">
        <v>300</v>
      </c>
      <c r="M740" s="282">
        <v>300</v>
      </c>
      <c r="N740" s="284">
        <v>250</v>
      </c>
      <c r="O740" s="283">
        <v>200</v>
      </c>
      <c r="P740" s="282">
        <v>150</v>
      </c>
      <c r="Q740" s="284">
        <v>200</v>
      </c>
    </row>
    <row r="741" spans="1:17" ht="15" thickBot="1">
      <c r="A741">
        <v>1412000016</v>
      </c>
      <c r="B741" t="s">
        <v>86</v>
      </c>
      <c r="E741" s="178" t="s">
        <v>45</v>
      </c>
      <c r="F741" s="285">
        <v>236</v>
      </c>
      <c r="G741" s="285">
        <v>234</v>
      </c>
      <c r="H741" s="285">
        <v>292</v>
      </c>
      <c r="I741" s="285">
        <v>346</v>
      </c>
      <c r="J741" s="285">
        <v>290</v>
      </c>
      <c r="K741" s="285">
        <v>288</v>
      </c>
      <c r="L741" s="286">
        <v>346</v>
      </c>
      <c r="M741" s="285">
        <v>340</v>
      </c>
      <c r="N741" s="287">
        <v>290</v>
      </c>
      <c r="O741" s="286">
        <v>240</v>
      </c>
      <c r="P741" s="285">
        <v>180</v>
      </c>
      <c r="Q741" s="287">
        <v>240</v>
      </c>
    </row>
    <row r="742" spans="1:17">
      <c r="A742">
        <v>1412000069</v>
      </c>
      <c r="B742" t="s">
        <v>87</v>
      </c>
      <c r="E742" s="220" t="s">
        <v>40</v>
      </c>
      <c r="F742" s="201"/>
      <c r="G742" s="201"/>
      <c r="H742" s="201"/>
      <c r="I742" s="201"/>
      <c r="J742" s="201"/>
      <c r="K742" s="201"/>
      <c r="L742" s="201"/>
      <c r="M742" s="201"/>
      <c r="N742" s="202"/>
      <c r="O742" s="201"/>
      <c r="P742" s="201"/>
      <c r="Q742" s="202"/>
    </row>
    <row r="743" spans="1:17">
      <c r="A743">
        <v>1412000069</v>
      </c>
      <c r="B743" t="s">
        <v>87</v>
      </c>
      <c r="E743" s="176" t="s">
        <v>25</v>
      </c>
      <c r="F743" s="267">
        <v>1</v>
      </c>
      <c r="G743" s="267">
        <v>1</v>
      </c>
      <c r="H743" s="267">
        <v>1</v>
      </c>
      <c r="I743" s="267">
        <v>1</v>
      </c>
      <c r="J743" s="267">
        <v>1</v>
      </c>
      <c r="K743" s="267">
        <v>1</v>
      </c>
      <c r="L743" s="267">
        <v>1</v>
      </c>
      <c r="M743" s="267">
        <v>1</v>
      </c>
      <c r="N743" s="268">
        <v>1</v>
      </c>
      <c r="O743" s="269">
        <v>1</v>
      </c>
      <c r="P743" s="267">
        <v>1</v>
      </c>
      <c r="Q743" s="268">
        <v>1</v>
      </c>
    </row>
    <row r="744" spans="1:17">
      <c r="A744">
        <v>1412000069</v>
      </c>
      <c r="B744" t="s">
        <v>87</v>
      </c>
      <c r="E744" s="312" t="s">
        <v>106</v>
      </c>
      <c r="F744" s="300">
        <v>12</v>
      </c>
      <c r="G744" s="300">
        <v>13</v>
      </c>
      <c r="H744" s="300">
        <v>13</v>
      </c>
      <c r="I744" s="300">
        <v>13</v>
      </c>
      <c r="J744" s="300">
        <v>13</v>
      </c>
      <c r="K744" s="300">
        <v>13</v>
      </c>
      <c r="L744" s="300">
        <v>13</v>
      </c>
      <c r="M744" s="300">
        <v>13</v>
      </c>
      <c r="N744" s="301">
        <v>13</v>
      </c>
      <c r="O744" s="302">
        <v>13</v>
      </c>
      <c r="P744" s="300">
        <v>13</v>
      </c>
      <c r="Q744" s="301">
        <v>13</v>
      </c>
    </row>
    <row r="745" spans="1:17">
      <c r="A745">
        <v>1412000069</v>
      </c>
      <c r="B745" t="s">
        <v>87</v>
      </c>
      <c r="E745" s="314" t="s">
        <v>158</v>
      </c>
      <c r="F745" s="303"/>
      <c r="G745" s="303"/>
      <c r="H745" s="303"/>
      <c r="I745" s="303"/>
      <c r="J745" s="303"/>
      <c r="K745" s="303"/>
      <c r="L745" s="303"/>
      <c r="M745" s="303"/>
      <c r="N745" s="304"/>
      <c r="O745" s="305"/>
      <c r="P745" s="303"/>
      <c r="Q745" s="304"/>
    </row>
    <row r="746" spans="1:17">
      <c r="A746">
        <v>1412000069</v>
      </c>
      <c r="B746" t="s">
        <v>87</v>
      </c>
      <c r="E746" s="177" t="s">
        <v>26</v>
      </c>
      <c r="F746" s="270">
        <v>12</v>
      </c>
      <c r="G746" s="270">
        <v>13</v>
      </c>
      <c r="H746" s="270">
        <v>13</v>
      </c>
      <c r="I746" s="270">
        <v>13</v>
      </c>
      <c r="J746" s="270">
        <v>13</v>
      </c>
      <c r="K746" s="270">
        <v>13</v>
      </c>
      <c r="L746" s="271">
        <v>13</v>
      </c>
      <c r="M746" s="270">
        <v>13</v>
      </c>
      <c r="N746" s="272">
        <v>13</v>
      </c>
      <c r="O746" s="271">
        <v>13</v>
      </c>
      <c r="P746" s="270">
        <v>13</v>
      </c>
      <c r="Q746" s="272">
        <v>13</v>
      </c>
    </row>
    <row r="747" spans="1:17" ht="15" thickBot="1">
      <c r="A747">
        <v>1412000069</v>
      </c>
      <c r="B747" t="s">
        <v>87</v>
      </c>
      <c r="E747" s="178" t="s">
        <v>27</v>
      </c>
      <c r="F747" s="273">
        <v>13</v>
      </c>
      <c r="G747" s="273">
        <v>14</v>
      </c>
      <c r="H747" s="273">
        <v>14</v>
      </c>
      <c r="I747" s="273">
        <v>14</v>
      </c>
      <c r="J747" s="273">
        <v>14</v>
      </c>
      <c r="K747" s="273">
        <v>14</v>
      </c>
      <c r="L747" s="274">
        <v>14</v>
      </c>
      <c r="M747" s="273">
        <v>14</v>
      </c>
      <c r="N747" s="275">
        <v>14</v>
      </c>
      <c r="O747" s="274">
        <v>14</v>
      </c>
      <c r="P747" s="273">
        <v>14</v>
      </c>
      <c r="Q747" s="275">
        <v>14</v>
      </c>
    </row>
    <row r="748" spans="1:17" ht="15" thickBot="1">
      <c r="A748">
        <v>1412000069</v>
      </c>
      <c r="B748" t="s">
        <v>87</v>
      </c>
      <c r="F748" s="276"/>
      <c r="G748" s="276"/>
      <c r="H748" s="276"/>
      <c r="I748" s="276"/>
      <c r="J748" s="276"/>
      <c r="K748" s="276"/>
      <c r="L748" s="276"/>
      <c r="M748" s="276"/>
      <c r="N748" s="276"/>
      <c r="O748" s="276"/>
      <c r="P748" s="276"/>
      <c r="Q748" s="276"/>
    </row>
    <row r="749" spans="1:17">
      <c r="A749">
        <v>1412000069</v>
      </c>
      <c r="B749" t="s">
        <v>87</v>
      </c>
      <c r="E749" s="220" t="s">
        <v>28</v>
      </c>
      <c r="F749" s="277"/>
      <c r="G749" s="277"/>
      <c r="H749" s="277"/>
      <c r="I749" s="277"/>
      <c r="J749" s="277"/>
      <c r="K749" s="277"/>
      <c r="L749" s="277"/>
      <c r="M749" s="277"/>
      <c r="N749" s="278"/>
      <c r="O749" s="277"/>
      <c r="P749" s="277"/>
      <c r="Q749" s="278"/>
    </row>
    <row r="750" spans="1:17">
      <c r="A750">
        <v>1412000069</v>
      </c>
      <c r="B750" t="s">
        <v>87</v>
      </c>
      <c r="E750" s="176" t="s">
        <v>25</v>
      </c>
      <c r="F750" s="279">
        <v>170</v>
      </c>
      <c r="G750" s="279">
        <v>119</v>
      </c>
      <c r="H750" s="279">
        <v>178.5</v>
      </c>
      <c r="I750" s="279">
        <v>195.5</v>
      </c>
      <c r="J750" s="279">
        <v>170</v>
      </c>
      <c r="K750" s="279">
        <v>161.5</v>
      </c>
      <c r="L750" s="279">
        <v>195.5</v>
      </c>
      <c r="M750" s="279">
        <v>127.5</v>
      </c>
      <c r="N750" s="280">
        <v>187</v>
      </c>
      <c r="O750" s="281">
        <v>170</v>
      </c>
      <c r="P750" s="279">
        <v>127.5</v>
      </c>
      <c r="Q750" s="280">
        <v>170</v>
      </c>
    </row>
    <row r="751" spans="1:17">
      <c r="A751">
        <v>1412000069</v>
      </c>
      <c r="B751" t="s">
        <v>87</v>
      </c>
      <c r="E751" s="312" t="s">
        <v>106</v>
      </c>
      <c r="F751" s="306">
        <v>1938</v>
      </c>
      <c r="G751" s="306">
        <v>1989</v>
      </c>
      <c r="H751" s="306">
        <v>2210</v>
      </c>
      <c r="I751" s="306">
        <v>2431</v>
      </c>
      <c r="J751" s="306">
        <v>2099.5</v>
      </c>
      <c r="K751" s="306">
        <v>1989</v>
      </c>
      <c r="L751" s="306">
        <v>2431</v>
      </c>
      <c r="M751" s="306">
        <v>2099.5</v>
      </c>
      <c r="N751" s="307">
        <v>2265.25</v>
      </c>
      <c r="O751" s="308">
        <v>2099.5</v>
      </c>
      <c r="P751" s="306">
        <v>1547</v>
      </c>
      <c r="Q751" s="307">
        <v>2099.5</v>
      </c>
    </row>
    <row r="752" spans="1:17">
      <c r="A752">
        <v>1412000069</v>
      </c>
      <c r="B752" t="s">
        <v>87</v>
      </c>
      <c r="E752" s="314" t="s">
        <v>158</v>
      </c>
      <c r="F752" s="309"/>
      <c r="G752" s="309"/>
      <c r="H752" s="309"/>
      <c r="I752" s="309"/>
      <c r="J752" s="309"/>
      <c r="K752" s="309"/>
      <c r="L752" s="309"/>
      <c r="M752" s="309"/>
      <c r="N752" s="310"/>
      <c r="O752" s="311"/>
      <c r="P752" s="309"/>
      <c r="Q752" s="310"/>
    </row>
    <row r="753" spans="1:17">
      <c r="A753">
        <v>1412000069</v>
      </c>
      <c r="B753" t="s">
        <v>87</v>
      </c>
      <c r="E753" s="177" t="s">
        <v>26</v>
      </c>
      <c r="F753" s="282">
        <v>1938</v>
      </c>
      <c r="G753" s="282">
        <v>1989</v>
      </c>
      <c r="H753" s="282">
        <v>2210</v>
      </c>
      <c r="I753" s="282">
        <v>2431</v>
      </c>
      <c r="J753" s="282">
        <v>2099.5</v>
      </c>
      <c r="K753" s="282">
        <v>1989</v>
      </c>
      <c r="L753" s="283">
        <v>2431</v>
      </c>
      <c r="M753" s="282">
        <v>2099.5</v>
      </c>
      <c r="N753" s="284">
        <v>2265.25</v>
      </c>
      <c r="O753" s="283">
        <v>2099.5</v>
      </c>
      <c r="P753" s="282">
        <v>1547</v>
      </c>
      <c r="Q753" s="284">
        <v>2099.5</v>
      </c>
    </row>
    <row r="754" spans="1:17" ht="15" thickBot="1">
      <c r="A754">
        <v>1412000069</v>
      </c>
      <c r="B754" t="s">
        <v>87</v>
      </c>
      <c r="E754" s="178" t="s">
        <v>44</v>
      </c>
      <c r="F754" s="285">
        <v>2108</v>
      </c>
      <c r="G754" s="285">
        <v>2108</v>
      </c>
      <c r="H754" s="285">
        <v>2388.5</v>
      </c>
      <c r="I754" s="285">
        <v>2626.5</v>
      </c>
      <c r="J754" s="285">
        <v>2269.5</v>
      </c>
      <c r="K754" s="285">
        <v>2150.5</v>
      </c>
      <c r="L754" s="286">
        <v>2626.5</v>
      </c>
      <c r="M754" s="285">
        <v>2227</v>
      </c>
      <c r="N754" s="287">
        <v>2452.25</v>
      </c>
      <c r="O754" s="286">
        <v>2269.5</v>
      </c>
      <c r="P754" s="285">
        <v>1674.5</v>
      </c>
      <c r="Q754" s="287">
        <v>2269.5</v>
      </c>
    </row>
    <row r="755" spans="1:17" ht="15" thickBot="1">
      <c r="A755">
        <v>1412000069</v>
      </c>
      <c r="B755" t="s">
        <v>87</v>
      </c>
      <c r="F755" s="288"/>
      <c r="G755" s="288"/>
      <c r="H755" s="288"/>
      <c r="I755" s="288"/>
      <c r="J755" s="288"/>
      <c r="K755" s="288"/>
      <c r="L755" s="288"/>
      <c r="M755" s="288"/>
      <c r="N755" s="288"/>
      <c r="O755" s="288"/>
      <c r="P755" s="288"/>
      <c r="Q755" s="288"/>
    </row>
    <row r="756" spans="1:17">
      <c r="A756">
        <v>1412000069</v>
      </c>
      <c r="B756" t="s">
        <v>87</v>
      </c>
      <c r="E756" s="220" t="s">
        <v>29</v>
      </c>
      <c r="F756" s="289"/>
      <c r="G756" s="289"/>
      <c r="H756" s="289"/>
      <c r="I756" s="289"/>
      <c r="J756" s="289"/>
      <c r="K756" s="289"/>
      <c r="L756" s="289"/>
      <c r="M756" s="289"/>
      <c r="N756" s="290"/>
      <c r="O756" s="289"/>
      <c r="P756" s="289"/>
      <c r="Q756" s="278"/>
    </row>
    <row r="757" spans="1:17">
      <c r="A757">
        <v>1412000069</v>
      </c>
      <c r="B757" t="s">
        <v>87</v>
      </c>
      <c r="E757" s="176" t="s">
        <v>25</v>
      </c>
      <c r="F757" s="279">
        <v>40</v>
      </c>
      <c r="G757" s="279">
        <v>28</v>
      </c>
      <c r="H757" s="279">
        <v>42</v>
      </c>
      <c r="I757" s="279">
        <v>46</v>
      </c>
      <c r="J757" s="279">
        <v>40</v>
      </c>
      <c r="K757" s="279">
        <v>38</v>
      </c>
      <c r="L757" s="279">
        <v>46</v>
      </c>
      <c r="M757" s="279">
        <v>30</v>
      </c>
      <c r="N757" s="280">
        <v>44</v>
      </c>
      <c r="O757" s="281">
        <v>40</v>
      </c>
      <c r="P757" s="279">
        <v>30</v>
      </c>
      <c r="Q757" s="280">
        <v>40</v>
      </c>
    </row>
    <row r="758" spans="1:17">
      <c r="A758">
        <v>1412000069</v>
      </c>
      <c r="B758" t="s">
        <v>87</v>
      </c>
      <c r="E758" s="312" t="s">
        <v>106</v>
      </c>
      <c r="F758" s="306">
        <v>80</v>
      </c>
      <c r="G758" s="306">
        <v>80</v>
      </c>
      <c r="H758" s="306">
        <v>80</v>
      </c>
      <c r="I758" s="306">
        <v>100</v>
      </c>
      <c r="J758" s="306">
        <v>100</v>
      </c>
      <c r="K758" s="306">
        <v>100</v>
      </c>
      <c r="L758" s="306">
        <v>100</v>
      </c>
      <c r="M758" s="306">
        <v>100</v>
      </c>
      <c r="N758" s="307">
        <v>100</v>
      </c>
      <c r="O758" s="308">
        <v>80</v>
      </c>
      <c r="P758" s="306">
        <v>60</v>
      </c>
      <c r="Q758" s="307">
        <v>80</v>
      </c>
    </row>
    <row r="759" spans="1:17">
      <c r="A759">
        <v>1412000069</v>
      </c>
      <c r="B759" t="s">
        <v>87</v>
      </c>
      <c r="E759" s="314" t="s">
        <v>158</v>
      </c>
      <c r="F759" s="309"/>
      <c r="G759" s="309"/>
      <c r="H759" s="309"/>
      <c r="I759" s="309"/>
      <c r="J759" s="309"/>
      <c r="K759" s="309"/>
      <c r="L759" s="309"/>
      <c r="M759" s="309"/>
      <c r="N759" s="310"/>
      <c r="O759" s="311"/>
      <c r="P759" s="309"/>
      <c r="Q759" s="310"/>
    </row>
    <row r="760" spans="1:17">
      <c r="A760">
        <v>1412000069</v>
      </c>
      <c r="B760" t="s">
        <v>87</v>
      </c>
      <c r="E760" s="177" t="s">
        <v>26</v>
      </c>
      <c r="F760" s="282">
        <v>80</v>
      </c>
      <c r="G760" s="282">
        <v>80</v>
      </c>
      <c r="H760" s="282">
        <v>80</v>
      </c>
      <c r="I760" s="282">
        <v>100</v>
      </c>
      <c r="J760" s="282">
        <v>100</v>
      </c>
      <c r="K760" s="282">
        <v>100</v>
      </c>
      <c r="L760" s="283">
        <v>100</v>
      </c>
      <c r="M760" s="282">
        <v>100</v>
      </c>
      <c r="N760" s="284">
        <v>100</v>
      </c>
      <c r="O760" s="283">
        <v>80</v>
      </c>
      <c r="P760" s="282">
        <v>60</v>
      </c>
      <c r="Q760" s="284">
        <v>80</v>
      </c>
    </row>
    <row r="761" spans="1:17" ht="15" thickBot="1">
      <c r="A761">
        <v>1412000069</v>
      </c>
      <c r="B761" t="s">
        <v>87</v>
      </c>
      <c r="E761" s="178" t="s">
        <v>45</v>
      </c>
      <c r="F761" s="285">
        <v>120</v>
      </c>
      <c r="G761" s="285">
        <v>108</v>
      </c>
      <c r="H761" s="285">
        <v>122</v>
      </c>
      <c r="I761" s="285">
        <v>146</v>
      </c>
      <c r="J761" s="285">
        <v>140</v>
      </c>
      <c r="K761" s="285">
        <v>138</v>
      </c>
      <c r="L761" s="286">
        <v>146</v>
      </c>
      <c r="M761" s="285">
        <v>130</v>
      </c>
      <c r="N761" s="287">
        <v>144</v>
      </c>
      <c r="O761" s="286">
        <v>120</v>
      </c>
      <c r="P761" s="285">
        <v>90</v>
      </c>
      <c r="Q761" s="287">
        <v>120</v>
      </c>
    </row>
    <row r="762" spans="1:17">
      <c r="A762">
        <v>1412000070</v>
      </c>
      <c r="B762" t="s">
        <v>96</v>
      </c>
      <c r="E762" s="220" t="s">
        <v>40</v>
      </c>
      <c r="F762" s="201"/>
      <c r="G762" s="201"/>
      <c r="H762" s="201"/>
      <c r="I762" s="201"/>
      <c r="J762" s="201"/>
      <c r="K762" s="201"/>
      <c r="L762" s="201"/>
      <c r="M762" s="201"/>
      <c r="N762" s="202"/>
      <c r="O762" s="201"/>
      <c r="P762" s="201"/>
      <c r="Q762" s="202"/>
    </row>
    <row r="763" spans="1:17">
      <c r="A763">
        <v>1412000070</v>
      </c>
      <c r="B763" t="s">
        <v>96</v>
      </c>
      <c r="E763" s="176" t="s">
        <v>25</v>
      </c>
      <c r="F763" s="267"/>
      <c r="G763" s="267"/>
      <c r="H763" s="267"/>
      <c r="I763" s="267"/>
      <c r="J763" s="267"/>
      <c r="K763" s="267"/>
      <c r="L763" s="267"/>
      <c r="M763" s="267"/>
      <c r="N763" s="268"/>
      <c r="O763" s="269"/>
      <c r="P763" s="267"/>
      <c r="Q763" s="268"/>
    </row>
    <row r="764" spans="1:17">
      <c r="A764">
        <v>1412000070</v>
      </c>
      <c r="B764" t="s">
        <v>96</v>
      </c>
      <c r="E764" s="312" t="s">
        <v>106</v>
      </c>
      <c r="F764" s="300">
        <v>8</v>
      </c>
      <c r="G764" s="300">
        <v>8</v>
      </c>
      <c r="H764" s="300">
        <v>8</v>
      </c>
      <c r="I764" s="300">
        <v>8</v>
      </c>
      <c r="J764" s="300">
        <v>8</v>
      </c>
      <c r="K764" s="300">
        <v>8</v>
      </c>
      <c r="L764" s="300">
        <v>8</v>
      </c>
      <c r="M764" s="300">
        <v>8</v>
      </c>
      <c r="N764" s="301">
        <v>8</v>
      </c>
      <c r="O764" s="302">
        <v>8</v>
      </c>
      <c r="P764" s="300">
        <v>8</v>
      </c>
      <c r="Q764" s="301">
        <v>8</v>
      </c>
    </row>
    <row r="765" spans="1:17">
      <c r="A765">
        <v>1412000070</v>
      </c>
      <c r="B765" t="s">
        <v>96</v>
      </c>
      <c r="E765" s="314" t="s">
        <v>158</v>
      </c>
      <c r="F765" s="303"/>
      <c r="G765" s="303"/>
      <c r="H765" s="303"/>
      <c r="I765" s="303"/>
      <c r="J765" s="303"/>
      <c r="K765" s="303"/>
      <c r="L765" s="303"/>
      <c r="M765" s="303"/>
      <c r="N765" s="304"/>
      <c r="O765" s="305"/>
      <c r="P765" s="303"/>
      <c r="Q765" s="304"/>
    </row>
    <row r="766" spans="1:17">
      <c r="A766">
        <v>1412000070</v>
      </c>
      <c r="B766" t="s">
        <v>96</v>
      </c>
      <c r="E766" s="177" t="s">
        <v>26</v>
      </c>
      <c r="F766" s="270">
        <v>8</v>
      </c>
      <c r="G766" s="270">
        <v>8</v>
      </c>
      <c r="H766" s="270">
        <v>8</v>
      </c>
      <c r="I766" s="270">
        <v>8</v>
      </c>
      <c r="J766" s="270">
        <v>8</v>
      </c>
      <c r="K766" s="270">
        <v>8</v>
      </c>
      <c r="L766" s="271">
        <v>8</v>
      </c>
      <c r="M766" s="270">
        <v>8</v>
      </c>
      <c r="N766" s="272">
        <v>8</v>
      </c>
      <c r="O766" s="271">
        <v>8</v>
      </c>
      <c r="P766" s="270">
        <v>8</v>
      </c>
      <c r="Q766" s="272">
        <v>8</v>
      </c>
    </row>
    <row r="767" spans="1:17" ht="15" thickBot="1">
      <c r="A767">
        <v>1412000070</v>
      </c>
      <c r="B767" t="s">
        <v>96</v>
      </c>
      <c r="E767" s="178" t="s">
        <v>27</v>
      </c>
      <c r="F767" s="273">
        <v>8</v>
      </c>
      <c r="G767" s="273">
        <v>8</v>
      </c>
      <c r="H767" s="273">
        <v>8</v>
      </c>
      <c r="I767" s="273">
        <v>8</v>
      </c>
      <c r="J767" s="273">
        <v>8</v>
      </c>
      <c r="K767" s="273">
        <v>8</v>
      </c>
      <c r="L767" s="274">
        <v>8</v>
      </c>
      <c r="M767" s="273">
        <v>8</v>
      </c>
      <c r="N767" s="275">
        <v>8</v>
      </c>
      <c r="O767" s="274">
        <v>8</v>
      </c>
      <c r="P767" s="273">
        <v>8</v>
      </c>
      <c r="Q767" s="275">
        <v>8</v>
      </c>
    </row>
    <row r="768" spans="1:17" ht="15" thickBot="1">
      <c r="A768">
        <v>1412000070</v>
      </c>
      <c r="B768" t="s">
        <v>96</v>
      </c>
      <c r="F768" s="276"/>
      <c r="G768" s="276"/>
      <c r="H768" s="276"/>
      <c r="I768" s="276"/>
      <c r="J768" s="276"/>
      <c r="K768" s="276"/>
      <c r="L768" s="276"/>
      <c r="M768" s="276"/>
      <c r="N768" s="276"/>
      <c r="O768" s="276"/>
      <c r="P768" s="276"/>
      <c r="Q768" s="276"/>
    </row>
    <row r="769" spans="1:17">
      <c r="A769">
        <v>1412000070</v>
      </c>
      <c r="B769" t="s">
        <v>96</v>
      </c>
      <c r="E769" s="220" t="s">
        <v>28</v>
      </c>
      <c r="F769" s="277"/>
      <c r="G769" s="277"/>
      <c r="H769" s="277"/>
      <c r="I769" s="277"/>
      <c r="J769" s="277"/>
      <c r="K769" s="277"/>
      <c r="L769" s="277"/>
      <c r="M769" s="277"/>
      <c r="N769" s="278"/>
      <c r="O769" s="277"/>
      <c r="P769" s="277"/>
      <c r="Q769" s="278"/>
    </row>
    <row r="770" spans="1:17">
      <c r="A770">
        <v>1412000070</v>
      </c>
      <c r="B770" t="s">
        <v>96</v>
      </c>
      <c r="E770" s="176" t="s">
        <v>25</v>
      </c>
      <c r="F770" s="279"/>
      <c r="G770" s="279"/>
      <c r="H770" s="279"/>
      <c r="I770" s="279"/>
      <c r="J770" s="279"/>
      <c r="K770" s="279"/>
      <c r="L770" s="279"/>
      <c r="M770" s="279"/>
      <c r="N770" s="280"/>
      <c r="O770" s="281"/>
      <c r="P770" s="279"/>
      <c r="Q770" s="280"/>
    </row>
    <row r="771" spans="1:17">
      <c r="A771">
        <v>1412000070</v>
      </c>
      <c r="B771" t="s">
        <v>96</v>
      </c>
      <c r="E771" s="312" t="s">
        <v>106</v>
      </c>
      <c r="F771" s="306">
        <v>1273</v>
      </c>
      <c r="G771" s="306">
        <v>1206</v>
      </c>
      <c r="H771" s="306">
        <v>1350</v>
      </c>
      <c r="I771" s="306">
        <v>1496</v>
      </c>
      <c r="J771" s="306">
        <v>1292</v>
      </c>
      <c r="K771" s="306">
        <v>1224</v>
      </c>
      <c r="L771" s="306">
        <v>1496</v>
      </c>
      <c r="M771" s="306">
        <v>1292</v>
      </c>
      <c r="N771" s="307">
        <v>1428</v>
      </c>
      <c r="O771" s="308">
        <v>1292</v>
      </c>
      <c r="P771" s="306">
        <v>952</v>
      </c>
      <c r="Q771" s="307">
        <v>1292</v>
      </c>
    </row>
    <row r="772" spans="1:17">
      <c r="A772">
        <v>1412000070</v>
      </c>
      <c r="B772" t="s">
        <v>96</v>
      </c>
      <c r="E772" s="314" t="s">
        <v>158</v>
      </c>
      <c r="F772" s="309"/>
      <c r="G772" s="309"/>
      <c r="H772" s="309"/>
      <c r="I772" s="309"/>
      <c r="J772" s="309"/>
      <c r="K772" s="309"/>
      <c r="L772" s="309"/>
      <c r="M772" s="309"/>
      <c r="N772" s="310"/>
      <c r="O772" s="311"/>
      <c r="P772" s="309"/>
      <c r="Q772" s="310"/>
    </row>
    <row r="773" spans="1:17">
      <c r="A773">
        <v>1412000070</v>
      </c>
      <c r="B773" t="s">
        <v>96</v>
      </c>
      <c r="E773" s="177" t="s">
        <v>26</v>
      </c>
      <c r="F773" s="282">
        <v>1273</v>
      </c>
      <c r="G773" s="282">
        <v>1206</v>
      </c>
      <c r="H773" s="282">
        <v>1350</v>
      </c>
      <c r="I773" s="282">
        <v>1496</v>
      </c>
      <c r="J773" s="282">
        <v>1292</v>
      </c>
      <c r="K773" s="282">
        <v>1224</v>
      </c>
      <c r="L773" s="283">
        <v>1496</v>
      </c>
      <c r="M773" s="282">
        <v>1292</v>
      </c>
      <c r="N773" s="284">
        <v>1428</v>
      </c>
      <c r="O773" s="283">
        <v>1292</v>
      </c>
      <c r="P773" s="282">
        <v>952</v>
      </c>
      <c r="Q773" s="284">
        <v>1292</v>
      </c>
    </row>
    <row r="774" spans="1:17" ht="15" thickBot="1">
      <c r="A774">
        <v>1412000070</v>
      </c>
      <c r="B774" t="s">
        <v>96</v>
      </c>
      <c r="E774" s="178" t="s">
        <v>44</v>
      </c>
      <c r="F774" s="285">
        <v>1273</v>
      </c>
      <c r="G774" s="285">
        <v>1206</v>
      </c>
      <c r="H774" s="285">
        <v>1350</v>
      </c>
      <c r="I774" s="285">
        <v>1496</v>
      </c>
      <c r="J774" s="285">
        <v>1292</v>
      </c>
      <c r="K774" s="285">
        <v>1224</v>
      </c>
      <c r="L774" s="286">
        <v>1496</v>
      </c>
      <c r="M774" s="285">
        <v>1292</v>
      </c>
      <c r="N774" s="287">
        <v>1428</v>
      </c>
      <c r="O774" s="286">
        <v>1292</v>
      </c>
      <c r="P774" s="285">
        <v>952</v>
      </c>
      <c r="Q774" s="287">
        <v>1292</v>
      </c>
    </row>
    <row r="775" spans="1:17" ht="15" thickBot="1">
      <c r="A775">
        <v>1412000070</v>
      </c>
      <c r="B775" t="s">
        <v>96</v>
      </c>
      <c r="F775" s="288"/>
      <c r="G775" s="288"/>
      <c r="H775" s="288"/>
      <c r="I775" s="288"/>
      <c r="J775" s="288"/>
      <c r="K775" s="288"/>
      <c r="L775" s="288"/>
      <c r="M775" s="288"/>
      <c r="N775" s="288"/>
      <c r="O775" s="288"/>
      <c r="P775" s="288"/>
      <c r="Q775" s="288"/>
    </row>
    <row r="776" spans="1:17">
      <c r="A776">
        <v>1412000070</v>
      </c>
      <c r="B776" t="s">
        <v>96</v>
      </c>
      <c r="E776" s="220" t="s">
        <v>29</v>
      </c>
      <c r="F776" s="289"/>
      <c r="G776" s="289"/>
      <c r="H776" s="289"/>
      <c r="I776" s="289"/>
      <c r="J776" s="289"/>
      <c r="K776" s="289"/>
      <c r="L776" s="289"/>
      <c r="M776" s="289"/>
      <c r="N776" s="290"/>
      <c r="O776" s="289"/>
      <c r="P776" s="289"/>
      <c r="Q776" s="278"/>
    </row>
    <row r="777" spans="1:17">
      <c r="A777">
        <v>1412000070</v>
      </c>
      <c r="B777" t="s">
        <v>96</v>
      </c>
      <c r="E777" s="176" t="s">
        <v>25</v>
      </c>
      <c r="F777" s="279"/>
      <c r="G777" s="279"/>
      <c r="H777" s="279"/>
      <c r="I777" s="279"/>
      <c r="J777" s="279"/>
      <c r="K777" s="279"/>
      <c r="L777" s="279"/>
      <c r="M777" s="279"/>
      <c r="N777" s="280"/>
      <c r="O777" s="281"/>
      <c r="P777" s="279"/>
      <c r="Q777" s="280"/>
    </row>
    <row r="778" spans="1:17">
      <c r="A778">
        <v>1412000070</v>
      </c>
      <c r="B778" t="s">
        <v>96</v>
      </c>
      <c r="E778" s="312" t="s">
        <v>106</v>
      </c>
      <c r="F778" s="306">
        <v>38</v>
      </c>
      <c r="G778" s="306">
        <v>36</v>
      </c>
      <c r="H778" s="306">
        <v>40</v>
      </c>
      <c r="I778" s="306">
        <v>44</v>
      </c>
      <c r="J778" s="306">
        <v>38</v>
      </c>
      <c r="K778" s="306">
        <v>36</v>
      </c>
      <c r="L778" s="306">
        <v>44</v>
      </c>
      <c r="M778" s="306">
        <v>38</v>
      </c>
      <c r="N778" s="307">
        <v>42</v>
      </c>
      <c r="O778" s="308">
        <v>76</v>
      </c>
      <c r="P778" s="306">
        <v>56</v>
      </c>
      <c r="Q778" s="307">
        <v>76</v>
      </c>
    </row>
    <row r="779" spans="1:17">
      <c r="A779">
        <v>1412000070</v>
      </c>
      <c r="B779" t="s">
        <v>96</v>
      </c>
      <c r="E779" s="314" t="s">
        <v>158</v>
      </c>
      <c r="F779" s="309"/>
      <c r="G779" s="309"/>
      <c r="H779" s="309"/>
      <c r="I779" s="309"/>
      <c r="J779" s="309"/>
      <c r="K779" s="309"/>
      <c r="L779" s="309"/>
      <c r="M779" s="309"/>
      <c r="N779" s="310"/>
      <c r="O779" s="311"/>
      <c r="P779" s="309"/>
      <c r="Q779" s="310"/>
    </row>
    <row r="780" spans="1:17">
      <c r="A780">
        <v>1412000070</v>
      </c>
      <c r="B780" t="s">
        <v>96</v>
      </c>
      <c r="E780" s="177" t="s">
        <v>26</v>
      </c>
      <c r="F780" s="282">
        <v>38</v>
      </c>
      <c r="G780" s="282">
        <v>36</v>
      </c>
      <c r="H780" s="282">
        <v>40</v>
      </c>
      <c r="I780" s="282">
        <v>44</v>
      </c>
      <c r="J780" s="282">
        <v>38</v>
      </c>
      <c r="K780" s="282">
        <v>36</v>
      </c>
      <c r="L780" s="283">
        <v>44</v>
      </c>
      <c r="M780" s="282">
        <v>38</v>
      </c>
      <c r="N780" s="284">
        <v>42</v>
      </c>
      <c r="O780" s="283">
        <v>76</v>
      </c>
      <c r="P780" s="282">
        <v>56</v>
      </c>
      <c r="Q780" s="284">
        <v>76</v>
      </c>
    </row>
    <row r="781" spans="1:17" ht="15" thickBot="1">
      <c r="A781">
        <v>1412000070</v>
      </c>
      <c r="B781" t="s">
        <v>96</v>
      </c>
      <c r="E781" s="178" t="s">
        <v>45</v>
      </c>
      <c r="F781" s="285">
        <v>38</v>
      </c>
      <c r="G781" s="285">
        <v>36</v>
      </c>
      <c r="H781" s="285">
        <v>40</v>
      </c>
      <c r="I781" s="285">
        <v>44</v>
      </c>
      <c r="J781" s="285">
        <v>38</v>
      </c>
      <c r="K781" s="285">
        <v>36</v>
      </c>
      <c r="L781" s="286">
        <v>44</v>
      </c>
      <c r="M781" s="285">
        <v>38</v>
      </c>
      <c r="N781" s="287">
        <v>42</v>
      </c>
      <c r="O781" s="286">
        <v>76</v>
      </c>
      <c r="P781" s="285">
        <v>56</v>
      </c>
      <c r="Q781" s="287">
        <v>76</v>
      </c>
    </row>
    <row r="782" spans="1:17">
      <c r="A782">
        <v>1412000072</v>
      </c>
      <c r="B782" t="s">
        <v>108</v>
      </c>
      <c r="E782" s="220" t="s">
        <v>40</v>
      </c>
      <c r="F782" s="201"/>
      <c r="G782" s="201"/>
      <c r="H782" s="201"/>
      <c r="I782" s="201"/>
      <c r="J782" s="201"/>
      <c r="K782" s="201"/>
      <c r="L782" s="201"/>
      <c r="M782" s="201"/>
      <c r="N782" s="202"/>
      <c r="O782" s="201"/>
      <c r="P782" s="201"/>
      <c r="Q782" s="202"/>
    </row>
    <row r="783" spans="1:17">
      <c r="A783">
        <v>1412000072</v>
      </c>
      <c r="B783" t="s">
        <v>108</v>
      </c>
      <c r="E783" s="176" t="s">
        <v>25</v>
      </c>
      <c r="F783" s="267"/>
      <c r="G783" s="267"/>
      <c r="H783" s="267"/>
      <c r="I783" s="267"/>
      <c r="J783" s="267"/>
      <c r="K783" s="267"/>
      <c r="L783" s="267"/>
      <c r="M783" s="267"/>
      <c r="N783" s="268"/>
      <c r="O783" s="269"/>
      <c r="P783" s="267"/>
      <c r="Q783" s="268"/>
    </row>
    <row r="784" spans="1:17">
      <c r="A784">
        <v>1412000072</v>
      </c>
      <c r="B784" t="s">
        <v>108</v>
      </c>
      <c r="E784" s="312" t="s">
        <v>106</v>
      </c>
      <c r="F784" s="300">
        <v>11</v>
      </c>
      <c r="G784" s="300">
        <v>11</v>
      </c>
      <c r="H784" s="300">
        <v>11</v>
      </c>
      <c r="I784" s="300">
        <v>11</v>
      </c>
      <c r="J784" s="300">
        <v>11</v>
      </c>
      <c r="K784" s="300">
        <v>11</v>
      </c>
      <c r="L784" s="300">
        <v>11</v>
      </c>
      <c r="M784" s="300">
        <v>11</v>
      </c>
      <c r="N784" s="301">
        <v>11</v>
      </c>
      <c r="O784" s="302">
        <v>11</v>
      </c>
      <c r="P784" s="300">
        <v>11</v>
      </c>
      <c r="Q784" s="301">
        <v>11</v>
      </c>
    </row>
    <row r="785" spans="1:17">
      <c r="A785">
        <v>1412000072</v>
      </c>
      <c r="B785" t="s">
        <v>108</v>
      </c>
      <c r="E785" s="314" t="s">
        <v>158</v>
      </c>
      <c r="F785" s="303">
        <v>53</v>
      </c>
      <c r="G785" s="303">
        <v>53</v>
      </c>
      <c r="H785" s="303">
        <v>52</v>
      </c>
      <c r="I785" s="303">
        <v>52</v>
      </c>
      <c r="J785" s="303">
        <v>51</v>
      </c>
      <c r="K785" s="303">
        <v>50</v>
      </c>
      <c r="L785" s="303">
        <v>50</v>
      </c>
      <c r="M785" s="303">
        <v>50</v>
      </c>
      <c r="N785" s="304">
        <v>49</v>
      </c>
      <c r="O785" s="305">
        <v>50</v>
      </c>
      <c r="P785" s="303">
        <v>51</v>
      </c>
      <c r="Q785" s="304">
        <v>50</v>
      </c>
    </row>
    <row r="786" spans="1:17">
      <c r="A786">
        <v>1412000072</v>
      </c>
      <c r="B786" t="s">
        <v>108</v>
      </c>
      <c r="E786" s="177" t="s">
        <v>26</v>
      </c>
      <c r="F786" s="270">
        <v>64</v>
      </c>
      <c r="G786" s="270">
        <v>64</v>
      </c>
      <c r="H786" s="270">
        <v>63</v>
      </c>
      <c r="I786" s="270">
        <v>63</v>
      </c>
      <c r="J786" s="270">
        <v>62</v>
      </c>
      <c r="K786" s="270">
        <v>61</v>
      </c>
      <c r="L786" s="271">
        <v>61</v>
      </c>
      <c r="M786" s="270">
        <v>61</v>
      </c>
      <c r="N786" s="272">
        <v>60</v>
      </c>
      <c r="O786" s="271">
        <v>61</v>
      </c>
      <c r="P786" s="270">
        <v>62</v>
      </c>
      <c r="Q786" s="272">
        <v>61</v>
      </c>
    </row>
    <row r="787" spans="1:17" ht="15" thickBot="1">
      <c r="A787">
        <v>1412000072</v>
      </c>
      <c r="B787" t="s">
        <v>108</v>
      </c>
      <c r="E787" s="178" t="s">
        <v>27</v>
      </c>
      <c r="F787" s="273">
        <v>64</v>
      </c>
      <c r="G787" s="273">
        <v>64</v>
      </c>
      <c r="H787" s="273">
        <v>63</v>
      </c>
      <c r="I787" s="273">
        <v>63</v>
      </c>
      <c r="J787" s="273">
        <v>62</v>
      </c>
      <c r="K787" s="273">
        <v>61</v>
      </c>
      <c r="L787" s="274">
        <v>61</v>
      </c>
      <c r="M787" s="273">
        <v>61</v>
      </c>
      <c r="N787" s="275">
        <v>60</v>
      </c>
      <c r="O787" s="274">
        <v>61</v>
      </c>
      <c r="P787" s="273">
        <v>62</v>
      </c>
      <c r="Q787" s="275">
        <v>61</v>
      </c>
    </row>
    <row r="788" spans="1:17" ht="15" thickBot="1">
      <c r="A788">
        <v>1412000072</v>
      </c>
      <c r="B788" t="s">
        <v>108</v>
      </c>
      <c r="F788" s="276"/>
      <c r="G788" s="276"/>
      <c r="H788" s="276"/>
      <c r="I788" s="276"/>
      <c r="J788" s="276"/>
      <c r="K788" s="276"/>
      <c r="L788" s="276"/>
      <c r="M788" s="276"/>
      <c r="N788" s="276"/>
      <c r="O788" s="276"/>
      <c r="P788" s="276"/>
      <c r="Q788" s="276"/>
    </row>
    <row r="789" spans="1:17">
      <c r="A789">
        <v>1412000072</v>
      </c>
      <c r="B789" t="s">
        <v>108</v>
      </c>
      <c r="E789" s="220" t="s">
        <v>28</v>
      </c>
      <c r="F789" s="277"/>
      <c r="G789" s="277"/>
      <c r="H789" s="277"/>
      <c r="I789" s="277"/>
      <c r="J789" s="277"/>
      <c r="K789" s="277"/>
      <c r="L789" s="277"/>
      <c r="M789" s="277"/>
      <c r="N789" s="278"/>
      <c r="O789" s="277"/>
      <c r="P789" s="277"/>
      <c r="Q789" s="278"/>
    </row>
    <row r="790" spans="1:17">
      <c r="A790">
        <v>1412000072</v>
      </c>
      <c r="B790" t="s">
        <v>108</v>
      </c>
      <c r="E790" s="176" t="s">
        <v>25</v>
      </c>
      <c r="F790" s="279"/>
      <c r="G790" s="279"/>
      <c r="H790" s="279"/>
      <c r="I790" s="279"/>
      <c r="J790" s="279"/>
      <c r="K790" s="279"/>
      <c r="L790" s="279"/>
      <c r="M790" s="279"/>
      <c r="N790" s="280"/>
      <c r="O790" s="281"/>
      <c r="P790" s="279"/>
      <c r="Q790" s="280"/>
    </row>
    <row r="791" spans="1:17">
      <c r="A791">
        <v>1412000072</v>
      </c>
      <c r="B791" t="s">
        <v>108</v>
      </c>
      <c r="E791" s="312" t="s">
        <v>106</v>
      </c>
      <c r="F791" s="306">
        <v>1705</v>
      </c>
      <c r="G791" s="306">
        <v>1619.75</v>
      </c>
      <c r="H791" s="306">
        <v>1790.25</v>
      </c>
      <c r="I791" s="306">
        <v>1960.75</v>
      </c>
      <c r="J791" s="306">
        <v>1747.5</v>
      </c>
      <c r="K791" s="306">
        <v>1594.25</v>
      </c>
      <c r="L791" s="306">
        <v>1960.75</v>
      </c>
      <c r="M791" s="306">
        <v>1705</v>
      </c>
      <c r="N791" s="307">
        <v>1875.5</v>
      </c>
      <c r="O791" s="308">
        <v>1705</v>
      </c>
      <c r="P791" s="306">
        <v>1312.75</v>
      </c>
      <c r="Q791" s="307">
        <v>1671</v>
      </c>
    </row>
    <row r="792" spans="1:17">
      <c r="A792">
        <v>1412000072</v>
      </c>
      <c r="B792" t="s">
        <v>108</v>
      </c>
      <c r="E792" s="314" t="s">
        <v>158</v>
      </c>
      <c r="F792" s="309">
        <v>7650</v>
      </c>
      <c r="G792" s="309">
        <v>7267.5</v>
      </c>
      <c r="H792" s="309">
        <v>7854</v>
      </c>
      <c r="I792" s="309">
        <v>8602</v>
      </c>
      <c r="J792" s="309">
        <v>7395</v>
      </c>
      <c r="K792" s="309">
        <v>6698</v>
      </c>
      <c r="L792" s="309">
        <v>8211</v>
      </c>
      <c r="M792" s="309">
        <v>7140</v>
      </c>
      <c r="N792" s="310">
        <v>7667</v>
      </c>
      <c r="O792" s="311">
        <v>7140</v>
      </c>
      <c r="P792" s="309">
        <v>5737.5</v>
      </c>
      <c r="Q792" s="310">
        <v>7182.5</v>
      </c>
    </row>
    <row r="793" spans="1:17">
      <c r="A793">
        <v>1412000072</v>
      </c>
      <c r="B793" t="s">
        <v>108</v>
      </c>
      <c r="E793" s="177" t="s">
        <v>26</v>
      </c>
      <c r="F793" s="282">
        <v>9355</v>
      </c>
      <c r="G793" s="282">
        <v>8887.25</v>
      </c>
      <c r="H793" s="282">
        <v>9644.25</v>
      </c>
      <c r="I793" s="282">
        <v>10562.75</v>
      </c>
      <c r="J793" s="282">
        <v>9142.5</v>
      </c>
      <c r="K793" s="282">
        <v>8292.25</v>
      </c>
      <c r="L793" s="283">
        <v>10171.75</v>
      </c>
      <c r="M793" s="282">
        <v>8845</v>
      </c>
      <c r="N793" s="284">
        <v>9542.5</v>
      </c>
      <c r="O793" s="283">
        <v>8845</v>
      </c>
      <c r="P793" s="282">
        <v>7050.25</v>
      </c>
      <c r="Q793" s="284">
        <v>8853.5</v>
      </c>
    </row>
    <row r="794" spans="1:17" ht="15" thickBot="1">
      <c r="A794">
        <v>1412000072</v>
      </c>
      <c r="B794" t="s">
        <v>108</v>
      </c>
      <c r="E794" s="178" t="s">
        <v>44</v>
      </c>
      <c r="F794" s="285">
        <v>9355</v>
      </c>
      <c r="G794" s="285">
        <v>8887.25</v>
      </c>
      <c r="H794" s="285">
        <v>9644.25</v>
      </c>
      <c r="I794" s="285">
        <v>10562.75</v>
      </c>
      <c r="J794" s="285">
        <v>9142.5</v>
      </c>
      <c r="K794" s="285">
        <v>8292.25</v>
      </c>
      <c r="L794" s="286">
        <v>10171.75</v>
      </c>
      <c r="M794" s="285">
        <v>8845</v>
      </c>
      <c r="N794" s="287">
        <v>9542.5</v>
      </c>
      <c r="O794" s="286">
        <v>8845</v>
      </c>
      <c r="P794" s="285">
        <v>7050.25</v>
      </c>
      <c r="Q794" s="287">
        <v>8853.5</v>
      </c>
    </row>
    <row r="795" spans="1:17" ht="15" thickBot="1">
      <c r="A795">
        <v>1412000072</v>
      </c>
      <c r="B795" t="s">
        <v>108</v>
      </c>
      <c r="F795" s="288"/>
      <c r="G795" s="288"/>
      <c r="H795" s="288"/>
      <c r="I795" s="288"/>
      <c r="J795" s="288"/>
      <c r="K795" s="288"/>
      <c r="L795" s="288"/>
      <c r="M795" s="288"/>
      <c r="N795" s="288"/>
      <c r="O795" s="288"/>
      <c r="P795" s="288"/>
      <c r="Q795" s="288"/>
    </row>
    <row r="796" spans="1:17">
      <c r="A796">
        <v>1412000072</v>
      </c>
      <c r="B796" t="s">
        <v>108</v>
      </c>
      <c r="E796" s="220" t="s">
        <v>29</v>
      </c>
      <c r="F796" s="289"/>
      <c r="G796" s="289"/>
      <c r="H796" s="289"/>
      <c r="I796" s="289"/>
      <c r="J796" s="289"/>
      <c r="K796" s="289"/>
      <c r="L796" s="289"/>
      <c r="M796" s="289"/>
      <c r="N796" s="290"/>
      <c r="O796" s="289"/>
      <c r="P796" s="289"/>
      <c r="Q796" s="278"/>
    </row>
    <row r="797" spans="1:17">
      <c r="A797">
        <v>1412000072</v>
      </c>
      <c r="B797" t="s">
        <v>108</v>
      </c>
      <c r="E797" s="176" t="s">
        <v>25</v>
      </c>
      <c r="F797" s="279"/>
      <c r="G797" s="279"/>
      <c r="H797" s="279"/>
      <c r="I797" s="279"/>
      <c r="J797" s="279"/>
      <c r="K797" s="279"/>
      <c r="L797" s="279"/>
      <c r="M797" s="279"/>
      <c r="N797" s="280"/>
      <c r="O797" s="281"/>
      <c r="P797" s="279"/>
      <c r="Q797" s="280"/>
    </row>
    <row r="798" spans="1:17">
      <c r="A798">
        <v>1412000072</v>
      </c>
      <c r="B798" t="s">
        <v>108</v>
      </c>
      <c r="E798" s="312" t="s">
        <v>106</v>
      </c>
      <c r="F798" s="306">
        <v>100</v>
      </c>
      <c r="G798" s="306">
        <v>96</v>
      </c>
      <c r="H798" s="306">
        <v>104</v>
      </c>
      <c r="I798" s="306">
        <v>112</v>
      </c>
      <c r="J798" s="306">
        <v>100</v>
      </c>
      <c r="K798" s="306">
        <v>96</v>
      </c>
      <c r="L798" s="306">
        <v>112</v>
      </c>
      <c r="M798" s="306">
        <v>100</v>
      </c>
      <c r="N798" s="307">
        <v>108</v>
      </c>
      <c r="O798" s="308">
        <v>100</v>
      </c>
      <c r="P798" s="306">
        <v>90</v>
      </c>
      <c r="Q798" s="307">
        <v>100</v>
      </c>
    </row>
    <row r="799" spans="1:17">
      <c r="A799">
        <v>1412000072</v>
      </c>
      <c r="B799" t="s">
        <v>108</v>
      </c>
      <c r="E799" s="314" t="s">
        <v>158</v>
      </c>
      <c r="F799" s="309">
        <v>150</v>
      </c>
      <c r="G799" s="309">
        <v>150</v>
      </c>
      <c r="H799" s="309">
        <v>150</v>
      </c>
      <c r="I799" s="309">
        <v>150</v>
      </c>
      <c r="J799" s="309">
        <v>200</v>
      </c>
      <c r="K799" s="309">
        <v>200</v>
      </c>
      <c r="L799" s="309">
        <v>200</v>
      </c>
      <c r="M799" s="309">
        <v>200</v>
      </c>
      <c r="N799" s="310">
        <v>350</v>
      </c>
      <c r="O799" s="311">
        <v>450</v>
      </c>
      <c r="P799" s="309">
        <v>800</v>
      </c>
      <c r="Q799" s="310">
        <v>600</v>
      </c>
    </row>
    <row r="800" spans="1:17">
      <c r="A800">
        <v>1412000072</v>
      </c>
      <c r="B800" t="s">
        <v>108</v>
      </c>
      <c r="E800" s="177" t="s">
        <v>26</v>
      </c>
      <c r="F800" s="282">
        <v>250</v>
      </c>
      <c r="G800" s="282">
        <v>246</v>
      </c>
      <c r="H800" s="282">
        <v>254</v>
      </c>
      <c r="I800" s="282">
        <v>262</v>
      </c>
      <c r="J800" s="282">
        <v>300</v>
      </c>
      <c r="K800" s="282">
        <v>296</v>
      </c>
      <c r="L800" s="283">
        <v>312</v>
      </c>
      <c r="M800" s="282">
        <v>300</v>
      </c>
      <c r="N800" s="284">
        <v>458</v>
      </c>
      <c r="O800" s="283">
        <v>550</v>
      </c>
      <c r="P800" s="282">
        <v>890</v>
      </c>
      <c r="Q800" s="284">
        <v>700</v>
      </c>
    </row>
    <row r="801" spans="1:17" ht="15" thickBot="1">
      <c r="A801">
        <v>1412000072</v>
      </c>
      <c r="B801" t="s">
        <v>108</v>
      </c>
      <c r="E801" s="178" t="s">
        <v>45</v>
      </c>
      <c r="F801" s="285">
        <v>250</v>
      </c>
      <c r="G801" s="285">
        <v>246</v>
      </c>
      <c r="H801" s="285">
        <v>254</v>
      </c>
      <c r="I801" s="285">
        <v>262</v>
      </c>
      <c r="J801" s="285">
        <v>300</v>
      </c>
      <c r="K801" s="285">
        <v>296</v>
      </c>
      <c r="L801" s="286">
        <v>312</v>
      </c>
      <c r="M801" s="285">
        <v>300</v>
      </c>
      <c r="N801" s="287">
        <v>458</v>
      </c>
      <c r="O801" s="286">
        <v>550</v>
      </c>
      <c r="P801" s="285">
        <v>890</v>
      </c>
      <c r="Q801" s="287">
        <v>700</v>
      </c>
    </row>
    <row r="802" spans="1:17">
      <c r="A802">
        <v>1412000073</v>
      </c>
      <c r="B802" t="s">
        <v>93</v>
      </c>
      <c r="E802" s="220" t="s">
        <v>40</v>
      </c>
      <c r="F802" s="201"/>
      <c r="G802" s="201"/>
      <c r="H802" s="201"/>
      <c r="I802" s="201"/>
      <c r="J802" s="201"/>
      <c r="K802" s="201"/>
      <c r="L802" s="201"/>
      <c r="M802" s="201"/>
      <c r="N802" s="202"/>
      <c r="O802" s="201"/>
      <c r="P802" s="201"/>
      <c r="Q802" s="202"/>
    </row>
    <row r="803" spans="1:17">
      <c r="A803">
        <v>1412000073</v>
      </c>
      <c r="B803" t="s">
        <v>93</v>
      </c>
      <c r="E803" s="176" t="s">
        <v>25</v>
      </c>
      <c r="F803" s="267">
        <v>1</v>
      </c>
      <c r="G803" s="267">
        <v>1</v>
      </c>
      <c r="H803" s="267">
        <v>1</v>
      </c>
      <c r="I803" s="267">
        <v>1</v>
      </c>
      <c r="J803" s="267">
        <v>1</v>
      </c>
      <c r="K803" s="267">
        <v>1</v>
      </c>
      <c r="L803" s="267">
        <v>1</v>
      </c>
      <c r="M803" s="267">
        <v>1</v>
      </c>
      <c r="N803" s="268">
        <v>1</v>
      </c>
      <c r="O803" s="269">
        <v>1</v>
      </c>
      <c r="P803" s="267">
        <v>1</v>
      </c>
      <c r="Q803" s="268">
        <v>1</v>
      </c>
    </row>
    <row r="804" spans="1:17">
      <c r="A804">
        <v>1412000073</v>
      </c>
      <c r="B804" t="s">
        <v>93</v>
      </c>
      <c r="E804" s="312" t="s">
        <v>106</v>
      </c>
      <c r="F804" s="300">
        <v>12</v>
      </c>
      <c r="G804" s="300">
        <v>12</v>
      </c>
      <c r="H804" s="300">
        <v>12</v>
      </c>
      <c r="I804" s="300">
        <v>12</v>
      </c>
      <c r="J804" s="300">
        <v>12</v>
      </c>
      <c r="K804" s="300">
        <v>12</v>
      </c>
      <c r="L804" s="300">
        <v>12</v>
      </c>
      <c r="M804" s="300">
        <v>12</v>
      </c>
      <c r="N804" s="301">
        <v>12</v>
      </c>
      <c r="O804" s="302">
        <v>12</v>
      </c>
      <c r="P804" s="300">
        <v>12</v>
      </c>
      <c r="Q804" s="301">
        <v>12</v>
      </c>
    </row>
    <row r="805" spans="1:17">
      <c r="A805">
        <v>1412000073</v>
      </c>
      <c r="B805" t="s">
        <v>93</v>
      </c>
      <c r="E805" s="314" t="s">
        <v>158</v>
      </c>
      <c r="F805" s="303">
        <v>5</v>
      </c>
      <c r="G805" s="303">
        <v>5</v>
      </c>
      <c r="H805" s="303">
        <v>5</v>
      </c>
      <c r="I805" s="303">
        <v>5</v>
      </c>
      <c r="J805" s="303">
        <v>5</v>
      </c>
      <c r="K805" s="303">
        <v>5</v>
      </c>
      <c r="L805" s="303">
        <v>5</v>
      </c>
      <c r="M805" s="303">
        <v>5</v>
      </c>
      <c r="N805" s="304">
        <v>5</v>
      </c>
      <c r="O805" s="305">
        <v>5</v>
      </c>
      <c r="P805" s="303">
        <v>5</v>
      </c>
      <c r="Q805" s="304">
        <v>5</v>
      </c>
    </row>
    <row r="806" spans="1:17">
      <c r="A806">
        <v>1412000073</v>
      </c>
      <c r="B806" t="s">
        <v>93</v>
      </c>
      <c r="E806" s="177" t="s">
        <v>26</v>
      </c>
      <c r="F806" s="270">
        <v>17</v>
      </c>
      <c r="G806" s="270">
        <v>17</v>
      </c>
      <c r="H806" s="270">
        <v>17</v>
      </c>
      <c r="I806" s="270">
        <v>17</v>
      </c>
      <c r="J806" s="270">
        <v>17</v>
      </c>
      <c r="K806" s="270">
        <v>17</v>
      </c>
      <c r="L806" s="271">
        <v>17</v>
      </c>
      <c r="M806" s="270">
        <v>17</v>
      </c>
      <c r="N806" s="272">
        <v>17</v>
      </c>
      <c r="O806" s="271">
        <v>17</v>
      </c>
      <c r="P806" s="270">
        <v>17</v>
      </c>
      <c r="Q806" s="272">
        <v>17</v>
      </c>
    </row>
    <row r="807" spans="1:17" ht="15" thickBot="1">
      <c r="A807">
        <v>1412000073</v>
      </c>
      <c r="B807" t="s">
        <v>93</v>
      </c>
      <c r="E807" s="178" t="s">
        <v>27</v>
      </c>
      <c r="F807" s="273">
        <v>18</v>
      </c>
      <c r="G807" s="273">
        <v>18</v>
      </c>
      <c r="H807" s="273">
        <v>18</v>
      </c>
      <c r="I807" s="273">
        <v>18</v>
      </c>
      <c r="J807" s="273">
        <v>18</v>
      </c>
      <c r="K807" s="273">
        <v>18</v>
      </c>
      <c r="L807" s="274">
        <v>18</v>
      </c>
      <c r="M807" s="273">
        <v>18</v>
      </c>
      <c r="N807" s="275">
        <v>18</v>
      </c>
      <c r="O807" s="274">
        <v>18</v>
      </c>
      <c r="P807" s="273">
        <v>18</v>
      </c>
      <c r="Q807" s="275">
        <v>18</v>
      </c>
    </row>
    <row r="808" spans="1:17" ht="15" thickBot="1">
      <c r="A808">
        <v>1412000073</v>
      </c>
      <c r="B808" t="s">
        <v>93</v>
      </c>
      <c r="F808" s="276"/>
      <c r="G808" s="276"/>
      <c r="H808" s="276"/>
      <c r="I808" s="276"/>
      <c r="J808" s="276"/>
      <c r="K808" s="276"/>
      <c r="L808" s="276"/>
      <c r="M808" s="276"/>
      <c r="N808" s="276"/>
      <c r="O808" s="276"/>
      <c r="P808" s="276"/>
      <c r="Q808" s="276"/>
    </row>
    <row r="809" spans="1:17">
      <c r="A809">
        <v>1412000073</v>
      </c>
      <c r="B809" t="s">
        <v>93</v>
      </c>
      <c r="E809" s="220" t="s">
        <v>28</v>
      </c>
      <c r="F809" s="277"/>
      <c r="G809" s="277"/>
      <c r="H809" s="277"/>
      <c r="I809" s="277"/>
      <c r="J809" s="277"/>
      <c r="K809" s="277"/>
      <c r="L809" s="277"/>
      <c r="M809" s="277"/>
      <c r="N809" s="278"/>
      <c r="O809" s="277"/>
      <c r="P809" s="277"/>
      <c r="Q809" s="278"/>
    </row>
    <row r="810" spans="1:17">
      <c r="A810">
        <v>1412000073</v>
      </c>
      <c r="B810" t="s">
        <v>93</v>
      </c>
      <c r="E810" s="176" t="s">
        <v>25</v>
      </c>
      <c r="F810" s="279">
        <v>170</v>
      </c>
      <c r="G810" s="279">
        <v>161.5</v>
      </c>
      <c r="H810" s="279">
        <v>178.5</v>
      </c>
      <c r="I810" s="279">
        <v>195.5</v>
      </c>
      <c r="J810" s="279">
        <v>170</v>
      </c>
      <c r="K810" s="279">
        <v>161.5</v>
      </c>
      <c r="L810" s="279">
        <v>195.5</v>
      </c>
      <c r="M810" s="279">
        <v>170</v>
      </c>
      <c r="N810" s="280">
        <v>187</v>
      </c>
      <c r="O810" s="281">
        <v>170</v>
      </c>
      <c r="P810" s="279">
        <v>127.5</v>
      </c>
      <c r="Q810" s="280">
        <v>170</v>
      </c>
    </row>
    <row r="811" spans="1:17">
      <c r="A811">
        <v>1412000073</v>
      </c>
      <c r="B811" t="s">
        <v>93</v>
      </c>
      <c r="E811" s="312" t="s">
        <v>106</v>
      </c>
      <c r="F811" s="306">
        <v>1870</v>
      </c>
      <c r="G811" s="306">
        <v>1742.5</v>
      </c>
      <c r="H811" s="306">
        <v>1929.5</v>
      </c>
      <c r="I811" s="306">
        <v>2082.5</v>
      </c>
      <c r="J811" s="306">
        <v>1666</v>
      </c>
      <c r="K811" s="306">
        <v>1581</v>
      </c>
      <c r="L811" s="306">
        <v>1921</v>
      </c>
      <c r="M811" s="306">
        <v>1836</v>
      </c>
      <c r="N811" s="307">
        <v>2023</v>
      </c>
      <c r="O811" s="308">
        <v>1836</v>
      </c>
      <c r="P811" s="306">
        <v>1496</v>
      </c>
      <c r="Q811" s="307">
        <v>2006</v>
      </c>
    </row>
    <row r="812" spans="1:17">
      <c r="A812">
        <v>1412000073</v>
      </c>
      <c r="B812" t="s">
        <v>93</v>
      </c>
      <c r="E812" s="314" t="s">
        <v>158</v>
      </c>
      <c r="F812" s="309">
        <v>833</v>
      </c>
      <c r="G812" s="309">
        <v>790.5</v>
      </c>
      <c r="H812" s="309">
        <v>875.5</v>
      </c>
      <c r="I812" s="309">
        <v>960.5</v>
      </c>
      <c r="J812" s="309">
        <v>833</v>
      </c>
      <c r="K812" s="309">
        <v>790.5</v>
      </c>
      <c r="L812" s="309">
        <v>960.5</v>
      </c>
      <c r="M812" s="309">
        <v>833</v>
      </c>
      <c r="N812" s="310">
        <v>918</v>
      </c>
      <c r="O812" s="311">
        <v>833</v>
      </c>
      <c r="P812" s="309">
        <v>620.5</v>
      </c>
      <c r="Q812" s="310">
        <v>833</v>
      </c>
    </row>
    <row r="813" spans="1:17">
      <c r="A813">
        <v>1412000073</v>
      </c>
      <c r="B813" t="s">
        <v>93</v>
      </c>
      <c r="E813" s="177" t="s">
        <v>26</v>
      </c>
      <c r="F813" s="282">
        <v>2703</v>
      </c>
      <c r="G813" s="282">
        <v>2533</v>
      </c>
      <c r="H813" s="282">
        <v>2805</v>
      </c>
      <c r="I813" s="282">
        <v>3043</v>
      </c>
      <c r="J813" s="282">
        <v>2499</v>
      </c>
      <c r="K813" s="282">
        <v>2371.5</v>
      </c>
      <c r="L813" s="283">
        <v>2881.5</v>
      </c>
      <c r="M813" s="282">
        <v>2669</v>
      </c>
      <c r="N813" s="284">
        <v>2941</v>
      </c>
      <c r="O813" s="283">
        <v>2669</v>
      </c>
      <c r="P813" s="282">
        <v>2116.5</v>
      </c>
      <c r="Q813" s="284">
        <v>2839</v>
      </c>
    </row>
    <row r="814" spans="1:17" ht="15" thickBot="1">
      <c r="A814">
        <v>1412000073</v>
      </c>
      <c r="B814" t="s">
        <v>93</v>
      </c>
      <c r="E814" s="178" t="s">
        <v>44</v>
      </c>
      <c r="F814" s="285">
        <v>2873</v>
      </c>
      <c r="G814" s="285">
        <v>2694.5</v>
      </c>
      <c r="H814" s="285">
        <v>2983.5</v>
      </c>
      <c r="I814" s="285">
        <v>3238.5</v>
      </c>
      <c r="J814" s="285">
        <v>2669</v>
      </c>
      <c r="K814" s="285">
        <v>2533</v>
      </c>
      <c r="L814" s="286">
        <v>3077</v>
      </c>
      <c r="M814" s="285">
        <v>2839</v>
      </c>
      <c r="N814" s="287">
        <v>3128</v>
      </c>
      <c r="O814" s="286">
        <v>2839</v>
      </c>
      <c r="P814" s="285">
        <v>2244</v>
      </c>
      <c r="Q814" s="287">
        <v>3009</v>
      </c>
    </row>
    <row r="815" spans="1:17" ht="15" thickBot="1">
      <c r="A815">
        <v>1412000073</v>
      </c>
      <c r="B815" t="s">
        <v>93</v>
      </c>
      <c r="F815" s="288"/>
      <c r="G815" s="288"/>
      <c r="H815" s="288"/>
      <c r="I815" s="288"/>
      <c r="J815" s="288"/>
      <c r="K815" s="288"/>
      <c r="L815" s="288"/>
      <c r="M815" s="288"/>
      <c r="N815" s="288"/>
      <c r="O815" s="288"/>
      <c r="P815" s="288"/>
      <c r="Q815" s="288"/>
    </row>
    <row r="816" spans="1:17">
      <c r="A816">
        <v>1412000073</v>
      </c>
      <c r="B816" t="s">
        <v>93</v>
      </c>
      <c r="E816" s="220" t="s">
        <v>29</v>
      </c>
      <c r="F816" s="289"/>
      <c r="G816" s="289"/>
      <c r="H816" s="289"/>
      <c r="I816" s="289"/>
      <c r="J816" s="289"/>
      <c r="K816" s="289"/>
      <c r="L816" s="289"/>
      <c r="M816" s="289"/>
      <c r="N816" s="290"/>
      <c r="O816" s="289"/>
      <c r="P816" s="289"/>
      <c r="Q816" s="278"/>
    </row>
    <row r="817" spans="1:17">
      <c r="A817">
        <v>1412000073</v>
      </c>
      <c r="B817" t="s">
        <v>93</v>
      </c>
      <c r="E817" s="176" t="s">
        <v>25</v>
      </c>
      <c r="F817" s="279">
        <v>40</v>
      </c>
      <c r="G817" s="279">
        <v>38</v>
      </c>
      <c r="H817" s="279">
        <v>42</v>
      </c>
      <c r="I817" s="279">
        <v>46</v>
      </c>
      <c r="J817" s="279">
        <v>40</v>
      </c>
      <c r="K817" s="279">
        <v>38</v>
      </c>
      <c r="L817" s="279">
        <v>46</v>
      </c>
      <c r="M817" s="279">
        <v>40</v>
      </c>
      <c r="N817" s="280">
        <v>44</v>
      </c>
      <c r="O817" s="281">
        <v>40</v>
      </c>
      <c r="P817" s="279">
        <v>30</v>
      </c>
      <c r="Q817" s="280">
        <v>40</v>
      </c>
    </row>
    <row r="818" spans="1:17">
      <c r="A818">
        <v>1412000073</v>
      </c>
      <c r="B818" t="s">
        <v>93</v>
      </c>
      <c r="E818" s="312" t="s">
        <v>106</v>
      </c>
      <c r="F818" s="306"/>
      <c r="G818" s="306"/>
      <c r="H818" s="306"/>
      <c r="I818" s="306"/>
      <c r="J818" s="306">
        <v>16</v>
      </c>
      <c r="K818" s="306"/>
      <c r="L818" s="306"/>
      <c r="M818" s="306"/>
      <c r="N818" s="307"/>
      <c r="O818" s="308"/>
      <c r="P818" s="306">
        <v>16</v>
      </c>
      <c r="Q818" s="307"/>
    </row>
    <row r="819" spans="1:17">
      <c r="A819">
        <v>1412000073</v>
      </c>
      <c r="B819" t="s">
        <v>93</v>
      </c>
      <c r="E819" s="314" t="s">
        <v>158</v>
      </c>
      <c r="F819" s="309"/>
      <c r="G819" s="309"/>
      <c r="H819" s="309"/>
      <c r="I819" s="309"/>
      <c r="J819" s="309">
        <v>4</v>
      </c>
      <c r="K819" s="309"/>
      <c r="L819" s="309"/>
      <c r="M819" s="309"/>
      <c r="N819" s="310"/>
      <c r="O819" s="311"/>
      <c r="P819" s="309">
        <v>2</v>
      </c>
      <c r="Q819" s="310"/>
    </row>
    <row r="820" spans="1:17">
      <c r="A820">
        <v>1412000073</v>
      </c>
      <c r="B820" t="s">
        <v>93</v>
      </c>
      <c r="E820" s="177" t="s">
        <v>26</v>
      </c>
      <c r="F820" s="282">
        <v>0</v>
      </c>
      <c r="G820" s="282">
        <v>0</v>
      </c>
      <c r="H820" s="282">
        <v>0</v>
      </c>
      <c r="I820" s="282">
        <v>0</v>
      </c>
      <c r="J820" s="282">
        <v>20</v>
      </c>
      <c r="K820" s="282">
        <v>0</v>
      </c>
      <c r="L820" s="283">
        <v>0</v>
      </c>
      <c r="M820" s="282">
        <v>0</v>
      </c>
      <c r="N820" s="284">
        <v>0</v>
      </c>
      <c r="O820" s="283">
        <v>0</v>
      </c>
      <c r="P820" s="282">
        <v>18</v>
      </c>
      <c r="Q820" s="284">
        <v>0</v>
      </c>
    </row>
    <row r="821" spans="1:17" ht="15" thickBot="1">
      <c r="A821">
        <v>1412000073</v>
      </c>
      <c r="B821" t="s">
        <v>93</v>
      </c>
      <c r="E821" s="178" t="s">
        <v>45</v>
      </c>
      <c r="F821" s="285">
        <v>40</v>
      </c>
      <c r="G821" s="285">
        <v>38</v>
      </c>
      <c r="H821" s="285">
        <v>42</v>
      </c>
      <c r="I821" s="285">
        <v>46</v>
      </c>
      <c r="J821" s="285">
        <v>60</v>
      </c>
      <c r="K821" s="285">
        <v>38</v>
      </c>
      <c r="L821" s="286">
        <v>46</v>
      </c>
      <c r="M821" s="285">
        <v>40</v>
      </c>
      <c r="N821" s="287">
        <v>44</v>
      </c>
      <c r="O821" s="286">
        <v>40</v>
      </c>
      <c r="P821" s="285">
        <v>48</v>
      </c>
      <c r="Q821" s="287">
        <v>40</v>
      </c>
    </row>
    <row r="822" spans="1:17">
      <c r="A822">
        <v>1412000075</v>
      </c>
      <c r="B822" t="s">
        <v>165</v>
      </c>
      <c r="E822" s="220" t="s">
        <v>40</v>
      </c>
      <c r="F822" s="201"/>
      <c r="G822" s="201"/>
      <c r="H822" s="201"/>
      <c r="I822" s="201"/>
      <c r="J822" s="201"/>
      <c r="K822" s="201"/>
      <c r="L822" s="201"/>
      <c r="M822" s="201"/>
      <c r="N822" s="202"/>
      <c r="O822" s="201"/>
      <c r="P822" s="201"/>
      <c r="Q822" s="202"/>
    </row>
    <row r="823" spans="1:17">
      <c r="A823">
        <v>1412000075</v>
      </c>
      <c r="B823" t="s">
        <v>165</v>
      </c>
      <c r="E823" s="176" t="s">
        <v>25</v>
      </c>
      <c r="F823" s="267"/>
      <c r="G823" s="267"/>
      <c r="H823" s="267"/>
      <c r="I823" s="267"/>
      <c r="J823" s="267"/>
      <c r="K823" s="267"/>
      <c r="L823" s="267"/>
      <c r="M823" s="267"/>
      <c r="N823" s="268"/>
      <c r="O823" s="269"/>
      <c r="P823" s="267"/>
      <c r="Q823" s="268"/>
    </row>
    <row r="824" spans="1:17">
      <c r="A824">
        <v>1412000075</v>
      </c>
      <c r="B824" t="s">
        <v>165</v>
      </c>
      <c r="E824" s="312" t="s">
        <v>106</v>
      </c>
      <c r="F824" s="300">
        <v>7</v>
      </c>
      <c r="G824" s="300">
        <v>7</v>
      </c>
      <c r="H824" s="300">
        <v>7</v>
      </c>
      <c r="I824" s="300">
        <v>7</v>
      </c>
      <c r="J824" s="300">
        <v>7</v>
      </c>
      <c r="K824" s="300">
        <v>7</v>
      </c>
      <c r="L824" s="300">
        <v>7</v>
      </c>
      <c r="M824" s="300">
        <v>7</v>
      </c>
      <c r="N824" s="301">
        <v>7</v>
      </c>
      <c r="O824" s="302">
        <v>8</v>
      </c>
      <c r="P824" s="300">
        <v>8</v>
      </c>
      <c r="Q824" s="301">
        <v>8</v>
      </c>
    </row>
    <row r="825" spans="1:17">
      <c r="A825">
        <v>1412000075</v>
      </c>
      <c r="B825" t="s">
        <v>165</v>
      </c>
      <c r="E825" s="314" t="s">
        <v>158</v>
      </c>
      <c r="F825" s="303">
        <v>1</v>
      </c>
      <c r="G825" s="303">
        <v>1</v>
      </c>
      <c r="H825" s="303">
        <v>1</v>
      </c>
      <c r="I825" s="303">
        <v>1</v>
      </c>
      <c r="J825" s="303">
        <v>1</v>
      </c>
      <c r="K825" s="303">
        <v>1</v>
      </c>
      <c r="L825" s="303">
        <v>2</v>
      </c>
      <c r="M825" s="303">
        <v>2</v>
      </c>
      <c r="N825" s="304">
        <v>2</v>
      </c>
      <c r="O825" s="305">
        <v>1</v>
      </c>
      <c r="P825" s="303">
        <v>1</v>
      </c>
      <c r="Q825" s="304">
        <v>1</v>
      </c>
    </row>
    <row r="826" spans="1:17">
      <c r="A826">
        <v>1412000075</v>
      </c>
      <c r="B826" t="s">
        <v>165</v>
      </c>
      <c r="E826" s="177" t="s">
        <v>26</v>
      </c>
      <c r="F826" s="270">
        <v>8</v>
      </c>
      <c r="G826" s="270">
        <v>8</v>
      </c>
      <c r="H826" s="270">
        <v>8</v>
      </c>
      <c r="I826" s="270">
        <v>8</v>
      </c>
      <c r="J826" s="270">
        <v>8</v>
      </c>
      <c r="K826" s="270">
        <v>8</v>
      </c>
      <c r="L826" s="271">
        <v>9</v>
      </c>
      <c r="M826" s="270">
        <v>9</v>
      </c>
      <c r="N826" s="272">
        <v>9</v>
      </c>
      <c r="O826" s="271">
        <v>9</v>
      </c>
      <c r="P826" s="270">
        <v>9</v>
      </c>
      <c r="Q826" s="272">
        <v>9</v>
      </c>
    </row>
    <row r="827" spans="1:17" ht="15" thickBot="1">
      <c r="A827">
        <v>1412000075</v>
      </c>
      <c r="B827" t="s">
        <v>165</v>
      </c>
      <c r="E827" s="178" t="s">
        <v>27</v>
      </c>
      <c r="F827" s="273">
        <v>8</v>
      </c>
      <c r="G827" s="273">
        <v>8</v>
      </c>
      <c r="H827" s="273">
        <v>8</v>
      </c>
      <c r="I827" s="273">
        <v>8</v>
      </c>
      <c r="J827" s="273">
        <v>8</v>
      </c>
      <c r="K827" s="273">
        <v>8</v>
      </c>
      <c r="L827" s="274">
        <v>9</v>
      </c>
      <c r="M827" s="273">
        <v>9</v>
      </c>
      <c r="N827" s="275">
        <v>9</v>
      </c>
      <c r="O827" s="274">
        <v>9</v>
      </c>
      <c r="P827" s="273">
        <v>9</v>
      </c>
      <c r="Q827" s="275">
        <v>9</v>
      </c>
    </row>
    <row r="828" spans="1:17" ht="15" thickBot="1">
      <c r="A828">
        <v>1412000075</v>
      </c>
      <c r="B828" t="s">
        <v>165</v>
      </c>
      <c r="F828" s="276"/>
      <c r="G828" s="276"/>
      <c r="H828" s="276"/>
      <c r="I828" s="276"/>
      <c r="J828" s="276"/>
      <c r="K828" s="276"/>
      <c r="L828" s="276"/>
      <c r="M828" s="276"/>
      <c r="N828" s="276"/>
      <c r="O828" s="276"/>
      <c r="P828" s="276"/>
      <c r="Q828" s="276"/>
    </row>
    <row r="829" spans="1:17">
      <c r="A829">
        <v>1412000075</v>
      </c>
      <c r="B829" t="s">
        <v>165</v>
      </c>
      <c r="E829" s="220" t="s">
        <v>28</v>
      </c>
      <c r="F829" s="277"/>
      <c r="G829" s="277"/>
      <c r="H829" s="277"/>
      <c r="I829" s="277"/>
      <c r="J829" s="277"/>
      <c r="K829" s="277"/>
      <c r="L829" s="277"/>
      <c r="M829" s="277"/>
      <c r="N829" s="278"/>
      <c r="O829" s="277"/>
      <c r="P829" s="277"/>
      <c r="Q829" s="278"/>
    </row>
    <row r="830" spans="1:17">
      <c r="A830">
        <v>1412000075</v>
      </c>
      <c r="B830" t="s">
        <v>165</v>
      </c>
      <c r="E830" s="176" t="s">
        <v>25</v>
      </c>
      <c r="F830" s="279"/>
      <c r="G830" s="279"/>
      <c r="H830" s="279"/>
      <c r="I830" s="279"/>
      <c r="J830" s="279"/>
      <c r="K830" s="279"/>
      <c r="L830" s="279"/>
      <c r="M830" s="279"/>
      <c r="N830" s="280"/>
      <c r="O830" s="281"/>
      <c r="P830" s="279"/>
      <c r="Q830" s="280"/>
    </row>
    <row r="831" spans="1:17">
      <c r="A831">
        <v>1412000075</v>
      </c>
      <c r="B831" t="s">
        <v>165</v>
      </c>
      <c r="E831" s="312" t="s">
        <v>106</v>
      </c>
      <c r="F831" s="306">
        <v>1131</v>
      </c>
      <c r="G831" s="306">
        <v>1074</v>
      </c>
      <c r="H831" s="306">
        <v>1187</v>
      </c>
      <c r="I831" s="306">
        <v>1300</v>
      </c>
      <c r="J831" s="306">
        <v>1131</v>
      </c>
      <c r="K831" s="306">
        <v>1074</v>
      </c>
      <c r="L831" s="306">
        <v>1300</v>
      </c>
      <c r="M831" s="306">
        <v>1131</v>
      </c>
      <c r="N831" s="307">
        <v>1244</v>
      </c>
      <c r="O831" s="308">
        <v>1292</v>
      </c>
      <c r="P831" s="306">
        <v>969</v>
      </c>
      <c r="Q831" s="307">
        <v>1292</v>
      </c>
    </row>
    <row r="832" spans="1:17">
      <c r="A832">
        <v>1412000075</v>
      </c>
      <c r="B832" t="s">
        <v>165</v>
      </c>
      <c r="E832" s="314" t="s">
        <v>158</v>
      </c>
      <c r="F832" s="309">
        <v>162</v>
      </c>
      <c r="G832" s="309">
        <v>153</v>
      </c>
      <c r="H832" s="309">
        <v>170</v>
      </c>
      <c r="I832" s="309">
        <v>186</v>
      </c>
      <c r="J832" s="309">
        <v>162</v>
      </c>
      <c r="K832" s="309">
        <v>153</v>
      </c>
      <c r="L832" s="309">
        <v>371</v>
      </c>
      <c r="M832" s="309">
        <v>323</v>
      </c>
      <c r="N832" s="310">
        <v>355</v>
      </c>
      <c r="O832" s="311">
        <v>162</v>
      </c>
      <c r="P832" s="309">
        <v>121</v>
      </c>
      <c r="Q832" s="310">
        <v>162</v>
      </c>
    </row>
    <row r="833" spans="1:17">
      <c r="A833">
        <v>1412000075</v>
      </c>
      <c r="B833" t="s">
        <v>165</v>
      </c>
      <c r="E833" s="177" t="s">
        <v>26</v>
      </c>
      <c r="F833" s="282">
        <v>1293</v>
      </c>
      <c r="G833" s="282">
        <v>1227</v>
      </c>
      <c r="H833" s="282">
        <v>1357</v>
      </c>
      <c r="I833" s="282">
        <v>1486</v>
      </c>
      <c r="J833" s="282">
        <v>1293</v>
      </c>
      <c r="K833" s="282">
        <v>1227</v>
      </c>
      <c r="L833" s="283">
        <v>1671</v>
      </c>
      <c r="M833" s="282">
        <v>1454</v>
      </c>
      <c r="N833" s="284">
        <v>1599</v>
      </c>
      <c r="O833" s="283">
        <v>1454</v>
      </c>
      <c r="P833" s="282">
        <v>1090</v>
      </c>
      <c r="Q833" s="284">
        <v>1454</v>
      </c>
    </row>
    <row r="834" spans="1:17" ht="15" thickBot="1">
      <c r="A834">
        <v>1412000075</v>
      </c>
      <c r="B834" t="s">
        <v>165</v>
      </c>
      <c r="E834" s="178" t="s">
        <v>44</v>
      </c>
      <c r="F834" s="285">
        <v>1293</v>
      </c>
      <c r="G834" s="285">
        <v>1227</v>
      </c>
      <c r="H834" s="285">
        <v>1357</v>
      </c>
      <c r="I834" s="285">
        <v>1486</v>
      </c>
      <c r="J834" s="285">
        <v>1293</v>
      </c>
      <c r="K834" s="285">
        <v>1227</v>
      </c>
      <c r="L834" s="286">
        <v>1671</v>
      </c>
      <c r="M834" s="285">
        <v>1454</v>
      </c>
      <c r="N834" s="287">
        <v>1599</v>
      </c>
      <c r="O834" s="286">
        <v>1454</v>
      </c>
      <c r="P834" s="285">
        <v>1090</v>
      </c>
      <c r="Q834" s="287">
        <v>1454</v>
      </c>
    </row>
    <row r="835" spans="1:17" ht="15" thickBot="1">
      <c r="A835">
        <v>1412000075</v>
      </c>
      <c r="B835" t="s">
        <v>165</v>
      </c>
      <c r="F835" s="288"/>
      <c r="G835" s="288"/>
      <c r="H835" s="288"/>
      <c r="I835" s="288"/>
      <c r="J835" s="288"/>
      <c r="K835" s="288"/>
      <c r="L835" s="288"/>
      <c r="M835" s="288"/>
      <c r="N835" s="288"/>
      <c r="O835" s="288"/>
      <c r="P835" s="288"/>
      <c r="Q835" s="288"/>
    </row>
    <row r="836" spans="1:17">
      <c r="A836">
        <v>1412000075</v>
      </c>
      <c r="B836" t="s">
        <v>165</v>
      </c>
      <c r="E836" s="220" t="s">
        <v>29</v>
      </c>
      <c r="F836" s="289"/>
      <c r="G836" s="289"/>
      <c r="H836" s="289"/>
      <c r="I836" s="289"/>
      <c r="J836" s="289"/>
      <c r="K836" s="289"/>
      <c r="L836" s="289"/>
      <c r="M836" s="289"/>
      <c r="N836" s="290"/>
      <c r="O836" s="289"/>
      <c r="P836" s="289"/>
      <c r="Q836" s="278"/>
    </row>
    <row r="837" spans="1:17">
      <c r="A837">
        <v>1412000075</v>
      </c>
      <c r="B837" t="s">
        <v>165</v>
      </c>
      <c r="E837" s="176" t="s">
        <v>25</v>
      </c>
      <c r="F837" s="279"/>
      <c r="G837" s="279"/>
      <c r="H837" s="279"/>
      <c r="I837" s="279"/>
      <c r="J837" s="279"/>
      <c r="K837" s="279"/>
      <c r="L837" s="279"/>
      <c r="M837" s="279"/>
      <c r="N837" s="280"/>
      <c r="O837" s="281"/>
      <c r="P837" s="279"/>
      <c r="Q837" s="280"/>
    </row>
    <row r="838" spans="1:17">
      <c r="A838">
        <v>1412000075</v>
      </c>
      <c r="B838" t="s">
        <v>165</v>
      </c>
      <c r="E838" s="312" t="s">
        <v>106</v>
      </c>
      <c r="F838" s="306">
        <v>48</v>
      </c>
      <c r="G838" s="306">
        <v>46</v>
      </c>
      <c r="H838" s="306">
        <v>50</v>
      </c>
      <c r="I838" s="306">
        <v>54</v>
      </c>
      <c r="J838" s="306">
        <v>48</v>
      </c>
      <c r="K838" s="306">
        <v>46</v>
      </c>
      <c r="L838" s="306">
        <v>54</v>
      </c>
      <c r="M838" s="306">
        <v>48</v>
      </c>
      <c r="N838" s="307">
        <v>52</v>
      </c>
      <c r="O838" s="308">
        <v>48</v>
      </c>
      <c r="P838" s="306">
        <v>38</v>
      </c>
      <c r="Q838" s="307">
        <v>48</v>
      </c>
    </row>
    <row r="839" spans="1:17">
      <c r="A839">
        <v>1412000075</v>
      </c>
      <c r="B839" t="s">
        <v>165</v>
      </c>
      <c r="E839" s="314" t="s">
        <v>158</v>
      </c>
      <c r="F839" s="309">
        <v>0</v>
      </c>
      <c r="G839" s="309">
        <v>0</v>
      </c>
      <c r="H839" s="309">
        <v>0</v>
      </c>
      <c r="I839" s="309">
        <v>0</v>
      </c>
      <c r="J839" s="309">
        <v>0</v>
      </c>
      <c r="K839" s="309">
        <v>0</v>
      </c>
      <c r="L839" s="309">
        <v>0</v>
      </c>
      <c r="M839" s="309">
        <v>0</v>
      </c>
      <c r="N839" s="310">
        <v>0</v>
      </c>
      <c r="O839" s="311">
        <v>0</v>
      </c>
      <c r="P839" s="309">
        <v>0</v>
      </c>
      <c r="Q839" s="310">
        <v>0</v>
      </c>
    </row>
    <row r="840" spans="1:17">
      <c r="A840">
        <v>1412000075</v>
      </c>
      <c r="B840" t="s">
        <v>165</v>
      </c>
      <c r="E840" s="177" t="s">
        <v>26</v>
      </c>
      <c r="F840" s="282">
        <v>48</v>
      </c>
      <c r="G840" s="282">
        <v>46</v>
      </c>
      <c r="H840" s="282">
        <v>50</v>
      </c>
      <c r="I840" s="282">
        <v>54</v>
      </c>
      <c r="J840" s="282">
        <v>48</v>
      </c>
      <c r="K840" s="282">
        <v>46</v>
      </c>
      <c r="L840" s="283">
        <v>54</v>
      </c>
      <c r="M840" s="282">
        <v>48</v>
      </c>
      <c r="N840" s="284">
        <v>52</v>
      </c>
      <c r="O840" s="283">
        <v>48</v>
      </c>
      <c r="P840" s="282">
        <v>38</v>
      </c>
      <c r="Q840" s="284">
        <v>48</v>
      </c>
    </row>
    <row r="841" spans="1:17" ht="15" thickBot="1">
      <c r="A841">
        <v>1412000075</v>
      </c>
      <c r="B841" t="s">
        <v>165</v>
      </c>
      <c r="E841" s="178" t="s">
        <v>45</v>
      </c>
      <c r="F841" s="285">
        <v>48</v>
      </c>
      <c r="G841" s="285">
        <v>46</v>
      </c>
      <c r="H841" s="285">
        <v>50</v>
      </c>
      <c r="I841" s="285">
        <v>54</v>
      </c>
      <c r="J841" s="285">
        <v>48</v>
      </c>
      <c r="K841" s="285">
        <v>46</v>
      </c>
      <c r="L841" s="286">
        <v>54</v>
      </c>
      <c r="M841" s="285">
        <v>48</v>
      </c>
      <c r="N841" s="287">
        <v>52</v>
      </c>
      <c r="O841" s="286">
        <v>48</v>
      </c>
      <c r="P841" s="285">
        <v>38</v>
      </c>
      <c r="Q841" s="287">
        <v>48</v>
      </c>
    </row>
    <row r="842" spans="1:17">
      <c r="A842">
        <v>1412000057</v>
      </c>
      <c r="B842" t="s">
        <v>102</v>
      </c>
      <c r="E842" s="220" t="s">
        <v>40</v>
      </c>
      <c r="F842" s="201"/>
      <c r="G842" s="201"/>
      <c r="H842" s="201"/>
      <c r="I842" s="201"/>
      <c r="J842" s="201"/>
      <c r="K842" s="201"/>
      <c r="L842" s="201"/>
      <c r="M842" s="201"/>
      <c r="N842" s="202"/>
      <c r="O842" s="201"/>
      <c r="P842" s="201"/>
      <c r="Q842" s="202"/>
    </row>
    <row r="843" spans="1:17">
      <c r="A843">
        <v>1412000057</v>
      </c>
      <c r="B843" t="s">
        <v>102</v>
      </c>
      <c r="E843" s="176" t="s">
        <v>25</v>
      </c>
      <c r="F843" s="267">
        <v>0</v>
      </c>
      <c r="G843" s="267">
        <v>0</v>
      </c>
      <c r="H843" s="267">
        <v>0</v>
      </c>
      <c r="I843" s="267">
        <v>0</v>
      </c>
      <c r="J843" s="267">
        <v>0</v>
      </c>
      <c r="K843" s="267">
        <v>0</v>
      </c>
      <c r="L843" s="267">
        <v>0</v>
      </c>
      <c r="M843" s="267">
        <v>0</v>
      </c>
      <c r="N843" s="268">
        <v>0</v>
      </c>
      <c r="O843" s="269">
        <v>0</v>
      </c>
      <c r="P843" s="267">
        <v>0</v>
      </c>
      <c r="Q843" s="268">
        <v>0</v>
      </c>
    </row>
    <row r="844" spans="1:17">
      <c r="A844">
        <v>1412000057</v>
      </c>
      <c r="B844" t="s">
        <v>102</v>
      </c>
      <c r="E844" s="312" t="s">
        <v>106</v>
      </c>
      <c r="F844" s="300">
        <v>9</v>
      </c>
      <c r="G844" s="300">
        <v>9</v>
      </c>
      <c r="H844" s="300">
        <v>9</v>
      </c>
      <c r="I844" s="300">
        <v>9</v>
      </c>
      <c r="J844" s="300">
        <v>9</v>
      </c>
      <c r="K844" s="300">
        <v>10</v>
      </c>
      <c r="L844" s="300">
        <v>10</v>
      </c>
      <c r="M844" s="300">
        <v>10</v>
      </c>
      <c r="N844" s="301">
        <v>10</v>
      </c>
      <c r="O844" s="302">
        <v>10</v>
      </c>
      <c r="P844" s="300">
        <v>10</v>
      </c>
      <c r="Q844" s="301">
        <v>10</v>
      </c>
    </row>
    <row r="845" spans="1:17">
      <c r="A845">
        <v>1412000057</v>
      </c>
      <c r="B845" t="s">
        <v>102</v>
      </c>
      <c r="E845" s="314" t="s">
        <v>158</v>
      </c>
      <c r="F845" s="303"/>
      <c r="G845" s="303"/>
      <c r="H845" s="303"/>
      <c r="I845" s="303"/>
      <c r="J845" s="303"/>
      <c r="K845" s="303"/>
      <c r="L845" s="303"/>
      <c r="M845" s="303"/>
      <c r="N845" s="304"/>
      <c r="O845" s="305"/>
      <c r="P845" s="303"/>
      <c r="Q845" s="304"/>
    </row>
    <row r="846" spans="1:17">
      <c r="A846">
        <v>1412000057</v>
      </c>
      <c r="B846" t="s">
        <v>102</v>
      </c>
      <c r="E846" s="177" t="s">
        <v>26</v>
      </c>
      <c r="F846" s="270">
        <v>9</v>
      </c>
      <c r="G846" s="270">
        <v>9</v>
      </c>
      <c r="H846" s="270">
        <v>9</v>
      </c>
      <c r="I846" s="270">
        <v>9</v>
      </c>
      <c r="J846" s="270">
        <v>9</v>
      </c>
      <c r="K846" s="270">
        <v>10</v>
      </c>
      <c r="L846" s="271">
        <v>10</v>
      </c>
      <c r="M846" s="270">
        <v>10</v>
      </c>
      <c r="N846" s="272">
        <v>10</v>
      </c>
      <c r="O846" s="271">
        <v>10</v>
      </c>
      <c r="P846" s="270">
        <v>10</v>
      </c>
      <c r="Q846" s="272">
        <v>10</v>
      </c>
    </row>
    <row r="847" spans="1:17" ht="15" thickBot="1">
      <c r="A847">
        <v>1412000057</v>
      </c>
      <c r="B847" t="s">
        <v>102</v>
      </c>
      <c r="E847" s="178" t="s">
        <v>27</v>
      </c>
      <c r="F847" s="273">
        <v>9</v>
      </c>
      <c r="G847" s="273">
        <v>9</v>
      </c>
      <c r="H847" s="273">
        <v>9</v>
      </c>
      <c r="I847" s="273">
        <v>9</v>
      </c>
      <c r="J847" s="273">
        <v>9</v>
      </c>
      <c r="K847" s="273">
        <v>10</v>
      </c>
      <c r="L847" s="274">
        <v>10</v>
      </c>
      <c r="M847" s="273">
        <v>10</v>
      </c>
      <c r="N847" s="275">
        <v>10</v>
      </c>
      <c r="O847" s="274">
        <v>10</v>
      </c>
      <c r="P847" s="273">
        <v>10</v>
      </c>
      <c r="Q847" s="275">
        <v>10</v>
      </c>
    </row>
    <row r="848" spans="1:17" ht="15" thickBot="1">
      <c r="A848">
        <v>1412000057</v>
      </c>
      <c r="B848" t="s">
        <v>102</v>
      </c>
      <c r="F848" s="276"/>
      <c r="G848" s="276"/>
      <c r="H848" s="276"/>
      <c r="I848" s="276"/>
      <c r="J848" s="276"/>
      <c r="K848" s="276"/>
      <c r="L848" s="276"/>
      <c r="M848" s="276"/>
      <c r="N848" s="276"/>
      <c r="O848" s="276"/>
      <c r="P848" s="276"/>
      <c r="Q848" s="276"/>
    </row>
    <row r="849" spans="1:17">
      <c r="A849">
        <v>1412000057</v>
      </c>
      <c r="B849" t="s">
        <v>102</v>
      </c>
      <c r="E849" s="220" t="s">
        <v>28</v>
      </c>
      <c r="F849" s="277"/>
      <c r="G849" s="277"/>
      <c r="H849" s="277"/>
      <c r="I849" s="277"/>
      <c r="J849" s="277"/>
      <c r="K849" s="277"/>
      <c r="L849" s="277"/>
      <c r="M849" s="277"/>
      <c r="N849" s="278"/>
      <c r="O849" s="277"/>
      <c r="P849" s="277"/>
      <c r="Q849" s="278"/>
    </row>
    <row r="850" spans="1:17">
      <c r="A850">
        <v>1412000057</v>
      </c>
      <c r="B850" t="s">
        <v>102</v>
      </c>
      <c r="E850" s="176" t="s">
        <v>25</v>
      </c>
      <c r="F850" s="279">
        <v>0</v>
      </c>
      <c r="G850" s="279">
        <v>0</v>
      </c>
      <c r="H850" s="279">
        <v>0</v>
      </c>
      <c r="I850" s="279">
        <v>0</v>
      </c>
      <c r="J850" s="279">
        <v>0</v>
      </c>
      <c r="K850" s="279">
        <v>0</v>
      </c>
      <c r="L850" s="279">
        <v>0</v>
      </c>
      <c r="M850" s="279">
        <v>0</v>
      </c>
      <c r="N850" s="280">
        <v>0</v>
      </c>
      <c r="O850" s="281">
        <v>0</v>
      </c>
      <c r="P850" s="279">
        <v>0</v>
      </c>
      <c r="Q850" s="280">
        <v>0</v>
      </c>
    </row>
    <row r="851" spans="1:17">
      <c r="A851">
        <v>1412000057</v>
      </c>
      <c r="B851" t="s">
        <v>102</v>
      </c>
      <c r="E851" s="312" t="s">
        <v>106</v>
      </c>
      <c r="F851" s="306">
        <v>1487.5</v>
      </c>
      <c r="G851" s="306">
        <v>1411</v>
      </c>
      <c r="H851" s="306">
        <v>1564</v>
      </c>
      <c r="I851" s="306">
        <v>1717</v>
      </c>
      <c r="J851" s="306">
        <v>1487.5</v>
      </c>
      <c r="K851" s="306">
        <v>1572.5</v>
      </c>
      <c r="L851" s="306">
        <v>1912.5</v>
      </c>
      <c r="M851" s="306">
        <v>1657.5</v>
      </c>
      <c r="N851" s="307">
        <v>1827.5</v>
      </c>
      <c r="O851" s="308">
        <v>1657.5</v>
      </c>
      <c r="P851" s="306">
        <v>1232.5</v>
      </c>
      <c r="Q851" s="307">
        <v>1657.5</v>
      </c>
    </row>
    <row r="852" spans="1:17">
      <c r="A852">
        <v>1412000057</v>
      </c>
      <c r="B852" t="s">
        <v>102</v>
      </c>
      <c r="E852" s="314" t="s">
        <v>158</v>
      </c>
      <c r="F852" s="309"/>
      <c r="G852" s="309"/>
      <c r="H852" s="309"/>
      <c r="I852" s="309"/>
      <c r="J852" s="309"/>
      <c r="K852" s="309"/>
      <c r="L852" s="309"/>
      <c r="M852" s="309"/>
      <c r="N852" s="310"/>
      <c r="O852" s="311"/>
      <c r="P852" s="309"/>
      <c r="Q852" s="310"/>
    </row>
    <row r="853" spans="1:17">
      <c r="A853">
        <v>1412000057</v>
      </c>
      <c r="B853" t="s">
        <v>102</v>
      </c>
      <c r="E853" s="177" t="s">
        <v>26</v>
      </c>
      <c r="F853" s="282">
        <v>1487.5</v>
      </c>
      <c r="G853" s="282">
        <v>1411</v>
      </c>
      <c r="H853" s="282">
        <v>1564</v>
      </c>
      <c r="I853" s="282">
        <v>1717</v>
      </c>
      <c r="J853" s="282">
        <v>1487.5</v>
      </c>
      <c r="K853" s="282">
        <v>1572.5</v>
      </c>
      <c r="L853" s="283">
        <v>1912.5</v>
      </c>
      <c r="M853" s="282">
        <v>1657.5</v>
      </c>
      <c r="N853" s="284">
        <v>1827.5</v>
      </c>
      <c r="O853" s="283">
        <v>1657.5</v>
      </c>
      <c r="P853" s="282">
        <v>1232.5</v>
      </c>
      <c r="Q853" s="284">
        <v>1657.5</v>
      </c>
    </row>
    <row r="854" spans="1:17" ht="15" thickBot="1">
      <c r="A854">
        <v>1412000057</v>
      </c>
      <c r="B854" t="s">
        <v>102</v>
      </c>
      <c r="E854" s="178" t="s">
        <v>44</v>
      </c>
      <c r="F854" s="285">
        <v>1487.5</v>
      </c>
      <c r="G854" s="285">
        <v>1411</v>
      </c>
      <c r="H854" s="285">
        <v>1564</v>
      </c>
      <c r="I854" s="285">
        <v>1717</v>
      </c>
      <c r="J854" s="285">
        <v>1487.5</v>
      </c>
      <c r="K854" s="285">
        <v>1572.5</v>
      </c>
      <c r="L854" s="286">
        <v>1912.5</v>
      </c>
      <c r="M854" s="285">
        <v>1657.5</v>
      </c>
      <c r="N854" s="287">
        <v>1827.5</v>
      </c>
      <c r="O854" s="286">
        <v>1657.5</v>
      </c>
      <c r="P854" s="285">
        <v>1232.5</v>
      </c>
      <c r="Q854" s="287">
        <v>1657.5</v>
      </c>
    </row>
    <row r="855" spans="1:17" ht="15" thickBot="1">
      <c r="A855">
        <v>1412000057</v>
      </c>
      <c r="B855" t="s">
        <v>102</v>
      </c>
      <c r="F855" s="288"/>
      <c r="G855" s="288"/>
      <c r="H855" s="288"/>
      <c r="I855" s="288"/>
      <c r="J855" s="288"/>
      <c r="K855" s="288"/>
      <c r="L855" s="288"/>
      <c r="M855" s="288"/>
      <c r="N855" s="288"/>
      <c r="O855" s="288"/>
      <c r="P855" s="288"/>
      <c r="Q855" s="288"/>
    </row>
    <row r="856" spans="1:17">
      <c r="A856">
        <v>1412000057</v>
      </c>
      <c r="B856" t="s">
        <v>102</v>
      </c>
      <c r="E856" s="220" t="s">
        <v>29</v>
      </c>
      <c r="F856" s="289"/>
      <c r="G856" s="289"/>
      <c r="H856" s="289"/>
      <c r="I856" s="289"/>
      <c r="J856" s="289"/>
      <c r="K856" s="289"/>
      <c r="L856" s="289"/>
      <c r="M856" s="289"/>
      <c r="N856" s="290"/>
      <c r="O856" s="289"/>
      <c r="P856" s="289"/>
      <c r="Q856" s="278"/>
    </row>
    <row r="857" spans="1:17">
      <c r="A857">
        <v>1412000057</v>
      </c>
      <c r="B857" t="s">
        <v>102</v>
      </c>
      <c r="E857" s="176" t="s">
        <v>25</v>
      </c>
      <c r="F857" s="279">
        <v>0</v>
      </c>
      <c r="G857" s="279">
        <v>0</v>
      </c>
      <c r="H857" s="279">
        <v>0</v>
      </c>
      <c r="I857" s="279">
        <v>0</v>
      </c>
      <c r="J857" s="279">
        <v>0</v>
      </c>
      <c r="K857" s="279">
        <v>0</v>
      </c>
      <c r="L857" s="279">
        <v>0</v>
      </c>
      <c r="M857" s="279">
        <v>0</v>
      </c>
      <c r="N857" s="280">
        <v>0</v>
      </c>
      <c r="O857" s="281">
        <v>0</v>
      </c>
      <c r="P857" s="279">
        <v>0</v>
      </c>
      <c r="Q857" s="280">
        <v>0</v>
      </c>
    </row>
    <row r="858" spans="1:17">
      <c r="A858">
        <v>1412000057</v>
      </c>
      <c r="B858" t="s">
        <v>102</v>
      </c>
      <c r="E858" s="312" t="s">
        <v>106</v>
      </c>
      <c r="F858" s="306">
        <v>180</v>
      </c>
      <c r="G858" s="306">
        <v>178</v>
      </c>
      <c r="H858" s="306">
        <v>182</v>
      </c>
      <c r="I858" s="306">
        <v>186</v>
      </c>
      <c r="J858" s="306">
        <v>180</v>
      </c>
      <c r="K858" s="306">
        <v>178</v>
      </c>
      <c r="L858" s="306">
        <v>186</v>
      </c>
      <c r="M858" s="306">
        <v>180</v>
      </c>
      <c r="N858" s="307">
        <v>184</v>
      </c>
      <c r="O858" s="308">
        <v>180</v>
      </c>
      <c r="P858" s="306">
        <v>170</v>
      </c>
      <c r="Q858" s="307">
        <v>180</v>
      </c>
    </row>
    <row r="859" spans="1:17">
      <c r="A859">
        <v>1412000057</v>
      </c>
      <c r="B859" t="s">
        <v>102</v>
      </c>
      <c r="E859" s="314" t="s">
        <v>158</v>
      </c>
      <c r="F859" s="309"/>
      <c r="G859" s="309"/>
      <c r="H859" s="309"/>
      <c r="I859" s="309"/>
      <c r="J859" s="309"/>
      <c r="K859" s="309"/>
      <c r="L859" s="309"/>
      <c r="M859" s="309"/>
      <c r="N859" s="310"/>
      <c r="O859" s="311"/>
      <c r="P859" s="309"/>
      <c r="Q859" s="310"/>
    </row>
    <row r="860" spans="1:17">
      <c r="A860">
        <v>1412000057</v>
      </c>
      <c r="B860" t="s">
        <v>102</v>
      </c>
      <c r="E860" s="177" t="s">
        <v>26</v>
      </c>
      <c r="F860" s="282">
        <v>180</v>
      </c>
      <c r="G860" s="282">
        <v>178</v>
      </c>
      <c r="H860" s="282">
        <v>182</v>
      </c>
      <c r="I860" s="282">
        <v>186</v>
      </c>
      <c r="J860" s="282">
        <v>180</v>
      </c>
      <c r="K860" s="282">
        <v>178</v>
      </c>
      <c r="L860" s="283">
        <v>186</v>
      </c>
      <c r="M860" s="282">
        <v>180</v>
      </c>
      <c r="N860" s="284">
        <v>184</v>
      </c>
      <c r="O860" s="283">
        <v>180</v>
      </c>
      <c r="P860" s="282">
        <v>170</v>
      </c>
      <c r="Q860" s="284">
        <v>180</v>
      </c>
    </row>
    <row r="861" spans="1:17" ht="15" thickBot="1">
      <c r="A861">
        <v>1412000057</v>
      </c>
      <c r="B861" t="s">
        <v>102</v>
      </c>
      <c r="E861" s="178" t="s">
        <v>45</v>
      </c>
      <c r="F861" s="285">
        <v>180</v>
      </c>
      <c r="G861" s="285">
        <v>178</v>
      </c>
      <c r="H861" s="285">
        <v>182</v>
      </c>
      <c r="I861" s="285">
        <v>186</v>
      </c>
      <c r="J861" s="285">
        <v>180</v>
      </c>
      <c r="K861" s="285">
        <v>178</v>
      </c>
      <c r="L861" s="286">
        <v>186</v>
      </c>
      <c r="M861" s="285">
        <v>180</v>
      </c>
      <c r="N861" s="287">
        <v>184</v>
      </c>
      <c r="O861" s="286">
        <v>180</v>
      </c>
      <c r="P861" s="285">
        <v>170</v>
      </c>
      <c r="Q861" s="287">
        <v>180</v>
      </c>
    </row>
    <row r="862" spans="1:17">
      <c r="A862">
        <v>1412000078</v>
      </c>
      <c r="B862" t="s">
        <v>131</v>
      </c>
      <c r="E862" s="220" t="s">
        <v>40</v>
      </c>
      <c r="F862" s="201"/>
      <c r="G862" s="201"/>
      <c r="H862" s="201"/>
      <c r="I862" s="201"/>
      <c r="J862" s="201"/>
      <c r="K862" s="201"/>
      <c r="L862" s="201"/>
      <c r="M862" s="201"/>
      <c r="N862" s="202"/>
      <c r="O862" s="201"/>
      <c r="P862" s="201"/>
      <c r="Q862" s="202"/>
    </row>
    <row r="863" spans="1:17">
      <c r="A863">
        <v>1412000078</v>
      </c>
      <c r="B863" t="s">
        <v>131</v>
      </c>
      <c r="E863" s="176" t="s">
        <v>25</v>
      </c>
      <c r="F863" s="267">
        <v>1</v>
      </c>
      <c r="G863" s="267">
        <v>1</v>
      </c>
      <c r="H863" s="267">
        <v>1</v>
      </c>
      <c r="I863" s="267">
        <v>1</v>
      </c>
      <c r="J863" s="267">
        <v>1</v>
      </c>
      <c r="K863" s="267">
        <v>1</v>
      </c>
      <c r="L863" s="267">
        <v>2</v>
      </c>
      <c r="M863" s="267">
        <v>2</v>
      </c>
      <c r="N863" s="268">
        <v>2</v>
      </c>
      <c r="O863" s="269">
        <v>2</v>
      </c>
      <c r="P863" s="267">
        <v>2</v>
      </c>
      <c r="Q863" s="268">
        <v>2</v>
      </c>
    </row>
    <row r="864" spans="1:17">
      <c r="A864">
        <v>1412000078</v>
      </c>
      <c r="B864" t="s">
        <v>131</v>
      </c>
      <c r="E864" s="312" t="s">
        <v>106</v>
      </c>
      <c r="F864" s="300">
        <v>11</v>
      </c>
      <c r="G864" s="300">
        <v>11</v>
      </c>
      <c r="H864" s="300">
        <v>11</v>
      </c>
      <c r="I864" s="300">
        <v>11</v>
      </c>
      <c r="J864" s="300">
        <v>11</v>
      </c>
      <c r="K864" s="300">
        <v>13</v>
      </c>
      <c r="L864" s="300">
        <v>13</v>
      </c>
      <c r="M864" s="300">
        <v>13</v>
      </c>
      <c r="N864" s="301">
        <v>13</v>
      </c>
      <c r="O864" s="302">
        <v>13</v>
      </c>
      <c r="P864" s="300">
        <v>13</v>
      </c>
      <c r="Q864" s="301">
        <v>13</v>
      </c>
    </row>
    <row r="865" spans="1:17">
      <c r="A865">
        <v>1412000078</v>
      </c>
      <c r="B865" t="s">
        <v>131</v>
      </c>
      <c r="E865" s="314" t="s">
        <v>158</v>
      </c>
      <c r="F865" s="303"/>
      <c r="G865" s="303"/>
      <c r="H865" s="303"/>
      <c r="I865" s="303"/>
      <c r="J865" s="303"/>
      <c r="K865" s="303"/>
      <c r="L865" s="303"/>
      <c r="M865" s="303"/>
      <c r="N865" s="304"/>
      <c r="O865" s="305"/>
      <c r="P865" s="303"/>
      <c r="Q865" s="304"/>
    </row>
    <row r="866" spans="1:17">
      <c r="A866">
        <v>1412000078</v>
      </c>
      <c r="B866" t="s">
        <v>131</v>
      </c>
      <c r="E866" s="177" t="s">
        <v>26</v>
      </c>
      <c r="F866" s="270">
        <v>11</v>
      </c>
      <c r="G866" s="270">
        <v>11</v>
      </c>
      <c r="H866" s="270">
        <v>11</v>
      </c>
      <c r="I866" s="270">
        <v>11</v>
      </c>
      <c r="J866" s="270">
        <v>11</v>
      </c>
      <c r="K866" s="270">
        <v>13</v>
      </c>
      <c r="L866" s="271">
        <v>13</v>
      </c>
      <c r="M866" s="270">
        <v>13</v>
      </c>
      <c r="N866" s="272">
        <v>13</v>
      </c>
      <c r="O866" s="271">
        <v>13</v>
      </c>
      <c r="P866" s="270">
        <v>13</v>
      </c>
      <c r="Q866" s="272">
        <v>13</v>
      </c>
    </row>
    <row r="867" spans="1:17" ht="15" thickBot="1">
      <c r="A867">
        <v>1412000078</v>
      </c>
      <c r="B867" t="s">
        <v>131</v>
      </c>
      <c r="E867" s="178" t="s">
        <v>27</v>
      </c>
      <c r="F867" s="273">
        <v>12</v>
      </c>
      <c r="G867" s="273">
        <v>12</v>
      </c>
      <c r="H867" s="273">
        <v>12</v>
      </c>
      <c r="I867" s="273">
        <v>12</v>
      </c>
      <c r="J867" s="273">
        <v>12</v>
      </c>
      <c r="K867" s="273">
        <v>14</v>
      </c>
      <c r="L867" s="274">
        <v>15</v>
      </c>
      <c r="M867" s="273">
        <v>15</v>
      </c>
      <c r="N867" s="275">
        <v>15</v>
      </c>
      <c r="O867" s="274">
        <v>15</v>
      </c>
      <c r="P867" s="273">
        <v>15</v>
      </c>
      <c r="Q867" s="275">
        <v>15</v>
      </c>
    </row>
    <row r="868" spans="1:17" ht="15" thickBot="1">
      <c r="A868">
        <v>1412000078</v>
      </c>
      <c r="B868" t="s">
        <v>131</v>
      </c>
      <c r="F868" s="276"/>
      <c r="G868" s="276"/>
      <c r="H868" s="276"/>
      <c r="I868" s="276"/>
      <c r="J868" s="276"/>
      <c r="K868" s="276"/>
      <c r="L868" s="276"/>
      <c r="M868" s="276"/>
      <c r="N868" s="276"/>
      <c r="O868" s="276"/>
      <c r="P868" s="276"/>
      <c r="Q868" s="276"/>
    </row>
    <row r="869" spans="1:17">
      <c r="A869">
        <v>1412000078</v>
      </c>
      <c r="B869" t="s">
        <v>131</v>
      </c>
      <c r="E869" s="220" t="s">
        <v>28</v>
      </c>
      <c r="F869" s="277"/>
      <c r="G869" s="277"/>
      <c r="H869" s="277"/>
      <c r="I869" s="277"/>
      <c r="J869" s="277"/>
      <c r="K869" s="277"/>
      <c r="L869" s="277"/>
      <c r="M869" s="277"/>
      <c r="N869" s="278"/>
      <c r="O869" s="277"/>
      <c r="P869" s="277"/>
      <c r="Q869" s="278"/>
    </row>
    <row r="870" spans="1:17">
      <c r="A870">
        <v>1412000078</v>
      </c>
      <c r="B870" t="s">
        <v>131</v>
      </c>
      <c r="E870" s="176" t="s">
        <v>25</v>
      </c>
      <c r="F870" s="279">
        <v>153</v>
      </c>
      <c r="G870" s="279">
        <v>144.5</v>
      </c>
      <c r="H870" s="279">
        <v>170</v>
      </c>
      <c r="I870" s="279">
        <v>187</v>
      </c>
      <c r="J870" s="279">
        <v>119</v>
      </c>
      <c r="K870" s="279">
        <v>153</v>
      </c>
      <c r="L870" s="279">
        <v>382.5</v>
      </c>
      <c r="M870" s="279">
        <v>331.5</v>
      </c>
      <c r="N870" s="280">
        <v>365.5</v>
      </c>
      <c r="O870" s="281">
        <v>289</v>
      </c>
      <c r="P870" s="279">
        <v>246.5</v>
      </c>
      <c r="Q870" s="280">
        <v>331.5</v>
      </c>
    </row>
    <row r="871" spans="1:17">
      <c r="A871">
        <v>1412000078</v>
      </c>
      <c r="B871" t="s">
        <v>131</v>
      </c>
      <c r="E871" s="312" t="s">
        <v>106</v>
      </c>
      <c r="F871" s="306">
        <v>1793.5</v>
      </c>
      <c r="G871" s="306">
        <v>1700</v>
      </c>
      <c r="H871" s="306">
        <v>1887</v>
      </c>
      <c r="I871" s="306">
        <v>2074</v>
      </c>
      <c r="J871" s="306">
        <v>1793.5</v>
      </c>
      <c r="K871" s="306">
        <v>2014.5</v>
      </c>
      <c r="L871" s="306">
        <v>2456.5</v>
      </c>
      <c r="M871" s="306">
        <v>2125</v>
      </c>
      <c r="N871" s="307">
        <v>2346</v>
      </c>
      <c r="O871" s="308">
        <v>2125</v>
      </c>
      <c r="P871" s="306">
        <v>1572.5</v>
      </c>
      <c r="Q871" s="307">
        <v>2125</v>
      </c>
    </row>
    <row r="872" spans="1:17">
      <c r="A872">
        <v>1412000078</v>
      </c>
      <c r="B872" t="s">
        <v>131</v>
      </c>
      <c r="E872" s="314" t="s">
        <v>158</v>
      </c>
      <c r="F872" s="309"/>
      <c r="G872" s="309"/>
      <c r="H872" s="309"/>
      <c r="I872" s="309"/>
      <c r="J872" s="309"/>
      <c r="K872" s="309"/>
      <c r="L872" s="309"/>
      <c r="M872" s="309"/>
      <c r="N872" s="310"/>
      <c r="O872" s="311"/>
      <c r="P872" s="309"/>
      <c r="Q872" s="310"/>
    </row>
    <row r="873" spans="1:17">
      <c r="A873">
        <v>1412000078</v>
      </c>
      <c r="B873" t="s">
        <v>131</v>
      </c>
      <c r="E873" s="177" t="s">
        <v>26</v>
      </c>
      <c r="F873" s="282">
        <v>1793.5</v>
      </c>
      <c r="G873" s="282">
        <v>1700</v>
      </c>
      <c r="H873" s="282">
        <v>1887</v>
      </c>
      <c r="I873" s="282">
        <v>2074</v>
      </c>
      <c r="J873" s="282">
        <v>1793.5</v>
      </c>
      <c r="K873" s="282">
        <v>2014.5</v>
      </c>
      <c r="L873" s="283">
        <v>2456.5</v>
      </c>
      <c r="M873" s="282">
        <v>2125</v>
      </c>
      <c r="N873" s="284">
        <v>2346</v>
      </c>
      <c r="O873" s="283">
        <v>2125</v>
      </c>
      <c r="P873" s="282">
        <v>1572.5</v>
      </c>
      <c r="Q873" s="284">
        <v>2125</v>
      </c>
    </row>
    <row r="874" spans="1:17" ht="15" thickBot="1">
      <c r="A874">
        <v>1412000078</v>
      </c>
      <c r="B874" t="s">
        <v>131</v>
      </c>
      <c r="E874" s="178" t="s">
        <v>44</v>
      </c>
      <c r="F874" s="285">
        <v>1946.5</v>
      </c>
      <c r="G874" s="285">
        <v>1844.5</v>
      </c>
      <c r="H874" s="285">
        <v>2057</v>
      </c>
      <c r="I874" s="285">
        <v>2261</v>
      </c>
      <c r="J874" s="285">
        <v>1912.5</v>
      </c>
      <c r="K874" s="285">
        <v>2167.5</v>
      </c>
      <c r="L874" s="286">
        <v>2839</v>
      </c>
      <c r="M874" s="285">
        <v>2456.5</v>
      </c>
      <c r="N874" s="287">
        <v>2711.5</v>
      </c>
      <c r="O874" s="286">
        <v>2414</v>
      </c>
      <c r="P874" s="285">
        <v>1819</v>
      </c>
      <c r="Q874" s="287">
        <v>2456.5</v>
      </c>
    </row>
    <row r="875" spans="1:17" ht="15" thickBot="1">
      <c r="A875">
        <v>1412000078</v>
      </c>
      <c r="B875" t="s">
        <v>131</v>
      </c>
      <c r="F875" s="288"/>
      <c r="G875" s="288"/>
      <c r="H875" s="288"/>
      <c r="I875" s="288"/>
      <c r="J875" s="288"/>
      <c r="K875" s="288"/>
      <c r="L875" s="288"/>
      <c r="M875" s="288"/>
      <c r="N875" s="288"/>
      <c r="O875" s="288"/>
      <c r="P875" s="288"/>
      <c r="Q875" s="288"/>
    </row>
    <row r="876" spans="1:17">
      <c r="A876">
        <v>1412000078</v>
      </c>
      <c r="B876" t="s">
        <v>131</v>
      </c>
      <c r="E876" s="220" t="s">
        <v>29</v>
      </c>
      <c r="F876" s="289"/>
      <c r="G876" s="289"/>
      <c r="H876" s="289"/>
      <c r="I876" s="289"/>
      <c r="J876" s="289"/>
      <c r="K876" s="289"/>
      <c r="L876" s="289"/>
      <c r="M876" s="289"/>
      <c r="N876" s="290"/>
      <c r="O876" s="289"/>
      <c r="P876" s="289"/>
      <c r="Q876" s="278"/>
    </row>
    <row r="877" spans="1:17">
      <c r="A877">
        <v>1412000078</v>
      </c>
      <c r="B877" t="s">
        <v>131</v>
      </c>
      <c r="E877" s="176" t="s">
        <v>25</v>
      </c>
      <c r="F877" s="279">
        <v>36</v>
      </c>
      <c r="G877" s="279">
        <v>34</v>
      </c>
      <c r="H877" s="279">
        <v>40</v>
      </c>
      <c r="I877" s="279">
        <v>44</v>
      </c>
      <c r="J877" s="279">
        <v>28</v>
      </c>
      <c r="K877" s="279">
        <v>36</v>
      </c>
      <c r="L877" s="279">
        <v>90</v>
      </c>
      <c r="M877" s="279">
        <v>78</v>
      </c>
      <c r="N877" s="280">
        <v>86</v>
      </c>
      <c r="O877" s="281">
        <v>68</v>
      </c>
      <c r="P877" s="279">
        <v>58</v>
      </c>
      <c r="Q877" s="280">
        <v>78</v>
      </c>
    </row>
    <row r="878" spans="1:17">
      <c r="A878">
        <v>1412000078</v>
      </c>
      <c r="B878" t="s">
        <v>131</v>
      </c>
      <c r="E878" s="312" t="s">
        <v>106</v>
      </c>
      <c r="F878" s="306">
        <v>148</v>
      </c>
      <c r="G878" s="306">
        <v>146</v>
      </c>
      <c r="H878" s="306">
        <v>150</v>
      </c>
      <c r="I878" s="306">
        <v>154</v>
      </c>
      <c r="J878" s="306">
        <v>148</v>
      </c>
      <c r="K878" s="306">
        <v>146</v>
      </c>
      <c r="L878" s="306">
        <v>181</v>
      </c>
      <c r="M878" s="306">
        <v>175</v>
      </c>
      <c r="N878" s="307">
        <v>179</v>
      </c>
      <c r="O878" s="308">
        <v>175</v>
      </c>
      <c r="P878" s="306">
        <v>165</v>
      </c>
      <c r="Q878" s="307">
        <v>175</v>
      </c>
    </row>
    <row r="879" spans="1:17">
      <c r="A879">
        <v>1412000078</v>
      </c>
      <c r="B879" t="s">
        <v>131</v>
      </c>
      <c r="E879" s="314" t="s">
        <v>158</v>
      </c>
      <c r="F879" s="309"/>
      <c r="G879" s="309"/>
      <c r="H879" s="309"/>
      <c r="I879" s="309"/>
      <c r="J879" s="309"/>
      <c r="K879" s="309"/>
      <c r="L879" s="309"/>
      <c r="M879" s="309"/>
      <c r="N879" s="310"/>
      <c r="O879" s="311"/>
      <c r="P879" s="309"/>
      <c r="Q879" s="310"/>
    </row>
    <row r="880" spans="1:17">
      <c r="A880">
        <v>1412000078</v>
      </c>
      <c r="B880" t="s">
        <v>131</v>
      </c>
      <c r="E880" s="177" t="s">
        <v>26</v>
      </c>
      <c r="F880" s="282">
        <v>148</v>
      </c>
      <c r="G880" s="282">
        <v>146</v>
      </c>
      <c r="H880" s="282">
        <v>150</v>
      </c>
      <c r="I880" s="282">
        <v>154</v>
      </c>
      <c r="J880" s="282">
        <v>148</v>
      </c>
      <c r="K880" s="282">
        <v>146</v>
      </c>
      <c r="L880" s="283">
        <v>181</v>
      </c>
      <c r="M880" s="282">
        <v>175</v>
      </c>
      <c r="N880" s="284">
        <v>179</v>
      </c>
      <c r="O880" s="283">
        <v>175</v>
      </c>
      <c r="P880" s="282">
        <v>165</v>
      </c>
      <c r="Q880" s="284">
        <v>175</v>
      </c>
    </row>
    <row r="881" spans="1:17" ht="15" thickBot="1">
      <c r="A881">
        <v>1412000078</v>
      </c>
      <c r="B881" t="s">
        <v>131</v>
      </c>
      <c r="E881" s="178" t="s">
        <v>45</v>
      </c>
      <c r="F881" s="285">
        <v>184</v>
      </c>
      <c r="G881" s="285">
        <v>180</v>
      </c>
      <c r="H881" s="285">
        <v>190</v>
      </c>
      <c r="I881" s="285">
        <v>198</v>
      </c>
      <c r="J881" s="285">
        <v>176</v>
      </c>
      <c r="K881" s="285">
        <v>182</v>
      </c>
      <c r="L881" s="286">
        <v>271</v>
      </c>
      <c r="M881" s="285">
        <v>253</v>
      </c>
      <c r="N881" s="287">
        <v>265</v>
      </c>
      <c r="O881" s="286">
        <v>243</v>
      </c>
      <c r="P881" s="285">
        <v>223</v>
      </c>
      <c r="Q881" s="287">
        <v>253</v>
      </c>
    </row>
    <row r="882" spans="1:17">
      <c r="A882" t="s">
        <v>104</v>
      </c>
      <c r="B882" t="s">
        <v>105</v>
      </c>
      <c r="E882" s="220" t="s">
        <v>40</v>
      </c>
      <c r="F882" s="201"/>
      <c r="G882" s="201"/>
      <c r="H882" s="201"/>
      <c r="I882" s="201"/>
      <c r="J882" s="201"/>
      <c r="K882" s="201"/>
      <c r="L882" s="201"/>
      <c r="M882" s="201"/>
      <c r="N882" s="202"/>
      <c r="O882" s="201"/>
      <c r="P882" s="201"/>
      <c r="Q882" s="202"/>
    </row>
    <row r="883" spans="1:17">
      <c r="A883" t="s">
        <v>104</v>
      </c>
      <c r="B883" t="s">
        <v>105</v>
      </c>
      <c r="E883" s="176" t="s">
        <v>25</v>
      </c>
      <c r="F883" s="267">
        <v>0</v>
      </c>
      <c r="G883" s="267">
        <v>0</v>
      </c>
      <c r="H883" s="267">
        <v>0</v>
      </c>
      <c r="I883" s="267">
        <v>0</v>
      </c>
      <c r="J883" s="267">
        <v>0</v>
      </c>
      <c r="K883" s="267">
        <v>0</v>
      </c>
      <c r="L883" s="267">
        <v>0</v>
      </c>
      <c r="M883" s="267">
        <v>0</v>
      </c>
      <c r="N883" s="268">
        <v>0</v>
      </c>
      <c r="O883" s="269">
        <v>0</v>
      </c>
      <c r="P883" s="267">
        <v>0</v>
      </c>
      <c r="Q883" s="268">
        <v>0</v>
      </c>
    </row>
    <row r="884" spans="1:17">
      <c r="A884" t="s">
        <v>104</v>
      </c>
      <c r="B884" t="s">
        <v>105</v>
      </c>
      <c r="E884" s="312" t="s">
        <v>106</v>
      </c>
      <c r="F884" s="300">
        <v>0</v>
      </c>
      <c r="G884" s="300">
        <v>0</v>
      </c>
      <c r="H884" s="300">
        <v>0</v>
      </c>
      <c r="I884" s="300">
        <v>0</v>
      </c>
      <c r="J884" s="300">
        <v>0</v>
      </c>
      <c r="K884" s="300">
        <v>0</v>
      </c>
      <c r="L884" s="300">
        <v>0</v>
      </c>
      <c r="M884" s="300">
        <v>0</v>
      </c>
      <c r="N884" s="301">
        <v>0</v>
      </c>
      <c r="O884" s="302">
        <v>0</v>
      </c>
      <c r="P884" s="300">
        <v>0</v>
      </c>
      <c r="Q884" s="301">
        <v>0</v>
      </c>
    </row>
    <row r="885" spans="1:17">
      <c r="A885" t="s">
        <v>104</v>
      </c>
      <c r="B885" t="s">
        <v>105</v>
      </c>
      <c r="E885" s="314" t="s">
        <v>158</v>
      </c>
      <c r="F885" s="303">
        <v>0</v>
      </c>
      <c r="G885" s="303">
        <v>0</v>
      </c>
      <c r="H885" s="303">
        <v>0</v>
      </c>
      <c r="I885" s="303">
        <v>0</v>
      </c>
      <c r="J885" s="303">
        <v>0</v>
      </c>
      <c r="K885" s="303">
        <v>0</v>
      </c>
      <c r="L885" s="303">
        <v>0</v>
      </c>
      <c r="M885" s="303">
        <v>0</v>
      </c>
      <c r="N885" s="304">
        <v>0</v>
      </c>
      <c r="O885" s="305">
        <v>0</v>
      </c>
      <c r="P885" s="303">
        <v>0</v>
      </c>
      <c r="Q885" s="304">
        <v>0</v>
      </c>
    </row>
    <row r="886" spans="1:17">
      <c r="A886" t="s">
        <v>104</v>
      </c>
      <c r="B886" t="s">
        <v>105</v>
      </c>
      <c r="E886" s="177" t="s">
        <v>26</v>
      </c>
      <c r="F886" s="270">
        <v>0</v>
      </c>
      <c r="G886" s="270">
        <v>0</v>
      </c>
      <c r="H886" s="270">
        <v>0</v>
      </c>
      <c r="I886" s="270">
        <v>0</v>
      </c>
      <c r="J886" s="270">
        <v>0</v>
      </c>
      <c r="K886" s="270">
        <v>0</v>
      </c>
      <c r="L886" s="271">
        <v>0</v>
      </c>
      <c r="M886" s="270">
        <v>0</v>
      </c>
      <c r="N886" s="272">
        <v>0</v>
      </c>
      <c r="O886" s="271">
        <v>0</v>
      </c>
      <c r="P886" s="270">
        <v>0</v>
      </c>
      <c r="Q886" s="272">
        <v>0</v>
      </c>
    </row>
    <row r="887" spans="1:17" ht="15" thickBot="1">
      <c r="A887" t="s">
        <v>104</v>
      </c>
      <c r="B887" t="s">
        <v>105</v>
      </c>
      <c r="E887" s="178" t="s">
        <v>27</v>
      </c>
      <c r="F887" s="273">
        <v>0</v>
      </c>
      <c r="G887" s="273">
        <v>0</v>
      </c>
      <c r="H887" s="273">
        <v>0</v>
      </c>
      <c r="I887" s="273">
        <v>0</v>
      </c>
      <c r="J887" s="273">
        <v>0</v>
      </c>
      <c r="K887" s="273">
        <v>0</v>
      </c>
      <c r="L887" s="274">
        <v>0</v>
      </c>
      <c r="M887" s="273">
        <v>0</v>
      </c>
      <c r="N887" s="275">
        <v>0</v>
      </c>
      <c r="O887" s="274">
        <v>0</v>
      </c>
      <c r="P887" s="273">
        <v>0</v>
      </c>
      <c r="Q887" s="275">
        <v>0</v>
      </c>
    </row>
    <row r="888" spans="1:17" ht="15" thickBot="1">
      <c r="A888" t="s">
        <v>104</v>
      </c>
      <c r="B888" t="s">
        <v>105</v>
      </c>
      <c r="F888" s="276"/>
      <c r="G888" s="276"/>
      <c r="H888" s="276"/>
      <c r="I888" s="276"/>
      <c r="J888" s="276"/>
      <c r="K888" s="276"/>
      <c r="L888" s="276"/>
      <c r="M888" s="276"/>
      <c r="N888" s="276"/>
      <c r="O888" s="276"/>
      <c r="P888" s="276"/>
      <c r="Q888" s="276"/>
    </row>
    <row r="889" spans="1:17">
      <c r="A889" t="s">
        <v>104</v>
      </c>
      <c r="B889" t="s">
        <v>105</v>
      </c>
      <c r="E889" s="220" t="s">
        <v>28</v>
      </c>
      <c r="F889" s="277"/>
      <c r="G889" s="277"/>
      <c r="H889" s="277"/>
      <c r="I889" s="277"/>
      <c r="J889" s="277"/>
      <c r="K889" s="277"/>
      <c r="L889" s="277"/>
      <c r="M889" s="277"/>
      <c r="N889" s="278"/>
      <c r="O889" s="277"/>
      <c r="P889" s="277"/>
      <c r="Q889" s="278"/>
    </row>
    <row r="890" spans="1:17">
      <c r="A890" t="s">
        <v>104</v>
      </c>
      <c r="B890" t="s">
        <v>105</v>
      </c>
      <c r="E890" s="176" t="s">
        <v>25</v>
      </c>
      <c r="F890" s="279"/>
      <c r="G890" s="279"/>
      <c r="H890" s="279"/>
      <c r="I890" s="279"/>
      <c r="J890" s="279"/>
      <c r="K890" s="279"/>
      <c r="L890" s="279"/>
      <c r="M890" s="279"/>
      <c r="N890" s="280"/>
      <c r="O890" s="281"/>
      <c r="P890" s="279"/>
      <c r="Q890" s="280"/>
    </row>
    <row r="891" spans="1:17">
      <c r="A891" t="s">
        <v>104</v>
      </c>
      <c r="B891" t="s">
        <v>105</v>
      </c>
      <c r="E891" s="312" t="s">
        <v>106</v>
      </c>
      <c r="F891" s="306">
        <v>25.5</v>
      </c>
      <c r="G891" s="306">
        <v>25.5</v>
      </c>
      <c r="H891" s="306">
        <v>25.5</v>
      </c>
      <c r="I891" s="306">
        <v>25.5</v>
      </c>
      <c r="J891" s="306">
        <v>25.5</v>
      </c>
      <c r="K891" s="306">
        <v>25.5</v>
      </c>
      <c r="L891" s="306">
        <v>25.5</v>
      </c>
      <c r="M891" s="306">
        <v>25.5</v>
      </c>
      <c r="N891" s="307">
        <v>25.5</v>
      </c>
      <c r="O891" s="308">
        <v>25.5</v>
      </c>
      <c r="P891" s="306">
        <v>25.5</v>
      </c>
      <c r="Q891" s="307">
        <v>25.5</v>
      </c>
    </row>
    <row r="892" spans="1:17">
      <c r="A892" t="s">
        <v>104</v>
      </c>
      <c r="B892" t="s">
        <v>105</v>
      </c>
      <c r="E892" s="314" t="s">
        <v>158</v>
      </c>
      <c r="F892" s="309">
        <v>0</v>
      </c>
      <c r="G892" s="309">
        <v>0</v>
      </c>
      <c r="H892" s="309">
        <v>0</v>
      </c>
      <c r="I892" s="309">
        <v>0</v>
      </c>
      <c r="J892" s="309">
        <v>0</v>
      </c>
      <c r="K892" s="309">
        <v>0</v>
      </c>
      <c r="L892" s="309">
        <v>0</v>
      </c>
      <c r="M892" s="309">
        <v>0</v>
      </c>
      <c r="N892" s="310">
        <v>0</v>
      </c>
      <c r="O892" s="311">
        <v>0</v>
      </c>
      <c r="P892" s="309">
        <v>0</v>
      </c>
      <c r="Q892" s="310">
        <v>0</v>
      </c>
    </row>
    <row r="893" spans="1:17">
      <c r="A893" t="s">
        <v>104</v>
      </c>
      <c r="B893" t="s">
        <v>105</v>
      </c>
      <c r="E893" s="177" t="s">
        <v>26</v>
      </c>
      <c r="F893" s="282">
        <v>25.5</v>
      </c>
      <c r="G893" s="282">
        <v>25.5</v>
      </c>
      <c r="H893" s="282">
        <v>25.5</v>
      </c>
      <c r="I893" s="282">
        <v>25.5</v>
      </c>
      <c r="J893" s="282">
        <v>25.5</v>
      </c>
      <c r="K893" s="282">
        <v>25.5</v>
      </c>
      <c r="L893" s="283">
        <v>25.5</v>
      </c>
      <c r="M893" s="282">
        <v>25.5</v>
      </c>
      <c r="N893" s="284">
        <v>25.5</v>
      </c>
      <c r="O893" s="283">
        <v>25.5</v>
      </c>
      <c r="P893" s="282">
        <v>25.5</v>
      </c>
      <c r="Q893" s="284">
        <v>25.5</v>
      </c>
    </row>
    <row r="894" spans="1:17" ht="15" thickBot="1">
      <c r="A894" t="s">
        <v>104</v>
      </c>
      <c r="B894" t="s">
        <v>105</v>
      </c>
      <c r="E894" s="178" t="s">
        <v>44</v>
      </c>
      <c r="F894" s="285">
        <v>25.5</v>
      </c>
      <c r="G894" s="285">
        <v>25.5</v>
      </c>
      <c r="H894" s="285">
        <v>25.5</v>
      </c>
      <c r="I894" s="285">
        <v>25.5</v>
      </c>
      <c r="J894" s="285">
        <v>25.5</v>
      </c>
      <c r="K894" s="285">
        <v>25.5</v>
      </c>
      <c r="L894" s="286">
        <v>25.5</v>
      </c>
      <c r="M894" s="285">
        <v>25.5</v>
      </c>
      <c r="N894" s="287">
        <v>25.5</v>
      </c>
      <c r="O894" s="286">
        <v>25.5</v>
      </c>
      <c r="P894" s="285">
        <v>25.5</v>
      </c>
      <c r="Q894" s="287">
        <v>25.5</v>
      </c>
    </row>
    <row r="895" spans="1:17" ht="15" thickBot="1">
      <c r="A895" t="s">
        <v>104</v>
      </c>
      <c r="B895" t="s">
        <v>105</v>
      </c>
      <c r="F895" s="288"/>
      <c r="G895" s="288"/>
      <c r="H895" s="288"/>
      <c r="I895" s="288"/>
      <c r="J895" s="288"/>
      <c r="K895" s="288"/>
      <c r="L895" s="288"/>
      <c r="M895" s="288"/>
      <c r="N895" s="288"/>
      <c r="O895" s="288"/>
      <c r="P895" s="288"/>
      <c r="Q895" s="288"/>
    </row>
    <row r="896" spans="1:17">
      <c r="A896" t="s">
        <v>104</v>
      </c>
      <c r="B896" t="s">
        <v>105</v>
      </c>
      <c r="E896" s="220" t="s">
        <v>29</v>
      </c>
      <c r="F896" s="289"/>
      <c r="G896" s="289"/>
      <c r="H896" s="289"/>
      <c r="I896" s="289"/>
      <c r="J896" s="289"/>
      <c r="K896" s="289"/>
      <c r="L896" s="289"/>
      <c r="M896" s="289"/>
      <c r="N896" s="290"/>
      <c r="O896" s="289"/>
      <c r="P896" s="289"/>
      <c r="Q896" s="278"/>
    </row>
    <row r="897" spans="1:17">
      <c r="A897" t="s">
        <v>104</v>
      </c>
      <c r="B897" t="s">
        <v>105</v>
      </c>
      <c r="E897" s="176" t="s">
        <v>25</v>
      </c>
      <c r="F897" s="279">
        <v>0</v>
      </c>
      <c r="G897" s="279">
        <v>0</v>
      </c>
      <c r="H897" s="279">
        <v>0</v>
      </c>
      <c r="I897" s="279">
        <v>0</v>
      </c>
      <c r="J897" s="279">
        <v>0</v>
      </c>
      <c r="K897" s="279">
        <v>0</v>
      </c>
      <c r="L897" s="279">
        <v>0</v>
      </c>
      <c r="M897" s="279">
        <v>0</v>
      </c>
      <c r="N897" s="280">
        <v>0</v>
      </c>
      <c r="O897" s="281">
        <v>0</v>
      </c>
      <c r="P897" s="279">
        <v>0</v>
      </c>
      <c r="Q897" s="280">
        <v>0</v>
      </c>
    </row>
    <row r="898" spans="1:17">
      <c r="A898" t="s">
        <v>104</v>
      </c>
      <c r="B898" t="s">
        <v>105</v>
      </c>
      <c r="E898" s="312" t="s">
        <v>106</v>
      </c>
      <c r="F898" s="306">
        <v>0</v>
      </c>
      <c r="G898" s="306">
        <v>0</v>
      </c>
      <c r="H898" s="306">
        <v>0</v>
      </c>
      <c r="I898" s="306">
        <v>0</v>
      </c>
      <c r="J898" s="306">
        <v>0</v>
      </c>
      <c r="K898" s="306">
        <v>0</v>
      </c>
      <c r="L898" s="306">
        <v>0</v>
      </c>
      <c r="M898" s="306">
        <v>0</v>
      </c>
      <c r="N898" s="307">
        <v>0</v>
      </c>
      <c r="O898" s="308">
        <v>0</v>
      </c>
      <c r="P898" s="306">
        <v>0</v>
      </c>
      <c r="Q898" s="307">
        <v>0</v>
      </c>
    </row>
    <row r="899" spans="1:17">
      <c r="A899" t="s">
        <v>104</v>
      </c>
      <c r="B899" t="s">
        <v>105</v>
      </c>
      <c r="E899" s="314" t="s">
        <v>158</v>
      </c>
      <c r="F899" s="309">
        <v>0</v>
      </c>
      <c r="G899" s="309">
        <v>0</v>
      </c>
      <c r="H899" s="309">
        <v>0</v>
      </c>
      <c r="I899" s="309">
        <v>0</v>
      </c>
      <c r="J899" s="309">
        <v>0</v>
      </c>
      <c r="K899" s="309">
        <v>0</v>
      </c>
      <c r="L899" s="309">
        <v>0</v>
      </c>
      <c r="M899" s="309">
        <v>0</v>
      </c>
      <c r="N899" s="310">
        <v>0</v>
      </c>
      <c r="O899" s="311">
        <v>0</v>
      </c>
      <c r="P899" s="309">
        <v>0</v>
      </c>
      <c r="Q899" s="310">
        <v>0</v>
      </c>
    </row>
    <row r="900" spans="1:17">
      <c r="A900" t="s">
        <v>104</v>
      </c>
      <c r="B900" t="s">
        <v>105</v>
      </c>
      <c r="E900" s="177" t="s">
        <v>26</v>
      </c>
      <c r="F900" s="282">
        <v>0</v>
      </c>
      <c r="G900" s="282">
        <v>0</v>
      </c>
      <c r="H900" s="282">
        <v>0</v>
      </c>
      <c r="I900" s="282">
        <v>0</v>
      </c>
      <c r="J900" s="282">
        <v>0</v>
      </c>
      <c r="K900" s="282">
        <v>0</v>
      </c>
      <c r="L900" s="283">
        <v>0</v>
      </c>
      <c r="M900" s="282">
        <v>0</v>
      </c>
      <c r="N900" s="284">
        <v>0</v>
      </c>
      <c r="O900" s="283">
        <v>0</v>
      </c>
      <c r="P900" s="282">
        <v>0</v>
      </c>
      <c r="Q900" s="284">
        <v>0</v>
      </c>
    </row>
    <row r="901" spans="1:17" ht="15" thickBot="1">
      <c r="A901" t="s">
        <v>104</v>
      </c>
      <c r="B901" t="s">
        <v>105</v>
      </c>
      <c r="E901" s="178" t="s">
        <v>45</v>
      </c>
      <c r="F901" s="285">
        <v>0</v>
      </c>
      <c r="G901" s="285">
        <v>0</v>
      </c>
      <c r="H901" s="285">
        <v>0</v>
      </c>
      <c r="I901" s="285">
        <v>0</v>
      </c>
      <c r="J901" s="285">
        <v>0</v>
      </c>
      <c r="K901" s="285">
        <v>0</v>
      </c>
      <c r="L901" s="286">
        <v>0</v>
      </c>
      <c r="M901" s="285">
        <v>0</v>
      </c>
      <c r="N901" s="287">
        <v>0</v>
      </c>
      <c r="O901" s="286">
        <v>0</v>
      </c>
      <c r="P901" s="285">
        <v>0</v>
      </c>
      <c r="Q901" s="287">
        <v>0</v>
      </c>
    </row>
    <row r="902" spans="1:17">
      <c r="A902">
        <v>1412000081</v>
      </c>
      <c r="B902" t="s">
        <v>118</v>
      </c>
      <c r="E902" s="220" t="s">
        <v>40</v>
      </c>
      <c r="F902" s="201"/>
      <c r="G902" s="201"/>
      <c r="H902" s="201"/>
      <c r="I902" s="201"/>
      <c r="J902" s="201"/>
      <c r="K902" s="201"/>
      <c r="L902" s="201"/>
      <c r="M902" s="201"/>
      <c r="N902" s="202"/>
      <c r="O902" s="201"/>
      <c r="P902" s="201"/>
      <c r="Q902" s="202"/>
    </row>
    <row r="903" spans="1:17">
      <c r="A903">
        <v>1412000081</v>
      </c>
      <c r="B903" t="s">
        <v>118</v>
      </c>
      <c r="E903" s="176" t="s">
        <v>25</v>
      </c>
      <c r="F903" s="267">
        <v>0</v>
      </c>
      <c r="G903" s="267">
        <v>0</v>
      </c>
      <c r="H903" s="267">
        <v>0</v>
      </c>
      <c r="I903" s="267">
        <v>0</v>
      </c>
      <c r="J903" s="267">
        <v>0</v>
      </c>
      <c r="K903" s="267">
        <v>0</v>
      </c>
      <c r="L903" s="267">
        <v>0</v>
      </c>
      <c r="M903" s="267">
        <v>0</v>
      </c>
      <c r="N903" s="268">
        <v>0</v>
      </c>
      <c r="O903" s="269">
        <v>0</v>
      </c>
      <c r="P903" s="267">
        <v>0</v>
      </c>
      <c r="Q903" s="268">
        <v>0</v>
      </c>
    </row>
    <row r="904" spans="1:17">
      <c r="A904">
        <v>1412000081</v>
      </c>
      <c r="B904" t="s">
        <v>118</v>
      </c>
      <c r="E904" s="312" t="s">
        <v>106</v>
      </c>
      <c r="F904" s="300">
        <v>81</v>
      </c>
      <c r="G904" s="300">
        <v>81</v>
      </c>
      <c r="H904" s="300">
        <v>81</v>
      </c>
      <c r="I904" s="300">
        <v>90</v>
      </c>
      <c r="J904" s="300">
        <v>90</v>
      </c>
      <c r="K904" s="300">
        <v>90</v>
      </c>
      <c r="L904" s="300">
        <v>90</v>
      </c>
      <c r="M904" s="300">
        <v>90</v>
      </c>
      <c r="N904" s="301">
        <v>90</v>
      </c>
      <c r="O904" s="302">
        <v>99</v>
      </c>
      <c r="P904" s="300">
        <v>99</v>
      </c>
      <c r="Q904" s="301">
        <v>99</v>
      </c>
    </row>
    <row r="905" spans="1:17">
      <c r="A905">
        <v>1412000081</v>
      </c>
      <c r="B905" t="s">
        <v>118</v>
      </c>
      <c r="E905" s="314" t="s">
        <v>158</v>
      </c>
      <c r="F905" s="303">
        <v>1024</v>
      </c>
      <c r="G905" s="303">
        <v>1000</v>
      </c>
      <c r="H905" s="303">
        <v>905</v>
      </c>
      <c r="I905" s="303">
        <v>1014</v>
      </c>
      <c r="J905" s="303">
        <v>1058</v>
      </c>
      <c r="K905" s="303">
        <v>1070</v>
      </c>
      <c r="L905" s="303">
        <v>1067</v>
      </c>
      <c r="M905" s="303">
        <v>1068</v>
      </c>
      <c r="N905" s="304">
        <v>1061</v>
      </c>
      <c r="O905" s="305">
        <v>1095</v>
      </c>
      <c r="P905" s="303">
        <v>1168</v>
      </c>
      <c r="Q905" s="304">
        <v>1123</v>
      </c>
    </row>
    <row r="906" spans="1:17">
      <c r="A906">
        <v>1412000081</v>
      </c>
      <c r="B906" t="s">
        <v>118</v>
      </c>
      <c r="E906" s="177" t="s">
        <v>26</v>
      </c>
      <c r="F906" s="270">
        <v>1105</v>
      </c>
      <c r="G906" s="270">
        <v>1081</v>
      </c>
      <c r="H906" s="270">
        <v>986</v>
      </c>
      <c r="I906" s="270">
        <v>1104</v>
      </c>
      <c r="J906" s="270">
        <v>1148</v>
      </c>
      <c r="K906" s="270">
        <v>1160</v>
      </c>
      <c r="L906" s="271">
        <v>1157</v>
      </c>
      <c r="M906" s="270">
        <v>1158</v>
      </c>
      <c r="N906" s="272">
        <v>1151</v>
      </c>
      <c r="O906" s="271">
        <v>1194</v>
      </c>
      <c r="P906" s="270">
        <v>1267</v>
      </c>
      <c r="Q906" s="272">
        <v>1222</v>
      </c>
    </row>
    <row r="907" spans="1:17" ht="15" thickBot="1">
      <c r="A907">
        <v>1412000081</v>
      </c>
      <c r="B907" t="s">
        <v>118</v>
      </c>
      <c r="E907" s="178" t="s">
        <v>27</v>
      </c>
      <c r="F907" s="273">
        <v>1105</v>
      </c>
      <c r="G907" s="273">
        <v>1081</v>
      </c>
      <c r="H907" s="273">
        <v>986</v>
      </c>
      <c r="I907" s="273">
        <v>1104</v>
      </c>
      <c r="J907" s="273">
        <v>1148</v>
      </c>
      <c r="K907" s="273">
        <v>1160</v>
      </c>
      <c r="L907" s="274">
        <v>1157</v>
      </c>
      <c r="M907" s="273">
        <v>1158</v>
      </c>
      <c r="N907" s="275">
        <v>1151</v>
      </c>
      <c r="O907" s="274">
        <v>1194</v>
      </c>
      <c r="P907" s="273">
        <v>1267</v>
      </c>
      <c r="Q907" s="275">
        <v>1222</v>
      </c>
    </row>
    <row r="908" spans="1:17" ht="15" thickBot="1">
      <c r="A908">
        <v>1412000081</v>
      </c>
      <c r="B908" t="s">
        <v>118</v>
      </c>
      <c r="F908" s="276"/>
      <c r="G908" s="276"/>
      <c r="H908" s="276"/>
      <c r="I908" s="276"/>
      <c r="J908" s="276"/>
      <c r="K908" s="276"/>
      <c r="L908" s="276"/>
      <c r="M908" s="276"/>
      <c r="N908" s="276"/>
      <c r="O908" s="276"/>
      <c r="P908" s="276"/>
      <c r="Q908" s="276"/>
    </row>
    <row r="909" spans="1:17">
      <c r="A909">
        <v>1412000081</v>
      </c>
      <c r="B909" t="s">
        <v>118</v>
      </c>
      <c r="E909" s="220" t="s">
        <v>28</v>
      </c>
      <c r="F909" s="277"/>
      <c r="G909" s="277"/>
      <c r="H909" s="277"/>
      <c r="I909" s="277"/>
      <c r="J909" s="277"/>
      <c r="K909" s="277"/>
      <c r="L909" s="277"/>
      <c r="M909" s="277"/>
      <c r="N909" s="278"/>
      <c r="O909" s="277"/>
      <c r="P909" s="277"/>
      <c r="Q909" s="278"/>
    </row>
    <row r="910" spans="1:17">
      <c r="A910">
        <v>1412000081</v>
      </c>
      <c r="B910" t="s">
        <v>118</v>
      </c>
      <c r="E910" s="176" t="s">
        <v>25</v>
      </c>
      <c r="F910" s="279">
        <v>0</v>
      </c>
      <c r="G910" s="279">
        <v>0</v>
      </c>
      <c r="H910" s="279">
        <v>0</v>
      </c>
      <c r="I910" s="279">
        <v>0</v>
      </c>
      <c r="J910" s="279">
        <v>0</v>
      </c>
      <c r="K910" s="279">
        <v>0</v>
      </c>
      <c r="L910" s="279">
        <v>0</v>
      </c>
      <c r="M910" s="279">
        <v>0</v>
      </c>
      <c r="N910" s="280">
        <v>0</v>
      </c>
      <c r="O910" s="281">
        <v>0</v>
      </c>
      <c r="P910" s="279">
        <v>0</v>
      </c>
      <c r="Q910" s="280">
        <v>0</v>
      </c>
    </row>
    <row r="911" spans="1:17">
      <c r="A911">
        <v>1412000081</v>
      </c>
      <c r="B911" t="s">
        <v>118</v>
      </c>
      <c r="E911" s="312" t="s">
        <v>106</v>
      </c>
      <c r="F911" s="306">
        <v>14280</v>
      </c>
      <c r="G911" s="306">
        <v>13566</v>
      </c>
      <c r="H911" s="306">
        <v>14994</v>
      </c>
      <c r="I911" s="306">
        <v>18181.5</v>
      </c>
      <c r="J911" s="306">
        <v>15810</v>
      </c>
      <c r="K911" s="306">
        <v>15019.5</v>
      </c>
      <c r="L911" s="306">
        <v>18181.5</v>
      </c>
      <c r="M911" s="306">
        <v>15810</v>
      </c>
      <c r="N911" s="307">
        <v>17391</v>
      </c>
      <c r="O911" s="308">
        <v>17340</v>
      </c>
      <c r="P911" s="306">
        <v>13005</v>
      </c>
      <c r="Q911" s="307">
        <v>17340</v>
      </c>
    </row>
    <row r="912" spans="1:17">
      <c r="A912">
        <v>1412000081</v>
      </c>
      <c r="B912" t="s">
        <v>118</v>
      </c>
      <c r="E912" s="314" t="s">
        <v>158</v>
      </c>
      <c r="F912" s="309">
        <v>176298</v>
      </c>
      <c r="G912" s="309">
        <v>163102.5</v>
      </c>
      <c r="H912" s="309">
        <v>163526.5</v>
      </c>
      <c r="I912" s="309">
        <v>200249</v>
      </c>
      <c r="J912" s="309">
        <v>181900</v>
      </c>
      <c r="K912" s="309">
        <v>174133</v>
      </c>
      <c r="L912" s="309">
        <v>218387</v>
      </c>
      <c r="M912" s="309">
        <v>183337</v>
      </c>
      <c r="N912" s="310">
        <v>199980</v>
      </c>
      <c r="O912" s="311">
        <v>187806</v>
      </c>
      <c r="P912" s="309">
        <v>149423.5</v>
      </c>
      <c r="Q912" s="310">
        <v>211381</v>
      </c>
    </row>
    <row r="913" spans="1:17">
      <c r="A913">
        <v>1412000081</v>
      </c>
      <c r="B913" t="s">
        <v>118</v>
      </c>
      <c r="E913" s="177" t="s">
        <v>26</v>
      </c>
      <c r="F913" s="282">
        <v>190578</v>
      </c>
      <c r="G913" s="282">
        <v>176668.5</v>
      </c>
      <c r="H913" s="282">
        <v>178520.5</v>
      </c>
      <c r="I913" s="282">
        <v>218430.5</v>
      </c>
      <c r="J913" s="282">
        <v>197710</v>
      </c>
      <c r="K913" s="282">
        <v>189152.5</v>
      </c>
      <c r="L913" s="283">
        <v>236568.5</v>
      </c>
      <c r="M913" s="282">
        <v>199147</v>
      </c>
      <c r="N913" s="284">
        <v>217371</v>
      </c>
      <c r="O913" s="283">
        <v>205146</v>
      </c>
      <c r="P913" s="282">
        <v>162428.5</v>
      </c>
      <c r="Q913" s="284">
        <v>228721</v>
      </c>
    </row>
    <row r="914" spans="1:17" ht="15" thickBot="1">
      <c r="A914">
        <v>1412000081</v>
      </c>
      <c r="B914" t="s">
        <v>118</v>
      </c>
      <c r="E914" s="178" t="s">
        <v>44</v>
      </c>
      <c r="F914" s="285">
        <v>190578</v>
      </c>
      <c r="G914" s="285">
        <v>176668.5</v>
      </c>
      <c r="H914" s="285">
        <v>178520.5</v>
      </c>
      <c r="I914" s="285">
        <v>218430.5</v>
      </c>
      <c r="J914" s="285">
        <v>197710</v>
      </c>
      <c r="K914" s="285">
        <v>189152.5</v>
      </c>
      <c r="L914" s="286">
        <v>236568.5</v>
      </c>
      <c r="M914" s="285">
        <v>199147</v>
      </c>
      <c r="N914" s="287">
        <v>217371</v>
      </c>
      <c r="O914" s="286">
        <v>205146</v>
      </c>
      <c r="P914" s="285">
        <v>162428.5</v>
      </c>
      <c r="Q914" s="287">
        <v>228721</v>
      </c>
    </row>
    <row r="915" spans="1:17" ht="15" thickBot="1">
      <c r="A915">
        <v>1412000081</v>
      </c>
      <c r="B915" t="s">
        <v>118</v>
      </c>
      <c r="F915" s="288"/>
      <c r="G915" s="288"/>
      <c r="H915" s="288"/>
      <c r="I915" s="288"/>
      <c r="J915" s="288"/>
      <c r="K915" s="288"/>
      <c r="L915" s="288"/>
      <c r="M915" s="288"/>
      <c r="N915" s="288"/>
      <c r="O915" s="288"/>
      <c r="P915" s="288"/>
      <c r="Q915" s="288"/>
    </row>
    <row r="916" spans="1:17">
      <c r="A916">
        <v>1412000081</v>
      </c>
      <c r="B916" t="s">
        <v>118</v>
      </c>
      <c r="E916" s="220" t="s">
        <v>29</v>
      </c>
      <c r="F916" s="289"/>
      <c r="G916" s="289"/>
      <c r="H916" s="289"/>
      <c r="I916" s="289"/>
      <c r="J916" s="289"/>
      <c r="K916" s="289"/>
      <c r="L916" s="289"/>
      <c r="M916" s="289"/>
      <c r="N916" s="290"/>
      <c r="O916" s="289"/>
      <c r="P916" s="289"/>
      <c r="Q916" s="278"/>
    </row>
    <row r="917" spans="1:17">
      <c r="A917">
        <v>1412000081</v>
      </c>
      <c r="B917" t="s">
        <v>118</v>
      </c>
      <c r="E917" s="176" t="s">
        <v>25</v>
      </c>
      <c r="F917" s="279">
        <v>0</v>
      </c>
      <c r="G917" s="279">
        <v>0</v>
      </c>
      <c r="H917" s="279">
        <v>0</v>
      </c>
      <c r="I917" s="279">
        <v>0</v>
      </c>
      <c r="J917" s="279">
        <v>0</v>
      </c>
      <c r="K917" s="279">
        <v>0</v>
      </c>
      <c r="L917" s="279">
        <v>0</v>
      </c>
      <c r="M917" s="279">
        <v>0</v>
      </c>
      <c r="N917" s="280">
        <v>0</v>
      </c>
      <c r="O917" s="281">
        <v>0</v>
      </c>
      <c r="P917" s="279">
        <v>0</v>
      </c>
      <c r="Q917" s="280">
        <v>0</v>
      </c>
    </row>
    <row r="918" spans="1:17">
      <c r="A918">
        <v>1412000081</v>
      </c>
      <c r="B918" t="s">
        <v>118</v>
      </c>
      <c r="E918" s="312" t="s">
        <v>106</v>
      </c>
      <c r="F918" s="306">
        <v>143</v>
      </c>
      <c r="G918" s="306">
        <v>137</v>
      </c>
      <c r="H918" s="306">
        <v>149</v>
      </c>
      <c r="I918" s="306">
        <v>161</v>
      </c>
      <c r="J918" s="306">
        <v>427</v>
      </c>
      <c r="K918" s="306">
        <v>1095</v>
      </c>
      <c r="L918" s="306">
        <v>258</v>
      </c>
      <c r="M918" s="306">
        <v>529</v>
      </c>
      <c r="N918" s="307">
        <v>745</v>
      </c>
      <c r="O918" s="308">
        <v>1013</v>
      </c>
      <c r="P918" s="306">
        <v>1952</v>
      </c>
      <c r="Q918" s="307">
        <v>1669</v>
      </c>
    </row>
    <row r="919" spans="1:17">
      <c r="A919">
        <v>1412000081</v>
      </c>
      <c r="B919" t="s">
        <v>118</v>
      </c>
      <c r="E919" s="314" t="s">
        <v>158</v>
      </c>
      <c r="F919" s="309">
        <v>391</v>
      </c>
      <c r="G919" s="309">
        <v>391</v>
      </c>
      <c r="H919" s="309">
        <v>391</v>
      </c>
      <c r="I919" s="309">
        <v>690</v>
      </c>
      <c r="J919" s="309">
        <v>5273</v>
      </c>
      <c r="K919" s="309">
        <v>16775</v>
      </c>
      <c r="L919" s="309">
        <v>2817</v>
      </c>
      <c r="M919" s="309">
        <v>7150</v>
      </c>
      <c r="N919" s="310">
        <v>11318</v>
      </c>
      <c r="O919" s="311">
        <v>15487</v>
      </c>
      <c r="P919" s="309">
        <v>31974</v>
      </c>
      <c r="Q919" s="310">
        <v>26021</v>
      </c>
    </row>
    <row r="920" spans="1:17">
      <c r="A920">
        <v>1412000081</v>
      </c>
      <c r="B920" t="s">
        <v>118</v>
      </c>
      <c r="E920" s="177" t="s">
        <v>26</v>
      </c>
      <c r="F920" s="282">
        <v>534</v>
      </c>
      <c r="G920" s="282">
        <v>528</v>
      </c>
      <c r="H920" s="282">
        <v>540</v>
      </c>
      <c r="I920" s="282">
        <v>851</v>
      </c>
      <c r="J920" s="282">
        <v>5700</v>
      </c>
      <c r="K920" s="282">
        <v>17870</v>
      </c>
      <c r="L920" s="283">
        <v>3075</v>
      </c>
      <c r="M920" s="282">
        <v>7679</v>
      </c>
      <c r="N920" s="284">
        <v>12063</v>
      </c>
      <c r="O920" s="283">
        <v>16500</v>
      </c>
      <c r="P920" s="282">
        <v>33926</v>
      </c>
      <c r="Q920" s="284">
        <v>27690</v>
      </c>
    </row>
    <row r="921" spans="1:17" ht="15" thickBot="1">
      <c r="A921">
        <v>1412000081</v>
      </c>
      <c r="B921" t="s">
        <v>118</v>
      </c>
      <c r="E921" s="178" t="s">
        <v>45</v>
      </c>
      <c r="F921" s="285">
        <v>534</v>
      </c>
      <c r="G921" s="285">
        <v>528</v>
      </c>
      <c r="H921" s="285">
        <v>540</v>
      </c>
      <c r="I921" s="285">
        <v>851</v>
      </c>
      <c r="J921" s="285">
        <v>5700</v>
      </c>
      <c r="K921" s="285">
        <v>17870</v>
      </c>
      <c r="L921" s="286">
        <v>3075</v>
      </c>
      <c r="M921" s="285">
        <v>7679</v>
      </c>
      <c r="N921" s="287">
        <v>12063</v>
      </c>
      <c r="O921" s="286">
        <v>16500</v>
      </c>
      <c r="P921" s="285">
        <v>33926</v>
      </c>
      <c r="Q921" s="287">
        <v>27690</v>
      </c>
    </row>
    <row r="922" spans="1:17">
      <c r="A922">
        <v>1412000083</v>
      </c>
      <c r="B922" t="s">
        <v>119</v>
      </c>
      <c r="E922" s="220" t="s">
        <v>40</v>
      </c>
      <c r="F922" s="201"/>
      <c r="G922" s="201"/>
      <c r="H922" s="201"/>
      <c r="I922" s="201"/>
      <c r="J922" s="201"/>
      <c r="K922" s="201"/>
      <c r="L922" s="201"/>
      <c r="M922" s="201"/>
      <c r="N922" s="202"/>
      <c r="O922" s="201"/>
      <c r="P922" s="201"/>
      <c r="Q922" s="202"/>
    </row>
    <row r="923" spans="1:17">
      <c r="A923">
        <v>1412000083</v>
      </c>
      <c r="B923" t="s">
        <v>119</v>
      </c>
      <c r="E923" s="176" t="s">
        <v>25</v>
      </c>
      <c r="F923" s="267">
        <v>1</v>
      </c>
      <c r="G923" s="267">
        <v>1</v>
      </c>
      <c r="H923" s="267">
        <v>1</v>
      </c>
      <c r="I923" s="267">
        <v>1</v>
      </c>
      <c r="J923" s="267">
        <v>1</v>
      </c>
      <c r="K923" s="267">
        <v>1</v>
      </c>
      <c r="L923" s="267">
        <v>1</v>
      </c>
      <c r="M923" s="267">
        <v>1</v>
      </c>
      <c r="N923" s="268">
        <v>1</v>
      </c>
      <c r="O923" s="269">
        <v>1</v>
      </c>
      <c r="P923" s="267">
        <v>1</v>
      </c>
      <c r="Q923" s="268">
        <v>1</v>
      </c>
    </row>
    <row r="924" spans="1:17">
      <c r="A924">
        <v>1412000083</v>
      </c>
      <c r="B924" t="s">
        <v>119</v>
      </c>
      <c r="E924" s="312" t="s">
        <v>106</v>
      </c>
      <c r="F924" s="300">
        <v>11</v>
      </c>
      <c r="G924" s="300">
        <v>11</v>
      </c>
      <c r="H924" s="300">
        <v>11</v>
      </c>
      <c r="I924" s="300">
        <v>11</v>
      </c>
      <c r="J924" s="300">
        <v>11</v>
      </c>
      <c r="K924" s="300">
        <v>11</v>
      </c>
      <c r="L924" s="300">
        <v>11</v>
      </c>
      <c r="M924" s="300">
        <v>11</v>
      </c>
      <c r="N924" s="301">
        <v>11</v>
      </c>
      <c r="O924" s="302">
        <v>11</v>
      </c>
      <c r="P924" s="300">
        <v>11</v>
      </c>
      <c r="Q924" s="301">
        <v>11</v>
      </c>
    </row>
    <row r="925" spans="1:17">
      <c r="A925">
        <v>1412000083</v>
      </c>
      <c r="B925" t="s">
        <v>119</v>
      </c>
      <c r="E925" s="314" t="s">
        <v>158</v>
      </c>
      <c r="F925" s="303"/>
      <c r="G925" s="303"/>
      <c r="H925" s="303"/>
      <c r="I925" s="303"/>
      <c r="J925" s="303"/>
      <c r="K925" s="303"/>
      <c r="L925" s="303"/>
      <c r="M925" s="303"/>
      <c r="N925" s="304"/>
      <c r="O925" s="305"/>
      <c r="P925" s="303"/>
      <c r="Q925" s="304"/>
    </row>
    <row r="926" spans="1:17">
      <c r="A926">
        <v>1412000083</v>
      </c>
      <c r="B926" t="s">
        <v>119</v>
      </c>
      <c r="E926" s="177" t="s">
        <v>26</v>
      </c>
      <c r="F926" s="270">
        <v>11</v>
      </c>
      <c r="G926" s="270">
        <v>11</v>
      </c>
      <c r="H926" s="270">
        <v>11</v>
      </c>
      <c r="I926" s="270">
        <v>11</v>
      </c>
      <c r="J926" s="270">
        <v>11</v>
      </c>
      <c r="K926" s="270">
        <v>11</v>
      </c>
      <c r="L926" s="271">
        <v>11</v>
      </c>
      <c r="M926" s="270">
        <v>11</v>
      </c>
      <c r="N926" s="272">
        <v>11</v>
      </c>
      <c r="O926" s="271">
        <v>11</v>
      </c>
      <c r="P926" s="270">
        <v>11</v>
      </c>
      <c r="Q926" s="272">
        <v>11</v>
      </c>
    </row>
    <row r="927" spans="1:17" ht="15" thickBot="1">
      <c r="A927">
        <v>1412000083</v>
      </c>
      <c r="B927" t="s">
        <v>119</v>
      </c>
      <c r="E927" s="178" t="s">
        <v>27</v>
      </c>
      <c r="F927" s="273">
        <v>12</v>
      </c>
      <c r="G927" s="273">
        <v>12</v>
      </c>
      <c r="H927" s="273">
        <v>12</v>
      </c>
      <c r="I927" s="273">
        <v>12</v>
      </c>
      <c r="J927" s="273">
        <v>12</v>
      </c>
      <c r="K927" s="273">
        <v>12</v>
      </c>
      <c r="L927" s="274">
        <v>12</v>
      </c>
      <c r="M927" s="273">
        <v>12</v>
      </c>
      <c r="N927" s="275">
        <v>12</v>
      </c>
      <c r="O927" s="274">
        <v>12</v>
      </c>
      <c r="P927" s="273">
        <v>12</v>
      </c>
      <c r="Q927" s="275">
        <v>12</v>
      </c>
    </row>
    <row r="928" spans="1:17" ht="15" thickBot="1">
      <c r="A928">
        <v>1412000083</v>
      </c>
      <c r="B928" t="s">
        <v>119</v>
      </c>
      <c r="F928" s="276"/>
      <c r="G928" s="276"/>
      <c r="H928" s="276"/>
      <c r="I928" s="276"/>
      <c r="J928" s="276"/>
      <c r="K928" s="276"/>
      <c r="L928" s="276"/>
      <c r="M928" s="276"/>
      <c r="N928" s="276"/>
      <c r="O928" s="276"/>
      <c r="P928" s="276"/>
      <c r="Q928" s="276"/>
    </row>
    <row r="929" spans="1:17">
      <c r="A929">
        <v>1412000083</v>
      </c>
      <c r="B929" t="s">
        <v>119</v>
      </c>
      <c r="E929" s="220" t="s">
        <v>28</v>
      </c>
      <c r="F929" s="277"/>
      <c r="G929" s="277"/>
      <c r="H929" s="277"/>
      <c r="I929" s="277"/>
      <c r="J929" s="277"/>
      <c r="K929" s="277"/>
      <c r="L929" s="277"/>
      <c r="M929" s="277"/>
      <c r="N929" s="278"/>
      <c r="O929" s="277"/>
      <c r="P929" s="277"/>
      <c r="Q929" s="278"/>
    </row>
    <row r="930" spans="1:17">
      <c r="A930">
        <v>1412000083</v>
      </c>
      <c r="B930" t="s">
        <v>119</v>
      </c>
      <c r="E930" s="176" t="s">
        <v>25</v>
      </c>
      <c r="F930" s="279">
        <v>161.5</v>
      </c>
      <c r="G930" s="279">
        <v>153</v>
      </c>
      <c r="H930" s="279">
        <v>170</v>
      </c>
      <c r="I930" s="279">
        <v>187</v>
      </c>
      <c r="J930" s="279">
        <v>161.5</v>
      </c>
      <c r="K930" s="279">
        <v>153</v>
      </c>
      <c r="L930" s="279">
        <v>187</v>
      </c>
      <c r="M930" s="279">
        <v>170</v>
      </c>
      <c r="N930" s="280">
        <v>187</v>
      </c>
      <c r="O930" s="281">
        <v>170</v>
      </c>
      <c r="P930" s="279">
        <v>127.5</v>
      </c>
      <c r="Q930" s="280">
        <v>170</v>
      </c>
    </row>
    <row r="931" spans="1:17">
      <c r="A931">
        <v>1412000083</v>
      </c>
      <c r="B931" t="s">
        <v>119</v>
      </c>
      <c r="E931" s="312" t="s">
        <v>106</v>
      </c>
      <c r="F931" s="306">
        <v>1836</v>
      </c>
      <c r="G931" s="306">
        <v>1700</v>
      </c>
      <c r="H931" s="306">
        <v>1887</v>
      </c>
      <c r="I931" s="306">
        <v>2074</v>
      </c>
      <c r="J931" s="306">
        <v>1793.5</v>
      </c>
      <c r="K931" s="306">
        <v>1700</v>
      </c>
      <c r="L931" s="306">
        <v>2074</v>
      </c>
      <c r="M931" s="306">
        <v>1793.5</v>
      </c>
      <c r="N931" s="307">
        <v>1980.5</v>
      </c>
      <c r="O931" s="308">
        <v>1793.5</v>
      </c>
      <c r="P931" s="306">
        <v>1326</v>
      </c>
      <c r="Q931" s="307">
        <v>1793.5</v>
      </c>
    </row>
    <row r="932" spans="1:17">
      <c r="A932">
        <v>1412000083</v>
      </c>
      <c r="B932" t="s">
        <v>119</v>
      </c>
      <c r="E932" s="314" t="s">
        <v>158</v>
      </c>
      <c r="F932" s="309"/>
      <c r="G932" s="309"/>
      <c r="H932" s="309"/>
      <c r="I932" s="309"/>
      <c r="J932" s="309"/>
      <c r="K932" s="309"/>
      <c r="L932" s="309"/>
      <c r="M932" s="309"/>
      <c r="N932" s="310"/>
      <c r="O932" s="311"/>
      <c r="P932" s="309"/>
      <c r="Q932" s="310"/>
    </row>
    <row r="933" spans="1:17">
      <c r="A933">
        <v>1412000083</v>
      </c>
      <c r="B933" t="s">
        <v>119</v>
      </c>
      <c r="E933" s="177" t="s">
        <v>26</v>
      </c>
      <c r="F933" s="282">
        <v>1836</v>
      </c>
      <c r="G933" s="282">
        <v>1700</v>
      </c>
      <c r="H933" s="282">
        <v>1887</v>
      </c>
      <c r="I933" s="282">
        <v>2074</v>
      </c>
      <c r="J933" s="282">
        <v>1793.5</v>
      </c>
      <c r="K933" s="282">
        <v>1700</v>
      </c>
      <c r="L933" s="283">
        <v>2074</v>
      </c>
      <c r="M933" s="282">
        <v>1793.5</v>
      </c>
      <c r="N933" s="284">
        <v>1980.5</v>
      </c>
      <c r="O933" s="283">
        <v>1793.5</v>
      </c>
      <c r="P933" s="282">
        <v>1326</v>
      </c>
      <c r="Q933" s="284">
        <v>1793.5</v>
      </c>
    </row>
    <row r="934" spans="1:17" ht="15" thickBot="1">
      <c r="A934">
        <v>1412000083</v>
      </c>
      <c r="B934" t="s">
        <v>119</v>
      </c>
      <c r="E934" s="178" t="s">
        <v>44</v>
      </c>
      <c r="F934" s="285">
        <v>1997.5</v>
      </c>
      <c r="G934" s="285">
        <v>1853</v>
      </c>
      <c r="H934" s="285">
        <v>2057</v>
      </c>
      <c r="I934" s="285">
        <v>2261</v>
      </c>
      <c r="J934" s="285">
        <v>1955</v>
      </c>
      <c r="K934" s="285">
        <v>1853</v>
      </c>
      <c r="L934" s="286">
        <v>2261</v>
      </c>
      <c r="M934" s="285">
        <v>1963.5</v>
      </c>
      <c r="N934" s="287">
        <v>2167.5</v>
      </c>
      <c r="O934" s="286">
        <v>1963.5</v>
      </c>
      <c r="P934" s="285">
        <v>1453.5</v>
      </c>
      <c r="Q934" s="287">
        <v>1963.5</v>
      </c>
    </row>
    <row r="935" spans="1:17" ht="15" thickBot="1">
      <c r="A935">
        <v>1412000083</v>
      </c>
      <c r="B935" t="s">
        <v>119</v>
      </c>
      <c r="F935" s="288"/>
      <c r="G935" s="288"/>
      <c r="H935" s="288"/>
      <c r="I935" s="288"/>
      <c r="J935" s="288"/>
      <c r="K935" s="288"/>
      <c r="L935" s="288"/>
      <c r="M935" s="288"/>
      <c r="N935" s="288"/>
      <c r="O935" s="288"/>
      <c r="P935" s="288"/>
      <c r="Q935" s="288"/>
    </row>
    <row r="936" spans="1:17">
      <c r="A936">
        <v>1412000083</v>
      </c>
      <c r="B936" t="s">
        <v>119</v>
      </c>
      <c r="E936" s="220" t="s">
        <v>29</v>
      </c>
      <c r="F936" s="289"/>
      <c r="G936" s="289"/>
      <c r="H936" s="289"/>
      <c r="I936" s="289"/>
      <c r="J936" s="289"/>
      <c r="K936" s="289"/>
      <c r="L936" s="289"/>
      <c r="M936" s="289"/>
      <c r="N936" s="290"/>
      <c r="O936" s="289"/>
      <c r="P936" s="289"/>
      <c r="Q936" s="278"/>
    </row>
    <row r="937" spans="1:17">
      <c r="A937">
        <v>1412000083</v>
      </c>
      <c r="B937" t="s">
        <v>119</v>
      </c>
      <c r="E937" s="176" t="s">
        <v>25</v>
      </c>
      <c r="F937" s="279">
        <v>38</v>
      </c>
      <c r="G937" s="279">
        <v>36</v>
      </c>
      <c r="H937" s="279">
        <v>40</v>
      </c>
      <c r="I937" s="279">
        <v>44</v>
      </c>
      <c r="J937" s="279">
        <v>38</v>
      </c>
      <c r="K937" s="279">
        <v>36</v>
      </c>
      <c r="L937" s="279">
        <v>44</v>
      </c>
      <c r="M937" s="279">
        <v>40</v>
      </c>
      <c r="N937" s="280">
        <v>44</v>
      </c>
      <c r="O937" s="281">
        <v>40</v>
      </c>
      <c r="P937" s="279">
        <v>30</v>
      </c>
      <c r="Q937" s="280">
        <v>40</v>
      </c>
    </row>
    <row r="938" spans="1:17">
      <c r="A938">
        <v>1412000083</v>
      </c>
      <c r="B938" t="s">
        <v>119</v>
      </c>
      <c r="E938" s="312" t="s">
        <v>106</v>
      </c>
      <c r="F938" s="306">
        <v>130</v>
      </c>
      <c r="G938" s="306">
        <v>128</v>
      </c>
      <c r="H938" s="306">
        <v>132</v>
      </c>
      <c r="I938" s="306">
        <v>136</v>
      </c>
      <c r="J938" s="306">
        <v>140</v>
      </c>
      <c r="K938" s="306">
        <v>138</v>
      </c>
      <c r="L938" s="306">
        <v>146</v>
      </c>
      <c r="M938" s="306">
        <v>140</v>
      </c>
      <c r="N938" s="307">
        <v>144</v>
      </c>
      <c r="O938" s="308">
        <v>140</v>
      </c>
      <c r="P938" s="306">
        <v>130</v>
      </c>
      <c r="Q938" s="307">
        <v>140</v>
      </c>
    </row>
    <row r="939" spans="1:17">
      <c r="A939">
        <v>1412000083</v>
      </c>
      <c r="B939" t="s">
        <v>119</v>
      </c>
      <c r="E939" s="314" t="s">
        <v>158</v>
      </c>
      <c r="F939" s="309"/>
      <c r="G939" s="309"/>
      <c r="H939" s="309"/>
      <c r="I939" s="309"/>
      <c r="J939" s="309"/>
      <c r="K939" s="309"/>
      <c r="L939" s="309"/>
      <c r="M939" s="309"/>
      <c r="N939" s="310"/>
      <c r="O939" s="311"/>
      <c r="P939" s="309"/>
      <c r="Q939" s="310"/>
    </row>
    <row r="940" spans="1:17">
      <c r="A940">
        <v>1412000083</v>
      </c>
      <c r="B940" t="s">
        <v>119</v>
      </c>
      <c r="E940" s="177" t="s">
        <v>26</v>
      </c>
      <c r="F940" s="282">
        <v>130</v>
      </c>
      <c r="G940" s="282">
        <v>128</v>
      </c>
      <c r="H940" s="282">
        <v>132</v>
      </c>
      <c r="I940" s="282">
        <v>136</v>
      </c>
      <c r="J940" s="282">
        <v>140</v>
      </c>
      <c r="K940" s="282">
        <v>138</v>
      </c>
      <c r="L940" s="283">
        <v>146</v>
      </c>
      <c r="M940" s="282">
        <v>140</v>
      </c>
      <c r="N940" s="284">
        <v>144</v>
      </c>
      <c r="O940" s="283">
        <v>140</v>
      </c>
      <c r="P940" s="282">
        <v>130</v>
      </c>
      <c r="Q940" s="284">
        <v>140</v>
      </c>
    </row>
    <row r="941" spans="1:17" ht="15" thickBot="1">
      <c r="A941">
        <v>1412000083</v>
      </c>
      <c r="B941" t="s">
        <v>119</v>
      </c>
      <c r="E941" s="178" t="s">
        <v>45</v>
      </c>
      <c r="F941" s="285">
        <v>168</v>
      </c>
      <c r="G941" s="285">
        <v>164</v>
      </c>
      <c r="H941" s="285">
        <v>172</v>
      </c>
      <c r="I941" s="285">
        <v>180</v>
      </c>
      <c r="J941" s="285">
        <v>178</v>
      </c>
      <c r="K941" s="285">
        <v>174</v>
      </c>
      <c r="L941" s="286">
        <v>190</v>
      </c>
      <c r="M941" s="285">
        <v>180</v>
      </c>
      <c r="N941" s="287">
        <v>188</v>
      </c>
      <c r="O941" s="286">
        <v>180</v>
      </c>
      <c r="P941" s="285">
        <v>160</v>
      </c>
      <c r="Q941" s="287">
        <v>180</v>
      </c>
    </row>
    <row r="942" spans="1:17">
      <c r="A942">
        <v>1412000084</v>
      </c>
      <c r="B942" t="s">
        <v>120</v>
      </c>
      <c r="E942" s="220" t="s">
        <v>40</v>
      </c>
      <c r="F942" s="201"/>
      <c r="G942" s="201"/>
      <c r="H942" s="201"/>
      <c r="I942" s="201"/>
      <c r="J942" s="201"/>
      <c r="K942" s="201"/>
      <c r="L942" s="201"/>
      <c r="M942" s="201"/>
      <c r="N942" s="202"/>
      <c r="O942" s="201"/>
      <c r="P942" s="201"/>
      <c r="Q942" s="202"/>
    </row>
    <row r="943" spans="1:17">
      <c r="A943">
        <v>1412000084</v>
      </c>
      <c r="B943" t="s">
        <v>120</v>
      </c>
      <c r="E943" s="176" t="s">
        <v>25</v>
      </c>
      <c r="F943" s="267"/>
      <c r="G943" s="267"/>
      <c r="H943" s="267"/>
      <c r="I943" s="267"/>
      <c r="J943" s="267"/>
      <c r="K943" s="267"/>
      <c r="L943" s="267"/>
      <c r="M943" s="267"/>
      <c r="N943" s="268"/>
      <c r="O943" s="269"/>
      <c r="P943" s="267"/>
      <c r="Q943" s="268"/>
    </row>
    <row r="944" spans="1:17">
      <c r="A944">
        <v>1412000084</v>
      </c>
      <c r="B944" t="s">
        <v>120</v>
      </c>
      <c r="E944" s="312" t="s">
        <v>106</v>
      </c>
      <c r="F944" s="300">
        <v>22</v>
      </c>
      <c r="G944" s="300">
        <v>22</v>
      </c>
      <c r="H944" s="300">
        <v>22</v>
      </c>
      <c r="I944" s="300">
        <v>23</v>
      </c>
      <c r="J944" s="300">
        <v>23</v>
      </c>
      <c r="K944" s="300">
        <v>23</v>
      </c>
      <c r="L944" s="300">
        <v>23</v>
      </c>
      <c r="M944" s="300">
        <v>23</v>
      </c>
      <c r="N944" s="301">
        <v>23</v>
      </c>
      <c r="O944" s="302">
        <v>23</v>
      </c>
      <c r="P944" s="300">
        <v>23</v>
      </c>
      <c r="Q944" s="301">
        <v>23</v>
      </c>
    </row>
    <row r="945" spans="1:17">
      <c r="A945">
        <v>1412000084</v>
      </c>
      <c r="B945" t="s">
        <v>120</v>
      </c>
      <c r="E945" s="314" t="s">
        <v>158</v>
      </c>
      <c r="F945" s="303"/>
      <c r="G945" s="303"/>
      <c r="H945" s="303"/>
      <c r="I945" s="303"/>
      <c r="J945" s="303"/>
      <c r="K945" s="303"/>
      <c r="L945" s="303"/>
      <c r="M945" s="303"/>
      <c r="N945" s="304"/>
      <c r="O945" s="305"/>
      <c r="P945" s="303"/>
      <c r="Q945" s="304"/>
    </row>
    <row r="946" spans="1:17">
      <c r="A946">
        <v>1412000084</v>
      </c>
      <c r="B946" t="s">
        <v>120</v>
      </c>
      <c r="E946" s="177" t="s">
        <v>26</v>
      </c>
      <c r="F946" s="270">
        <v>22</v>
      </c>
      <c r="G946" s="270">
        <v>22</v>
      </c>
      <c r="H946" s="270">
        <v>22</v>
      </c>
      <c r="I946" s="270">
        <v>23</v>
      </c>
      <c r="J946" s="270">
        <v>23</v>
      </c>
      <c r="K946" s="270">
        <v>23</v>
      </c>
      <c r="L946" s="271">
        <v>23</v>
      </c>
      <c r="M946" s="270">
        <v>23</v>
      </c>
      <c r="N946" s="272">
        <v>23</v>
      </c>
      <c r="O946" s="271">
        <v>23</v>
      </c>
      <c r="P946" s="270">
        <v>23</v>
      </c>
      <c r="Q946" s="272">
        <v>23</v>
      </c>
    </row>
    <row r="947" spans="1:17" ht="15" thickBot="1">
      <c r="A947">
        <v>1412000084</v>
      </c>
      <c r="B947" t="s">
        <v>120</v>
      </c>
      <c r="E947" s="178" t="s">
        <v>27</v>
      </c>
      <c r="F947" s="273">
        <v>22</v>
      </c>
      <c r="G947" s="273">
        <v>22</v>
      </c>
      <c r="H947" s="273">
        <v>22</v>
      </c>
      <c r="I947" s="273">
        <v>23</v>
      </c>
      <c r="J947" s="273">
        <v>23</v>
      </c>
      <c r="K947" s="273">
        <v>23</v>
      </c>
      <c r="L947" s="274">
        <v>23</v>
      </c>
      <c r="M947" s="273">
        <v>23</v>
      </c>
      <c r="N947" s="275">
        <v>23</v>
      </c>
      <c r="O947" s="274">
        <v>23</v>
      </c>
      <c r="P947" s="273">
        <v>23</v>
      </c>
      <c r="Q947" s="275">
        <v>23</v>
      </c>
    </row>
    <row r="948" spans="1:17" ht="15" thickBot="1">
      <c r="A948">
        <v>1412000084</v>
      </c>
      <c r="B948" t="s">
        <v>120</v>
      </c>
      <c r="F948" s="276"/>
      <c r="G948" s="276"/>
      <c r="H948" s="276"/>
      <c r="I948" s="276"/>
      <c r="J948" s="276"/>
      <c r="K948" s="276"/>
      <c r="L948" s="276"/>
      <c r="M948" s="276"/>
      <c r="N948" s="276"/>
      <c r="O948" s="276"/>
      <c r="P948" s="276"/>
      <c r="Q948" s="276"/>
    </row>
    <row r="949" spans="1:17">
      <c r="A949">
        <v>1412000084</v>
      </c>
      <c r="B949" t="s">
        <v>120</v>
      </c>
      <c r="E949" s="220" t="s">
        <v>28</v>
      </c>
      <c r="F949" s="277"/>
      <c r="G949" s="277"/>
      <c r="H949" s="277"/>
      <c r="I949" s="277"/>
      <c r="J949" s="277"/>
      <c r="K949" s="277"/>
      <c r="L949" s="277"/>
      <c r="M949" s="277"/>
      <c r="N949" s="278"/>
      <c r="O949" s="277"/>
      <c r="P949" s="277"/>
      <c r="Q949" s="278"/>
    </row>
    <row r="950" spans="1:17">
      <c r="A950">
        <v>1412000084</v>
      </c>
      <c r="B950" t="s">
        <v>120</v>
      </c>
      <c r="E950" s="176" t="s">
        <v>25</v>
      </c>
      <c r="F950" s="279"/>
      <c r="G950" s="279"/>
      <c r="H950" s="279"/>
      <c r="I950" s="279"/>
      <c r="J950" s="279"/>
      <c r="K950" s="279"/>
      <c r="L950" s="279"/>
      <c r="M950" s="279"/>
      <c r="N950" s="280"/>
      <c r="O950" s="281"/>
      <c r="P950" s="279"/>
      <c r="Q950" s="280"/>
    </row>
    <row r="951" spans="1:17">
      <c r="A951">
        <v>1412000084</v>
      </c>
      <c r="B951" t="s">
        <v>120</v>
      </c>
      <c r="E951" s="312" t="s">
        <v>106</v>
      </c>
      <c r="F951" s="306">
        <v>3612.5</v>
      </c>
      <c r="G951" s="306">
        <v>3425.5</v>
      </c>
      <c r="H951" s="306">
        <v>3799.5</v>
      </c>
      <c r="I951" s="306">
        <v>4369</v>
      </c>
      <c r="J951" s="306">
        <v>3782.5</v>
      </c>
      <c r="K951" s="306">
        <v>3587</v>
      </c>
      <c r="L951" s="306">
        <v>4369</v>
      </c>
      <c r="M951" s="306">
        <v>3740</v>
      </c>
      <c r="N951" s="307">
        <v>4046</v>
      </c>
      <c r="O951" s="308">
        <v>3757</v>
      </c>
      <c r="P951" s="306">
        <v>2805</v>
      </c>
      <c r="Q951" s="307">
        <v>3782.5</v>
      </c>
    </row>
    <row r="952" spans="1:17">
      <c r="A952">
        <v>1412000084</v>
      </c>
      <c r="B952" t="s">
        <v>120</v>
      </c>
      <c r="E952" s="314" t="s">
        <v>158</v>
      </c>
      <c r="F952" s="309"/>
      <c r="G952" s="309"/>
      <c r="H952" s="309"/>
      <c r="I952" s="309"/>
      <c r="J952" s="309"/>
      <c r="K952" s="309"/>
      <c r="L952" s="309"/>
      <c r="M952" s="309"/>
      <c r="N952" s="310"/>
      <c r="O952" s="311"/>
      <c r="P952" s="309"/>
      <c r="Q952" s="310"/>
    </row>
    <row r="953" spans="1:17">
      <c r="A953">
        <v>1412000084</v>
      </c>
      <c r="B953" t="s">
        <v>120</v>
      </c>
      <c r="E953" s="177" t="s">
        <v>26</v>
      </c>
      <c r="F953" s="282">
        <v>3612.5</v>
      </c>
      <c r="G953" s="282">
        <v>3425.5</v>
      </c>
      <c r="H953" s="282">
        <v>3799.5</v>
      </c>
      <c r="I953" s="282">
        <v>4369</v>
      </c>
      <c r="J953" s="282">
        <v>3782.5</v>
      </c>
      <c r="K953" s="282">
        <v>3587</v>
      </c>
      <c r="L953" s="283">
        <v>4369</v>
      </c>
      <c r="M953" s="282">
        <v>3740</v>
      </c>
      <c r="N953" s="284">
        <v>4046</v>
      </c>
      <c r="O953" s="283">
        <v>3757</v>
      </c>
      <c r="P953" s="282">
        <v>2805</v>
      </c>
      <c r="Q953" s="284">
        <v>3782.5</v>
      </c>
    </row>
    <row r="954" spans="1:17" ht="15" thickBot="1">
      <c r="A954">
        <v>1412000084</v>
      </c>
      <c r="B954" t="s">
        <v>120</v>
      </c>
      <c r="E954" s="178" t="s">
        <v>44</v>
      </c>
      <c r="F954" s="285">
        <v>3612.5</v>
      </c>
      <c r="G954" s="285">
        <v>3425.5</v>
      </c>
      <c r="H954" s="285">
        <v>3799.5</v>
      </c>
      <c r="I954" s="285">
        <v>4369</v>
      </c>
      <c r="J954" s="285">
        <v>3782.5</v>
      </c>
      <c r="K954" s="285">
        <v>3587</v>
      </c>
      <c r="L954" s="286">
        <v>4369</v>
      </c>
      <c r="M954" s="285">
        <v>3740</v>
      </c>
      <c r="N954" s="287">
        <v>4046</v>
      </c>
      <c r="O954" s="286">
        <v>3757</v>
      </c>
      <c r="P954" s="285">
        <v>2805</v>
      </c>
      <c r="Q954" s="287">
        <v>3782.5</v>
      </c>
    </row>
    <row r="955" spans="1:17" ht="15" thickBot="1">
      <c r="A955">
        <v>1412000084</v>
      </c>
      <c r="B955" t="s">
        <v>120</v>
      </c>
      <c r="F955" s="288"/>
      <c r="G955" s="288"/>
      <c r="H955" s="288"/>
      <c r="I955" s="288"/>
      <c r="J955" s="288"/>
      <c r="K955" s="288"/>
      <c r="L955" s="288"/>
      <c r="M955" s="288"/>
      <c r="N955" s="288"/>
      <c r="O955" s="288"/>
      <c r="P955" s="288"/>
      <c r="Q955" s="288"/>
    </row>
    <row r="956" spans="1:17">
      <c r="A956">
        <v>1412000084</v>
      </c>
      <c r="B956" t="s">
        <v>120</v>
      </c>
      <c r="E956" s="220" t="s">
        <v>29</v>
      </c>
      <c r="F956" s="289"/>
      <c r="G956" s="289"/>
      <c r="H956" s="289"/>
      <c r="I956" s="289"/>
      <c r="J956" s="289"/>
      <c r="K956" s="289"/>
      <c r="L956" s="289"/>
      <c r="M956" s="289"/>
      <c r="N956" s="290"/>
      <c r="O956" s="289"/>
      <c r="P956" s="289"/>
      <c r="Q956" s="278"/>
    </row>
    <row r="957" spans="1:17">
      <c r="A957">
        <v>1412000084</v>
      </c>
      <c r="B957" t="s">
        <v>120</v>
      </c>
      <c r="E957" s="176" t="s">
        <v>25</v>
      </c>
      <c r="F957" s="279"/>
      <c r="G957" s="279"/>
      <c r="H957" s="279"/>
      <c r="I957" s="279"/>
      <c r="J957" s="279"/>
      <c r="K957" s="279"/>
      <c r="L957" s="279"/>
      <c r="M957" s="279"/>
      <c r="N957" s="280"/>
      <c r="O957" s="281"/>
      <c r="P957" s="279"/>
      <c r="Q957" s="280"/>
    </row>
    <row r="958" spans="1:17">
      <c r="A958">
        <v>1412000084</v>
      </c>
      <c r="B958" t="s">
        <v>120</v>
      </c>
      <c r="E958" s="312" t="s">
        <v>106</v>
      </c>
      <c r="F958" s="306">
        <v>180</v>
      </c>
      <c r="G958" s="306">
        <v>180</v>
      </c>
      <c r="H958" s="306">
        <v>180</v>
      </c>
      <c r="I958" s="306">
        <v>220</v>
      </c>
      <c r="J958" s="306">
        <v>180</v>
      </c>
      <c r="K958" s="306">
        <v>170</v>
      </c>
      <c r="L958" s="306">
        <v>200</v>
      </c>
      <c r="M958" s="306">
        <v>180</v>
      </c>
      <c r="N958" s="307">
        <v>180</v>
      </c>
      <c r="O958" s="308">
        <v>180</v>
      </c>
      <c r="P958" s="306">
        <v>120</v>
      </c>
      <c r="Q958" s="307">
        <v>200</v>
      </c>
    </row>
    <row r="959" spans="1:17">
      <c r="A959">
        <v>1412000084</v>
      </c>
      <c r="B959" t="s">
        <v>120</v>
      </c>
      <c r="E959" s="314" t="s">
        <v>158</v>
      </c>
      <c r="F959" s="309"/>
      <c r="G959" s="309"/>
      <c r="H959" s="309"/>
      <c r="I959" s="309"/>
      <c r="J959" s="309"/>
      <c r="K959" s="309"/>
      <c r="L959" s="309"/>
      <c r="M959" s="309"/>
      <c r="N959" s="310"/>
      <c r="O959" s="311"/>
      <c r="P959" s="309"/>
      <c r="Q959" s="310"/>
    </row>
    <row r="960" spans="1:17">
      <c r="A960">
        <v>1412000084</v>
      </c>
      <c r="B960" t="s">
        <v>120</v>
      </c>
      <c r="E960" s="177" t="s">
        <v>26</v>
      </c>
      <c r="F960" s="282">
        <v>180</v>
      </c>
      <c r="G960" s="282">
        <v>180</v>
      </c>
      <c r="H960" s="282">
        <v>180</v>
      </c>
      <c r="I960" s="282">
        <v>220</v>
      </c>
      <c r="J960" s="282">
        <v>180</v>
      </c>
      <c r="K960" s="282">
        <v>170</v>
      </c>
      <c r="L960" s="283">
        <v>200</v>
      </c>
      <c r="M960" s="282">
        <v>180</v>
      </c>
      <c r="N960" s="284">
        <v>180</v>
      </c>
      <c r="O960" s="283">
        <v>180</v>
      </c>
      <c r="P960" s="282">
        <v>120</v>
      </c>
      <c r="Q960" s="284">
        <v>200</v>
      </c>
    </row>
    <row r="961" spans="1:17" ht="15" thickBot="1">
      <c r="A961">
        <v>1412000084</v>
      </c>
      <c r="B961" t="s">
        <v>120</v>
      </c>
      <c r="E961" s="178" t="s">
        <v>45</v>
      </c>
      <c r="F961" s="285">
        <v>180</v>
      </c>
      <c r="G961" s="285">
        <v>180</v>
      </c>
      <c r="H961" s="285">
        <v>180</v>
      </c>
      <c r="I961" s="285">
        <v>220</v>
      </c>
      <c r="J961" s="285">
        <v>180</v>
      </c>
      <c r="K961" s="285">
        <v>170</v>
      </c>
      <c r="L961" s="286">
        <v>200</v>
      </c>
      <c r="M961" s="285">
        <v>180</v>
      </c>
      <c r="N961" s="287">
        <v>180</v>
      </c>
      <c r="O961" s="286">
        <v>180</v>
      </c>
      <c r="P961" s="285">
        <v>120</v>
      </c>
      <c r="Q961" s="287">
        <v>200</v>
      </c>
    </row>
    <row r="962" spans="1:17">
      <c r="A962">
        <v>1412000087</v>
      </c>
      <c r="B962" t="s">
        <v>137</v>
      </c>
      <c r="E962" s="220" t="s">
        <v>40</v>
      </c>
      <c r="F962" s="201"/>
      <c r="G962" s="201"/>
      <c r="H962" s="201"/>
      <c r="I962" s="201"/>
      <c r="J962" s="201"/>
      <c r="K962" s="201"/>
      <c r="L962" s="201"/>
      <c r="M962" s="201"/>
      <c r="N962" s="202"/>
      <c r="O962" s="201"/>
      <c r="P962" s="201"/>
      <c r="Q962" s="202"/>
    </row>
    <row r="963" spans="1:17">
      <c r="A963">
        <v>1412000087</v>
      </c>
      <c r="B963" t="s">
        <v>137</v>
      </c>
      <c r="E963" s="176" t="s">
        <v>25</v>
      </c>
      <c r="F963" s="267"/>
      <c r="G963" s="267"/>
      <c r="H963" s="267"/>
      <c r="I963" s="267"/>
      <c r="J963" s="267"/>
      <c r="K963" s="267"/>
      <c r="L963" s="267"/>
      <c r="M963" s="267"/>
      <c r="N963" s="268"/>
      <c r="O963" s="269"/>
      <c r="P963" s="267"/>
      <c r="Q963" s="268"/>
    </row>
    <row r="964" spans="1:17">
      <c r="A964">
        <v>1412000087</v>
      </c>
      <c r="B964" t="s">
        <v>137</v>
      </c>
      <c r="E964" s="312" t="s">
        <v>106</v>
      </c>
      <c r="F964" s="300">
        <v>9</v>
      </c>
      <c r="G964" s="300">
        <v>9</v>
      </c>
      <c r="H964" s="300">
        <v>9</v>
      </c>
      <c r="I964" s="300">
        <v>9</v>
      </c>
      <c r="J964" s="300">
        <v>9</v>
      </c>
      <c r="K964" s="300">
        <v>9</v>
      </c>
      <c r="L964" s="300">
        <v>9</v>
      </c>
      <c r="M964" s="300">
        <v>9</v>
      </c>
      <c r="N964" s="301">
        <v>9</v>
      </c>
      <c r="O964" s="302">
        <v>9</v>
      </c>
      <c r="P964" s="300">
        <v>9</v>
      </c>
      <c r="Q964" s="301">
        <v>9</v>
      </c>
    </row>
    <row r="965" spans="1:17">
      <c r="A965">
        <v>1412000087</v>
      </c>
      <c r="B965" t="s">
        <v>137</v>
      </c>
      <c r="E965" s="314" t="s">
        <v>158</v>
      </c>
      <c r="F965" s="303">
        <v>0</v>
      </c>
      <c r="G965" s="303">
        <v>0</v>
      </c>
      <c r="H965" s="303">
        <v>0</v>
      </c>
      <c r="I965" s="303">
        <v>0</v>
      </c>
      <c r="J965" s="303">
        <v>0</v>
      </c>
      <c r="K965" s="303">
        <v>0</v>
      </c>
      <c r="L965" s="303">
        <v>0</v>
      </c>
      <c r="M965" s="303">
        <v>0</v>
      </c>
      <c r="N965" s="304">
        <v>0</v>
      </c>
      <c r="O965" s="305">
        <v>0</v>
      </c>
      <c r="P965" s="303">
        <v>0</v>
      </c>
      <c r="Q965" s="304">
        <v>0</v>
      </c>
    </row>
    <row r="966" spans="1:17">
      <c r="A966">
        <v>1412000087</v>
      </c>
      <c r="B966" t="s">
        <v>137</v>
      </c>
      <c r="E966" s="177" t="s">
        <v>26</v>
      </c>
      <c r="F966" s="270">
        <v>9</v>
      </c>
      <c r="G966" s="270">
        <v>9</v>
      </c>
      <c r="H966" s="270">
        <v>9</v>
      </c>
      <c r="I966" s="270">
        <v>9</v>
      </c>
      <c r="J966" s="270">
        <v>9</v>
      </c>
      <c r="K966" s="270">
        <v>9</v>
      </c>
      <c r="L966" s="271">
        <v>9</v>
      </c>
      <c r="M966" s="270">
        <v>9</v>
      </c>
      <c r="N966" s="272">
        <v>9</v>
      </c>
      <c r="O966" s="271">
        <v>9</v>
      </c>
      <c r="P966" s="270">
        <v>9</v>
      </c>
      <c r="Q966" s="272">
        <v>9</v>
      </c>
    </row>
    <row r="967" spans="1:17" ht="15" thickBot="1">
      <c r="A967">
        <v>1412000087</v>
      </c>
      <c r="B967" t="s">
        <v>137</v>
      </c>
      <c r="E967" s="178" t="s">
        <v>27</v>
      </c>
      <c r="F967" s="273">
        <v>9</v>
      </c>
      <c r="G967" s="273">
        <v>9</v>
      </c>
      <c r="H967" s="273">
        <v>9</v>
      </c>
      <c r="I967" s="273">
        <v>9</v>
      </c>
      <c r="J967" s="273">
        <v>9</v>
      </c>
      <c r="K967" s="273">
        <v>9</v>
      </c>
      <c r="L967" s="274">
        <v>9</v>
      </c>
      <c r="M967" s="273">
        <v>9</v>
      </c>
      <c r="N967" s="275">
        <v>9</v>
      </c>
      <c r="O967" s="274">
        <v>9</v>
      </c>
      <c r="P967" s="273">
        <v>9</v>
      </c>
      <c r="Q967" s="275">
        <v>9</v>
      </c>
    </row>
    <row r="968" spans="1:17" ht="15" thickBot="1">
      <c r="A968">
        <v>1412000087</v>
      </c>
      <c r="B968" t="s">
        <v>137</v>
      </c>
      <c r="F968" s="276"/>
      <c r="G968" s="276"/>
      <c r="H968" s="276"/>
      <c r="I968" s="276"/>
      <c r="J968" s="276"/>
      <c r="K968" s="276"/>
      <c r="L968" s="276"/>
      <c r="M968" s="276"/>
      <c r="N968" s="276"/>
      <c r="O968" s="276"/>
      <c r="P968" s="276"/>
      <c r="Q968" s="276"/>
    </row>
    <row r="969" spans="1:17">
      <c r="A969">
        <v>1412000087</v>
      </c>
      <c r="B969" t="s">
        <v>137</v>
      </c>
      <c r="E969" s="220" t="s">
        <v>28</v>
      </c>
      <c r="F969" s="277"/>
      <c r="G969" s="277"/>
      <c r="H969" s="277"/>
      <c r="I969" s="277"/>
      <c r="J969" s="277"/>
      <c r="K969" s="277"/>
      <c r="L969" s="277"/>
      <c r="M969" s="277"/>
      <c r="N969" s="278"/>
      <c r="O969" s="277"/>
      <c r="P969" s="277"/>
      <c r="Q969" s="278"/>
    </row>
    <row r="970" spans="1:17">
      <c r="A970">
        <v>1412000087</v>
      </c>
      <c r="B970" t="s">
        <v>137</v>
      </c>
      <c r="E970" s="176" t="s">
        <v>25</v>
      </c>
      <c r="F970" s="279"/>
      <c r="G970" s="279"/>
      <c r="H970" s="279"/>
      <c r="I970" s="279"/>
      <c r="J970" s="279"/>
      <c r="K970" s="279"/>
      <c r="L970" s="279"/>
      <c r="M970" s="279"/>
      <c r="N970" s="280"/>
      <c r="O970" s="281"/>
      <c r="P970" s="279"/>
      <c r="Q970" s="280"/>
    </row>
    <row r="971" spans="1:17">
      <c r="A971">
        <v>1412000087</v>
      </c>
      <c r="B971" t="s">
        <v>137</v>
      </c>
      <c r="E971" s="312" t="s">
        <v>106</v>
      </c>
      <c r="F971" s="306">
        <v>1453.5</v>
      </c>
      <c r="G971" s="306">
        <v>1377</v>
      </c>
      <c r="H971" s="306">
        <v>1530</v>
      </c>
      <c r="I971" s="306">
        <v>1683</v>
      </c>
      <c r="J971" s="306">
        <v>1453.5</v>
      </c>
      <c r="K971" s="306">
        <v>1377</v>
      </c>
      <c r="L971" s="306">
        <v>1683</v>
      </c>
      <c r="M971" s="306">
        <v>1292</v>
      </c>
      <c r="N971" s="307">
        <v>1428</v>
      </c>
      <c r="O971" s="308">
        <v>1130.5</v>
      </c>
      <c r="P971" s="306">
        <v>833</v>
      </c>
      <c r="Q971" s="307">
        <v>1130.5</v>
      </c>
    </row>
    <row r="972" spans="1:17">
      <c r="A972">
        <v>1412000087</v>
      </c>
      <c r="B972" t="s">
        <v>137</v>
      </c>
      <c r="E972" s="314" t="s">
        <v>158</v>
      </c>
      <c r="F972" s="309">
        <v>0</v>
      </c>
      <c r="G972" s="309">
        <v>0</v>
      </c>
      <c r="H972" s="309">
        <v>0</v>
      </c>
      <c r="I972" s="309">
        <v>0</v>
      </c>
      <c r="J972" s="309">
        <v>0</v>
      </c>
      <c r="K972" s="309">
        <v>0</v>
      </c>
      <c r="L972" s="309">
        <v>0</v>
      </c>
      <c r="M972" s="309">
        <v>0</v>
      </c>
      <c r="N972" s="310">
        <v>0</v>
      </c>
      <c r="O972" s="311">
        <v>0</v>
      </c>
      <c r="P972" s="309">
        <v>0</v>
      </c>
      <c r="Q972" s="310">
        <v>0</v>
      </c>
    </row>
    <row r="973" spans="1:17">
      <c r="A973">
        <v>1412000087</v>
      </c>
      <c r="B973" t="s">
        <v>137</v>
      </c>
      <c r="E973" s="177" t="s">
        <v>26</v>
      </c>
      <c r="F973" s="282">
        <v>1453.5</v>
      </c>
      <c r="G973" s="282">
        <v>1377</v>
      </c>
      <c r="H973" s="282">
        <v>1530</v>
      </c>
      <c r="I973" s="282">
        <v>1683</v>
      </c>
      <c r="J973" s="282">
        <v>1453.5</v>
      </c>
      <c r="K973" s="282">
        <v>1377</v>
      </c>
      <c r="L973" s="283">
        <v>1683</v>
      </c>
      <c r="M973" s="282">
        <v>1292</v>
      </c>
      <c r="N973" s="284">
        <v>1428</v>
      </c>
      <c r="O973" s="283">
        <v>1130.5</v>
      </c>
      <c r="P973" s="282">
        <v>833</v>
      </c>
      <c r="Q973" s="284">
        <v>1130.5</v>
      </c>
    </row>
    <row r="974" spans="1:17" ht="15" thickBot="1">
      <c r="A974">
        <v>1412000087</v>
      </c>
      <c r="B974" t="s">
        <v>137</v>
      </c>
      <c r="E974" s="178" t="s">
        <v>44</v>
      </c>
      <c r="F974" s="285">
        <v>1453.5</v>
      </c>
      <c r="G974" s="285">
        <v>1377</v>
      </c>
      <c r="H974" s="285">
        <v>1530</v>
      </c>
      <c r="I974" s="285">
        <v>1683</v>
      </c>
      <c r="J974" s="285">
        <v>1453.5</v>
      </c>
      <c r="K974" s="285">
        <v>1377</v>
      </c>
      <c r="L974" s="286">
        <v>1683</v>
      </c>
      <c r="M974" s="285">
        <v>1292</v>
      </c>
      <c r="N974" s="287">
        <v>1428</v>
      </c>
      <c r="O974" s="286">
        <v>1130.5</v>
      </c>
      <c r="P974" s="285">
        <v>833</v>
      </c>
      <c r="Q974" s="287">
        <v>1130.5</v>
      </c>
    </row>
    <row r="975" spans="1:17" ht="15" thickBot="1">
      <c r="A975">
        <v>1412000087</v>
      </c>
      <c r="B975" t="s">
        <v>137</v>
      </c>
      <c r="F975" s="288"/>
      <c r="G975" s="288"/>
      <c r="H975" s="288"/>
      <c r="I975" s="288"/>
      <c r="J975" s="288"/>
      <c r="K975" s="288"/>
      <c r="L975" s="288"/>
      <c r="M975" s="288"/>
      <c r="N975" s="288"/>
      <c r="O975" s="288"/>
      <c r="P975" s="288"/>
      <c r="Q975" s="288"/>
    </row>
    <row r="976" spans="1:17">
      <c r="A976">
        <v>1412000087</v>
      </c>
      <c r="B976" t="s">
        <v>137</v>
      </c>
      <c r="E976" s="220" t="s">
        <v>29</v>
      </c>
      <c r="F976" s="289"/>
      <c r="G976" s="289"/>
      <c r="H976" s="289"/>
      <c r="I976" s="289"/>
      <c r="J976" s="289"/>
      <c r="K976" s="289"/>
      <c r="L976" s="289"/>
      <c r="M976" s="289"/>
      <c r="N976" s="290"/>
      <c r="O976" s="289"/>
      <c r="P976" s="289"/>
      <c r="Q976" s="278"/>
    </row>
    <row r="977" spans="1:17">
      <c r="A977">
        <v>1412000087</v>
      </c>
      <c r="B977" t="s">
        <v>137</v>
      </c>
      <c r="E977" s="176" t="s">
        <v>25</v>
      </c>
      <c r="F977" s="279"/>
      <c r="G977" s="279"/>
      <c r="H977" s="279"/>
      <c r="I977" s="279"/>
      <c r="J977" s="279"/>
      <c r="K977" s="279"/>
      <c r="L977" s="279"/>
      <c r="M977" s="279"/>
      <c r="N977" s="280"/>
      <c r="O977" s="281"/>
      <c r="P977" s="279"/>
      <c r="Q977" s="280"/>
    </row>
    <row r="978" spans="1:17">
      <c r="A978">
        <v>1412000087</v>
      </c>
      <c r="B978" t="s">
        <v>137</v>
      </c>
      <c r="E978" s="312" t="s">
        <v>106</v>
      </c>
      <c r="F978" s="306">
        <v>0</v>
      </c>
      <c r="G978" s="306">
        <v>0</v>
      </c>
      <c r="H978" s="306">
        <v>0</v>
      </c>
      <c r="I978" s="306">
        <v>0</v>
      </c>
      <c r="J978" s="306">
        <v>0</v>
      </c>
      <c r="K978" s="306">
        <v>0</v>
      </c>
      <c r="L978" s="306">
        <v>0</v>
      </c>
      <c r="M978" s="306">
        <v>0</v>
      </c>
      <c r="N978" s="307">
        <v>0</v>
      </c>
      <c r="O978" s="308">
        <v>0</v>
      </c>
      <c r="P978" s="306">
        <v>0</v>
      </c>
      <c r="Q978" s="307">
        <v>0</v>
      </c>
    </row>
    <row r="979" spans="1:17">
      <c r="A979">
        <v>1412000087</v>
      </c>
      <c r="B979" t="s">
        <v>137</v>
      </c>
      <c r="E979" s="314" t="s">
        <v>158</v>
      </c>
      <c r="F979" s="309">
        <v>0</v>
      </c>
      <c r="G979" s="309">
        <v>0</v>
      </c>
      <c r="H979" s="309">
        <v>0</v>
      </c>
      <c r="I979" s="309">
        <v>0</v>
      </c>
      <c r="J979" s="309">
        <v>0</v>
      </c>
      <c r="K979" s="309">
        <v>0</v>
      </c>
      <c r="L979" s="309">
        <v>0</v>
      </c>
      <c r="M979" s="309">
        <v>0</v>
      </c>
      <c r="N979" s="310">
        <v>0</v>
      </c>
      <c r="O979" s="311">
        <v>0</v>
      </c>
      <c r="P979" s="309">
        <v>0</v>
      </c>
      <c r="Q979" s="310">
        <v>0</v>
      </c>
    </row>
    <row r="980" spans="1:17">
      <c r="A980">
        <v>1412000087</v>
      </c>
      <c r="B980" t="s">
        <v>137</v>
      </c>
      <c r="E980" s="177" t="s">
        <v>26</v>
      </c>
      <c r="F980" s="282">
        <v>0</v>
      </c>
      <c r="G980" s="282">
        <v>0</v>
      </c>
      <c r="H980" s="282">
        <v>0</v>
      </c>
      <c r="I980" s="282">
        <v>0</v>
      </c>
      <c r="J980" s="282">
        <v>0</v>
      </c>
      <c r="K980" s="282">
        <v>0</v>
      </c>
      <c r="L980" s="283">
        <v>0</v>
      </c>
      <c r="M980" s="282">
        <v>0</v>
      </c>
      <c r="N980" s="284">
        <v>0</v>
      </c>
      <c r="O980" s="283">
        <v>0</v>
      </c>
      <c r="P980" s="282">
        <v>0</v>
      </c>
      <c r="Q980" s="284">
        <v>0</v>
      </c>
    </row>
    <row r="981" spans="1:17" ht="15" thickBot="1">
      <c r="A981">
        <v>1412000087</v>
      </c>
      <c r="B981" t="s">
        <v>137</v>
      </c>
      <c r="E981" s="178" t="s">
        <v>45</v>
      </c>
      <c r="F981" s="285">
        <v>0</v>
      </c>
      <c r="G981" s="285">
        <v>0</v>
      </c>
      <c r="H981" s="285">
        <v>0</v>
      </c>
      <c r="I981" s="285">
        <v>0</v>
      </c>
      <c r="J981" s="285">
        <v>0</v>
      </c>
      <c r="K981" s="285">
        <v>0</v>
      </c>
      <c r="L981" s="286">
        <v>0</v>
      </c>
      <c r="M981" s="285">
        <v>0</v>
      </c>
      <c r="N981" s="287">
        <v>0</v>
      </c>
      <c r="O981" s="286">
        <v>0</v>
      </c>
      <c r="P981" s="285">
        <v>0</v>
      </c>
      <c r="Q981" s="287">
        <v>0</v>
      </c>
    </row>
    <row r="982" spans="1:17">
      <c r="A982">
        <v>1412000088</v>
      </c>
      <c r="B982" t="s">
        <v>122</v>
      </c>
      <c r="E982" s="220" t="s">
        <v>40</v>
      </c>
      <c r="F982" s="201"/>
      <c r="G982" s="201"/>
      <c r="H982" s="201"/>
      <c r="I982" s="201"/>
      <c r="J982" s="201"/>
      <c r="K982" s="201"/>
      <c r="L982" s="201"/>
      <c r="M982" s="201"/>
      <c r="N982" s="202"/>
      <c r="O982" s="201"/>
      <c r="P982" s="201"/>
      <c r="Q982" s="202"/>
    </row>
    <row r="983" spans="1:17">
      <c r="A983">
        <v>1412000088</v>
      </c>
      <c r="B983" t="s">
        <v>122</v>
      </c>
      <c r="E983" s="176" t="s">
        <v>25</v>
      </c>
      <c r="F983" s="267"/>
      <c r="G983" s="267"/>
      <c r="H983" s="267"/>
      <c r="I983" s="267"/>
      <c r="J983" s="267"/>
      <c r="K983" s="267"/>
      <c r="L983" s="267"/>
      <c r="M983" s="267"/>
      <c r="N983" s="268"/>
      <c r="O983" s="269"/>
      <c r="P983" s="267"/>
      <c r="Q983" s="268"/>
    </row>
    <row r="984" spans="1:17">
      <c r="A984">
        <v>1412000088</v>
      </c>
      <c r="B984" t="s">
        <v>122</v>
      </c>
      <c r="E984" s="312" t="s">
        <v>106</v>
      </c>
      <c r="F984" s="300">
        <v>12</v>
      </c>
      <c r="G984" s="300">
        <v>12</v>
      </c>
      <c r="H984" s="300">
        <v>12</v>
      </c>
      <c r="I984" s="300">
        <v>12</v>
      </c>
      <c r="J984" s="300">
        <v>12</v>
      </c>
      <c r="K984" s="300">
        <v>12</v>
      </c>
      <c r="L984" s="300">
        <v>12</v>
      </c>
      <c r="M984" s="300">
        <v>12</v>
      </c>
      <c r="N984" s="301">
        <v>12</v>
      </c>
      <c r="O984" s="302">
        <v>12</v>
      </c>
      <c r="P984" s="300">
        <v>12</v>
      </c>
      <c r="Q984" s="301">
        <v>12</v>
      </c>
    </row>
    <row r="985" spans="1:17">
      <c r="A985">
        <v>1412000088</v>
      </c>
      <c r="B985" t="s">
        <v>122</v>
      </c>
      <c r="E985" s="314" t="s">
        <v>158</v>
      </c>
      <c r="F985" s="303">
        <v>13</v>
      </c>
      <c r="G985" s="303">
        <v>13</v>
      </c>
      <c r="H985" s="303">
        <v>13</v>
      </c>
      <c r="I985" s="303">
        <v>13</v>
      </c>
      <c r="J985" s="303">
        <v>13</v>
      </c>
      <c r="K985" s="303">
        <v>13</v>
      </c>
      <c r="L985" s="303">
        <v>13</v>
      </c>
      <c r="M985" s="303">
        <v>13</v>
      </c>
      <c r="N985" s="304">
        <v>13</v>
      </c>
      <c r="O985" s="305">
        <v>13</v>
      </c>
      <c r="P985" s="303">
        <v>13</v>
      </c>
      <c r="Q985" s="304">
        <v>13</v>
      </c>
    </row>
    <row r="986" spans="1:17">
      <c r="A986">
        <v>1412000088</v>
      </c>
      <c r="B986" t="s">
        <v>122</v>
      </c>
      <c r="E986" s="177" t="s">
        <v>26</v>
      </c>
      <c r="F986" s="270">
        <v>25</v>
      </c>
      <c r="G986" s="270">
        <v>25</v>
      </c>
      <c r="H986" s="270">
        <v>25</v>
      </c>
      <c r="I986" s="270">
        <v>25</v>
      </c>
      <c r="J986" s="270">
        <v>25</v>
      </c>
      <c r="K986" s="270">
        <v>25</v>
      </c>
      <c r="L986" s="271">
        <v>25</v>
      </c>
      <c r="M986" s="270">
        <v>25</v>
      </c>
      <c r="N986" s="272">
        <v>25</v>
      </c>
      <c r="O986" s="271">
        <v>25</v>
      </c>
      <c r="P986" s="270">
        <v>25</v>
      </c>
      <c r="Q986" s="272">
        <v>25</v>
      </c>
    </row>
    <row r="987" spans="1:17" ht="15" thickBot="1">
      <c r="A987">
        <v>1412000088</v>
      </c>
      <c r="B987" t="s">
        <v>122</v>
      </c>
      <c r="E987" s="178" t="s">
        <v>27</v>
      </c>
      <c r="F987" s="273">
        <v>25</v>
      </c>
      <c r="G987" s="273">
        <v>25</v>
      </c>
      <c r="H987" s="273">
        <v>25</v>
      </c>
      <c r="I987" s="273">
        <v>25</v>
      </c>
      <c r="J987" s="273">
        <v>25</v>
      </c>
      <c r="K987" s="273">
        <v>25</v>
      </c>
      <c r="L987" s="274">
        <v>25</v>
      </c>
      <c r="M987" s="273">
        <v>25</v>
      </c>
      <c r="N987" s="275">
        <v>25</v>
      </c>
      <c r="O987" s="274">
        <v>25</v>
      </c>
      <c r="P987" s="273">
        <v>25</v>
      </c>
      <c r="Q987" s="275">
        <v>25</v>
      </c>
    </row>
    <row r="988" spans="1:17" ht="15" thickBot="1">
      <c r="A988">
        <v>1412000088</v>
      </c>
      <c r="B988" t="s">
        <v>122</v>
      </c>
      <c r="F988" s="276"/>
      <c r="G988" s="276"/>
      <c r="H988" s="276"/>
      <c r="I988" s="276"/>
      <c r="J988" s="276"/>
      <c r="K988" s="276"/>
      <c r="L988" s="276"/>
      <c r="M988" s="276"/>
      <c r="N988" s="276"/>
      <c r="O988" s="276"/>
      <c r="P988" s="276"/>
      <c r="Q988" s="276"/>
    </row>
    <row r="989" spans="1:17">
      <c r="A989">
        <v>1412000088</v>
      </c>
      <c r="B989" t="s">
        <v>122</v>
      </c>
      <c r="E989" s="220" t="s">
        <v>28</v>
      </c>
      <c r="F989" s="277"/>
      <c r="G989" s="277"/>
      <c r="H989" s="277"/>
      <c r="I989" s="277"/>
      <c r="J989" s="277"/>
      <c r="K989" s="277"/>
      <c r="L989" s="277"/>
      <c r="M989" s="277"/>
      <c r="N989" s="278"/>
      <c r="O989" s="277"/>
      <c r="P989" s="277"/>
      <c r="Q989" s="278"/>
    </row>
    <row r="990" spans="1:17">
      <c r="A990">
        <v>1412000088</v>
      </c>
      <c r="B990" t="s">
        <v>122</v>
      </c>
      <c r="E990" s="176" t="s">
        <v>25</v>
      </c>
      <c r="F990" s="279"/>
      <c r="G990" s="279"/>
      <c r="H990" s="279"/>
      <c r="I990" s="279"/>
      <c r="J990" s="279"/>
      <c r="K990" s="279"/>
      <c r="L990" s="279"/>
      <c r="M990" s="279"/>
      <c r="N990" s="280"/>
      <c r="O990" s="281"/>
      <c r="P990" s="279"/>
      <c r="Q990" s="280"/>
    </row>
    <row r="991" spans="1:17">
      <c r="A991">
        <v>1412000088</v>
      </c>
      <c r="B991" t="s">
        <v>122</v>
      </c>
      <c r="E991" s="312" t="s">
        <v>106</v>
      </c>
      <c r="F991" s="306">
        <v>1927</v>
      </c>
      <c r="G991" s="306">
        <v>1806</v>
      </c>
      <c r="H991" s="306">
        <v>1834.5</v>
      </c>
      <c r="I991" s="306">
        <v>2015.5</v>
      </c>
      <c r="J991" s="306">
        <v>1765.5</v>
      </c>
      <c r="K991" s="306">
        <v>1696.5</v>
      </c>
      <c r="L991" s="306">
        <v>2013.5</v>
      </c>
      <c r="M991" s="306">
        <v>1764.5</v>
      </c>
      <c r="N991" s="307">
        <v>2081</v>
      </c>
      <c r="O991" s="308">
        <v>1885</v>
      </c>
      <c r="P991" s="306">
        <v>1395</v>
      </c>
      <c r="Q991" s="307">
        <v>1885</v>
      </c>
    </row>
    <row r="992" spans="1:17">
      <c r="A992">
        <v>1412000088</v>
      </c>
      <c r="B992" t="s">
        <v>122</v>
      </c>
      <c r="E992" s="314" t="s">
        <v>158</v>
      </c>
      <c r="F992" s="309">
        <v>2021.5</v>
      </c>
      <c r="G992" s="309">
        <v>1866.5</v>
      </c>
      <c r="H992" s="309">
        <v>1896</v>
      </c>
      <c r="I992" s="309">
        <v>2099</v>
      </c>
      <c r="J992" s="309">
        <v>1898</v>
      </c>
      <c r="K992" s="309">
        <v>1731</v>
      </c>
      <c r="L992" s="309">
        <v>2099</v>
      </c>
      <c r="M992" s="309">
        <v>1898</v>
      </c>
      <c r="N992" s="310">
        <v>2164.5</v>
      </c>
      <c r="O992" s="311">
        <v>1965.5</v>
      </c>
      <c r="P992" s="309">
        <v>1477</v>
      </c>
      <c r="Q992" s="310">
        <v>1965.5</v>
      </c>
    </row>
    <row r="993" spans="1:17">
      <c r="A993">
        <v>1412000088</v>
      </c>
      <c r="B993" t="s">
        <v>122</v>
      </c>
      <c r="E993" s="177" t="s">
        <v>26</v>
      </c>
      <c r="F993" s="282">
        <v>3948.5</v>
      </c>
      <c r="G993" s="282">
        <v>3672.5</v>
      </c>
      <c r="H993" s="282">
        <v>3730.5</v>
      </c>
      <c r="I993" s="282">
        <v>4114.5</v>
      </c>
      <c r="J993" s="282">
        <v>3663.5</v>
      </c>
      <c r="K993" s="282">
        <v>3427.5</v>
      </c>
      <c r="L993" s="283">
        <v>4112.5</v>
      </c>
      <c r="M993" s="282">
        <v>3662.5</v>
      </c>
      <c r="N993" s="284">
        <v>4245.5</v>
      </c>
      <c r="O993" s="283">
        <v>3850.5</v>
      </c>
      <c r="P993" s="282">
        <v>2872</v>
      </c>
      <c r="Q993" s="284">
        <v>3850.5</v>
      </c>
    </row>
    <row r="994" spans="1:17" ht="15" thickBot="1">
      <c r="A994">
        <v>1412000088</v>
      </c>
      <c r="B994" t="s">
        <v>122</v>
      </c>
      <c r="E994" s="178" t="s">
        <v>44</v>
      </c>
      <c r="F994" s="285">
        <v>3948.5</v>
      </c>
      <c r="G994" s="285">
        <v>3672.5</v>
      </c>
      <c r="H994" s="285">
        <v>3730.5</v>
      </c>
      <c r="I994" s="285">
        <v>4114.5</v>
      </c>
      <c r="J994" s="285">
        <v>3663.5</v>
      </c>
      <c r="K994" s="285">
        <v>3427.5</v>
      </c>
      <c r="L994" s="286">
        <v>4112.5</v>
      </c>
      <c r="M994" s="285">
        <v>3662.5</v>
      </c>
      <c r="N994" s="287">
        <v>4245.5</v>
      </c>
      <c r="O994" s="286">
        <v>3850.5</v>
      </c>
      <c r="P994" s="285">
        <v>2872</v>
      </c>
      <c r="Q994" s="287">
        <v>3850.5</v>
      </c>
    </row>
    <row r="995" spans="1:17" ht="15" thickBot="1">
      <c r="A995">
        <v>1412000088</v>
      </c>
      <c r="B995" t="s">
        <v>122</v>
      </c>
      <c r="F995" s="288"/>
      <c r="G995" s="288"/>
      <c r="H995" s="288"/>
      <c r="I995" s="288"/>
      <c r="J995" s="288"/>
      <c r="K995" s="288"/>
      <c r="L995" s="288"/>
      <c r="M995" s="288"/>
      <c r="N995" s="288"/>
      <c r="O995" s="288"/>
      <c r="P995" s="288"/>
      <c r="Q995" s="288"/>
    </row>
    <row r="996" spans="1:17">
      <c r="A996">
        <v>1412000088</v>
      </c>
      <c r="B996" t="s">
        <v>122</v>
      </c>
      <c r="E996" s="220" t="s">
        <v>29</v>
      </c>
      <c r="F996" s="289"/>
      <c r="G996" s="289"/>
      <c r="H996" s="289"/>
      <c r="I996" s="289"/>
      <c r="J996" s="289"/>
      <c r="K996" s="289"/>
      <c r="L996" s="289"/>
      <c r="M996" s="289"/>
      <c r="N996" s="290"/>
      <c r="O996" s="289"/>
      <c r="P996" s="289"/>
      <c r="Q996" s="278"/>
    </row>
    <row r="997" spans="1:17">
      <c r="A997">
        <v>1412000088</v>
      </c>
      <c r="B997" t="s">
        <v>122</v>
      </c>
      <c r="E997" s="176" t="s">
        <v>25</v>
      </c>
      <c r="F997" s="279"/>
      <c r="G997" s="279"/>
      <c r="H997" s="279"/>
      <c r="I997" s="279"/>
      <c r="J997" s="279"/>
      <c r="K997" s="279"/>
      <c r="L997" s="279"/>
      <c r="M997" s="279"/>
      <c r="N997" s="280"/>
      <c r="O997" s="281"/>
      <c r="P997" s="279"/>
      <c r="Q997" s="280"/>
    </row>
    <row r="998" spans="1:17">
      <c r="A998">
        <v>1412000088</v>
      </c>
      <c r="B998" t="s">
        <v>122</v>
      </c>
      <c r="E998" s="312" t="s">
        <v>106</v>
      </c>
      <c r="F998" s="306">
        <v>36</v>
      </c>
      <c r="G998" s="306">
        <v>34</v>
      </c>
      <c r="H998" s="306">
        <v>38</v>
      </c>
      <c r="I998" s="306">
        <v>42</v>
      </c>
      <c r="J998" s="306">
        <v>36</v>
      </c>
      <c r="K998" s="306">
        <v>34</v>
      </c>
      <c r="L998" s="306">
        <v>42</v>
      </c>
      <c r="M998" s="306">
        <v>36</v>
      </c>
      <c r="N998" s="307">
        <v>40</v>
      </c>
      <c r="O998" s="308">
        <v>36</v>
      </c>
      <c r="P998" s="306">
        <v>26</v>
      </c>
      <c r="Q998" s="307">
        <v>36</v>
      </c>
    </row>
    <row r="999" spans="1:17">
      <c r="A999">
        <v>1412000088</v>
      </c>
      <c r="B999" t="s">
        <v>122</v>
      </c>
      <c r="E999" s="314" t="s">
        <v>158</v>
      </c>
      <c r="F999" s="309">
        <v>48</v>
      </c>
      <c r="G999" s="309">
        <v>48</v>
      </c>
      <c r="H999" s="309">
        <v>48</v>
      </c>
      <c r="I999" s="309">
        <v>48</v>
      </c>
      <c r="J999" s="309">
        <v>48</v>
      </c>
      <c r="K999" s="309">
        <v>48</v>
      </c>
      <c r="L999" s="309">
        <v>48</v>
      </c>
      <c r="M999" s="309">
        <v>48</v>
      </c>
      <c r="N999" s="310">
        <v>48</v>
      </c>
      <c r="O999" s="311">
        <v>48</v>
      </c>
      <c r="P999" s="309">
        <v>48</v>
      </c>
      <c r="Q999" s="310">
        <v>48</v>
      </c>
    </row>
    <row r="1000" spans="1:17">
      <c r="A1000">
        <v>1412000088</v>
      </c>
      <c r="B1000" t="s">
        <v>122</v>
      </c>
      <c r="E1000" s="177" t="s">
        <v>26</v>
      </c>
      <c r="F1000" s="282">
        <v>84</v>
      </c>
      <c r="G1000" s="282">
        <v>82</v>
      </c>
      <c r="H1000" s="282">
        <v>86</v>
      </c>
      <c r="I1000" s="282">
        <v>90</v>
      </c>
      <c r="J1000" s="282">
        <v>84</v>
      </c>
      <c r="K1000" s="282">
        <v>82</v>
      </c>
      <c r="L1000" s="283">
        <v>90</v>
      </c>
      <c r="M1000" s="282">
        <v>84</v>
      </c>
      <c r="N1000" s="284">
        <v>88</v>
      </c>
      <c r="O1000" s="283">
        <v>84</v>
      </c>
      <c r="P1000" s="282">
        <v>74</v>
      </c>
      <c r="Q1000" s="284">
        <v>84</v>
      </c>
    </row>
    <row r="1001" spans="1:17" ht="15" thickBot="1">
      <c r="A1001">
        <v>1412000088</v>
      </c>
      <c r="B1001" t="s">
        <v>122</v>
      </c>
      <c r="E1001" s="178" t="s">
        <v>45</v>
      </c>
      <c r="F1001" s="285">
        <v>84</v>
      </c>
      <c r="G1001" s="285">
        <v>82</v>
      </c>
      <c r="H1001" s="285">
        <v>86</v>
      </c>
      <c r="I1001" s="285">
        <v>90</v>
      </c>
      <c r="J1001" s="285">
        <v>84</v>
      </c>
      <c r="K1001" s="285">
        <v>82</v>
      </c>
      <c r="L1001" s="286">
        <v>90</v>
      </c>
      <c r="M1001" s="285">
        <v>84</v>
      </c>
      <c r="N1001" s="287">
        <v>88</v>
      </c>
      <c r="O1001" s="286">
        <v>84</v>
      </c>
      <c r="P1001" s="285">
        <v>74</v>
      </c>
      <c r="Q1001" s="287">
        <v>84</v>
      </c>
    </row>
    <row r="1002" spans="1:17">
      <c r="A1002">
        <v>1412000089</v>
      </c>
      <c r="B1002" t="s">
        <v>138</v>
      </c>
      <c r="E1002" s="220" t="s">
        <v>40</v>
      </c>
      <c r="F1002" s="201"/>
      <c r="G1002" s="201"/>
      <c r="H1002" s="201"/>
      <c r="I1002" s="201"/>
      <c r="J1002" s="201"/>
      <c r="K1002" s="201"/>
      <c r="L1002" s="201"/>
      <c r="M1002" s="201"/>
      <c r="N1002" s="202"/>
      <c r="O1002" s="201"/>
      <c r="P1002" s="201"/>
      <c r="Q1002" s="202"/>
    </row>
    <row r="1003" spans="1:17">
      <c r="A1003">
        <v>1412000089</v>
      </c>
      <c r="B1003" t="s">
        <v>138</v>
      </c>
      <c r="E1003" s="176" t="s">
        <v>25</v>
      </c>
      <c r="F1003" s="267"/>
      <c r="G1003" s="267"/>
      <c r="H1003" s="267"/>
      <c r="I1003" s="267"/>
      <c r="J1003" s="267"/>
      <c r="K1003" s="267"/>
      <c r="L1003" s="267"/>
      <c r="M1003" s="267"/>
      <c r="N1003" s="268"/>
      <c r="O1003" s="269"/>
      <c r="P1003" s="267"/>
      <c r="Q1003" s="268"/>
    </row>
    <row r="1004" spans="1:17">
      <c r="A1004">
        <v>1412000089</v>
      </c>
      <c r="B1004" t="s">
        <v>138</v>
      </c>
      <c r="E1004" s="312" t="s">
        <v>106</v>
      </c>
      <c r="F1004" s="300">
        <v>13</v>
      </c>
      <c r="G1004" s="300">
        <v>13</v>
      </c>
      <c r="H1004" s="300">
        <v>13</v>
      </c>
      <c r="I1004" s="300">
        <v>13</v>
      </c>
      <c r="J1004" s="300">
        <v>13</v>
      </c>
      <c r="K1004" s="300">
        <v>13</v>
      </c>
      <c r="L1004" s="300">
        <v>13</v>
      </c>
      <c r="M1004" s="300">
        <v>13</v>
      </c>
      <c r="N1004" s="301">
        <v>13</v>
      </c>
      <c r="O1004" s="302">
        <v>13</v>
      </c>
      <c r="P1004" s="300">
        <v>13</v>
      </c>
      <c r="Q1004" s="301">
        <v>13</v>
      </c>
    </row>
    <row r="1005" spans="1:17">
      <c r="A1005">
        <v>1412000089</v>
      </c>
      <c r="B1005" t="s">
        <v>138</v>
      </c>
      <c r="E1005" s="314" t="s">
        <v>158</v>
      </c>
      <c r="F1005" s="303"/>
      <c r="G1005" s="303"/>
      <c r="H1005" s="303"/>
      <c r="I1005" s="303"/>
      <c r="J1005" s="303"/>
      <c r="K1005" s="303"/>
      <c r="L1005" s="303"/>
      <c r="M1005" s="303"/>
      <c r="N1005" s="304"/>
      <c r="O1005" s="305"/>
      <c r="P1005" s="303"/>
      <c r="Q1005" s="304"/>
    </row>
    <row r="1006" spans="1:17">
      <c r="A1006">
        <v>1412000089</v>
      </c>
      <c r="B1006" t="s">
        <v>138</v>
      </c>
      <c r="E1006" s="177" t="s">
        <v>26</v>
      </c>
      <c r="F1006" s="270">
        <v>13</v>
      </c>
      <c r="G1006" s="270">
        <v>13</v>
      </c>
      <c r="H1006" s="270">
        <v>13</v>
      </c>
      <c r="I1006" s="270">
        <v>13</v>
      </c>
      <c r="J1006" s="270">
        <v>13</v>
      </c>
      <c r="K1006" s="270">
        <v>13</v>
      </c>
      <c r="L1006" s="271">
        <v>13</v>
      </c>
      <c r="M1006" s="270">
        <v>13</v>
      </c>
      <c r="N1006" s="272">
        <v>13</v>
      </c>
      <c r="O1006" s="271">
        <v>13</v>
      </c>
      <c r="P1006" s="270">
        <v>13</v>
      </c>
      <c r="Q1006" s="272">
        <v>13</v>
      </c>
    </row>
    <row r="1007" spans="1:17" ht="15" thickBot="1">
      <c r="A1007">
        <v>1412000089</v>
      </c>
      <c r="B1007" t="s">
        <v>138</v>
      </c>
      <c r="E1007" s="178" t="s">
        <v>27</v>
      </c>
      <c r="F1007" s="273">
        <v>13</v>
      </c>
      <c r="G1007" s="273">
        <v>13</v>
      </c>
      <c r="H1007" s="273">
        <v>13</v>
      </c>
      <c r="I1007" s="273">
        <v>13</v>
      </c>
      <c r="J1007" s="273">
        <v>13</v>
      </c>
      <c r="K1007" s="273">
        <v>13</v>
      </c>
      <c r="L1007" s="274">
        <v>13</v>
      </c>
      <c r="M1007" s="273">
        <v>13</v>
      </c>
      <c r="N1007" s="275">
        <v>13</v>
      </c>
      <c r="O1007" s="274">
        <v>13</v>
      </c>
      <c r="P1007" s="273">
        <v>13</v>
      </c>
      <c r="Q1007" s="275">
        <v>13</v>
      </c>
    </row>
    <row r="1008" spans="1:17" ht="15" thickBot="1">
      <c r="A1008">
        <v>1412000089</v>
      </c>
      <c r="B1008" t="s">
        <v>138</v>
      </c>
      <c r="F1008" s="276"/>
      <c r="G1008" s="276"/>
      <c r="H1008" s="276"/>
      <c r="I1008" s="276"/>
      <c r="J1008" s="276"/>
      <c r="K1008" s="276"/>
      <c r="L1008" s="276"/>
      <c r="M1008" s="276"/>
      <c r="N1008" s="276"/>
      <c r="O1008" s="276"/>
      <c r="P1008" s="276"/>
      <c r="Q1008" s="276"/>
    </row>
    <row r="1009" spans="1:17">
      <c r="A1009">
        <v>1412000089</v>
      </c>
      <c r="B1009" t="s">
        <v>138</v>
      </c>
      <c r="E1009" s="220" t="s">
        <v>28</v>
      </c>
      <c r="F1009" s="277"/>
      <c r="G1009" s="277"/>
      <c r="H1009" s="277"/>
      <c r="I1009" s="277"/>
      <c r="J1009" s="277"/>
      <c r="K1009" s="277"/>
      <c r="L1009" s="277"/>
      <c r="M1009" s="277"/>
      <c r="N1009" s="278"/>
      <c r="O1009" s="277"/>
      <c r="P1009" s="277"/>
      <c r="Q1009" s="278"/>
    </row>
    <row r="1010" spans="1:17">
      <c r="A1010">
        <v>1412000089</v>
      </c>
      <c r="B1010" t="s">
        <v>138</v>
      </c>
      <c r="E1010" s="176" t="s">
        <v>25</v>
      </c>
      <c r="F1010" s="279"/>
      <c r="G1010" s="279"/>
      <c r="H1010" s="279"/>
      <c r="I1010" s="279"/>
      <c r="J1010" s="279"/>
      <c r="K1010" s="279"/>
      <c r="L1010" s="279"/>
      <c r="M1010" s="279"/>
      <c r="N1010" s="280"/>
      <c r="O1010" s="281"/>
      <c r="P1010" s="279"/>
      <c r="Q1010" s="280"/>
    </row>
    <row r="1011" spans="1:17">
      <c r="A1011">
        <v>1412000089</v>
      </c>
      <c r="B1011" t="s">
        <v>138</v>
      </c>
      <c r="E1011" s="312" t="s">
        <v>106</v>
      </c>
      <c r="F1011" s="306">
        <v>2105</v>
      </c>
      <c r="G1011" s="306">
        <v>2004</v>
      </c>
      <c r="H1011" s="306">
        <v>2206</v>
      </c>
      <c r="I1011" s="306">
        <v>2408</v>
      </c>
      <c r="J1011" s="306">
        <v>2116.5</v>
      </c>
      <c r="K1011" s="306">
        <v>2014.5</v>
      </c>
      <c r="L1011" s="306">
        <v>2422.5</v>
      </c>
      <c r="M1011" s="306">
        <v>2116.5</v>
      </c>
      <c r="N1011" s="307">
        <v>2320.5</v>
      </c>
      <c r="O1011" s="308">
        <v>2099.5</v>
      </c>
      <c r="P1011" s="306">
        <v>1589.5</v>
      </c>
      <c r="Q1011" s="307">
        <v>2091</v>
      </c>
    </row>
    <row r="1012" spans="1:17">
      <c r="A1012">
        <v>1412000089</v>
      </c>
      <c r="B1012" t="s">
        <v>138</v>
      </c>
      <c r="E1012" s="314" t="s">
        <v>158</v>
      </c>
      <c r="F1012" s="309"/>
      <c r="G1012" s="309"/>
      <c r="H1012" s="309"/>
      <c r="I1012" s="309"/>
      <c r="J1012" s="309"/>
      <c r="K1012" s="309"/>
      <c r="L1012" s="309"/>
      <c r="M1012" s="309"/>
      <c r="N1012" s="310"/>
      <c r="O1012" s="311"/>
      <c r="P1012" s="309"/>
      <c r="Q1012" s="310"/>
    </row>
    <row r="1013" spans="1:17">
      <c r="A1013">
        <v>1412000089</v>
      </c>
      <c r="B1013" t="s">
        <v>138</v>
      </c>
      <c r="E1013" s="177" t="s">
        <v>26</v>
      </c>
      <c r="F1013" s="282">
        <v>2105</v>
      </c>
      <c r="G1013" s="282">
        <v>2004</v>
      </c>
      <c r="H1013" s="282">
        <v>2206</v>
      </c>
      <c r="I1013" s="282">
        <v>2408</v>
      </c>
      <c r="J1013" s="282">
        <v>2116.5</v>
      </c>
      <c r="K1013" s="282">
        <v>2014.5</v>
      </c>
      <c r="L1013" s="283">
        <v>2422.5</v>
      </c>
      <c r="M1013" s="282">
        <v>2116.5</v>
      </c>
      <c r="N1013" s="284">
        <v>2320.5</v>
      </c>
      <c r="O1013" s="283">
        <v>2099.5</v>
      </c>
      <c r="P1013" s="282">
        <v>1589.5</v>
      </c>
      <c r="Q1013" s="284">
        <v>2091</v>
      </c>
    </row>
    <row r="1014" spans="1:17" ht="15" thickBot="1">
      <c r="A1014">
        <v>1412000089</v>
      </c>
      <c r="B1014" t="s">
        <v>138</v>
      </c>
      <c r="E1014" s="178" t="s">
        <v>44</v>
      </c>
      <c r="F1014" s="285">
        <v>2105</v>
      </c>
      <c r="G1014" s="285">
        <v>2004</v>
      </c>
      <c r="H1014" s="285">
        <v>2206</v>
      </c>
      <c r="I1014" s="285">
        <v>2408</v>
      </c>
      <c r="J1014" s="285">
        <v>2116.5</v>
      </c>
      <c r="K1014" s="285">
        <v>2014.5</v>
      </c>
      <c r="L1014" s="286">
        <v>2422.5</v>
      </c>
      <c r="M1014" s="285">
        <v>2116.5</v>
      </c>
      <c r="N1014" s="287">
        <v>2320.5</v>
      </c>
      <c r="O1014" s="286">
        <v>2099.5</v>
      </c>
      <c r="P1014" s="285">
        <v>1589.5</v>
      </c>
      <c r="Q1014" s="287">
        <v>2091</v>
      </c>
    </row>
    <row r="1015" spans="1:17" ht="15" thickBot="1">
      <c r="A1015">
        <v>1412000089</v>
      </c>
      <c r="B1015" t="s">
        <v>138</v>
      </c>
      <c r="F1015" s="288"/>
      <c r="G1015" s="288"/>
      <c r="H1015" s="288"/>
      <c r="I1015" s="288"/>
      <c r="J1015" s="288"/>
      <c r="K1015" s="288"/>
      <c r="L1015" s="288"/>
      <c r="M1015" s="288"/>
      <c r="N1015" s="288"/>
      <c r="O1015" s="288"/>
      <c r="P1015" s="288"/>
      <c r="Q1015" s="288"/>
    </row>
    <row r="1016" spans="1:17">
      <c r="A1016">
        <v>1412000089</v>
      </c>
      <c r="B1016" t="s">
        <v>138</v>
      </c>
      <c r="E1016" s="220" t="s">
        <v>29</v>
      </c>
      <c r="F1016" s="289"/>
      <c r="G1016" s="289"/>
      <c r="H1016" s="289"/>
      <c r="I1016" s="289"/>
      <c r="J1016" s="289"/>
      <c r="K1016" s="289"/>
      <c r="L1016" s="289"/>
      <c r="M1016" s="289"/>
      <c r="N1016" s="290"/>
      <c r="O1016" s="289"/>
      <c r="P1016" s="289"/>
      <c r="Q1016" s="278"/>
    </row>
    <row r="1017" spans="1:17">
      <c r="A1017">
        <v>1412000089</v>
      </c>
      <c r="B1017" t="s">
        <v>138</v>
      </c>
      <c r="E1017" s="176" t="s">
        <v>25</v>
      </c>
      <c r="F1017" s="279"/>
      <c r="G1017" s="279"/>
      <c r="H1017" s="279"/>
      <c r="I1017" s="279"/>
      <c r="J1017" s="279"/>
      <c r="K1017" s="279"/>
      <c r="L1017" s="279"/>
      <c r="M1017" s="279"/>
      <c r="N1017" s="280"/>
      <c r="O1017" s="281"/>
      <c r="P1017" s="279"/>
      <c r="Q1017" s="280"/>
    </row>
    <row r="1018" spans="1:17">
      <c r="A1018">
        <v>1412000089</v>
      </c>
      <c r="B1018" t="s">
        <v>138</v>
      </c>
      <c r="E1018" s="312" t="s">
        <v>106</v>
      </c>
      <c r="F1018" s="306">
        <v>80</v>
      </c>
      <c r="G1018" s="306">
        <v>74</v>
      </c>
      <c r="H1018" s="306">
        <v>127</v>
      </c>
      <c r="I1018" s="306">
        <v>137</v>
      </c>
      <c r="J1018" s="306">
        <v>78</v>
      </c>
      <c r="K1018" s="306">
        <v>76</v>
      </c>
      <c r="L1018" s="306">
        <v>120</v>
      </c>
      <c r="M1018" s="306">
        <v>125</v>
      </c>
      <c r="N1018" s="307">
        <v>86</v>
      </c>
      <c r="O1018" s="308">
        <v>80</v>
      </c>
      <c r="P1018" s="306">
        <v>60</v>
      </c>
      <c r="Q1018" s="307">
        <v>125</v>
      </c>
    </row>
    <row r="1019" spans="1:17">
      <c r="A1019">
        <v>1412000089</v>
      </c>
      <c r="B1019" t="s">
        <v>138</v>
      </c>
      <c r="E1019" s="314" t="s">
        <v>158</v>
      </c>
      <c r="F1019" s="309"/>
      <c r="G1019" s="309"/>
      <c r="H1019" s="309"/>
      <c r="I1019" s="309"/>
      <c r="J1019" s="309"/>
      <c r="K1019" s="309"/>
      <c r="L1019" s="309"/>
      <c r="M1019" s="309"/>
      <c r="N1019" s="310"/>
      <c r="O1019" s="311"/>
      <c r="P1019" s="309"/>
      <c r="Q1019" s="310"/>
    </row>
    <row r="1020" spans="1:17">
      <c r="A1020">
        <v>1412000089</v>
      </c>
      <c r="B1020" t="s">
        <v>138</v>
      </c>
      <c r="E1020" s="177" t="s">
        <v>26</v>
      </c>
      <c r="F1020" s="282">
        <v>80</v>
      </c>
      <c r="G1020" s="282">
        <v>74</v>
      </c>
      <c r="H1020" s="282">
        <v>127</v>
      </c>
      <c r="I1020" s="282">
        <v>137</v>
      </c>
      <c r="J1020" s="282">
        <v>78</v>
      </c>
      <c r="K1020" s="282">
        <v>76</v>
      </c>
      <c r="L1020" s="283">
        <v>120</v>
      </c>
      <c r="M1020" s="282">
        <v>125</v>
      </c>
      <c r="N1020" s="284">
        <v>86</v>
      </c>
      <c r="O1020" s="283">
        <v>80</v>
      </c>
      <c r="P1020" s="282">
        <v>60</v>
      </c>
      <c r="Q1020" s="284">
        <v>125</v>
      </c>
    </row>
    <row r="1021" spans="1:17" ht="15" thickBot="1">
      <c r="A1021">
        <v>1412000089</v>
      </c>
      <c r="B1021" t="s">
        <v>138</v>
      </c>
      <c r="E1021" s="178" t="s">
        <v>45</v>
      </c>
      <c r="F1021" s="285">
        <v>80</v>
      </c>
      <c r="G1021" s="285">
        <v>74</v>
      </c>
      <c r="H1021" s="285">
        <v>127</v>
      </c>
      <c r="I1021" s="285">
        <v>137</v>
      </c>
      <c r="J1021" s="285">
        <v>78</v>
      </c>
      <c r="K1021" s="285">
        <v>76</v>
      </c>
      <c r="L1021" s="286">
        <v>120</v>
      </c>
      <c r="M1021" s="285">
        <v>125</v>
      </c>
      <c r="N1021" s="287">
        <v>86</v>
      </c>
      <c r="O1021" s="286">
        <v>80</v>
      </c>
      <c r="P1021" s="285">
        <v>60</v>
      </c>
      <c r="Q1021" s="287">
        <v>125</v>
      </c>
    </row>
    <row r="1022" spans="1:17">
      <c r="A1022">
        <v>1412000091</v>
      </c>
      <c r="B1022" t="s">
        <v>135</v>
      </c>
      <c r="E1022" s="220" t="s">
        <v>40</v>
      </c>
      <c r="F1022" s="201"/>
      <c r="G1022" s="201"/>
      <c r="H1022" s="201"/>
      <c r="I1022" s="201"/>
      <c r="J1022" s="201"/>
      <c r="K1022" s="201"/>
      <c r="L1022" s="201"/>
      <c r="M1022" s="201"/>
      <c r="N1022" s="202"/>
      <c r="O1022" s="201"/>
      <c r="P1022" s="201"/>
      <c r="Q1022" s="202"/>
    </row>
    <row r="1023" spans="1:17">
      <c r="A1023">
        <v>1412000091</v>
      </c>
      <c r="B1023" t="s">
        <v>135</v>
      </c>
      <c r="E1023" s="176" t="s">
        <v>25</v>
      </c>
      <c r="F1023" s="267">
        <v>0</v>
      </c>
      <c r="G1023" s="267">
        <v>0</v>
      </c>
      <c r="H1023" s="267">
        <v>0</v>
      </c>
      <c r="I1023" s="267">
        <v>0</v>
      </c>
      <c r="J1023" s="267">
        <v>0</v>
      </c>
      <c r="K1023" s="267">
        <v>0</v>
      </c>
      <c r="L1023" s="267">
        <v>0</v>
      </c>
      <c r="M1023" s="267">
        <v>0</v>
      </c>
      <c r="N1023" s="268">
        <v>0</v>
      </c>
      <c r="O1023" s="269">
        <v>0</v>
      </c>
      <c r="P1023" s="267">
        <v>0</v>
      </c>
      <c r="Q1023" s="268">
        <v>0</v>
      </c>
    </row>
    <row r="1024" spans="1:17">
      <c r="A1024">
        <v>1412000091</v>
      </c>
      <c r="B1024" t="s">
        <v>135</v>
      </c>
      <c r="E1024" s="312" t="s">
        <v>106</v>
      </c>
      <c r="F1024" s="300">
        <v>3</v>
      </c>
      <c r="G1024" s="300">
        <v>3</v>
      </c>
      <c r="H1024" s="300">
        <v>3</v>
      </c>
      <c r="I1024" s="300">
        <v>3</v>
      </c>
      <c r="J1024" s="300">
        <v>3</v>
      </c>
      <c r="K1024" s="300">
        <v>3</v>
      </c>
      <c r="L1024" s="300">
        <v>3</v>
      </c>
      <c r="M1024" s="300">
        <v>3</v>
      </c>
      <c r="N1024" s="301">
        <v>3</v>
      </c>
      <c r="O1024" s="302">
        <v>3</v>
      </c>
      <c r="P1024" s="300">
        <v>3</v>
      </c>
      <c r="Q1024" s="301">
        <v>3</v>
      </c>
    </row>
    <row r="1025" spans="1:17">
      <c r="A1025">
        <v>1412000091</v>
      </c>
      <c r="B1025" t="s">
        <v>135</v>
      </c>
      <c r="E1025" s="314" t="s">
        <v>158</v>
      </c>
      <c r="F1025" s="303">
        <v>67</v>
      </c>
      <c r="G1025" s="303">
        <v>67</v>
      </c>
      <c r="H1025" s="303">
        <v>67</v>
      </c>
      <c r="I1025" s="303">
        <v>67</v>
      </c>
      <c r="J1025" s="303">
        <v>67</v>
      </c>
      <c r="K1025" s="303">
        <v>67</v>
      </c>
      <c r="L1025" s="303">
        <v>67</v>
      </c>
      <c r="M1025" s="303">
        <v>67</v>
      </c>
      <c r="N1025" s="304">
        <v>67</v>
      </c>
      <c r="O1025" s="305">
        <v>67</v>
      </c>
      <c r="P1025" s="303">
        <v>67</v>
      </c>
      <c r="Q1025" s="304">
        <v>67</v>
      </c>
    </row>
    <row r="1026" spans="1:17">
      <c r="A1026">
        <v>1412000091</v>
      </c>
      <c r="B1026" t="s">
        <v>135</v>
      </c>
      <c r="E1026" s="177" t="s">
        <v>26</v>
      </c>
      <c r="F1026" s="270">
        <v>70</v>
      </c>
      <c r="G1026" s="270">
        <v>70</v>
      </c>
      <c r="H1026" s="270">
        <v>70</v>
      </c>
      <c r="I1026" s="270">
        <v>70</v>
      </c>
      <c r="J1026" s="270">
        <v>70</v>
      </c>
      <c r="K1026" s="270">
        <v>70</v>
      </c>
      <c r="L1026" s="271">
        <v>70</v>
      </c>
      <c r="M1026" s="270">
        <v>70</v>
      </c>
      <c r="N1026" s="272">
        <v>70</v>
      </c>
      <c r="O1026" s="271">
        <v>70</v>
      </c>
      <c r="P1026" s="270">
        <v>70</v>
      </c>
      <c r="Q1026" s="272">
        <v>70</v>
      </c>
    </row>
    <row r="1027" spans="1:17" ht="15" thickBot="1">
      <c r="A1027">
        <v>1412000091</v>
      </c>
      <c r="B1027" t="s">
        <v>135</v>
      </c>
      <c r="E1027" s="178" t="s">
        <v>27</v>
      </c>
      <c r="F1027" s="273">
        <v>70</v>
      </c>
      <c r="G1027" s="273">
        <v>70</v>
      </c>
      <c r="H1027" s="273">
        <v>70</v>
      </c>
      <c r="I1027" s="273">
        <v>70</v>
      </c>
      <c r="J1027" s="273">
        <v>70</v>
      </c>
      <c r="K1027" s="273">
        <v>70</v>
      </c>
      <c r="L1027" s="274">
        <v>70</v>
      </c>
      <c r="M1027" s="273">
        <v>70</v>
      </c>
      <c r="N1027" s="275">
        <v>70</v>
      </c>
      <c r="O1027" s="274">
        <v>70</v>
      </c>
      <c r="P1027" s="273">
        <v>70</v>
      </c>
      <c r="Q1027" s="275">
        <v>70</v>
      </c>
    </row>
    <row r="1028" spans="1:17" ht="15" thickBot="1">
      <c r="A1028">
        <v>1412000091</v>
      </c>
      <c r="B1028" t="s">
        <v>135</v>
      </c>
      <c r="F1028" s="276"/>
      <c r="G1028" s="276"/>
      <c r="H1028" s="276"/>
      <c r="I1028" s="276"/>
      <c r="J1028" s="276"/>
      <c r="K1028" s="276"/>
      <c r="L1028" s="276"/>
      <c r="M1028" s="276"/>
      <c r="N1028" s="276"/>
      <c r="O1028" s="276"/>
      <c r="P1028" s="276"/>
      <c r="Q1028" s="276"/>
    </row>
    <row r="1029" spans="1:17">
      <c r="A1029">
        <v>1412000091</v>
      </c>
      <c r="B1029" t="s">
        <v>135</v>
      </c>
      <c r="E1029" s="220" t="s">
        <v>28</v>
      </c>
      <c r="F1029" s="277"/>
      <c r="G1029" s="277"/>
      <c r="H1029" s="277"/>
      <c r="I1029" s="277"/>
      <c r="J1029" s="277"/>
      <c r="K1029" s="277"/>
      <c r="L1029" s="277"/>
      <c r="M1029" s="277"/>
      <c r="N1029" s="278"/>
      <c r="O1029" s="277"/>
      <c r="P1029" s="277"/>
      <c r="Q1029" s="278"/>
    </row>
    <row r="1030" spans="1:17">
      <c r="A1030">
        <v>1412000091</v>
      </c>
      <c r="B1030" t="s">
        <v>135</v>
      </c>
      <c r="E1030" s="176" t="s">
        <v>25</v>
      </c>
      <c r="F1030" s="279">
        <v>0</v>
      </c>
      <c r="G1030" s="279">
        <v>0</v>
      </c>
      <c r="H1030" s="279">
        <v>0</v>
      </c>
      <c r="I1030" s="279">
        <v>0</v>
      </c>
      <c r="J1030" s="279">
        <v>0</v>
      </c>
      <c r="K1030" s="279">
        <v>0</v>
      </c>
      <c r="L1030" s="279">
        <v>0</v>
      </c>
      <c r="M1030" s="279">
        <v>0</v>
      </c>
      <c r="N1030" s="280">
        <v>0</v>
      </c>
      <c r="O1030" s="281">
        <v>0</v>
      </c>
      <c r="P1030" s="279">
        <v>0</v>
      </c>
      <c r="Q1030" s="280">
        <v>0</v>
      </c>
    </row>
    <row r="1031" spans="1:17">
      <c r="A1031">
        <v>1412000091</v>
      </c>
      <c r="B1031" t="s">
        <v>135</v>
      </c>
      <c r="E1031" s="312" t="s">
        <v>106</v>
      </c>
      <c r="F1031" s="306">
        <v>490</v>
      </c>
      <c r="G1031" s="306">
        <v>503</v>
      </c>
      <c r="H1031" s="306">
        <v>522</v>
      </c>
      <c r="I1031" s="306">
        <v>571</v>
      </c>
      <c r="J1031" s="306">
        <v>512.5</v>
      </c>
      <c r="K1031" s="306">
        <v>480.5</v>
      </c>
      <c r="L1031" s="306">
        <v>571</v>
      </c>
      <c r="M1031" s="306">
        <v>497.5</v>
      </c>
      <c r="N1031" s="307">
        <v>561.5</v>
      </c>
      <c r="O1031" s="308">
        <v>505</v>
      </c>
      <c r="P1031" s="306">
        <v>382.5</v>
      </c>
      <c r="Q1031" s="307">
        <v>505</v>
      </c>
    </row>
    <row r="1032" spans="1:17">
      <c r="A1032">
        <v>1412000091</v>
      </c>
      <c r="B1032" t="s">
        <v>135</v>
      </c>
      <c r="E1032" s="314" t="s">
        <v>158</v>
      </c>
      <c r="F1032" s="309">
        <v>10500</v>
      </c>
      <c r="G1032" s="309">
        <v>11250</v>
      </c>
      <c r="H1032" s="309">
        <v>11250</v>
      </c>
      <c r="I1032" s="309">
        <v>11625</v>
      </c>
      <c r="J1032" s="309">
        <v>11625</v>
      </c>
      <c r="K1032" s="309">
        <v>10500</v>
      </c>
      <c r="L1032" s="309">
        <v>11625</v>
      </c>
      <c r="M1032" s="309">
        <v>11250</v>
      </c>
      <c r="N1032" s="310">
        <v>11625</v>
      </c>
      <c r="O1032" s="311">
        <v>11625</v>
      </c>
      <c r="P1032" s="309">
        <v>8625</v>
      </c>
      <c r="Q1032" s="310">
        <v>11625</v>
      </c>
    </row>
    <row r="1033" spans="1:17">
      <c r="A1033">
        <v>1412000091</v>
      </c>
      <c r="B1033" t="s">
        <v>135</v>
      </c>
      <c r="E1033" s="177" t="s">
        <v>26</v>
      </c>
      <c r="F1033" s="282">
        <v>10990</v>
      </c>
      <c r="G1033" s="282">
        <v>11753</v>
      </c>
      <c r="H1033" s="282">
        <v>11772</v>
      </c>
      <c r="I1033" s="282">
        <v>12196</v>
      </c>
      <c r="J1033" s="282">
        <v>12137.5</v>
      </c>
      <c r="K1033" s="282">
        <v>10980.5</v>
      </c>
      <c r="L1033" s="283">
        <v>12196</v>
      </c>
      <c r="M1033" s="282">
        <v>11747.5</v>
      </c>
      <c r="N1033" s="284">
        <v>12186.5</v>
      </c>
      <c r="O1033" s="283">
        <v>12130</v>
      </c>
      <c r="P1033" s="282">
        <v>9007.5</v>
      </c>
      <c r="Q1033" s="284">
        <v>12130</v>
      </c>
    </row>
    <row r="1034" spans="1:17" ht="15" thickBot="1">
      <c r="A1034">
        <v>1412000091</v>
      </c>
      <c r="B1034" t="s">
        <v>135</v>
      </c>
      <c r="E1034" s="178" t="s">
        <v>44</v>
      </c>
      <c r="F1034" s="285">
        <v>10990</v>
      </c>
      <c r="G1034" s="285">
        <v>11753</v>
      </c>
      <c r="H1034" s="285">
        <v>11772</v>
      </c>
      <c r="I1034" s="285">
        <v>12196</v>
      </c>
      <c r="J1034" s="285">
        <v>12137.5</v>
      </c>
      <c r="K1034" s="285">
        <v>10980.5</v>
      </c>
      <c r="L1034" s="286">
        <v>12196</v>
      </c>
      <c r="M1034" s="285">
        <v>11747.5</v>
      </c>
      <c r="N1034" s="287">
        <v>12186.5</v>
      </c>
      <c r="O1034" s="286">
        <v>12130</v>
      </c>
      <c r="P1034" s="285">
        <v>9007.5</v>
      </c>
      <c r="Q1034" s="287">
        <v>12130</v>
      </c>
    </row>
    <row r="1035" spans="1:17" ht="15" thickBot="1">
      <c r="A1035">
        <v>1412000091</v>
      </c>
      <c r="B1035" t="s">
        <v>135</v>
      </c>
      <c r="F1035" s="288"/>
      <c r="G1035" s="288"/>
      <c r="H1035" s="288"/>
      <c r="I1035" s="288"/>
      <c r="J1035" s="288"/>
      <c r="K1035" s="288"/>
      <c r="L1035" s="288"/>
      <c r="M1035" s="288"/>
      <c r="N1035" s="288"/>
      <c r="O1035" s="288"/>
      <c r="P1035" s="288"/>
      <c r="Q1035" s="288"/>
    </row>
    <row r="1036" spans="1:17">
      <c r="A1036">
        <v>1412000091</v>
      </c>
      <c r="B1036" t="s">
        <v>135</v>
      </c>
      <c r="E1036" s="220" t="s">
        <v>29</v>
      </c>
      <c r="F1036" s="289"/>
      <c r="G1036" s="289"/>
      <c r="H1036" s="289"/>
      <c r="I1036" s="289"/>
      <c r="J1036" s="289"/>
      <c r="K1036" s="289"/>
      <c r="L1036" s="289"/>
      <c r="M1036" s="289"/>
      <c r="N1036" s="290"/>
      <c r="O1036" s="289"/>
      <c r="P1036" s="289"/>
      <c r="Q1036" s="278"/>
    </row>
    <row r="1037" spans="1:17">
      <c r="A1037">
        <v>1412000091</v>
      </c>
      <c r="B1037" t="s">
        <v>135</v>
      </c>
      <c r="E1037" s="176" t="s">
        <v>25</v>
      </c>
      <c r="F1037" s="279"/>
      <c r="G1037" s="279"/>
      <c r="H1037" s="279"/>
      <c r="I1037" s="279"/>
      <c r="J1037" s="279"/>
      <c r="K1037" s="279"/>
      <c r="L1037" s="279"/>
      <c r="M1037" s="279"/>
      <c r="N1037" s="280"/>
      <c r="O1037" s="281"/>
      <c r="P1037" s="279"/>
      <c r="Q1037" s="280"/>
    </row>
    <row r="1038" spans="1:17">
      <c r="A1038">
        <v>1412000091</v>
      </c>
      <c r="B1038" t="s">
        <v>135</v>
      </c>
      <c r="E1038" s="312" t="s">
        <v>106</v>
      </c>
      <c r="F1038" s="306">
        <v>59.5</v>
      </c>
      <c r="G1038" s="306">
        <v>65.5</v>
      </c>
      <c r="H1038" s="306">
        <v>61.5</v>
      </c>
      <c r="I1038" s="306">
        <v>65.5</v>
      </c>
      <c r="J1038" s="306">
        <v>59.5</v>
      </c>
      <c r="K1038" s="306">
        <v>65.5</v>
      </c>
      <c r="L1038" s="306">
        <v>65.5</v>
      </c>
      <c r="M1038" s="306">
        <v>59.5</v>
      </c>
      <c r="N1038" s="307">
        <v>63.5</v>
      </c>
      <c r="O1038" s="308">
        <v>59.5</v>
      </c>
      <c r="P1038" s="306">
        <v>57.5</v>
      </c>
      <c r="Q1038" s="307">
        <v>59.5</v>
      </c>
    </row>
    <row r="1039" spans="1:17">
      <c r="A1039">
        <v>1412000091</v>
      </c>
      <c r="B1039" t="s">
        <v>135</v>
      </c>
      <c r="E1039" s="314" t="s">
        <v>158</v>
      </c>
      <c r="F1039" s="309">
        <v>530.5</v>
      </c>
      <c r="G1039" s="309">
        <v>324.5</v>
      </c>
      <c r="H1039" s="309">
        <v>136.5</v>
      </c>
      <c r="I1039" s="309">
        <v>148.5</v>
      </c>
      <c r="J1039" s="309">
        <v>130.5</v>
      </c>
      <c r="K1039" s="309">
        <v>591</v>
      </c>
      <c r="L1039" s="309">
        <v>145.5</v>
      </c>
      <c r="M1039" s="309">
        <v>139.5</v>
      </c>
      <c r="N1039" s="310">
        <v>142.5</v>
      </c>
      <c r="O1039" s="311">
        <v>130.5</v>
      </c>
      <c r="P1039" s="309">
        <v>1116.5</v>
      </c>
      <c r="Q1039" s="310">
        <v>130.5</v>
      </c>
    </row>
    <row r="1040" spans="1:17">
      <c r="A1040">
        <v>1412000091</v>
      </c>
      <c r="B1040" t="s">
        <v>135</v>
      </c>
      <c r="E1040" s="177" t="s">
        <v>26</v>
      </c>
      <c r="F1040" s="282">
        <v>590</v>
      </c>
      <c r="G1040" s="282">
        <v>390</v>
      </c>
      <c r="H1040" s="282">
        <v>198</v>
      </c>
      <c r="I1040" s="282">
        <v>214</v>
      </c>
      <c r="J1040" s="282">
        <v>190</v>
      </c>
      <c r="K1040" s="282">
        <v>656.5</v>
      </c>
      <c r="L1040" s="283">
        <v>211</v>
      </c>
      <c r="M1040" s="282">
        <v>199</v>
      </c>
      <c r="N1040" s="284">
        <v>206</v>
      </c>
      <c r="O1040" s="283">
        <v>190</v>
      </c>
      <c r="P1040" s="282">
        <v>1174</v>
      </c>
      <c r="Q1040" s="284">
        <v>190</v>
      </c>
    </row>
    <row r="1041" spans="1:17" ht="15" thickBot="1">
      <c r="A1041">
        <v>1412000091</v>
      </c>
      <c r="B1041" t="s">
        <v>135</v>
      </c>
      <c r="E1041" s="178" t="s">
        <v>45</v>
      </c>
      <c r="F1041" s="285">
        <v>590</v>
      </c>
      <c r="G1041" s="285">
        <v>390</v>
      </c>
      <c r="H1041" s="285">
        <v>198</v>
      </c>
      <c r="I1041" s="285">
        <v>214</v>
      </c>
      <c r="J1041" s="285">
        <v>190</v>
      </c>
      <c r="K1041" s="285">
        <v>656.5</v>
      </c>
      <c r="L1041" s="286">
        <v>211</v>
      </c>
      <c r="M1041" s="285">
        <v>199</v>
      </c>
      <c r="N1041" s="287">
        <v>206</v>
      </c>
      <c r="O1041" s="286">
        <v>190</v>
      </c>
      <c r="P1041" s="285">
        <v>1174</v>
      </c>
      <c r="Q1041" s="287">
        <v>190</v>
      </c>
    </row>
    <row r="1042" spans="1:17">
      <c r="A1042">
        <v>1412000092</v>
      </c>
      <c r="B1042" t="s">
        <v>130</v>
      </c>
      <c r="E1042" s="220" t="s">
        <v>40</v>
      </c>
      <c r="F1042" s="201"/>
      <c r="G1042" s="201"/>
      <c r="H1042" s="201"/>
      <c r="I1042" s="201"/>
      <c r="J1042" s="201"/>
      <c r="K1042" s="201"/>
      <c r="L1042" s="201"/>
      <c r="M1042" s="201"/>
      <c r="N1042" s="202"/>
      <c r="O1042" s="201"/>
      <c r="P1042" s="201"/>
      <c r="Q1042" s="202"/>
    </row>
    <row r="1043" spans="1:17">
      <c r="A1043">
        <v>1412000092</v>
      </c>
      <c r="B1043" t="s">
        <v>130</v>
      </c>
      <c r="E1043" s="176" t="s">
        <v>25</v>
      </c>
      <c r="F1043" s="267">
        <v>0</v>
      </c>
      <c r="G1043" s="267">
        <v>0</v>
      </c>
      <c r="H1043" s="267">
        <v>0</v>
      </c>
      <c r="I1043" s="267">
        <v>0</v>
      </c>
      <c r="J1043" s="267">
        <v>0</v>
      </c>
      <c r="K1043" s="267">
        <v>0</v>
      </c>
      <c r="L1043" s="267">
        <v>0</v>
      </c>
      <c r="M1043" s="267">
        <v>0</v>
      </c>
      <c r="N1043" s="268">
        <v>0</v>
      </c>
      <c r="O1043" s="269">
        <v>0</v>
      </c>
      <c r="P1043" s="267">
        <v>0</v>
      </c>
      <c r="Q1043" s="268">
        <v>0</v>
      </c>
    </row>
    <row r="1044" spans="1:17">
      <c r="A1044">
        <v>1412000092</v>
      </c>
      <c r="B1044" t="s">
        <v>130</v>
      </c>
      <c r="E1044" s="312" t="s">
        <v>106</v>
      </c>
      <c r="F1044" s="300">
        <v>23</v>
      </c>
      <c r="G1044" s="300">
        <v>23</v>
      </c>
      <c r="H1044" s="300">
        <v>23</v>
      </c>
      <c r="I1044" s="300">
        <v>23</v>
      </c>
      <c r="J1044" s="300">
        <v>23</v>
      </c>
      <c r="K1044" s="300">
        <v>23</v>
      </c>
      <c r="L1044" s="300">
        <v>23</v>
      </c>
      <c r="M1044" s="300">
        <v>23</v>
      </c>
      <c r="N1044" s="301">
        <v>23</v>
      </c>
      <c r="O1044" s="302">
        <v>23</v>
      </c>
      <c r="P1044" s="300">
        <v>23</v>
      </c>
      <c r="Q1044" s="301">
        <v>23</v>
      </c>
    </row>
    <row r="1045" spans="1:17">
      <c r="A1045">
        <v>1412000092</v>
      </c>
      <c r="B1045" t="s">
        <v>130</v>
      </c>
      <c r="E1045" s="314" t="s">
        <v>158</v>
      </c>
      <c r="F1045" s="303">
        <v>22</v>
      </c>
      <c r="G1045" s="303">
        <v>22</v>
      </c>
      <c r="H1045" s="303">
        <v>24</v>
      </c>
      <c r="I1045" s="303">
        <v>24</v>
      </c>
      <c r="J1045" s="303">
        <v>24</v>
      </c>
      <c r="K1045" s="303">
        <v>24</v>
      </c>
      <c r="L1045" s="303">
        <v>24</v>
      </c>
      <c r="M1045" s="303">
        <v>24</v>
      </c>
      <c r="N1045" s="304">
        <v>24</v>
      </c>
      <c r="O1045" s="305">
        <v>24</v>
      </c>
      <c r="P1045" s="303">
        <v>24</v>
      </c>
      <c r="Q1045" s="304">
        <v>24</v>
      </c>
    </row>
    <row r="1046" spans="1:17">
      <c r="A1046">
        <v>1412000092</v>
      </c>
      <c r="B1046" t="s">
        <v>130</v>
      </c>
      <c r="E1046" s="177" t="s">
        <v>26</v>
      </c>
      <c r="F1046" s="270">
        <v>45</v>
      </c>
      <c r="G1046" s="270">
        <v>45</v>
      </c>
      <c r="H1046" s="270">
        <v>47</v>
      </c>
      <c r="I1046" s="270">
        <v>47</v>
      </c>
      <c r="J1046" s="270">
        <v>47</v>
      </c>
      <c r="K1046" s="270">
        <v>47</v>
      </c>
      <c r="L1046" s="271">
        <v>47</v>
      </c>
      <c r="M1046" s="270">
        <v>47</v>
      </c>
      <c r="N1046" s="272">
        <v>47</v>
      </c>
      <c r="O1046" s="271">
        <v>47</v>
      </c>
      <c r="P1046" s="270">
        <v>47</v>
      </c>
      <c r="Q1046" s="272">
        <v>47</v>
      </c>
    </row>
    <row r="1047" spans="1:17" ht="15" thickBot="1">
      <c r="A1047">
        <v>1412000092</v>
      </c>
      <c r="B1047" t="s">
        <v>130</v>
      </c>
      <c r="E1047" s="178" t="s">
        <v>27</v>
      </c>
      <c r="F1047" s="273">
        <v>45</v>
      </c>
      <c r="G1047" s="273">
        <v>45</v>
      </c>
      <c r="H1047" s="273">
        <v>47</v>
      </c>
      <c r="I1047" s="273">
        <v>47</v>
      </c>
      <c r="J1047" s="273">
        <v>47</v>
      </c>
      <c r="K1047" s="273">
        <v>47</v>
      </c>
      <c r="L1047" s="274">
        <v>47</v>
      </c>
      <c r="M1047" s="273">
        <v>47</v>
      </c>
      <c r="N1047" s="275">
        <v>47</v>
      </c>
      <c r="O1047" s="274">
        <v>47</v>
      </c>
      <c r="P1047" s="273">
        <v>47</v>
      </c>
      <c r="Q1047" s="275">
        <v>47</v>
      </c>
    </row>
    <row r="1048" spans="1:17" ht="15" thickBot="1">
      <c r="A1048">
        <v>1412000092</v>
      </c>
      <c r="B1048" t="s">
        <v>130</v>
      </c>
      <c r="F1048" s="276"/>
      <c r="G1048" s="276"/>
      <c r="H1048" s="276"/>
      <c r="I1048" s="276"/>
      <c r="J1048" s="276"/>
      <c r="K1048" s="276"/>
      <c r="L1048" s="276"/>
      <c r="M1048" s="276"/>
      <c r="N1048" s="276"/>
      <c r="O1048" s="276"/>
      <c r="P1048" s="276"/>
      <c r="Q1048" s="276"/>
    </row>
    <row r="1049" spans="1:17">
      <c r="A1049">
        <v>1412000092</v>
      </c>
      <c r="B1049" t="s">
        <v>130</v>
      </c>
      <c r="E1049" s="220" t="s">
        <v>28</v>
      </c>
      <c r="F1049" s="277"/>
      <c r="G1049" s="277"/>
      <c r="H1049" s="277"/>
      <c r="I1049" s="277"/>
      <c r="J1049" s="277"/>
      <c r="K1049" s="277"/>
      <c r="L1049" s="277"/>
      <c r="M1049" s="277"/>
      <c r="N1049" s="278"/>
      <c r="O1049" s="277"/>
      <c r="P1049" s="277"/>
      <c r="Q1049" s="278"/>
    </row>
    <row r="1050" spans="1:17">
      <c r="A1050">
        <v>1412000092</v>
      </c>
      <c r="B1050" t="s">
        <v>130</v>
      </c>
      <c r="E1050" s="176" t="s">
        <v>25</v>
      </c>
      <c r="F1050" s="279">
        <v>0</v>
      </c>
      <c r="G1050" s="279">
        <v>0</v>
      </c>
      <c r="H1050" s="279">
        <v>0</v>
      </c>
      <c r="I1050" s="279">
        <v>0</v>
      </c>
      <c r="J1050" s="279">
        <v>0</v>
      </c>
      <c r="K1050" s="279">
        <v>0</v>
      </c>
      <c r="L1050" s="279">
        <v>0</v>
      </c>
      <c r="M1050" s="279">
        <v>0</v>
      </c>
      <c r="N1050" s="280">
        <v>0</v>
      </c>
      <c r="O1050" s="281">
        <v>0</v>
      </c>
      <c r="P1050" s="279">
        <v>0</v>
      </c>
      <c r="Q1050" s="280">
        <v>0</v>
      </c>
    </row>
    <row r="1051" spans="1:17">
      <c r="A1051">
        <v>1412000092</v>
      </c>
      <c r="B1051" t="s">
        <v>130</v>
      </c>
      <c r="E1051" s="312" t="s">
        <v>106</v>
      </c>
      <c r="F1051" s="306">
        <v>3714.5</v>
      </c>
      <c r="G1051" s="306">
        <v>3519</v>
      </c>
      <c r="H1051" s="306">
        <v>3910</v>
      </c>
      <c r="I1051" s="306">
        <v>4301</v>
      </c>
      <c r="J1051" s="306">
        <v>3714.5</v>
      </c>
      <c r="K1051" s="306">
        <v>3519</v>
      </c>
      <c r="L1051" s="306">
        <v>4301</v>
      </c>
      <c r="M1051" s="306">
        <v>3714.5</v>
      </c>
      <c r="N1051" s="307">
        <v>4105.5</v>
      </c>
      <c r="O1051" s="308">
        <v>3714.5</v>
      </c>
      <c r="P1051" s="306">
        <v>2737</v>
      </c>
      <c r="Q1051" s="307">
        <v>3714.5</v>
      </c>
    </row>
    <row r="1052" spans="1:17">
      <c r="A1052">
        <v>1412000092</v>
      </c>
      <c r="B1052" t="s">
        <v>130</v>
      </c>
      <c r="E1052" s="314" t="s">
        <v>158</v>
      </c>
      <c r="F1052" s="309">
        <v>3553</v>
      </c>
      <c r="G1052" s="309">
        <v>3366</v>
      </c>
      <c r="H1052" s="309">
        <v>4080</v>
      </c>
      <c r="I1052" s="309">
        <v>4488</v>
      </c>
      <c r="J1052" s="309">
        <v>3876</v>
      </c>
      <c r="K1052" s="309">
        <v>3672</v>
      </c>
      <c r="L1052" s="309">
        <v>4488</v>
      </c>
      <c r="M1052" s="309">
        <v>3876</v>
      </c>
      <c r="N1052" s="310">
        <v>4284</v>
      </c>
      <c r="O1052" s="311">
        <v>3876</v>
      </c>
      <c r="P1052" s="309">
        <v>2856</v>
      </c>
      <c r="Q1052" s="310">
        <v>3876</v>
      </c>
    </row>
    <row r="1053" spans="1:17">
      <c r="A1053">
        <v>1412000092</v>
      </c>
      <c r="B1053" t="s">
        <v>130</v>
      </c>
      <c r="E1053" s="177" t="s">
        <v>26</v>
      </c>
      <c r="F1053" s="282">
        <v>7267.5</v>
      </c>
      <c r="G1053" s="282">
        <v>6885</v>
      </c>
      <c r="H1053" s="282">
        <v>7990</v>
      </c>
      <c r="I1053" s="282">
        <v>8789</v>
      </c>
      <c r="J1053" s="282">
        <v>7590.5</v>
      </c>
      <c r="K1053" s="282">
        <v>7191</v>
      </c>
      <c r="L1053" s="283">
        <v>8789</v>
      </c>
      <c r="M1053" s="282">
        <v>7590.5</v>
      </c>
      <c r="N1053" s="284">
        <v>8389.5</v>
      </c>
      <c r="O1053" s="283">
        <v>7590.5</v>
      </c>
      <c r="P1053" s="282">
        <v>5593</v>
      </c>
      <c r="Q1053" s="284">
        <v>7590.5</v>
      </c>
    </row>
    <row r="1054" spans="1:17" ht="15" thickBot="1">
      <c r="A1054">
        <v>1412000092</v>
      </c>
      <c r="B1054" t="s">
        <v>130</v>
      </c>
      <c r="E1054" s="178" t="s">
        <v>44</v>
      </c>
      <c r="F1054" s="285">
        <v>7267.5</v>
      </c>
      <c r="G1054" s="285">
        <v>6885</v>
      </c>
      <c r="H1054" s="285">
        <v>7990</v>
      </c>
      <c r="I1054" s="285">
        <v>8789</v>
      </c>
      <c r="J1054" s="285">
        <v>7590.5</v>
      </c>
      <c r="K1054" s="285">
        <v>7191</v>
      </c>
      <c r="L1054" s="286">
        <v>8789</v>
      </c>
      <c r="M1054" s="285">
        <v>7590.5</v>
      </c>
      <c r="N1054" s="287">
        <v>8389.5</v>
      </c>
      <c r="O1054" s="286">
        <v>7590.5</v>
      </c>
      <c r="P1054" s="285">
        <v>5593</v>
      </c>
      <c r="Q1054" s="287">
        <v>7590.5</v>
      </c>
    </row>
    <row r="1055" spans="1:17" ht="15" thickBot="1">
      <c r="A1055">
        <v>1412000092</v>
      </c>
      <c r="B1055" t="s">
        <v>130</v>
      </c>
      <c r="F1055" s="288"/>
      <c r="G1055" s="288"/>
      <c r="H1055" s="288"/>
      <c r="I1055" s="288"/>
      <c r="J1055" s="288"/>
      <c r="K1055" s="288"/>
      <c r="L1055" s="288"/>
      <c r="M1055" s="288"/>
      <c r="N1055" s="288"/>
      <c r="O1055" s="288"/>
      <c r="P1055" s="288"/>
      <c r="Q1055" s="288"/>
    </row>
    <row r="1056" spans="1:17">
      <c r="A1056">
        <v>1412000092</v>
      </c>
      <c r="B1056" t="s">
        <v>130</v>
      </c>
      <c r="E1056" s="220" t="s">
        <v>29</v>
      </c>
      <c r="F1056" s="289"/>
      <c r="G1056" s="289"/>
      <c r="H1056" s="289"/>
      <c r="I1056" s="289"/>
      <c r="J1056" s="289"/>
      <c r="K1056" s="289"/>
      <c r="L1056" s="289"/>
      <c r="M1056" s="289"/>
      <c r="N1056" s="290"/>
      <c r="O1056" s="289"/>
      <c r="P1056" s="289"/>
      <c r="Q1056" s="278"/>
    </row>
    <row r="1057" spans="1:17">
      <c r="A1057">
        <v>1412000092</v>
      </c>
      <c r="B1057" t="s">
        <v>130</v>
      </c>
      <c r="E1057" s="176" t="s">
        <v>25</v>
      </c>
      <c r="F1057" s="279">
        <v>0</v>
      </c>
      <c r="G1057" s="279">
        <v>0</v>
      </c>
      <c r="H1057" s="279">
        <v>0</v>
      </c>
      <c r="I1057" s="279">
        <v>0</v>
      </c>
      <c r="J1057" s="279">
        <v>0</v>
      </c>
      <c r="K1057" s="279">
        <v>0</v>
      </c>
      <c r="L1057" s="279">
        <v>0</v>
      </c>
      <c r="M1057" s="279">
        <v>0</v>
      </c>
      <c r="N1057" s="280">
        <v>0</v>
      </c>
      <c r="O1057" s="281">
        <v>0</v>
      </c>
      <c r="P1057" s="279">
        <v>0</v>
      </c>
      <c r="Q1057" s="280">
        <v>0</v>
      </c>
    </row>
    <row r="1058" spans="1:17">
      <c r="A1058">
        <v>1412000092</v>
      </c>
      <c r="B1058" t="s">
        <v>130</v>
      </c>
      <c r="E1058" s="312" t="s">
        <v>106</v>
      </c>
      <c r="F1058" s="306">
        <v>480</v>
      </c>
      <c r="G1058" s="306">
        <v>478</v>
      </c>
      <c r="H1058" s="306">
        <v>482</v>
      </c>
      <c r="I1058" s="306">
        <v>486</v>
      </c>
      <c r="J1058" s="306">
        <v>480</v>
      </c>
      <c r="K1058" s="306">
        <v>478</v>
      </c>
      <c r="L1058" s="306">
        <v>486</v>
      </c>
      <c r="M1058" s="306">
        <v>480</v>
      </c>
      <c r="N1058" s="307">
        <v>484</v>
      </c>
      <c r="O1058" s="308">
        <v>480</v>
      </c>
      <c r="P1058" s="306">
        <v>470</v>
      </c>
      <c r="Q1058" s="307">
        <v>480</v>
      </c>
    </row>
    <row r="1059" spans="1:17">
      <c r="A1059">
        <v>1412000092</v>
      </c>
      <c r="B1059" t="s">
        <v>130</v>
      </c>
      <c r="E1059" s="314" t="s">
        <v>158</v>
      </c>
      <c r="F1059" s="309">
        <v>440</v>
      </c>
      <c r="G1059" s="309">
        <v>440</v>
      </c>
      <c r="H1059" s="309">
        <v>480</v>
      </c>
      <c r="I1059" s="309">
        <v>480</v>
      </c>
      <c r="J1059" s="309">
        <v>480</v>
      </c>
      <c r="K1059" s="309">
        <v>480</v>
      </c>
      <c r="L1059" s="309">
        <v>480</v>
      </c>
      <c r="M1059" s="309">
        <v>480</v>
      </c>
      <c r="N1059" s="310">
        <v>480</v>
      </c>
      <c r="O1059" s="311">
        <v>480</v>
      </c>
      <c r="P1059" s="309">
        <v>480</v>
      </c>
      <c r="Q1059" s="310">
        <v>480</v>
      </c>
    </row>
    <row r="1060" spans="1:17">
      <c r="A1060">
        <v>1412000092</v>
      </c>
      <c r="B1060" t="s">
        <v>130</v>
      </c>
      <c r="E1060" s="177" t="s">
        <v>26</v>
      </c>
      <c r="F1060" s="282">
        <v>920</v>
      </c>
      <c r="G1060" s="282">
        <v>918</v>
      </c>
      <c r="H1060" s="282">
        <v>962</v>
      </c>
      <c r="I1060" s="282">
        <v>966</v>
      </c>
      <c r="J1060" s="282">
        <v>960</v>
      </c>
      <c r="K1060" s="282">
        <v>958</v>
      </c>
      <c r="L1060" s="283">
        <v>966</v>
      </c>
      <c r="M1060" s="282">
        <v>960</v>
      </c>
      <c r="N1060" s="284">
        <v>964</v>
      </c>
      <c r="O1060" s="283">
        <v>960</v>
      </c>
      <c r="P1060" s="282">
        <v>950</v>
      </c>
      <c r="Q1060" s="284">
        <v>960</v>
      </c>
    </row>
    <row r="1061" spans="1:17" ht="15" thickBot="1">
      <c r="A1061">
        <v>1412000092</v>
      </c>
      <c r="B1061" t="s">
        <v>130</v>
      </c>
      <c r="E1061" s="178" t="s">
        <v>45</v>
      </c>
      <c r="F1061" s="285">
        <v>920</v>
      </c>
      <c r="G1061" s="285">
        <v>918</v>
      </c>
      <c r="H1061" s="285">
        <v>962</v>
      </c>
      <c r="I1061" s="285">
        <v>966</v>
      </c>
      <c r="J1061" s="285">
        <v>960</v>
      </c>
      <c r="K1061" s="285">
        <v>958</v>
      </c>
      <c r="L1061" s="286">
        <v>966</v>
      </c>
      <c r="M1061" s="285">
        <v>960</v>
      </c>
      <c r="N1061" s="287">
        <v>964</v>
      </c>
      <c r="O1061" s="286">
        <v>960</v>
      </c>
      <c r="P1061" s="285">
        <v>950</v>
      </c>
      <c r="Q1061" s="287">
        <v>960</v>
      </c>
    </row>
    <row r="1062" spans="1:17">
      <c r="A1062">
        <v>1412000093</v>
      </c>
      <c r="B1062" t="s">
        <v>134</v>
      </c>
      <c r="E1062" s="220" t="s">
        <v>40</v>
      </c>
      <c r="F1062" s="201"/>
      <c r="G1062" s="201"/>
      <c r="H1062" s="201"/>
      <c r="I1062" s="201"/>
      <c r="J1062" s="201"/>
      <c r="K1062" s="201"/>
      <c r="L1062" s="201"/>
      <c r="M1062" s="201"/>
      <c r="N1062" s="202"/>
      <c r="O1062" s="201"/>
      <c r="P1062" s="201"/>
      <c r="Q1062" s="202"/>
    </row>
    <row r="1063" spans="1:17">
      <c r="A1063">
        <v>1412000093</v>
      </c>
      <c r="B1063" t="s">
        <v>134</v>
      </c>
      <c r="E1063" s="176" t="s">
        <v>25</v>
      </c>
      <c r="F1063" s="267">
        <v>1</v>
      </c>
      <c r="G1063" s="267">
        <v>1</v>
      </c>
      <c r="H1063" s="267">
        <v>1</v>
      </c>
      <c r="I1063" s="267">
        <v>1</v>
      </c>
      <c r="J1063" s="267">
        <v>1</v>
      </c>
      <c r="K1063" s="267">
        <v>1</v>
      </c>
      <c r="L1063" s="267">
        <v>1</v>
      </c>
      <c r="M1063" s="267">
        <v>1</v>
      </c>
      <c r="N1063" s="268">
        <v>1</v>
      </c>
      <c r="O1063" s="269">
        <v>1</v>
      </c>
      <c r="P1063" s="267">
        <v>1</v>
      </c>
      <c r="Q1063" s="268">
        <v>1</v>
      </c>
    </row>
    <row r="1064" spans="1:17">
      <c r="A1064">
        <v>1412000093</v>
      </c>
      <c r="B1064" t="s">
        <v>134</v>
      </c>
      <c r="E1064" s="312" t="s">
        <v>106</v>
      </c>
      <c r="F1064" s="300">
        <v>5</v>
      </c>
      <c r="G1064" s="300">
        <v>6</v>
      </c>
      <c r="H1064" s="300">
        <v>6</v>
      </c>
      <c r="I1064" s="300">
        <v>6</v>
      </c>
      <c r="J1064" s="300">
        <v>6</v>
      </c>
      <c r="K1064" s="300">
        <v>6</v>
      </c>
      <c r="L1064" s="300">
        <v>6</v>
      </c>
      <c r="M1064" s="300">
        <v>6</v>
      </c>
      <c r="N1064" s="301">
        <v>6</v>
      </c>
      <c r="O1064" s="302">
        <v>6</v>
      </c>
      <c r="P1064" s="300">
        <v>6</v>
      </c>
      <c r="Q1064" s="301">
        <v>6</v>
      </c>
    </row>
    <row r="1065" spans="1:17">
      <c r="A1065">
        <v>1412000093</v>
      </c>
      <c r="B1065" t="s">
        <v>134</v>
      </c>
      <c r="E1065" s="314" t="s">
        <v>158</v>
      </c>
      <c r="F1065" s="303"/>
      <c r="G1065" s="303"/>
      <c r="H1065" s="303"/>
      <c r="I1065" s="303"/>
      <c r="J1065" s="303"/>
      <c r="K1065" s="303"/>
      <c r="L1065" s="303"/>
      <c r="M1065" s="303"/>
      <c r="N1065" s="304"/>
      <c r="O1065" s="305"/>
      <c r="P1065" s="303"/>
      <c r="Q1065" s="304"/>
    </row>
    <row r="1066" spans="1:17">
      <c r="A1066">
        <v>1412000093</v>
      </c>
      <c r="B1066" t="s">
        <v>134</v>
      </c>
      <c r="E1066" s="177" t="s">
        <v>26</v>
      </c>
      <c r="F1066" s="270">
        <v>5</v>
      </c>
      <c r="G1066" s="270">
        <v>6</v>
      </c>
      <c r="H1066" s="270">
        <v>6</v>
      </c>
      <c r="I1066" s="270">
        <v>6</v>
      </c>
      <c r="J1066" s="270">
        <v>6</v>
      </c>
      <c r="K1066" s="270">
        <v>6</v>
      </c>
      <c r="L1066" s="271">
        <v>6</v>
      </c>
      <c r="M1066" s="270">
        <v>6</v>
      </c>
      <c r="N1066" s="272">
        <v>6</v>
      </c>
      <c r="O1066" s="271">
        <v>6</v>
      </c>
      <c r="P1066" s="270">
        <v>6</v>
      </c>
      <c r="Q1066" s="272">
        <v>6</v>
      </c>
    </row>
    <row r="1067" spans="1:17" ht="15" thickBot="1">
      <c r="A1067">
        <v>1412000093</v>
      </c>
      <c r="B1067" t="s">
        <v>134</v>
      </c>
      <c r="E1067" s="178" t="s">
        <v>27</v>
      </c>
      <c r="F1067" s="273">
        <v>6</v>
      </c>
      <c r="G1067" s="273">
        <v>7</v>
      </c>
      <c r="H1067" s="273">
        <v>7</v>
      </c>
      <c r="I1067" s="273">
        <v>7</v>
      </c>
      <c r="J1067" s="273">
        <v>7</v>
      </c>
      <c r="K1067" s="273">
        <v>7</v>
      </c>
      <c r="L1067" s="274">
        <v>7</v>
      </c>
      <c r="M1067" s="273">
        <v>7</v>
      </c>
      <c r="N1067" s="275">
        <v>7</v>
      </c>
      <c r="O1067" s="274">
        <v>7</v>
      </c>
      <c r="P1067" s="273">
        <v>7</v>
      </c>
      <c r="Q1067" s="275">
        <v>7</v>
      </c>
    </row>
    <row r="1068" spans="1:17" ht="15" thickBot="1">
      <c r="A1068">
        <v>1412000093</v>
      </c>
      <c r="B1068" t="s">
        <v>134</v>
      </c>
      <c r="F1068" s="276"/>
      <c r="G1068" s="276"/>
      <c r="H1068" s="276"/>
      <c r="I1068" s="276"/>
      <c r="J1068" s="276"/>
      <c r="K1068" s="276"/>
      <c r="L1068" s="276"/>
      <c r="M1068" s="276"/>
      <c r="N1068" s="276"/>
      <c r="O1068" s="276"/>
      <c r="P1068" s="276"/>
      <c r="Q1068" s="276"/>
    </row>
    <row r="1069" spans="1:17">
      <c r="A1069">
        <v>1412000093</v>
      </c>
      <c r="B1069" t="s">
        <v>134</v>
      </c>
      <c r="E1069" s="220" t="s">
        <v>28</v>
      </c>
      <c r="F1069" s="277"/>
      <c r="G1069" s="277"/>
      <c r="H1069" s="277"/>
      <c r="I1069" s="277"/>
      <c r="J1069" s="277"/>
      <c r="K1069" s="277"/>
      <c r="L1069" s="277"/>
      <c r="M1069" s="277"/>
      <c r="N1069" s="278"/>
      <c r="O1069" s="277"/>
      <c r="P1069" s="277"/>
      <c r="Q1069" s="278"/>
    </row>
    <row r="1070" spans="1:17">
      <c r="A1070">
        <v>1412000093</v>
      </c>
      <c r="B1070" t="s">
        <v>134</v>
      </c>
      <c r="E1070" s="176" t="s">
        <v>25</v>
      </c>
      <c r="F1070" s="279">
        <v>170</v>
      </c>
      <c r="G1070" s="279">
        <v>161.5</v>
      </c>
      <c r="H1070" s="279">
        <v>178.5</v>
      </c>
      <c r="I1070" s="279">
        <v>195.5</v>
      </c>
      <c r="J1070" s="279">
        <v>127.5</v>
      </c>
      <c r="K1070" s="279">
        <v>161.5</v>
      </c>
      <c r="L1070" s="279">
        <v>195.5</v>
      </c>
      <c r="M1070" s="279">
        <v>170</v>
      </c>
      <c r="N1070" s="280">
        <v>187</v>
      </c>
      <c r="O1070" s="281">
        <v>170</v>
      </c>
      <c r="P1070" s="279">
        <v>110.5</v>
      </c>
      <c r="Q1070" s="280">
        <v>170</v>
      </c>
    </row>
    <row r="1071" spans="1:17">
      <c r="A1071">
        <v>1412000093</v>
      </c>
      <c r="B1071" t="s">
        <v>134</v>
      </c>
      <c r="E1071" s="312" t="s">
        <v>106</v>
      </c>
      <c r="F1071" s="306">
        <v>816</v>
      </c>
      <c r="G1071" s="306">
        <v>935</v>
      </c>
      <c r="H1071" s="306">
        <v>1037</v>
      </c>
      <c r="I1071" s="306">
        <v>1139</v>
      </c>
      <c r="J1071" s="306">
        <v>986</v>
      </c>
      <c r="K1071" s="306">
        <v>935</v>
      </c>
      <c r="L1071" s="306">
        <v>1139</v>
      </c>
      <c r="M1071" s="306">
        <v>986</v>
      </c>
      <c r="N1071" s="307">
        <v>1088</v>
      </c>
      <c r="O1071" s="308">
        <v>986</v>
      </c>
      <c r="P1071" s="306">
        <v>731</v>
      </c>
      <c r="Q1071" s="307">
        <v>986</v>
      </c>
    </row>
    <row r="1072" spans="1:17">
      <c r="A1072">
        <v>1412000093</v>
      </c>
      <c r="B1072" t="s">
        <v>134</v>
      </c>
      <c r="E1072" s="314" t="s">
        <v>158</v>
      </c>
      <c r="F1072" s="309"/>
      <c r="G1072" s="309"/>
      <c r="H1072" s="309"/>
      <c r="I1072" s="309"/>
      <c r="J1072" s="309"/>
      <c r="K1072" s="309"/>
      <c r="L1072" s="309"/>
      <c r="M1072" s="309"/>
      <c r="N1072" s="310"/>
      <c r="O1072" s="311"/>
      <c r="P1072" s="309"/>
      <c r="Q1072" s="310"/>
    </row>
    <row r="1073" spans="1:17">
      <c r="A1073">
        <v>1412000093</v>
      </c>
      <c r="B1073" t="s">
        <v>134</v>
      </c>
      <c r="E1073" s="177" t="s">
        <v>26</v>
      </c>
      <c r="F1073" s="282">
        <v>816</v>
      </c>
      <c r="G1073" s="282">
        <v>935</v>
      </c>
      <c r="H1073" s="282">
        <v>1037</v>
      </c>
      <c r="I1073" s="282">
        <v>1139</v>
      </c>
      <c r="J1073" s="282">
        <v>986</v>
      </c>
      <c r="K1073" s="282">
        <v>935</v>
      </c>
      <c r="L1073" s="283">
        <v>1139</v>
      </c>
      <c r="M1073" s="282">
        <v>986</v>
      </c>
      <c r="N1073" s="284">
        <v>1088</v>
      </c>
      <c r="O1073" s="283">
        <v>986</v>
      </c>
      <c r="P1073" s="282">
        <v>731</v>
      </c>
      <c r="Q1073" s="284">
        <v>986</v>
      </c>
    </row>
    <row r="1074" spans="1:17" ht="15" thickBot="1">
      <c r="A1074">
        <v>1412000093</v>
      </c>
      <c r="B1074" t="s">
        <v>134</v>
      </c>
      <c r="E1074" s="178" t="s">
        <v>44</v>
      </c>
      <c r="F1074" s="285">
        <v>986</v>
      </c>
      <c r="G1074" s="285">
        <v>1096.5</v>
      </c>
      <c r="H1074" s="285">
        <v>1215.5</v>
      </c>
      <c r="I1074" s="285">
        <v>1334.5</v>
      </c>
      <c r="J1074" s="285">
        <v>1113.5</v>
      </c>
      <c r="K1074" s="285">
        <v>1096.5</v>
      </c>
      <c r="L1074" s="286">
        <v>1334.5</v>
      </c>
      <c r="M1074" s="285">
        <v>1156</v>
      </c>
      <c r="N1074" s="287">
        <v>1275</v>
      </c>
      <c r="O1074" s="286">
        <v>1156</v>
      </c>
      <c r="P1074" s="285">
        <v>841.5</v>
      </c>
      <c r="Q1074" s="287">
        <v>1156</v>
      </c>
    </row>
    <row r="1075" spans="1:17" ht="15" thickBot="1">
      <c r="A1075">
        <v>1412000093</v>
      </c>
      <c r="B1075" t="s">
        <v>134</v>
      </c>
      <c r="F1075" s="288"/>
      <c r="G1075" s="288"/>
      <c r="H1075" s="288"/>
      <c r="I1075" s="288"/>
      <c r="J1075" s="288"/>
      <c r="K1075" s="288"/>
      <c r="L1075" s="288"/>
      <c r="M1075" s="288"/>
      <c r="N1075" s="288"/>
      <c r="O1075" s="288"/>
      <c r="P1075" s="288"/>
      <c r="Q1075" s="288"/>
    </row>
    <row r="1076" spans="1:17">
      <c r="A1076">
        <v>1412000093</v>
      </c>
      <c r="B1076" t="s">
        <v>134</v>
      </c>
      <c r="E1076" s="220" t="s">
        <v>29</v>
      </c>
      <c r="F1076" s="289"/>
      <c r="G1076" s="289"/>
      <c r="H1076" s="289"/>
      <c r="I1076" s="289"/>
      <c r="J1076" s="289"/>
      <c r="K1076" s="289"/>
      <c r="L1076" s="289"/>
      <c r="M1076" s="289"/>
      <c r="N1076" s="290"/>
      <c r="O1076" s="289"/>
      <c r="P1076" s="289"/>
      <c r="Q1076" s="278"/>
    </row>
    <row r="1077" spans="1:17">
      <c r="A1077">
        <v>1412000093</v>
      </c>
      <c r="B1077" t="s">
        <v>134</v>
      </c>
      <c r="E1077" s="176" t="s">
        <v>25</v>
      </c>
      <c r="F1077" s="279">
        <v>40</v>
      </c>
      <c r="G1077" s="279">
        <v>38</v>
      </c>
      <c r="H1077" s="279">
        <v>42</v>
      </c>
      <c r="I1077" s="279">
        <v>46</v>
      </c>
      <c r="J1077" s="279">
        <v>30</v>
      </c>
      <c r="K1077" s="279">
        <v>38</v>
      </c>
      <c r="L1077" s="279">
        <v>46</v>
      </c>
      <c r="M1077" s="279">
        <v>40</v>
      </c>
      <c r="N1077" s="280">
        <v>44</v>
      </c>
      <c r="O1077" s="281">
        <v>40</v>
      </c>
      <c r="P1077" s="279">
        <v>26</v>
      </c>
      <c r="Q1077" s="280">
        <v>40</v>
      </c>
    </row>
    <row r="1078" spans="1:17">
      <c r="A1078">
        <v>1412000093</v>
      </c>
      <c r="B1078" t="s">
        <v>134</v>
      </c>
      <c r="E1078" s="312" t="s">
        <v>106</v>
      </c>
      <c r="F1078" s="306">
        <v>76</v>
      </c>
      <c r="G1078" s="306">
        <v>72</v>
      </c>
      <c r="H1078" s="306">
        <v>80</v>
      </c>
      <c r="I1078" s="306">
        <v>88</v>
      </c>
      <c r="J1078" s="306">
        <v>76</v>
      </c>
      <c r="K1078" s="306">
        <v>72</v>
      </c>
      <c r="L1078" s="306">
        <v>88</v>
      </c>
      <c r="M1078" s="306">
        <v>76</v>
      </c>
      <c r="N1078" s="307">
        <v>84</v>
      </c>
      <c r="O1078" s="308">
        <v>76</v>
      </c>
      <c r="P1078" s="306">
        <v>56</v>
      </c>
      <c r="Q1078" s="307">
        <v>76</v>
      </c>
    </row>
    <row r="1079" spans="1:17">
      <c r="A1079">
        <v>1412000093</v>
      </c>
      <c r="B1079" t="s">
        <v>134</v>
      </c>
      <c r="E1079" s="314" t="s">
        <v>158</v>
      </c>
      <c r="F1079" s="309"/>
      <c r="G1079" s="309"/>
      <c r="H1079" s="309"/>
      <c r="I1079" s="309"/>
      <c r="J1079" s="309"/>
      <c r="K1079" s="309"/>
      <c r="L1079" s="309"/>
      <c r="M1079" s="309"/>
      <c r="N1079" s="310"/>
      <c r="O1079" s="311"/>
      <c r="P1079" s="309"/>
      <c r="Q1079" s="310"/>
    </row>
    <row r="1080" spans="1:17">
      <c r="A1080">
        <v>1412000093</v>
      </c>
      <c r="B1080" t="s">
        <v>134</v>
      </c>
      <c r="E1080" s="177" t="s">
        <v>26</v>
      </c>
      <c r="F1080" s="282">
        <v>76</v>
      </c>
      <c r="G1080" s="282">
        <v>72</v>
      </c>
      <c r="H1080" s="282">
        <v>80</v>
      </c>
      <c r="I1080" s="282">
        <v>88</v>
      </c>
      <c r="J1080" s="282">
        <v>76</v>
      </c>
      <c r="K1080" s="282">
        <v>72</v>
      </c>
      <c r="L1080" s="283">
        <v>88</v>
      </c>
      <c r="M1080" s="282">
        <v>76</v>
      </c>
      <c r="N1080" s="284">
        <v>84</v>
      </c>
      <c r="O1080" s="283">
        <v>76</v>
      </c>
      <c r="P1080" s="282">
        <v>56</v>
      </c>
      <c r="Q1080" s="284">
        <v>76</v>
      </c>
    </row>
    <row r="1081" spans="1:17" ht="15" thickBot="1">
      <c r="A1081">
        <v>1412000093</v>
      </c>
      <c r="B1081" t="s">
        <v>134</v>
      </c>
      <c r="E1081" s="178" t="s">
        <v>45</v>
      </c>
      <c r="F1081" s="285">
        <v>116</v>
      </c>
      <c r="G1081" s="285">
        <v>110</v>
      </c>
      <c r="H1081" s="285">
        <v>122</v>
      </c>
      <c r="I1081" s="285">
        <v>134</v>
      </c>
      <c r="J1081" s="285">
        <v>106</v>
      </c>
      <c r="K1081" s="285">
        <v>110</v>
      </c>
      <c r="L1081" s="286">
        <v>134</v>
      </c>
      <c r="M1081" s="285">
        <v>116</v>
      </c>
      <c r="N1081" s="287">
        <v>128</v>
      </c>
      <c r="O1081" s="286">
        <v>116</v>
      </c>
      <c r="P1081" s="285">
        <v>82</v>
      </c>
      <c r="Q1081" s="287">
        <v>116</v>
      </c>
    </row>
    <row r="1082" spans="1:17">
      <c r="A1082">
        <v>1412000094</v>
      </c>
      <c r="B1082" t="s">
        <v>161</v>
      </c>
      <c r="E1082" s="220" t="s">
        <v>40</v>
      </c>
      <c r="F1082" s="201"/>
      <c r="G1082" s="201"/>
      <c r="H1082" s="201"/>
      <c r="I1082" s="201"/>
      <c r="J1082" s="201"/>
      <c r="K1082" s="201"/>
      <c r="L1082" s="201"/>
      <c r="M1082" s="201"/>
      <c r="N1082" s="202"/>
      <c r="O1082" s="201"/>
      <c r="P1082" s="201"/>
      <c r="Q1082" s="202"/>
    </row>
    <row r="1083" spans="1:17">
      <c r="A1083">
        <v>1412000094</v>
      </c>
      <c r="B1083" t="s">
        <v>161</v>
      </c>
      <c r="E1083" s="176" t="s">
        <v>25</v>
      </c>
      <c r="F1083" s="267"/>
      <c r="G1083" s="267"/>
      <c r="H1083" s="267"/>
      <c r="I1083" s="267"/>
      <c r="J1083" s="267"/>
      <c r="K1083" s="267"/>
      <c r="L1083" s="267"/>
      <c r="M1083" s="267"/>
      <c r="N1083" s="268"/>
      <c r="O1083" s="269"/>
      <c r="P1083" s="267"/>
      <c r="Q1083" s="268"/>
    </row>
    <row r="1084" spans="1:17">
      <c r="A1084">
        <v>1412000094</v>
      </c>
      <c r="B1084" t="s">
        <v>161</v>
      </c>
      <c r="E1084" s="312" t="s">
        <v>106</v>
      </c>
      <c r="F1084" s="300">
        <v>3</v>
      </c>
      <c r="G1084" s="300">
        <v>3</v>
      </c>
      <c r="H1084" s="300">
        <v>3</v>
      </c>
      <c r="I1084" s="300">
        <v>3</v>
      </c>
      <c r="J1084" s="300">
        <v>3</v>
      </c>
      <c r="K1084" s="300">
        <v>3</v>
      </c>
      <c r="L1084" s="300">
        <v>3</v>
      </c>
      <c r="M1084" s="300">
        <v>3</v>
      </c>
      <c r="N1084" s="301">
        <v>3</v>
      </c>
      <c r="O1084" s="302">
        <v>3</v>
      </c>
      <c r="P1084" s="300">
        <v>3</v>
      </c>
      <c r="Q1084" s="301">
        <v>3</v>
      </c>
    </row>
    <row r="1085" spans="1:17">
      <c r="A1085">
        <v>1412000094</v>
      </c>
      <c r="B1085" t="s">
        <v>161</v>
      </c>
      <c r="E1085" s="314" t="s">
        <v>158</v>
      </c>
      <c r="F1085" s="303">
        <v>0</v>
      </c>
      <c r="G1085" s="303">
        <v>0</v>
      </c>
      <c r="H1085" s="303">
        <v>0</v>
      </c>
      <c r="I1085" s="303">
        <v>0</v>
      </c>
      <c r="J1085" s="303">
        <v>0</v>
      </c>
      <c r="K1085" s="303">
        <v>0</v>
      </c>
      <c r="L1085" s="303">
        <v>0</v>
      </c>
      <c r="M1085" s="303">
        <v>0</v>
      </c>
      <c r="N1085" s="304">
        <v>0</v>
      </c>
      <c r="O1085" s="305">
        <v>0</v>
      </c>
      <c r="P1085" s="303">
        <v>0</v>
      </c>
      <c r="Q1085" s="304">
        <v>0</v>
      </c>
    </row>
    <row r="1086" spans="1:17">
      <c r="A1086">
        <v>1412000094</v>
      </c>
      <c r="B1086" t="s">
        <v>161</v>
      </c>
      <c r="E1086" s="177" t="s">
        <v>26</v>
      </c>
      <c r="F1086" s="270">
        <v>3</v>
      </c>
      <c r="G1086" s="270">
        <v>3</v>
      </c>
      <c r="H1086" s="270">
        <v>3</v>
      </c>
      <c r="I1086" s="270">
        <v>3</v>
      </c>
      <c r="J1086" s="270">
        <v>3</v>
      </c>
      <c r="K1086" s="270">
        <v>3</v>
      </c>
      <c r="L1086" s="271">
        <v>3</v>
      </c>
      <c r="M1086" s="270">
        <v>3</v>
      </c>
      <c r="N1086" s="272">
        <v>3</v>
      </c>
      <c r="O1086" s="271">
        <v>3</v>
      </c>
      <c r="P1086" s="270">
        <v>3</v>
      </c>
      <c r="Q1086" s="272">
        <v>3</v>
      </c>
    </row>
    <row r="1087" spans="1:17" ht="15" thickBot="1">
      <c r="A1087">
        <v>1412000094</v>
      </c>
      <c r="B1087" t="s">
        <v>161</v>
      </c>
      <c r="E1087" s="178" t="s">
        <v>27</v>
      </c>
      <c r="F1087" s="273">
        <v>3</v>
      </c>
      <c r="G1087" s="273">
        <v>3</v>
      </c>
      <c r="H1087" s="273">
        <v>3</v>
      </c>
      <c r="I1087" s="273">
        <v>3</v>
      </c>
      <c r="J1087" s="273">
        <v>3</v>
      </c>
      <c r="K1087" s="273">
        <v>3</v>
      </c>
      <c r="L1087" s="274">
        <v>3</v>
      </c>
      <c r="M1087" s="273">
        <v>3</v>
      </c>
      <c r="N1087" s="275">
        <v>3</v>
      </c>
      <c r="O1087" s="274">
        <v>3</v>
      </c>
      <c r="P1087" s="273">
        <v>3</v>
      </c>
      <c r="Q1087" s="275">
        <v>3</v>
      </c>
    </row>
    <row r="1088" spans="1:17" ht="15" thickBot="1">
      <c r="A1088">
        <v>1412000094</v>
      </c>
      <c r="B1088" t="s">
        <v>161</v>
      </c>
      <c r="F1088" s="276"/>
      <c r="G1088" s="276"/>
      <c r="H1088" s="276"/>
      <c r="I1088" s="276"/>
      <c r="J1088" s="276"/>
      <c r="K1088" s="276"/>
      <c r="L1088" s="276"/>
      <c r="M1088" s="276"/>
      <c r="N1088" s="276"/>
      <c r="O1088" s="276"/>
      <c r="P1088" s="276"/>
      <c r="Q1088" s="276"/>
    </row>
    <row r="1089" spans="1:17">
      <c r="A1089">
        <v>1412000094</v>
      </c>
      <c r="B1089" t="s">
        <v>161</v>
      </c>
      <c r="E1089" s="220" t="s">
        <v>28</v>
      </c>
      <c r="F1089" s="277"/>
      <c r="G1089" s="277"/>
      <c r="H1089" s="277"/>
      <c r="I1089" s="277"/>
      <c r="J1089" s="277"/>
      <c r="K1089" s="277"/>
      <c r="L1089" s="277"/>
      <c r="M1089" s="277"/>
      <c r="N1089" s="278"/>
      <c r="O1089" s="277"/>
      <c r="P1089" s="277"/>
      <c r="Q1089" s="278"/>
    </row>
    <row r="1090" spans="1:17">
      <c r="A1090">
        <v>1412000094</v>
      </c>
      <c r="B1090" t="s">
        <v>161</v>
      </c>
      <c r="E1090" s="176" t="s">
        <v>25</v>
      </c>
      <c r="F1090" s="279"/>
      <c r="G1090" s="279"/>
      <c r="H1090" s="279"/>
      <c r="I1090" s="279"/>
      <c r="J1090" s="279"/>
      <c r="K1090" s="279"/>
      <c r="L1090" s="279"/>
      <c r="M1090" s="279"/>
      <c r="N1090" s="280"/>
      <c r="O1090" s="281"/>
      <c r="P1090" s="279"/>
      <c r="Q1090" s="280"/>
    </row>
    <row r="1091" spans="1:17">
      <c r="A1091">
        <v>1412000094</v>
      </c>
      <c r="B1091" t="s">
        <v>161</v>
      </c>
      <c r="E1091" s="312" t="s">
        <v>106</v>
      </c>
      <c r="F1091" s="306">
        <v>510</v>
      </c>
      <c r="G1091" s="306">
        <v>484.5</v>
      </c>
      <c r="H1091" s="306">
        <v>535.5</v>
      </c>
      <c r="I1091" s="306">
        <v>586.5</v>
      </c>
      <c r="J1091" s="306">
        <v>510</v>
      </c>
      <c r="K1091" s="306">
        <v>484.5</v>
      </c>
      <c r="L1091" s="306">
        <v>586.5</v>
      </c>
      <c r="M1091" s="306">
        <v>510</v>
      </c>
      <c r="N1091" s="307">
        <v>561</v>
      </c>
      <c r="O1091" s="308">
        <v>510</v>
      </c>
      <c r="P1091" s="306">
        <v>382.5</v>
      </c>
      <c r="Q1091" s="307">
        <v>510</v>
      </c>
    </row>
    <row r="1092" spans="1:17">
      <c r="A1092">
        <v>1412000094</v>
      </c>
      <c r="B1092" t="s">
        <v>161</v>
      </c>
      <c r="E1092" s="314" t="s">
        <v>158</v>
      </c>
      <c r="F1092" s="309">
        <v>0</v>
      </c>
      <c r="G1092" s="309">
        <v>0</v>
      </c>
      <c r="H1092" s="309">
        <v>0</v>
      </c>
      <c r="I1092" s="309">
        <v>0</v>
      </c>
      <c r="J1092" s="309">
        <v>0</v>
      </c>
      <c r="K1092" s="309">
        <v>0</v>
      </c>
      <c r="L1092" s="309">
        <v>0</v>
      </c>
      <c r="M1092" s="309">
        <v>0</v>
      </c>
      <c r="N1092" s="310">
        <v>0</v>
      </c>
      <c r="O1092" s="311">
        <v>0</v>
      </c>
      <c r="P1092" s="309">
        <v>0</v>
      </c>
      <c r="Q1092" s="310">
        <v>0</v>
      </c>
    </row>
    <row r="1093" spans="1:17">
      <c r="A1093">
        <v>1412000094</v>
      </c>
      <c r="B1093" t="s">
        <v>161</v>
      </c>
      <c r="E1093" s="177" t="s">
        <v>26</v>
      </c>
      <c r="F1093" s="282">
        <v>510</v>
      </c>
      <c r="G1093" s="282">
        <v>484.5</v>
      </c>
      <c r="H1093" s="282">
        <v>535.5</v>
      </c>
      <c r="I1093" s="282">
        <v>586.5</v>
      </c>
      <c r="J1093" s="282">
        <v>510</v>
      </c>
      <c r="K1093" s="282">
        <v>484.5</v>
      </c>
      <c r="L1093" s="283">
        <v>586.5</v>
      </c>
      <c r="M1093" s="282">
        <v>510</v>
      </c>
      <c r="N1093" s="284">
        <v>561</v>
      </c>
      <c r="O1093" s="283">
        <v>510</v>
      </c>
      <c r="P1093" s="282">
        <v>382.5</v>
      </c>
      <c r="Q1093" s="284">
        <v>510</v>
      </c>
    </row>
    <row r="1094" spans="1:17" ht="15" thickBot="1">
      <c r="A1094">
        <v>1412000094</v>
      </c>
      <c r="B1094" t="s">
        <v>161</v>
      </c>
      <c r="E1094" s="178" t="s">
        <v>44</v>
      </c>
      <c r="F1094" s="285">
        <v>510</v>
      </c>
      <c r="G1094" s="285">
        <v>484.5</v>
      </c>
      <c r="H1094" s="285">
        <v>535.5</v>
      </c>
      <c r="I1094" s="285">
        <v>586.5</v>
      </c>
      <c r="J1094" s="285">
        <v>510</v>
      </c>
      <c r="K1094" s="285">
        <v>484.5</v>
      </c>
      <c r="L1094" s="286">
        <v>586.5</v>
      </c>
      <c r="M1094" s="285">
        <v>510</v>
      </c>
      <c r="N1094" s="287">
        <v>561</v>
      </c>
      <c r="O1094" s="286">
        <v>510</v>
      </c>
      <c r="P1094" s="285">
        <v>382.5</v>
      </c>
      <c r="Q1094" s="287">
        <v>510</v>
      </c>
    </row>
    <row r="1095" spans="1:17" ht="15" thickBot="1">
      <c r="A1095">
        <v>1412000094</v>
      </c>
      <c r="B1095" t="s">
        <v>161</v>
      </c>
      <c r="F1095" s="288"/>
      <c r="G1095" s="288"/>
      <c r="H1095" s="288"/>
      <c r="I1095" s="288"/>
      <c r="J1095" s="288"/>
      <c r="K1095" s="288"/>
      <c r="L1095" s="288"/>
      <c r="M1095" s="288"/>
      <c r="N1095" s="288"/>
      <c r="O1095" s="288"/>
      <c r="P1095" s="288"/>
      <c r="Q1095" s="288"/>
    </row>
    <row r="1096" spans="1:17">
      <c r="A1096">
        <v>1412000094</v>
      </c>
      <c r="B1096" t="s">
        <v>161</v>
      </c>
      <c r="E1096" s="220" t="s">
        <v>29</v>
      </c>
      <c r="F1096" s="289"/>
      <c r="G1096" s="289"/>
      <c r="H1096" s="289"/>
      <c r="I1096" s="289"/>
      <c r="J1096" s="289"/>
      <c r="K1096" s="289"/>
      <c r="L1096" s="289"/>
      <c r="M1096" s="289"/>
      <c r="N1096" s="290"/>
      <c r="O1096" s="289"/>
      <c r="P1096" s="289"/>
      <c r="Q1096" s="278"/>
    </row>
    <row r="1097" spans="1:17">
      <c r="A1097">
        <v>1412000094</v>
      </c>
      <c r="B1097" t="s">
        <v>161</v>
      </c>
      <c r="E1097" s="176" t="s">
        <v>25</v>
      </c>
      <c r="F1097" s="279"/>
      <c r="G1097" s="279"/>
      <c r="H1097" s="279"/>
      <c r="I1097" s="279"/>
      <c r="J1097" s="279"/>
      <c r="K1097" s="279"/>
      <c r="L1097" s="279"/>
      <c r="M1097" s="279"/>
      <c r="N1097" s="280"/>
      <c r="O1097" s="281"/>
      <c r="P1097" s="279"/>
      <c r="Q1097" s="280"/>
    </row>
    <row r="1098" spans="1:17">
      <c r="A1098">
        <v>1412000094</v>
      </c>
      <c r="B1098" t="s">
        <v>161</v>
      </c>
      <c r="E1098" s="312" t="s">
        <v>106</v>
      </c>
      <c r="F1098" s="306">
        <v>40</v>
      </c>
      <c r="G1098" s="306">
        <v>38</v>
      </c>
      <c r="H1098" s="306">
        <v>42</v>
      </c>
      <c r="I1098" s="306">
        <v>46</v>
      </c>
      <c r="J1098" s="306">
        <v>40</v>
      </c>
      <c r="K1098" s="306">
        <v>38</v>
      </c>
      <c r="L1098" s="306">
        <v>46</v>
      </c>
      <c r="M1098" s="306">
        <v>40</v>
      </c>
      <c r="N1098" s="307">
        <v>44</v>
      </c>
      <c r="O1098" s="308">
        <v>40</v>
      </c>
      <c r="P1098" s="306">
        <v>30</v>
      </c>
      <c r="Q1098" s="307">
        <v>40</v>
      </c>
    </row>
    <row r="1099" spans="1:17">
      <c r="A1099">
        <v>1412000094</v>
      </c>
      <c r="B1099" t="s">
        <v>161</v>
      </c>
      <c r="E1099" s="314" t="s">
        <v>158</v>
      </c>
      <c r="F1099" s="309"/>
      <c r="G1099" s="309"/>
      <c r="H1099" s="309"/>
      <c r="I1099" s="309"/>
      <c r="J1099" s="309">
        <v>4</v>
      </c>
      <c r="K1099" s="309"/>
      <c r="L1099" s="309"/>
      <c r="M1099" s="309"/>
      <c r="N1099" s="310"/>
      <c r="O1099" s="311"/>
      <c r="P1099" s="309">
        <v>4</v>
      </c>
      <c r="Q1099" s="310"/>
    </row>
    <row r="1100" spans="1:17">
      <c r="A1100">
        <v>1412000094</v>
      </c>
      <c r="B1100" t="s">
        <v>161</v>
      </c>
      <c r="E1100" s="177" t="s">
        <v>26</v>
      </c>
      <c r="F1100" s="282">
        <v>40</v>
      </c>
      <c r="G1100" s="282">
        <v>38</v>
      </c>
      <c r="H1100" s="282">
        <v>42</v>
      </c>
      <c r="I1100" s="282">
        <v>46</v>
      </c>
      <c r="J1100" s="282">
        <v>44</v>
      </c>
      <c r="K1100" s="282">
        <v>38</v>
      </c>
      <c r="L1100" s="283">
        <v>46</v>
      </c>
      <c r="M1100" s="282">
        <v>40</v>
      </c>
      <c r="N1100" s="284">
        <v>44</v>
      </c>
      <c r="O1100" s="283">
        <v>40</v>
      </c>
      <c r="P1100" s="282">
        <v>34</v>
      </c>
      <c r="Q1100" s="284">
        <v>40</v>
      </c>
    </row>
    <row r="1101" spans="1:17" ht="15" thickBot="1">
      <c r="A1101">
        <v>1412000094</v>
      </c>
      <c r="B1101" t="s">
        <v>161</v>
      </c>
      <c r="E1101" s="178" t="s">
        <v>45</v>
      </c>
      <c r="F1101" s="285">
        <v>40</v>
      </c>
      <c r="G1101" s="285">
        <v>38</v>
      </c>
      <c r="H1101" s="285">
        <v>42</v>
      </c>
      <c r="I1101" s="285">
        <v>46</v>
      </c>
      <c r="J1101" s="285">
        <v>44</v>
      </c>
      <c r="K1101" s="285">
        <v>38</v>
      </c>
      <c r="L1101" s="286">
        <v>46</v>
      </c>
      <c r="M1101" s="285">
        <v>40</v>
      </c>
      <c r="N1101" s="287">
        <v>44</v>
      </c>
      <c r="O1101" s="286">
        <v>40</v>
      </c>
      <c r="P1101" s="285">
        <v>34</v>
      </c>
      <c r="Q1101" s="287">
        <v>40</v>
      </c>
    </row>
    <row r="1102" spans="1:17">
      <c r="A1102">
        <v>1412000096</v>
      </c>
      <c r="B1102" t="s">
        <v>147</v>
      </c>
      <c r="E1102" s="220" t="s">
        <v>40</v>
      </c>
      <c r="F1102" s="201"/>
      <c r="G1102" s="201"/>
      <c r="H1102" s="201"/>
      <c r="I1102" s="201"/>
      <c r="J1102" s="201"/>
      <c r="K1102" s="201"/>
      <c r="L1102" s="201"/>
      <c r="M1102" s="201"/>
      <c r="N1102" s="202"/>
      <c r="O1102" s="201"/>
      <c r="P1102" s="201"/>
      <c r="Q1102" s="202"/>
    </row>
    <row r="1103" spans="1:17">
      <c r="A1103">
        <v>1412000096</v>
      </c>
      <c r="B1103" t="s">
        <v>147</v>
      </c>
      <c r="E1103" s="176" t="s">
        <v>25</v>
      </c>
      <c r="F1103" s="267">
        <v>0</v>
      </c>
      <c r="G1103" s="267">
        <v>0</v>
      </c>
      <c r="H1103" s="267">
        <v>0</v>
      </c>
      <c r="I1103" s="267">
        <v>0</v>
      </c>
      <c r="J1103" s="267">
        <v>0</v>
      </c>
      <c r="K1103" s="267">
        <v>0</v>
      </c>
      <c r="L1103" s="267">
        <v>0</v>
      </c>
      <c r="M1103" s="267">
        <v>0</v>
      </c>
      <c r="N1103" s="268">
        <v>0</v>
      </c>
      <c r="O1103" s="269">
        <v>0</v>
      </c>
      <c r="P1103" s="267">
        <v>0</v>
      </c>
      <c r="Q1103" s="268">
        <v>0</v>
      </c>
    </row>
    <row r="1104" spans="1:17">
      <c r="A1104">
        <v>1412000096</v>
      </c>
      <c r="B1104" t="s">
        <v>147</v>
      </c>
      <c r="E1104" s="312" t="s">
        <v>106</v>
      </c>
      <c r="F1104" s="300">
        <v>10</v>
      </c>
      <c r="G1104" s="300">
        <v>10</v>
      </c>
      <c r="H1104" s="300">
        <v>10</v>
      </c>
      <c r="I1104" s="300">
        <v>10</v>
      </c>
      <c r="J1104" s="300">
        <v>10</v>
      </c>
      <c r="K1104" s="300">
        <v>12</v>
      </c>
      <c r="L1104" s="300">
        <v>12</v>
      </c>
      <c r="M1104" s="300">
        <v>12</v>
      </c>
      <c r="N1104" s="301">
        <v>12</v>
      </c>
      <c r="O1104" s="302">
        <v>12</v>
      </c>
      <c r="P1104" s="300">
        <v>12</v>
      </c>
      <c r="Q1104" s="301">
        <v>12</v>
      </c>
    </row>
    <row r="1105" spans="1:17">
      <c r="A1105">
        <v>1412000096</v>
      </c>
      <c r="B1105" t="s">
        <v>147</v>
      </c>
      <c r="E1105" s="314" t="s">
        <v>158</v>
      </c>
      <c r="F1105" s="303"/>
      <c r="G1105" s="303"/>
      <c r="H1105" s="303"/>
      <c r="I1105" s="303"/>
      <c r="J1105" s="303"/>
      <c r="K1105" s="303"/>
      <c r="L1105" s="303"/>
      <c r="M1105" s="303"/>
      <c r="N1105" s="304"/>
      <c r="O1105" s="305"/>
      <c r="P1105" s="303"/>
      <c r="Q1105" s="304"/>
    </row>
    <row r="1106" spans="1:17">
      <c r="A1106">
        <v>1412000096</v>
      </c>
      <c r="B1106" t="s">
        <v>147</v>
      </c>
      <c r="E1106" s="177" t="s">
        <v>26</v>
      </c>
      <c r="F1106" s="270">
        <v>10</v>
      </c>
      <c r="G1106" s="270">
        <v>10</v>
      </c>
      <c r="H1106" s="270">
        <v>10</v>
      </c>
      <c r="I1106" s="270">
        <v>10</v>
      </c>
      <c r="J1106" s="270">
        <v>10</v>
      </c>
      <c r="K1106" s="270">
        <v>12</v>
      </c>
      <c r="L1106" s="271">
        <v>12</v>
      </c>
      <c r="M1106" s="270">
        <v>12</v>
      </c>
      <c r="N1106" s="272">
        <v>12</v>
      </c>
      <c r="O1106" s="271">
        <v>12</v>
      </c>
      <c r="P1106" s="270">
        <v>12</v>
      </c>
      <c r="Q1106" s="272">
        <v>12</v>
      </c>
    </row>
    <row r="1107" spans="1:17" ht="15" thickBot="1">
      <c r="A1107">
        <v>1412000096</v>
      </c>
      <c r="B1107" t="s">
        <v>147</v>
      </c>
      <c r="E1107" s="178" t="s">
        <v>27</v>
      </c>
      <c r="F1107" s="273">
        <v>10</v>
      </c>
      <c r="G1107" s="273">
        <v>10</v>
      </c>
      <c r="H1107" s="273">
        <v>10</v>
      </c>
      <c r="I1107" s="273">
        <v>10</v>
      </c>
      <c r="J1107" s="273">
        <v>10</v>
      </c>
      <c r="K1107" s="273">
        <v>12</v>
      </c>
      <c r="L1107" s="274">
        <v>12</v>
      </c>
      <c r="M1107" s="273">
        <v>12</v>
      </c>
      <c r="N1107" s="275">
        <v>12</v>
      </c>
      <c r="O1107" s="274">
        <v>12</v>
      </c>
      <c r="P1107" s="273">
        <v>12</v>
      </c>
      <c r="Q1107" s="275">
        <v>12</v>
      </c>
    </row>
    <row r="1108" spans="1:17" ht="15" thickBot="1">
      <c r="A1108">
        <v>1412000096</v>
      </c>
      <c r="B1108" t="s">
        <v>147</v>
      </c>
      <c r="F1108" s="276"/>
      <c r="G1108" s="276"/>
      <c r="H1108" s="276"/>
      <c r="I1108" s="276"/>
      <c r="J1108" s="276"/>
      <c r="K1108" s="276"/>
      <c r="L1108" s="276"/>
      <c r="M1108" s="276"/>
      <c r="N1108" s="276"/>
      <c r="O1108" s="276"/>
      <c r="P1108" s="276"/>
      <c r="Q1108" s="276"/>
    </row>
    <row r="1109" spans="1:17">
      <c r="A1109">
        <v>1412000096</v>
      </c>
      <c r="B1109" t="s">
        <v>147</v>
      </c>
      <c r="E1109" s="220" t="s">
        <v>28</v>
      </c>
      <c r="F1109" s="277"/>
      <c r="G1109" s="277"/>
      <c r="H1109" s="277"/>
      <c r="I1109" s="277"/>
      <c r="J1109" s="277"/>
      <c r="K1109" s="277"/>
      <c r="L1109" s="277"/>
      <c r="M1109" s="277"/>
      <c r="N1109" s="278"/>
      <c r="O1109" s="277"/>
      <c r="P1109" s="277"/>
      <c r="Q1109" s="278"/>
    </row>
    <row r="1110" spans="1:17">
      <c r="A1110">
        <v>1412000096</v>
      </c>
      <c r="B1110" t="s">
        <v>147</v>
      </c>
      <c r="E1110" s="176" t="s">
        <v>25</v>
      </c>
      <c r="F1110" s="279">
        <v>0</v>
      </c>
      <c r="G1110" s="279">
        <v>0</v>
      </c>
      <c r="H1110" s="279">
        <v>0</v>
      </c>
      <c r="I1110" s="279">
        <v>0</v>
      </c>
      <c r="J1110" s="279">
        <v>0</v>
      </c>
      <c r="K1110" s="279">
        <v>0</v>
      </c>
      <c r="L1110" s="279">
        <v>0</v>
      </c>
      <c r="M1110" s="279">
        <v>0</v>
      </c>
      <c r="N1110" s="280">
        <v>0</v>
      </c>
      <c r="O1110" s="281">
        <v>0</v>
      </c>
      <c r="P1110" s="279">
        <v>0</v>
      </c>
      <c r="Q1110" s="280">
        <v>0</v>
      </c>
    </row>
    <row r="1111" spans="1:17">
      <c r="A1111">
        <v>1412000096</v>
      </c>
      <c r="B1111" t="s">
        <v>147</v>
      </c>
      <c r="E1111" s="312" t="s">
        <v>106</v>
      </c>
      <c r="F1111" s="306">
        <v>1632</v>
      </c>
      <c r="G1111" s="306">
        <v>1547</v>
      </c>
      <c r="H1111" s="306">
        <v>1717</v>
      </c>
      <c r="I1111" s="306">
        <v>1887</v>
      </c>
      <c r="J1111" s="306">
        <v>1632</v>
      </c>
      <c r="K1111" s="306">
        <v>1853</v>
      </c>
      <c r="L1111" s="306">
        <v>2261</v>
      </c>
      <c r="M1111" s="306">
        <v>1955</v>
      </c>
      <c r="N1111" s="307">
        <v>2159</v>
      </c>
      <c r="O1111" s="308">
        <v>1955</v>
      </c>
      <c r="P1111" s="306">
        <v>1445</v>
      </c>
      <c r="Q1111" s="307">
        <v>1955</v>
      </c>
    </row>
    <row r="1112" spans="1:17">
      <c r="A1112">
        <v>1412000096</v>
      </c>
      <c r="B1112" t="s">
        <v>147</v>
      </c>
      <c r="E1112" s="314" t="s">
        <v>158</v>
      </c>
      <c r="F1112" s="309"/>
      <c r="G1112" s="309"/>
      <c r="H1112" s="309"/>
      <c r="I1112" s="309"/>
      <c r="J1112" s="309"/>
      <c r="K1112" s="309"/>
      <c r="L1112" s="309"/>
      <c r="M1112" s="309"/>
      <c r="N1112" s="310"/>
      <c r="O1112" s="311"/>
      <c r="P1112" s="309"/>
      <c r="Q1112" s="310"/>
    </row>
    <row r="1113" spans="1:17">
      <c r="A1113">
        <v>1412000096</v>
      </c>
      <c r="B1113" t="s">
        <v>147</v>
      </c>
      <c r="E1113" s="177" t="s">
        <v>26</v>
      </c>
      <c r="F1113" s="282">
        <v>1632</v>
      </c>
      <c r="G1113" s="282">
        <v>1547</v>
      </c>
      <c r="H1113" s="282">
        <v>1717</v>
      </c>
      <c r="I1113" s="282">
        <v>1887</v>
      </c>
      <c r="J1113" s="282">
        <v>1632</v>
      </c>
      <c r="K1113" s="282">
        <v>1853</v>
      </c>
      <c r="L1113" s="283">
        <v>2261</v>
      </c>
      <c r="M1113" s="282">
        <v>1955</v>
      </c>
      <c r="N1113" s="284">
        <v>2159</v>
      </c>
      <c r="O1113" s="283">
        <v>1955</v>
      </c>
      <c r="P1113" s="282">
        <v>1445</v>
      </c>
      <c r="Q1113" s="284">
        <v>1955</v>
      </c>
    </row>
    <row r="1114" spans="1:17" ht="15" thickBot="1">
      <c r="A1114">
        <v>1412000096</v>
      </c>
      <c r="B1114" t="s">
        <v>147</v>
      </c>
      <c r="E1114" s="178" t="s">
        <v>44</v>
      </c>
      <c r="F1114" s="285">
        <v>1632</v>
      </c>
      <c r="G1114" s="285">
        <v>1547</v>
      </c>
      <c r="H1114" s="285">
        <v>1717</v>
      </c>
      <c r="I1114" s="285">
        <v>1887</v>
      </c>
      <c r="J1114" s="285">
        <v>1632</v>
      </c>
      <c r="K1114" s="285">
        <v>1853</v>
      </c>
      <c r="L1114" s="286">
        <v>2261</v>
      </c>
      <c r="M1114" s="285">
        <v>1955</v>
      </c>
      <c r="N1114" s="287">
        <v>2159</v>
      </c>
      <c r="O1114" s="286">
        <v>1955</v>
      </c>
      <c r="P1114" s="285">
        <v>1445</v>
      </c>
      <c r="Q1114" s="287">
        <v>1955</v>
      </c>
    </row>
    <row r="1115" spans="1:17" ht="15" thickBot="1">
      <c r="A1115">
        <v>1412000096</v>
      </c>
      <c r="B1115" t="s">
        <v>147</v>
      </c>
      <c r="F1115" s="288"/>
      <c r="G1115" s="288"/>
      <c r="H1115" s="288"/>
      <c r="I1115" s="288"/>
      <c r="J1115" s="288"/>
      <c r="K1115" s="288"/>
      <c r="L1115" s="288"/>
      <c r="M1115" s="288"/>
      <c r="N1115" s="288"/>
      <c r="O1115" s="288"/>
      <c r="P1115" s="288"/>
      <c r="Q1115" s="288"/>
    </row>
    <row r="1116" spans="1:17">
      <c r="A1116">
        <v>1412000096</v>
      </c>
      <c r="B1116" t="s">
        <v>147</v>
      </c>
      <c r="E1116" s="220" t="s">
        <v>29</v>
      </c>
      <c r="F1116" s="289"/>
      <c r="G1116" s="289"/>
      <c r="H1116" s="289"/>
      <c r="I1116" s="289"/>
      <c r="J1116" s="289"/>
      <c r="K1116" s="289"/>
      <c r="L1116" s="289"/>
      <c r="M1116" s="289"/>
      <c r="N1116" s="290"/>
      <c r="O1116" s="289"/>
      <c r="P1116" s="289"/>
      <c r="Q1116" s="278"/>
    </row>
    <row r="1117" spans="1:17">
      <c r="A1117">
        <v>1412000096</v>
      </c>
      <c r="B1117" t="s">
        <v>147</v>
      </c>
      <c r="E1117" s="176" t="s">
        <v>25</v>
      </c>
      <c r="F1117" s="279">
        <v>0</v>
      </c>
      <c r="G1117" s="279">
        <v>0</v>
      </c>
      <c r="H1117" s="279">
        <v>0</v>
      </c>
      <c r="I1117" s="279">
        <v>0</v>
      </c>
      <c r="J1117" s="279">
        <v>0</v>
      </c>
      <c r="K1117" s="279">
        <v>0</v>
      </c>
      <c r="L1117" s="279">
        <v>0</v>
      </c>
      <c r="M1117" s="279">
        <v>0</v>
      </c>
      <c r="N1117" s="280">
        <v>0</v>
      </c>
      <c r="O1117" s="281">
        <v>0</v>
      </c>
      <c r="P1117" s="279">
        <v>0</v>
      </c>
      <c r="Q1117" s="280">
        <v>0</v>
      </c>
    </row>
    <row r="1118" spans="1:17">
      <c r="A1118">
        <v>1412000096</v>
      </c>
      <c r="B1118" t="s">
        <v>147</v>
      </c>
      <c r="E1118" s="312" t="s">
        <v>106</v>
      </c>
      <c r="F1118" s="306">
        <v>160</v>
      </c>
      <c r="G1118" s="306">
        <v>158</v>
      </c>
      <c r="H1118" s="306">
        <v>162</v>
      </c>
      <c r="I1118" s="306">
        <v>166</v>
      </c>
      <c r="J1118" s="306">
        <v>160</v>
      </c>
      <c r="K1118" s="306">
        <v>158</v>
      </c>
      <c r="L1118" s="306">
        <v>166</v>
      </c>
      <c r="M1118" s="306">
        <v>160</v>
      </c>
      <c r="N1118" s="307">
        <v>164</v>
      </c>
      <c r="O1118" s="308">
        <v>160</v>
      </c>
      <c r="P1118" s="306">
        <v>150</v>
      </c>
      <c r="Q1118" s="307">
        <v>160</v>
      </c>
    </row>
    <row r="1119" spans="1:17">
      <c r="A1119">
        <v>1412000096</v>
      </c>
      <c r="B1119" t="s">
        <v>147</v>
      </c>
      <c r="E1119" s="314" t="s">
        <v>158</v>
      </c>
      <c r="F1119" s="309"/>
      <c r="G1119" s="309"/>
      <c r="H1119" s="309"/>
      <c r="I1119" s="309"/>
      <c r="J1119" s="309"/>
      <c r="K1119" s="309"/>
      <c r="L1119" s="309"/>
      <c r="M1119" s="309"/>
      <c r="N1119" s="310"/>
      <c r="O1119" s="311"/>
      <c r="P1119" s="309"/>
      <c r="Q1119" s="310"/>
    </row>
    <row r="1120" spans="1:17">
      <c r="A1120">
        <v>1412000096</v>
      </c>
      <c r="B1120" t="s">
        <v>147</v>
      </c>
      <c r="E1120" s="177" t="s">
        <v>26</v>
      </c>
      <c r="F1120" s="282">
        <v>160</v>
      </c>
      <c r="G1120" s="282">
        <v>158</v>
      </c>
      <c r="H1120" s="282">
        <v>162</v>
      </c>
      <c r="I1120" s="282">
        <v>166</v>
      </c>
      <c r="J1120" s="282">
        <v>160</v>
      </c>
      <c r="K1120" s="282">
        <v>158</v>
      </c>
      <c r="L1120" s="283">
        <v>166</v>
      </c>
      <c r="M1120" s="282">
        <v>160</v>
      </c>
      <c r="N1120" s="284">
        <v>164</v>
      </c>
      <c r="O1120" s="283">
        <v>160</v>
      </c>
      <c r="P1120" s="282">
        <v>150</v>
      </c>
      <c r="Q1120" s="284">
        <v>160</v>
      </c>
    </row>
    <row r="1121" spans="1:17" ht="15" thickBot="1">
      <c r="A1121">
        <v>1412000096</v>
      </c>
      <c r="B1121" t="s">
        <v>147</v>
      </c>
      <c r="E1121" s="178" t="s">
        <v>45</v>
      </c>
      <c r="F1121" s="285">
        <v>160</v>
      </c>
      <c r="G1121" s="285">
        <v>158</v>
      </c>
      <c r="H1121" s="285">
        <v>162</v>
      </c>
      <c r="I1121" s="285">
        <v>166</v>
      </c>
      <c r="J1121" s="285">
        <v>160</v>
      </c>
      <c r="K1121" s="285">
        <v>158</v>
      </c>
      <c r="L1121" s="286">
        <v>166</v>
      </c>
      <c r="M1121" s="285">
        <v>160</v>
      </c>
      <c r="N1121" s="287">
        <v>164</v>
      </c>
      <c r="O1121" s="286">
        <v>160</v>
      </c>
      <c r="P1121" s="285">
        <v>150</v>
      </c>
      <c r="Q1121" s="287">
        <v>160</v>
      </c>
    </row>
    <row r="1122" spans="1:17">
      <c r="A1122">
        <v>1412000098</v>
      </c>
      <c r="B1122" t="s">
        <v>160</v>
      </c>
      <c r="E1122" s="220" t="s">
        <v>40</v>
      </c>
      <c r="F1122" s="201"/>
      <c r="G1122" s="201"/>
      <c r="H1122" s="201"/>
      <c r="I1122" s="201"/>
      <c r="J1122" s="201"/>
      <c r="K1122" s="201"/>
      <c r="L1122" s="201"/>
      <c r="M1122" s="201"/>
      <c r="N1122" s="202"/>
      <c r="O1122" s="201"/>
      <c r="P1122" s="201"/>
      <c r="Q1122" s="202"/>
    </row>
    <row r="1123" spans="1:17">
      <c r="A1123">
        <v>1412000098</v>
      </c>
      <c r="B1123" t="s">
        <v>160</v>
      </c>
      <c r="E1123" s="176" t="s">
        <v>25</v>
      </c>
      <c r="F1123" s="267">
        <v>2</v>
      </c>
      <c r="G1123" s="267">
        <v>2</v>
      </c>
      <c r="H1123" s="267">
        <v>2</v>
      </c>
      <c r="I1123" s="267">
        <v>2</v>
      </c>
      <c r="J1123" s="267">
        <v>2</v>
      </c>
      <c r="K1123" s="267">
        <v>2</v>
      </c>
      <c r="L1123" s="267">
        <v>2</v>
      </c>
      <c r="M1123" s="267">
        <v>2</v>
      </c>
      <c r="N1123" s="268">
        <v>2</v>
      </c>
      <c r="O1123" s="269">
        <v>2</v>
      </c>
      <c r="P1123" s="267">
        <v>2</v>
      </c>
      <c r="Q1123" s="268">
        <v>2</v>
      </c>
    </row>
    <row r="1124" spans="1:17">
      <c r="A1124">
        <v>1412000098</v>
      </c>
      <c r="B1124" t="s">
        <v>160</v>
      </c>
      <c r="E1124" s="312" t="s">
        <v>106</v>
      </c>
      <c r="F1124" s="300">
        <v>15</v>
      </c>
      <c r="G1124" s="300">
        <v>15</v>
      </c>
      <c r="H1124" s="300">
        <v>15</v>
      </c>
      <c r="I1124" s="300">
        <v>15</v>
      </c>
      <c r="J1124" s="300">
        <v>15</v>
      </c>
      <c r="K1124" s="300">
        <v>15</v>
      </c>
      <c r="L1124" s="300">
        <v>15</v>
      </c>
      <c r="M1124" s="300">
        <v>15</v>
      </c>
      <c r="N1124" s="301">
        <v>15</v>
      </c>
      <c r="O1124" s="302">
        <v>15</v>
      </c>
      <c r="P1124" s="300">
        <v>15</v>
      </c>
      <c r="Q1124" s="301">
        <v>15</v>
      </c>
    </row>
    <row r="1125" spans="1:17">
      <c r="A1125">
        <v>1412000098</v>
      </c>
      <c r="B1125" t="s">
        <v>160</v>
      </c>
      <c r="E1125" s="314" t="s">
        <v>158</v>
      </c>
      <c r="F1125" s="303">
        <v>14</v>
      </c>
      <c r="G1125" s="303">
        <v>14</v>
      </c>
      <c r="H1125" s="303">
        <v>14</v>
      </c>
      <c r="I1125" s="303">
        <v>29</v>
      </c>
      <c r="J1125" s="303">
        <v>29</v>
      </c>
      <c r="K1125" s="303">
        <v>29</v>
      </c>
      <c r="L1125" s="303">
        <v>30</v>
      </c>
      <c r="M1125" s="303">
        <v>30</v>
      </c>
      <c r="N1125" s="304">
        <v>30</v>
      </c>
      <c r="O1125" s="305">
        <v>43</v>
      </c>
      <c r="P1125" s="303">
        <v>43</v>
      </c>
      <c r="Q1125" s="304">
        <v>43</v>
      </c>
    </row>
    <row r="1126" spans="1:17">
      <c r="A1126">
        <v>1412000098</v>
      </c>
      <c r="B1126" t="s">
        <v>160</v>
      </c>
      <c r="E1126" s="177" t="s">
        <v>26</v>
      </c>
      <c r="F1126" s="270">
        <v>29</v>
      </c>
      <c r="G1126" s="270">
        <v>29</v>
      </c>
      <c r="H1126" s="270">
        <v>29</v>
      </c>
      <c r="I1126" s="270">
        <v>44</v>
      </c>
      <c r="J1126" s="270">
        <v>44</v>
      </c>
      <c r="K1126" s="270">
        <v>44</v>
      </c>
      <c r="L1126" s="271">
        <v>45</v>
      </c>
      <c r="M1126" s="270">
        <v>45</v>
      </c>
      <c r="N1126" s="272">
        <v>45</v>
      </c>
      <c r="O1126" s="271">
        <v>58</v>
      </c>
      <c r="P1126" s="270">
        <v>58</v>
      </c>
      <c r="Q1126" s="272">
        <v>58</v>
      </c>
    </row>
    <row r="1127" spans="1:17" ht="15" thickBot="1">
      <c r="A1127">
        <v>1412000098</v>
      </c>
      <c r="B1127" t="s">
        <v>160</v>
      </c>
      <c r="E1127" s="178" t="s">
        <v>27</v>
      </c>
      <c r="F1127" s="273">
        <v>31</v>
      </c>
      <c r="G1127" s="273">
        <v>31</v>
      </c>
      <c r="H1127" s="273">
        <v>31</v>
      </c>
      <c r="I1127" s="273">
        <v>46</v>
      </c>
      <c r="J1127" s="273">
        <v>46</v>
      </c>
      <c r="K1127" s="273">
        <v>46</v>
      </c>
      <c r="L1127" s="274">
        <v>47</v>
      </c>
      <c r="M1127" s="273">
        <v>47</v>
      </c>
      <c r="N1127" s="275">
        <v>47</v>
      </c>
      <c r="O1127" s="274">
        <v>60</v>
      </c>
      <c r="P1127" s="273">
        <v>60</v>
      </c>
      <c r="Q1127" s="275">
        <v>60</v>
      </c>
    </row>
    <row r="1128" spans="1:17" ht="15" thickBot="1">
      <c r="A1128">
        <v>1412000098</v>
      </c>
      <c r="B1128" t="s">
        <v>160</v>
      </c>
      <c r="F1128" s="276"/>
      <c r="G1128" s="276"/>
      <c r="H1128" s="276"/>
      <c r="I1128" s="276"/>
      <c r="J1128" s="276"/>
      <c r="K1128" s="276"/>
      <c r="L1128" s="276"/>
      <c r="M1128" s="276"/>
      <c r="N1128" s="276"/>
      <c r="O1128" s="276"/>
      <c r="P1128" s="276"/>
      <c r="Q1128" s="276"/>
    </row>
    <row r="1129" spans="1:17">
      <c r="A1129">
        <v>1412000098</v>
      </c>
      <c r="B1129" t="s">
        <v>160</v>
      </c>
      <c r="E1129" s="220" t="s">
        <v>28</v>
      </c>
      <c r="F1129" s="277"/>
      <c r="G1129" s="277"/>
      <c r="H1129" s="277"/>
      <c r="I1129" s="277"/>
      <c r="J1129" s="277"/>
      <c r="K1129" s="277"/>
      <c r="L1129" s="277"/>
      <c r="M1129" s="277"/>
      <c r="N1129" s="278"/>
      <c r="O1129" s="277"/>
      <c r="P1129" s="277"/>
      <c r="Q1129" s="278"/>
    </row>
    <row r="1130" spans="1:17">
      <c r="A1130">
        <v>1412000098</v>
      </c>
      <c r="B1130" t="s">
        <v>160</v>
      </c>
      <c r="E1130" s="176" t="s">
        <v>25</v>
      </c>
      <c r="F1130" s="279">
        <v>306</v>
      </c>
      <c r="G1130" s="279">
        <v>323</v>
      </c>
      <c r="H1130" s="279">
        <v>357</v>
      </c>
      <c r="I1130" s="279">
        <v>391</v>
      </c>
      <c r="J1130" s="279">
        <v>306</v>
      </c>
      <c r="K1130" s="279">
        <v>323</v>
      </c>
      <c r="L1130" s="279">
        <v>348.5</v>
      </c>
      <c r="M1130" s="279">
        <v>340</v>
      </c>
      <c r="N1130" s="280">
        <v>365.5</v>
      </c>
      <c r="O1130" s="281">
        <v>289</v>
      </c>
      <c r="P1130" s="279">
        <v>195.5</v>
      </c>
      <c r="Q1130" s="280">
        <v>340</v>
      </c>
    </row>
    <row r="1131" spans="1:17">
      <c r="A1131">
        <v>1412000098</v>
      </c>
      <c r="B1131" t="s">
        <v>160</v>
      </c>
      <c r="E1131" s="312" t="s">
        <v>106</v>
      </c>
      <c r="F1131" s="306">
        <v>2499</v>
      </c>
      <c r="G1131" s="306">
        <v>2374</v>
      </c>
      <c r="H1131" s="306">
        <v>2624</v>
      </c>
      <c r="I1131" s="306">
        <v>2874</v>
      </c>
      <c r="J1131" s="306">
        <v>2499</v>
      </c>
      <c r="K1131" s="306">
        <v>2374</v>
      </c>
      <c r="L1131" s="306">
        <v>2874</v>
      </c>
      <c r="M1131" s="306">
        <v>2499</v>
      </c>
      <c r="N1131" s="307">
        <v>2749</v>
      </c>
      <c r="O1131" s="308">
        <v>2499</v>
      </c>
      <c r="P1131" s="306">
        <v>1874</v>
      </c>
      <c r="Q1131" s="307">
        <v>2499</v>
      </c>
    </row>
    <row r="1132" spans="1:17">
      <c r="A1132">
        <v>1412000098</v>
      </c>
      <c r="B1132" t="s">
        <v>160</v>
      </c>
      <c r="E1132" s="314" t="s">
        <v>158</v>
      </c>
      <c r="F1132" s="309">
        <v>2332</v>
      </c>
      <c r="G1132" s="309">
        <v>2216</v>
      </c>
      <c r="H1132" s="309">
        <v>2449</v>
      </c>
      <c r="I1132" s="309">
        <v>5556</v>
      </c>
      <c r="J1132" s="309">
        <v>4831</v>
      </c>
      <c r="K1132" s="309">
        <v>4590</v>
      </c>
      <c r="L1132" s="309">
        <v>5748</v>
      </c>
      <c r="M1132" s="309">
        <v>4998</v>
      </c>
      <c r="N1132" s="310">
        <v>5498</v>
      </c>
      <c r="O1132" s="311">
        <v>7164</v>
      </c>
      <c r="P1132" s="309">
        <v>5373</v>
      </c>
      <c r="Q1132" s="310">
        <v>7164</v>
      </c>
    </row>
    <row r="1133" spans="1:17">
      <c r="A1133">
        <v>1412000098</v>
      </c>
      <c r="B1133" t="s">
        <v>160</v>
      </c>
      <c r="E1133" s="177" t="s">
        <v>26</v>
      </c>
      <c r="F1133" s="282">
        <v>4831</v>
      </c>
      <c r="G1133" s="282">
        <v>4590</v>
      </c>
      <c r="H1133" s="282">
        <v>5073</v>
      </c>
      <c r="I1133" s="282">
        <v>8430</v>
      </c>
      <c r="J1133" s="282">
        <v>7330</v>
      </c>
      <c r="K1133" s="282">
        <v>6964</v>
      </c>
      <c r="L1133" s="283">
        <v>8622</v>
      </c>
      <c r="M1133" s="282">
        <v>7497</v>
      </c>
      <c r="N1133" s="284">
        <v>8247</v>
      </c>
      <c r="O1133" s="283">
        <v>9663</v>
      </c>
      <c r="P1133" s="282">
        <v>7247</v>
      </c>
      <c r="Q1133" s="284">
        <v>9663</v>
      </c>
    </row>
    <row r="1134" spans="1:17" ht="15" thickBot="1">
      <c r="A1134">
        <v>1412000098</v>
      </c>
      <c r="B1134" t="s">
        <v>160</v>
      </c>
      <c r="E1134" s="178" t="s">
        <v>44</v>
      </c>
      <c r="F1134" s="285">
        <v>5137</v>
      </c>
      <c r="G1134" s="285">
        <v>4913</v>
      </c>
      <c r="H1134" s="285">
        <v>5430</v>
      </c>
      <c r="I1134" s="285">
        <v>8821</v>
      </c>
      <c r="J1134" s="285">
        <v>7636</v>
      </c>
      <c r="K1134" s="285">
        <v>7287</v>
      </c>
      <c r="L1134" s="286">
        <v>8970.5</v>
      </c>
      <c r="M1134" s="285">
        <v>7837</v>
      </c>
      <c r="N1134" s="287">
        <v>8612.5</v>
      </c>
      <c r="O1134" s="286">
        <v>9952</v>
      </c>
      <c r="P1134" s="285">
        <v>7442.5</v>
      </c>
      <c r="Q1134" s="287">
        <v>10003</v>
      </c>
    </row>
    <row r="1135" spans="1:17" ht="15" thickBot="1">
      <c r="A1135">
        <v>1412000098</v>
      </c>
      <c r="B1135" t="s">
        <v>160</v>
      </c>
      <c r="F1135" s="288"/>
      <c r="G1135" s="288"/>
      <c r="H1135" s="288"/>
      <c r="I1135" s="288"/>
      <c r="J1135" s="288"/>
      <c r="K1135" s="288"/>
      <c r="L1135" s="288"/>
      <c r="M1135" s="288"/>
      <c r="N1135" s="288"/>
      <c r="O1135" s="288"/>
      <c r="P1135" s="288"/>
      <c r="Q1135" s="288"/>
    </row>
    <row r="1136" spans="1:17">
      <c r="A1136">
        <v>1412000098</v>
      </c>
      <c r="B1136" t="s">
        <v>160</v>
      </c>
      <c r="E1136" s="220" t="s">
        <v>29</v>
      </c>
      <c r="F1136" s="289"/>
      <c r="G1136" s="289"/>
      <c r="H1136" s="289"/>
      <c r="I1136" s="289"/>
      <c r="J1136" s="289"/>
      <c r="K1136" s="289"/>
      <c r="L1136" s="289"/>
      <c r="M1136" s="289"/>
      <c r="N1136" s="290"/>
      <c r="O1136" s="289"/>
      <c r="P1136" s="289"/>
      <c r="Q1136" s="278"/>
    </row>
    <row r="1137" spans="1:17">
      <c r="A1137">
        <v>1412000098</v>
      </c>
      <c r="B1137" t="s">
        <v>160</v>
      </c>
      <c r="E1137" s="176" t="s">
        <v>25</v>
      </c>
      <c r="F1137" s="279">
        <v>72</v>
      </c>
      <c r="G1137" s="279">
        <v>76</v>
      </c>
      <c r="H1137" s="279">
        <v>84</v>
      </c>
      <c r="I1137" s="279">
        <v>92</v>
      </c>
      <c r="J1137" s="279">
        <v>72</v>
      </c>
      <c r="K1137" s="279">
        <v>76</v>
      </c>
      <c r="L1137" s="279">
        <v>82</v>
      </c>
      <c r="M1137" s="279">
        <v>80</v>
      </c>
      <c r="N1137" s="280">
        <v>86</v>
      </c>
      <c r="O1137" s="281">
        <v>68</v>
      </c>
      <c r="P1137" s="279">
        <v>46</v>
      </c>
      <c r="Q1137" s="280">
        <v>80</v>
      </c>
    </row>
    <row r="1138" spans="1:17">
      <c r="A1138">
        <v>1412000098</v>
      </c>
      <c r="B1138" t="s">
        <v>160</v>
      </c>
      <c r="E1138" s="312" t="s">
        <v>106</v>
      </c>
      <c r="F1138" s="306">
        <v>147</v>
      </c>
      <c r="G1138" s="306">
        <v>245</v>
      </c>
      <c r="H1138" s="306">
        <v>234</v>
      </c>
      <c r="I1138" s="306">
        <v>467</v>
      </c>
      <c r="J1138" s="306">
        <v>352</v>
      </c>
      <c r="K1138" s="306">
        <v>38</v>
      </c>
      <c r="L1138" s="306">
        <v>46</v>
      </c>
      <c r="M1138" s="306">
        <v>40</v>
      </c>
      <c r="N1138" s="307">
        <v>42</v>
      </c>
      <c r="O1138" s="308">
        <v>40</v>
      </c>
      <c r="P1138" s="306">
        <v>419</v>
      </c>
      <c r="Q1138" s="307">
        <v>40</v>
      </c>
    </row>
    <row r="1139" spans="1:17">
      <c r="A1139">
        <v>1412000098</v>
      </c>
      <c r="B1139" t="s">
        <v>160</v>
      </c>
      <c r="E1139" s="314" t="s">
        <v>158</v>
      </c>
      <c r="F1139" s="309">
        <v>107</v>
      </c>
      <c r="G1139" s="309">
        <v>207</v>
      </c>
      <c r="H1139" s="309">
        <v>192</v>
      </c>
      <c r="I1139" s="309">
        <v>421</v>
      </c>
      <c r="J1139" s="309">
        <v>312</v>
      </c>
      <c r="K1139" s="309">
        <v>0</v>
      </c>
      <c r="L1139" s="309">
        <v>0</v>
      </c>
      <c r="M1139" s="309">
        <v>0</v>
      </c>
      <c r="N1139" s="310">
        <v>0</v>
      </c>
      <c r="O1139" s="311">
        <v>0</v>
      </c>
      <c r="P1139" s="309">
        <v>389</v>
      </c>
      <c r="Q1139" s="310">
        <v>0</v>
      </c>
    </row>
    <row r="1140" spans="1:17">
      <c r="A1140">
        <v>1412000098</v>
      </c>
      <c r="B1140" t="s">
        <v>160</v>
      </c>
      <c r="E1140" s="177" t="s">
        <v>26</v>
      </c>
      <c r="F1140" s="282">
        <v>254</v>
      </c>
      <c r="G1140" s="282">
        <v>452</v>
      </c>
      <c r="H1140" s="282">
        <v>426</v>
      </c>
      <c r="I1140" s="282">
        <v>888</v>
      </c>
      <c r="J1140" s="282">
        <v>664</v>
      </c>
      <c r="K1140" s="282">
        <v>38</v>
      </c>
      <c r="L1140" s="283">
        <v>46</v>
      </c>
      <c r="M1140" s="282">
        <v>40</v>
      </c>
      <c r="N1140" s="284">
        <v>42</v>
      </c>
      <c r="O1140" s="283">
        <v>40</v>
      </c>
      <c r="P1140" s="282">
        <v>808</v>
      </c>
      <c r="Q1140" s="284">
        <v>40</v>
      </c>
    </row>
    <row r="1141" spans="1:17" ht="15" thickBot="1">
      <c r="A1141">
        <v>1412000098</v>
      </c>
      <c r="B1141" t="s">
        <v>160</v>
      </c>
      <c r="E1141" s="178" t="s">
        <v>45</v>
      </c>
      <c r="F1141" s="285">
        <v>326</v>
      </c>
      <c r="G1141" s="285">
        <v>528</v>
      </c>
      <c r="H1141" s="285">
        <v>510</v>
      </c>
      <c r="I1141" s="285">
        <v>980</v>
      </c>
      <c r="J1141" s="285">
        <v>736</v>
      </c>
      <c r="K1141" s="285">
        <v>114</v>
      </c>
      <c r="L1141" s="286">
        <v>128</v>
      </c>
      <c r="M1141" s="285">
        <v>120</v>
      </c>
      <c r="N1141" s="287">
        <v>128</v>
      </c>
      <c r="O1141" s="286">
        <v>108</v>
      </c>
      <c r="P1141" s="285">
        <v>854</v>
      </c>
      <c r="Q1141" s="287">
        <v>120</v>
      </c>
    </row>
    <row r="1142" spans="1:17">
      <c r="A1142">
        <v>1412000099</v>
      </c>
      <c r="B1142" t="s">
        <v>167</v>
      </c>
      <c r="E1142" s="220" t="s">
        <v>40</v>
      </c>
      <c r="F1142" s="201"/>
      <c r="G1142" s="201"/>
      <c r="H1142" s="201"/>
      <c r="I1142" s="201"/>
      <c r="J1142" s="201"/>
      <c r="K1142" s="201"/>
      <c r="L1142" s="201"/>
      <c r="M1142" s="201"/>
      <c r="N1142" s="202"/>
      <c r="O1142" s="201"/>
      <c r="P1142" s="201"/>
      <c r="Q1142" s="202"/>
    </row>
    <row r="1143" spans="1:17">
      <c r="A1143">
        <v>1412000099</v>
      </c>
      <c r="B1143" t="s">
        <v>167</v>
      </c>
      <c r="E1143" s="176" t="s">
        <v>25</v>
      </c>
      <c r="F1143" s="267">
        <v>1</v>
      </c>
      <c r="G1143" s="267">
        <v>1</v>
      </c>
      <c r="H1143" s="267">
        <v>1</v>
      </c>
      <c r="I1143" s="267">
        <v>1</v>
      </c>
      <c r="J1143" s="267">
        <v>1</v>
      </c>
      <c r="K1143" s="267">
        <v>1</v>
      </c>
      <c r="L1143" s="267">
        <v>1</v>
      </c>
      <c r="M1143" s="267">
        <v>1</v>
      </c>
      <c r="N1143" s="268">
        <v>1</v>
      </c>
      <c r="O1143" s="269">
        <v>1</v>
      </c>
      <c r="P1143" s="267">
        <v>1</v>
      </c>
      <c r="Q1143" s="268">
        <v>1</v>
      </c>
    </row>
    <row r="1144" spans="1:17">
      <c r="A1144">
        <v>1412000099</v>
      </c>
      <c r="B1144" t="s">
        <v>167</v>
      </c>
      <c r="E1144" s="312" t="s">
        <v>106</v>
      </c>
      <c r="F1144" s="300">
        <v>15</v>
      </c>
      <c r="G1144" s="300">
        <v>15</v>
      </c>
      <c r="H1144" s="300">
        <v>15</v>
      </c>
      <c r="I1144" s="300">
        <v>15</v>
      </c>
      <c r="J1144" s="300">
        <v>15</v>
      </c>
      <c r="K1144" s="300">
        <v>15</v>
      </c>
      <c r="L1144" s="300">
        <v>15</v>
      </c>
      <c r="M1144" s="300">
        <v>15</v>
      </c>
      <c r="N1144" s="301">
        <v>15</v>
      </c>
      <c r="O1144" s="302">
        <v>15</v>
      </c>
      <c r="P1144" s="300">
        <v>15</v>
      </c>
      <c r="Q1144" s="301">
        <v>15</v>
      </c>
    </row>
    <row r="1145" spans="1:17">
      <c r="A1145">
        <v>1412000099</v>
      </c>
      <c r="B1145" t="s">
        <v>167</v>
      </c>
      <c r="E1145" s="314" t="s">
        <v>158</v>
      </c>
      <c r="F1145" s="303"/>
      <c r="G1145" s="303"/>
      <c r="H1145" s="303"/>
      <c r="I1145" s="303"/>
      <c r="J1145" s="303"/>
      <c r="K1145" s="303"/>
      <c r="L1145" s="303"/>
      <c r="M1145" s="303"/>
      <c r="N1145" s="304"/>
      <c r="O1145" s="305"/>
      <c r="P1145" s="303"/>
      <c r="Q1145" s="304"/>
    </row>
    <row r="1146" spans="1:17">
      <c r="A1146">
        <v>1412000099</v>
      </c>
      <c r="B1146" t="s">
        <v>167</v>
      </c>
      <c r="E1146" s="177" t="s">
        <v>26</v>
      </c>
      <c r="F1146" s="270">
        <v>15</v>
      </c>
      <c r="G1146" s="270">
        <v>15</v>
      </c>
      <c r="H1146" s="270">
        <v>15</v>
      </c>
      <c r="I1146" s="270">
        <v>15</v>
      </c>
      <c r="J1146" s="270">
        <v>15</v>
      </c>
      <c r="K1146" s="270">
        <v>15</v>
      </c>
      <c r="L1146" s="271">
        <v>15</v>
      </c>
      <c r="M1146" s="270">
        <v>15</v>
      </c>
      <c r="N1146" s="272">
        <v>15</v>
      </c>
      <c r="O1146" s="271">
        <v>15</v>
      </c>
      <c r="P1146" s="270">
        <v>15</v>
      </c>
      <c r="Q1146" s="272">
        <v>15</v>
      </c>
    </row>
    <row r="1147" spans="1:17" ht="15" thickBot="1">
      <c r="A1147">
        <v>1412000099</v>
      </c>
      <c r="B1147" t="s">
        <v>167</v>
      </c>
      <c r="E1147" s="178" t="s">
        <v>27</v>
      </c>
      <c r="F1147" s="273">
        <v>16</v>
      </c>
      <c r="G1147" s="273">
        <v>16</v>
      </c>
      <c r="H1147" s="273">
        <v>16</v>
      </c>
      <c r="I1147" s="273">
        <v>16</v>
      </c>
      <c r="J1147" s="273">
        <v>16</v>
      </c>
      <c r="K1147" s="273">
        <v>16</v>
      </c>
      <c r="L1147" s="274">
        <v>16</v>
      </c>
      <c r="M1147" s="273">
        <v>16</v>
      </c>
      <c r="N1147" s="275">
        <v>16</v>
      </c>
      <c r="O1147" s="274">
        <v>16</v>
      </c>
      <c r="P1147" s="273">
        <v>16</v>
      </c>
      <c r="Q1147" s="275">
        <v>16</v>
      </c>
    </row>
    <row r="1148" spans="1:17" ht="15" thickBot="1">
      <c r="A1148">
        <v>1412000099</v>
      </c>
      <c r="B1148" t="s">
        <v>167</v>
      </c>
      <c r="F1148" s="276"/>
      <c r="G1148" s="276"/>
      <c r="H1148" s="276"/>
      <c r="I1148" s="276"/>
      <c r="J1148" s="276"/>
      <c r="K1148" s="276"/>
      <c r="L1148" s="276"/>
      <c r="M1148" s="276"/>
      <c r="N1148" s="276"/>
      <c r="O1148" s="276"/>
      <c r="P1148" s="276"/>
      <c r="Q1148" s="276"/>
    </row>
    <row r="1149" spans="1:17">
      <c r="A1149">
        <v>1412000099</v>
      </c>
      <c r="B1149" t="s">
        <v>167</v>
      </c>
      <c r="E1149" s="220" t="s">
        <v>28</v>
      </c>
      <c r="F1149" s="277"/>
      <c r="G1149" s="277"/>
      <c r="H1149" s="277"/>
      <c r="I1149" s="277"/>
      <c r="J1149" s="277"/>
      <c r="K1149" s="277"/>
      <c r="L1149" s="277"/>
      <c r="M1149" s="277"/>
      <c r="N1149" s="278"/>
      <c r="O1149" s="277"/>
      <c r="P1149" s="277"/>
      <c r="Q1149" s="278"/>
    </row>
    <row r="1150" spans="1:17">
      <c r="A1150">
        <v>1412000099</v>
      </c>
      <c r="B1150" t="s">
        <v>167</v>
      </c>
      <c r="E1150" s="176" t="s">
        <v>25</v>
      </c>
      <c r="F1150" s="279">
        <v>170</v>
      </c>
      <c r="G1150" s="279">
        <v>161.5</v>
      </c>
      <c r="H1150" s="279">
        <v>178.5</v>
      </c>
      <c r="I1150" s="279">
        <v>195.5</v>
      </c>
      <c r="J1150" s="279">
        <v>161.5</v>
      </c>
      <c r="K1150" s="279">
        <v>127.5</v>
      </c>
      <c r="L1150" s="279">
        <v>195.5</v>
      </c>
      <c r="M1150" s="279">
        <v>170</v>
      </c>
      <c r="N1150" s="280">
        <v>187</v>
      </c>
      <c r="O1150" s="281">
        <v>144.5</v>
      </c>
      <c r="P1150" s="279">
        <v>110.5</v>
      </c>
      <c r="Q1150" s="280">
        <v>170</v>
      </c>
    </row>
    <row r="1151" spans="1:17">
      <c r="A1151">
        <v>1412000099</v>
      </c>
      <c r="B1151" t="s">
        <v>167</v>
      </c>
      <c r="E1151" s="312" t="s">
        <v>106</v>
      </c>
      <c r="F1151" s="306">
        <v>2448</v>
      </c>
      <c r="G1151" s="306">
        <v>2320.5</v>
      </c>
      <c r="H1151" s="306">
        <v>2575.5</v>
      </c>
      <c r="I1151" s="306">
        <v>2830.5</v>
      </c>
      <c r="J1151" s="306">
        <v>2448</v>
      </c>
      <c r="K1151" s="306">
        <v>2320.5</v>
      </c>
      <c r="L1151" s="306">
        <v>2830.5</v>
      </c>
      <c r="M1151" s="306">
        <v>2448</v>
      </c>
      <c r="N1151" s="307">
        <v>2703</v>
      </c>
      <c r="O1151" s="308">
        <v>2448</v>
      </c>
      <c r="P1151" s="306">
        <v>1810.5</v>
      </c>
      <c r="Q1151" s="307">
        <v>2448</v>
      </c>
    </row>
    <row r="1152" spans="1:17">
      <c r="A1152">
        <v>1412000099</v>
      </c>
      <c r="B1152" t="s">
        <v>167</v>
      </c>
      <c r="E1152" s="314" t="s">
        <v>158</v>
      </c>
      <c r="F1152" s="309"/>
      <c r="G1152" s="309"/>
      <c r="H1152" s="309"/>
      <c r="I1152" s="309"/>
      <c r="J1152" s="309"/>
      <c r="K1152" s="309"/>
      <c r="L1152" s="309"/>
      <c r="M1152" s="309"/>
      <c r="N1152" s="310"/>
      <c r="O1152" s="311"/>
      <c r="P1152" s="309"/>
      <c r="Q1152" s="310"/>
    </row>
    <row r="1153" spans="1:17">
      <c r="A1153">
        <v>1412000099</v>
      </c>
      <c r="B1153" t="s">
        <v>167</v>
      </c>
      <c r="E1153" s="177" t="s">
        <v>26</v>
      </c>
      <c r="F1153" s="282">
        <v>2448</v>
      </c>
      <c r="G1153" s="282">
        <v>2320.5</v>
      </c>
      <c r="H1153" s="282">
        <v>2575.5</v>
      </c>
      <c r="I1153" s="282">
        <v>2830.5</v>
      </c>
      <c r="J1153" s="282">
        <v>2448</v>
      </c>
      <c r="K1153" s="282">
        <v>2320.5</v>
      </c>
      <c r="L1153" s="283">
        <v>2830.5</v>
      </c>
      <c r="M1153" s="282">
        <v>2448</v>
      </c>
      <c r="N1153" s="284">
        <v>2703</v>
      </c>
      <c r="O1153" s="283">
        <v>2448</v>
      </c>
      <c r="P1153" s="282">
        <v>1810.5</v>
      </c>
      <c r="Q1153" s="284">
        <v>2448</v>
      </c>
    </row>
    <row r="1154" spans="1:17" ht="15" thickBot="1">
      <c r="A1154">
        <v>1412000099</v>
      </c>
      <c r="B1154" t="s">
        <v>167</v>
      </c>
      <c r="E1154" s="178" t="s">
        <v>44</v>
      </c>
      <c r="F1154" s="285">
        <v>2618</v>
      </c>
      <c r="G1154" s="285">
        <v>2482</v>
      </c>
      <c r="H1154" s="285">
        <v>2754</v>
      </c>
      <c r="I1154" s="285">
        <v>3026</v>
      </c>
      <c r="J1154" s="285">
        <v>2609.5</v>
      </c>
      <c r="K1154" s="285">
        <v>2448</v>
      </c>
      <c r="L1154" s="286">
        <v>3026</v>
      </c>
      <c r="M1154" s="285">
        <v>2618</v>
      </c>
      <c r="N1154" s="287">
        <v>2890</v>
      </c>
      <c r="O1154" s="286">
        <v>2592.5</v>
      </c>
      <c r="P1154" s="285">
        <v>1921</v>
      </c>
      <c r="Q1154" s="287">
        <v>2618</v>
      </c>
    </row>
    <row r="1155" spans="1:17" ht="15" thickBot="1">
      <c r="A1155">
        <v>1412000099</v>
      </c>
      <c r="B1155" t="s">
        <v>167</v>
      </c>
      <c r="F1155" s="288"/>
      <c r="G1155" s="288"/>
      <c r="H1155" s="288"/>
      <c r="I1155" s="288"/>
      <c r="J1155" s="288"/>
      <c r="K1155" s="288"/>
      <c r="L1155" s="288"/>
      <c r="M1155" s="288"/>
      <c r="N1155" s="288"/>
      <c r="O1155" s="288"/>
      <c r="P1155" s="288"/>
      <c r="Q1155" s="288"/>
    </row>
    <row r="1156" spans="1:17">
      <c r="A1156">
        <v>1412000099</v>
      </c>
      <c r="B1156" t="s">
        <v>167</v>
      </c>
      <c r="E1156" s="220" t="s">
        <v>29</v>
      </c>
      <c r="F1156" s="289"/>
      <c r="G1156" s="289"/>
      <c r="H1156" s="289"/>
      <c r="I1156" s="289"/>
      <c r="J1156" s="289"/>
      <c r="K1156" s="289"/>
      <c r="L1156" s="289"/>
      <c r="M1156" s="289"/>
      <c r="N1156" s="290"/>
      <c r="O1156" s="289"/>
      <c r="P1156" s="289"/>
      <c r="Q1156" s="278"/>
    </row>
    <row r="1157" spans="1:17">
      <c r="A1157">
        <v>1412000099</v>
      </c>
      <c r="B1157" t="s">
        <v>167</v>
      </c>
      <c r="E1157" s="176" t="s">
        <v>25</v>
      </c>
      <c r="F1157" s="279">
        <v>40</v>
      </c>
      <c r="G1157" s="279">
        <v>38</v>
      </c>
      <c r="H1157" s="279">
        <v>42</v>
      </c>
      <c r="I1157" s="279">
        <v>46</v>
      </c>
      <c r="J1157" s="279">
        <v>38</v>
      </c>
      <c r="K1157" s="279">
        <v>30</v>
      </c>
      <c r="L1157" s="279">
        <v>46</v>
      </c>
      <c r="M1157" s="279">
        <v>40</v>
      </c>
      <c r="N1157" s="280">
        <v>44</v>
      </c>
      <c r="O1157" s="281">
        <v>34</v>
      </c>
      <c r="P1157" s="279">
        <v>26</v>
      </c>
      <c r="Q1157" s="280">
        <v>40</v>
      </c>
    </row>
    <row r="1158" spans="1:17">
      <c r="A1158">
        <v>1412000099</v>
      </c>
      <c r="B1158" t="s">
        <v>167</v>
      </c>
      <c r="E1158" s="312" t="s">
        <v>106</v>
      </c>
      <c r="F1158" s="306">
        <v>124</v>
      </c>
      <c r="G1158" s="306">
        <v>122</v>
      </c>
      <c r="H1158" s="306">
        <v>114</v>
      </c>
      <c r="I1158" s="306">
        <v>118</v>
      </c>
      <c r="J1158" s="306">
        <v>112</v>
      </c>
      <c r="K1158" s="306">
        <v>110</v>
      </c>
      <c r="L1158" s="306">
        <v>118</v>
      </c>
      <c r="M1158" s="306">
        <v>112</v>
      </c>
      <c r="N1158" s="307">
        <v>116</v>
      </c>
      <c r="O1158" s="308">
        <v>112</v>
      </c>
      <c r="P1158" s="306">
        <v>102</v>
      </c>
      <c r="Q1158" s="307">
        <v>112</v>
      </c>
    </row>
    <row r="1159" spans="1:17">
      <c r="A1159">
        <v>1412000099</v>
      </c>
      <c r="B1159" t="s">
        <v>167</v>
      </c>
      <c r="E1159" s="314" t="s">
        <v>158</v>
      </c>
      <c r="F1159" s="309"/>
      <c r="G1159" s="309"/>
      <c r="H1159" s="309"/>
      <c r="I1159" s="309"/>
      <c r="J1159" s="309"/>
      <c r="K1159" s="309"/>
      <c r="L1159" s="309"/>
      <c r="M1159" s="309"/>
      <c r="N1159" s="310"/>
      <c r="O1159" s="311"/>
      <c r="P1159" s="309"/>
      <c r="Q1159" s="310"/>
    </row>
    <row r="1160" spans="1:17">
      <c r="A1160">
        <v>1412000099</v>
      </c>
      <c r="B1160" t="s">
        <v>167</v>
      </c>
      <c r="E1160" s="177" t="s">
        <v>26</v>
      </c>
      <c r="F1160" s="282">
        <v>124</v>
      </c>
      <c r="G1160" s="282">
        <v>122</v>
      </c>
      <c r="H1160" s="282">
        <v>114</v>
      </c>
      <c r="I1160" s="282">
        <v>118</v>
      </c>
      <c r="J1160" s="282">
        <v>112</v>
      </c>
      <c r="K1160" s="282">
        <v>110</v>
      </c>
      <c r="L1160" s="283">
        <v>118</v>
      </c>
      <c r="M1160" s="282">
        <v>112</v>
      </c>
      <c r="N1160" s="284">
        <v>116</v>
      </c>
      <c r="O1160" s="283">
        <v>112</v>
      </c>
      <c r="P1160" s="282">
        <v>102</v>
      </c>
      <c r="Q1160" s="284">
        <v>112</v>
      </c>
    </row>
    <row r="1161" spans="1:17" ht="15" thickBot="1">
      <c r="A1161">
        <v>1412000099</v>
      </c>
      <c r="B1161" t="s">
        <v>167</v>
      </c>
      <c r="E1161" s="178" t="s">
        <v>45</v>
      </c>
      <c r="F1161" s="285">
        <v>164</v>
      </c>
      <c r="G1161" s="285">
        <v>160</v>
      </c>
      <c r="H1161" s="285">
        <v>156</v>
      </c>
      <c r="I1161" s="285">
        <v>164</v>
      </c>
      <c r="J1161" s="285">
        <v>150</v>
      </c>
      <c r="K1161" s="285">
        <v>140</v>
      </c>
      <c r="L1161" s="286">
        <v>164</v>
      </c>
      <c r="M1161" s="285">
        <v>152</v>
      </c>
      <c r="N1161" s="287">
        <v>160</v>
      </c>
      <c r="O1161" s="286">
        <v>146</v>
      </c>
      <c r="P1161" s="285">
        <v>128</v>
      </c>
      <c r="Q1161" s="287">
        <v>152</v>
      </c>
    </row>
    <row r="1162" spans="1:17">
      <c r="A1162" t="s">
        <v>172</v>
      </c>
      <c r="B1162" t="e">
        <v>#N/A</v>
      </c>
      <c r="E1162" s="220" t="s">
        <v>40</v>
      </c>
      <c r="F1162" s="201"/>
      <c r="G1162" s="201"/>
      <c r="H1162" s="201"/>
      <c r="I1162" s="201"/>
      <c r="J1162" s="201"/>
      <c r="K1162" s="201"/>
      <c r="L1162" s="201"/>
      <c r="M1162" s="201"/>
      <c r="N1162" s="202"/>
      <c r="O1162" s="201"/>
      <c r="P1162" s="201"/>
      <c r="Q1162" s="202"/>
    </row>
    <row r="1163" spans="1:17">
      <c r="A1163" t="s">
        <v>172</v>
      </c>
      <c r="B1163" t="e">
        <v>#N/A</v>
      </c>
      <c r="E1163" s="176" t="s">
        <v>25</v>
      </c>
      <c r="F1163" s="267">
        <v>1</v>
      </c>
      <c r="G1163" s="267">
        <v>1</v>
      </c>
      <c r="H1163" s="267">
        <v>1</v>
      </c>
      <c r="I1163" s="267">
        <v>1</v>
      </c>
      <c r="J1163" s="267">
        <v>1</v>
      </c>
      <c r="K1163" s="267">
        <v>1</v>
      </c>
      <c r="L1163" s="267">
        <v>1</v>
      </c>
      <c r="M1163" s="267">
        <v>1</v>
      </c>
      <c r="N1163" s="268">
        <v>1</v>
      </c>
      <c r="O1163" s="269">
        <v>1</v>
      </c>
      <c r="P1163" s="267">
        <v>1</v>
      </c>
      <c r="Q1163" s="268">
        <v>1</v>
      </c>
    </row>
    <row r="1164" spans="1:17">
      <c r="A1164" t="s">
        <v>172</v>
      </c>
      <c r="B1164" t="e">
        <v>#N/A</v>
      </c>
      <c r="E1164" s="312" t="s">
        <v>106</v>
      </c>
      <c r="F1164" s="300">
        <v>7</v>
      </c>
      <c r="G1164" s="300">
        <v>7</v>
      </c>
      <c r="H1164" s="300">
        <v>7</v>
      </c>
      <c r="I1164" s="300">
        <v>7</v>
      </c>
      <c r="J1164" s="300">
        <v>7</v>
      </c>
      <c r="K1164" s="300">
        <v>8</v>
      </c>
      <c r="L1164" s="300">
        <v>8</v>
      </c>
      <c r="M1164" s="300">
        <v>8</v>
      </c>
      <c r="N1164" s="301">
        <v>8</v>
      </c>
      <c r="O1164" s="302">
        <v>8</v>
      </c>
      <c r="P1164" s="300">
        <v>8</v>
      </c>
      <c r="Q1164" s="301">
        <v>8</v>
      </c>
    </row>
    <row r="1165" spans="1:17">
      <c r="A1165" t="s">
        <v>172</v>
      </c>
      <c r="B1165" t="e">
        <v>#N/A</v>
      </c>
      <c r="E1165" s="314" t="s">
        <v>158</v>
      </c>
      <c r="F1165" s="303"/>
      <c r="G1165" s="303"/>
      <c r="H1165" s="303"/>
      <c r="I1165" s="303"/>
      <c r="J1165" s="303"/>
      <c r="K1165" s="303"/>
      <c r="L1165" s="303"/>
      <c r="M1165" s="303"/>
      <c r="N1165" s="304"/>
      <c r="O1165" s="305"/>
      <c r="P1165" s="303"/>
      <c r="Q1165" s="304"/>
    </row>
    <row r="1166" spans="1:17">
      <c r="A1166" t="s">
        <v>172</v>
      </c>
      <c r="B1166" t="e">
        <v>#N/A</v>
      </c>
      <c r="E1166" s="177" t="s">
        <v>26</v>
      </c>
      <c r="F1166" s="270">
        <v>7</v>
      </c>
      <c r="G1166" s="270">
        <v>7</v>
      </c>
      <c r="H1166" s="270">
        <v>7</v>
      </c>
      <c r="I1166" s="270">
        <v>7</v>
      </c>
      <c r="J1166" s="270">
        <v>7</v>
      </c>
      <c r="K1166" s="270">
        <v>8</v>
      </c>
      <c r="L1166" s="271">
        <v>8</v>
      </c>
      <c r="M1166" s="270">
        <v>8</v>
      </c>
      <c r="N1166" s="272">
        <v>8</v>
      </c>
      <c r="O1166" s="271">
        <v>8</v>
      </c>
      <c r="P1166" s="270">
        <v>8</v>
      </c>
      <c r="Q1166" s="272">
        <v>8</v>
      </c>
    </row>
    <row r="1167" spans="1:17" ht="15" thickBot="1">
      <c r="A1167" t="s">
        <v>172</v>
      </c>
      <c r="B1167" t="e">
        <v>#N/A</v>
      </c>
      <c r="E1167" s="178" t="s">
        <v>27</v>
      </c>
      <c r="F1167" s="273">
        <v>8</v>
      </c>
      <c r="G1167" s="273">
        <v>8</v>
      </c>
      <c r="H1167" s="273">
        <v>8</v>
      </c>
      <c r="I1167" s="273">
        <v>8</v>
      </c>
      <c r="J1167" s="273">
        <v>8</v>
      </c>
      <c r="K1167" s="273">
        <v>9</v>
      </c>
      <c r="L1167" s="274">
        <v>9</v>
      </c>
      <c r="M1167" s="273">
        <v>9</v>
      </c>
      <c r="N1167" s="275">
        <v>9</v>
      </c>
      <c r="O1167" s="274">
        <v>9</v>
      </c>
      <c r="P1167" s="273">
        <v>9</v>
      </c>
      <c r="Q1167" s="275">
        <v>9</v>
      </c>
    </row>
    <row r="1168" spans="1:17" ht="15" thickBot="1">
      <c r="A1168" t="s">
        <v>172</v>
      </c>
      <c r="B1168" t="e">
        <v>#N/A</v>
      </c>
      <c r="F1168" s="276"/>
      <c r="G1168" s="276"/>
      <c r="H1168" s="276"/>
      <c r="I1168" s="276"/>
      <c r="J1168" s="276"/>
      <c r="K1168" s="276"/>
      <c r="L1168" s="276"/>
      <c r="M1168" s="276"/>
      <c r="N1168" s="276"/>
      <c r="O1168" s="276"/>
      <c r="P1168" s="276"/>
      <c r="Q1168" s="276"/>
    </row>
    <row r="1169" spans="1:17">
      <c r="A1169" t="s">
        <v>172</v>
      </c>
      <c r="B1169" t="e">
        <v>#N/A</v>
      </c>
      <c r="E1169" s="220" t="s">
        <v>28</v>
      </c>
      <c r="F1169" s="277"/>
      <c r="G1169" s="277"/>
      <c r="H1169" s="277"/>
      <c r="I1169" s="277"/>
      <c r="J1169" s="277"/>
      <c r="K1169" s="277"/>
      <c r="L1169" s="277"/>
      <c r="M1169" s="277"/>
      <c r="N1169" s="278"/>
      <c r="O1169" s="277"/>
      <c r="P1169" s="277"/>
      <c r="Q1169" s="278"/>
    </row>
    <row r="1170" spans="1:17">
      <c r="A1170" t="s">
        <v>172</v>
      </c>
      <c r="B1170" t="e">
        <v>#N/A</v>
      </c>
      <c r="E1170" s="176" t="s">
        <v>25</v>
      </c>
      <c r="F1170" s="279">
        <v>170</v>
      </c>
      <c r="G1170" s="279">
        <v>161.5</v>
      </c>
      <c r="H1170" s="279">
        <v>178.5</v>
      </c>
      <c r="I1170" s="279">
        <v>195.5</v>
      </c>
      <c r="J1170" s="279">
        <v>170</v>
      </c>
      <c r="K1170" s="279">
        <v>161.5</v>
      </c>
      <c r="L1170" s="279">
        <v>195.5</v>
      </c>
      <c r="M1170" s="279">
        <v>170</v>
      </c>
      <c r="N1170" s="280">
        <v>187</v>
      </c>
      <c r="O1170" s="281">
        <v>127.5</v>
      </c>
      <c r="P1170" s="279">
        <v>127.5</v>
      </c>
      <c r="Q1170" s="280">
        <v>170</v>
      </c>
    </row>
    <row r="1171" spans="1:17">
      <c r="A1171" t="s">
        <v>172</v>
      </c>
      <c r="B1171" t="e">
        <v>#N/A</v>
      </c>
      <c r="E1171" s="312" t="s">
        <v>106</v>
      </c>
      <c r="F1171" s="306">
        <v>1156</v>
      </c>
      <c r="G1171" s="306">
        <v>1096.5</v>
      </c>
      <c r="H1171" s="306">
        <v>1215.5</v>
      </c>
      <c r="I1171" s="306">
        <v>1334.5</v>
      </c>
      <c r="J1171" s="306">
        <v>1156</v>
      </c>
      <c r="K1171" s="306">
        <v>1258</v>
      </c>
      <c r="L1171" s="306">
        <v>1530</v>
      </c>
      <c r="M1171" s="306">
        <v>1326</v>
      </c>
      <c r="N1171" s="307">
        <v>1462</v>
      </c>
      <c r="O1171" s="308">
        <v>1326</v>
      </c>
      <c r="P1171" s="306">
        <v>986</v>
      </c>
      <c r="Q1171" s="307">
        <v>1326</v>
      </c>
    </row>
    <row r="1172" spans="1:17">
      <c r="A1172" t="s">
        <v>172</v>
      </c>
      <c r="B1172" t="e">
        <v>#N/A</v>
      </c>
      <c r="E1172" s="314" t="s">
        <v>158</v>
      </c>
      <c r="F1172" s="309"/>
      <c r="G1172" s="309"/>
      <c r="H1172" s="309"/>
      <c r="I1172" s="309"/>
      <c r="J1172" s="309"/>
      <c r="K1172" s="309"/>
      <c r="L1172" s="309"/>
      <c r="M1172" s="309"/>
      <c r="N1172" s="310"/>
      <c r="O1172" s="311"/>
      <c r="P1172" s="309"/>
      <c r="Q1172" s="310"/>
    </row>
    <row r="1173" spans="1:17">
      <c r="A1173" t="s">
        <v>172</v>
      </c>
      <c r="B1173" t="e">
        <v>#N/A</v>
      </c>
      <c r="E1173" s="177" t="s">
        <v>26</v>
      </c>
      <c r="F1173" s="282">
        <v>1156</v>
      </c>
      <c r="G1173" s="282">
        <v>1096.5</v>
      </c>
      <c r="H1173" s="282">
        <v>1215.5</v>
      </c>
      <c r="I1173" s="282">
        <v>1334.5</v>
      </c>
      <c r="J1173" s="282">
        <v>1156</v>
      </c>
      <c r="K1173" s="282">
        <v>1258</v>
      </c>
      <c r="L1173" s="283">
        <v>1530</v>
      </c>
      <c r="M1173" s="282">
        <v>1326</v>
      </c>
      <c r="N1173" s="284">
        <v>1462</v>
      </c>
      <c r="O1173" s="283">
        <v>1326</v>
      </c>
      <c r="P1173" s="282">
        <v>986</v>
      </c>
      <c r="Q1173" s="284">
        <v>1326</v>
      </c>
    </row>
    <row r="1174" spans="1:17" ht="15" thickBot="1">
      <c r="A1174" t="s">
        <v>172</v>
      </c>
      <c r="B1174" t="e">
        <v>#N/A</v>
      </c>
      <c r="E1174" s="178" t="s">
        <v>44</v>
      </c>
      <c r="F1174" s="285">
        <v>1326</v>
      </c>
      <c r="G1174" s="285">
        <v>1258</v>
      </c>
      <c r="H1174" s="285">
        <v>1394</v>
      </c>
      <c r="I1174" s="285">
        <v>1530</v>
      </c>
      <c r="J1174" s="285">
        <v>1326</v>
      </c>
      <c r="K1174" s="285">
        <v>1419.5</v>
      </c>
      <c r="L1174" s="286">
        <v>1725.5</v>
      </c>
      <c r="M1174" s="285">
        <v>1496</v>
      </c>
      <c r="N1174" s="287">
        <v>1649</v>
      </c>
      <c r="O1174" s="286">
        <v>1453.5</v>
      </c>
      <c r="P1174" s="285">
        <v>1113.5</v>
      </c>
      <c r="Q1174" s="287">
        <v>1496</v>
      </c>
    </row>
    <row r="1175" spans="1:17" ht="15" thickBot="1">
      <c r="A1175" t="s">
        <v>172</v>
      </c>
      <c r="B1175" t="e">
        <v>#N/A</v>
      </c>
      <c r="F1175" s="288"/>
      <c r="G1175" s="288"/>
      <c r="H1175" s="288"/>
      <c r="I1175" s="288"/>
      <c r="J1175" s="288"/>
      <c r="K1175" s="288"/>
      <c r="L1175" s="288"/>
      <c r="M1175" s="288"/>
      <c r="N1175" s="288"/>
      <c r="O1175" s="288"/>
      <c r="P1175" s="288"/>
      <c r="Q1175" s="288"/>
    </row>
    <row r="1176" spans="1:17">
      <c r="A1176" t="s">
        <v>172</v>
      </c>
      <c r="B1176" t="e">
        <v>#N/A</v>
      </c>
      <c r="E1176" s="220" t="s">
        <v>29</v>
      </c>
      <c r="F1176" s="289"/>
      <c r="G1176" s="289"/>
      <c r="H1176" s="289"/>
      <c r="I1176" s="289"/>
      <c r="J1176" s="289"/>
      <c r="K1176" s="289"/>
      <c r="L1176" s="289"/>
      <c r="M1176" s="289"/>
      <c r="N1176" s="290"/>
      <c r="O1176" s="289"/>
      <c r="P1176" s="289"/>
      <c r="Q1176" s="278"/>
    </row>
    <row r="1177" spans="1:17">
      <c r="A1177" t="s">
        <v>172</v>
      </c>
      <c r="B1177" t="e">
        <v>#N/A</v>
      </c>
      <c r="E1177" s="176" t="s">
        <v>25</v>
      </c>
      <c r="F1177" s="279">
        <v>40</v>
      </c>
      <c r="G1177" s="279">
        <v>38</v>
      </c>
      <c r="H1177" s="279">
        <v>42</v>
      </c>
      <c r="I1177" s="279">
        <v>46</v>
      </c>
      <c r="J1177" s="279">
        <v>40</v>
      </c>
      <c r="K1177" s="279">
        <v>38</v>
      </c>
      <c r="L1177" s="279">
        <v>46</v>
      </c>
      <c r="M1177" s="279">
        <v>40</v>
      </c>
      <c r="N1177" s="280">
        <v>44</v>
      </c>
      <c r="O1177" s="281">
        <v>30</v>
      </c>
      <c r="P1177" s="279">
        <v>30</v>
      </c>
      <c r="Q1177" s="280">
        <v>40</v>
      </c>
    </row>
    <row r="1178" spans="1:17">
      <c r="A1178" t="s">
        <v>172</v>
      </c>
      <c r="B1178" t="e">
        <v>#N/A</v>
      </c>
      <c r="E1178" s="312" t="s">
        <v>106</v>
      </c>
      <c r="F1178" s="306">
        <v>100</v>
      </c>
      <c r="G1178" s="306">
        <v>100</v>
      </c>
      <c r="H1178" s="306">
        <v>100</v>
      </c>
      <c r="I1178" s="306">
        <v>100</v>
      </c>
      <c r="J1178" s="306">
        <v>100</v>
      </c>
      <c r="K1178" s="306">
        <v>100</v>
      </c>
      <c r="L1178" s="306">
        <v>100</v>
      </c>
      <c r="M1178" s="306">
        <v>100</v>
      </c>
      <c r="N1178" s="307">
        <v>100</v>
      </c>
      <c r="O1178" s="308">
        <v>100</v>
      </c>
      <c r="P1178" s="306">
        <v>100</v>
      </c>
      <c r="Q1178" s="307">
        <v>100</v>
      </c>
    </row>
    <row r="1179" spans="1:17">
      <c r="A1179" t="s">
        <v>172</v>
      </c>
      <c r="B1179" t="e">
        <v>#N/A</v>
      </c>
      <c r="E1179" s="314" t="s">
        <v>158</v>
      </c>
      <c r="F1179" s="309"/>
      <c r="G1179" s="309"/>
      <c r="H1179" s="309"/>
      <c r="I1179" s="309"/>
      <c r="J1179" s="309"/>
      <c r="K1179" s="309"/>
      <c r="L1179" s="309"/>
      <c r="M1179" s="309"/>
      <c r="N1179" s="310"/>
      <c r="O1179" s="311"/>
      <c r="P1179" s="309"/>
      <c r="Q1179" s="310"/>
    </row>
    <row r="1180" spans="1:17">
      <c r="A1180" t="s">
        <v>172</v>
      </c>
      <c r="B1180" t="e">
        <v>#N/A</v>
      </c>
      <c r="E1180" s="177" t="s">
        <v>26</v>
      </c>
      <c r="F1180" s="282">
        <v>100</v>
      </c>
      <c r="G1180" s="282">
        <v>100</v>
      </c>
      <c r="H1180" s="282">
        <v>100</v>
      </c>
      <c r="I1180" s="282">
        <v>100</v>
      </c>
      <c r="J1180" s="282">
        <v>100</v>
      </c>
      <c r="K1180" s="282">
        <v>100</v>
      </c>
      <c r="L1180" s="283">
        <v>100</v>
      </c>
      <c r="M1180" s="282">
        <v>100</v>
      </c>
      <c r="N1180" s="284">
        <v>100</v>
      </c>
      <c r="O1180" s="283">
        <v>100</v>
      </c>
      <c r="P1180" s="282">
        <v>100</v>
      </c>
      <c r="Q1180" s="284">
        <v>100</v>
      </c>
    </row>
    <row r="1181" spans="1:17" ht="15" thickBot="1">
      <c r="A1181" t="s">
        <v>172</v>
      </c>
      <c r="B1181" t="e">
        <v>#N/A</v>
      </c>
      <c r="E1181" s="178" t="s">
        <v>45</v>
      </c>
      <c r="F1181" s="285">
        <v>140</v>
      </c>
      <c r="G1181" s="285">
        <v>138</v>
      </c>
      <c r="H1181" s="285">
        <v>142</v>
      </c>
      <c r="I1181" s="285">
        <v>146</v>
      </c>
      <c r="J1181" s="285">
        <v>140</v>
      </c>
      <c r="K1181" s="285">
        <v>138</v>
      </c>
      <c r="L1181" s="286">
        <v>146</v>
      </c>
      <c r="M1181" s="285">
        <v>140</v>
      </c>
      <c r="N1181" s="287">
        <v>144</v>
      </c>
      <c r="O1181" s="286">
        <v>130</v>
      </c>
      <c r="P1181" s="285">
        <v>130</v>
      </c>
      <c r="Q1181" s="287">
        <v>140</v>
      </c>
    </row>
    <row r="1182" spans="1:17">
      <c r="A1182" t="s">
        <v>173</v>
      </c>
      <c r="B1182" t="e">
        <v>#N/A</v>
      </c>
      <c r="E1182" s="220" t="s">
        <v>40</v>
      </c>
      <c r="F1182" s="201"/>
      <c r="G1182" s="201"/>
      <c r="H1182" s="201"/>
      <c r="I1182" s="201"/>
      <c r="J1182" s="201"/>
      <c r="K1182" s="201"/>
      <c r="L1182" s="201"/>
      <c r="M1182" s="201"/>
      <c r="N1182" s="202"/>
      <c r="O1182" s="201"/>
      <c r="P1182" s="201"/>
      <c r="Q1182" s="202"/>
    </row>
    <row r="1183" spans="1:17">
      <c r="A1183" t="s">
        <v>173</v>
      </c>
      <c r="B1183" t="e">
        <v>#N/A</v>
      </c>
      <c r="E1183" s="176" t="s">
        <v>25</v>
      </c>
      <c r="F1183" s="267"/>
      <c r="G1183" s="267"/>
      <c r="H1183" s="267"/>
      <c r="I1183" s="267"/>
      <c r="J1183" s="267"/>
      <c r="K1183" s="267"/>
      <c r="L1183" s="267"/>
      <c r="M1183" s="267"/>
      <c r="N1183" s="268"/>
      <c r="O1183" s="269"/>
      <c r="P1183" s="267"/>
      <c r="Q1183" s="268"/>
    </row>
    <row r="1184" spans="1:17">
      <c r="A1184" t="s">
        <v>173</v>
      </c>
      <c r="B1184" t="e">
        <v>#N/A</v>
      </c>
      <c r="E1184" s="312" t="s">
        <v>106</v>
      </c>
      <c r="F1184" s="300">
        <v>9</v>
      </c>
      <c r="G1184" s="300">
        <v>9</v>
      </c>
      <c r="H1184" s="300">
        <v>9</v>
      </c>
      <c r="I1184" s="300">
        <v>9</v>
      </c>
      <c r="J1184" s="300">
        <v>9</v>
      </c>
      <c r="K1184" s="300">
        <v>9</v>
      </c>
      <c r="L1184" s="300">
        <v>9</v>
      </c>
      <c r="M1184" s="300">
        <v>9</v>
      </c>
      <c r="N1184" s="301">
        <v>9</v>
      </c>
      <c r="O1184" s="302">
        <v>9</v>
      </c>
      <c r="P1184" s="300">
        <v>9</v>
      </c>
      <c r="Q1184" s="301">
        <v>9</v>
      </c>
    </row>
    <row r="1185" spans="1:17">
      <c r="A1185" t="s">
        <v>173</v>
      </c>
      <c r="B1185" t="e">
        <v>#N/A</v>
      </c>
      <c r="E1185" s="314" t="s">
        <v>158</v>
      </c>
      <c r="F1185" s="303"/>
      <c r="G1185" s="303"/>
      <c r="H1185" s="303"/>
      <c r="I1185" s="303"/>
      <c r="J1185" s="303"/>
      <c r="K1185" s="303"/>
      <c r="L1185" s="303"/>
      <c r="M1185" s="303"/>
      <c r="N1185" s="304"/>
      <c r="O1185" s="305"/>
      <c r="P1185" s="303"/>
      <c r="Q1185" s="304"/>
    </row>
    <row r="1186" spans="1:17">
      <c r="A1186" t="s">
        <v>173</v>
      </c>
      <c r="B1186" t="e">
        <v>#N/A</v>
      </c>
      <c r="E1186" s="177" t="s">
        <v>26</v>
      </c>
      <c r="F1186" s="270">
        <v>9</v>
      </c>
      <c r="G1186" s="270">
        <v>9</v>
      </c>
      <c r="H1186" s="270">
        <v>9</v>
      </c>
      <c r="I1186" s="270">
        <v>9</v>
      </c>
      <c r="J1186" s="270">
        <v>9</v>
      </c>
      <c r="K1186" s="270">
        <v>9</v>
      </c>
      <c r="L1186" s="271">
        <v>9</v>
      </c>
      <c r="M1186" s="270">
        <v>9</v>
      </c>
      <c r="N1186" s="272">
        <v>9</v>
      </c>
      <c r="O1186" s="271">
        <v>9</v>
      </c>
      <c r="P1186" s="270">
        <v>9</v>
      </c>
      <c r="Q1186" s="272">
        <v>9</v>
      </c>
    </row>
    <row r="1187" spans="1:17" ht="15" thickBot="1">
      <c r="A1187" t="s">
        <v>173</v>
      </c>
      <c r="B1187" t="e">
        <v>#N/A</v>
      </c>
      <c r="E1187" s="178" t="s">
        <v>27</v>
      </c>
      <c r="F1187" s="273">
        <v>9</v>
      </c>
      <c r="G1187" s="273">
        <v>9</v>
      </c>
      <c r="H1187" s="273">
        <v>9</v>
      </c>
      <c r="I1187" s="273">
        <v>9</v>
      </c>
      <c r="J1187" s="273">
        <v>9</v>
      </c>
      <c r="K1187" s="273">
        <v>9</v>
      </c>
      <c r="L1187" s="274">
        <v>9</v>
      </c>
      <c r="M1187" s="273">
        <v>9</v>
      </c>
      <c r="N1187" s="275">
        <v>9</v>
      </c>
      <c r="O1187" s="274">
        <v>9</v>
      </c>
      <c r="P1187" s="273">
        <v>9</v>
      </c>
      <c r="Q1187" s="275">
        <v>9</v>
      </c>
    </row>
    <row r="1188" spans="1:17" ht="15" thickBot="1">
      <c r="A1188" t="s">
        <v>173</v>
      </c>
      <c r="B1188" t="e">
        <v>#N/A</v>
      </c>
      <c r="F1188" s="276"/>
      <c r="G1188" s="276"/>
      <c r="H1188" s="276"/>
      <c r="I1188" s="276"/>
      <c r="J1188" s="276"/>
      <c r="K1188" s="276"/>
      <c r="L1188" s="276"/>
      <c r="M1188" s="276"/>
      <c r="N1188" s="276"/>
      <c r="O1188" s="276"/>
      <c r="P1188" s="276"/>
      <c r="Q1188" s="276"/>
    </row>
    <row r="1189" spans="1:17">
      <c r="A1189" t="s">
        <v>173</v>
      </c>
      <c r="B1189" t="e">
        <v>#N/A</v>
      </c>
      <c r="E1189" s="220" t="s">
        <v>28</v>
      </c>
      <c r="F1189" s="277"/>
      <c r="G1189" s="277"/>
      <c r="H1189" s="277"/>
      <c r="I1189" s="277"/>
      <c r="J1189" s="277"/>
      <c r="K1189" s="277"/>
      <c r="L1189" s="277"/>
      <c r="M1189" s="277"/>
      <c r="N1189" s="278"/>
      <c r="O1189" s="277"/>
      <c r="P1189" s="277"/>
      <c r="Q1189" s="278"/>
    </row>
    <row r="1190" spans="1:17">
      <c r="A1190" t="s">
        <v>173</v>
      </c>
      <c r="B1190" t="e">
        <v>#N/A</v>
      </c>
      <c r="E1190" s="176" t="s">
        <v>25</v>
      </c>
      <c r="F1190" s="279"/>
      <c r="G1190" s="279"/>
      <c r="H1190" s="279"/>
      <c r="I1190" s="279"/>
      <c r="J1190" s="279"/>
      <c r="K1190" s="279"/>
      <c r="L1190" s="279"/>
      <c r="M1190" s="279"/>
      <c r="N1190" s="280"/>
      <c r="O1190" s="281"/>
      <c r="P1190" s="279"/>
      <c r="Q1190" s="280"/>
    </row>
    <row r="1191" spans="1:17">
      <c r="A1191" t="s">
        <v>173</v>
      </c>
      <c r="B1191" t="e">
        <v>#N/A</v>
      </c>
      <c r="E1191" s="312" t="s">
        <v>106</v>
      </c>
      <c r="F1191" s="306">
        <v>1487.5</v>
      </c>
      <c r="G1191" s="306">
        <v>1411</v>
      </c>
      <c r="H1191" s="306">
        <v>1564</v>
      </c>
      <c r="I1191" s="306">
        <v>1717</v>
      </c>
      <c r="J1191" s="306">
        <v>1487.5</v>
      </c>
      <c r="K1191" s="306">
        <v>1411</v>
      </c>
      <c r="L1191" s="306">
        <v>1717</v>
      </c>
      <c r="M1191" s="306">
        <v>1487.5</v>
      </c>
      <c r="N1191" s="307">
        <v>1640.5</v>
      </c>
      <c r="O1191" s="308">
        <v>1487.5</v>
      </c>
      <c r="P1191" s="306">
        <v>1105</v>
      </c>
      <c r="Q1191" s="307">
        <v>1487.5</v>
      </c>
    </row>
    <row r="1192" spans="1:17">
      <c r="A1192" t="s">
        <v>173</v>
      </c>
      <c r="B1192" t="e">
        <v>#N/A</v>
      </c>
      <c r="E1192" s="314" t="s">
        <v>158</v>
      </c>
      <c r="F1192" s="309"/>
      <c r="G1192" s="309"/>
      <c r="H1192" s="309"/>
      <c r="I1192" s="309"/>
      <c r="J1192" s="309"/>
      <c r="K1192" s="309"/>
      <c r="L1192" s="309"/>
      <c r="M1192" s="309"/>
      <c r="N1192" s="310"/>
      <c r="O1192" s="311"/>
      <c r="P1192" s="309"/>
      <c r="Q1192" s="310"/>
    </row>
    <row r="1193" spans="1:17">
      <c r="A1193" t="s">
        <v>173</v>
      </c>
      <c r="B1193" t="e">
        <v>#N/A</v>
      </c>
      <c r="E1193" s="177" t="s">
        <v>26</v>
      </c>
      <c r="F1193" s="282">
        <v>1487.5</v>
      </c>
      <c r="G1193" s="282">
        <v>1411</v>
      </c>
      <c r="H1193" s="282">
        <v>1564</v>
      </c>
      <c r="I1193" s="282">
        <v>1717</v>
      </c>
      <c r="J1193" s="282">
        <v>1487.5</v>
      </c>
      <c r="K1193" s="282">
        <v>1411</v>
      </c>
      <c r="L1193" s="283">
        <v>1717</v>
      </c>
      <c r="M1193" s="282">
        <v>1487.5</v>
      </c>
      <c r="N1193" s="284">
        <v>1640.5</v>
      </c>
      <c r="O1193" s="283">
        <v>1487.5</v>
      </c>
      <c r="P1193" s="282">
        <v>1105</v>
      </c>
      <c r="Q1193" s="284">
        <v>1487.5</v>
      </c>
    </row>
    <row r="1194" spans="1:17" ht="15" thickBot="1">
      <c r="A1194" t="s">
        <v>173</v>
      </c>
      <c r="B1194" t="e">
        <v>#N/A</v>
      </c>
      <c r="E1194" s="178" t="s">
        <v>44</v>
      </c>
      <c r="F1194" s="285">
        <v>1487.5</v>
      </c>
      <c r="G1194" s="285">
        <v>1411</v>
      </c>
      <c r="H1194" s="285">
        <v>1564</v>
      </c>
      <c r="I1194" s="285">
        <v>1717</v>
      </c>
      <c r="J1194" s="285">
        <v>1487.5</v>
      </c>
      <c r="K1194" s="285">
        <v>1411</v>
      </c>
      <c r="L1194" s="286">
        <v>1717</v>
      </c>
      <c r="M1194" s="285">
        <v>1487.5</v>
      </c>
      <c r="N1194" s="287">
        <v>1640.5</v>
      </c>
      <c r="O1194" s="286">
        <v>1487.5</v>
      </c>
      <c r="P1194" s="285">
        <v>1105</v>
      </c>
      <c r="Q1194" s="287">
        <v>1487.5</v>
      </c>
    </row>
    <row r="1195" spans="1:17" ht="15" thickBot="1">
      <c r="A1195" t="s">
        <v>173</v>
      </c>
      <c r="B1195" t="e">
        <v>#N/A</v>
      </c>
      <c r="F1195" s="288"/>
      <c r="G1195" s="288"/>
      <c r="H1195" s="288"/>
      <c r="I1195" s="288"/>
      <c r="J1195" s="288"/>
      <c r="K1195" s="288"/>
      <c r="L1195" s="288"/>
      <c r="M1195" s="288"/>
      <c r="N1195" s="288"/>
      <c r="O1195" s="288"/>
      <c r="P1195" s="288"/>
      <c r="Q1195" s="288"/>
    </row>
    <row r="1196" spans="1:17">
      <c r="A1196" t="s">
        <v>173</v>
      </c>
      <c r="B1196" t="e">
        <v>#N/A</v>
      </c>
      <c r="E1196" s="220" t="s">
        <v>29</v>
      </c>
      <c r="F1196" s="289"/>
      <c r="G1196" s="289"/>
      <c r="H1196" s="289"/>
      <c r="I1196" s="289"/>
      <c r="J1196" s="289"/>
      <c r="K1196" s="289"/>
      <c r="L1196" s="289"/>
      <c r="M1196" s="289"/>
      <c r="N1196" s="290"/>
      <c r="O1196" s="289"/>
      <c r="P1196" s="289"/>
      <c r="Q1196" s="278"/>
    </row>
    <row r="1197" spans="1:17">
      <c r="A1197" t="s">
        <v>173</v>
      </c>
      <c r="B1197" t="e">
        <v>#N/A</v>
      </c>
      <c r="E1197" s="176" t="s">
        <v>25</v>
      </c>
      <c r="F1197" s="279"/>
      <c r="G1197" s="279"/>
      <c r="H1197" s="279"/>
      <c r="I1197" s="279"/>
      <c r="J1197" s="279"/>
      <c r="K1197" s="279"/>
      <c r="L1197" s="279"/>
      <c r="M1197" s="279"/>
      <c r="N1197" s="280"/>
      <c r="O1197" s="281"/>
      <c r="P1197" s="279"/>
      <c r="Q1197" s="280"/>
    </row>
    <row r="1198" spans="1:17">
      <c r="A1198" t="s">
        <v>173</v>
      </c>
      <c r="B1198" t="e">
        <v>#N/A</v>
      </c>
      <c r="E1198" s="312" t="s">
        <v>106</v>
      </c>
      <c r="F1198" s="306">
        <v>40</v>
      </c>
      <c r="G1198" s="306">
        <v>50</v>
      </c>
      <c r="H1198" s="306">
        <v>42</v>
      </c>
      <c r="I1198" s="306">
        <v>52</v>
      </c>
      <c r="J1198" s="306">
        <v>46</v>
      </c>
      <c r="K1198" s="306">
        <v>38</v>
      </c>
      <c r="L1198" s="306">
        <v>58</v>
      </c>
      <c r="M1198" s="306">
        <v>40</v>
      </c>
      <c r="N1198" s="307">
        <v>50</v>
      </c>
      <c r="O1198" s="308">
        <v>40</v>
      </c>
      <c r="P1198" s="306">
        <v>30</v>
      </c>
      <c r="Q1198" s="307">
        <v>40</v>
      </c>
    </row>
    <row r="1199" spans="1:17">
      <c r="A1199" t="s">
        <v>173</v>
      </c>
      <c r="B1199" t="e">
        <v>#N/A</v>
      </c>
      <c r="E1199" s="314" t="s">
        <v>158</v>
      </c>
      <c r="F1199" s="309"/>
      <c r="G1199" s="309"/>
      <c r="H1199" s="309"/>
      <c r="I1199" s="309"/>
      <c r="J1199" s="309"/>
      <c r="K1199" s="309"/>
      <c r="L1199" s="309"/>
      <c r="M1199" s="309"/>
      <c r="N1199" s="310"/>
      <c r="O1199" s="311"/>
      <c r="P1199" s="309"/>
      <c r="Q1199" s="310"/>
    </row>
    <row r="1200" spans="1:17">
      <c r="A1200" t="s">
        <v>173</v>
      </c>
      <c r="B1200" t="e">
        <v>#N/A</v>
      </c>
      <c r="E1200" s="177" t="s">
        <v>26</v>
      </c>
      <c r="F1200" s="282">
        <v>40</v>
      </c>
      <c r="G1200" s="282">
        <v>50</v>
      </c>
      <c r="H1200" s="282">
        <v>42</v>
      </c>
      <c r="I1200" s="282">
        <v>52</v>
      </c>
      <c r="J1200" s="282">
        <v>46</v>
      </c>
      <c r="K1200" s="282">
        <v>38</v>
      </c>
      <c r="L1200" s="283">
        <v>58</v>
      </c>
      <c r="M1200" s="282">
        <v>40</v>
      </c>
      <c r="N1200" s="284">
        <v>50</v>
      </c>
      <c r="O1200" s="283">
        <v>40</v>
      </c>
      <c r="P1200" s="282">
        <v>30</v>
      </c>
      <c r="Q1200" s="284">
        <v>40</v>
      </c>
    </row>
    <row r="1201" spans="1:17" ht="15" thickBot="1">
      <c r="A1201" t="s">
        <v>173</v>
      </c>
      <c r="B1201" t="e">
        <v>#N/A</v>
      </c>
      <c r="E1201" s="178" t="s">
        <v>45</v>
      </c>
      <c r="F1201" s="285">
        <v>40</v>
      </c>
      <c r="G1201" s="285">
        <v>50</v>
      </c>
      <c r="H1201" s="285">
        <v>42</v>
      </c>
      <c r="I1201" s="285">
        <v>52</v>
      </c>
      <c r="J1201" s="285">
        <v>46</v>
      </c>
      <c r="K1201" s="285">
        <v>38</v>
      </c>
      <c r="L1201" s="286">
        <v>58</v>
      </c>
      <c r="M1201" s="285">
        <v>40</v>
      </c>
      <c r="N1201" s="287">
        <v>50</v>
      </c>
      <c r="O1201" s="286">
        <v>40</v>
      </c>
      <c r="P1201" s="285">
        <v>30</v>
      </c>
      <c r="Q1201" s="287">
        <v>40</v>
      </c>
    </row>
    <row r="1202" spans="1:17">
      <c r="A1202" t="s">
        <v>174</v>
      </c>
      <c r="B1202" t="e">
        <v>#N/A</v>
      </c>
      <c r="E1202" s="220" t="s">
        <v>40</v>
      </c>
      <c r="F1202" s="201"/>
      <c r="G1202" s="201"/>
      <c r="H1202" s="201"/>
      <c r="I1202" s="201"/>
      <c r="J1202" s="201"/>
      <c r="K1202" s="201"/>
      <c r="L1202" s="201"/>
      <c r="M1202" s="201"/>
      <c r="N1202" s="202"/>
      <c r="O1202" s="201"/>
      <c r="P1202" s="201"/>
      <c r="Q1202" s="202"/>
    </row>
    <row r="1203" spans="1:17">
      <c r="A1203" t="s">
        <v>174</v>
      </c>
      <c r="B1203" t="e">
        <v>#N/A</v>
      </c>
      <c r="E1203" s="176" t="s">
        <v>25</v>
      </c>
      <c r="F1203" s="267">
        <v>1</v>
      </c>
      <c r="G1203" s="267">
        <v>1</v>
      </c>
      <c r="H1203" s="267">
        <v>1</v>
      </c>
      <c r="I1203" s="267">
        <v>1</v>
      </c>
      <c r="J1203" s="267">
        <v>1</v>
      </c>
      <c r="K1203" s="267">
        <v>1</v>
      </c>
      <c r="L1203" s="267">
        <v>1</v>
      </c>
      <c r="M1203" s="267">
        <v>1</v>
      </c>
      <c r="N1203" s="268">
        <v>1</v>
      </c>
      <c r="O1203" s="269">
        <v>1</v>
      </c>
      <c r="P1203" s="267">
        <v>1</v>
      </c>
      <c r="Q1203" s="268">
        <v>1</v>
      </c>
    </row>
    <row r="1204" spans="1:17">
      <c r="A1204" t="s">
        <v>174</v>
      </c>
      <c r="B1204" t="e">
        <v>#N/A</v>
      </c>
      <c r="E1204" s="312" t="s">
        <v>106</v>
      </c>
      <c r="F1204" s="300">
        <v>7</v>
      </c>
      <c r="G1204" s="300">
        <v>7</v>
      </c>
      <c r="H1204" s="300">
        <v>7</v>
      </c>
      <c r="I1204" s="300">
        <v>7</v>
      </c>
      <c r="J1204" s="300">
        <v>7</v>
      </c>
      <c r="K1204" s="300">
        <v>7</v>
      </c>
      <c r="L1204" s="300">
        <v>7</v>
      </c>
      <c r="M1204" s="300">
        <v>7</v>
      </c>
      <c r="N1204" s="301">
        <v>7</v>
      </c>
      <c r="O1204" s="302">
        <v>7</v>
      </c>
      <c r="P1204" s="300">
        <v>7</v>
      </c>
      <c r="Q1204" s="301">
        <v>7</v>
      </c>
    </row>
    <row r="1205" spans="1:17">
      <c r="A1205" t="s">
        <v>174</v>
      </c>
      <c r="B1205" t="e">
        <v>#N/A</v>
      </c>
      <c r="E1205" s="314" t="s">
        <v>158</v>
      </c>
      <c r="F1205" s="303"/>
      <c r="G1205" s="303"/>
      <c r="H1205" s="303"/>
      <c r="I1205" s="303"/>
      <c r="J1205" s="303"/>
      <c r="K1205" s="303"/>
      <c r="L1205" s="303"/>
      <c r="M1205" s="303"/>
      <c r="N1205" s="304"/>
      <c r="O1205" s="305"/>
      <c r="P1205" s="303"/>
      <c r="Q1205" s="304"/>
    </row>
    <row r="1206" spans="1:17">
      <c r="A1206" t="s">
        <v>174</v>
      </c>
      <c r="B1206" t="e">
        <v>#N/A</v>
      </c>
      <c r="E1206" s="177" t="s">
        <v>26</v>
      </c>
      <c r="F1206" s="270">
        <v>7</v>
      </c>
      <c r="G1206" s="270">
        <v>7</v>
      </c>
      <c r="H1206" s="270">
        <v>7</v>
      </c>
      <c r="I1206" s="270">
        <v>7</v>
      </c>
      <c r="J1206" s="270">
        <v>7</v>
      </c>
      <c r="K1206" s="270">
        <v>7</v>
      </c>
      <c r="L1206" s="271">
        <v>7</v>
      </c>
      <c r="M1206" s="270">
        <v>7</v>
      </c>
      <c r="N1206" s="272">
        <v>7</v>
      </c>
      <c r="O1206" s="271">
        <v>7</v>
      </c>
      <c r="P1206" s="270">
        <v>7</v>
      </c>
      <c r="Q1206" s="272">
        <v>7</v>
      </c>
    </row>
    <row r="1207" spans="1:17" ht="15" thickBot="1">
      <c r="A1207" t="s">
        <v>174</v>
      </c>
      <c r="B1207" t="e">
        <v>#N/A</v>
      </c>
      <c r="E1207" s="178" t="s">
        <v>27</v>
      </c>
      <c r="F1207" s="273">
        <v>8</v>
      </c>
      <c r="G1207" s="273">
        <v>8</v>
      </c>
      <c r="H1207" s="273">
        <v>8</v>
      </c>
      <c r="I1207" s="273">
        <v>8</v>
      </c>
      <c r="J1207" s="273">
        <v>8</v>
      </c>
      <c r="K1207" s="273">
        <v>8</v>
      </c>
      <c r="L1207" s="274">
        <v>8</v>
      </c>
      <c r="M1207" s="273">
        <v>8</v>
      </c>
      <c r="N1207" s="275">
        <v>8</v>
      </c>
      <c r="O1207" s="274">
        <v>8</v>
      </c>
      <c r="P1207" s="273">
        <v>8</v>
      </c>
      <c r="Q1207" s="275">
        <v>8</v>
      </c>
    </row>
    <row r="1208" spans="1:17" ht="15" thickBot="1">
      <c r="A1208" t="s">
        <v>174</v>
      </c>
      <c r="B1208" t="e">
        <v>#N/A</v>
      </c>
      <c r="F1208" s="276"/>
      <c r="G1208" s="276"/>
      <c r="H1208" s="276"/>
      <c r="I1208" s="276"/>
      <c r="J1208" s="276"/>
      <c r="K1208" s="276"/>
      <c r="L1208" s="276"/>
      <c r="M1208" s="276"/>
      <c r="N1208" s="276"/>
      <c r="O1208" s="276"/>
      <c r="P1208" s="276"/>
      <c r="Q1208" s="276"/>
    </row>
    <row r="1209" spans="1:17">
      <c r="A1209" t="s">
        <v>174</v>
      </c>
      <c r="B1209" t="e">
        <v>#N/A</v>
      </c>
      <c r="E1209" s="220" t="s">
        <v>28</v>
      </c>
      <c r="F1209" s="277"/>
      <c r="G1209" s="277"/>
      <c r="H1209" s="277"/>
      <c r="I1209" s="277"/>
      <c r="J1209" s="277"/>
      <c r="K1209" s="277"/>
      <c r="L1209" s="277"/>
      <c r="M1209" s="277"/>
      <c r="N1209" s="278"/>
      <c r="O1209" s="277"/>
      <c r="P1209" s="277"/>
      <c r="Q1209" s="278"/>
    </row>
    <row r="1210" spans="1:17">
      <c r="A1210" t="s">
        <v>174</v>
      </c>
      <c r="B1210" t="e">
        <v>#N/A</v>
      </c>
      <c r="E1210" s="176" t="s">
        <v>25</v>
      </c>
      <c r="F1210" s="279">
        <v>170</v>
      </c>
      <c r="G1210" s="279">
        <v>161.5</v>
      </c>
      <c r="H1210" s="279">
        <v>178.5</v>
      </c>
      <c r="I1210" s="279">
        <v>195.5</v>
      </c>
      <c r="J1210" s="279">
        <v>170</v>
      </c>
      <c r="K1210" s="279">
        <v>161.5</v>
      </c>
      <c r="L1210" s="279">
        <v>195.5</v>
      </c>
      <c r="M1210" s="279">
        <v>170</v>
      </c>
      <c r="N1210" s="280">
        <v>187</v>
      </c>
      <c r="O1210" s="281">
        <v>170</v>
      </c>
      <c r="P1210" s="279">
        <v>127.5</v>
      </c>
      <c r="Q1210" s="280">
        <v>170</v>
      </c>
    </row>
    <row r="1211" spans="1:17">
      <c r="A1211" t="s">
        <v>174</v>
      </c>
      <c r="B1211" t="e">
        <v>#N/A</v>
      </c>
      <c r="E1211" s="312" t="s">
        <v>106</v>
      </c>
      <c r="F1211" s="306">
        <v>1190</v>
      </c>
      <c r="G1211" s="306">
        <v>1130.5</v>
      </c>
      <c r="H1211" s="306">
        <v>1249.5</v>
      </c>
      <c r="I1211" s="306">
        <v>1368.5</v>
      </c>
      <c r="J1211" s="306">
        <v>1190</v>
      </c>
      <c r="K1211" s="306">
        <v>1130.5</v>
      </c>
      <c r="L1211" s="306">
        <v>1368.5</v>
      </c>
      <c r="M1211" s="306">
        <v>1190</v>
      </c>
      <c r="N1211" s="307">
        <v>1309</v>
      </c>
      <c r="O1211" s="308">
        <v>1190</v>
      </c>
      <c r="P1211" s="306">
        <v>892.5</v>
      </c>
      <c r="Q1211" s="307">
        <v>1190</v>
      </c>
    </row>
    <row r="1212" spans="1:17">
      <c r="A1212" t="s">
        <v>174</v>
      </c>
      <c r="B1212" t="e">
        <v>#N/A</v>
      </c>
      <c r="E1212" s="314" t="s">
        <v>158</v>
      </c>
      <c r="F1212" s="309"/>
      <c r="G1212" s="309"/>
      <c r="H1212" s="309"/>
      <c r="I1212" s="309"/>
      <c r="J1212" s="309"/>
      <c r="K1212" s="309"/>
      <c r="L1212" s="309"/>
      <c r="M1212" s="309"/>
      <c r="N1212" s="310"/>
      <c r="O1212" s="311"/>
      <c r="P1212" s="309"/>
      <c r="Q1212" s="310"/>
    </row>
    <row r="1213" spans="1:17">
      <c r="A1213" t="s">
        <v>174</v>
      </c>
      <c r="B1213" t="e">
        <v>#N/A</v>
      </c>
      <c r="E1213" s="177" t="s">
        <v>26</v>
      </c>
      <c r="F1213" s="282">
        <v>1190</v>
      </c>
      <c r="G1213" s="282">
        <v>1130.5</v>
      </c>
      <c r="H1213" s="282">
        <v>1249.5</v>
      </c>
      <c r="I1213" s="282">
        <v>1368.5</v>
      </c>
      <c r="J1213" s="282">
        <v>1190</v>
      </c>
      <c r="K1213" s="282">
        <v>1130.5</v>
      </c>
      <c r="L1213" s="283">
        <v>1368.5</v>
      </c>
      <c r="M1213" s="282">
        <v>1190</v>
      </c>
      <c r="N1213" s="284">
        <v>1309</v>
      </c>
      <c r="O1213" s="283">
        <v>1190</v>
      </c>
      <c r="P1213" s="282">
        <v>892.5</v>
      </c>
      <c r="Q1213" s="284">
        <v>1190</v>
      </c>
    </row>
    <row r="1214" spans="1:17" ht="15" thickBot="1">
      <c r="A1214" t="s">
        <v>174</v>
      </c>
      <c r="B1214" t="e">
        <v>#N/A</v>
      </c>
      <c r="E1214" s="178" t="s">
        <v>44</v>
      </c>
      <c r="F1214" s="285">
        <v>1360</v>
      </c>
      <c r="G1214" s="285">
        <v>1292</v>
      </c>
      <c r="H1214" s="285">
        <v>1428</v>
      </c>
      <c r="I1214" s="285">
        <v>1564</v>
      </c>
      <c r="J1214" s="285">
        <v>1360</v>
      </c>
      <c r="K1214" s="285">
        <v>1292</v>
      </c>
      <c r="L1214" s="286">
        <v>1564</v>
      </c>
      <c r="M1214" s="285">
        <v>1360</v>
      </c>
      <c r="N1214" s="287">
        <v>1496</v>
      </c>
      <c r="O1214" s="286">
        <v>1360</v>
      </c>
      <c r="P1214" s="285">
        <v>1020</v>
      </c>
      <c r="Q1214" s="287">
        <v>1360</v>
      </c>
    </row>
    <row r="1215" spans="1:17" ht="15" thickBot="1">
      <c r="A1215" t="s">
        <v>174</v>
      </c>
      <c r="B1215" t="e">
        <v>#N/A</v>
      </c>
      <c r="F1215" s="288"/>
      <c r="G1215" s="288"/>
      <c r="H1215" s="288"/>
      <c r="I1215" s="288"/>
      <c r="J1215" s="288"/>
      <c r="K1215" s="288"/>
      <c r="L1215" s="288"/>
      <c r="M1215" s="288"/>
      <c r="N1215" s="288"/>
      <c r="O1215" s="288"/>
      <c r="P1215" s="288"/>
      <c r="Q1215" s="288"/>
    </row>
    <row r="1216" spans="1:17">
      <c r="A1216" t="s">
        <v>174</v>
      </c>
      <c r="B1216" t="e">
        <v>#N/A</v>
      </c>
      <c r="E1216" s="220" t="s">
        <v>29</v>
      </c>
      <c r="F1216" s="289"/>
      <c r="G1216" s="289"/>
      <c r="H1216" s="289"/>
      <c r="I1216" s="289"/>
      <c r="J1216" s="289"/>
      <c r="K1216" s="289"/>
      <c r="L1216" s="289"/>
      <c r="M1216" s="289"/>
      <c r="N1216" s="290"/>
      <c r="O1216" s="289"/>
      <c r="P1216" s="289"/>
      <c r="Q1216" s="278"/>
    </row>
    <row r="1217" spans="1:17">
      <c r="A1217" t="s">
        <v>174</v>
      </c>
      <c r="B1217" t="e">
        <v>#N/A</v>
      </c>
      <c r="E1217" s="176" t="s">
        <v>25</v>
      </c>
      <c r="F1217" s="279">
        <v>40</v>
      </c>
      <c r="G1217" s="279">
        <v>38</v>
      </c>
      <c r="H1217" s="279">
        <v>42</v>
      </c>
      <c r="I1217" s="279">
        <v>46</v>
      </c>
      <c r="J1217" s="279">
        <v>40</v>
      </c>
      <c r="K1217" s="279">
        <v>38</v>
      </c>
      <c r="L1217" s="279">
        <v>46</v>
      </c>
      <c r="M1217" s="279">
        <v>40</v>
      </c>
      <c r="N1217" s="280">
        <v>44</v>
      </c>
      <c r="O1217" s="281">
        <v>40</v>
      </c>
      <c r="P1217" s="279">
        <v>30</v>
      </c>
      <c r="Q1217" s="280">
        <v>40</v>
      </c>
    </row>
    <row r="1218" spans="1:17">
      <c r="A1218" t="s">
        <v>174</v>
      </c>
      <c r="B1218" t="e">
        <v>#N/A</v>
      </c>
      <c r="E1218" s="312" t="s">
        <v>106</v>
      </c>
      <c r="F1218" s="306">
        <v>180</v>
      </c>
      <c r="G1218" s="306">
        <v>171</v>
      </c>
      <c r="H1218" s="306">
        <v>189</v>
      </c>
      <c r="I1218" s="306">
        <v>207</v>
      </c>
      <c r="J1218" s="306">
        <v>180</v>
      </c>
      <c r="K1218" s="306">
        <v>171</v>
      </c>
      <c r="L1218" s="306">
        <v>207</v>
      </c>
      <c r="M1218" s="306">
        <v>180</v>
      </c>
      <c r="N1218" s="307">
        <v>198</v>
      </c>
      <c r="O1218" s="308">
        <v>180</v>
      </c>
      <c r="P1218" s="306">
        <v>135</v>
      </c>
      <c r="Q1218" s="307">
        <v>180</v>
      </c>
    </row>
    <row r="1219" spans="1:17">
      <c r="A1219" t="s">
        <v>174</v>
      </c>
      <c r="B1219" t="e">
        <v>#N/A</v>
      </c>
      <c r="E1219" s="314" t="s">
        <v>158</v>
      </c>
      <c r="F1219" s="309"/>
      <c r="G1219" s="309"/>
      <c r="H1219" s="309"/>
      <c r="I1219" s="309"/>
      <c r="J1219" s="309"/>
      <c r="K1219" s="309"/>
      <c r="L1219" s="309"/>
      <c r="M1219" s="309"/>
      <c r="N1219" s="310"/>
      <c r="O1219" s="311"/>
      <c r="P1219" s="309"/>
      <c r="Q1219" s="310"/>
    </row>
    <row r="1220" spans="1:17">
      <c r="A1220" t="s">
        <v>174</v>
      </c>
      <c r="B1220" t="e">
        <v>#N/A</v>
      </c>
      <c r="E1220" s="177" t="s">
        <v>26</v>
      </c>
      <c r="F1220" s="282">
        <v>180</v>
      </c>
      <c r="G1220" s="282">
        <v>171</v>
      </c>
      <c r="H1220" s="282">
        <v>189</v>
      </c>
      <c r="I1220" s="282">
        <v>207</v>
      </c>
      <c r="J1220" s="282">
        <v>180</v>
      </c>
      <c r="K1220" s="282">
        <v>171</v>
      </c>
      <c r="L1220" s="283">
        <v>207</v>
      </c>
      <c r="M1220" s="282">
        <v>180</v>
      </c>
      <c r="N1220" s="284">
        <v>198</v>
      </c>
      <c r="O1220" s="283">
        <v>180</v>
      </c>
      <c r="P1220" s="282">
        <v>135</v>
      </c>
      <c r="Q1220" s="284">
        <v>180</v>
      </c>
    </row>
    <row r="1221" spans="1:17" ht="15" thickBot="1">
      <c r="A1221" t="s">
        <v>174</v>
      </c>
      <c r="B1221" t="e">
        <v>#N/A</v>
      </c>
      <c r="E1221" s="178" t="s">
        <v>45</v>
      </c>
      <c r="F1221" s="285">
        <v>220</v>
      </c>
      <c r="G1221" s="285">
        <v>209</v>
      </c>
      <c r="H1221" s="285">
        <v>231</v>
      </c>
      <c r="I1221" s="285">
        <v>253</v>
      </c>
      <c r="J1221" s="285">
        <v>220</v>
      </c>
      <c r="K1221" s="285">
        <v>209</v>
      </c>
      <c r="L1221" s="286">
        <v>253</v>
      </c>
      <c r="M1221" s="285">
        <v>220</v>
      </c>
      <c r="N1221" s="287">
        <v>242</v>
      </c>
      <c r="O1221" s="286">
        <v>220</v>
      </c>
      <c r="P1221" s="285">
        <v>165</v>
      </c>
      <c r="Q1221" s="287">
        <v>220</v>
      </c>
    </row>
  </sheetData>
  <phoneticPr fontId="53"/>
  <conditionalFormatting sqref="F3:Q5">
    <cfRule type="expression" dxfId="182" priority="183" stopIfTrue="1">
      <formula>F3&lt;&gt;ROUNDUP(F3,0)</formula>
    </cfRule>
  </conditionalFormatting>
  <conditionalFormatting sqref="F10:Q12">
    <cfRule type="expression" dxfId="181" priority="182" stopIfTrue="1">
      <formula>F10&lt;&gt;ROUND(F10*4,0)/4</formula>
    </cfRule>
  </conditionalFormatting>
  <conditionalFormatting sqref="F17:Q19">
    <cfRule type="expression" dxfId="180" priority="181" stopIfTrue="1">
      <formula>F17&lt;&gt;ROUND(F17*4,0)/4</formula>
    </cfRule>
  </conditionalFormatting>
  <conditionalFormatting sqref="F23:Q25">
    <cfRule type="expression" dxfId="179" priority="180" stopIfTrue="1">
      <formula>F23&lt;&gt;ROUNDUP(F23,0)</formula>
    </cfRule>
  </conditionalFormatting>
  <conditionalFormatting sqref="F30:Q32">
    <cfRule type="expression" dxfId="178" priority="179" stopIfTrue="1">
      <formula>F30&lt;&gt;ROUND(F30*4,0)/4</formula>
    </cfRule>
  </conditionalFormatting>
  <conditionalFormatting sqref="F37:Q39">
    <cfRule type="expression" dxfId="177" priority="178" stopIfTrue="1">
      <formula>F37&lt;&gt;ROUND(F37*4,0)/4</formula>
    </cfRule>
  </conditionalFormatting>
  <conditionalFormatting sqref="F43:Q45">
    <cfRule type="expression" dxfId="176" priority="177" stopIfTrue="1">
      <formula>F43&lt;&gt;ROUNDUP(F43,0)</formula>
    </cfRule>
  </conditionalFormatting>
  <conditionalFormatting sqref="F50:Q52">
    <cfRule type="expression" dxfId="175" priority="176" stopIfTrue="1">
      <formula>F50&lt;&gt;ROUND(F50*4,0)/4</formula>
    </cfRule>
  </conditionalFormatting>
  <conditionalFormatting sqref="F57:Q59">
    <cfRule type="expression" dxfId="174" priority="175" stopIfTrue="1">
      <formula>F57&lt;&gt;ROUND(F57*4,0)/4</formula>
    </cfRule>
  </conditionalFormatting>
  <conditionalFormatting sqref="F63:Q65">
    <cfRule type="expression" dxfId="173" priority="174" stopIfTrue="1">
      <formula>F63&lt;&gt;ROUNDUP(F63,0)</formula>
    </cfRule>
  </conditionalFormatting>
  <conditionalFormatting sqref="F70:Q72">
    <cfRule type="expression" dxfId="172" priority="173" stopIfTrue="1">
      <formula>F70&lt;&gt;ROUND(F70*4,0)/4</formula>
    </cfRule>
  </conditionalFormatting>
  <conditionalFormatting sqref="F77:Q79">
    <cfRule type="expression" dxfId="171" priority="172" stopIfTrue="1">
      <formula>F77&lt;&gt;ROUND(F77*4,0)/4</formula>
    </cfRule>
  </conditionalFormatting>
  <conditionalFormatting sqref="F83:Q85">
    <cfRule type="expression" dxfId="170" priority="171" stopIfTrue="1">
      <formula>F83&lt;&gt;ROUNDUP(F83,0)</formula>
    </cfRule>
  </conditionalFormatting>
  <conditionalFormatting sqref="F90:Q92">
    <cfRule type="expression" dxfId="169" priority="170" stopIfTrue="1">
      <formula>F90&lt;&gt;ROUND(F90*4,0)/4</formula>
    </cfRule>
  </conditionalFormatting>
  <conditionalFormatting sqref="F97:Q99">
    <cfRule type="expression" dxfId="168" priority="169" stopIfTrue="1">
      <formula>F97&lt;&gt;ROUND(F97*4,0)/4</formula>
    </cfRule>
  </conditionalFormatting>
  <conditionalFormatting sqref="F103:Q105">
    <cfRule type="expression" dxfId="167" priority="168" stopIfTrue="1">
      <formula>F103&lt;&gt;ROUNDUP(F103,0)</formula>
    </cfRule>
  </conditionalFormatting>
  <conditionalFormatting sqref="F110:Q112">
    <cfRule type="expression" dxfId="166" priority="167" stopIfTrue="1">
      <formula>F110&lt;&gt;ROUND(F110*4,0)/4</formula>
    </cfRule>
  </conditionalFormatting>
  <conditionalFormatting sqref="F117:Q119">
    <cfRule type="expression" dxfId="165" priority="166" stopIfTrue="1">
      <formula>F117&lt;&gt;ROUND(F117*4,0)/4</formula>
    </cfRule>
  </conditionalFormatting>
  <conditionalFormatting sqref="F123:Q125">
    <cfRule type="expression" dxfId="164" priority="165" stopIfTrue="1">
      <formula>F123&lt;&gt;ROUNDUP(F123,0)</formula>
    </cfRule>
  </conditionalFormatting>
  <conditionalFormatting sqref="F130:Q132">
    <cfRule type="expression" dxfId="163" priority="164" stopIfTrue="1">
      <formula>F130&lt;&gt;ROUND(F130*4,0)/4</formula>
    </cfRule>
  </conditionalFormatting>
  <conditionalFormatting sqref="F137:Q139">
    <cfRule type="expression" dxfId="162" priority="163" stopIfTrue="1">
      <formula>F137&lt;&gt;ROUND(F137*4,0)/4</formula>
    </cfRule>
  </conditionalFormatting>
  <conditionalFormatting sqref="F143:Q145">
    <cfRule type="expression" dxfId="161" priority="162" stopIfTrue="1">
      <formula>F143&lt;&gt;ROUNDUP(F143,0)</formula>
    </cfRule>
  </conditionalFormatting>
  <conditionalFormatting sqref="F150:Q152">
    <cfRule type="expression" dxfId="160" priority="161" stopIfTrue="1">
      <formula>F150&lt;&gt;ROUND(F150*4,0)/4</formula>
    </cfRule>
  </conditionalFormatting>
  <conditionalFormatting sqref="F157:Q159">
    <cfRule type="expression" dxfId="159" priority="160" stopIfTrue="1">
      <formula>F157&lt;&gt;ROUND(F157*4,0)/4</formula>
    </cfRule>
  </conditionalFormatting>
  <conditionalFormatting sqref="H162:H163 L162:L163 P162:P163 F164:Q166 F168:Q181">
    <cfRule type="cellIs" dxfId="158" priority="159" operator="equal">
      <formula>0</formula>
    </cfRule>
  </conditionalFormatting>
  <conditionalFormatting sqref="P167 N167 L167 J167 H167 F167">
    <cfRule type="cellIs" dxfId="157" priority="158" operator="equal">
      <formula>0</formula>
    </cfRule>
  </conditionalFormatting>
  <conditionalFormatting sqref="F183:Q185">
    <cfRule type="expression" dxfId="156" priority="157" stopIfTrue="1">
      <formula>F183&lt;&gt;ROUNDUP(F183,0)</formula>
    </cfRule>
  </conditionalFormatting>
  <conditionalFormatting sqref="F190:Q192">
    <cfRule type="expression" dxfId="155" priority="156" stopIfTrue="1">
      <formula>F190&lt;&gt;ROUND(F190*4,0)/4</formula>
    </cfRule>
  </conditionalFormatting>
  <conditionalFormatting sqref="F197:Q199">
    <cfRule type="expression" dxfId="154" priority="155" stopIfTrue="1">
      <formula>F197&lt;&gt;ROUND(F197*4,0)/4</formula>
    </cfRule>
  </conditionalFormatting>
  <conditionalFormatting sqref="F203:Q205">
    <cfRule type="expression" dxfId="153" priority="154" stopIfTrue="1">
      <formula>F203&lt;&gt;ROUNDUP(F203,0)</formula>
    </cfRule>
  </conditionalFormatting>
  <conditionalFormatting sqref="F210:Q212">
    <cfRule type="expression" dxfId="152" priority="153" stopIfTrue="1">
      <formula>F210&lt;&gt;ROUND(F210*4,0)/4</formula>
    </cfRule>
  </conditionalFormatting>
  <conditionalFormatting sqref="F217:Q219">
    <cfRule type="expression" dxfId="151" priority="152" stopIfTrue="1">
      <formula>F217&lt;&gt;ROUND(F217*4,0)/4</formula>
    </cfRule>
  </conditionalFormatting>
  <conditionalFormatting sqref="F223:Q225">
    <cfRule type="expression" dxfId="150" priority="151" stopIfTrue="1">
      <formula>F223&lt;&gt;ROUNDUP(F223,0)</formula>
    </cfRule>
  </conditionalFormatting>
  <conditionalFormatting sqref="F230:Q232">
    <cfRule type="expression" dxfId="149" priority="150" stopIfTrue="1">
      <formula>F230&lt;&gt;ROUND(F230*4,0)/4</formula>
    </cfRule>
  </conditionalFormatting>
  <conditionalFormatting sqref="F237:Q239">
    <cfRule type="expression" dxfId="148" priority="149" stopIfTrue="1">
      <formula>F237&lt;&gt;ROUND(F237*4,0)/4</formula>
    </cfRule>
  </conditionalFormatting>
  <conditionalFormatting sqref="F243:Q245">
    <cfRule type="expression" dxfId="147" priority="148" stopIfTrue="1">
      <formula>F243&lt;&gt;ROUNDUP(F243,0)</formula>
    </cfRule>
  </conditionalFormatting>
  <conditionalFormatting sqref="F250:Q252">
    <cfRule type="expression" dxfId="146" priority="147" stopIfTrue="1">
      <formula>F250&lt;&gt;ROUND(F250*4,0)/4</formula>
    </cfRule>
  </conditionalFormatting>
  <conditionalFormatting sqref="F257:Q259">
    <cfRule type="expression" dxfId="145" priority="146" stopIfTrue="1">
      <formula>F257&lt;&gt;ROUND(F257*4,0)/4</formula>
    </cfRule>
  </conditionalFormatting>
  <conditionalFormatting sqref="F263:Q265">
    <cfRule type="expression" dxfId="144" priority="145" stopIfTrue="1">
      <formula>F263&lt;&gt;ROUNDUP(F263,0)</formula>
    </cfRule>
  </conditionalFormatting>
  <conditionalFormatting sqref="F270:Q272">
    <cfRule type="expression" dxfId="143" priority="144" stopIfTrue="1">
      <formula>F270&lt;&gt;ROUND(F270*4,0)/4</formula>
    </cfRule>
  </conditionalFormatting>
  <conditionalFormatting sqref="F277:Q279">
    <cfRule type="expression" dxfId="142" priority="143" stopIfTrue="1">
      <formula>F277&lt;&gt;ROUND(F277*4,0)/4</formula>
    </cfRule>
  </conditionalFormatting>
  <conditionalFormatting sqref="F283:Q285">
    <cfRule type="expression" dxfId="141" priority="142" stopIfTrue="1">
      <formula>F283&lt;&gt;ROUNDUP(F283,0)</formula>
    </cfRule>
  </conditionalFormatting>
  <conditionalFormatting sqref="F290:Q292">
    <cfRule type="expression" dxfId="140" priority="141" stopIfTrue="1">
      <formula>F290&lt;&gt;ROUND(F290*4,0)/4</formula>
    </cfRule>
  </conditionalFormatting>
  <conditionalFormatting sqref="F297:Q299">
    <cfRule type="expression" dxfId="139" priority="140" stopIfTrue="1">
      <formula>F297&lt;&gt;ROUND(F297*4,0)/4</formula>
    </cfRule>
  </conditionalFormatting>
  <conditionalFormatting sqref="F304:Q305">
    <cfRule type="expression" dxfId="138" priority="139" stopIfTrue="1">
      <formula>F304&lt;&gt;ROUNDUP(F304,0)</formula>
    </cfRule>
  </conditionalFormatting>
  <conditionalFormatting sqref="F310:Q312">
    <cfRule type="expression" dxfId="137" priority="138" stopIfTrue="1">
      <formula>F310&lt;&gt;ROUND(F310*4,0)/4</formula>
    </cfRule>
  </conditionalFormatting>
  <conditionalFormatting sqref="F317:Q319">
    <cfRule type="expression" dxfId="136" priority="137" stopIfTrue="1">
      <formula>F317&lt;&gt;ROUND(F317*4,0)/4</formula>
    </cfRule>
  </conditionalFormatting>
  <conditionalFormatting sqref="F303:Q303">
    <cfRule type="expression" dxfId="135" priority="136" stopIfTrue="1">
      <formula>F303&lt;&gt;ROUND(F303*4,0)/4</formula>
    </cfRule>
  </conditionalFormatting>
  <conditionalFormatting sqref="F323:Q325">
    <cfRule type="expression" dxfId="134" priority="135" stopIfTrue="1">
      <formula>F323&lt;&gt;ROUNDUP(F323,0)</formula>
    </cfRule>
  </conditionalFormatting>
  <conditionalFormatting sqref="F330:Q332">
    <cfRule type="expression" dxfId="133" priority="134" stopIfTrue="1">
      <formula>F330&lt;&gt;ROUND(F330*4,0)/4</formula>
    </cfRule>
  </conditionalFormatting>
  <conditionalFormatting sqref="F337:Q339">
    <cfRule type="expression" dxfId="132" priority="133" stopIfTrue="1">
      <formula>F337&lt;&gt;ROUND(F337*4,0)/4</formula>
    </cfRule>
  </conditionalFormatting>
  <conditionalFormatting sqref="F343:Q345">
    <cfRule type="expression" dxfId="131" priority="132" stopIfTrue="1">
      <formula>F343&lt;&gt;ROUNDUP(F343,0)</formula>
    </cfRule>
  </conditionalFormatting>
  <conditionalFormatting sqref="F350:Q352">
    <cfRule type="expression" dxfId="130" priority="131" stopIfTrue="1">
      <formula>F350&lt;&gt;ROUND(F350*4,0)/4</formula>
    </cfRule>
  </conditionalFormatting>
  <conditionalFormatting sqref="F357:Q359">
    <cfRule type="expression" dxfId="129" priority="130" stopIfTrue="1">
      <formula>F357&lt;&gt;ROUND(F357*4,0)/4</formula>
    </cfRule>
  </conditionalFormatting>
  <conditionalFormatting sqref="F363:Q365">
    <cfRule type="expression" dxfId="128" priority="129" stopIfTrue="1">
      <formula>F363&lt;&gt;ROUNDUP(F363,0)</formula>
    </cfRule>
  </conditionalFormatting>
  <conditionalFormatting sqref="F370:Q372">
    <cfRule type="expression" dxfId="127" priority="128" stopIfTrue="1">
      <formula>F370&lt;&gt;ROUND(F370*4,0)/4</formula>
    </cfRule>
  </conditionalFormatting>
  <conditionalFormatting sqref="F377:Q379">
    <cfRule type="expression" dxfId="126" priority="127" stopIfTrue="1">
      <formula>F377&lt;&gt;ROUND(F377*4,0)/4</formula>
    </cfRule>
  </conditionalFormatting>
  <conditionalFormatting sqref="F383:Q385">
    <cfRule type="expression" dxfId="125" priority="126" stopIfTrue="1">
      <formula>F383&lt;&gt;ROUNDUP(F383,0)</formula>
    </cfRule>
  </conditionalFormatting>
  <conditionalFormatting sqref="F390:Q392">
    <cfRule type="expression" dxfId="124" priority="125" stopIfTrue="1">
      <formula>F390&lt;&gt;ROUND(F390*4,0)/4</formula>
    </cfRule>
  </conditionalFormatting>
  <conditionalFormatting sqref="F397:Q399">
    <cfRule type="expression" dxfId="123" priority="124" stopIfTrue="1">
      <formula>F397&lt;&gt;ROUND(F397*4,0)/4</formula>
    </cfRule>
  </conditionalFormatting>
  <conditionalFormatting sqref="F403:Q405">
    <cfRule type="expression" dxfId="122" priority="123" stopIfTrue="1">
      <formula>F403&lt;&gt;ROUNDUP(F403,0)</formula>
    </cfRule>
  </conditionalFormatting>
  <conditionalFormatting sqref="F410:Q412">
    <cfRule type="expression" dxfId="121" priority="122" stopIfTrue="1">
      <formula>F410&lt;&gt;ROUND(F410*4,0)/4</formula>
    </cfRule>
  </conditionalFormatting>
  <conditionalFormatting sqref="F417:Q419">
    <cfRule type="expression" dxfId="120" priority="121" stopIfTrue="1">
      <formula>F417&lt;&gt;ROUND(F417*4,0)/4</formula>
    </cfRule>
  </conditionalFormatting>
  <conditionalFormatting sqref="F423:Q425">
    <cfRule type="expression" dxfId="119" priority="120" stopIfTrue="1">
      <formula>F423&lt;&gt;ROUNDUP(F423,0)</formula>
    </cfRule>
  </conditionalFormatting>
  <conditionalFormatting sqref="F430:Q432">
    <cfRule type="expression" dxfId="118" priority="119" stopIfTrue="1">
      <formula>F430&lt;&gt;ROUND(F430*4,0)/4</formula>
    </cfRule>
  </conditionalFormatting>
  <conditionalFormatting sqref="F437:Q439">
    <cfRule type="expression" dxfId="117" priority="118" stopIfTrue="1">
      <formula>F437&lt;&gt;ROUND(F437*4,0)/4</formula>
    </cfRule>
  </conditionalFormatting>
  <conditionalFormatting sqref="F443:Q445">
    <cfRule type="expression" dxfId="116" priority="117" stopIfTrue="1">
      <formula>F443&lt;&gt;ROUNDUP(F443,0)</formula>
    </cfRule>
  </conditionalFormatting>
  <conditionalFormatting sqref="F450:Q452">
    <cfRule type="expression" dxfId="115" priority="116" stopIfTrue="1">
      <formula>F450&lt;&gt;ROUND(F450*4,0)/4</formula>
    </cfRule>
  </conditionalFormatting>
  <conditionalFormatting sqref="F457:Q459">
    <cfRule type="expression" dxfId="114" priority="115" stopIfTrue="1">
      <formula>F457&lt;&gt;ROUND(F457*4,0)/4</formula>
    </cfRule>
  </conditionalFormatting>
  <conditionalFormatting sqref="F463:Q465">
    <cfRule type="expression" dxfId="113" priority="114" stopIfTrue="1">
      <formula>F463&lt;&gt;ROUNDUP(F463,0)</formula>
    </cfRule>
  </conditionalFormatting>
  <conditionalFormatting sqref="F470:Q472">
    <cfRule type="expression" dxfId="112" priority="113" stopIfTrue="1">
      <formula>F470&lt;&gt;ROUND(F470*4,0)/4</formula>
    </cfRule>
  </conditionalFormatting>
  <conditionalFormatting sqref="F477:Q479">
    <cfRule type="expression" dxfId="111" priority="112" stopIfTrue="1">
      <formula>F477&lt;&gt;ROUND(F477*4,0)/4</formula>
    </cfRule>
  </conditionalFormatting>
  <conditionalFormatting sqref="F483:Q485">
    <cfRule type="expression" dxfId="110" priority="111" stopIfTrue="1">
      <formula>F483&lt;&gt;ROUNDUP(F483,0)</formula>
    </cfRule>
  </conditionalFormatting>
  <conditionalFormatting sqref="F490:Q492">
    <cfRule type="expression" dxfId="109" priority="110" stopIfTrue="1">
      <formula>F490&lt;&gt;ROUND(F490*4,0)/4</formula>
    </cfRule>
  </conditionalFormatting>
  <conditionalFormatting sqref="F497:Q499">
    <cfRule type="expression" dxfId="108" priority="109" stopIfTrue="1">
      <formula>F497&lt;&gt;ROUND(F497*4,0)/4</formula>
    </cfRule>
  </conditionalFormatting>
  <conditionalFormatting sqref="F503:Q505">
    <cfRule type="expression" dxfId="107" priority="108" stopIfTrue="1">
      <formula>F503&lt;&gt;ROUNDUP(F503,0)</formula>
    </cfRule>
  </conditionalFormatting>
  <conditionalFormatting sqref="F510:Q512">
    <cfRule type="expression" dxfId="106" priority="107" stopIfTrue="1">
      <formula>F510&lt;&gt;ROUND(F510*4,0)/4</formula>
    </cfRule>
  </conditionalFormatting>
  <conditionalFormatting sqref="F517:Q519">
    <cfRule type="expression" dxfId="105" priority="106" stopIfTrue="1">
      <formula>F517&lt;&gt;ROUND(F517*4,0)/4</formula>
    </cfRule>
  </conditionalFormatting>
  <conditionalFormatting sqref="F523:Q525">
    <cfRule type="expression" dxfId="104" priority="105" stopIfTrue="1">
      <formula>F523&lt;&gt;ROUNDUP(F523,0)</formula>
    </cfRule>
  </conditionalFormatting>
  <conditionalFormatting sqref="F530:Q532">
    <cfRule type="expression" dxfId="103" priority="104" stopIfTrue="1">
      <formula>F530&lt;&gt;ROUND(F530*4,0)/4</formula>
    </cfRule>
  </conditionalFormatting>
  <conditionalFormatting sqref="F537:Q539">
    <cfRule type="expression" dxfId="102" priority="103" stopIfTrue="1">
      <formula>F537&lt;&gt;ROUND(F537*4,0)/4</formula>
    </cfRule>
  </conditionalFormatting>
  <conditionalFormatting sqref="F543:Q545">
    <cfRule type="expression" dxfId="101" priority="102" stopIfTrue="1">
      <formula>F543&lt;&gt;ROUNDUP(F543,0)</formula>
    </cfRule>
  </conditionalFormatting>
  <conditionalFormatting sqref="F550:Q552">
    <cfRule type="expression" dxfId="100" priority="101" stopIfTrue="1">
      <formula>F550&lt;&gt;ROUND(F550*4,0)/4</formula>
    </cfRule>
  </conditionalFormatting>
  <conditionalFormatting sqref="F557:Q559">
    <cfRule type="expression" dxfId="99" priority="100" stopIfTrue="1">
      <formula>F557&lt;&gt;ROUND(F557*4,0)/4</formula>
    </cfRule>
  </conditionalFormatting>
  <conditionalFormatting sqref="F563:Q565">
    <cfRule type="expression" dxfId="98" priority="99" stopIfTrue="1">
      <formula>F563&lt;&gt;ROUNDUP(F563,0)</formula>
    </cfRule>
  </conditionalFormatting>
  <conditionalFormatting sqref="F570:Q572">
    <cfRule type="expression" dxfId="97" priority="98" stopIfTrue="1">
      <formula>F570&lt;&gt;ROUND(F570*4,0)/4</formula>
    </cfRule>
  </conditionalFormatting>
  <conditionalFormatting sqref="F577:Q579">
    <cfRule type="expression" dxfId="96" priority="97" stopIfTrue="1">
      <formula>F577&lt;&gt;ROUND(F577*4,0)/4</formula>
    </cfRule>
  </conditionalFormatting>
  <conditionalFormatting sqref="F583:Q585">
    <cfRule type="expression" dxfId="95" priority="96" stopIfTrue="1">
      <formula>F583&lt;&gt;ROUNDUP(F583,0)</formula>
    </cfRule>
  </conditionalFormatting>
  <conditionalFormatting sqref="F590:Q592">
    <cfRule type="expression" dxfId="94" priority="95" stopIfTrue="1">
      <formula>F590&lt;&gt;ROUND(F590*4,0)/4</formula>
    </cfRule>
  </conditionalFormatting>
  <conditionalFormatting sqref="F597:Q599">
    <cfRule type="expression" dxfId="93" priority="94" stopIfTrue="1">
      <formula>F597&lt;&gt;ROUND(F597*4,0)/4</formula>
    </cfRule>
  </conditionalFormatting>
  <conditionalFormatting sqref="F603:Q605">
    <cfRule type="expression" dxfId="92" priority="93" stopIfTrue="1">
      <formula>F603&lt;&gt;ROUNDUP(F603,0)</formula>
    </cfRule>
  </conditionalFormatting>
  <conditionalFormatting sqref="F610:Q612">
    <cfRule type="expression" dxfId="91" priority="92" stopIfTrue="1">
      <formula>F610&lt;&gt;ROUND(F610*4,0)/4</formula>
    </cfRule>
  </conditionalFormatting>
  <conditionalFormatting sqref="F617:Q619">
    <cfRule type="expression" dxfId="90" priority="91" stopIfTrue="1">
      <formula>F617&lt;&gt;ROUND(F617*4,0)/4</formula>
    </cfRule>
  </conditionalFormatting>
  <conditionalFormatting sqref="F623:Q625">
    <cfRule type="expression" dxfId="89" priority="90" stopIfTrue="1">
      <formula>F623&lt;&gt;ROUNDUP(F623,0)</formula>
    </cfRule>
  </conditionalFormatting>
  <conditionalFormatting sqref="F630:Q632">
    <cfRule type="expression" dxfId="88" priority="89" stopIfTrue="1">
      <formula>F630&lt;&gt;ROUND(F630*4,0)/4</formula>
    </cfRule>
  </conditionalFormatting>
  <conditionalFormatting sqref="F637:Q639">
    <cfRule type="expression" dxfId="87" priority="88" stopIfTrue="1">
      <formula>F637&lt;&gt;ROUND(F637*4,0)/4</formula>
    </cfRule>
  </conditionalFormatting>
  <conditionalFormatting sqref="F643:Q645">
    <cfRule type="expression" dxfId="86" priority="87" stopIfTrue="1">
      <formula>F643&lt;&gt;ROUNDUP(F643,0)</formula>
    </cfRule>
  </conditionalFormatting>
  <conditionalFormatting sqref="F650:Q652">
    <cfRule type="expression" dxfId="85" priority="86" stopIfTrue="1">
      <formula>F650&lt;&gt;ROUND(F650*4,0)/4</formula>
    </cfRule>
  </conditionalFormatting>
  <conditionalFormatting sqref="F657:Q659">
    <cfRule type="expression" dxfId="84" priority="85" stopIfTrue="1">
      <formula>F657&lt;&gt;ROUND(F657*4,0)/4</formula>
    </cfRule>
  </conditionalFormatting>
  <conditionalFormatting sqref="F663:Q665">
    <cfRule type="expression" dxfId="83" priority="84" stopIfTrue="1">
      <formula>F663&lt;&gt;ROUNDUP(F663,0)</formula>
    </cfRule>
  </conditionalFormatting>
  <conditionalFormatting sqref="F670:Q672">
    <cfRule type="expression" dxfId="82" priority="83" stopIfTrue="1">
      <formula>F670&lt;&gt;ROUND(F670*4,0)/4</formula>
    </cfRule>
  </conditionalFormatting>
  <conditionalFormatting sqref="F677:Q679">
    <cfRule type="expression" dxfId="81" priority="82" stopIfTrue="1">
      <formula>F677&lt;&gt;ROUND(F677*4,0)/4</formula>
    </cfRule>
  </conditionalFormatting>
  <conditionalFormatting sqref="F683:Q685">
    <cfRule type="expression" dxfId="80" priority="81" stopIfTrue="1">
      <formula>F683&lt;&gt;ROUNDUP(F683,0)</formula>
    </cfRule>
  </conditionalFormatting>
  <conditionalFormatting sqref="F690:Q692">
    <cfRule type="expression" dxfId="79" priority="80" stopIfTrue="1">
      <formula>F690&lt;&gt;ROUND(F690*4,0)/4</formula>
    </cfRule>
  </conditionalFormatting>
  <conditionalFormatting sqref="F697:Q699">
    <cfRule type="expression" dxfId="78" priority="79" stopIfTrue="1">
      <formula>F697&lt;&gt;ROUND(F697*4,0)/4</formula>
    </cfRule>
  </conditionalFormatting>
  <conditionalFormatting sqref="F703:Q705">
    <cfRule type="expression" dxfId="77" priority="78" stopIfTrue="1">
      <formula>F703&lt;&gt;ROUNDUP(F703,0)</formula>
    </cfRule>
  </conditionalFormatting>
  <conditionalFormatting sqref="F710:Q712">
    <cfRule type="expression" dxfId="76" priority="77" stopIfTrue="1">
      <formula>F710&lt;&gt;ROUND(F710*4,0)/4</formula>
    </cfRule>
  </conditionalFormatting>
  <conditionalFormatting sqref="F717:Q719">
    <cfRule type="expression" dxfId="75" priority="76" stopIfTrue="1">
      <formula>F717&lt;&gt;ROUND(F717*4,0)/4</formula>
    </cfRule>
  </conditionalFormatting>
  <conditionalFormatting sqref="F723:Q725">
    <cfRule type="expression" dxfId="74" priority="75" stopIfTrue="1">
      <formula>F723&lt;&gt;ROUNDUP(F723,0)</formula>
    </cfRule>
  </conditionalFormatting>
  <conditionalFormatting sqref="F730:Q732">
    <cfRule type="expression" dxfId="73" priority="74" stopIfTrue="1">
      <formula>F730&lt;&gt;ROUND(F730*4,0)/4</formula>
    </cfRule>
  </conditionalFormatting>
  <conditionalFormatting sqref="F737:Q739">
    <cfRule type="expression" dxfId="72" priority="73" stopIfTrue="1">
      <formula>F737&lt;&gt;ROUND(F737*4,0)/4</formula>
    </cfRule>
  </conditionalFormatting>
  <conditionalFormatting sqref="F743:Q745">
    <cfRule type="expression" dxfId="71" priority="72" stopIfTrue="1">
      <formula>F743&lt;&gt;ROUNDUP(F743,0)</formula>
    </cfRule>
  </conditionalFormatting>
  <conditionalFormatting sqref="F750:Q752">
    <cfRule type="expression" dxfId="70" priority="71" stopIfTrue="1">
      <formula>F750&lt;&gt;ROUND(F750*4,0)/4</formula>
    </cfRule>
  </conditionalFormatting>
  <conditionalFormatting sqref="F757:Q759">
    <cfRule type="expression" dxfId="69" priority="70" stopIfTrue="1">
      <formula>F757&lt;&gt;ROUND(F757*4,0)/4</formula>
    </cfRule>
  </conditionalFormatting>
  <conditionalFormatting sqref="F763:Q765">
    <cfRule type="expression" dxfId="68" priority="69" stopIfTrue="1">
      <formula>F763&lt;&gt;ROUNDUP(F763,0)</formula>
    </cfRule>
  </conditionalFormatting>
  <conditionalFormatting sqref="F770:Q772">
    <cfRule type="expression" dxfId="67" priority="68" stopIfTrue="1">
      <formula>F770&lt;&gt;ROUND(F770*4,0)/4</formula>
    </cfRule>
  </conditionalFormatting>
  <conditionalFormatting sqref="F777:Q779">
    <cfRule type="expression" dxfId="66" priority="67" stopIfTrue="1">
      <formula>F777&lt;&gt;ROUND(F777*4,0)/4</formula>
    </cfRule>
  </conditionalFormatting>
  <conditionalFormatting sqref="F783:Q785">
    <cfRule type="expression" dxfId="65" priority="66" stopIfTrue="1">
      <formula>F783&lt;&gt;ROUNDUP(F783,0)</formula>
    </cfRule>
  </conditionalFormatting>
  <conditionalFormatting sqref="F790:Q792">
    <cfRule type="expression" dxfId="64" priority="65" stopIfTrue="1">
      <formula>F790&lt;&gt;ROUND(F790*4,0)/4</formula>
    </cfRule>
  </conditionalFormatting>
  <conditionalFormatting sqref="F797:Q799">
    <cfRule type="expression" dxfId="63" priority="64" stopIfTrue="1">
      <formula>F797&lt;&gt;ROUND(F797*4,0)/4</formula>
    </cfRule>
  </conditionalFormatting>
  <conditionalFormatting sqref="F803:Q805">
    <cfRule type="expression" dxfId="62" priority="63" stopIfTrue="1">
      <formula>F803&lt;&gt;ROUNDUP(F803,0)</formula>
    </cfRule>
  </conditionalFormatting>
  <conditionalFormatting sqref="F810:Q812">
    <cfRule type="expression" dxfId="61" priority="62" stopIfTrue="1">
      <formula>F810&lt;&gt;ROUND(F810*4,0)/4</formula>
    </cfRule>
  </conditionalFormatting>
  <conditionalFormatting sqref="F817:Q819">
    <cfRule type="expression" dxfId="60" priority="61" stopIfTrue="1">
      <formula>F817&lt;&gt;ROUND(F817*4,0)/4</formula>
    </cfRule>
  </conditionalFormatting>
  <conditionalFormatting sqref="F823:Q825">
    <cfRule type="expression" dxfId="59" priority="60" stopIfTrue="1">
      <formula>F823&lt;&gt;ROUNDUP(F823,0)</formula>
    </cfRule>
  </conditionalFormatting>
  <conditionalFormatting sqref="F830:Q832">
    <cfRule type="expression" dxfId="58" priority="59" stopIfTrue="1">
      <formula>F830&lt;&gt;ROUND(F830*4,0)/4</formula>
    </cfRule>
  </conditionalFormatting>
  <conditionalFormatting sqref="F837:Q839">
    <cfRule type="expression" dxfId="57" priority="58" stopIfTrue="1">
      <formula>F837&lt;&gt;ROUND(F837*4,0)/4</formula>
    </cfRule>
  </conditionalFormatting>
  <conditionalFormatting sqref="F843:Q845">
    <cfRule type="expression" dxfId="56" priority="57" stopIfTrue="1">
      <formula>F843&lt;&gt;ROUNDUP(F843,0)</formula>
    </cfRule>
  </conditionalFormatting>
  <conditionalFormatting sqref="F850:Q852">
    <cfRule type="expression" dxfId="55" priority="56" stopIfTrue="1">
      <formula>F850&lt;&gt;ROUND(F850*4,0)/4</formula>
    </cfRule>
  </conditionalFormatting>
  <conditionalFormatting sqref="F857:Q859">
    <cfRule type="expression" dxfId="54" priority="55" stopIfTrue="1">
      <formula>F857&lt;&gt;ROUND(F857*4,0)/4</formula>
    </cfRule>
  </conditionalFormatting>
  <conditionalFormatting sqref="F863:Q865">
    <cfRule type="expression" dxfId="53" priority="54" stopIfTrue="1">
      <formula>F863&lt;&gt;ROUNDUP(F863,0)</formula>
    </cfRule>
  </conditionalFormatting>
  <conditionalFormatting sqref="F870:Q872">
    <cfRule type="expression" dxfId="52" priority="53" stopIfTrue="1">
      <formula>F870&lt;&gt;ROUND(F870*4,0)/4</formula>
    </cfRule>
  </conditionalFormatting>
  <conditionalFormatting sqref="F877:Q879">
    <cfRule type="expression" dxfId="51" priority="52" stopIfTrue="1">
      <formula>F877&lt;&gt;ROUND(F877*4,0)/4</formula>
    </cfRule>
  </conditionalFormatting>
  <conditionalFormatting sqref="F883:Q885">
    <cfRule type="expression" dxfId="50" priority="51" stopIfTrue="1">
      <formula>F883&lt;&gt;ROUNDUP(F883,0)</formula>
    </cfRule>
  </conditionalFormatting>
  <conditionalFormatting sqref="F890:Q892">
    <cfRule type="expression" dxfId="49" priority="50" stopIfTrue="1">
      <formula>F890&lt;&gt;ROUND(F890*4,0)/4</formula>
    </cfRule>
  </conditionalFormatting>
  <conditionalFormatting sqref="F897:Q899">
    <cfRule type="expression" dxfId="48" priority="49" stopIfTrue="1">
      <formula>F897&lt;&gt;ROUND(F897*4,0)/4</formula>
    </cfRule>
  </conditionalFormatting>
  <conditionalFormatting sqref="F903:Q905">
    <cfRule type="expression" dxfId="47" priority="48" stopIfTrue="1">
      <formula>F903&lt;&gt;ROUNDUP(F903,0)</formula>
    </cfRule>
  </conditionalFormatting>
  <conditionalFormatting sqref="F910:Q912">
    <cfRule type="expression" dxfId="46" priority="47" stopIfTrue="1">
      <formula>F910&lt;&gt;ROUND(F910*4,0)/4</formula>
    </cfRule>
  </conditionalFormatting>
  <conditionalFormatting sqref="F917:Q919">
    <cfRule type="expression" dxfId="45" priority="46" stopIfTrue="1">
      <formula>F917&lt;&gt;ROUND(F917*4,0)/4</formula>
    </cfRule>
  </conditionalFormatting>
  <conditionalFormatting sqref="F923:Q925">
    <cfRule type="expression" dxfId="44" priority="45" stopIfTrue="1">
      <formula>F923&lt;&gt;ROUNDUP(F923,0)</formula>
    </cfRule>
  </conditionalFormatting>
  <conditionalFormatting sqref="F930:Q932">
    <cfRule type="expression" dxfId="43" priority="44" stopIfTrue="1">
      <formula>F930&lt;&gt;ROUND(F930*4,0)/4</formula>
    </cfRule>
  </conditionalFormatting>
  <conditionalFormatting sqref="F937:Q939">
    <cfRule type="expression" dxfId="42" priority="43" stopIfTrue="1">
      <formula>F937&lt;&gt;ROUND(F937*4,0)/4</formula>
    </cfRule>
  </conditionalFormatting>
  <conditionalFormatting sqref="F943:Q945">
    <cfRule type="expression" dxfId="41" priority="42" stopIfTrue="1">
      <formula>F943&lt;&gt;ROUNDUP(F943,0)</formula>
    </cfRule>
  </conditionalFormatting>
  <conditionalFormatting sqref="F950:Q952">
    <cfRule type="expression" dxfId="40" priority="41" stopIfTrue="1">
      <formula>F950&lt;&gt;ROUND(F950*4,0)/4</formula>
    </cfRule>
  </conditionalFormatting>
  <conditionalFormatting sqref="F957:Q959">
    <cfRule type="expression" dxfId="39" priority="40" stopIfTrue="1">
      <formula>F957&lt;&gt;ROUND(F957*4,0)/4</formula>
    </cfRule>
  </conditionalFormatting>
  <conditionalFormatting sqref="F963:Q965">
    <cfRule type="expression" dxfId="38" priority="39" stopIfTrue="1">
      <formula>F963&lt;&gt;ROUNDUP(F963,0)</formula>
    </cfRule>
  </conditionalFormatting>
  <conditionalFormatting sqref="F970:Q972">
    <cfRule type="expression" dxfId="37" priority="38" stopIfTrue="1">
      <formula>F970&lt;&gt;ROUND(F970*4,0)/4</formula>
    </cfRule>
  </conditionalFormatting>
  <conditionalFormatting sqref="F977:Q979">
    <cfRule type="expression" dxfId="36" priority="37" stopIfTrue="1">
      <formula>F977&lt;&gt;ROUND(F977*4,0)/4</formula>
    </cfRule>
  </conditionalFormatting>
  <conditionalFormatting sqref="F983:Q985">
    <cfRule type="expression" dxfId="35" priority="36" stopIfTrue="1">
      <formula>F983&lt;&gt;ROUNDUP(F983,0)</formula>
    </cfRule>
  </conditionalFormatting>
  <conditionalFormatting sqref="F990:Q992">
    <cfRule type="expression" dxfId="34" priority="35" stopIfTrue="1">
      <formula>F990&lt;&gt;ROUND(F990*4,0)/4</formula>
    </cfRule>
  </conditionalFormatting>
  <conditionalFormatting sqref="F997:Q999">
    <cfRule type="expression" dxfId="33" priority="34" stopIfTrue="1">
      <formula>F997&lt;&gt;ROUND(F997*4,0)/4</formula>
    </cfRule>
  </conditionalFormatting>
  <conditionalFormatting sqref="F1003:Q1005">
    <cfRule type="expression" dxfId="32" priority="33" stopIfTrue="1">
      <formula>F1003&lt;&gt;ROUNDUP(F1003,0)</formula>
    </cfRule>
  </conditionalFormatting>
  <conditionalFormatting sqref="F1010:Q1012">
    <cfRule type="expression" dxfId="31" priority="32" stopIfTrue="1">
      <formula>F1010&lt;&gt;ROUND(F1010*4,0)/4</formula>
    </cfRule>
  </conditionalFormatting>
  <conditionalFormatting sqref="F1017:Q1019">
    <cfRule type="expression" dxfId="30" priority="31" stopIfTrue="1">
      <formula>F1017&lt;&gt;ROUND(F1017*4,0)/4</formula>
    </cfRule>
  </conditionalFormatting>
  <conditionalFormatting sqref="F1023:Q1025">
    <cfRule type="expression" dxfId="29" priority="30" stopIfTrue="1">
      <formula>F1023&lt;&gt;ROUNDUP(F1023,0)</formula>
    </cfRule>
  </conditionalFormatting>
  <conditionalFormatting sqref="F1030:Q1032">
    <cfRule type="expression" dxfId="28" priority="29" stopIfTrue="1">
      <formula>F1030&lt;&gt;ROUND(F1030*4,0)/4</formula>
    </cfRule>
  </conditionalFormatting>
  <conditionalFormatting sqref="F1037:Q1039">
    <cfRule type="expression" dxfId="27" priority="28" stopIfTrue="1">
      <formula>F1037&lt;&gt;ROUND(F1037*4,0)/4</formula>
    </cfRule>
  </conditionalFormatting>
  <conditionalFormatting sqref="F1043:Q1045">
    <cfRule type="expression" dxfId="26" priority="27" stopIfTrue="1">
      <formula>F1043&lt;&gt;ROUNDUP(F1043,0)</formula>
    </cfRule>
  </conditionalFormatting>
  <conditionalFormatting sqref="F1050:Q1052">
    <cfRule type="expression" dxfId="25" priority="26" stopIfTrue="1">
      <formula>F1050&lt;&gt;ROUND(F1050*4,0)/4</formula>
    </cfRule>
  </conditionalFormatting>
  <conditionalFormatting sqref="F1057:Q1059">
    <cfRule type="expression" dxfId="24" priority="25" stopIfTrue="1">
      <formula>F1057&lt;&gt;ROUND(F1057*4,0)/4</formula>
    </cfRule>
  </conditionalFormatting>
  <conditionalFormatting sqref="F1063:Q1065">
    <cfRule type="expression" dxfId="23" priority="24" stopIfTrue="1">
      <formula>F1063&lt;&gt;ROUNDUP(F1063,0)</formula>
    </cfRule>
  </conditionalFormatting>
  <conditionalFormatting sqref="F1070:Q1072">
    <cfRule type="expression" dxfId="22" priority="23" stopIfTrue="1">
      <formula>F1070&lt;&gt;ROUND(F1070*4,0)/4</formula>
    </cfRule>
  </conditionalFormatting>
  <conditionalFormatting sqref="F1077:Q1079">
    <cfRule type="expression" dxfId="21" priority="22" stopIfTrue="1">
      <formula>F1077&lt;&gt;ROUND(F1077*4,0)/4</formula>
    </cfRule>
  </conditionalFormatting>
  <conditionalFormatting sqref="F1083:Q1085">
    <cfRule type="expression" dxfId="20" priority="21" stopIfTrue="1">
      <formula>F1083&lt;&gt;ROUNDUP(F1083,0)</formula>
    </cfRule>
  </conditionalFormatting>
  <conditionalFormatting sqref="F1090:Q1092">
    <cfRule type="expression" dxfId="19" priority="20" stopIfTrue="1">
      <formula>F1090&lt;&gt;ROUND(F1090*4,0)/4</formula>
    </cfRule>
  </conditionalFormatting>
  <conditionalFormatting sqref="F1097:Q1099">
    <cfRule type="expression" dxfId="18" priority="19" stopIfTrue="1">
      <formula>F1097&lt;&gt;ROUND(F1097*4,0)/4</formula>
    </cfRule>
  </conditionalFormatting>
  <conditionalFormatting sqref="F1103:Q1105">
    <cfRule type="expression" dxfId="17" priority="18" stopIfTrue="1">
      <formula>F1103&lt;&gt;ROUNDUP(F1103,0)</formula>
    </cfRule>
  </conditionalFormatting>
  <conditionalFormatting sqref="F1110:Q1112">
    <cfRule type="expression" dxfId="16" priority="17" stopIfTrue="1">
      <formula>F1110&lt;&gt;ROUND(F1110*4,0)/4</formula>
    </cfRule>
  </conditionalFormatting>
  <conditionalFormatting sqref="F1117:Q1119">
    <cfRule type="expression" dxfId="15" priority="16" stopIfTrue="1">
      <formula>F1117&lt;&gt;ROUND(F1117*4,0)/4</formula>
    </cfRule>
  </conditionalFormatting>
  <conditionalFormatting sqref="F1123:Q1125">
    <cfRule type="expression" dxfId="14" priority="15" stopIfTrue="1">
      <formula>F1123&lt;&gt;ROUNDUP(F1123,0)</formula>
    </cfRule>
  </conditionalFormatting>
  <conditionalFormatting sqref="F1130:Q1132">
    <cfRule type="expression" dxfId="13" priority="14" stopIfTrue="1">
      <formula>F1130&lt;&gt;ROUND(F1130*4,0)/4</formula>
    </cfRule>
  </conditionalFormatting>
  <conditionalFormatting sqref="F1137:Q1139">
    <cfRule type="expression" dxfId="12" priority="13" stopIfTrue="1">
      <formula>F1137&lt;&gt;ROUND(F1137*4,0)/4</formula>
    </cfRule>
  </conditionalFormatting>
  <conditionalFormatting sqref="F1143:Q1145">
    <cfRule type="expression" dxfId="11" priority="12" stopIfTrue="1">
      <formula>F1143&lt;&gt;ROUNDUP(F1143,0)</formula>
    </cfRule>
  </conditionalFormatting>
  <conditionalFormatting sqref="F1150:Q1152">
    <cfRule type="expression" dxfId="10" priority="11" stopIfTrue="1">
      <formula>F1150&lt;&gt;ROUND(F1150*4,0)/4</formula>
    </cfRule>
  </conditionalFormatting>
  <conditionalFormatting sqref="F1157:Q1159">
    <cfRule type="expression" dxfId="9" priority="10" stopIfTrue="1">
      <formula>F1157&lt;&gt;ROUND(F1157*4,0)/4</formula>
    </cfRule>
  </conditionalFormatting>
  <conditionalFormatting sqref="F1163:Q1165">
    <cfRule type="expression" dxfId="8" priority="9" stopIfTrue="1">
      <formula>F1163&lt;&gt;ROUNDUP(F1163,0)</formula>
    </cfRule>
  </conditionalFormatting>
  <conditionalFormatting sqref="F1170:Q1172">
    <cfRule type="expression" dxfId="7" priority="8" stopIfTrue="1">
      <formula>F1170&lt;&gt;ROUND(F1170*4,0)/4</formula>
    </cfRule>
  </conditionalFormatting>
  <conditionalFormatting sqref="F1177:Q1179">
    <cfRule type="expression" dxfId="6" priority="7" stopIfTrue="1">
      <formula>F1177&lt;&gt;ROUND(F1177*4,0)/4</formula>
    </cfRule>
  </conditionalFormatting>
  <conditionalFormatting sqref="F1183:Q1185">
    <cfRule type="expression" dxfId="5" priority="6" stopIfTrue="1">
      <formula>F1183&lt;&gt;ROUNDUP(F1183,0)</formula>
    </cfRule>
  </conditionalFormatting>
  <conditionalFormatting sqref="F1190:Q1192">
    <cfRule type="expression" dxfId="4" priority="5" stopIfTrue="1">
      <formula>F1190&lt;&gt;ROUND(F1190*4,0)/4</formula>
    </cfRule>
  </conditionalFormatting>
  <conditionalFormatting sqref="F1197:Q1199">
    <cfRule type="expression" dxfId="3" priority="4" stopIfTrue="1">
      <formula>F1197&lt;&gt;ROUND(F1197*4,0)/4</formula>
    </cfRule>
  </conditionalFormatting>
  <conditionalFormatting sqref="F1203:Q1205">
    <cfRule type="expression" dxfId="2" priority="3" stopIfTrue="1">
      <formula>F1203&lt;&gt;ROUNDUP(F1203,0)</formula>
    </cfRule>
  </conditionalFormatting>
  <conditionalFormatting sqref="F1210:Q1212">
    <cfRule type="expression" dxfId="1" priority="2" stopIfTrue="1">
      <formula>F1210&lt;&gt;ROUND(F1210*4,0)/4</formula>
    </cfRule>
  </conditionalFormatting>
  <conditionalFormatting sqref="F1217:Q1219">
    <cfRule type="expression" dxfId="0" priority="1" stopIfTrue="1">
      <formula>F1217&lt;&gt;ROUND(F1217*4,0)/4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9DA9-3376-4A50-9EE8-C79873CFD410}">
  <sheetPr codeName="Sheet3"/>
  <dimension ref="A1:R103"/>
  <sheetViews>
    <sheetView workbookViewId="0"/>
  </sheetViews>
  <sheetFormatPr defaultRowHeight="14.5"/>
  <cols>
    <col min="1" max="1" width="14.6328125" customWidth="1"/>
    <col min="2" max="2" width="24.26953125" bestFit="1" customWidth="1"/>
    <col min="3" max="3" width="38.90625" bestFit="1" customWidth="1"/>
    <col min="4" max="4" width="6.08984375" customWidth="1"/>
    <col min="5" max="5" width="15.08984375" customWidth="1"/>
    <col min="6" max="6" width="20.453125" bestFit="1" customWidth="1"/>
    <col min="7" max="8" width="12" customWidth="1"/>
  </cols>
  <sheetData>
    <row r="1" spans="1:18">
      <c r="A1" t="s">
        <v>140</v>
      </c>
      <c r="B1" t="s">
        <v>141</v>
      </c>
      <c r="C1" t="s">
        <v>113</v>
      </c>
      <c r="E1" t="s">
        <v>139</v>
      </c>
    </row>
    <row r="2" spans="1:18">
      <c r="A2" s="339">
        <v>1412000004</v>
      </c>
      <c r="B2" s="340" t="s">
        <v>115</v>
      </c>
      <c r="E2" t="s">
        <v>110</v>
      </c>
    </row>
    <row r="3" spans="1:18">
      <c r="A3" s="339">
        <v>1412000005</v>
      </c>
      <c r="B3" s="340" t="s">
        <v>111</v>
      </c>
      <c r="E3" t="s">
        <v>99</v>
      </c>
      <c r="F3" t="s">
        <v>98</v>
      </c>
    </row>
    <row r="4" spans="1:18" ht="15" thickBot="1">
      <c r="A4" s="339">
        <v>1412000081</v>
      </c>
      <c r="B4" s="340" t="s">
        <v>118</v>
      </c>
      <c r="E4" t="s">
        <v>174</v>
      </c>
      <c r="F4" t="e">
        <f>VLOOKUP(E4,A:B,2,0)</f>
        <v>#N/A</v>
      </c>
    </row>
    <row r="5" spans="1:18">
      <c r="A5" s="339">
        <v>1412000066</v>
      </c>
      <c r="B5" s="340" t="s">
        <v>66</v>
      </c>
      <c r="E5" s="196" t="s">
        <v>40</v>
      </c>
      <c r="F5" s="197" t="s">
        <v>149</v>
      </c>
    </row>
    <row r="6" spans="1:18">
      <c r="A6" s="339">
        <v>1412000062</v>
      </c>
      <c r="B6" s="340" t="s">
        <v>112</v>
      </c>
      <c r="E6" s="176" t="s">
        <v>25</v>
      </c>
      <c r="F6" s="198" t="s">
        <v>150</v>
      </c>
    </row>
    <row r="7" spans="1:18">
      <c r="A7" s="339"/>
      <c r="B7" s="340"/>
      <c r="E7" s="312" t="s">
        <v>106</v>
      </c>
      <c r="F7" s="313" t="s">
        <v>159</v>
      </c>
    </row>
    <row r="8" spans="1:18">
      <c r="A8" s="339">
        <v>1412000034</v>
      </c>
      <c r="B8" s="340" t="s">
        <v>30</v>
      </c>
      <c r="E8" s="314" t="s">
        <v>158</v>
      </c>
      <c r="F8" s="313" t="s">
        <v>158</v>
      </c>
      <c r="R8">
        <v>0</v>
      </c>
    </row>
    <row r="9" spans="1:18">
      <c r="A9" s="339">
        <v>1412000048</v>
      </c>
      <c r="B9" s="340" t="s">
        <v>31</v>
      </c>
      <c r="E9" s="177" t="s">
        <v>26</v>
      </c>
      <c r="F9" s="199" t="s">
        <v>151</v>
      </c>
    </row>
    <row r="10" spans="1:18" ht="15" thickBot="1">
      <c r="A10" s="339">
        <v>1412000063</v>
      </c>
      <c r="B10" s="340" t="s">
        <v>117</v>
      </c>
      <c r="E10" s="178" t="s">
        <v>27</v>
      </c>
      <c r="F10" s="200" t="s">
        <v>152</v>
      </c>
    </row>
    <row r="11" spans="1:18" ht="15" thickBot="1">
      <c r="A11" s="339">
        <v>1412000055</v>
      </c>
      <c r="B11" s="340" t="s">
        <v>121</v>
      </c>
    </row>
    <row r="12" spans="1:18">
      <c r="A12" s="339"/>
      <c r="B12" s="340"/>
      <c r="E12" s="196" t="s">
        <v>28</v>
      </c>
      <c r="F12" s="197" t="s">
        <v>153</v>
      </c>
      <c r="R12">
        <v>0</v>
      </c>
    </row>
    <row r="13" spans="1:18">
      <c r="A13" s="339">
        <v>1412000056</v>
      </c>
      <c r="B13" s="340" t="s">
        <v>36</v>
      </c>
      <c r="E13" s="176" t="s">
        <v>25</v>
      </c>
      <c r="F13" s="198" t="s">
        <v>150</v>
      </c>
    </row>
    <row r="14" spans="1:18">
      <c r="A14" s="339">
        <v>1412000044</v>
      </c>
      <c r="B14" s="340" t="s">
        <v>32</v>
      </c>
      <c r="E14" s="312" t="s">
        <v>106</v>
      </c>
      <c r="F14" s="313" t="s">
        <v>159</v>
      </c>
    </row>
    <row r="15" spans="1:18">
      <c r="A15" s="339">
        <v>1412000087</v>
      </c>
      <c r="B15" s="340" t="s">
        <v>137</v>
      </c>
      <c r="E15" s="314" t="s">
        <v>158</v>
      </c>
      <c r="F15" s="313" t="s">
        <v>158</v>
      </c>
    </row>
    <row r="16" spans="1:18">
      <c r="A16" s="339">
        <v>1412000088</v>
      </c>
      <c r="B16" s="340" t="s">
        <v>122</v>
      </c>
      <c r="E16" s="177" t="s">
        <v>26</v>
      </c>
      <c r="F16" s="199" t="s">
        <v>151</v>
      </c>
      <c r="R16">
        <v>0</v>
      </c>
    </row>
    <row r="17" spans="1:6" ht="15" thickBot="1">
      <c r="A17" s="339"/>
      <c r="B17" s="340"/>
      <c r="E17" s="178" t="s">
        <v>44</v>
      </c>
      <c r="F17" s="200" t="s">
        <v>154</v>
      </c>
    </row>
    <row r="18" spans="1:6" ht="15" thickBot="1">
      <c r="A18" s="339">
        <v>1412000098</v>
      </c>
      <c r="B18" s="340" t="s">
        <v>160</v>
      </c>
    </row>
    <row r="19" spans="1:6">
      <c r="A19" s="339"/>
      <c r="B19" s="340"/>
      <c r="E19" s="196" t="s">
        <v>29</v>
      </c>
      <c r="F19" s="197" t="s">
        <v>155</v>
      </c>
    </row>
    <row r="20" spans="1:6">
      <c r="A20" s="339">
        <v>1412000008</v>
      </c>
      <c r="B20" s="340" t="s">
        <v>5</v>
      </c>
      <c r="E20" s="176" t="s">
        <v>25</v>
      </c>
      <c r="F20" s="198" t="s">
        <v>150</v>
      </c>
    </row>
    <row r="21" spans="1:6">
      <c r="A21" s="339">
        <v>1412000010</v>
      </c>
      <c r="B21" s="340" t="s">
        <v>7</v>
      </c>
      <c r="E21" s="312" t="s">
        <v>106</v>
      </c>
      <c r="F21" s="313" t="s">
        <v>159</v>
      </c>
    </row>
    <row r="22" spans="1:6">
      <c r="A22" s="339">
        <v>1412000054</v>
      </c>
      <c r="B22" s="340" t="s">
        <v>6</v>
      </c>
      <c r="E22" s="314" t="s">
        <v>158</v>
      </c>
      <c r="F22" s="313" t="s">
        <v>158</v>
      </c>
    </row>
    <row r="23" spans="1:6">
      <c r="A23" s="339">
        <v>1412000094</v>
      </c>
      <c r="B23" s="340" t="s">
        <v>161</v>
      </c>
      <c r="E23" s="177" t="s">
        <v>26</v>
      </c>
      <c r="F23" s="199" t="s">
        <v>151</v>
      </c>
    </row>
    <row r="24" spans="1:6" ht="15" thickBot="1">
      <c r="A24" s="339"/>
      <c r="B24" s="340"/>
      <c r="E24" s="178" t="s">
        <v>45</v>
      </c>
      <c r="F24" s="200" t="s">
        <v>156</v>
      </c>
    </row>
    <row r="25" spans="1:6">
      <c r="A25" s="339">
        <v>1412000036</v>
      </c>
      <c r="B25" s="340" t="s">
        <v>162</v>
      </c>
    </row>
    <row r="26" spans="1:6">
      <c r="A26" s="339">
        <v>1412000103</v>
      </c>
      <c r="B26" s="340" t="s">
        <v>163</v>
      </c>
    </row>
    <row r="27" spans="1:6">
      <c r="A27" s="339">
        <v>1412000072</v>
      </c>
      <c r="B27" s="340" t="s">
        <v>108</v>
      </c>
    </row>
    <row r="28" spans="1:6">
      <c r="A28" s="339">
        <v>1412000073</v>
      </c>
      <c r="B28" s="340" t="s">
        <v>93</v>
      </c>
    </row>
    <row r="29" spans="1:6">
      <c r="A29" s="339"/>
      <c r="B29" s="340"/>
    </row>
    <row r="30" spans="1:6">
      <c r="A30" s="339">
        <v>1412000053</v>
      </c>
      <c r="B30" s="340" t="s">
        <v>90</v>
      </c>
    </row>
    <row r="31" spans="1:6">
      <c r="A31" s="339">
        <v>1412000104</v>
      </c>
      <c r="B31" s="340" t="s">
        <v>91</v>
      </c>
    </row>
    <row r="32" spans="1:6">
      <c r="A32" s="339">
        <v>1412000105</v>
      </c>
      <c r="B32" s="340" t="s">
        <v>164</v>
      </c>
    </row>
    <row r="33" spans="1:2">
      <c r="A33" s="339">
        <v>1412000075</v>
      </c>
      <c r="B33" s="340" t="s">
        <v>165</v>
      </c>
    </row>
    <row r="34" spans="1:2">
      <c r="A34" s="339"/>
      <c r="B34" s="340"/>
    </row>
    <row r="35" spans="1:2">
      <c r="A35" s="339">
        <v>1412000013</v>
      </c>
      <c r="B35" s="340" t="s">
        <v>129</v>
      </c>
    </row>
    <row r="36" spans="1:2">
      <c r="A36" s="339">
        <v>1412000092</v>
      </c>
      <c r="B36" s="340" t="s">
        <v>130</v>
      </c>
    </row>
    <row r="37" spans="1:2">
      <c r="A37" s="339">
        <v>1412000035</v>
      </c>
      <c r="B37" s="340" t="s">
        <v>166</v>
      </c>
    </row>
    <row r="38" spans="1:2">
      <c r="A38" s="339"/>
      <c r="B38" s="340"/>
    </row>
    <row r="39" spans="1:2">
      <c r="A39" s="339">
        <v>1412000006</v>
      </c>
      <c r="B39" s="340" t="s">
        <v>1</v>
      </c>
    </row>
    <row r="40" spans="1:2">
      <c r="A40" s="339">
        <v>1412000039</v>
      </c>
      <c r="B40" s="340" t="s">
        <v>2</v>
      </c>
    </row>
    <row r="41" spans="1:2">
      <c r="A41" s="339">
        <v>1412000089</v>
      </c>
      <c r="B41" s="340" t="s">
        <v>138</v>
      </c>
    </row>
    <row r="42" spans="1:2">
      <c r="A42" s="339">
        <v>1412000040</v>
      </c>
      <c r="B42" s="340" t="s">
        <v>3</v>
      </c>
    </row>
    <row r="43" spans="1:2">
      <c r="A43" s="339"/>
      <c r="B43" s="340"/>
    </row>
    <row r="44" spans="1:2">
      <c r="A44" s="339">
        <v>1412000016</v>
      </c>
      <c r="B44" s="340" t="s">
        <v>86</v>
      </c>
    </row>
    <row r="45" spans="1:2">
      <c r="A45" s="339">
        <v>1412000069</v>
      </c>
      <c r="B45" s="340" t="s">
        <v>87</v>
      </c>
    </row>
    <row r="46" spans="1:2">
      <c r="A46" s="339">
        <v>1412000084</v>
      </c>
      <c r="B46" s="340" t="s">
        <v>120</v>
      </c>
    </row>
    <row r="47" spans="1:2">
      <c r="A47" s="339"/>
      <c r="B47" s="340"/>
    </row>
    <row r="48" spans="1:2">
      <c r="A48" s="339">
        <v>1412000080</v>
      </c>
      <c r="B48" s="340" t="s">
        <v>38</v>
      </c>
    </row>
    <row r="49" spans="1:2">
      <c r="A49" s="339"/>
      <c r="B49" s="340"/>
    </row>
    <row r="50" spans="1:2">
      <c r="A50" s="339">
        <v>1412000050</v>
      </c>
      <c r="B50" s="340" t="s">
        <v>100</v>
      </c>
    </row>
    <row r="51" spans="1:2">
      <c r="A51" s="339">
        <v>1412000077</v>
      </c>
      <c r="B51" s="340" t="s">
        <v>101</v>
      </c>
    </row>
    <row r="52" spans="1:2">
      <c r="A52" s="339">
        <v>1412000083</v>
      </c>
      <c r="B52" s="340" t="s">
        <v>119</v>
      </c>
    </row>
    <row r="53" spans="1:2">
      <c r="A53" s="339">
        <v>1412000099</v>
      </c>
      <c r="B53" s="340" t="s">
        <v>167</v>
      </c>
    </row>
    <row r="54" spans="1:2">
      <c r="A54" s="339">
        <v>1412000100</v>
      </c>
      <c r="B54" s="340" t="s">
        <v>168</v>
      </c>
    </row>
    <row r="55" spans="1:2">
      <c r="A55" s="339">
        <v>1412000057</v>
      </c>
      <c r="B55" s="340" t="s">
        <v>102</v>
      </c>
    </row>
    <row r="56" spans="1:2">
      <c r="A56" s="339">
        <v>1412000101</v>
      </c>
      <c r="B56" s="340" t="s">
        <v>103</v>
      </c>
    </row>
    <row r="57" spans="1:2">
      <c r="A57" s="339">
        <v>1412000078</v>
      </c>
      <c r="B57" s="340" t="s">
        <v>131</v>
      </c>
    </row>
    <row r="58" spans="1:2">
      <c r="A58" s="339">
        <v>1412000096</v>
      </c>
      <c r="B58" s="340" t="s">
        <v>147</v>
      </c>
    </row>
    <row r="59" spans="1:2">
      <c r="A59" s="339"/>
      <c r="B59" s="340"/>
    </row>
    <row r="60" spans="1:2">
      <c r="A60" s="339">
        <v>1412000018</v>
      </c>
      <c r="B60" s="340" t="s">
        <v>11</v>
      </c>
    </row>
    <row r="61" spans="1:2">
      <c r="A61" s="339">
        <v>1412000019</v>
      </c>
      <c r="B61" s="340" t="s">
        <v>95</v>
      </c>
    </row>
    <row r="62" spans="1:2">
      <c r="A62" s="339"/>
      <c r="B62" s="340"/>
    </row>
    <row r="63" spans="1:2">
      <c r="A63" s="339">
        <v>1412000058</v>
      </c>
      <c r="B63" s="340" t="s">
        <v>13</v>
      </c>
    </row>
    <row r="64" spans="1:2">
      <c r="A64" s="339">
        <v>1412000042</v>
      </c>
      <c r="B64" s="340" t="s">
        <v>14</v>
      </c>
    </row>
    <row r="65" spans="1:2">
      <c r="A65" s="339">
        <v>1412000021</v>
      </c>
      <c r="B65" s="340" t="s">
        <v>39</v>
      </c>
    </row>
    <row r="66" spans="1:2">
      <c r="A66" s="339">
        <v>1412000070</v>
      </c>
      <c r="B66" s="340" t="s">
        <v>96</v>
      </c>
    </row>
    <row r="67" spans="1:2">
      <c r="A67" s="339">
        <v>1412000022</v>
      </c>
      <c r="B67" s="340" t="s">
        <v>15</v>
      </c>
    </row>
    <row r="68" spans="1:2">
      <c r="A68" s="339"/>
      <c r="B68" s="340"/>
    </row>
    <row r="69" spans="1:2">
      <c r="A69" s="339">
        <v>1412000024</v>
      </c>
      <c r="B69" s="340" t="s">
        <v>17</v>
      </c>
    </row>
    <row r="70" spans="1:2">
      <c r="A70" s="339">
        <v>1412000025</v>
      </c>
      <c r="B70" s="340" t="s">
        <v>18</v>
      </c>
    </row>
    <row r="71" spans="1:2">
      <c r="A71" s="339">
        <v>1412000026</v>
      </c>
      <c r="B71" s="340" t="s">
        <v>19</v>
      </c>
    </row>
    <row r="72" spans="1:2">
      <c r="A72" s="339">
        <v>1412000093</v>
      </c>
      <c r="B72" s="340" t="s">
        <v>134</v>
      </c>
    </row>
    <row r="73" spans="1:2">
      <c r="A73" s="339">
        <v>1412000091</v>
      </c>
      <c r="B73" s="340" t="s">
        <v>135</v>
      </c>
    </row>
    <row r="74" spans="1:2">
      <c r="A74" s="339"/>
      <c r="B74" s="340"/>
    </row>
    <row r="75" spans="1:2">
      <c r="A75" s="339">
        <v>1412000028</v>
      </c>
      <c r="B75" s="340" t="s">
        <v>21</v>
      </c>
    </row>
    <row r="76" spans="1:2">
      <c r="A76" s="339">
        <v>1412000029</v>
      </c>
      <c r="B76" s="340" t="s">
        <v>22</v>
      </c>
    </row>
    <row r="77" spans="1:2">
      <c r="A77" s="339">
        <v>1412000030</v>
      </c>
      <c r="B77" s="340" t="s">
        <v>68</v>
      </c>
    </row>
    <row r="78" spans="1:2">
      <c r="A78" s="339"/>
      <c r="B78" s="340"/>
    </row>
    <row r="79" spans="1:2">
      <c r="A79" s="339">
        <v>1412000086</v>
      </c>
      <c r="B79" s="340" t="s">
        <v>24</v>
      </c>
    </row>
    <row r="80" spans="1:2">
      <c r="A80" s="341"/>
      <c r="B80" s="342"/>
    </row>
    <row r="81" spans="1:2">
      <c r="A81" s="341">
        <v>1412000003</v>
      </c>
      <c r="B81" s="342" t="s">
        <v>114</v>
      </c>
    </row>
    <row r="82" spans="1:2">
      <c r="A82" s="341">
        <v>1412000033</v>
      </c>
      <c r="B82" s="342" t="s">
        <v>51</v>
      </c>
    </row>
    <row r="83" spans="1:2">
      <c r="A83" s="341">
        <v>1412000043</v>
      </c>
      <c r="B83" s="342" t="s">
        <v>37</v>
      </c>
    </row>
    <row r="84" spans="1:2">
      <c r="A84" s="341">
        <v>1412000097</v>
      </c>
      <c r="B84" s="342" t="s">
        <v>169</v>
      </c>
    </row>
    <row r="85" spans="1:2">
      <c r="A85" s="341">
        <v>1412000007</v>
      </c>
      <c r="B85" s="342" t="s">
        <v>8</v>
      </c>
    </row>
    <row r="86" spans="1:2">
      <c r="A86" s="341">
        <v>1412000071</v>
      </c>
      <c r="B86" s="342" t="s">
        <v>92</v>
      </c>
    </row>
    <row r="87" spans="1:2">
      <c r="A87" s="341">
        <v>1412000052</v>
      </c>
      <c r="B87" s="342" t="s">
        <v>145</v>
      </c>
    </row>
    <row r="88" spans="1:2">
      <c r="A88" s="341">
        <v>1412000012</v>
      </c>
      <c r="B88" s="342" t="s">
        <v>170</v>
      </c>
    </row>
    <row r="89" spans="1:2">
      <c r="A89" s="341">
        <v>1412000038</v>
      </c>
      <c r="B89" s="342" t="s">
        <v>4</v>
      </c>
    </row>
    <row r="90" spans="1:2">
      <c r="A90" s="341">
        <v>1412000015</v>
      </c>
      <c r="B90" s="342" t="s">
        <v>10</v>
      </c>
    </row>
    <row r="91" spans="1:2">
      <c r="A91" s="341">
        <v>1412000079</v>
      </c>
      <c r="B91" s="342" t="s">
        <v>146</v>
      </c>
    </row>
    <row r="92" spans="1:2">
      <c r="A92" s="341">
        <v>1412000049</v>
      </c>
      <c r="B92" s="342" t="s">
        <v>34</v>
      </c>
    </row>
    <row r="93" spans="1:2">
      <c r="A93" s="341">
        <v>1412000017</v>
      </c>
      <c r="B93" s="342" t="s">
        <v>12</v>
      </c>
    </row>
    <row r="94" spans="1:2">
      <c r="A94" s="341">
        <v>1412000020</v>
      </c>
      <c r="B94" s="342" t="s">
        <v>69</v>
      </c>
    </row>
    <row r="95" spans="1:2">
      <c r="A95" s="341">
        <v>1412000023</v>
      </c>
      <c r="B95" s="342" t="s">
        <v>20</v>
      </c>
    </row>
    <row r="96" spans="1:2">
      <c r="A96" s="341">
        <v>1412000027</v>
      </c>
      <c r="B96" s="342" t="s">
        <v>23</v>
      </c>
    </row>
    <row r="97" spans="1:2">
      <c r="A97" s="341">
        <v>1412000085</v>
      </c>
      <c r="B97" s="342" t="s">
        <v>126</v>
      </c>
    </row>
    <row r="98" spans="1:2">
      <c r="A98" s="341">
        <v>1412000002</v>
      </c>
      <c r="B98" s="342" t="s">
        <v>143</v>
      </c>
    </row>
    <row r="99" spans="1:2">
      <c r="A99" s="341">
        <v>1412000046</v>
      </c>
      <c r="B99" s="342" t="s">
        <v>144</v>
      </c>
    </row>
    <row r="100" spans="1:2">
      <c r="A100" s="341">
        <v>1412000090</v>
      </c>
      <c r="B100" s="342" t="s">
        <v>132</v>
      </c>
    </row>
    <row r="101" spans="1:2">
      <c r="A101" s="341">
        <v>1412000001</v>
      </c>
      <c r="B101" s="342" t="s">
        <v>142</v>
      </c>
    </row>
    <row r="102" spans="1:2">
      <c r="A102" s="341" t="s">
        <v>148</v>
      </c>
      <c r="B102" s="342" t="s">
        <v>171</v>
      </c>
    </row>
    <row r="103" spans="1:2">
      <c r="A103" s="341" t="s">
        <v>104</v>
      </c>
      <c r="B103" s="342" t="s">
        <v>105</v>
      </c>
    </row>
  </sheetData>
  <sheetCalcPr fullCalcOnLoad="1"/>
  <phoneticPr fontId="5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B833B-9CE2-4122-B64E-C46375F2274A}">
  <sheetPr codeName="Sheet4">
    <tabColor theme="6" tint="0.39997558519241921"/>
  </sheetPr>
  <dimension ref="A1:BX89"/>
  <sheetViews>
    <sheetView zoomScaleNormal="100" workbookViewId="0">
      <pane xSplit="3" ySplit="2" topLeftCell="D3" activePane="bottomRight" state="frozen"/>
      <selection activeCell="C1" sqref="C1"/>
      <selection pane="topRight" activeCell="G1" sqref="G1"/>
      <selection pane="bottomLeft" activeCell="C3" sqref="C3"/>
      <selection pane="bottomRight" activeCell="D4" sqref="D4"/>
    </sheetView>
  </sheetViews>
  <sheetFormatPr defaultRowHeight="14.5" outlineLevelCol="1"/>
  <cols>
    <col min="1" max="1" width="9.08984375" hidden="1" customWidth="1" outlineLevel="1"/>
    <col min="2" max="2" width="7.6328125" customWidth="1" collapsed="1"/>
    <col min="3" max="3" width="20.6328125" customWidth="1"/>
    <col min="4" max="76" width="19.26953125" customWidth="1"/>
  </cols>
  <sheetData>
    <row r="1" spans="1:76" ht="30.75" customHeight="1" thickBot="1">
      <c r="A1" s="94"/>
      <c r="B1" s="148" t="s">
        <v>136</v>
      </c>
    </row>
    <row r="2" spans="1:76" ht="25.5" customHeight="1" thickBot="1">
      <c r="A2" s="94"/>
      <c r="B2" s="149"/>
      <c r="C2" s="98"/>
      <c r="D2" s="100" t="s">
        <v>115</v>
      </c>
      <c r="E2" s="101" t="s">
        <v>111</v>
      </c>
      <c r="F2" s="119" t="s">
        <v>118</v>
      </c>
      <c r="G2" s="100" t="s">
        <v>66</v>
      </c>
      <c r="H2" s="101" t="s">
        <v>112</v>
      </c>
      <c r="I2" s="102" t="s">
        <v>114</v>
      </c>
      <c r="J2" s="100" t="s">
        <v>30</v>
      </c>
      <c r="K2" s="101" t="s">
        <v>31</v>
      </c>
      <c r="L2" s="101" t="s">
        <v>117</v>
      </c>
      <c r="M2" s="101" t="s">
        <v>121</v>
      </c>
      <c r="N2" s="102" t="s">
        <v>0</v>
      </c>
      <c r="O2" s="100" t="s">
        <v>36</v>
      </c>
      <c r="P2" s="119" t="s">
        <v>32</v>
      </c>
      <c r="Q2" s="119" t="s">
        <v>123</v>
      </c>
      <c r="R2" s="119" t="s">
        <v>122</v>
      </c>
      <c r="S2" s="119" t="s">
        <v>38</v>
      </c>
      <c r="T2" s="102" t="s">
        <v>37</v>
      </c>
      <c r="U2" s="100" t="s">
        <v>5</v>
      </c>
      <c r="V2" s="101" t="s">
        <v>7</v>
      </c>
      <c r="W2" s="101" t="s">
        <v>6</v>
      </c>
      <c r="X2" s="102" t="s">
        <v>8</v>
      </c>
      <c r="Y2" s="100" t="s">
        <v>109</v>
      </c>
      <c r="Z2" s="100" t="s">
        <v>108</v>
      </c>
      <c r="AA2" s="100" t="s">
        <v>93</v>
      </c>
      <c r="AB2" s="102" t="s">
        <v>92</v>
      </c>
      <c r="AC2" s="102" t="s">
        <v>128</v>
      </c>
      <c r="AD2" s="100" t="s">
        <v>1</v>
      </c>
      <c r="AE2" s="101" t="s">
        <v>2</v>
      </c>
      <c r="AF2" s="101" t="s">
        <v>124</v>
      </c>
      <c r="AG2" s="101" t="s">
        <v>3</v>
      </c>
      <c r="AH2" s="102" t="s">
        <v>4</v>
      </c>
      <c r="AI2" s="100" t="s">
        <v>86</v>
      </c>
      <c r="AJ2" s="100" t="s">
        <v>87</v>
      </c>
      <c r="AK2" s="100" t="s">
        <v>120</v>
      </c>
      <c r="AL2" s="102" t="s">
        <v>10</v>
      </c>
      <c r="AM2" s="100" t="s">
        <v>90</v>
      </c>
      <c r="AN2" s="100" t="s">
        <v>91</v>
      </c>
      <c r="AO2" s="102" t="s">
        <v>125</v>
      </c>
      <c r="AP2" s="100" t="s">
        <v>129</v>
      </c>
      <c r="AQ2" s="100" t="s">
        <v>130</v>
      </c>
      <c r="AR2" s="101" t="s">
        <v>94</v>
      </c>
      <c r="AS2" s="102" t="s">
        <v>127</v>
      </c>
      <c r="AT2" s="102" t="s">
        <v>33</v>
      </c>
      <c r="AU2" s="100" t="s">
        <v>100</v>
      </c>
      <c r="AV2" s="100" t="s">
        <v>101</v>
      </c>
      <c r="AW2" s="100" t="s">
        <v>119</v>
      </c>
      <c r="AX2" s="100" t="s">
        <v>102</v>
      </c>
      <c r="AY2" s="101" t="s">
        <v>131</v>
      </c>
      <c r="AZ2" s="102" t="s">
        <v>34</v>
      </c>
      <c r="BA2" s="102" t="s">
        <v>132</v>
      </c>
      <c r="BB2" s="100" t="s">
        <v>11</v>
      </c>
      <c r="BC2" s="101" t="s">
        <v>95</v>
      </c>
      <c r="BD2" s="102" t="s">
        <v>12</v>
      </c>
      <c r="BE2" s="100" t="s">
        <v>13</v>
      </c>
      <c r="BF2" s="101" t="s">
        <v>14</v>
      </c>
      <c r="BG2" s="101" t="s">
        <v>39</v>
      </c>
      <c r="BH2" s="101" t="s">
        <v>96</v>
      </c>
      <c r="BI2" s="101" t="s">
        <v>15</v>
      </c>
      <c r="BJ2" s="102" t="s">
        <v>16</v>
      </c>
      <c r="BK2" s="100" t="s">
        <v>17</v>
      </c>
      <c r="BL2" s="101" t="s">
        <v>18</v>
      </c>
      <c r="BM2" s="101" t="s">
        <v>133</v>
      </c>
      <c r="BN2" s="101" t="s">
        <v>19</v>
      </c>
      <c r="BO2" s="101" t="s">
        <v>134</v>
      </c>
      <c r="BP2" s="101" t="s">
        <v>135</v>
      </c>
      <c r="BQ2" s="102" t="s">
        <v>20</v>
      </c>
      <c r="BR2" s="100" t="s">
        <v>21</v>
      </c>
      <c r="BS2" s="101" t="s">
        <v>22</v>
      </c>
      <c r="BT2" s="101" t="s">
        <v>68</v>
      </c>
      <c r="BU2" s="102" t="s">
        <v>23</v>
      </c>
      <c r="BV2" s="100" t="s">
        <v>24</v>
      </c>
      <c r="BW2" s="102" t="s">
        <v>126</v>
      </c>
      <c r="BX2" s="99" t="s">
        <v>35</v>
      </c>
    </row>
    <row r="3" spans="1:76" s="124" customFormat="1" ht="21.5" thickBot="1">
      <c r="A3" s="134"/>
      <c r="B3" s="96">
        <v>4</v>
      </c>
      <c r="C3" s="138" t="s">
        <v>40</v>
      </c>
      <c r="D3" s="139"/>
      <c r="E3" s="139"/>
      <c r="F3" s="139"/>
      <c r="G3" s="139"/>
      <c r="H3" s="139"/>
      <c r="I3" s="140"/>
      <c r="J3" s="139"/>
      <c r="K3" s="139"/>
      <c r="L3" s="139"/>
      <c r="M3" s="139"/>
      <c r="N3" s="140"/>
      <c r="O3" s="139"/>
      <c r="P3" s="139"/>
      <c r="Q3" s="139"/>
      <c r="R3" s="139"/>
      <c r="S3" s="139"/>
      <c r="T3" s="140"/>
      <c r="U3" s="139"/>
      <c r="V3" s="139"/>
      <c r="W3" s="139"/>
      <c r="X3" s="140"/>
      <c r="Y3" s="139"/>
      <c r="Z3" s="139"/>
      <c r="AA3" s="139"/>
      <c r="AB3" s="140"/>
      <c r="AC3" s="140"/>
      <c r="AD3" s="139"/>
      <c r="AE3" s="139"/>
      <c r="AF3" s="139"/>
      <c r="AG3" s="139"/>
      <c r="AH3" s="140"/>
      <c r="AI3" s="139"/>
      <c r="AJ3" s="139"/>
      <c r="AK3" s="139"/>
      <c r="AL3" s="140"/>
      <c r="AM3" s="139"/>
      <c r="AN3" s="139"/>
      <c r="AO3" s="140"/>
      <c r="AP3" s="139"/>
      <c r="AQ3" s="139"/>
      <c r="AR3" s="139"/>
      <c r="AS3" s="140"/>
      <c r="AT3" s="140"/>
      <c r="AU3" s="139"/>
      <c r="AV3" s="139"/>
      <c r="AW3" s="139"/>
      <c r="AX3" s="139"/>
      <c r="AY3" s="139"/>
      <c r="AZ3" s="140"/>
      <c r="BA3" s="140"/>
      <c r="BB3" s="139"/>
      <c r="BC3" s="139"/>
      <c r="BD3" s="140"/>
      <c r="BE3" s="139"/>
      <c r="BF3" s="139"/>
      <c r="BG3" s="139"/>
      <c r="BH3" s="139"/>
      <c r="BI3" s="139"/>
      <c r="BJ3" s="140"/>
      <c r="BK3" s="139"/>
      <c r="BL3" s="139"/>
      <c r="BM3" s="139"/>
      <c r="BN3" s="139"/>
      <c r="BO3" s="139"/>
      <c r="BP3" s="139"/>
      <c r="BQ3" s="140"/>
      <c r="BR3" s="139"/>
      <c r="BS3" s="139"/>
      <c r="BT3" s="139"/>
      <c r="BU3" s="140"/>
      <c r="BV3" s="139"/>
      <c r="BW3" s="140"/>
      <c r="BX3" s="141"/>
    </row>
    <row r="4" spans="1:76" s="124" customFormat="1" ht="17.25" customHeight="1">
      <c r="A4" s="120" t="s">
        <v>40</v>
      </c>
      <c r="B4" s="150">
        <v>4</v>
      </c>
      <c r="C4" s="121" t="s">
        <v>25</v>
      </c>
      <c r="D4" s="122" t="e">
        <f>VLOOKUP(D$2&amp;$C4&amp;$A4,集計!$D:$R,$B4,0)</f>
        <v>#N/A</v>
      </c>
      <c r="E4" s="122" t="e">
        <f>VLOOKUP(E$2&amp;$C4&amp;$A4,集計!$D:$R,$B4,0)</f>
        <v>#N/A</v>
      </c>
      <c r="F4" s="122" t="e">
        <f>VLOOKUP(F$2&amp;$C4&amp;$A4,集計!$D:$R,$B4,0)</f>
        <v>#N/A</v>
      </c>
      <c r="G4" s="122" t="e">
        <f>VLOOKUP(G$2&amp;$C4&amp;$A4,集計!$D:$R,$B4,0)</f>
        <v>#N/A</v>
      </c>
      <c r="H4" s="122" t="e">
        <f>VLOOKUP(H$2&amp;$C4&amp;$A4,集計!$D:$R,$B4,0)</f>
        <v>#N/A</v>
      </c>
      <c r="I4" s="123" t="e">
        <f>D4+E4+F4+G4+H4</f>
        <v>#N/A</v>
      </c>
      <c r="J4" s="122" t="e">
        <f>VLOOKUP(J$2&amp;$C4&amp;$A4,集計!$D:$R,$B4,0)</f>
        <v>#N/A</v>
      </c>
      <c r="K4" s="122" t="e">
        <f>VLOOKUP(K$2&amp;$C4&amp;$A4,集計!$D:$R,$B4,0)</f>
        <v>#N/A</v>
      </c>
      <c r="L4" s="122" t="e">
        <f>VLOOKUP(L$2&amp;$C4&amp;$A4,集計!$D:$R,$B4,0)</f>
        <v>#N/A</v>
      </c>
      <c r="M4" s="122" t="e">
        <f>VLOOKUP(M$2&amp;$C4&amp;$A4,集計!$D:$R,$B4,0)</f>
        <v>#N/A</v>
      </c>
      <c r="N4" s="123" t="e">
        <f>J4+K4+L4+M4</f>
        <v>#N/A</v>
      </c>
      <c r="O4" s="122" t="e">
        <f>VLOOKUP(O$2&amp;$C4&amp;$A4,集計!$D:$R,$B4,0)</f>
        <v>#N/A</v>
      </c>
      <c r="P4" s="122" t="e">
        <f>VLOOKUP(P$2&amp;$C4&amp;$A4,集計!$D:$R,$B4,0)</f>
        <v>#N/A</v>
      </c>
      <c r="Q4" s="122" t="e">
        <f>VLOOKUP(Q$2&amp;$C4&amp;$A4,集計!$D:$R,$B4,0)</f>
        <v>#N/A</v>
      </c>
      <c r="R4" s="122" t="e">
        <f>VLOOKUP(R$2&amp;$C4&amp;$A4,集計!$D:$R,$B4,0)</f>
        <v>#N/A</v>
      </c>
      <c r="S4" s="122" t="e">
        <f>VLOOKUP(S$2&amp;$C4&amp;$A4,集計!$D:$R,$B4,0)</f>
        <v>#N/A</v>
      </c>
      <c r="T4" s="123" t="e">
        <f>O4+P4+Q4+R4+S4</f>
        <v>#N/A</v>
      </c>
      <c r="U4" s="122" t="e">
        <f>VLOOKUP(U$2&amp;$C4&amp;$A4,集計!$D:$R,$B4,0)</f>
        <v>#N/A</v>
      </c>
      <c r="V4" s="122" t="e">
        <f>VLOOKUP(V$2&amp;$C4&amp;$A4,集計!$D:$R,$B4,0)</f>
        <v>#N/A</v>
      </c>
      <c r="W4" s="122" t="e">
        <f>VLOOKUP(W$2&amp;$C4&amp;$A4,集計!$D:$R,$B4,0)</f>
        <v>#N/A</v>
      </c>
      <c r="X4" s="123" t="e">
        <f>U4+V4+W4</f>
        <v>#N/A</v>
      </c>
      <c r="Y4" s="122" t="e">
        <f>VLOOKUP(Y$2&amp;$C4&amp;$A4,集計!$D:$R,$B4,0)</f>
        <v>#N/A</v>
      </c>
      <c r="Z4" s="122" t="e">
        <f>VLOOKUP(Z$2&amp;$C4&amp;$A4,集計!$D:$R,$B4,0)</f>
        <v>#N/A</v>
      </c>
      <c r="AA4" s="122" t="e">
        <f>VLOOKUP(AA$2&amp;$C4&amp;$A4,集計!$D:$R,$B4,0)</f>
        <v>#N/A</v>
      </c>
      <c r="AB4" s="123" t="e">
        <f>Y4+Z4+AA4</f>
        <v>#N/A</v>
      </c>
      <c r="AC4" s="123" t="e">
        <f>I4+N4+T4+X4+AB4</f>
        <v>#N/A</v>
      </c>
      <c r="AD4" s="122" t="e">
        <f>VLOOKUP(AD$2&amp;$C4&amp;$A4,集計!$D:$R,$B4,0)</f>
        <v>#N/A</v>
      </c>
      <c r="AE4" s="122" t="e">
        <f>VLOOKUP(AE$2&amp;$C4&amp;$A4,集計!$D:$R,$B4,0)</f>
        <v>#N/A</v>
      </c>
      <c r="AF4" s="122" t="e">
        <f>VLOOKUP(AF$2&amp;$C4&amp;$A4,集計!$D:$R,$B4,0)</f>
        <v>#N/A</v>
      </c>
      <c r="AG4" s="122" t="e">
        <f>VLOOKUP(AG$2&amp;$C4&amp;$A4,集計!$D:$R,$B4,0)</f>
        <v>#N/A</v>
      </c>
      <c r="AH4" s="123" t="e">
        <f>AD4+AE4+AF4+AG4</f>
        <v>#N/A</v>
      </c>
      <c r="AI4" s="122" t="e">
        <f>VLOOKUP(AI$2&amp;$C4&amp;$A4,集計!$D:$R,$B4,0)</f>
        <v>#N/A</v>
      </c>
      <c r="AJ4" s="122" t="e">
        <f>VLOOKUP(AJ$2&amp;$C4&amp;$A4,集計!$D:$R,$B4,0)</f>
        <v>#N/A</v>
      </c>
      <c r="AK4" s="122" t="e">
        <f>VLOOKUP(AK$2&amp;$C4&amp;$A4,集計!$D:$R,$B4,0)</f>
        <v>#N/A</v>
      </c>
      <c r="AL4" s="123" t="e">
        <f>AI4+AJ4+AK4</f>
        <v>#N/A</v>
      </c>
      <c r="AM4" s="122" t="e">
        <f>VLOOKUP(AM$2&amp;$C4&amp;$A4,集計!$D:$R,$B4,0)</f>
        <v>#N/A</v>
      </c>
      <c r="AN4" s="122" t="e">
        <f>VLOOKUP(AN$2&amp;$C4&amp;$A4,集計!$D:$R,$B4,0)</f>
        <v>#N/A</v>
      </c>
      <c r="AO4" s="123" t="e">
        <f>AM4+AN4</f>
        <v>#N/A</v>
      </c>
      <c r="AP4" s="122" t="e">
        <f>VLOOKUP(AP$2&amp;$C4&amp;$A4,集計!$D:$R,$B4,0)</f>
        <v>#N/A</v>
      </c>
      <c r="AQ4" s="122" t="e">
        <f>VLOOKUP(AQ$2&amp;$C4&amp;$A4,集計!$D:$R,$B4,0)</f>
        <v>#N/A</v>
      </c>
      <c r="AR4" s="122" t="e">
        <f>VLOOKUP(AR$2&amp;$C4&amp;$A4,集計!$D:$R,$B4,0)</f>
        <v>#N/A</v>
      </c>
      <c r="AS4" s="123" t="e">
        <f>AP4+AQ4+AR4</f>
        <v>#N/A</v>
      </c>
      <c r="AT4" s="123" t="e">
        <f>AH4+AL4+AO4+AS4</f>
        <v>#N/A</v>
      </c>
      <c r="AU4" s="122" t="e">
        <f>VLOOKUP(AU$2&amp;$C4&amp;$A4,集計!$D:$R,$B4,0)</f>
        <v>#N/A</v>
      </c>
      <c r="AV4" s="122" t="e">
        <f>VLOOKUP(AV$2&amp;$C4&amp;$A4,集計!$D:$R,$B4,0)</f>
        <v>#N/A</v>
      </c>
      <c r="AW4" s="122" t="e">
        <f>VLOOKUP(AW$2&amp;$C4&amp;$A4,集計!$D:$R,$B4,0)</f>
        <v>#N/A</v>
      </c>
      <c r="AX4" s="122" t="e">
        <f>VLOOKUP(AX$2&amp;$C4&amp;$A4,集計!$D:$R,$B4,0)</f>
        <v>#N/A</v>
      </c>
      <c r="AY4" s="122" t="e">
        <f>VLOOKUP(AY$2&amp;$C4&amp;$A4,集計!$D:$R,$B4,0)</f>
        <v>#N/A</v>
      </c>
      <c r="AZ4" s="123" t="e">
        <f>AU4+AV4+AW4+AX4+AY4</f>
        <v>#N/A</v>
      </c>
      <c r="BA4" s="123" t="e">
        <f>AZ4</f>
        <v>#N/A</v>
      </c>
      <c r="BB4" s="122" t="e">
        <f>VLOOKUP(BB$2&amp;$C4&amp;$A4,集計!$D:$R,$B4,0)</f>
        <v>#N/A</v>
      </c>
      <c r="BC4" s="122" t="e">
        <f>VLOOKUP(BC$2&amp;$C4&amp;$A4,集計!$D:$R,$B4,0)</f>
        <v>#N/A</v>
      </c>
      <c r="BD4" s="123" t="e">
        <f>BB4+BC4</f>
        <v>#N/A</v>
      </c>
      <c r="BE4" s="122" t="e">
        <f>VLOOKUP(BE$2&amp;$C4&amp;$A4,集計!$D:$R,$B4,0)</f>
        <v>#N/A</v>
      </c>
      <c r="BF4" s="122" t="e">
        <f>VLOOKUP(BF$2&amp;$C4&amp;$A4,集計!$D:$R,$B4,0)</f>
        <v>#N/A</v>
      </c>
      <c r="BG4" s="122" t="e">
        <f>VLOOKUP(BG$2&amp;$C4&amp;$A4,集計!$D:$R,$B4,0)</f>
        <v>#N/A</v>
      </c>
      <c r="BH4" s="122" t="e">
        <f>VLOOKUP(BH$2&amp;$C4&amp;$A4,集計!$D:$R,$B4,0)</f>
        <v>#N/A</v>
      </c>
      <c r="BI4" s="122" t="e">
        <f>VLOOKUP(BI$2&amp;$C4&amp;$A4,集計!$D:$R,$B4,0)</f>
        <v>#N/A</v>
      </c>
      <c r="BJ4" s="123" t="e">
        <f>BE4+BF4+BG4+BH4+BI4</f>
        <v>#N/A</v>
      </c>
      <c r="BK4" s="122" t="e">
        <f>VLOOKUP(BK$2&amp;$C4&amp;$A4,集計!$D:$R,$B4,0)</f>
        <v>#N/A</v>
      </c>
      <c r="BL4" s="122" t="e">
        <f>VLOOKUP(BL$2&amp;$C4&amp;$A4,集計!$D:$R,$B4,0)</f>
        <v>#N/A</v>
      </c>
      <c r="BM4" s="122" t="e">
        <f>VLOOKUP(BM$2&amp;$C4&amp;$A4,集計!$D:$R,$B4,0)</f>
        <v>#N/A</v>
      </c>
      <c r="BN4" s="122" t="e">
        <f>VLOOKUP(BN$2&amp;$C4&amp;$A4,集計!$D:$R,$B4,0)</f>
        <v>#N/A</v>
      </c>
      <c r="BO4" s="122" t="e">
        <f>VLOOKUP(BO$2&amp;$C4&amp;$A4,集計!$D:$R,$B4,0)</f>
        <v>#N/A</v>
      </c>
      <c r="BP4" s="122" t="e">
        <f>VLOOKUP(BP$2&amp;$C4&amp;$A4,集計!$D:$R,$B4,0)</f>
        <v>#N/A</v>
      </c>
      <c r="BQ4" s="123" t="e">
        <f>BK4+BL4+BM4+BN4+BO4+BP4</f>
        <v>#N/A</v>
      </c>
      <c r="BR4" s="122" t="e">
        <f>VLOOKUP(BR$2&amp;$C4&amp;$A4,集計!$D:$R,$B4,0)</f>
        <v>#N/A</v>
      </c>
      <c r="BS4" s="122" t="e">
        <f>VLOOKUP(BS$2&amp;$C4&amp;$A4,集計!$D:$R,$B4,0)</f>
        <v>#N/A</v>
      </c>
      <c r="BT4" s="122" t="e">
        <f>VLOOKUP(BT$2&amp;$C4&amp;$A4,集計!$D:$R,$B4,0)</f>
        <v>#N/A</v>
      </c>
      <c r="BU4" s="123" t="e">
        <f>BR4+BS4+BT4</f>
        <v>#N/A</v>
      </c>
      <c r="BV4" s="122" t="e">
        <f>VLOOKUP(BV$2&amp;$C4&amp;$A4,集計!$D:$R,$B4,0)</f>
        <v>#N/A</v>
      </c>
      <c r="BW4" s="123" t="e">
        <f>BV4</f>
        <v>#N/A</v>
      </c>
      <c r="BX4" s="123" t="e">
        <f>AC4+AT4+BA4+BD4+BJ4+BQ4+BU4+BW4</f>
        <v>#N/A</v>
      </c>
    </row>
    <row r="5" spans="1:76" s="124" customFormat="1">
      <c r="A5" s="120" t="s">
        <v>40</v>
      </c>
      <c r="B5" s="150">
        <v>4</v>
      </c>
      <c r="C5" s="125" t="s">
        <v>106</v>
      </c>
      <c r="D5" s="126" t="e">
        <f>VLOOKUP(D$2&amp;$C5&amp;$A5,集計!$D:$R,$B5,0)</f>
        <v>#N/A</v>
      </c>
      <c r="E5" s="126" t="e">
        <f>VLOOKUP(E$2&amp;$C5&amp;$A5,集計!$D:$R,$B5,0)</f>
        <v>#N/A</v>
      </c>
      <c r="F5" s="126" t="e">
        <f>VLOOKUP(F$2&amp;$C5&amp;$A5,集計!$D:$R,$B5,0)</f>
        <v>#N/A</v>
      </c>
      <c r="G5" s="126" t="e">
        <f>VLOOKUP(G$2&amp;$C5&amp;$A5,集計!$D:$R,$B5,0)</f>
        <v>#N/A</v>
      </c>
      <c r="H5" s="126" t="e">
        <f>VLOOKUP(H$2&amp;$C5&amp;$A5,集計!$D:$R,$B5,0)</f>
        <v>#N/A</v>
      </c>
      <c r="I5" s="127" t="e">
        <f>D5+E5+F5+G5+H5</f>
        <v>#N/A</v>
      </c>
      <c r="J5" s="126" t="e">
        <f>VLOOKUP(J$2&amp;$C5&amp;$A5,集計!$D:$R,$B5,0)</f>
        <v>#N/A</v>
      </c>
      <c r="K5" s="126" t="e">
        <f>VLOOKUP(K$2&amp;$C5&amp;$A5,集計!$D:$R,$B5,0)</f>
        <v>#N/A</v>
      </c>
      <c r="L5" s="126" t="e">
        <f>VLOOKUP(L$2&amp;$C5&amp;$A5,集計!$D:$R,$B5,0)</f>
        <v>#N/A</v>
      </c>
      <c r="M5" s="126" t="e">
        <f>VLOOKUP(M$2&amp;$C5&amp;$A5,集計!$D:$R,$B5,0)</f>
        <v>#N/A</v>
      </c>
      <c r="N5" s="127" t="e">
        <f>J5+K5+L5+M5</f>
        <v>#N/A</v>
      </c>
      <c r="O5" s="126" t="e">
        <f>VLOOKUP(O$2&amp;$C5&amp;$A5,集計!$D:$R,$B5,0)</f>
        <v>#N/A</v>
      </c>
      <c r="P5" s="126" t="e">
        <f>VLOOKUP(P$2&amp;$C5&amp;$A5,集計!$D:$R,$B5,0)</f>
        <v>#N/A</v>
      </c>
      <c r="Q5" s="126" t="e">
        <f>VLOOKUP(Q$2&amp;$C5&amp;$A5,集計!$D:$R,$B5,0)</f>
        <v>#N/A</v>
      </c>
      <c r="R5" s="126" t="e">
        <f>VLOOKUP(R$2&amp;$C5&amp;$A5,集計!$D:$R,$B5,0)</f>
        <v>#N/A</v>
      </c>
      <c r="S5" s="126" t="e">
        <f>VLOOKUP(S$2&amp;$C5&amp;$A5,集計!$D:$R,$B5,0)</f>
        <v>#N/A</v>
      </c>
      <c r="T5" s="127" t="e">
        <f>O5+P5+Q5+R5+S5</f>
        <v>#N/A</v>
      </c>
      <c r="U5" s="126" t="e">
        <f>VLOOKUP(U$2&amp;$C5&amp;$A5,集計!$D:$R,$B5,0)</f>
        <v>#N/A</v>
      </c>
      <c r="V5" s="126" t="e">
        <f>VLOOKUP(V$2&amp;$C5&amp;$A5,集計!$D:$R,$B5,0)</f>
        <v>#N/A</v>
      </c>
      <c r="W5" s="126" t="e">
        <f>VLOOKUP(W$2&amp;$C5&amp;$A5,集計!$D:$R,$B5,0)</f>
        <v>#N/A</v>
      </c>
      <c r="X5" s="127" t="e">
        <f>U5+V5+W5</f>
        <v>#N/A</v>
      </c>
      <c r="Y5" s="126" t="e">
        <f>VLOOKUP(Y$2&amp;$C5&amp;$A5,集計!$D:$R,$B5,0)</f>
        <v>#N/A</v>
      </c>
      <c r="Z5" s="126" t="e">
        <f>VLOOKUP(Z$2&amp;$C5&amp;$A5,集計!$D:$R,$B5,0)</f>
        <v>#N/A</v>
      </c>
      <c r="AA5" s="126" t="e">
        <f>VLOOKUP(AA$2&amp;$C5&amp;$A5,集計!$D:$R,$B5,0)</f>
        <v>#N/A</v>
      </c>
      <c r="AB5" s="127" t="e">
        <f>Y5+Z5+AA5</f>
        <v>#N/A</v>
      </c>
      <c r="AC5" s="127" t="e">
        <f>I5+N5+T5+X5+AB5</f>
        <v>#N/A</v>
      </c>
      <c r="AD5" s="126" t="e">
        <f>VLOOKUP(AD$2&amp;$C5&amp;$A5,集計!$D:$R,$B5,0)</f>
        <v>#N/A</v>
      </c>
      <c r="AE5" s="126" t="e">
        <f>VLOOKUP(AE$2&amp;$C5&amp;$A5,集計!$D:$R,$B5,0)</f>
        <v>#N/A</v>
      </c>
      <c r="AF5" s="126" t="e">
        <f>VLOOKUP(AF$2&amp;$C5&amp;$A5,集計!$D:$R,$B5,0)</f>
        <v>#N/A</v>
      </c>
      <c r="AG5" s="126" t="e">
        <f>VLOOKUP(AG$2&amp;$C5&amp;$A5,集計!$D:$R,$B5,0)</f>
        <v>#N/A</v>
      </c>
      <c r="AH5" s="127" t="e">
        <f>AD5+AE5+AF5+AG5</f>
        <v>#N/A</v>
      </c>
      <c r="AI5" s="126" t="e">
        <f>VLOOKUP(AI$2&amp;$C5&amp;$A5,集計!$D:$R,$B5,0)</f>
        <v>#N/A</v>
      </c>
      <c r="AJ5" s="126" t="e">
        <f>VLOOKUP(AJ$2&amp;$C5&amp;$A5,集計!$D:$R,$B5,0)</f>
        <v>#N/A</v>
      </c>
      <c r="AK5" s="126" t="e">
        <f>VLOOKUP(AK$2&amp;$C5&amp;$A5,集計!$D:$R,$B5,0)</f>
        <v>#N/A</v>
      </c>
      <c r="AL5" s="127" t="e">
        <f>AI5+AJ5+AK5</f>
        <v>#N/A</v>
      </c>
      <c r="AM5" s="126" t="e">
        <f>VLOOKUP(AM$2&amp;$C5&amp;$A5,集計!$D:$R,$B5,0)</f>
        <v>#N/A</v>
      </c>
      <c r="AN5" s="126" t="e">
        <f>VLOOKUP(AN$2&amp;$C5&amp;$A5,集計!$D:$R,$B5,0)</f>
        <v>#N/A</v>
      </c>
      <c r="AO5" s="127" t="e">
        <f>AM5+AN5</f>
        <v>#N/A</v>
      </c>
      <c r="AP5" s="126" t="e">
        <f>VLOOKUP(AP$2&amp;$C5&amp;$A5,集計!$D:$R,$B5,0)</f>
        <v>#N/A</v>
      </c>
      <c r="AQ5" s="126" t="e">
        <f>VLOOKUP(AQ$2&amp;$C5&amp;$A5,集計!$D:$R,$B5,0)</f>
        <v>#N/A</v>
      </c>
      <c r="AR5" s="126" t="e">
        <f>VLOOKUP(AR$2&amp;$C5&amp;$A5,集計!$D:$R,$B5,0)</f>
        <v>#N/A</v>
      </c>
      <c r="AS5" s="127" t="e">
        <f>AP5+AQ5+AR5</f>
        <v>#N/A</v>
      </c>
      <c r="AT5" s="127" t="e">
        <f>AH5+AL5+AO5+AS5</f>
        <v>#N/A</v>
      </c>
      <c r="AU5" s="126" t="e">
        <f>VLOOKUP(AU$2&amp;$C5&amp;$A5,集計!$D:$R,$B5,0)</f>
        <v>#N/A</v>
      </c>
      <c r="AV5" s="126" t="e">
        <f>VLOOKUP(AV$2&amp;$C5&amp;$A5,集計!$D:$R,$B5,0)</f>
        <v>#N/A</v>
      </c>
      <c r="AW5" s="126" t="e">
        <f>VLOOKUP(AW$2&amp;$C5&amp;$A5,集計!$D:$R,$B5,0)</f>
        <v>#N/A</v>
      </c>
      <c r="AX5" s="126" t="e">
        <f>VLOOKUP(AX$2&amp;$C5&amp;$A5,集計!$D:$R,$B5,0)</f>
        <v>#N/A</v>
      </c>
      <c r="AY5" s="126" t="e">
        <f>VLOOKUP(AY$2&amp;$C5&amp;$A5,集計!$D:$R,$B5,0)</f>
        <v>#N/A</v>
      </c>
      <c r="AZ5" s="127" t="e">
        <f>AU5+AV5+AW5+AX5+AY5</f>
        <v>#N/A</v>
      </c>
      <c r="BA5" s="127" t="e">
        <f>AZ5</f>
        <v>#N/A</v>
      </c>
      <c r="BB5" s="126" t="e">
        <f>VLOOKUP(BB$2&amp;$C5&amp;$A5,集計!$D:$R,$B5,0)</f>
        <v>#N/A</v>
      </c>
      <c r="BC5" s="126" t="e">
        <f>VLOOKUP(BC$2&amp;$C5&amp;$A5,集計!$D:$R,$B5,0)</f>
        <v>#N/A</v>
      </c>
      <c r="BD5" s="127" t="e">
        <f>BB5+BC5</f>
        <v>#N/A</v>
      </c>
      <c r="BE5" s="126" t="e">
        <f>VLOOKUP(BE$2&amp;$C5&amp;$A5,集計!$D:$R,$B5,0)</f>
        <v>#N/A</v>
      </c>
      <c r="BF5" s="126" t="e">
        <f>VLOOKUP(BF$2&amp;$C5&amp;$A5,集計!$D:$R,$B5,0)</f>
        <v>#N/A</v>
      </c>
      <c r="BG5" s="126" t="e">
        <f>VLOOKUP(BG$2&amp;$C5&amp;$A5,集計!$D:$R,$B5,0)</f>
        <v>#N/A</v>
      </c>
      <c r="BH5" s="126" t="e">
        <f>VLOOKUP(BH$2&amp;$C5&amp;$A5,集計!$D:$R,$B5,0)</f>
        <v>#N/A</v>
      </c>
      <c r="BI5" s="126" t="e">
        <f>VLOOKUP(BI$2&amp;$C5&amp;$A5,集計!$D:$R,$B5,0)</f>
        <v>#N/A</v>
      </c>
      <c r="BJ5" s="127" t="e">
        <f>BE5+BF5+BG5+BH5+BI5</f>
        <v>#N/A</v>
      </c>
      <c r="BK5" s="126" t="e">
        <f>VLOOKUP(BK$2&amp;$C5&amp;$A5,集計!$D:$R,$B5,0)</f>
        <v>#N/A</v>
      </c>
      <c r="BL5" s="126" t="e">
        <f>VLOOKUP(BL$2&amp;$C5&amp;$A5,集計!$D:$R,$B5,0)</f>
        <v>#N/A</v>
      </c>
      <c r="BM5" s="126" t="e">
        <f>VLOOKUP(BM$2&amp;$C5&amp;$A5,集計!$D:$R,$B5,0)</f>
        <v>#N/A</v>
      </c>
      <c r="BN5" s="126" t="e">
        <f>VLOOKUP(BN$2&amp;$C5&amp;$A5,集計!$D:$R,$B5,0)</f>
        <v>#N/A</v>
      </c>
      <c r="BO5" s="126" t="e">
        <f>VLOOKUP(BO$2&amp;$C5&amp;$A5,集計!$D:$R,$B5,0)</f>
        <v>#N/A</v>
      </c>
      <c r="BP5" s="126" t="e">
        <f>VLOOKUP(BP$2&amp;$C5&amp;$A5,集計!$D:$R,$B5,0)</f>
        <v>#N/A</v>
      </c>
      <c r="BQ5" s="127" t="e">
        <f>BK5+BL5+BM5+BN5+BO5+BP5</f>
        <v>#N/A</v>
      </c>
      <c r="BR5" s="126" t="e">
        <f>VLOOKUP(BR$2&amp;$C5&amp;$A5,集計!$D:$R,$B5,0)</f>
        <v>#N/A</v>
      </c>
      <c r="BS5" s="126" t="e">
        <f>VLOOKUP(BS$2&amp;$C5&amp;$A5,集計!$D:$R,$B5,0)</f>
        <v>#N/A</v>
      </c>
      <c r="BT5" s="126" t="e">
        <f>VLOOKUP(BT$2&amp;$C5&amp;$A5,集計!$D:$R,$B5,0)</f>
        <v>#N/A</v>
      </c>
      <c r="BU5" s="127" t="e">
        <f>BR5+BS5+BT5</f>
        <v>#N/A</v>
      </c>
      <c r="BV5" s="126" t="e">
        <f>VLOOKUP(BV$2&amp;$C5&amp;$A5,集計!$D:$R,$B5,0)</f>
        <v>#N/A</v>
      </c>
      <c r="BW5" s="127" t="e">
        <f>BV5</f>
        <v>#N/A</v>
      </c>
      <c r="BX5" s="127" t="e">
        <f>AC5+AT5+BA5+BD5+BJ5+BQ5+BU5+BW5</f>
        <v>#N/A</v>
      </c>
    </row>
    <row r="6" spans="1:76" s="124" customFormat="1">
      <c r="A6" s="120" t="s">
        <v>40</v>
      </c>
      <c r="B6" s="150">
        <v>4</v>
      </c>
      <c r="C6" s="128" t="s">
        <v>107</v>
      </c>
      <c r="D6" s="129" t="e">
        <f>VLOOKUP(D$2&amp;$C6&amp;$A6,集計!$D:$R,$B6,0)</f>
        <v>#N/A</v>
      </c>
      <c r="E6" s="129" t="e">
        <f>VLOOKUP(E$2&amp;$C6&amp;$A6,集計!$D:$R,$B6,0)</f>
        <v>#N/A</v>
      </c>
      <c r="F6" s="129" t="e">
        <f>VLOOKUP(F$2&amp;$C6&amp;$A6,集計!$D:$R,$B6,0)</f>
        <v>#N/A</v>
      </c>
      <c r="G6" s="129" t="e">
        <f>VLOOKUP(G$2&amp;$C6&amp;$A6,集計!$D:$R,$B6,0)</f>
        <v>#N/A</v>
      </c>
      <c r="H6" s="129" t="e">
        <f>VLOOKUP(H$2&amp;$C6&amp;$A6,集計!$D:$R,$B6,0)</f>
        <v>#N/A</v>
      </c>
      <c r="I6" s="130" t="e">
        <f>D6+E6+F6+G6+H6</f>
        <v>#N/A</v>
      </c>
      <c r="J6" s="129" t="e">
        <f>VLOOKUP(J$2&amp;$C6&amp;$A6,集計!$D:$R,$B6,0)</f>
        <v>#N/A</v>
      </c>
      <c r="K6" s="129" t="e">
        <f>VLOOKUP(K$2&amp;$C6&amp;$A6,集計!$D:$R,$B6,0)</f>
        <v>#N/A</v>
      </c>
      <c r="L6" s="129" t="e">
        <f>VLOOKUP(L$2&amp;$C6&amp;$A6,集計!$D:$R,$B6,0)</f>
        <v>#N/A</v>
      </c>
      <c r="M6" s="129" t="e">
        <f>VLOOKUP(M$2&amp;$C6&amp;$A6,集計!$D:$R,$B6,0)</f>
        <v>#N/A</v>
      </c>
      <c r="N6" s="130" t="e">
        <f>J6+K6+L6+M6</f>
        <v>#N/A</v>
      </c>
      <c r="O6" s="129" t="e">
        <f>VLOOKUP(O$2&amp;$C6&amp;$A6,集計!$D:$R,$B6,0)</f>
        <v>#N/A</v>
      </c>
      <c r="P6" s="129" t="e">
        <f>VLOOKUP(P$2&amp;$C6&amp;$A6,集計!$D:$R,$B6,0)</f>
        <v>#N/A</v>
      </c>
      <c r="Q6" s="129" t="e">
        <f>VLOOKUP(Q$2&amp;$C6&amp;$A6,集計!$D:$R,$B6,0)</f>
        <v>#N/A</v>
      </c>
      <c r="R6" s="129" t="e">
        <f>VLOOKUP(R$2&amp;$C6&amp;$A6,集計!$D:$R,$B6,0)</f>
        <v>#N/A</v>
      </c>
      <c r="S6" s="129" t="e">
        <f>VLOOKUP(S$2&amp;$C6&amp;$A6,集計!$D:$R,$B6,0)</f>
        <v>#N/A</v>
      </c>
      <c r="T6" s="130" t="e">
        <f>O6+P6+Q6+R6+S6</f>
        <v>#N/A</v>
      </c>
      <c r="U6" s="129" t="e">
        <f>VLOOKUP(U$2&amp;$C6&amp;$A6,集計!$D:$R,$B6,0)</f>
        <v>#N/A</v>
      </c>
      <c r="V6" s="129" t="e">
        <f>VLOOKUP(V$2&amp;$C6&amp;$A6,集計!$D:$R,$B6,0)</f>
        <v>#N/A</v>
      </c>
      <c r="W6" s="129" t="e">
        <f>VLOOKUP(W$2&amp;$C6&amp;$A6,集計!$D:$R,$B6,0)</f>
        <v>#N/A</v>
      </c>
      <c r="X6" s="130" t="e">
        <f>U6+V6+W6</f>
        <v>#N/A</v>
      </c>
      <c r="Y6" s="129" t="e">
        <f>VLOOKUP(Y$2&amp;$C6&amp;$A6,集計!$D:$R,$B6,0)</f>
        <v>#N/A</v>
      </c>
      <c r="Z6" s="129" t="e">
        <f>VLOOKUP(Z$2&amp;$C6&amp;$A6,集計!$D:$R,$B6,0)</f>
        <v>#N/A</v>
      </c>
      <c r="AA6" s="129" t="e">
        <f>VLOOKUP(AA$2&amp;$C6&amp;$A6,集計!$D:$R,$B6,0)</f>
        <v>#N/A</v>
      </c>
      <c r="AB6" s="130" t="e">
        <f>Y6+Z6+AA6</f>
        <v>#N/A</v>
      </c>
      <c r="AC6" s="130" t="e">
        <f>I6+N6+T6+X6+AB6</f>
        <v>#N/A</v>
      </c>
      <c r="AD6" s="129" t="e">
        <f>VLOOKUP(AD$2&amp;$C6&amp;$A6,集計!$D:$R,$B6,0)</f>
        <v>#N/A</v>
      </c>
      <c r="AE6" s="129" t="e">
        <f>VLOOKUP(AE$2&amp;$C6&amp;$A6,集計!$D:$R,$B6,0)</f>
        <v>#N/A</v>
      </c>
      <c r="AF6" s="129" t="e">
        <f>VLOOKUP(AF$2&amp;$C6&amp;$A6,集計!$D:$R,$B6,0)</f>
        <v>#N/A</v>
      </c>
      <c r="AG6" s="129" t="e">
        <f>VLOOKUP(AG$2&amp;$C6&amp;$A6,集計!$D:$R,$B6,0)</f>
        <v>#N/A</v>
      </c>
      <c r="AH6" s="130" t="e">
        <f>AD6+AE6+AF6+AG6</f>
        <v>#N/A</v>
      </c>
      <c r="AI6" s="129" t="e">
        <f>VLOOKUP(AI$2&amp;$C6&amp;$A6,集計!$D:$R,$B6,0)</f>
        <v>#N/A</v>
      </c>
      <c r="AJ6" s="129" t="e">
        <f>VLOOKUP(AJ$2&amp;$C6&amp;$A6,集計!$D:$R,$B6,0)</f>
        <v>#N/A</v>
      </c>
      <c r="AK6" s="129" t="e">
        <f>VLOOKUP(AK$2&amp;$C6&amp;$A6,集計!$D:$R,$B6,0)</f>
        <v>#N/A</v>
      </c>
      <c r="AL6" s="130" t="e">
        <f>AI6+AJ6+AK6</f>
        <v>#N/A</v>
      </c>
      <c r="AM6" s="129" t="e">
        <f>VLOOKUP(AM$2&amp;$C6&amp;$A6,集計!$D:$R,$B6,0)</f>
        <v>#N/A</v>
      </c>
      <c r="AN6" s="129" t="e">
        <f>VLOOKUP(AN$2&amp;$C6&amp;$A6,集計!$D:$R,$B6,0)</f>
        <v>#N/A</v>
      </c>
      <c r="AO6" s="130" t="e">
        <f>AM6+AN6</f>
        <v>#N/A</v>
      </c>
      <c r="AP6" s="129" t="e">
        <f>VLOOKUP(AP$2&amp;$C6&amp;$A6,集計!$D:$R,$B6,0)</f>
        <v>#N/A</v>
      </c>
      <c r="AQ6" s="129" t="e">
        <f>VLOOKUP(AQ$2&amp;$C6&amp;$A6,集計!$D:$R,$B6,0)</f>
        <v>#N/A</v>
      </c>
      <c r="AR6" s="129" t="e">
        <f>VLOOKUP(AR$2&amp;$C6&amp;$A6,集計!$D:$R,$B6,0)</f>
        <v>#N/A</v>
      </c>
      <c r="AS6" s="130" t="e">
        <f>AP6+AQ6+AR6</f>
        <v>#N/A</v>
      </c>
      <c r="AT6" s="130" t="e">
        <f>AH6+AL6+AO6+AS6</f>
        <v>#N/A</v>
      </c>
      <c r="AU6" s="129" t="e">
        <f>VLOOKUP(AU$2&amp;$C6&amp;$A6,集計!$D:$R,$B6,0)</f>
        <v>#N/A</v>
      </c>
      <c r="AV6" s="129" t="e">
        <f>VLOOKUP(AV$2&amp;$C6&amp;$A6,集計!$D:$R,$B6,0)</f>
        <v>#N/A</v>
      </c>
      <c r="AW6" s="129" t="e">
        <f>VLOOKUP(AW$2&amp;$C6&amp;$A6,集計!$D:$R,$B6,0)</f>
        <v>#N/A</v>
      </c>
      <c r="AX6" s="129" t="e">
        <f>VLOOKUP(AX$2&amp;$C6&amp;$A6,集計!$D:$R,$B6,0)</f>
        <v>#N/A</v>
      </c>
      <c r="AY6" s="129" t="e">
        <f>VLOOKUP(AY$2&amp;$C6&amp;$A6,集計!$D:$R,$B6,0)</f>
        <v>#N/A</v>
      </c>
      <c r="AZ6" s="130" t="e">
        <f>AU6+AV6+AW6+AX6+AY6</f>
        <v>#N/A</v>
      </c>
      <c r="BA6" s="130" t="e">
        <f>AZ6</f>
        <v>#N/A</v>
      </c>
      <c r="BB6" s="129" t="e">
        <f>VLOOKUP(BB$2&amp;$C6&amp;$A6,集計!$D:$R,$B6,0)</f>
        <v>#N/A</v>
      </c>
      <c r="BC6" s="129" t="e">
        <f>VLOOKUP(BC$2&amp;$C6&amp;$A6,集計!$D:$R,$B6,0)</f>
        <v>#N/A</v>
      </c>
      <c r="BD6" s="130" t="e">
        <f>BB6+BC6</f>
        <v>#N/A</v>
      </c>
      <c r="BE6" s="129" t="e">
        <f>VLOOKUP(BE$2&amp;$C6&amp;$A6,集計!$D:$R,$B6,0)</f>
        <v>#N/A</v>
      </c>
      <c r="BF6" s="129" t="e">
        <f>VLOOKUP(BF$2&amp;$C6&amp;$A6,集計!$D:$R,$B6,0)</f>
        <v>#N/A</v>
      </c>
      <c r="BG6" s="129" t="e">
        <f>VLOOKUP(BG$2&amp;$C6&amp;$A6,集計!$D:$R,$B6,0)</f>
        <v>#N/A</v>
      </c>
      <c r="BH6" s="129" t="e">
        <f>VLOOKUP(BH$2&amp;$C6&amp;$A6,集計!$D:$R,$B6,0)</f>
        <v>#N/A</v>
      </c>
      <c r="BI6" s="129" t="e">
        <f>VLOOKUP(BI$2&amp;$C6&amp;$A6,集計!$D:$R,$B6,0)</f>
        <v>#N/A</v>
      </c>
      <c r="BJ6" s="130" t="e">
        <f>BE6+BF6+BG6+BH6+BI6</f>
        <v>#N/A</v>
      </c>
      <c r="BK6" s="129" t="e">
        <f>VLOOKUP(BK$2&amp;$C6&amp;$A6,集計!$D:$R,$B6,0)</f>
        <v>#N/A</v>
      </c>
      <c r="BL6" s="129" t="e">
        <f>VLOOKUP(BL$2&amp;$C6&amp;$A6,集計!$D:$R,$B6,0)</f>
        <v>#N/A</v>
      </c>
      <c r="BM6" s="129" t="e">
        <f>VLOOKUP(BM$2&amp;$C6&amp;$A6,集計!$D:$R,$B6,0)</f>
        <v>#N/A</v>
      </c>
      <c r="BN6" s="129" t="e">
        <f>VLOOKUP(BN$2&amp;$C6&amp;$A6,集計!$D:$R,$B6,0)</f>
        <v>#N/A</v>
      </c>
      <c r="BO6" s="129" t="e">
        <f>VLOOKUP(BO$2&amp;$C6&amp;$A6,集計!$D:$R,$B6,0)</f>
        <v>#N/A</v>
      </c>
      <c r="BP6" s="129" t="e">
        <f>VLOOKUP(BP$2&amp;$C6&amp;$A6,集計!$D:$R,$B6,0)</f>
        <v>#N/A</v>
      </c>
      <c r="BQ6" s="130" t="e">
        <f>BK6+BL6+BM6+BN6+BO6+BP6</f>
        <v>#N/A</v>
      </c>
      <c r="BR6" s="129" t="e">
        <f>VLOOKUP(BR$2&amp;$C6&amp;$A6,集計!$D:$R,$B6,0)</f>
        <v>#N/A</v>
      </c>
      <c r="BS6" s="129" t="e">
        <f>VLOOKUP(BS$2&amp;$C6&amp;$A6,集計!$D:$R,$B6,0)</f>
        <v>#N/A</v>
      </c>
      <c r="BT6" s="129" t="e">
        <f>VLOOKUP(BT$2&amp;$C6&amp;$A6,集計!$D:$R,$B6,0)</f>
        <v>#N/A</v>
      </c>
      <c r="BU6" s="130" t="e">
        <f>BR6+BS6+BT6</f>
        <v>#N/A</v>
      </c>
      <c r="BV6" s="129" t="e">
        <f>VLOOKUP(BV$2&amp;$C6&amp;$A6,集計!$D:$R,$B6,0)</f>
        <v>#N/A</v>
      </c>
      <c r="BW6" s="130" t="e">
        <f>BV6</f>
        <v>#N/A</v>
      </c>
      <c r="BX6" s="130" t="e">
        <f>AC6+AT6+BA6+BD6+BJ6+BQ6+BU6+BW6</f>
        <v>#N/A</v>
      </c>
    </row>
    <row r="7" spans="1:76" s="124" customFormat="1">
      <c r="A7" s="120" t="s">
        <v>40</v>
      </c>
      <c r="B7" s="150">
        <v>4</v>
      </c>
      <c r="C7" s="131" t="s">
        <v>26</v>
      </c>
      <c r="D7" s="132" t="e">
        <f>IF(VLOOKUP(D$2&amp;$C7&amp;$A7,集計!$D:$R,$B7,0)&lt;&gt;SUM(D5:D6),"NG",SUM(D5:D6))</f>
        <v>#N/A</v>
      </c>
      <c r="E7" s="132" t="e">
        <f>IF(VLOOKUP(E$2&amp;$C7&amp;$A7,集計!$D:$R,$B7,0)&lt;&gt;SUM(E5:E6),"NG",SUM(E5:E6))</f>
        <v>#N/A</v>
      </c>
      <c r="F7" s="132" t="e">
        <f>IF(VLOOKUP(F$2&amp;$C7&amp;$A7,集計!$D:$R,$B7,0)&lt;&gt;SUM(F5:F6),"NG",SUM(F5:F6))</f>
        <v>#N/A</v>
      </c>
      <c r="G7" s="132" t="e">
        <f>IF(VLOOKUP(G$2&amp;$C7&amp;$A7,集計!$D:$R,$B7,0)&lt;&gt;SUM(G5:G6),"NG",SUM(G5:G6))</f>
        <v>#N/A</v>
      </c>
      <c r="H7" s="132" t="e">
        <f>IF(VLOOKUP(H$2&amp;$C7&amp;$A7,集計!$D:$R,$B7,0)&lt;&gt;SUM(H5:H6),"NG",SUM(H5:H6))</f>
        <v>#N/A</v>
      </c>
      <c r="I7" s="133" t="e">
        <f>I5+I6</f>
        <v>#N/A</v>
      </c>
      <c r="J7" s="132" t="e">
        <f>IF(VLOOKUP(J$2&amp;$C7&amp;$A7,集計!$D:$R,$B7,0)&lt;&gt;SUM(J5:J6),"NG",SUM(J5:J6))</f>
        <v>#N/A</v>
      </c>
      <c r="K7" s="132" t="e">
        <f>IF(VLOOKUP(K$2&amp;$C7&amp;$A7,集計!$D:$R,$B7,0)&lt;&gt;SUM(K5:K6),"NG",SUM(K5:K6))</f>
        <v>#N/A</v>
      </c>
      <c r="L7" s="132" t="e">
        <f>IF(VLOOKUP(L$2&amp;$C7&amp;$A7,集計!$D:$R,$B7,0)&lt;&gt;SUM(L5:L6),"NG",SUM(L5:L6))</f>
        <v>#N/A</v>
      </c>
      <c r="M7" s="132" t="e">
        <f>IF(VLOOKUP(M$2&amp;$C7&amp;$A7,集計!$D:$R,$B7,0)&lt;&gt;SUM(M5:M6),"NG",SUM(M5:M6))</f>
        <v>#N/A</v>
      </c>
      <c r="N7" s="133" t="e">
        <f>N5+N6</f>
        <v>#N/A</v>
      </c>
      <c r="O7" s="132" t="e">
        <f>IF(VLOOKUP(O$2&amp;$C7&amp;$A7,集計!$D:$R,$B7,0)&lt;&gt;SUM(O5:O6),"NG",SUM(O5:O6))</f>
        <v>#N/A</v>
      </c>
      <c r="P7" s="132" t="e">
        <f>IF(VLOOKUP(P$2&amp;$C7&amp;$A7,集計!$D:$R,$B7,0)&lt;&gt;SUM(P5:P6),"NG",SUM(P5:P6))</f>
        <v>#N/A</v>
      </c>
      <c r="Q7" s="132" t="e">
        <f>IF(VLOOKUP(Q$2&amp;$C7&amp;$A7,集計!$D:$R,$B7,0)&lt;&gt;SUM(Q5:Q6),"NG",SUM(Q5:Q6))</f>
        <v>#N/A</v>
      </c>
      <c r="R7" s="132" t="e">
        <f>IF(VLOOKUP(R$2&amp;$C7&amp;$A7,集計!$D:$R,$B7,0)&lt;&gt;SUM(R5:R6),"NG",SUM(R5:R6))</f>
        <v>#N/A</v>
      </c>
      <c r="S7" s="132" t="e">
        <f>IF(VLOOKUP(S$2&amp;$C7&amp;$A7,集計!$D:$R,$B7,0)&lt;&gt;SUM(S5:S6),"NG",SUM(S5:S6))</f>
        <v>#N/A</v>
      </c>
      <c r="T7" s="133" t="e">
        <f>T5+T6</f>
        <v>#N/A</v>
      </c>
      <c r="U7" s="132" t="e">
        <f>IF(VLOOKUP(U$2&amp;$C7&amp;$A7,集計!$D:$R,$B7,0)&lt;&gt;SUM(U5:U6),"NG",SUM(U5:U6))</f>
        <v>#N/A</v>
      </c>
      <c r="V7" s="132" t="e">
        <f>IF(VLOOKUP(V$2&amp;$C7&amp;$A7,集計!$D:$R,$B7,0)&lt;&gt;SUM(V5:V6),"NG",SUM(V5:V6))</f>
        <v>#N/A</v>
      </c>
      <c r="W7" s="132" t="e">
        <f>IF(VLOOKUP(W$2&amp;$C7&amp;$A7,集計!$D:$R,$B7,0)&lt;&gt;SUM(W5:W6),"NG",SUM(W5:W6))</f>
        <v>#N/A</v>
      </c>
      <c r="X7" s="133" t="e">
        <f>SUM(X5:X6)</f>
        <v>#N/A</v>
      </c>
      <c r="Y7" s="132" t="e">
        <f>IF(VLOOKUP(Y$2&amp;$C7&amp;$A7,集計!$D:$R,$B7,0)&lt;&gt;SUM(Y5:Y6),"NG",SUM(Y5:Y6))</f>
        <v>#N/A</v>
      </c>
      <c r="Z7" s="132" t="e">
        <f>IF(VLOOKUP(Z$2&amp;$C7&amp;$A7,集計!$D:$R,$B7,0)&lt;&gt;SUM(Z5:Z6),"NG",SUM(Z5:Z6))</f>
        <v>#N/A</v>
      </c>
      <c r="AA7" s="132" t="e">
        <f>IF(VLOOKUP(AA$2&amp;$C7&amp;$A7,集計!$D:$R,$B7,0)&lt;&gt;SUM(AA5:AA6),"NG",SUM(AA5:AA6))</f>
        <v>#N/A</v>
      </c>
      <c r="AB7" s="133" t="e">
        <f>SUM(AB5:AB6)</f>
        <v>#N/A</v>
      </c>
      <c r="AC7" s="133" t="e">
        <f>SUM(AC5:AC6)</f>
        <v>#N/A</v>
      </c>
      <c r="AD7" s="132" t="e">
        <f>IF(VLOOKUP(AD$2&amp;$C7&amp;$A7,集計!$D:$R,$B7,0)&lt;&gt;SUM(AD5:AD6),"NG",SUM(AD5:AD6))</f>
        <v>#N/A</v>
      </c>
      <c r="AE7" s="132" t="e">
        <f>IF(VLOOKUP(AE$2&amp;$C7&amp;$A7,集計!$D:$R,$B7,0)&lt;&gt;SUM(AE5:AE6),"NG",SUM(AE5:AE6))</f>
        <v>#N/A</v>
      </c>
      <c r="AF7" s="132" t="e">
        <f>IF(VLOOKUP(AF$2&amp;$C7&amp;$A7,集計!$D:$R,$B7,0)&lt;&gt;SUM(AF5:AF6),"NG",SUM(AF5:AF6))</f>
        <v>#N/A</v>
      </c>
      <c r="AG7" s="132" t="e">
        <f>IF(VLOOKUP(AG$2&amp;$C7&amp;$A7,集計!$D:$R,$B7,0)&lt;&gt;SUM(AG5:AG6),"NG",SUM(AG5:AG6))</f>
        <v>#N/A</v>
      </c>
      <c r="AH7" s="133" t="e">
        <f>SUM(AH5:AH6)</f>
        <v>#N/A</v>
      </c>
      <c r="AI7" s="132" t="e">
        <f>IF(VLOOKUP(AI$2&amp;$C7&amp;$A7,集計!$D:$R,$B7,0)&lt;&gt;SUM(AI5:AI6),"NG",SUM(AI5:AI6))</f>
        <v>#N/A</v>
      </c>
      <c r="AJ7" s="132" t="e">
        <f>IF(VLOOKUP(AJ$2&amp;$C7&amp;$A7,集計!$D:$R,$B7,0)&lt;&gt;SUM(AJ5:AJ6),"NG",SUM(AJ5:AJ6))</f>
        <v>#N/A</v>
      </c>
      <c r="AK7" s="132" t="e">
        <f>IF(VLOOKUP(AK$2&amp;$C7&amp;$A7,集計!$D:$R,$B7,0)&lt;&gt;SUM(AK5:AK6),"NG",SUM(AK5:AK6))</f>
        <v>#N/A</v>
      </c>
      <c r="AL7" s="133" t="e">
        <f>SUM(AL5:AL6)</f>
        <v>#N/A</v>
      </c>
      <c r="AM7" s="132" t="e">
        <f>IF(VLOOKUP(AM$2&amp;$C7&amp;$A7,集計!$D:$R,$B7,0)&lt;&gt;SUM(AM5:AM6),"NG",SUM(AM5:AM6))</f>
        <v>#N/A</v>
      </c>
      <c r="AN7" s="132" t="e">
        <f>IF(VLOOKUP(AN$2&amp;$C7&amp;$A7,集計!$D:$R,$B7,0)&lt;&gt;SUM(AN5:AN6),"NG",SUM(AN5:AN6))</f>
        <v>#N/A</v>
      </c>
      <c r="AO7" s="133" t="e">
        <f>SUM(AO5:AO6)</f>
        <v>#N/A</v>
      </c>
      <c r="AP7" s="132" t="e">
        <f>IF(VLOOKUP(AP$2&amp;$C7&amp;$A7,集計!$D:$R,$B7,0)&lt;&gt;SUM(AP5:AP6),"NG",SUM(AP5:AP6))</f>
        <v>#N/A</v>
      </c>
      <c r="AQ7" s="132" t="e">
        <f>IF(VLOOKUP(AQ$2&amp;$C7&amp;$A7,集計!$D:$R,$B7,0)&lt;&gt;SUM(AQ5:AQ6),"NG",SUM(AQ5:AQ6))</f>
        <v>#N/A</v>
      </c>
      <c r="AR7" s="132" t="e">
        <f>IF(VLOOKUP(AR$2&amp;$C7&amp;$A7,集計!$D:$R,$B7,0)&lt;&gt;SUM(AR5:AR6),"NG",SUM(AR5:AR6))</f>
        <v>#N/A</v>
      </c>
      <c r="AS7" s="133" t="e">
        <f>SUM(AS5:AS6)</f>
        <v>#N/A</v>
      </c>
      <c r="AT7" s="133" t="e">
        <f>SUM(AT5:AT6)</f>
        <v>#N/A</v>
      </c>
      <c r="AU7" s="132" t="e">
        <f>IF(VLOOKUP(AU$2&amp;$C7&amp;$A7,集計!$D:$R,$B7,0)&lt;&gt;SUM(AU5:AU6),"NG",SUM(AU5:AU6))</f>
        <v>#N/A</v>
      </c>
      <c r="AV7" s="132" t="e">
        <f>IF(VLOOKUP(AV$2&amp;$C7&amp;$A7,集計!$D:$R,$B7,0)&lt;&gt;SUM(AV5:AV6),"NG",SUM(AV5:AV6))</f>
        <v>#N/A</v>
      </c>
      <c r="AW7" s="132" t="e">
        <f>IF(VLOOKUP(AW$2&amp;$C7&amp;$A7,集計!$D:$R,$B7,0)&lt;&gt;SUM(AW5:AW6),"NG",SUM(AW5:AW6))</f>
        <v>#N/A</v>
      </c>
      <c r="AX7" s="132" t="e">
        <f>IF(VLOOKUP(AX$2&amp;$C7&amp;$A7,集計!$D:$R,$B7,0)&lt;&gt;SUM(AX5:AX6),"NG",SUM(AX5:AX6))</f>
        <v>#N/A</v>
      </c>
      <c r="AY7" s="132" t="e">
        <f>IF(VLOOKUP(AY$2&amp;$C7&amp;$A7,集計!$D:$R,$B7,0)&lt;&gt;SUM(AY5:AY6),"NG",SUM(AY5:AY6))</f>
        <v>#N/A</v>
      </c>
      <c r="AZ7" s="133" t="e">
        <f>AZ5+AZ6</f>
        <v>#N/A</v>
      </c>
      <c r="BA7" s="133" t="e">
        <f>BA5+BA6</f>
        <v>#N/A</v>
      </c>
      <c r="BB7" s="132" t="e">
        <f>IF(VLOOKUP(BB$2&amp;$C7&amp;$A7,集計!$D:$R,$B7,0)&lt;&gt;SUM(BB5:BB6),"NG",SUM(BB5:BB6))</f>
        <v>#N/A</v>
      </c>
      <c r="BC7" s="132" t="e">
        <f>IF(VLOOKUP(BC$2&amp;$C7&amp;$A7,集計!$D:$R,$B7,0)&lt;&gt;SUM(BC5:BC6),"NG",SUM(BC5:BC6))</f>
        <v>#N/A</v>
      </c>
      <c r="BD7" s="133" t="e">
        <f>SUM(BD5:BD6)</f>
        <v>#N/A</v>
      </c>
      <c r="BE7" s="132" t="e">
        <f>IF(VLOOKUP(BE$2&amp;$C7&amp;$A7,集計!$D:$R,$B7,0)&lt;&gt;SUM(BE5:BE6),"NG",SUM(BE5:BE6))</f>
        <v>#N/A</v>
      </c>
      <c r="BF7" s="132" t="e">
        <f>IF(VLOOKUP(BF$2&amp;$C7&amp;$A7,集計!$D:$R,$B7,0)&lt;&gt;SUM(BF5:BF6),"NG",SUM(BF5:BF6))</f>
        <v>#N/A</v>
      </c>
      <c r="BG7" s="132" t="e">
        <f>IF(VLOOKUP(BG$2&amp;$C7&amp;$A7,集計!$D:$R,$B7,0)&lt;&gt;SUM(BG5:BG6),"NG",SUM(BG5:BG6))</f>
        <v>#N/A</v>
      </c>
      <c r="BH7" s="132" t="e">
        <f>IF(VLOOKUP(BH$2&amp;$C7&amp;$A7,集計!$D:$R,$B7,0)&lt;&gt;SUM(BH5:BH6),"NG",SUM(BH5:BH6))</f>
        <v>#N/A</v>
      </c>
      <c r="BI7" s="132" t="e">
        <f>IF(VLOOKUP(BI$2&amp;$C7&amp;$A7,集計!$D:$R,$B7,0)&lt;&gt;SUM(BI5:BI6),"NG",SUM(BI5:BI6))</f>
        <v>#N/A</v>
      </c>
      <c r="BJ7" s="133" t="e">
        <f>BJ5+BJ6</f>
        <v>#N/A</v>
      </c>
      <c r="BK7" s="132" t="e">
        <f>IF(VLOOKUP(BK$2&amp;$C7&amp;$A7,集計!$D:$R,$B7,0)&lt;&gt;SUM(BK5:BK6),"NG",SUM(BK5:BK6))</f>
        <v>#N/A</v>
      </c>
      <c r="BL7" s="132" t="e">
        <f>IF(VLOOKUP(BL$2&amp;$C7&amp;$A7,集計!$D:$R,$B7,0)&lt;&gt;SUM(BL5:BL6),"NG",SUM(BL5:BL6))</f>
        <v>#N/A</v>
      </c>
      <c r="BM7" s="132" t="e">
        <f>IF(VLOOKUP(BM$2&amp;$C7&amp;$A7,集計!$D:$R,$B7,0)&lt;&gt;SUM(BM5:BM6),"NG",SUM(BM5:BM6))</f>
        <v>#N/A</v>
      </c>
      <c r="BN7" s="132" t="e">
        <f>IF(VLOOKUP(BN$2&amp;$C7&amp;$A7,集計!$D:$R,$B7,0)&lt;&gt;SUM(BN5:BN6),"NG",SUM(BN5:BN6))</f>
        <v>#N/A</v>
      </c>
      <c r="BO7" s="132" t="e">
        <f>IF(VLOOKUP(BO$2&amp;$C7&amp;$A7,集計!$D:$R,$B7,0)&lt;&gt;SUM(BO5:BO6),"NG",SUM(BO5:BO6))</f>
        <v>#N/A</v>
      </c>
      <c r="BP7" s="132" t="e">
        <f>IF(VLOOKUP(BP$2&amp;$C7&amp;$A7,集計!$D:$R,$B7,0)&lt;&gt;SUM(BP5:BP6),"NG",SUM(BP5:BP6))</f>
        <v>#N/A</v>
      </c>
      <c r="BQ7" s="133" t="e">
        <f>BQ5+BQ6</f>
        <v>#N/A</v>
      </c>
      <c r="BR7" s="132" t="e">
        <f>IF(VLOOKUP(BR$2&amp;$C7&amp;$A7,集計!$D:$R,$B7,0)&lt;&gt;SUM(BR5:BR6),"NG",SUM(BR5:BR6))</f>
        <v>#N/A</v>
      </c>
      <c r="BS7" s="132" t="e">
        <f>IF(VLOOKUP(BS$2&amp;$C7&amp;$A7,集計!$D:$R,$B7,0)&lt;&gt;SUM(BS5:BS6),"NG",SUM(BS5:BS6))</f>
        <v>#N/A</v>
      </c>
      <c r="BT7" s="132" t="e">
        <f>IF(VLOOKUP(BT$2&amp;$C7&amp;$A7,集計!$D:$R,$B7,0)&lt;&gt;SUM(BT5:BT6),"NG",SUM(BT5:BT6))</f>
        <v>#N/A</v>
      </c>
      <c r="BU7" s="133" t="e">
        <f>BU5+BU6</f>
        <v>#N/A</v>
      </c>
      <c r="BV7" s="132" t="e">
        <f>IF(VLOOKUP(BV$2&amp;$C7&amp;$A7,集計!$D:$R,$B7,0)&lt;&gt;SUM(BV5:BV6),"NG",SUM(BV5:BV6))</f>
        <v>#N/A</v>
      </c>
      <c r="BW7" s="133" t="e">
        <f>SUM(BW5:BW6)</f>
        <v>#N/A</v>
      </c>
      <c r="BX7" s="133" t="e">
        <f>SUM(BX5:BX6)</f>
        <v>#N/A</v>
      </c>
    </row>
    <row r="8" spans="1:76" s="124" customFormat="1" ht="15" thickBot="1">
      <c r="A8" s="120" t="s">
        <v>40</v>
      </c>
      <c r="B8" s="150">
        <v>4</v>
      </c>
      <c r="C8" s="135" t="s">
        <v>27</v>
      </c>
      <c r="D8" s="136" t="e">
        <f>IF(VLOOKUP(D$2&amp;$C8&amp;$A8,集計!$D:$R,$B8,0)&lt;&gt;SUM(D4,D7),"NG",SUM(D4,D7))</f>
        <v>#N/A</v>
      </c>
      <c r="E8" s="136" t="e">
        <f>IF(VLOOKUP(E$2&amp;$C8&amp;$A8,集計!$D:$R,$B8,0)&lt;&gt;SUM(E4,E7),"NG",SUM(E4,E7))</f>
        <v>#N/A</v>
      </c>
      <c r="F8" s="136" t="e">
        <f>IF(VLOOKUP(F$2&amp;$C8&amp;$A8,集計!$D:$R,$B8,0)&lt;&gt;SUM(F4,F7),"NG",SUM(F4,F7))</f>
        <v>#N/A</v>
      </c>
      <c r="G8" s="136" t="e">
        <f>IF(VLOOKUP(G$2&amp;$C8&amp;$A8,集計!$D:$R,$B8,0)&lt;&gt;SUM(G4,G7),"NG",SUM(G4,G7))</f>
        <v>#N/A</v>
      </c>
      <c r="H8" s="136" t="e">
        <f>IF(VLOOKUP(H$2&amp;$C8&amp;$A8,集計!$D:$R,$B8,0)&lt;&gt;SUM(H4,H7),"NG",SUM(H4,H7))</f>
        <v>#N/A</v>
      </c>
      <c r="I8" s="137" t="e">
        <f>I4+I7</f>
        <v>#N/A</v>
      </c>
      <c r="J8" s="136" t="e">
        <f>IF(VLOOKUP(J$2&amp;$C8&amp;$A8,集計!$D:$R,$B8,0)&lt;&gt;SUM(J4,J7),"NG",SUM(J4,J7))</f>
        <v>#N/A</v>
      </c>
      <c r="K8" s="136" t="e">
        <f>IF(VLOOKUP(K$2&amp;$C8&amp;$A8,集計!$D:$R,$B8,0)&lt;&gt;SUM(K4,K7),"NG",SUM(K4,K7))</f>
        <v>#N/A</v>
      </c>
      <c r="L8" s="136" t="e">
        <f>IF(VLOOKUP(L$2&amp;$C8&amp;$A8,集計!$D:$R,$B8,0)&lt;&gt;SUM(L4,L7),"NG",SUM(L4,L7))</f>
        <v>#N/A</v>
      </c>
      <c r="M8" s="136" t="e">
        <f>IF(VLOOKUP(M$2&amp;$C8&amp;$A8,集計!$D:$R,$B8,0)&lt;&gt;SUM(M4,M7),"NG",SUM(M4,M7))</f>
        <v>#N/A</v>
      </c>
      <c r="N8" s="137" t="e">
        <f>N4+N7</f>
        <v>#N/A</v>
      </c>
      <c r="O8" s="136" t="e">
        <f>IF(VLOOKUP(O$2&amp;$C8&amp;$A8,集計!$D:$R,$B8,0)&lt;&gt;SUM(O4,O7),"NG",SUM(O4,O7))</f>
        <v>#N/A</v>
      </c>
      <c r="P8" s="136" t="e">
        <f>IF(VLOOKUP(P$2&amp;$C8&amp;$A8,集計!$D:$R,$B8,0)&lt;&gt;SUM(P4,P7),"NG",SUM(P4,P7))</f>
        <v>#N/A</v>
      </c>
      <c r="Q8" s="136" t="e">
        <f>IF(VLOOKUP(Q$2&amp;$C8&amp;$A8,集計!$D:$R,$B8,0)&lt;&gt;SUM(Q4,Q7),"NG",SUM(Q4,Q7))</f>
        <v>#N/A</v>
      </c>
      <c r="R8" s="136" t="e">
        <f>IF(VLOOKUP(R$2&amp;$C8&amp;$A8,集計!$D:$R,$B8,0)&lt;&gt;SUM(R4,R7),"NG",SUM(R4,R7))</f>
        <v>#N/A</v>
      </c>
      <c r="S8" s="136" t="e">
        <f>IF(VLOOKUP(S$2&amp;$C8&amp;$A8,集計!$D:$R,$B8,0)&lt;&gt;SUM(S4,S7),"NG",SUM(S4,S7))</f>
        <v>#N/A</v>
      </c>
      <c r="T8" s="137" t="e">
        <f>T4+T7</f>
        <v>#N/A</v>
      </c>
      <c r="U8" s="136" t="e">
        <f>IF(VLOOKUP(U$2&amp;$C8&amp;$A8,集計!$D:$R,$B8,0)&lt;&gt;SUM(U4,U7),"NG",SUM(U4,U7))</f>
        <v>#N/A</v>
      </c>
      <c r="V8" s="136" t="e">
        <f>IF(VLOOKUP(V$2&amp;$C8&amp;$A8,集計!$D:$R,$B8,0)&lt;&gt;SUM(V4,V7),"NG",SUM(V4,V7))</f>
        <v>#N/A</v>
      </c>
      <c r="W8" s="136" t="e">
        <f>IF(VLOOKUP(W$2&amp;$C8&amp;$A8,集計!$D:$R,$B8,0)&lt;&gt;SUM(W4,W7),"NG",SUM(W4,W7))</f>
        <v>#N/A</v>
      </c>
      <c r="X8" s="137" t="e">
        <f>X4+X7</f>
        <v>#N/A</v>
      </c>
      <c r="Y8" s="136" t="e">
        <f>IF(VLOOKUP(Y$2&amp;$C8&amp;$A8,集計!$D:$R,$B8,0)&lt;&gt;SUM(Y4,Y7),"NG",SUM(Y4,Y7))</f>
        <v>#N/A</v>
      </c>
      <c r="Z8" s="136" t="e">
        <f>IF(VLOOKUP(Z$2&amp;$C8&amp;$A8,集計!$D:$R,$B8,0)&lt;&gt;SUM(Z4,Z7),"NG",SUM(Z4,Z7))</f>
        <v>#N/A</v>
      </c>
      <c r="AA8" s="136" t="e">
        <f>IF(VLOOKUP(AA$2&amp;$C8&amp;$A8,集計!$D:$R,$B8,0)&lt;&gt;SUM(AA4,AA7),"NG",SUM(AA4,AA7))</f>
        <v>#N/A</v>
      </c>
      <c r="AB8" s="137" t="e">
        <f>AB4+AB7</f>
        <v>#N/A</v>
      </c>
      <c r="AC8" s="137" t="e">
        <f>AC4+AC7</f>
        <v>#N/A</v>
      </c>
      <c r="AD8" s="136" t="e">
        <f>IF(VLOOKUP(AD$2&amp;$C8&amp;$A8,集計!$D:$R,$B8,0)&lt;&gt;SUM(AD4,AD7),"NG",SUM(AD4,AD7))</f>
        <v>#N/A</v>
      </c>
      <c r="AE8" s="136" t="e">
        <f>IF(VLOOKUP(AE$2&amp;$C8&amp;$A8,集計!$D:$R,$B8,0)&lt;&gt;SUM(AE4,AE7),"NG",SUM(AE4,AE7))</f>
        <v>#N/A</v>
      </c>
      <c r="AF8" s="136" t="e">
        <f>IF(VLOOKUP(AF$2&amp;$C8&amp;$A8,集計!$D:$R,$B8,0)&lt;&gt;SUM(AF4,AF7),"NG",SUM(AF4,AF7))</f>
        <v>#N/A</v>
      </c>
      <c r="AG8" s="136" t="e">
        <f>IF(VLOOKUP(AG$2&amp;$C8&amp;$A8,集計!$D:$R,$B8,0)&lt;&gt;SUM(AG4,AG7),"NG",SUM(AG4,AG7))</f>
        <v>#N/A</v>
      </c>
      <c r="AH8" s="137" t="e">
        <f>AH4+AH7</f>
        <v>#N/A</v>
      </c>
      <c r="AI8" s="136" t="e">
        <f>IF(VLOOKUP(AI$2&amp;$C8&amp;$A8,集計!$D:$R,$B8,0)&lt;&gt;SUM(AI4,AI7),"NG",SUM(AI4,AI7))</f>
        <v>#N/A</v>
      </c>
      <c r="AJ8" s="136" t="e">
        <f>IF(VLOOKUP(AJ$2&amp;$C8&amp;$A8,集計!$D:$R,$B8,0)&lt;&gt;SUM(AJ4,AJ7),"NG",SUM(AJ4,AJ7))</f>
        <v>#N/A</v>
      </c>
      <c r="AK8" s="136" t="e">
        <f>IF(VLOOKUP(AK$2&amp;$C8&amp;$A8,集計!$D:$R,$B8,0)&lt;&gt;SUM(AK4,AK7),"NG",SUM(AK4,AK7))</f>
        <v>#N/A</v>
      </c>
      <c r="AL8" s="137" t="e">
        <f>AL4+AL7</f>
        <v>#N/A</v>
      </c>
      <c r="AM8" s="136" t="e">
        <f>IF(VLOOKUP(AM$2&amp;$C8&amp;$A8,集計!$D:$R,$B8,0)&lt;&gt;SUM(AM4,AM7),"NG",SUM(AM4,AM7))</f>
        <v>#N/A</v>
      </c>
      <c r="AN8" s="136" t="e">
        <f>IF(VLOOKUP(AN$2&amp;$C8&amp;$A8,集計!$D:$R,$B8,0)&lt;&gt;SUM(AN4,AN7),"NG",SUM(AN4,AN7))</f>
        <v>#N/A</v>
      </c>
      <c r="AO8" s="137" t="e">
        <f>AO4+AO7</f>
        <v>#N/A</v>
      </c>
      <c r="AP8" s="136" t="e">
        <f>IF(VLOOKUP(AP$2&amp;$C8&amp;$A8,集計!$D:$R,$B8,0)&lt;&gt;SUM(AP4,AP7),"NG",SUM(AP4,AP7))</f>
        <v>#N/A</v>
      </c>
      <c r="AQ8" s="136" t="e">
        <f>IF(VLOOKUP(AQ$2&amp;$C8&amp;$A8,集計!$D:$R,$B8,0)&lt;&gt;SUM(AQ4,AQ7),"NG",SUM(AQ4,AQ7))</f>
        <v>#N/A</v>
      </c>
      <c r="AR8" s="136" t="e">
        <f>IF(VLOOKUP(AR$2&amp;$C8&amp;$A8,集計!$D:$R,$B8,0)&lt;&gt;SUM(AR4,AR7),"NG",SUM(AR4,AR7))</f>
        <v>#N/A</v>
      </c>
      <c r="AS8" s="137" t="e">
        <f>AS4+AS7</f>
        <v>#N/A</v>
      </c>
      <c r="AT8" s="137" t="e">
        <f>AT4+AT7</f>
        <v>#N/A</v>
      </c>
      <c r="AU8" s="136" t="e">
        <f>IF(VLOOKUP(AU$2&amp;$C8&amp;$A8,集計!$D:$R,$B8,0)&lt;&gt;SUM(AU4,AU7),"NG",SUM(AU4,AU7))</f>
        <v>#N/A</v>
      </c>
      <c r="AV8" s="136" t="e">
        <f>IF(VLOOKUP(AV$2&amp;$C8&amp;$A8,集計!$D:$R,$B8,0)&lt;&gt;SUM(AV4,AV7),"NG",SUM(AV4,AV7))</f>
        <v>#N/A</v>
      </c>
      <c r="AW8" s="136" t="e">
        <f>IF(VLOOKUP(AW$2&amp;$C8&amp;$A8,集計!$D:$R,$B8,0)&lt;&gt;SUM(AW4,AW7),"NG",SUM(AW4,AW7))</f>
        <v>#N/A</v>
      </c>
      <c r="AX8" s="136" t="e">
        <f>IF(VLOOKUP(AX$2&amp;$C8&amp;$A8,集計!$D:$R,$B8,0)&lt;&gt;SUM(AX4,AX7),"NG",SUM(AX4,AX7))</f>
        <v>#N/A</v>
      </c>
      <c r="AY8" s="136" t="e">
        <f>IF(VLOOKUP(AY$2&amp;$C8&amp;$A8,集計!$D:$R,$B8,0)&lt;&gt;SUM(AY4,AY7),"NG",SUM(AY4,AY7))</f>
        <v>#N/A</v>
      </c>
      <c r="AZ8" s="137" t="e">
        <f>AZ4+AZ7</f>
        <v>#N/A</v>
      </c>
      <c r="BA8" s="137" t="e">
        <f>BA4+BA7</f>
        <v>#N/A</v>
      </c>
      <c r="BB8" s="136" t="e">
        <f>IF(VLOOKUP(BB$2&amp;$C8&amp;$A8,集計!$D:$R,$B8,0)&lt;&gt;SUM(BB4,BB7),"NG",SUM(BB4,BB7))</f>
        <v>#N/A</v>
      </c>
      <c r="BC8" s="136" t="e">
        <f>IF(VLOOKUP(BC$2&amp;$C8&amp;$A8,集計!$D:$R,$B8,0)&lt;&gt;SUM(BC4,BC7),"NG",SUM(BC4,BC7))</f>
        <v>#N/A</v>
      </c>
      <c r="BD8" s="137" t="e">
        <f>BD4+BD7</f>
        <v>#N/A</v>
      </c>
      <c r="BE8" s="136" t="e">
        <f>IF(VLOOKUP(BE$2&amp;$C8&amp;$A8,集計!$D:$R,$B8,0)&lt;&gt;SUM(BE4,BE7),"NG",SUM(BE4,BE7))</f>
        <v>#N/A</v>
      </c>
      <c r="BF8" s="136" t="e">
        <f>IF(VLOOKUP(BF$2&amp;$C8&amp;$A8,集計!$D:$R,$B8,0)&lt;&gt;SUM(BF4,BF7),"NG",SUM(BF4,BF7))</f>
        <v>#N/A</v>
      </c>
      <c r="BG8" s="136" t="e">
        <f>IF(VLOOKUP(BG$2&amp;$C8&amp;$A8,集計!$D:$R,$B8,0)&lt;&gt;SUM(BG4,BG7),"NG",SUM(BG4,BG7))</f>
        <v>#N/A</v>
      </c>
      <c r="BH8" s="136" t="e">
        <f>IF(VLOOKUP(BH$2&amp;$C8&amp;$A8,集計!$D:$R,$B8,0)&lt;&gt;SUM(BH4,BH7),"NG",SUM(BH4,BH7))</f>
        <v>#N/A</v>
      </c>
      <c r="BI8" s="136" t="e">
        <f>IF(VLOOKUP(BI$2&amp;$C8&amp;$A8,集計!$D:$R,$B8,0)&lt;&gt;SUM(BI4,BI7),"NG",SUM(BI4,BI7))</f>
        <v>#N/A</v>
      </c>
      <c r="BJ8" s="137" t="e">
        <f>BJ4+BJ7</f>
        <v>#N/A</v>
      </c>
      <c r="BK8" s="136" t="e">
        <f>IF(VLOOKUP(BK$2&amp;$C8&amp;$A8,集計!$D:$R,$B8,0)&lt;&gt;SUM(BK4,BK7),"NG",SUM(BK4,BK7))</f>
        <v>#N/A</v>
      </c>
      <c r="BL8" s="136" t="e">
        <f>IF(VLOOKUP(BL$2&amp;$C8&amp;$A8,集計!$D:$R,$B8,0)&lt;&gt;SUM(BL4,BL7),"NG",SUM(BL4,BL7))</f>
        <v>#N/A</v>
      </c>
      <c r="BM8" s="136" t="e">
        <f>IF(VLOOKUP(BM$2&amp;$C8&amp;$A8,集計!$D:$R,$B8,0)&lt;&gt;SUM(BM4,BM7),"NG",SUM(BM4,BM7))</f>
        <v>#N/A</v>
      </c>
      <c r="BN8" s="136" t="e">
        <f>IF(VLOOKUP(BN$2&amp;$C8&amp;$A8,集計!$D:$R,$B8,0)&lt;&gt;SUM(BN4,BN7),"NG",SUM(BN4,BN7))</f>
        <v>#N/A</v>
      </c>
      <c r="BO8" s="136" t="e">
        <f>IF(VLOOKUP(BO$2&amp;$C8&amp;$A8,集計!$D:$R,$B8,0)&lt;&gt;SUM(BO4,BO7),"NG",SUM(BO4,BO7))</f>
        <v>#N/A</v>
      </c>
      <c r="BP8" s="136" t="e">
        <f>IF(VLOOKUP(BP$2&amp;$C8&amp;$A8,集計!$D:$R,$B8,0)&lt;&gt;SUM(BP4,BP7),"NG",SUM(BP4,BP7))</f>
        <v>#N/A</v>
      </c>
      <c r="BQ8" s="137" t="e">
        <f>BQ4+BQ7</f>
        <v>#N/A</v>
      </c>
      <c r="BR8" s="136" t="e">
        <f>IF(VLOOKUP(BR$2&amp;$C8&amp;$A8,集計!$D:$R,$B8,0)&lt;&gt;SUM(BR4,BR7),"NG",SUM(BR4,BR7))</f>
        <v>#N/A</v>
      </c>
      <c r="BS8" s="136" t="e">
        <f>IF(VLOOKUP(BS$2&amp;$C8&amp;$A8,集計!$D:$R,$B8,0)&lt;&gt;SUM(BS4,BS7),"NG",SUM(BS4,BS7))</f>
        <v>#N/A</v>
      </c>
      <c r="BT8" s="136" t="e">
        <f>IF(VLOOKUP(BT$2&amp;$C8&amp;$A8,集計!$D:$R,$B8,0)&lt;&gt;SUM(BT4,BT7),"NG",SUM(BT4,BT7))</f>
        <v>#N/A</v>
      </c>
      <c r="BU8" s="137" t="e">
        <f>BU4+BU7</f>
        <v>#N/A</v>
      </c>
      <c r="BV8" s="136" t="e">
        <f>IF(VLOOKUP(BV$2&amp;$C8&amp;$A8,集計!$D:$R,$B8,0)&lt;&gt;SUM(BV4,BV7),"NG",SUM(BV4,BV7))</f>
        <v>#N/A</v>
      </c>
      <c r="BW8" s="137" t="e">
        <f>BW4+BW7</f>
        <v>#N/A</v>
      </c>
      <c r="BX8" s="137" t="e">
        <f>BX4+BX7</f>
        <v>#N/A</v>
      </c>
    </row>
    <row r="9" spans="1:76" s="124" customFormat="1">
      <c r="A9" s="134"/>
      <c r="B9" s="151"/>
      <c r="C9" s="142"/>
      <c r="D9" s="143"/>
      <c r="E9" s="143"/>
      <c r="F9" s="143"/>
      <c r="G9" s="143"/>
      <c r="H9" s="143"/>
      <c r="I9" s="144"/>
      <c r="J9" s="143"/>
      <c r="K9" s="143"/>
      <c r="L9" s="143"/>
      <c r="M9" s="143"/>
      <c r="N9" s="144"/>
      <c r="O9" s="143"/>
      <c r="P9" s="143"/>
      <c r="Q9" s="143"/>
      <c r="R9" s="143"/>
      <c r="S9" s="143"/>
      <c r="T9" s="144"/>
      <c r="U9" s="143"/>
      <c r="V9" s="143"/>
      <c r="W9" s="143"/>
      <c r="X9" s="144"/>
      <c r="Y9" s="143"/>
      <c r="Z9" s="143"/>
      <c r="AA9" s="143"/>
      <c r="AB9" s="144"/>
      <c r="AC9" s="144"/>
      <c r="AD9" s="143"/>
      <c r="AE9" s="143"/>
      <c r="AF9" s="143"/>
      <c r="AG9" s="143"/>
      <c r="AH9" s="144"/>
      <c r="AI9" s="143"/>
      <c r="AJ9" s="143"/>
      <c r="AK9" s="143"/>
      <c r="AL9" s="144"/>
      <c r="AM9" s="143"/>
      <c r="AN9" s="143"/>
      <c r="AO9" s="144"/>
      <c r="AP9" s="143"/>
      <c r="AQ9" s="143"/>
      <c r="AR9" s="143"/>
      <c r="AS9" s="144"/>
      <c r="AT9" s="144"/>
      <c r="AU9" s="143"/>
      <c r="AV9" s="143"/>
      <c r="AW9" s="143"/>
      <c r="AX9" s="143"/>
      <c r="AY9" s="143"/>
      <c r="AZ9" s="144"/>
      <c r="BA9" s="144"/>
      <c r="BB9" s="143"/>
      <c r="BC9" s="143"/>
      <c r="BD9" s="144"/>
      <c r="BE9" s="143"/>
      <c r="BF9" s="143"/>
      <c r="BG9" s="143"/>
      <c r="BH9" s="143"/>
      <c r="BI9" s="143"/>
      <c r="BJ9" s="144"/>
      <c r="BK9" s="143"/>
      <c r="BL9" s="143"/>
      <c r="BM9" s="143"/>
      <c r="BN9" s="143"/>
      <c r="BO9" s="143"/>
      <c r="BP9" s="143"/>
      <c r="BQ9" s="144"/>
      <c r="BR9" s="143"/>
      <c r="BS9" s="143"/>
      <c r="BT9" s="143"/>
      <c r="BU9" s="144"/>
      <c r="BV9" s="143"/>
      <c r="BW9" s="144"/>
      <c r="BX9" s="144"/>
    </row>
    <row r="10" spans="1:76" s="124" customFormat="1" ht="21.5" thickBot="1">
      <c r="A10" s="134"/>
      <c r="B10" s="96">
        <v>5</v>
      </c>
      <c r="C10" s="138" t="s">
        <v>40</v>
      </c>
      <c r="D10" s="145"/>
      <c r="E10" s="145"/>
      <c r="F10" s="145"/>
      <c r="G10" s="145"/>
      <c r="H10" s="145"/>
      <c r="I10" s="146"/>
      <c r="J10" s="145"/>
      <c r="K10" s="145"/>
      <c r="L10" s="145"/>
      <c r="M10" s="145"/>
      <c r="N10" s="146"/>
      <c r="O10" s="145"/>
      <c r="P10" s="145"/>
      <c r="Q10" s="145"/>
      <c r="R10" s="145"/>
      <c r="S10" s="145"/>
      <c r="T10" s="146"/>
      <c r="U10" s="145"/>
      <c r="V10" s="145"/>
      <c r="W10" s="145"/>
      <c r="X10" s="146"/>
      <c r="Y10" s="145"/>
      <c r="Z10" s="145"/>
      <c r="AA10" s="145"/>
      <c r="AB10" s="146"/>
      <c r="AC10" s="146"/>
      <c r="AD10" s="145"/>
      <c r="AE10" s="145"/>
      <c r="AF10" s="145"/>
      <c r="AG10" s="145"/>
      <c r="AH10" s="146"/>
      <c r="AI10" s="145"/>
      <c r="AJ10" s="145"/>
      <c r="AK10" s="145"/>
      <c r="AL10" s="146"/>
      <c r="AM10" s="145"/>
      <c r="AN10" s="145"/>
      <c r="AO10" s="146"/>
      <c r="AP10" s="145"/>
      <c r="AQ10" s="145"/>
      <c r="AR10" s="145"/>
      <c r="AS10" s="146"/>
      <c r="AT10" s="146"/>
      <c r="AU10" s="145"/>
      <c r="AV10" s="145"/>
      <c r="AW10" s="145"/>
      <c r="AX10" s="145"/>
      <c r="AY10" s="145"/>
      <c r="AZ10" s="146"/>
      <c r="BA10" s="146"/>
      <c r="BB10" s="145"/>
      <c r="BC10" s="145"/>
      <c r="BD10" s="146"/>
      <c r="BE10" s="145"/>
      <c r="BF10" s="145"/>
      <c r="BG10" s="145"/>
      <c r="BH10" s="145"/>
      <c r="BI10" s="145"/>
      <c r="BJ10" s="146"/>
      <c r="BK10" s="145"/>
      <c r="BL10" s="145"/>
      <c r="BM10" s="145"/>
      <c r="BN10" s="145"/>
      <c r="BO10" s="145"/>
      <c r="BP10" s="145"/>
      <c r="BQ10" s="146"/>
      <c r="BR10" s="145"/>
      <c r="BS10" s="145"/>
      <c r="BT10" s="145"/>
      <c r="BU10" s="146"/>
      <c r="BV10" s="145"/>
      <c r="BW10" s="146"/>
      <c r="BX10" s="147"/>
    </row>
    <row r="11" spans="1:76" s="124" customFormat="1" ht="21" customHeight="1">
      <c r="A11" s="120" t="s">
        <v>40</v>
      </c>
      <c r="B11" s="152">
        <v>5</v>
      </c>
      <c r="C11" s="121" t="s">
        <v>25</v>
      </c>
      <c r="D11" s="122" t="e">
        <f>VLOOKUP(D$2&amp;$C11&amp;$A11,集計!$D:$R,$B11,0)</f>
        <v>#N/A</v>
      </c>
      <c r="E11" s="122" t="e">
        <f>VLOOKUP(E$2&amp;$C11&amp;$A11,集計!$D:$R,$B11,0)</f>
        <v>#N/A</v>
      </c>
      <c r="F11" s="122" t="e">
        <f>VLOOKUP(F$2&amp;$C11&amp;$A11,集計!$D:$R,$B11,0)</f>
        <v>#N/A</v>
      </c>
      <c r="G11" s="122" t="e">
        <f>VLOOKUP(G$2&amp;$C11&amp;$A11,集計!$D:$R,$B11,0)</f>
        <v>#N/A</v>
      </c>
      <c r="H11" s="122" t="e">
        <f>VLOOKUP(H$2&amp;$C11&amp;$A11,集計!$D:$R,$B11,0)</f>
        <v>#N/A</v>
      </c>
      <c r="I11" s="123" t="e">
        <f>D11+E11+F11+G11+H11</f>
        <v>#N/A</v>
      </c>
      <c r="J11" s="122" t="e">
        <f>VLOOKUP(J$2&amp;$C11&amp;$A11,集計!$D:$R,$B11,0)</f>
        <v>#N/A</v>
      </c>
      <c r="K11" s="122" t="e">
        <f>VLOOKUP(K$2&amp;$C11&amp;$A11,集計!$D:$R,$B11,0)</f>
        <v>#N/A</v>
      </c>
      <c r="L11" s="122" t="e">
        <f>VLOOKUP(L$2&amp;$C11&amp;$A11,集計!$D:$R,$B11,0)</f>
        <v>#N/A</v>
      </c>
      <c r="M11" s="122" t="e">
        <f>VLOOKUP(M$2&amp;$C11&amp;$A11,集計!$D:$R,$B11,0)</f>
        <v>#N/A</v>
      </c>
      <c r="N11" s="123" t="e">
        <f>J11+K11+L11+M11</f>
        <v>#N/A</v>
      </c>
      <c r="O11" s="122" t="e">
        <f>VLOOKUP(O$2&amp;$C11&amp;$A11,集計!$D:$R,$B11,0)</f>
        <v>#N/A</v>
      </c>
      <c r="P11" s="122" t="e">
        <f>VLOOKUP(P$2&amp;$C11&amp;$A11,集計!$D:$R,$B11,0)</f>
        <v>#N/A</v>
      </c>
      <c r="Q11" s="122" t="e">
        <f>VLOOKUP(Q$2&amp;$C11&amp;$A11,集計!$D:$R,$B11,0)</f>
        <v>#N/A</v>
      </c>
      <c r="R11" s="122" t="e">
        <f>VLOOKUP(R$2&amp;$C11&amp;$A11,集計!$D:$R,$B11,0)</f>
        <v>#N/A</v>
      </c>
      <c r="S11" s="122" t="e">
        <f>VLOOKUP(S$2&amp;$C11&amp;$A11,集計!$D:$R,$B11,0)</f>
        <v>#N/A</v>
      </c>
      <c r="T11" s="123" t="e">
        <f>O11+P11+Q11+R11+S11</f>
        <v>#N/A</v>
      </c>
      <c r="U11" s="122" t="e">
        <f>VLOOKUP(U$2&amp;$C11&amp;$A11,集計!$D:$R,$B11,0)</f>
        <v>#N/A</v>
      </c>
      <c r="V11" s="122" t="e">
        <f>VLOOKUP(V$2&amp;$C11&amp;$A11,集計!$D:$R,$B11,0)</f>
        <v>#N/A</v>
      </c>
      <c r="W11" s="122" t="e">
        <f>VLOOKUP(W$2&amp;$C11&amp;$A11,集計!$D:$R,$B11,0)</f>
        <v>#N/A</v>
      </c>
      <c r="X11" s="123" t="e">
        <f>U11+V11+W11</f>
        <v>#N/A</v>
      </c>
      <c r="Y11" s="122" t="e">
        <f>VLOOKUP(Y$2&amp;$C11&amp;$A11,集計!$D:$R,$B11,0)</f>
        <v>#N/A</v>
      </c>
      <c r="Z11" s="122" t="e">
        <f>VLOOKUP(Z$2&amp;$C11&amp;$A11,集計!$D:$R,$B11,0)</f>
        <v>#N/A</v>
      </c>
      <c r="AA11" s="122" t="e">
        <f>VLOOKUP(AA$2&amp;$C11&amp;$A11,集計!$D:$R,$B11,0)</f>
        <v>#N/A</v>
      </c>
      <c r="AB11" s="123" t="e">
        <f>Y11+Z11+AA11</f>
        <v>#N/A</v>
      </c>
      <c r="AC11" s="123" t="e">
        <f>I11+N11+T11+X11+AB11</f>
        <v>#N/A</v>
      </c>
      <c r="AD11" s="122" t="e">
        <f>VLOOKUP(AD$2&amp;$C11&amp;$A11,集計!$D:$R,$B11,0)</f>
        <v>#N/A</v>
      </c>
      <c r="AE11" s="122" t="e">
        <f>VLOOKUP(AE$2&amp;$C11&amp;$A11,集計!$D:$R,$B11,0)</f>
        <v>#N/A</v>
      </c>
      <c r="AF11" s="122" t="e">
        <f>VLOOKUP(AF$2&amp;$C11&amp;$A11,集計!$D:$R,$B11,0)</f>
        <v>#N/A</v>
      </c>
      <c r="AG11" s="122" t="e">
        <f>VLOOKUP(AG$2&amp;$C11&amp;$A11,集計!$D:$R,$B11,0)</f>
        <v>#N/A</v>
      </c>
      <c r="AH11" s="123" t="e">
        <f>AD11+AE11+AF11+AG11</f>
        <v>#N/A</v>
      </c>
      <c r="AI11" s="122" t="e">
        <f>VLOOKUP(AI$2&amp;$C11&amp;$A11,集計!$D:$R,$B11,0)</f>
        <v>#N/A</v>
      </c>
      <c r="AJ11" s="122" t="e">
        <f>VLOOKUP(AJ$2&amp;$C11&amp;$A11,集計!$D:$R,$B11,0)</f>
        <v>#N/A</v>
      </c>
      <c r="AK11" s="122" t="e">
        <f>VLOOKUP(AK$2&amp;$C11&amp;$A11,集計!$D:$R,$B11,0)</f>
        <v>#N/A</v>
      </c>
      <c r="AL11" s="123" t="e">
        <f>AI11+AJ11+AK11</f>
        <v>#N/A</v>
      </c>
      <c r="AM11" s="122" t="e">
        <f>VLOOKUP(AM$2&amp;$C11&amp;$A11,集計!$D:$R,$B11,0)</f>
        <v>#N/A</v>
      </c>
      <c r="AN11" s="122" t="e">
        <f>VLOOKUP(AN$2&amp;$C11&amp;$A11,集計!$D:$R,$B11,0)</f>
        <v>#N/A</v>
      </c>
      <c r="AO11" s="123" t="e">
        <f>AM11+AN11</f>
        <v>#N/A</v>
      </c>
      <c r="AP11" s="122" t="e">
        <f>VLOOKUP(AP$2&amp;$C11&amp;$A11,集計!$D:$R,$B11,0)</f>
        <v>#N/A</v>
      </c>
      <c r="AQ11" s="122" t="e">
        <f>VLOOKUP(AQ$2&amp;$C11&amp;$A11,集計!$D:$R,$B11,0)</f>
        <v>#N/A</v>
      </c>
      <c r="AR11" s="122" t="e">
        <f>VLOOKUP(AR$2&amp;$C11&amp;$A11,集計!$D:$R,$B11,0)</f>
        <v>#N/A</v>
      </c>
      <c r="AS11" s="123" t="e">
        <f>AP11+AQ11+AR11</f>
        <v>#N/A</v>
      </c>
      <c r="AT11" s="123" t="e">
        <f>AH11+AL11+AO11+AS11</f>
        <v>#N/A</v>
      </c>
      <c r="AU11" s="122" t="e">
        <f>VLOOKUP(AU$2&amp;$C11&amp;$A11,集計!$D:$R,$B11,0)</f>
        <v>#N/A</v>
      </c>
      <c r="AV11" s="122" t="e">
        <f>VLOOKUP(AV$2&amp;$C11&amp;$A11,集計!$D:$R,$B11,0)</f>
        <v>#N/A</v>
      </c>
      <c r="AW11" s="122" t="e">
        <f>VLOOKUP(AW$2&amp;$C11&amp;$A11,集計!$D:$R,$B11,0)</f>
        <v>#N/A</v>
      </c>
      <c r="AX11" s="122" t="e">
        <f>VLOOKUP(AX$2&amp;$C11&amp;$A11,集計!$D:$R,$B11,0)</f>
        <v>#N/A</v>
      </c>
      <c r="AY11" s="122" t="e">
        <f>VLOOKUP(AY$2&amp;$C11&amp;$A11,集計!$D:$R,$B11,0)</f>
        <v>#N/A</v>
      </c>
      <c r="AZ11" s="123" t="e">
        <f>AU11+AV11+AW11+AX11+AY11</f>
        <v>#N/A</v>
      </c>
      <c r="BA11" s="123" t="e">
        <f>AZ11</f>
        <v>#N/A</v>
      </c>
      <c r="BB11" s="122" t="e">
        <f>VLOOKUP(BB$2&amp;$C11&amp;$A11,集計!$D:$R,$B11,0)</f>
        <v>#N/A</v>
      </c>
      <c r="BC11" s="122" t="e">
        <f>VLOOKUP(BC$2&amp;$C11&amp;$A11,集計!$D:$R,$B11,0)</f>
        <v>#N/A</v>
      </c>
      <c r="BD11" s="123" t="e">
        <f>BB11+BC11</f>
        <v>#N/A</v>
      </c>
      <c r="BE11" s="122" t="e">
        <f>VLOOKUP(BE$2&amp;$C11&amp;$A11,集計!$D:$R,$B11,0)</f>
        <v>#N/A</v>
      </c>
      <c r="BF11" s="122" t="e">
        <f>VLOOKUP(BF$2&amp;$C11&amp;$A11,集計!$D:$R,$B11,0)</f>
        <v>#N/A</v>
      </c>
      <c r="BG11" s="122" t="e">
        <f>VLOOKUP(BG$2&amp;$C11&amp;$A11,集計!$D:$R,$B11,0)</f>
        <v>#N/A</v>
      </c>
      <c r="BH11" s="122" t="e">
        <f>VLOOKUP(BH$2&amp;$C11&amp;$A11,集計!$D:$R,$B11,0)</f>
        <v>#N/A</v>
      </c>
      <c r="BI11" s="122" t="e">
        <f>VLOOKUP(BI$2&amp;$C11&amp;$A11,集計!$D:$R,$B11,0)</f>
        <v>#N/A</v>
      </c>
      <c r="BJ11" s="123" t="e">
        <f>BE11+BF11+BG11+BH11+BI11</f>
        <v>#N/A</v>
      </c>
      <c r="BK11" s="122" t="e">
        <f>VLOOKUP(BK$2&amp;$C11&amp;$A11,集計!$D:$R,$B11,0)</f>
        <v>#N/A</v>
      </c>
      <c r="BL11" s="122" t="e">
        <f>VLOOKUP(BL$2&amp;$C11&amp;$A11,集計!$D:$R,$B11,0)</f>
        <v>#N/A</v>
      </c>
      <c r="BM11" s="122" t="e">
        <f>VLOOKUP(BM$2&amp;$C11&amp;$A11,集計!$D:$R,$B11,0)</f>
        <v>#N/A</v>
      </c>
      <c r="BN11" s="122" t="e">
        <f>VLOOKUP(BN$2&amp;$C11&amp;$A11,集計!$D:$R,$B11,0)</f>
        <v>#N/A</v>
      </c>
      <c r="BO11" s="122" t="e">
        <f>VLOOKUP(BO$2&amp;$C11&amp;$A11,集計!$D:$R,$B11,0)</f>
        <v>#N/A</v>
      </c>
      <c r="BP11" s="122" t="e">
        <f>VLOOKUP(BP$2&amp;$C11&amp;$A11,集計!$D:$R,$B11,0)</f>
        <v>#N/A</v>
      </c>
      <c r="BQ11" s="123" t="e">
        <f>BK11+BL11+BM11+BN11+BO11+BP11</f>
        <v>#N/A</v>
      </c>
      <c r="BR11" s="122" t="e">
        <f>VLOOKUP(BR$2&amp;$C11&amp;$A11,集計!$D:$R,$B11,0)</f>
        <v>#N/A</v>
      </c>
      <c r="BS11" s="122" t="e">
        <f>VLOOKUP(BS$2&amp;$C11&amp;$A11,集計!$D:$R,$B11,0)</f>
        <v>#N/A</v>
      </c>
      <c r="BT11" s="122" t="e">
        <f>VLOOKUP(BT$2&amp;$C11&amp;$A11,集計!$D:$R,$B11,0)</f>
        <v>#N/A</v>
      </c>
      <c r="BU11" s="123" t="e">
        <f>BR11+BS11+BT11</f>
        <v>#N/A</v>
      </c>
      <c r="BV11" s="122" t="e">
        <f>VLOOKUP(BV$2&amp;$C11&amp;$A11,集計!$D:$R,$B11,0)</f>
        <v>#N/A</v>
      </c>
      <c r="BW11" s="123" t="e">
        <f>BV11</f>
        <v>#N/A</v>
      </c>
      <c r="BX11" s="123" t="e">
        <f>AC11+AT11+BA11+BD11+BJ11+BQ11+BU11+BW11</f>
        <v>#N/A</v>
      </c>
    </row>
    <row r="12" spans="1:76" s="124" customFormat="1">
      <c r="A12" s="120" t="s">
        <v>40</v>
      </c>
      <c r="B12" s="152">
        <v>5</v>
      </c>
      <c r="C12" s="125" t="s">
        <v>106</v>
      </c>
      <c r="D12" s="126" t="e">
        <f>VLOOKUP(D$2&amp;$C12&amp;$A12,集計!$D:$R,$B12,0)</f>
        <v>#N/A</v>
      </c>
      <c r="E12" s="126" t="e">
        <f>VLOOKUP(E$2&amp;$C12&amp;$A12,集計!$D:$R,$B12,0)</f>
        <v>#N/A</v>
      </c>
      <c r="F12" s="126" t="e">
        <f>VLOOKUP(F$2&amp;$C12&amp;$A12,集計!$D:$R,$B12,0)</f>
        <v>#N/A</v>
      </c>
      <c r="G12" s="126" t="e">
        <f>VLOOKUP(G$2&amp;$C12&amp;$A12,集計!$D:$R,$B12,0)</f>
        <v>#N/A</v>
      </c>
      <c r="H12" s="126" t="e">
        <f>VLOOKUP(H$2&amp;$C12&amp;$A12,集計!$D:$R,$B12,0)</f>
        <v>#N/A</v>
      </c>
      <c r="I12" s="127" t="e">
        <f>D12+E12+F12+G12+H12</f>
        <v>#N/A</v>
      </c>
      <c r="J12" s="126" t="e">
        <f>VLOOKUP(J$2&amp;$C12&amp;$A12,集計!$D:$R,$B12,0)</f>
        <v>#N/A</v>
      </c>
      <c r="K12" s="126" t="e">
        <f>VLOOKUP(K$2&amp;$C12&amp;$A12,集計!$D:$R,$B12,0)</f>
        <v>#N/A</v>
      </c>
      <c r="L12" s="126" t="e">
        <f>VLOOKUP(L$2&amp;$C12&amp;$A12,集計!$D:$R,$B12,0)</f>
        <v>#N/A</v>
      </c>
      <c r="M12" s="126" t="e">
        <f>VLOOKUP(M$2&amp;$C12&amp;$A12,集計!$D:$R,$B12,0)</f>
        <v>#N/A</v>
      </c>
      <c r="N12" s="127" t="e">
        <f>J12+K12+L12+M12</f>
        <v>#N/A</v>
      </c>
      <c r="O12" s="126" t="e">
        <f>VLOOKUP(O$2&amp;$C12&amp;$A12,集計!$D:$R,$B12,0)</f>
        <v>#N/A</v>
      </c>
      <c r="P12" s="126" t="e">
        <f>VLOOKUP(P$2&amp;$C12&amp;$A12,集計!$D:$R,$B12,0)</f>
        <v>#N/A</v>
      </c>
      <c r="Q12" s="126" t="e">
        <f>VLOOKUP(Q$2&amp;$C12&amp;$A12,集計!$D:$R,$B12,0)</f>
        <v>#N/A</v>
      </c>
      <c r="R12" s="126" t="e">
        <f>VLOOKUP(R$2&amp;$C12&amp;$A12,集計!$D:$R,$B12,0)</f>
        <v>#N/A</v>
      </c>
      <c r="S12" s="126" t="e">
        <f>VLOOKUP(S$2&amp;$C12&amp;$A12,集計!$D:$R,$B12,0)</f>
        <v>#N/A</v>
      </c>
      <c r="T12" s="127" t="e">
        <f>O12+P12+Q12+R12+S12</f>
        <v>#N/A</v>
      </c>
      <c r="U12" s="126" t="e">
        <f>VLOOKUP(U$2&amp;$C12&amp;$A12,集計!$D:$R,$B12,0)</f>
        <v>#N/A</v>
      </c>
      <c r="V12" s="126" t="e">
        <f>VLOOKUP(V$2&amp;$C12&amp;$A12,集計!$D:$R,$B12,0)</f>
        <v>#N/A</v>
      </c>
      <c r="W12" s="126" t="e">
        <f>VLOOKUP(W$2&amp;$C12&amp;$A12,集計!$D:$R,$B12,0)</f>
        <v>#N/A</v>
      </c>
      <c r="X12" s="127" t="e">
        <f>U12+V12+W12</f>
        <v>#N/A</v>
      </c>
      <c r="Y12" s="126" t="e">
        <f>VLOOKUP(Y$2&amp;$C12&amp;$A12,集計!$D:$R,$B12,0)</f>
        <v>#N/A</v>
      </c>
      <c r="Z12" s="126" t="e">
        <f>VLOOKUP(Z$2&amp;$C12&amp;$A12,集計!$D:$R,$B12,0)</f>
        <v>#N/A</v>
      </c>
      <c r="AA12" s="126" t="e">
        <f>VLOOKUP(AA$2&amp;$C12&amp;$A12,集計!$D:$R,$B12,0)</f>
        <v>#N/A</v>
      </c>
      <c r="AB12" s="127" t="e">
        <f>Y12+Z12+AA12</f>
        <v>#N/A</v>
      </c>
      <c r="AC12" s="127" t="e">
        <f>I12+N12+T12+X12+AB12</f>
        <v>#N/A</v>
      </c>
      <c r="AD12" s="126" t="e">
        <f>VLOOKUP(AD$2&amp;$C12&amp;$A12,集計!$D:$R,$B12,0)</f>
        <v>#N/A</v>
      </c>
      <c r="AE12" s="126" t="e">
        <f>VLOOKUP(AE$2&amp;$C12&amp;$A12,集計!$D:$R,$B12,0)</f>
        <v>#N/A</v>
      </c>
      <c r="AF12" s="126" t="e">
        <f>VLOOKUP(AF$2&amp;$C12&amp;$A12,集計!$D:$R,$B12,0)</f>
        <v>#N/A</v>
      </c>
      <c r="AG12" s="126" t="e">
        <f>VLOOKUP(AG$2&amp;$C12&amp;$A12,集計!$D:$R,$B12,0)</f>
        <v>#N/A</v>
      </c>
      <c r="AH12" s="127" t="e">
        <f>AD12+AE12+AF12+AG12</f>
        <v>#N/A</v>
      </c>
      <c r="AI12" s="126" t="e">
        <f>VLOOKUP(AI$2&amp;$C12&amp;$A12,集計!$D:$R,$B12,0)</f>
        <v>#N/A</v>
      </c>
      <c r="AJ12" s="126" t="e">
        <f>VLOOKUP(AJ$2&amp;$C12&amp;$A12,集計!$D:$R,$B12,0)</f>
        <v>#N/A</v>
      </c>
      <c r="AK12" s="126" t="e">
        <f>VLOOKUP(AK$2&amp;$C12&amp;$A12,集計!$D:$R,$B12,0)</f>
        <v>#N/A</v>
      </c>
      <c r="AL12" s="127" t="e">
        <f>AI12+AJ12+AK12</f>
        <v>#N/A</v>
      </c>
      <c r="AM12" s="126" t="e">
        <f>VLOOKUP(AM$2&amp;$C12&amp;$A12,集計!$D:$R,$B12,0)</f>
        <v>#N/A</v>
      </c>
      <c r="AN12" s="126" t="e">
        <f>VLOOKUP(AN$2&amp;$C12&amp;$A12,集計!$D:$R,$B12,0)</f>
        <v>#N/A</v>
      </c>
      <c r="AO12" s="127" t="e">
        <f>AM12+AN12</f>
        <v>#N/A</v>
      </c>
      <c r="AP12" s="126" t="e">
        <f>VLOOKUP(AP$2&amp;$C12&amp;$A12,集計!$D:$R,$B12,0)</f>
        <v>#N/A</v>
      </c>
      <c r="AQ12" s="126" t="e">
        <f>VLOOKUP(AQ$2&amp;$C12&amp;$A12,集計!$D:$R,$B12,0)</f>
        <v>#N/A</v>
      </c>
      <c r="AR12" s="126" t="e">
        <f>VLOOKUP(AR$2&amp;$C12&amp;$A12,集計!$D:$R,$B12,0)</f>
        <v>#N/A</v>
      </c>
      <c r="AS12" s="127" t="e">
        <f>AP12+AQ12+AR12</f>
        <v>#N/A</v>
      </c>
      <c r="AT12" s="127" t="e">
        <f>AH12+AL12+AO12+AS12</f>
        <v>#N/A</v>
      </c>
      <c r="AU12" s="126" t="e">
        <f>VLOOKUP(AU$2&amp;$C12&amp;$A12,集計!$D:$R,$B12,0)</f>
        <v>#N/A</v>
      </c>
      <c r="AV12" s="126" t="e">
        <f>VLOOKUP(AV$2&amp;$C12&amp;$A12,集計!$D:$R,$B12,0)</f>
        <v>#N/A</v>
      </c>
      <c r="AW12" s="126" t="e">
        <f>VLOOKUP(AW$2&amp;$C12&amp;$A12,集計!$D:$R,$B12,0)</f>
        <v>#N/A</v>
      </c>
      <c r="AX12" s="126" t="e">
        <f>VLOOKUP(AX$2&amp;$C12&amp;$A12,集計!$D:$R,$B12,0)</f>
        <v>#N/A</v>
      </c>
      <c r="AY12" s="126" t="e">
        <f>VLOOKUP(AY$2&amp;$C12&amp;$A12,集計!$D:$R,$B12,0)</f>
        <v>#N/A</v>
      </c>
      <c r="AZ12" s="127" t="e">
        <f>AU12+AV12+AW12+AX12+AY12</f>
        <v>#N/A</v>
      </c>
      <c r="BA12" s="127" t="e">
        <f>AZ12</f>
        <v>#N/A</v>
      </c>
      <c r="BB12" s="126" t="e">
        <f>VLOOKUP(BB$2&amp;$C12&amp;$A12,集計!$D:$R,$B12,0)</f>
        <v>#N/A</v>
      </c>
      <c r="BC12" s="126" t="e">
        <f>VLOOKUP(BC$2&amp;$C12&amp;$A12,集計!$D:$R,$B12,0)</f>
        <v>#N/A</v>
      </c>
      <c r="BD12" s="127" t="e">
        <f>BB12+BC12</f>
        <v>#N/A</v>
      </c>
      <c r="BE12" s="126" t="e">
        <f>VLOOKUP(BE$2&amp;$C12&amp;$A12,集計!$D:$R,$B12,0)</f>
        <v>#N/A</v>
      </c>
      <c r="BF12" s="126" t="e">
        <f>VLOOKUP(BF$2&amp;$C12&amp;$A12,集計!$D:$R,$B12,0)</f>
        <v>#N/A</v>
      </c>
      <c r="BG12" s="126" t="e">
        <f>VLOOKUP(BG$2&amp;$C12&amp;$A12,集計!$D:$R,$B12,0)</f>
        <v>#N/A</v>
      </c>
      <c r="BH12" s="126" t="e">
        <f>VLOOKUP(BH$2&amp;$C12&amp;$A12,集計!$D:$R,$B12,0)</f>
        <v>#N/A</v>
      </c>
      <c r="BI12" s="126" t="e">
        <f>VLOOKUP(BI$2&amp;$C12&amp;$A12,集計!$D:$R,$B12,0)</f>
        <v>#N/A</v>
      </c>
      <c r="BJ12" s="127" t="e">
        <f>BE12+BF12+BG12+BH12+BI12</f>
        <v>#N/A</v>
      </c>
      <c r="BK12" s="126" t="e">
        <f>VLOOKUP(BK$2&amp;$C12&amp;$A12,集計!$D:$R,$B12,0)</f>
        <v>#N/A</v>
      </c>
      <c r="BL12" s="126" t="e">
        <f>VLOOKUP(BL$2&amp;$C12&amp;$A12,集計!$D:$R,$B12,0)</f>
        <v>#N/A</v>
      </c>
      <c r="BM12" s="126" t="e">
        <f>VLOOKUP(BM$2&amp;$C12&amp;$A12,集計!$D:$R,$B12,0)</f>
        <v>#N/A</v>
      </c>
      <c r="BN12" s="126" t="e">
        <f>VLOOKUP(BN$2&amp;$C12&amp;$A12,集計!$D:$R,$B12,0)</f>
        <v>#N/A</v>
      </c>
      <c r="BO12" s="126" t="e">
        <f>VLOOKUP(BO$2&amp;$C12&amp;$A12,集計!$D:$R,$B12,0)</f>
        <v>#N/A</v>
      </c>
      <c r="BP12" s="126" t="e">
        <f>VLOOKUP(BP$2&amp;$C12&amp;$A12,集計!$D:$R,$B12,0)</f>
        <v>#N/A</v>
      </c>
      <c r="BQ12" s="127" t="e">
        <f>BK12+BL12+BM12+BN12+BO12+BP12</f>
        <v>#N/A</v>
      </c>
      <c r="BR12" s="126" t="e">
        <f>VLOOKUP(BR$2&amp;$C12&amp;$A12,集計!$D:$R,$B12,0)</f>
        <v>#N/A</v>
      </c>
      <c r="BS12" s="126" t="e">
        <f>VLOOKUP(BS$2&amp;$C12&amp;$A12,集計!$D:$R,$B12,0)</f>
        <v>#N/A</v>
      </c>
      <c r="BT12" s="126" t="e">
        <f>VLOOKUP(BT$2&amp;$C12&amp;$A12,集計!$D:$R,$B12,0)</f>
        <v>#N/A</v>
      </c>
      <c r="BU12" s="127" t="e">
        <f>BR12+BS12+BT12</f>
        <v>#N/A</v>
      </c>
      <c r="BV12" s="126" t="e">
        <f>VLOOKUP(BV$2&amp;$C12&amp;$A12,集計!$D:$R,$B12,0)</f>
        <v>#N/A</v>
      </c>
      <c r="BW12" s="127" t="e">
        <f>BV12</f>
        <v>#N/A</v>
      </c>
      <c r="BX12" s="127" t="e">
        <f>AC12+AT12+BA12+BD12+BJ12+BQ12+BU12+BW12</f>
        <v>#N/A</v>
      </c>
    </row>
    <row r="13" spans="1:76" s="124" customFormat="1">
      <c r="A13" s="120" t="s">
        <v>40</v>
      </c>
      <c r="B13" s="152">
        <v>5</v>
      </c>
      <c r="C13" s="128" t="s">
        <v>107</v>
      </c>
      <c r="D13" s="129" t="e">
        <f>VLOOKUP(D$2&amp;$C13&amp;$A13,集計!$D:$R,$B13,0)</f>
        <v>#N/A</v>
      </c>
      <c r="E13" s="129" t="e">
        <f>VLOOKUP(E$2&amp;$C13&amp;$A13,集計!$D:$R,$B13,0)</f>
        <v>#N/A</v>
      </c>
      <c r="F13" s="129" t="e">
        <f>VLOOKUP(F$2&amp;$C13&amp;$A13,集計!$D:$R,$B13,0)</f>
        <v>#N/A</v>
      </c>
      <c r="G13" s="129" t="e">
        <f>VLOOKUP(G$2&amp;$C13&amp;$A13,集計!$D:$R,$B13,0)</f>
        <v>#N/A</v>
      </c>
      <c r="H13" s="129" t="e">
        <f>VLOOKUP(H$2&amp;$C13&amp;$A13,集計!$D:$R,$B13,0)</f>
        <v>#N/A</v>
      </c>
      <c r="I13" s="130" t="e">
        <f>D13+E13+F13+G13+H13</f>
        <v>#N/A</v>
      </c>
      <c r="J13" s="129" t="e">
        <f>VLOOKUP(J$2&amp;$C13&amp;$A13,集計!$D:$R,$B13,0)</f>
        <v>#N/A</v>
      </c>
      <c r="K13" s="129" t="e">
        <f>VLOOKUP(K$2&amp;$C13&amp;$A13,集計!$D:$R,$B13,0)</f>
        <v>#N/A</v>
      </c>
      <c r="L13" s="129" t="e">
        <f>VLOOKUP(L$2&amp;$C13&amp;$A13,集計!$D:$R,$B13,0)</f>
        <v>#N/A</v>
      </c>
      <c r="M13" s="129" t="e">
        <f>VLOOKUP(M$2&amp;$C13&amp;$A13,集計!$D:$R,$B13,0)</f>
        <v>#N/A</v>
      </c>
      <c r="N13" s="130" t="e">
        <f>J13+K13+L13+M13</f>
        <v>#N/A</v>
      </c>
      <c r="O13" s="129" t="e">
        <f>VLOOKUP(O$2&amp;$C13&amp;$A13,集計!$D:$R,$B13,0)</f>
        <v>#N/A</v>
      </c>
      <c r="P13" s="129" t="e">
        <f>VLOOKUP(P$2&amp;$C13&amp;$A13,集計!$D:$R,$B13,0)</f>
        <v>#N/A</v>
      </c>
      <c r="Q13" s="129" t="e">
        <f>VLOOKUP(Q$2&amp;$C13&amp;$A13,集計!$D:$R,$B13,0)</f>
        <v>#N/A</v>
      </c>
      <c r="R13" s="129" t="e">
        <f>VLOOKUP(R$2&amp;$C13&amp;$A13,集計!$D:$R,$B13,0)</f>
        <v>#N/A</v>
      </c>
      <c r="S13" s="129" t="e">
        <f>VLOOKUP(S$2&amp;$C13&amp;$A13,集計!$D:$R,$B13,0)</f>
        <v>#N/A</v>
      </c>
      <c r="T13" s="130" t="e">
        <f>O13+P13+Q13+R13+S13</f>
        <v>#N/A</v>
      </c>
      <c r="U13" s="129" t="e">
        <f>VLOOKUP(U$2&amp;$C13&amp;$A13,集計!$D:$R,$B13,0)</f>
        <v>#N/A</v>
      </c>
      <c r="V13" s="129" t="e">
        <f>VLOOKUP(V$2&amp;$C13&amp;$A13,集計!$D:$R,$B13,0)</f>
        <v>#N/A</v>
      </c>
      <c r="W13" s="129" t="e">
        <f>VLOOKUP(W$2&amp;$C13&amp;$A13,集計!$D:$R,$B13,0)</f>
        <v>#N/A</v>
      </c>
      <c r="X13" s="130" t="e">
        <f>U13+V13+W13</f>
        <v>#N/A</v>
      </c>
      <c r="Y13" s="129" t="e">
        <f>VLOOKUP(Y$2&amp;$C13&amp;$A13,集計!$D:$R,$B13,0)</f>
        <v>#N/A</v>
      </c>
      <c r="Z13" s="129" t="e">
        <f>VLOOKUP(Z$2&amp;$C13&amp;$A13,集計!$D:$R,$B13,0)</f>
        <v>#N/A</v>
      </c>
      <c r="AA13" s="129" t="e">
        <f>VLOOKUP(AA$2&amp;$C13&amp;$A13,集計!$D:$R,$B13,0)</f>
        <v>#N/A</v>
      </c>
      <c r="AB13" s="130" t="e">
        <f>Y13+Z13+AA13</f>
        <v>#N/A</v>
      </c>
      <c r="AC13" s="130" t="e">
        <f>I13+N13+T13+X13+AB13</f>
        <v>#N/A</v>
      </c>
      <c r="AD13" s="129" t="e">
        <f>VLOOKUP(AD$2&amp;$C13&amp;$A13,集計!$D:$R,$B13,0)</f>
        <v>#N/A</v>
      </c>
      <c r="AE13" s="129" t="e">
        <f>VLOOKUP(AE$2&amp;$C13&amp;$A13,集計!$D:$R,$B13,0)</f>
        <v>#N/A</v>
      </c>
      <c r="AF13" s="129" t="e">
        <f>VLOOKUP(AF$2&amp;$C13&amp;$A13,集計!$D:$R,$B13,0)</f>
        <v>#N/A</v>
      </c>
      <c r="AG13" s="129" t="e">
        <f>VLOOKUP(AG$2&amp;$C13&amp;$A13,集計!$D:$R,$B13,0)</f>
        <v>#N/A</v>
      </c>
      <c r="AH13" s="130" t="e">
        <f>AD13+AE13+AF13+AG13</f>
        <v>#N/A</v>
      </c>
      <c r="AI13" s="129" t="e">
        <f>VLOOKUP(AI$2&amp;$C13&amp;$A13,集計!$D:$R,$B13,0)</f>
        <v>#N/A</v>
      </c>
      <c r="AJ13" s="129" t="e">
        <f>VLOOKUP(AJ$2&amp;$C13&amp;$A13,集計!$D:$R,$B13,0)</f>
        <v>#N/A</v>
      </c>
      <c r="AK13" s="129" t="e">
        <f>VLOOKUP(AK$2&amp;$C13&amp;$A13,集計!$D:$R,$B13,0)</f>
        <v>#N/A</v>
      </c>
      <c r="AL13" s="130" t="e">
        <f>AI13+AJ13+AK13</f>
        <v>#N/A</v>
      </c>
      <c r="AM13" s="129" t="e">
        <f>VLOOKUP(AM$2&amp;$C13&amp;$A13,集計!$D:$R,$B13,0)</f>
        <v>#N/A</v>
      </c>
      <c r="AN13" s="129" t="e">
        <f>VLOOKUP(AN$2&amp;$C13&amp;$A13,集計!$D:$R,$B13,0)</f>
        <v>#N/A</v>
      </c>
      <c r="AO13" s="130" t="e">
        <f>AM13+AN13</f>
        <v>#N/A</v>
      </c>
      <c r="AP13" s="129" t="e">
        <f>VLOOKUP(AP$2&amp;$C13&amp;$A13,集計!$D:$R,$B13,0)</f>
        <v>#N/A</v>
      </c>
      <c r="AQ13" s="129" t="e">
        <f>VLOOKUP(AQ$2&amp;$C13&amp;$A13,集計!$D:$R,$B13,0)</f>
        <v>#N/A</v>
      </c>
      <c r="AR13" s="129" t="e">
        <f>VLOOKUP(AR$2&amp;$C13&amp;$A13,集計!$D:$R,$B13,0)</f>
        <v>#N/A</v>
      </c>
      <c r="AS13" s="130" t="e">
        <f>AP13+AQ13+AR13</f>
        <v>#N/A</v>
      </c>
      <c r="AT13" s="130" t="e">
        <f>AH13+AL13+AO13+AS13</f>
        <v>#N/A</v>
      </c>
      <c r="AU13" s="129" t="e">
        <f>VLOOKUP(AU$2&amp;$C13&amp;$A13,集計!$D:$R,$B13,0)</f>
        <v>#N/A</v>
      </c>
      <c r="AV13" s="129" t="e">
        <f>VLOOKUP(AV$2&amp;$C13&amp;$A13,集計!$D:$R,$B13,0)</f>
        <v>#N/A</v>
      </c>
      <c r="AW13" s="129" t="e">
        <f>VLOOKUP(AW$2&amp;$C13&amp;$A13,集計!$D:$R,$B13,0)</f>
        <v>#N/A</v>
      </c>
      <c r="AX13" s="129" t="e">
        <f>VLOOKUP(AX$2&amp;$C13&amp;$A13,集計!$D:$R,$B13,0)</f>
        <v>#N/A</v>
      </c>
      <c r="AY13" s="129" t="e">
        <f>VLOOKUP(AY$2&amp;$C13&amp;$A13,集計!$D:$R,$B13,0)</f>
        <v>#N/A</v>
      </c>
      <c r="AZ13" s="130" t="e">
        <f>AU13+AV13+AW13+AX13+AY13</f>
        <v>#N/A</v>
      </c>
      <c r="BA13" s="130" t="e">
        <f>AZ13</f>
        <v>#N/A</v>
      </c>
      <c r="BB13" s="129" t="e">
        <f>VLOOKUP(BB$2&amp;$C13&amp;$A13,集計!$D:$R,$B13,0)</f>
        <v>#N/A</v>
      </c>
      <c r="BC13" s="129" t="e">
        <f>VLOOKUP(BC$2&amp;$C13&amp;$A13,集計!$D:$R,$B13,0)</f>
        <v>#N/A</v>
      </c>
      <c r="BD13" s="130" t="e">
        <f>BB13+BC13</f>
        <v>#N/A</v>
      </c>
      <c r="BE13" s="129" t="e">
        <f>VLOOKUP(BE$2&amp;$C13&amp;$A13,集計!$D:$R,$B13,0)</f>
        <v>#N/A</v>
      </c>
      <c r="BF13" s="129" t="e">
        <f>VLOOKUP(BF$2&amp;$C13&amp;$A13,集計!$D:$R,$B13,0)</f>
        <v>#N/A</v>
      </c>
      <c r="BG13" s="129" t="e">
        <f>VLOOKUP(BG$2&amp;$C13&amp;$A13,集計!$D:$R,$B13,0)</f>
        <v>#N/A</v>
      </c>
      <c r="BH13" s="129" t="e">
        <f>VLOOKUP(BH$2&amp;$C13&amp;$A13,集計!$D:$R,$B13,0)</f>
        <v>#N/A</v>
      </c>
      <c r="BI13" s="129" t="e">
        <f>VLOOKUP(BI$2&amp;$C13&amp;$A13,集計!$D:$R,$B13,0)</f>
        <v>#N/A</v>
      </c>
      <c r="BJ13" s="130" t="e">
        <f>BE13+BF13+BG13+BH13+BI13</f>
        <v>#N/A</v>
      </c>
      <c r="BK13" s="129" t="e">
        <f>VLOOKUP(BK$2&amp;$C13&amp;$A13,集計!$D:$R,$B13,0)</f>
        <v>#N/A</v>
      </c>
      <c r="BL13" s="129" t="e">
        <f>VLOOKUP(BL$2&amp;$C13&amp;$A13,集計!$D:$R,$B13,0)</f>
        <v>#N/A</v>
      </c>
      <c r="BM13" s="129" t="e">
        <f>VLOOKUP(BM$2&amp;$C13&amp;$A13,集計!$D:$R,$B13,0)</f>
        <v>#N/A</v>
      </c>
      <c r="BN13" s="129" t="e">
        <f>VLOOKUP(BN$2&amp;$C13&amp;$A13,集計!$D:$R,$B13,0)</f>
        <v>#N/A</v>
      </c>
      <c r="BO13" s="129" t="e">
        <f>VLOOKUP(BO$2&amp;$C13&amp;$A13,集計!$D:$R,$B13,0)</f>
        <v>#N/A</v>
      </c>
      <c r="BP13" s="129" t="e">
        <f>VLOOKUP(BP$2&amp;$C13&amp;$A13,集計!$D:$R,$B13,0)</f>
        <v>#N/A</v>
      </c>
      <c r="BQ13" s="130" t="e">
        <f>BK13+BL13+BM13+BN13+BO13+BP13</f>
        <v>#N/A</v>
      </c>
      <c r="BR13" s="129" t="e">
        <f>VLOOKUP(BR$2&amp;$C13&amp;$A13,集計!$D:$R,$B13,0)</f>
        <v>#N/A</v>
      </c>
      <c r="BS13" s="129" t="e">
        <f>VLOOKUP(BS$2&amp;$C13&amp;$A13,集計!$D:$R,$B13,0)</f>
        <v>#N/A</v>
      </c>
      <c r="BT13" s="129" t="e">
        <f>VLOOKUP(BT$2&amp;$C13&amp;$A13,集計!$D:$R,$B13,0)</f>
        <v>#N/A</v>
      </c>
      <c r="BU13" s="130" t="e">
        <f>BR13+BS13+BT13</f>
        <v>#N/A</v>
      </c>
      <c r="BV13" s="129" t="e">
        <f>VLOOKUP(BV$2&amp;$C13&amp;$A13,集計!$D:$R,$B13,0)</f>
        <v>#N/A</v>
      </c>
      <c r="BW13" s="130" t="e">
        <f>BV13</f>
        <v>#N/A</v>
      </c>
      <c r="BX13" s="130" t="e">
        <f>AC13+AT13+BA13+BD13+BJ13+BQ13+BU13+BW13</f>
        <v>#N/A</v>
      </c>
    </row>
    <row r="14" spans="1:76" s="124" customFormat="1">
      <c r="A14" s="120" t="s">
        <v>40</v>
      </c>
      <c r="B14" s="152">
        <v>5</v>
      </c>
      <c r="C14" s="131" t="s">
        <v>26</v>
      </c>
      <c r="D14" s="132" t="e">
        <f>IF(VLOOKUP(D$2&amp;$C14&amp;$A14,集計!$D:$R,$B14,0)&lt;&gt;SUM(D12:D13),"NG",SUM(D12:D13))</f>
        <v>#N/A</v>
      </c>
      <c r="E14" s="132" t="e">
        <f>IF(VLOOKUP(E$2&amp;$C14&amp;$A14,集計!$D:$R,$B14,0)&lt;&gt;SUM(E12:E13),"NG",SUM(E12:E13))</f>
        <v>#N/A</v>
      </c>
      <c r="F14" s="132" t="e">
        <f>IF(VLOOKUP(F$2&amp;$C14&amp;$A14,集計!$D:$R,$B14,0)&lt;&gt;SUM(F12:F13),"NG",SUM(F12:F13))</f>
        <v>#N/A</v>
      </c>
      <c r="G14" s="132" t="e">
        <f>IF(VLOOKUP(G$2&amp;$C14&amp;$A14,集計!$D:$R,$B14,0)&lt;&gt;SUM(G12:G13),"NG",SUM(G12:G13))</f>
        <v>#N/A</v>
      </c>
      <c r="H14" s="132" t="e">
        <f>IF(VLOOKUP(H$2&amp;$C14&amp;$A14,集計!$D:$R,$B14,0)&lt;&gt;SUM(H12:H13),"NG",SUM(H12:H13))</f>
        <v>#N/A</v>
      </c>
      <c r="I14" s="133" t="e">
        <f>I12+I13</f>
        <v>#N/A</v>
      </c>
      <c r="J14" s="132" t="e">
        <f>IF(VLOOKUP(J$2&amp;$C14&amp;$A14,集計!$D:$R,$B14,0)&lt;&gt;SUM(J12:J13),"NG",SUM(J12:J13))</f>
        <v>#N/A</v>
      </c>
      <c r="K14" s="132" t="e">
        <f>IF(VLOOKUP(K$2&amp;$C14&amp;$A14,集計!$D:$R,$B14,0)&lt;&gt;SUM(K12:K13),"NG",SUM(K12:K13))</f>
        <v>#N/A</v>
      </c>
      <c r="L14" s="132" t="e">
        <f>IF(VLOOKUP(L$2&amp;$C14&amp;$A14,集計!$D:$R,$B14,0)&lt;&gt;SUM(L12:L13),"NG",SUM(L12:L13))</f>
        <v>#N/A</v>
      </c>
      <c r="M14" s="132" t="e">
        <f>IF(VLOOKUP(M$2&amp;$C14&amp;$A14,集計!$D:$R,$B14,0)&lt;&gt;SUM(M12:M13),"NG",SUM(M12:M13))</f>
        <v>#N/A</v>
      </c>
      <c r="N14" s="133" t="e">
        <f>N12+N13</f>
        <v>#N/A</v>
      </c>
      <c r="O14" s="132" t="e">
        <f>IF(VLOOKUP(O$2&amp;$C14&amp;$A14,集計!$D:$R,$B14,0)&lt;&gt;SUM(O12:O13),"NG",SUM(O12:O13))</f>
        <v>#N/A</v>
      </c>
      <c r="P14" s="132" t="e">
        <f>IF(VLOOKUP(P$2&amp;$C14&amp;$A14,集計!$D:$R,$B14,0)&lt;&gt;SUM(P12:P13),"NG",SUM(P12:P13))</f>
        <v>#N/A</v>
      </c>
      <c r="Q14" s="132" t="e">
        <f>IF(VLOOKUP(Q$2&amp;$C14&amp;$A14,集計!$D:$R,$B14,0)&lt;&gt;SUM(Q12:Q13),"NG",SUM(Q12:Q13))</f>
        <v>#N/A</v>
      </c>
      <c r="R14" s="132" t="e">
        <f>IF(VLOOKUP(R$2&amp;$C14&amp;$A14,集計!$D:$R,$B14,0)&lt;&gt;SUM(R12:R13),"NG",SUM(R12:R13))</f>
        <v>#N/A</v>
      </c>
      <c r="S14" s="132" t="e">
        <f>IF(VLOOKUP(S$2&amp;$C14&amp;$A14,集計!$D:$R,$B14,0)&lt;&gt;SUM(S12:S13),"NG",SUM(S12:S13))</f>
        <v>#N/A</v>
      </c>
      <c r="T14" s="133" t="e">
        <f>T12+T13</f>
        <v>#N/A</v>
      </c>
      <c r="U14" s="132" t="e">
        <f>IF(VLOOKUP(U$2&amp;$C14&amp;$A14,集計!$D:$R,$B14,0)&lt;&gt;SUM(U12:U13),"NG",SUM(U12:U13))</f>
        <v>#N/A</v>
      </c>
      <c r="V14" s="132" t="e">
        <f>IF(VLOOKUP(V$2&amp;$C14&amp;$A14,集計!$D:$R,$B14,0)&lt;&gt;SUM(V12:V13),"NG",SUM(V12:V13))</f>
        <v>#N/A</v>
      </c>
      <c r="W14" s="132" t="e">
        <f>IF(VLOOKUP(W$2&amp;$C14&amp;$A14,集計!$D:$R,$B14,0)&lt;&gt;SUM(W12:W13),"NG",SUM(W12:W13))</f>
        <v>#N/A</v>
      </c>
      <c r="X14" s="133" t="e">
        <f>SUM(X12:X13)</f>
        <v>#N/A</v>
      </c>
      <c r="Y14" s="132" t="e">
        <f>IF(VLOOKUP(Y$2&amp;$C14&amp;$A14,集計!$D:$R,$B14,0)&lt;&gt;SUM(Y12:Y13),"NG",SUM(Y12:Y13))</f>
        <v>#N/A</v>
      </c>
      <c r="Z14" s="132" t="e">
        <f>IF(VLOOKUP(Z$2&amp;$C14&amp;$A14,集計!$D:$R,$B14,0)&lt;&gt;SUM(Z12:Z13),"NG",SUM(Z12:Z13))</f>
        <v>#N/A</v>
      </c>
      <c r="AA14" s="132" t="e">
        <f>IF(VLOOKUP(AA$2&amp;$C14&amp;$A14,集計!$D:$R,$B14,0)&lt;&gt;SUM(AA12:AA13),"NG",SUM(AA12:AA13))</f>
        <v>#N/A</v>
      </c>
      <c r="AB14" s="133" t="e">
        <f>SUM(AB12:AB13)</f>
        <v>#N/A</v>
      </c>
      <c r="AC14" s="133" t="e">
        <f>SUM(AC12:AC13)</f>
        <v>#N/A</v>
      </c>
      <c r="AD14" s="132" t="e">
        <f>IF(VLOOKUP(AD$2&amp;$C14&amp;$A14,集計!$D:$R,$B14,0)&lt;&gt;SUM(AD12:AD13),"NG",SUM(AD12:AD13))</f>
        <v>#N/A</v>
      </c>
      <c r="AE14" s="132" t="e">
        <f>IF(VLOOKUP(AE$2&amp;$C14&amp;$A14,集計!$D:$R,$B14,0)&lt;&gt;SUM(AE12:AE13),"NG",SUM(AE12:AE13))</f>
        <v>#N/A</v>
      </c>
      <c r="AF14" s="132" t="e">
        <f>IF(VLOOKUP(AF$2&amp;$C14&amp;$A14,集計!$D:$R,$B14,0)&lt;&gt;SUM(AF12:AF13),"NG",SUM(AF12:AF13))</f>
        <v>#N/A</v>
      </c>
      <c r="AG14" s="132" t="e">
        <f>IF(VLOOKUP(AG$2&amp;$C14&amp;$A14,集計!$D:$R,$B14,0)&lt;&gt;SUM(AG12:AG13),"NG",SUM(AG12:AG13))</f>
        <v>#N/A</v>
      </c>
      <c r="AH14" s="133" t="e">
        <f>SUM(AH12:AH13)</f>
        <v>#N/A</v>
      </c>
      <c r="AI14" s="132" t="e">
        <f>IF(VLOOKUP(AI$2&amp;$C14&amp;$A14,集計!$D:$R,$B14,0)&lt;&gt;SUM(AI12:AI13),"NG",SUM(AI12:AI13))</f>
        <v>#N/A</v>
      </c>
      <c r="AJ14" s="132" t="e">
        <f>IF(VLOOKUP(AJ$2&amp;$C14&amp;$A14,集計!$D:$R,$B14,0)&lt;&gt;SUM(AJ12:AJ13),"NG",SUM(AJ12:AJ13))</f>
        <v>#N/A</v>
      </c>
      <c r="AK14" s="132" t="e">
        <f>IF(VLOOKUP(AK$2&amp;$C14&amp;$A14,集計!$D:$R,$B14,0)&lt;&gt;SUM(AK12:AK13),"NG",SUM(AK12:AK13))</f>
        <v>#N/A</v>
      </c>
      <c r="AL14" s="133" t="e">
        <f>SUM(AL12:AL13)</f>
        <v>#N/A</v>
      </c>
      <c r="AM14" s="132" t="e">
        <f>IF(VLOOKUP(AM$2&amp;$C14&amp;$A14,集計!$D:$R,$B14,0)&lt;&gt;SUM(AM12:AM13),"NG",SUM(AM12:AM13))</f>
        <v>#N/A</v>
      </c>
      <c r="AN14" s="132" t="e">
        <f>IF(VLOOKUP(AN$2&amp;$C14&amp;$A14,集計!$D:$R,$B14,0)&lt;&gt;SUM(AN12:AN13),"NG",SUM(AN12:AN13))</f>
        <v>#N/A</v>
      </c>
      <c r="AO14" s="133" t="e">
        <f>SUM(AO12:AO13)</f>
        <v>#N/A</v>
      </c>
      <c r="AP14" s="132" t="e">
        <f>IF(VLOOKUP(AP$2&amp;$C14&amp;$A14,集計!$D:$R,$B14,0)&lt;&gt;SUM(AP12:AP13),"NG",SUM(AP12:AP13))</f>
        <v>#N/A</v>
      </c>
      <c r="AQ14" s="132" t="e">
        <f>IF(VLOOKUP(AQ$2&amp;$C14&amp;$A14,集計!$D:$R,$B14,0)&lt;&gt;SUM(AQ12:AQ13),"NG",SUM(AQ12:AQ13))</f>
        <v>#N/A</v>
      </c>
      <c r="AR14" s="132" t="e">
        <f>IF(VLOOKUP(AR$2&amp;$C14&amp;$A14,集計!$D:$R,$B14,0)&lt;&gt;SUM(AR12:AR13),"NG",SUM(AR12:AR13))</f>
        <v>#N/A</v>
      </c>
      <c r="AS14" s="133" t="e">
        <f>SUM(AS12:AS13)</f>
        <v>#N/A</v>
      </c>
      <c r="AT14" s="133" t="e">
        <f>SUM(AT12:AT13)</f>
        <v>#N/A</v>
      </c>
      <c r="AU14" s="132" t="e">
        <f>IF(VLOOKUP(AU$2&amp;$C14&amp;$A14,集計!$D:$R,$B14,0)&lt;&gt;SUM(AU12:AU13),"NG",SUM(AU12:AU13))</f>
        <v>#N/A</v>
      </c>
      <c r="AV14" s="132" t="e">
        <f>IF(VLOOKUP(AV$2&amp;$C14&amp;$A14,集計!$D:$R,$B14,0)&lt;&gt;SUM(AV12:AV13),"NG",SUM(AV12:AV13))</f>
        <v>#N/A</v>
      </c>
      <c r="AW14" s="132" t="e">
        <f>IF(VLOOKUP(AW$2&amp;$C14&amp;$A14,集計!$D:$R,$B14,0)&lt;&gt;SUM(AW12:AW13),"NG",SUM(AW12:AW13))</f>
        <v>#N/A</v>
      </c>
      <c r="AX14" s="132" t="e">
        <f>IF(VLOOKUP(AX$2&amp;$C14&amp;$A14,集計!$D:$R,$B14,0)&lt;&gt;SUM(AX12:AX13),"NG",SUM(AX12:AX13))</f>
        <v>#N/A</v>
      </c>
      <c r="AY14" s="132" t="e">
        <f>IF(VLOOKUP(AY$2&amp;$C14&amp;$A14,集計!$D:$R,$B14,0)&lt;&gt;SUM(AY12:AY13),"NG",SUM(AY12:AY13))</f>
        <v>#N/A</v>
      </c>
      <c r="AZ14" s="133" t="e">
        <f>AZ12+AZ13</f>
        <v>#N/A</v>
      </c>
      <c r="BA14" s="133" t="e">
        <f>BA12+BA13</f>
        <v>#N/A</v>
      </c>
      <c r="BB14" s="132" t="e">
        <f>IF(VLOOKUP(BB$2&amp;$C14&amp;$A14,集計!$D:$R,$B14,0)&lt;&gt;SUM(BB12:BB13),"NG",SUM(BB12:BB13))</f>
        <v>#N/A</v>
      </c>
      <c r="BC14" s="132" t="e">
        <f>IF(VLOOKUP(BC$2&amp;$C14&amp;$A14,集計!$D:$R,$B14,0)&lt;&gt;SUM(BC12:BC13),"NG",SUM(BC12:BC13))</f>
        <v>#N/A</v>
      </c>
      <c r="BD14" s="133" t="e">
        <f>SUM(BD12:BD13)</f>
        <v>#N/A</v>
      </c>
      <c r="BE14" s="132" t="e">
        <f>IF(VLOOKUP(BE$2&amp;$C14&amp;$A14,集計!$D:$R,$B14,0)&lt;&gt;SUM(BE12:BE13),"NG",SUM(BE12:BE13))</f>
        <v>#N/A</v>
      </c>
      <c r="BF14" s="132" t="e">
        <f>IF(VLOOKUP(BF$2&amp;$C14&amp;$A14,集計!$D:$R,$B14,0)&lt;&gt;SUM(BF12:BF13),"NG",SUM(BF12:BF13))</f>
        <v>#N/A</v>
      </c>
      <c r="BG14" s="132" t="e">
        <f>IF(VLOOKUP(BG$2&amp;$C14&amp;$A14,集計!$D:$R,$B14,0)&lt;&gt;SUM(BG12:BG13),"NG",SUM(BG12:BG13))</f>
        <v>#N/A</v>
      </c>
      <c r="BH14" s="132" t="e">
        <f>IF(VLOOKUP(BH$2&amp;$C14&amp;$A14,集計!$D:$R,$B14,0)&lt;&gt;SUM(BH12:BH13),"NG",SUM(BH12:BH13))</f>
        <v>#N/A</v>
      </c>
      <c r="BI14" s="132" t="e">
        <f>IF(VLOOKUP(BI$2&amp;$C14&amp;$A14,集計!$D:$R,$B14,0)&lt;&gt;SUM(BI12:BI13),"NG",SUM(BI12:BI13))</f>
        <v>#N/A</v>
      </c>
      <c r="BJ14" s="133" t="e">
        <f>BJ12+BJ13</f>
        <v>#N/A</v>
      </c>
      <c r="BK14" s="132" t="e">
        <f>IF(VLOOKUP(BK$2&amp;$C14&amp;$A14,集計!$D:$R,$B14,0)&lt;&gt;SUM(BK12:BK13),"NG",SUM(BK12:BK13))</f>
        <v>#N/A</v>
      </c>
      <c r="BL14" s="132" t="e">
        <f>IF(VLOOKUP(BL$2&amp;$C14&amp;$A14,集計!$D:$R,$B14,0)&lt;&gt;SUM(BL12:BL13),"NG",SUM(BL12:BL13))</f>
        <v>#N/A</v>
      </c>
      <c r="BM14" s="132" t="e">
        <f>IF(VLOOKUP(BM$2&amp;$C14&amp;$A14,集計!$D:$R,$B14,0)&lt;&gt;SUM(BM12:BM13),"NG",SUM(BM12:BM13))</f>
        <v>#N/A</v>
      </c>
      <c r="BN14" s="132" t="e">
        <f>IF(VLOOKUP(BN$2&amp;$C14&amp;$A14,集計!$D:$R,$B14,0)&lt;&gt;SUM(BN12:BN13),"NG",SUM(BN12:BN13))</f>
        <v>#N/A</v>
      </c>
      <c r="BO14" s="132" t="e">
        <f>IF(VLOOKUP(BO$2&amp;$C14&amp;$A14,集計!$D:$R,$B14,0)&lt;&gt;SUM(BO12:BO13),"NG",SUM(BO12:BO13))</f>
        <v>#N/A</v>
      </c>
      <c r="BP14" s="132" t="e">
        <f>IF(VLOOKUP(BP$2&amp;$C14&amp;$A14,集計!$D:$R,$B14,0)&lt;&gt;SUM(BP12:BP13),"NG",SUM(BP12:BP13))</f>
        <v>#N/A</v>
      </c>
      <c r="BQ14" s="133" t="e">
        <f>BQ12+BQ13</f>
        <v>#N/A</v>
      </c>
      <c r="BR14" s="132" t="e">
        <f>IF(VLOOKUP(BR$2&amp;$C14&amp;$A14,集計!$D:$R,$B14,0)&lt;&gt;SUM(BR12:BR13),"NG",SUM(BR12:BR13))</f>
        <v>#N/A</v>
      </c>
      <c r="BS14" s="132" t="e">
        <f>IF(VLOOKUP(BS$2&amp;$C14&amp;$A14,集計!$D:$R,$B14,0)&lt;&gt;SUM(BS12:BS13),"NG",SUM(BS12:BS13))</f>
        <v>#N/A</v>
      </c>
      <c r="BT14" s="132" t="e">
        <f>IF(VLOOKUP(BT$2&amp;$C14&amp;$A14,集計!$D:$R,$B14,0)&lt;&gt;SUM(BT12:BT13),"NG",SUM(BT12:BT13))</f>
        <v>#N/A</v>
      </c>
      <c r="BU14" s="133" t="e">
        <f>BU12+BU13</f>
        <v>#N/A</v>
      </c>
      <c r="BV14" s="132" t="e">
        <f>IF(VLOOKUP(BV$2&amp;$C14&amp;$A14,集計!$D:$R,$B14,0)&lt;&gt;SUM(BV12:BV13),"NG",SUM(BV12:BV13))</f>
        <v>#N/A</v>
      </c>
      <c r="BW14" s="133" t="e">
        <f>SUM(BW12:BW13)</f>
        <v>#N/A</v>
      </c>
      <c r="BX14" s="133" t="e">
        <f>SUM(BX12:BX13)</f>
        <v>#N/A</v>
      </c>
    </row>
    <row r="15" spans="1:76" s="124" customFormat="1" ht="15" thickBot="1">
      <c r="A15" s="120" t="s">
        <v>40</v>
      </c>
      <c r="B15" s="152">
        <v>5</v>
      </c>
      <c r="C15" s="135" t="s">
        <v>27</v>
      </c>
      <c r="D15" s="136" t="e">
        <f>IF(VLOOKUP(D$2&amp;$C15&amp;$A15,集計!$D:$R,$B15,0)&lt;&gt;SUM(D11,D14),"NG",SUM(D11,D14))</f>
        <v>#N/A</v>
      </c>
      <c r="E15" s="136" t="e">
        <f>IF(VLOOKUP(E$2&amp;$C15&amp;$A15,集計!$D:$R,$B15,0)&lt;&gt;SUM(E11,E14),"NG",SUM(E11,E14))</f>
        <v>#N/A</v>
      </c>
      <c r="F15" s="136" t="e">
        <f>IF(VLOOKUP(F$2&amp;$C15&amp;$A15,集計!$D:$R,$B15,0)&lt;&gt;SUM(F11,F14),"NG",SUM(F11,F14))</f>
        <v>#N/A</v>
      </c>
      <c r="G15" s="136" t="e">
        <f>IF(VLOOKUP(G$2&amp;$C15&amp;$A15,集計!$D:$R,$B15,0)&lt;&gt;SUM(G11,G14),"NG",SUM(G11,G14))</f>
        <v>#N/A</v>
      </c>
      <c r="H15" s="136" t="e">
        <f>IF(VLOOKUP(H$2&amp;$C15&amp;$A15,集計!$D:$R,$B15,0)&lt;&gt;SUM(H11,H14),"NG",SUM(H11,H14))</f>
        <v>#N/A</v>
      </c>
      <c r="I15" s="137" t="e">
        <f>I11+I14</f>
        <v>#N/A</v>
      </c>
      <c r="J15" s="136" t="e">
        <f>IF(VLOOKUP(J$2&amp;$C15&amp;$A15,集計!$D:$R,$B15,0)&lt;&gt;SUM(J11,J14),"NG",SUM(J11,J14))</f>
        <v>#N/A</v>
      </c>
      <c r="K15" s="136" t="e">
        <f>IF(VLOOKUP(K$2&amp;$C15&amp;$A15,集計!$D:$R,$B15,0)&lt;&gt;SUM(K11,K14),"NG",SUM(K11,K14))</f>
        <v>#N/A</v>
      </c>
      <c r="L15" s="136" t="e">
        <f>IF(VLOOKUP(L$2&amp;$C15&amp;$A15,集計!$D:$R,$B15,0)&lt;&gt;SUM(L11,L14),"NG",SUM(L11,L14))</f>
        <v>#N/A</v>
      </c>
      <c r="M15" s="136" t="e">
        <f>IF(VLOOKUP(M$2&amp;$C15&amp;$A15,集計!$D:$R,$B15,0)&lt;&gt;SUM(M11,M14),"NG",SUM(M11,M14))</f>
        <v>#N/A</v>
      </c>
      <c r="N15" s="137" t="e">
        <f>N11+N14</f>
        <v>#N/A</v>
      </c>
      <c r="O15" s="136" t="e">
        <f>IF(VLOOKUP(O$2&amp;$C15&amp;$A15,集計!$D:$R,$B15,0)&lt;&gt;SUM(O11,O14),"NG",SUM(O11,O14))</f>
        <v>#N/A</v>
      </c>
      <c r="P15" s="136" t="e">
        <f>IF(VLOOKUP(P$2&amp;$C15&amp;$A15,集計!$D:$R,$B15,0)&lt;&gt;SUM(P11,P14),"NG",SUM(P11,P14))</f>
        <v>#N/A</v>
      </c>
      <c r="Q15" s="136" t="e">
        <f>IF(VLOOKUP(Q$2&amp;$C15&amp;$A15,集計!$D:$R,$B15,0)&lt;&gt;SUM(Q11,Q14),"NG",SUM(Q11,Q14))</f>
        <v>#N/A</v>
      </c>
      <c r="R15" s="136" t="e">
        <f>IF(VLOOKUP(R$2&amp;$C15&amp;$A15,集計!$D:$R,$B15,0)&lt;&gt;SUM(R11,R14),"NG",SUM(R11,R14))</f>
        <v>#N/A</v>
      </c>
      <c r="S15" s="136" t="e">
        <f>IF(VLOOKUP(S$2&amp;$C15&amp;$A15,集計!$D:$R,$B15,0)&lt;&gt;SUM(S11,S14),"NG",SUM(S11,S14))</f>
        <v>#N/A</v>
      </c>
      <c r="T15" s="137" t="e">
        <f>T11+T14</f>
        <v>#N/A</v>
      </c>
      <c r="U15" s="136" t="e">
        <f>IF(VLOOKUP(U$2&amp;$C15&amp;$A15,集計!$D:$R,$B15,0)&lt;&gt;SUM(U11,U14),"NG",SUM(U11,U14))</f>
        <v>#N/A</v>
      </c>
      <c r="V15" s="136" t="e">
        <f>IF(VLOOKUP(V$2&amp;$C15&amp;$A15,集計!$D:$R,$B15,0)&lt;&gt;SUM(V11,V14),"NG",SUM(V11,V14))</f>
        <v>#N/A</v>
      </c>
      <c r="W15" s="136" t="e">
        <f>IF(VLOOKUP(W$2&amp;$C15&amp;$A15,集計!$D:$R,$B15,0)&lt;&gt;SUM(W11,W14),"NG",SUM(W11,W14))</f>
        <v>#N/A</v>
      </c>
      <c r="X15" s="137" t="e">
        <f>X11+X14</f>
        <v>#N/A</v>
      </c>
      <c r="Y15" s="136" t="e">
        <f>IF(VLOOKUP(Y$2&amp;$C15&amp;$A15,集計!$D:$R,$B15,0)&lt;&gt;SUM(Y11,Y14),"NG",SUM(Y11,Y14))</f>
        <v>#N/A</v>
      </c>
      <c r="Z15" s="136" t="e">
        <f>IF(VLOOKUP(Z$2&amp;$C15&amp;$A15,集計!$D:$R,$B15,0)&lt;&gt;SUM(Z11,Z14),"NG",SUM(Z11,Z14))</f>
        <v>#N/A</v>
      </c>
      <c r="AA15" s="136" t="e">
        <f>IF(VLOOKUP(AA$2&amp;$C15&amp;$A15,集計!$D:$R,$B15,0)&lt;&gt;SUM(AA11,AA14),"NG",SUM(AA11,AA14))</f>
        <v>#N/A</v>
      </c>
      <c r="AB15" s="137" t="e">
        <f>AB11+AB14</f>
        <v>#N/A</v>
      </c>
      <c r="AC15" s="137" t="e">
        <f>AC11+AC14</f>
        <v>#N/A</v>
      </c>
      <c r="AD15" s="136" t="e">
        <f>IF(VLOOKUP(AD$2&amp;$C15&amp;$A15,集計!$D:$R,$B15,0)&lt;&gt;SUM(AD11,AD14),"NG",SUM(AD11,AD14))</f>
        <v>#N/A</v>
      </c>
      <c r="AE15" s="136" t="e">
        <f>IF(VLOOKUP(AE$2&amp;$C15&amp;$A15,集計!$D:$R,$B15,0)&lt;&gt;SUM(AE11,AE14),"NG",SUM(AE11,AE14))</f>
        <v>#N/A</v>
      </c>
      <c r="AF15" s="136" t="e">
        <f>IF(VLOOKUP(AF$2&amp;$C15&amp;$A15,集計!$D:$R,$B15,0)&lt;&gt;SUM(AF11,AF14),"NG",SUM(AF11,AF14))</f>
        <v>#N/A</v>
      </c>
      <c r="AG15" s="136" t="e">
        <f>IF(VLOOKUP(AG$2&amp;$C15&amp;$A15,集計!$D:$R,$B15,0)&lt;&gt;SUM(AG11,AG14),"NG",SUM(AG11,AG14))</f>
        <v>#N/A</v>
      </c>
      <c r="AH15" s="137" t="e">
        <f>AH11+AH14</f>
        <v>#N/A</v>
      </c>
      <c r="AI15" s="136" t="e">
        <f>IF(VLOOKUP(AI$2&amp;$C15&amp;$A15,集計!$D:$R,$B15,0)&lt;&gt;SUM(AI11,AI14),"NG",SUM(AI11,AI14))</f>
        <v>#N/A</v>
      </c>
      <c r="AJ15" s="136" t="e">
        <f>IF(VLOOKUP(AJ$2&amp;$C15&amp;$A15,集計!$D:$R,$B15,0)&lt;&gt;SUM(AJ11,AJ14),"NG",SUM(AJ11,AJ14))</f>
        <v>#N/A</v>
      </c>
      <c r="AK15" s="136" t="e">
        <f>IF(VLOOKUP(AK$2&amp;$C15&amp;$A15,集計!$D:$R,$B15,0)&lt;&gt;SUM(AK11,AK14),"NG",SUM(AK11,AK14))</f>
        <v>#N/A</v>
      </c>
      <c r="AL15" s="137" t="e">
        <f>AL11+AL14</f>
        <v>#N/A</v>
      </c>
      <c r="AM15" s="136" t="e">
        <f>IF(VLOOKUP(AM$2&amp;$C15&amp;$A15,集計!$D:$R,$B15,0)&lt;&gt;SUM(AM11,AM14),"NG",SUM(AM11,AM14))</f>
        <v>#N/A</v>
      </c>
      <c r="AN15" s="136" t="e">
        <f>IF(VLOOKUP(AN$2&amp;$C15&amp;$A15,集計!$D:$R,$B15,0)&lt;&gt;SUM(AN11,AN14),"NG",SUM(AN11,AN14))</f>
        <v>#N/A</v>
      </c>
      <c r="AO15" s="137" t="e">
        <f>AO11+AO14</f>
        <v>#N/A</v>
      </c>
      <c r="AP15" s="136" t="e">
        <f>IF(VLOOKUP(AP$2&amp;$C15&amp;$A15,集計!$D:$R,$B15,0)&lt;&gt;SUM(AP11,AP14),"NG",SUM(AP11,AP14))</f>
        <v>#N/A</v>
      </c>
      <c r="AQ15" s="136" t="e">
        <f>IF(VLOOKUP(AQ$2&amp;$C15&amp;$A15,集計!$D:$R,$B15,0)&lt;&gt;SUM(AQ11,AQ14),"NG",SUM(AQ11,AQ14))</f>
        <v>#N/A</v>
      </c>
      <c r="AR15" s="136" t="e">
        <f>IF(VLOOKUP(AR$2&amp;$C15&amp;$A15,集計!$D:$R,$B15,0)&lt;&gt;SUM(AR11,AR14),"NG",SUM(AR11,AR14))</f>
        <v>#N/A</v>
      </c>
      <c r="AS15" s="137" t="e">
        <f>AS11+AS14</f>
        <v>#N/A</v>
      </c>
      <c r="AT15" s="137" t="e">
        <f>AT11+AT14</f>
        <v>#N/A</v>
      </c>
      <c r="AU15" s="136" t="e">
        <f>IF(VLOOKUP(AU$2&amp;$C15&amp;$A15,集計!$D:$R,$B15,0)&lt;&gt;SUM(AU11,AU14),"NG",SUM(AU11,AU14))</f>
        <v>#N/A</v>
      </c>
      <c r="AV15" s="136" t="e">
        <f>IF(VLOOKUP(AV$2&amp;$C15&amp;$A15,集計!$D:$R,$B15,0)&lt;&gt;SUM(AV11,AV14),"NG",SUM(AV11,AV14))</f>
        <v>#N/A</v>
      </c>
      <c r="AW15" s="136" t="e">
        <f>IF(VLOOKUP(AW$2&amp;$C15&amp;$A15,集計!$D:$R,$B15,0)&lt;&gt;SUM(AW11,AW14),"NG",SUM(AW11,AW14))</f>
        <v>#N/A</v>
      </c>
      <c r="AX15" s="136" t="e">
        <f>IF(VLOOKUP(AX$2&amp;$C15&amp;$A15,集計!$D:$R,$B15,0)&lt;&gt;SUM(AX11,AX14),"NG",SUM(AX11,AX14))</f>
        <v>#N/A</v>
      </c>
      <c r="AY15" s="136" t="e">
        <f>IF(VLOOKUP(AY$2&amp;$C15&amp;$A15,集計!$D:$R,$B15,0)&lt;&gt;SUM(AY11,AY14),"NG",SUM(AY11,AY14))</f>
        <v>#N/A</v>
      </c>
      <c r="AZ15" s="137" t="e">
        <f>AZ11+AZ14</f>
        <v>#N/A</v>
      </c>
      <c r="BA15" s="137" t="e">
        <f>BA11+BA14</f>
        <v>#N/A</v>
      </c>
      <c r="BB15" s="136" t="e">
        <f>IF(VLOOKUP(BB$2&amp;$C15&amp;$A15,集計!$D:$R,$B15,0)&lt;&gt;SUM(BB11,BB14),"NG",SUM(BB11,BB14))</f>
        <v>#N/A</v>
      </c>
      <c r="BC15" s="136" t="e">
        <f>IF(VLOOKUP(BC$2&amp;$C15&amp;$A15,集計!$D:$R,$B15,0)&lt;&gt;SUM(BC11,BC14),"NG",SUM(BC11,BC14))</f>
        <v>#N/A</v>
      </c>
      <c r="BD15" s="137" t="e">
        <f>BD11+BD14</f>
        <v>#N/A</v>
      </c>
      <c r="BE15" s="136" t="e">
        <f>IF(VLOOKUP(BE$2&amp;$C15&amp;$A15,集計!$D:$R,$B15,0)&lt;&gt;SUM(BE11,BE14),"NG",SUM(BE11,BE14))</f>
        <v>#N/A</v>
      </c>
      <c r="BF15" s="136" t="e">
        <f>IF(VLOOKUP(BF$2&amp;$C15&amp;$A15,集計!$D:$R,$B15,0)&lt;&gt;SUM(BF11,BF14),"NG",SUM(BF11,BF14))</f>
        <v>#N/A</v>
      </c>
      <c r="BG15" s="136" t="e">
        <f>IF(VLOOKUP(BG$2&amp;$C15&amp;$A15,集計!$D:$R,$B15,0)&lt;&gt;SUM(BG11,BG14),"NG",SUM(BG11,BG14))</f>
        <v>#N/A</v>
      </c>
      <c r="BH15" s="136" t="e">
        <f>IF(VLOOKUP(BH$2&amp;$C15&amp;$A15,集計!$D:$R,$B15,0)&lt;&gt;SUM(BH11,BH14),"NG",SUM(BH11,BH14))</f>
        <v>#N/A</v>
      </c>
      <c r="BI15" s="136" t="e">
        <f>IF(VLOOKUP(BI$2&amp;$C15&amp;$A15,集計!$D:$R,$B15,0)&lt;&gt;SUM(BI11,BI14),"NG",SUM(BI11,BI14))</f>
        <v>#N/A</v>
      </c>
      <c r="BJ15" s="137" t="e">
        <f>BJ11+BJ14</f>
        <v>#N/A</v>
      </c>
      <c r="BK15" s="136" t="e">
        <f>IF(VLOOKUP(BK$2&amp;$C15&amp;$A15,集計!$D:$R,$B15,0)&lt;&gt;SUM(BK11,BK14),"NG",SUM(BK11,BK14))</f>
        <v>#N/A</v>
      </c>
      <c r="BL15" s="136" t="e">
        <f>IF(VLOOKUP(BL$2&amp;$C15&amp;$A15,集計!$D:$R,$B15,0)&lt;&gt;SUM(BL11,BL14),"NG",SUM(BL11,BL14))</f>
        <v>#N/A</v>
      </c>
      <c r="BM15" s="136" t="e">
        <f>IF(VLOOKUP(BM$2&amp;$C15&amp;$A15,集計!$D:$R,$B15,0)&lt;&gt;SUM(BM11,BM14),"NG",SUM(BM11,BM14))</f>
        <v>#N/A</v>
      </c>
      <c r="BN15" s="136" t="e">
        <f>IF(VLOOKUP(BN$2&amp;$C15&amp;$A15,集計!$D:$R,$B15,0)&lt;&gt;SUM(BN11,BN14),"NG",SUM(BN11,BN14))</f>
        <v>#N/A</v>
      </c>
      <c r="BO15" s="136" t="e">
        <f>IF(VLOOKUP(BO$2&amp;$C15&amp;$A15,集計!$D:$R,$B15,0)&lt;&gt;SUM(BO11,BO14),"NG",SUM(BO11,BO14))</f>
        <v>#N/A</v>
      </c>
      <c r="BP15" s="136" t="e">
        <f>IF(VLOOKUP(BP$2&amp;$C15&amp;$A15,集計!$D:$R,$B15,0)&lt;&gt;SUM(BP11,BP14),"NG",SUM(BP11,BP14))</f>
        <v>#N/A</v>
      </c>
      <c r="BQ15" s="137" t="e">
        <f>BQ11+BQ14</f>
        <v>#N/A</v>
      </c>
      <c r="BR15" s="136" t="e">
        <f>IF(VLOOKUP(BR$2&amp;$C15&amp;$A15,集計!$D:$R,$B15,0)&lt;&gt;SUM(BR11,BR14),"NG",SUM(BR11,BR14))</f>
        <v>#N/A</v>
      </c>
      <c r="BS15" s="136" t="e">
        <f>IF(VLOOKUP(BS$2&amp;$C15&amp;$A15,集計!$D:$R,$B15,0)&lt;&gt;SUM(BS11,BS14),"NG",SUM(BS11,BS14))</f>
        <v>#N/A</v>
      </c>
      <c r="BT15" s="136" t="e">
        <f>IF(VLOOKUP(BT$2&amp;$C15&amp;$A15,集計!$D:$R,$B15,0)&lt;&gt;SUM(BT11,BT14),"NG",SUM(BT11,BT14))</f>
        <v>#N/A</v>
      </c>
      <c r="BU15" s="137" t="e">
        <f>BU11+BU14</f>
        <v>#N/A</v>
      </c>
      <c r="BV15" s="136" t="e">
        <f>IF(VLOOKUP(BV$2&amp;$C15&amp;$A15,集計!$D:$R,$B15,0)&lt;&gt;SUM(BV11,BV14),"NG",SUM(BV11,BV14))</f>
        <v>#N/A</v>
      </c>
      <c r="BW15" s="137" t="e">
        <f>BW11+BW14</f>
        <v>#N/A</v>
      </c>
      <c r="BX15" s="137" t="e">
        <f>BX11+BX14</f>
        <v>#N/A</v>
      </c>
    </row>
    <row r="16" spans="1:76" s="124" customFormat="1">
      <c r="A16" s="134"/>
      <c r="B16" s="153"/>
      <c r="C16" s="142"/>
      <c r="D16" s="143"/>
      <c r="E16" s="143"/>
      <c r="F16" s="143"/>
      <c r="G16" s="143"/>
      <c r="H16" s="143"/>
      <c r="I16" s="144"/>
      <c r="J16" s="143"/>
      <c r="K16" s="143"/>
      <c r="L16" s="143"/>
      <c r="M16" s="143"/>
      <c r="N16" s="144"/>
      <c r="O16" s="143"/>
      <c r="P16" s="143"/>
      <c r="Q16" s="143"/>
      <c r="R16" s="143"/>
      <c r="S16" s="143"/>
      <c r="T16" s="144"/>
      <c r="U16" s="143"/>
      <c r="V16" s="143"/>
      <c r="W16" s="143"/>
      <c r="X16" s="144"/>
      <c r="Y16" s="143"/>
      <c r="Z16" s="143"/>
      <c r="AA16" s="143"/>
      <c r="AB16" s="144"/>
      <c r="AC16" s="144"/>
      <c r="AD16" s="143"/>
      <c r="AE16" s="143"/>
      <c r="AF16" s="143"/>
      <c r="AG16" s="143"/>
      <c r="AH16" s="144"/>
      <c r="AI16" s="143"/>
      <c r="AJ16" s="143"/>
      <c r="AK16" s="143"/>
      <c r="AL16" s="144"/>
      <c r="AM16" s="143"/>
      <c r="AN16" s="143"/>
      <c r="AO16" s="144"/>
      <c r="AP16" s="143"/>
      <c r="AQ16" s="143"/>
      <c r="AR16" s="143"/>
      <c r="AS16" s="144"/>
      <c r="AT16" s="144"/>
      <c r="AU16" s="143"/>
      <c r="AV16" s="143"/>
      <c r="AW16" s="143"/>
      <c r="AX16" s="143"/>
      <c r="AY16" s="143"/>
      <c r="AZ16" s="144"/>
      <c r="BA16" s="144"/>
      <c r="BB16" s="143"/>
      <c r="BC16" s="143"/>
      <c r="BD16" s="144"/>
      <c r="BE16" s="143"/>
      <c r="BF16" s="143"/>
      <c r="BG16" s="143"/>
      <c r="BH16" s="143"/>
      <c r="BI16" s="143"/>
      <c r="BJ16" s="144"/>
      <c r="BK16" s="143"/>
      <c r="BL16" s="143"/>
      <c r="BM16" s="143"/>
      <c r="BN16" s="143"/>
      <c r="BO16" s="143"/>
      <c r="BP16" s="143"/>
      <c r="BQ16" s="144"/>
      <c r="BR16" s="143"/>
      <c r="BS16" s="143"/>
      <c r="BT16" s="143"/>
      <c r="BU16" s="144"/>
      <c r="BV16" s="143"/>
      <c r="BW16" s="144"/>
      <c r="BX16" s="144"/>
    </row>
    <row r="17" spans="1:76" s="124" customFormat="1" ht="21.5" thickBot="1">
      <c r="A17" s="134"/>
      <c r="B17" s="96">
        <v>6</v>
      </c>
      <c r="C17" s="138" t="s">
        <v>40</v>
      </c>
      <c r="D17" s="145"/>
      <c r="E17" s="145"/>
      <c r="F17" s="145"/>
      <c r="G17" s="145"/>
      <c r="H17" s="145"/>
      <c r="I17" s="146"/>
      <c r="J17" s="145"/>
      <c r="K17" s="145"/>
      <c r="L17" s="145"/>
      <c r="M17" s="145"/>
      <c r="N17" s="146"/>
      <c r="O17" s="145"/>
      <c r="P17" s="145"/>
      <c r="Q17" s="145"/>
      <c r="R17" s="145"/>
      <c r="S17" s="145"/>
      <c r="T17" s="146"/>
      <c r="U17" s="145"/>
      <c r="V17" s="145"/>
      <c r="W17" s="145"/>
      <c r="X17" s="146"/>
      <c r="Y17" s="145"/>
      <c r="Z17" s="145"/>
      <c r="AA17" s="145"/>
      <c r="AB17" s="146"/>
      <c r="AC17" s="146"/>
      <c r="AD17" s="145"/>
      <c r="AE17" s="145"/>
      <c r="AF17" s="145"/>
      <c r="AG17" s="145"/>
      <c r="AH17" s="146"/>
      <c r="AI17" s="145"/>
      <c r="AJ17" s="145"/>
      <c r="AK17" s="145"/>
      <c r="AL17" s="146"/>
      <c r="AM17" s="145"/>
      <c r="AN17" s="145"/>
      <c r="AO17" s="146"/>
      <c r="AP17" s="145"/>
      <c r="AQ17" s="145"/>
      <c r="AR17" s="145"/>
      <c r="AS17" s="146"/>
      <c r="AT17" s="146"/>
      <c r="AU17" s="145"/>
      <c r="AV17" s="145"/>
      <c r="AW17" s="145"/>
      <c r="AX17" s="145"/>
      <c r="AY17" s="145"/>
      <c r="AZ17" s="146"/>
      <c r="BA17" s="146"/>
      <c r="BB17" s="145"/>
      <c r="BC17" s="145"/>
      <c r="BD17" s="146"/>
      <c r="BE17" s="145"/>
      <c r="BF17" s="145"/>
      <c r="BG17" s="145"/>
      <c r="BH17" s="145"/>
      <c r="BI17" s="145"/>
      <c r="BJ17" s="146"/>
      <c r="BK17" s="145"/>
      <c r="BL17" s="145"/>
      <c r="BM17" s="145"/>
      <c r="BN17" s="145"/>
      <c r="BO17" s="145"/>
      <c r="BP17" s="145"/>
      <c r="BQ17" s="146"/>
      <c r="BR17" s="145"/>
      <c r="BS17" s="145"/>
      <c r="BT17" s="145"/>
      <c r="BU17" s="146"/>
      <c r="BV17" s="145"/>
      <c r="BW17" s="146"/>
      <c r="BX17" s="147"/>
    </row>
    <row r="18" spans="1:76" s="124" customFormat="1" ht="21" customHeight="1">
      <c r="A18" s="120" t="s">
        <v>40</v>
      </c>
      <c r="B18" s="152">
        <v>6</v>
      </c>
      <c r="C18" s="121" t="s">
        <v>25</v>
      </c>
      <c r="D18" s="122" t="e">
        <f>VLOOKUP(D$2&amp;$C18&amp;$A18,集計!$D:$R,$B18,0)</f>
        <v>#N/A</v>
      </c>
      <c r="E18" s="122" t="e">
        <f>VLOOKUP(E$2&amp;$C18&amp;$A18,集計!$D:$R,$B18,0)</f>
        <v>#N/A</v>
      </c>
      <c r="F18" s="122" t="e">
        <f>VLOOKUP(F$2&amp;$C18&amp;$A18,集計!$D:$R,$B18,0)</f>
        <v>#N/A</v>
      </c>
      <c r="G18" s="122" t="e">
        <f>VLOOKUP(G$2&amp;$C18&amp;$A18,集計!$D:$R,$B18,0)</f>
        <v>#N/A</v>
      </c>
      <c r="H18" s="122" t="e">
        <f>VLOOKUP(H$2&amp;$C18&amp;$A18,集計!$D:$R,$B18,0)</f>
        <v>#N/A</v>
      </c>
      <c r="I18" s="123" t="e">
        <f>D18+E18+F18+G18+H18</f>
        <v>#N/A</v>
      </c>
      <c r="J18" s="122" t="e">
        <f>VLOOKUP(J$2&amp;$C18&amp;$A18,集計!$D:$R,$B18,0)</f>
        <v>#N/A</v>
      </c>
      <c r="K18" s="122" t="e">
        <f>VLOOKUP(K$2&amp;$C18&amp;$A18,集計!$D:$R,$B18,0)</f>
        <v>#N/A</v>
      </c>
      <c r="L18" s="122" t="e">
        <f>VLOOKUP(L$2&amp;$C18&amp;$A18,集計!$D:$R,$B18,0)</f>
        <v>#N/A</v>
      </c>
      <c r="M18" s="122" t="e">
        <f>VLOOKUP(M$2&amp;$C18&amp;$A18,集計!$D:$R,$B18,0)</f>
        <v>#N/A</v>
      </c>
      <c r="N18" s="123" t="e">
        <f>J18+K18+L18+M18</f>
        <v>#N/A</v>
      </c>
      <c r="O18" s="122" t="e">
        <f>VLOOKUP(O$2&amp;$C18&amp;$A18,集計!$D:$R,$B18,0)</f>
        <v>#N/A</v>
      </c>
      <c r="P18" s="122" t="e">
        <f>VLOOKUP(P$2&amp;$C18&amp;$A18,集計!$D:$R,$B18,0)</f>
        <v>#N/A</v>
      </c>
      <c r="Q18" s="122" t="e">
        <f>VLOOKUP(Q$2&amp;$C18&amp;$A18,集計!$D:$R,$B18,0)</f>
        <v>#N/A</v>
      </c>
      <c r="R18" s="122" t="e">
        <f>VLOOKUP(R$2&amp;$C18&amp;$A18,集計!$D:$R,$B18,0)</f>
        <v>#N/A</v>
      </c>
      <c r="S18" s="122" t="e">
        <f>VLOOKUP(S$2&amp;$C18&amp;$A18,集計!$D:$R,$B18,0)</f>
        <v>#N/A</v>
      </c>
      <c r="T18" s="123" t="e">
        <f>O18+P18+Q18+R18+S18</f>
        <v>#N/A</v>
      </c>
      <c r="U18" s="122" t="e">
        <f>VLOOKUP(U$2&amp;$C18&amp;$A18,集計!$D:$R,$B18,0)</f>
        <v>#N/A</v>
      </c>
      <c r="V18" s="122" t="e">
        <f>VLOOKUP(V$2&amp;$C18&amp;$A18,集計!$D:$R,$B18,0)</f>
        <v>#N/A</v>
      </c>
      <c r="W18" s="122" t="e">
        <f>VLOOKUP(W$2&amp;$C18&amp;$A18,集計!$D:$R,$B18,0)</f>
        <v>#N/A</v>
      </c>
      <c r="X18" s="123" t="e">
        <f>U18+V18+W18</f>
        <v>#N/A</v>
      </c>
      <c r="Y18" s="122" t="e">
        <f>VLOOKUP(Y$2&amp;$C18&amp;$A18,集計!$D:$R,$B18,0)</f>
        <v>#N/A</v>
      </c>
      <c r="Z18" s="122" t="e">
        <f>VLOOKUP(Z$2&amp;$C18&amp;$A18,集計!$D:$R,$B18,0)</f>
        <v>#N/A</v>
      </c>
      <c r="AA18" s="122" t="e">
        <f>VLOOKUP(AA$2&amp;$C18&amp;$A18,集計!$D:$R,$B18,0)</f>
        <v>#N/A</v>
      </c>
      <c r="AB18" s="123" t="e">
        <f>Y18+Z18+AA18</f>
        <v>#N/A</v>
      </c>
      <c r="AC18" s="123" t="e">
        <f>I18+N18+T18+X18+AB18</f>
        <v>#N/A</v>
      </c>
      <c r="AD18" s="122" t="e">
        <f>VLOOKUP(AD$2&amp;$C18&amp;$A18,集計!$D:$R,$B18,0)</f>
        <v>#N/A</v>
      </c>
      <c r="AE18" s="122" t="e">
        <f>VLOOKUP(AE$2&amp;$C18&amp;$A18,集計!$D:$R,$B18,0)</f>
        <v>#N/A</v>
      </c>
      <c r="AF18" s="122" t="e">
        <f>VLOOKUP(AF$2&amp;$C18&amp;$A18,集計!$D:$R,$B18,0)</f>
        <v>#N/A</v>
      </c>
      <c r="AG18" s="122" t="e">
        <f>VLOOKUP(AG$2&amp;$C18&amp;$A18,集計!$D:$R,$B18,0)</f>
        <v>#N/A</v>
      </c>
      <c r="AH18" s="123" t="e">
        <f>AD18+AE18+AF18+AG18</f>
        <v>#N/A</v>
      </c>
      <c r="AI18" s="122" t="e">
        <f>VLOOKUP(AI$2&amp;$C18&amp;$A18,集計!$D:$R,$B18,0)</f>
        <v>#N/A</v>
      </c>
      <c r="AJ18" s="122" t="e">
        <f>VLOOKUP(AJ$2&amp;$C18&amp;$A18,集計!$D:$R,$B18,0)</f>
        <v>#N/A</v>
      </c>
      <c r="AK18" s="122" t="e">
        <f>VLOOKUP(AK$2&amp;$C18&amp;$A18,集計!$D:$R,$B18,0)</f>
        <v>#N/A</v>
      </c>
      <c r="AL18" s="123" t="e">
        <f>AI18+AJ18+AK18</f>
        <v>#N/A</v>
      </c>
      <c r="AM18" s="122" t="e">
        <f>VLOOKUP(AM$2&amp;$C18&amp;$A18,集計!$D:$R,$B18,0)</f>
        <v>#N/A</v>
      </c>
      <c r="AN18" s="122" t="e">
        <f>VLOOKUP(AN$2&amp;$C18&amp;$A18,集計!$D:$R,$B18,0)</f>
        <v>#N/A</v>
      </c>
      <c r="AO18" s="123" t="e">
        <f>AM18+AN18</f>
        <v>#N/A</v>
      </c>
      <c r="AP18" s="122" t="e">
        <f>VLOOKUP(AP$2&amp;$C18&amp;$A18,集計!$D:$R,$B18,0)</f>
        <v>#N/A</v>
      </c>
      <c r="AQ18" s="122" t="e">
        <f>VLOOKUP(AQ$2&amp;$C18&amp;$A18,集計!$D:$R,$B18,0)</f>
        <v>#N/A</v>
      </c>
      <c r="AR18" s="122" t="e">
        <f>VLOOKUP(AR$2&amp;$C18&amp;$A18,集計!$D:$R,$B18,0)</f>
        <v>#N/A</v>
      </c>
      <c r="AS18" s="123" t="e">
        <f>AP18+AQ18+AR18</f>
        <v>#N/A</v>
      </c>
      <c r="AT18" s="123" t="e">
        <f>AH18+AL18+AO18+AS18</f>
        <v>#N/A</v>
      </c>
      <c r="AU18" s="122" t="e">
        <f>VLOOKUP(AU$2&amp;$C18&amp;$A18,集計!$D:$R,$B18,0)</f>
        <v>#N/A</v>
      </c>
      <c r="AV18" s="122" t="e">
        <f>VLOOKUP(AV$2&amp;$C18&amp;$A18,集計!$D:$R,$B18,0)</f>
        <v>#N/A</v>
      </c>
      <c r="AW18" s="122" t="e">
        <f>VLOOKUP(AW$2&amp;$C18&amp;$A18,集計!$D:$R,$B18,0)</f>
        <v>#N/A</v>
      </c>
      <c r="AX18" s="122" t="e">
        <f>VLOOKUP(AX$2&amp;$C18&amp;$A18,集計!$D:$R,$B18,0)</f>
        <v>#N/A</v>
      </c>
      <c r="AY18" s="122" t="e">
        <f>VLOOKUP(AY$2&amp;$C18&amp;$A18,集計!$D:$R,$B18,0)</f>
        <v>#N/A</v>
      </c>
      <c r="AZ18" s="123" t="e">
        <f>AU18+AV18+AW18+AX18+AY18</f>
        <v>#N/A</v>
      </c>
      <c r="BA18" s="123" t="e">
        <f>AZ18</f>
        <v>#N/A</v>
      </c>
      <c r="BB18" s="122" t="e">
        <f>VLOOKUP(BB$2&amp;$C18&amp;$A18,集計!$D:$R,$B18,0)</f>
        <v>#N/A</v>
      </c>
      <c r="BC18" s="122" t="e">
        <f>VLOOKUP(BC$2&amp;$C18&amp;$A18,集計!$D:$R,$B18,0)</f>
        <v>#N/A</v>
      </c>
      <c r="BD18" s="123" t="e">
        <f>BB18+BC18</f>
        <v>#N/A</v>
      </c>
      <c r="BE18" s="122" t="e">
        <f>VLOOKUP(BE$2&amp;$C18&amp;$A18,集計!$D:$R,$B18,0)</f>
        <v>#N/A</v>
      </c>
      <c r="BF18" s="122" t="e">
        <f>VLOOKUP(BF$2&amp;$C18&amp;$A18,集計!$D:$R,$B18,0)</f>
        <v>#N/A</v>
      </c>
      <c r="BG18" s="122" t="e">
        <f>VLOOKUP(BG$2&amp;$C18&amp;$A18,集計!$D:$R,$B18,0)</f>
        <v>#N/A</v>
      </c>
      <c r="BH18" s="122" t="e">
        <f>VLOOKUP(BH$2&amp;$C18&amp;$A18,集計!$D:$R,$B18,0)</f>
        <v>#N/A</v>
      </c>
      <c r="BI18" s="122" t="e">
        <f>VLOOKUP(BI$2&amp;$C18&amp;$A18,集計!$D:$R,$B18,0)</f>
        <v>#N/A</v>
      </c>
      <c r="BJ18" s="123" t="e">
        <f>BE18+BF18+BG18+BH18+BI18</f>
        <v>#N/A</v>
      </c>
      <c r="BK18" s="122" t="e">
        <f>VLOOKUP(BK$2&amp;$C18&amp;$A18,集計!$D:$R,$B18,0)</f>
        <v>#N/A</v>
      </c>
      <c r="BL18" s="122" t="e">
        <f>VLOOKUP(BL$2&amp;$C18&amp;$A18,集計!$D:$R,$B18,0)</f>
        <v>#N/A</v>
      </c>
      <c r="BM18" s="122" t="e">
        <f>VLOOKUP(BM$2&amp;$C18&amp;$A18,集計!$D:$R,$B18,0)</f>
        <v>#N/A</v>
      </c>
      <c r="BN18" s="122" t="e">
        <f>VLOOKUP(BN$2&amp;$C18&amp;$A18,集計!$D:$R,$B18,0)</f>
        <v>#N/A</v>
      </c>
      <c r="BO18" s="122" t="e">
        <f>VLOOKUP(BO$2&amp;$C18&amp;$A18,集計!$D:$R,$B18,0)</f>
        <v>#N/A</v>
      </c>
      <c r="BP18" s="122" t="e">
        <f>VLOOKUP(BP$2&amp;$C18&amp;$A18,集計!$D:$R,$B18,0)</f>
        <v>#N/A</v>
      </c>
      <c r="BQ18" s="123" t="e">
        <f>BK18+BL18+BM18+BN18+BO18+BP18</f>
        <v>#N/A</v>
      </c>
      <c r="BR18" s="122" t="e">
        <f>VLOOKUP(BR$2&amp;$C18&amp;$A18,集計!$D:$R,$B18,0)</f>
        <v>#N/A</v>
      </c>
      <c r="BS18" s="122" t="e">
        <f>VLOOKUP(BS$2&amp;$C18&amp;$A18,集計!$D:$R,$B18,0)</f>
        <v>#N/A</v>
      </c>
      <c r="BT18" s="122" t="e">
        <f>VLOOKUP(BT$2&amp;$C18&amp;$A18,集計!$D:$R,$B18,0)</f>
        <v>#N/A</v>
      </c>
      <c r="BU18" s="123" t="e">
        <f>BR18+BS18+BT18</f>
        <v>#N/A</v>
      </c>
      <c r="BV18" s="122" t="e">
        <f>VLOOKUP(BV$2&amp;$C18&amp;$A18,集計!$D:$R,$B18,0)</f>
        <v>#N/A</v>
      </c>
      <c r="BW18" s="123" t="e">
        <f>BV18</f>
        <v>#N/A</v>
      </c>
      <c r="BX18" s="123" t="e">
        <f>AC18+AT18+BA18+BD18+BJ18+BQ18+BU18+BW18</f>
        <v>#N/A</v>
      </c>
    </row>
    <row r="19" spans="1:76" s="124" customFormat="1">
      <c r="A19" s="120" t="s">
        <v>40</v>
      </c>
      <c r="B19" s="152">
        <v>6</v>
      </c>
      <c r="C19" s="125" t="s">
        <v>106</v>
      </c>
      <c r="D19" s="126" t="e">
        <f>VLOOKUP(D$2&amp;$C19&amp;$A19,集計!$D:$R,$B19,0)</f>
        <v>#N/A</v>
      </c>
      <c r="E19" s="126" t="e">
        <f>VLOOKUP(E$2&amp;$C19&amp;$A19,集計!$D:$R,$B19,0)</f>
        <v>#N/A</v>
      </c>
      <c r="F19" s="126" t="e">
        <f>VLOOKUP(F$2&amp;$C19&amp;$A19,集計!$D:$R,$B19,0)</f>
        <v>#N/A</v>
      </c>
      <c r="G19" s="126" t="e">
        <f>VLOOKUP(G$2&amp;$C19&amp;$A19,集計!$D:$R,$B19,0)</f>
        <v>#N/A</v>
      </c>
      <c r="H19" s="126" t="e">
        <f>VLOOKUP(H$2&amp;$C19&amp;$A19,集計!$D:$R,$B19,0)</f>
        <v>#N/A</v>
      </c>
      <c r="I19" s="127" t="e">
        <f>D19+E19+F19+G19+H19</f>
        <v>#N/A</v>
      </c>
      <c r="J19" s="126" t="e">
        <f>VLOOKUP(J$2&amp;$C19&amp;$A19,集計!$D:$R,$B19,0)</f>
        <v>#N/A</v>
      </c>
      <c r="K19" s="126" t="e">
        <f>VLOOKUP(K$2&amp;$C19&amp;$A19,集計!$D:$R,$B19,0)</f>
        <v>#N/A</v>
      </c>
      <c r="L19" s="126" t="e">
        <f>VLOOKUP(L$2&amp;$C19&amp;$A19,集計!$D:$R,$B19,0)</f>
        <v>#N/A</v>
      </c>
      <c r="M19" s="126" t="e">
        <f>VLOOKUP(M$2&amp;$C19&amp;$A19,集計!$D:$R,$B19,0)</f>
        <v>#N/A</v>
      </c>
      <c r="N19" s="127" t="e">
        <f>J19+K19+L19+M19</f>
        <v>#N/A</v>
      </c>
      <c r="O19" s="126" t="e">
        <f>VLOOKUP(O$2&amp;$C19&amp;$A19,集計!$D:$R,$B19,0)</f>
        <v>#N/A</v>
      </c>
      <c r="P19" s="126" t="e">
        <f>VLOOKUP(P$2&amp;$C19&amp;$A19,集計!$D:$R,$B19,0)</f>
        <v>#N/A</v>
      </c>
      <c r="Q19" s="126" t="e">
        <f>VLOOKUP(Q$2&amp;$C19&amp;$A19,集計!$D:$R,$B19,0)</f>
        <v>#N/A</v>
      </c>
      <c r="R19" s="126" t="e">
        <f>VLOOKUP(R$2&amp;$C19&amp;$A19,集計!$D:$R,$B19,0)</f>
        <v>#N/A</v>
      </c>
      <c r="S19" s="126" t="e">
        <f>VLOOKUP(S$2&amp;$C19&amp;$A19,集計!$D:$R,$B19,0)</f>
        <v>#N/A</v>
      </c>
      <c r="T19" s="127" t="e">
        <f>O19+P19+Q19+R19+S19</f>
        <v>#N/A</v>
      </c>
      <c r="U19" s="126" t="e">
        <f>VLOOKUP(U$2&amp;$C19&amp;$A19,集計!$D:$R,$B19,0)</f>
        <v>#N/A</v>
      </c>
      <c r="V19" s="126" t="e">
        <f>VLOOKUP(V$2&amp;$C19&amp;$A19,集計!$D:$R,$B19,0)</f>
        <v>#N/A</v>
      </c>
      <c r="W19" s="126" t="e">
        <f>VLOOKUP(W$2&amp;$C19&amp;$A19,集計!$D:$R,$B19,0)</f>
        <v>#N/A</v>
      </c>
      <c r="X19" s="127" t="e">
        <f>U19+V19+W19</f>
        <v>#N/A</v>
      </c>
      <c r="Y19" s="126" t="e">
        <f>VLOOKUP(Y$2&amp;$C19&amp;$A19,集計!$D:$R,$B19,0)</f>
        <v>#N/A</v>
      </c>
      <c r="Z19" s="126" t="e">
        <f>VLOOKUP(Z$2&amp;$C19&amp;$A19,集計!$D:$R,$B19,0)</f>
        <v>#N/A</v>
      </c>
      <c r="AA19" s="126" t="e">
        <f>VLOOKUP(AA$2&amp;$C19&amp;$A19,集計!$D:$R,$B19,0)</f>
        <v>#N/A</v>
      </c>
      <c r="AB19" s="127" t="e">
        <f>Y19+Z19+AA19</f>
        <v>#N/A</v>
      </c>
      <c r="AC19" s="127" t="e">
        <f>I19+N19+T19+X19+AB19</f>
        <v>#N/A</v>
      </c>
      <c r="AD19" s="126" t="e">
        <f>VLOOKUP(AD$2&amp;$C19&amp;$A19,集計!$D:$R,$B19,0)</f>
        <v>#N/A</v>
      </c>
      <c r="AE19" s="126" t="e">
        <f>VLOOKUP(AE$2&amp;$C19&amp;$A19,集計!$D:$R,$B19,0)</f>
        <v>#N/A</v>
      </c>
      <c r="AF19" s="126" t="e">
        <f>VLOOKUP(AF$2&amp;$C19&amp;$A19,集計!$D:$R,$B19,0)</f>
        <v>#N/A</v>
      </c>
      <c r="AG19" s="126" t="e">
        <f>VLOOKUP(AG$2&amp;$C19&amp;$A19,集計!$D:$R,$B19,0)</f>
        <v>#N/A</v>
      </c>
      <c r="AH19" s="127" t="e">
        <f>AD19+AE19+AF19+AG19</f>
        <v>#N/A</v>
      </c>
      <c r="AI19" s="126" t="e">
        <f>VLOOKUP(AI$2&amp;$C19&amp;$A19,集計!$D:$R,$B19,0)</f>
        <v>#N/A</v>
      </c>
      <c r="AJ19" s="126" t="e">
        <f>VLOOKUP(AJ$2&amp;$C19&amp;$A19,集計!$D:$R,$B19,0)</f>
        <v>#N/A</v>
      </c>
      <c r="AK19" s="126" t="e">
        <f>VLOOKUP(AK$2&amp;$C19&amp;$A19,集計!$D:$R,$B19,0)</f>
        <v>#N/A</v>
      </c>
      <c r="AL19" s="127" t="e">
        <f>AI19+AJ19+AK19</f>
        <v>#N/A</v>
      </c>
      <c r="AM19" s="126" t="e">
        <f>VLOOKUP(AM$2&amp;$C19&amp;$A19,集計!$D:$R,$B19,0)</f>
        <v>#N/A</v>
      </c>
      <c r="AN19" s="126" t="e">
        <f>VLOOKUP(AN$2&amp;$C19&amp;$A19,集計!$D:$R,$B19,0)</f>
        <v>#N/A</v>
      </c>
      <c r="AO19" s="127" t="e">
        <f>AM19+AN19</f>
        <v>#N/A</v>
      </c>
      <c r="AP19" s="126" t="e">
        <f>VLOOKUP(AP$2&amp;$C19&amp;$A19,集計!$D:$R,$B19,0)</f>
        <v>#N/A</v>
      </c>
      <c r="AQ19" s="126" t="e">
        <f>VLOOKUP(AQ$2&amp;$C19&amp;$A19,集計!$D:$R,$B19,0)</f>
        <v>#N/A</v>
      </c>
      <c r="AR19" s="126" t="e">
        <f>VLOOKUP(AR$2&amp;$C19&amp;$A19,集計!$D:$R,$B19,0)</f>
        <v>#N/A</v>
      </c>
      <c r="AS19" s="127" t="e">
        <f>AP19+AQ19+AR19</f>
        <v>#N/A</v>
      </c>
      <c r="AT19" s="127" t="e">
        <f>AH19+AL19+AO19+AS19</f>
        <v>#N/A</v>
      </c>
      <c r="AU19" s="126" t="e">
        <f>VLOOKUP(AU$2&amp;$C19&amp;$A19,集計!$D:$R,$B19,0)</f>
        <v>#N/A</v>
      </c>
      <c r="AV19" s="126" t="e">
        <f>VLOOKUP(AV$2&amp;$C19&amp;$A19,集計!$D:$R,$B19,0)</f>
        <v>#N/A</v>
      </c>
      <c r="AW19" s="126" t="e">
        <f>VLOOKUP(AW$2&amp;$C19&amp;$A19,集計!$D:$R,$B19,0)</f>
        <v>#N/A</v>
      </c>
      <c r="AX19" s="126" t="e">
        <f>VLOOKUP(AX$2&amp;$C19&amp;$A19,集計!$D:$R,$B19,0)</f>
        <v>#N/A</v>
      </c>
      <c r="AY19" s="126" t="e">
        <f>VLOOKUP(AY$2&amp;$C19&amp;$A19,集計!$D:$R,$B19,0)</f>
        <v>#N/A</v>
      </c>
      <c r="AZ19" s="127" t="e">
        <f>AU19+AV19+AW19+AX19+AY19</f>
        <v>#N/A</v>
      </c>
      <c r="BA19" s="127" t="e">
        <f>AZ19</f>
        <v>#N/A</v>
      </c>
      <c r="BB19" s="126" t="e">
        <f>VLOOKUP(BB$2&amp;$C19&amp;$A19,集計!$D:$R,$B19,0)</f>
        <v>#N/A</v>
      </c>
      <c r="BC19" s="126" t="e">
        <f>VLOOKUP(BC$2&amp;$C19&amp;$A19,集計!$D:$R,$B19,0)</f>
        <v>#N/A</v>
      </c>
      <c r="BD19" s="127" t="e">
        <f>BB19+BC19</f>
        <v>#N/A</v>
      </c>
      <c r="BE19" s="126" t="e">
        <f>VLOOKUP(BE$2&amp;$C19&amp;$A19,集計!$D:$R,$B19,0)</f>
        <v>#N/A</v>
      </c>
      <c r="BF19" s="126" t="e">
        <f>VLOOKUP(BF$2&amp;$C19&amp;$A19,集計!$D:$R,$B19,0)</f>
        <v>#N/A</v>
      </c>
      <c r="BG19" s="126" t="e">
        <f>VLOOKUP(BG$2&amp;$C19&amp;$A19,集計!$D:$R,$B19,0)</f>
        <v>#N/A</v>
      </c>
      <c r="BH19" s="126" t="e">
        <f>VLOOKUP(BH$2&amp;$C19&amp;$A19,集計!$D:$R,$B19,0)</f>
        <v>#N/A</v>
      </c>
      <c r="BI19" s="126" t="e">
        <f>VLOOKUP(BI$2&amp;$C19&amp;$A19,集計!$D:$R,$B19,0)</f>
        <v>#N/A</v>
      </c>
      <c r="BJ19" s="127" t="e">
        <f>BE19+BF19+BG19+BH19+BI19</f>
        <v>#N/A</v>
      </c>
      <c r="BK19" s="126" t="e">
        <f>VLOOKUP(BK$2&amp;$C19&amp;$A19,集計!$D:$R,$B19,0)</f>
        <v>#N/A</v>
      </c>
      <c r="BL19" s="126" t="e">
        <f>VLOOKUP(BL$2&amp;$C19&amp;$A19,集計!$D:$R,$B19,0)</f>
        <v>#N/A</v>
      </c>
      <c r="BM19" s="126" t="e">
        <f>VLOOKUP(BM$2&amp;$C19&amp;$A19,集計!$D:$R,$B19,0)</f>
        <v>#N/A</v>
      </c>
      <c r="BN19" s="126" t="e">
        <f>VLOOKUP(BN$2&amp;$C19&amp;$A19,集計!$D:$R,$B19,0)</f>
        <v>#N/A</v>
      </c>
      <c r="BO19" s="126" t="e">
        <f>VLOOKUP(BO$2&amp;$C19&amp;$A19,集計!$D:$R,$B19,0)</f>
        <v>#N/A</v>
      </c>
      <c r="BP19" s="126" t="e">
        <f>VLOOKUP(BP$2&amp;$C19&amp;$A19,集計!$D:$R,$B19,0)</f>
        <v>#N/A</v>
      </c>
      <c r="BQ19" s="127" t="e">
        <f>BK19+BL19+BM19+BN19+BO19+BP19</f>
        <v>#N/A</v>
      </c>
      <c r="BR19" s="126" t="e">
        <f>VLOOKUP(BR$2&amp;$C19&amp;$A19,集計!$D:$R,$B19,0)</f>
        <v>#N/A</v>
      </c>
      <c r="BS19" s="126" t="e">
        <f>VLOOKUP(BS$2&amp;$C19&amp;$A19,集計!$D:$R,$B19,0)</f>
        <v>#N/A</v>
      </c>
      <c r="BT19" s="126" t="e">
        <f>VLOOKUP(BT$2&amp;$C19&amp;$A19,集計!$D:$R,$B19,0)</f>
        <v>#N/A</v>
      </c>
      <c r="BU19" s="127" t="e">
        <f>BR19+BS19+BT19</f>
        <v>#N/A</v>
      </c>
      <c r="BV19" s="126" t="e">
        <f>VLOOKUP(BV$2&amp;$C19&amp;$A19,集計!$D:$R,$B19,0)</f>
        <v>#N/A</v>
      </c>
      <c r="BW19" s="127" t="e">
        <f>BV19</f>
        <v>#N/A</v>
      </c>
      <c r="BX19" s="127" t="e">
        <f>AC19+AT19+BA19+BD19+BJ19+BQ19+BU19+BW19</f>
        <v>#N/A</v>
      </c>
    </row>
    <row r="20" spans="1:76" s="124" customFormat="1">
      <c r="A20" s="120" t="s">
        <v>40</v>
      </c>
      <c r="B20" s="152">
        <v>6</v>
      </c>
      <c r="C20" s="128" t="s">
        <v>107</v>
      </c>
      <c r="D20" s="129" t="e">
        <f>VLOOKUP(D$2&amp;$C20&amp;$A20,集計!$D:$R,$B20,0)</f>
        <v>#N/A</v>
      </c>
      <c r="E20" s="129" t="e">
        <f>VLOOKUP(E$2&amp;$C20&amp;$A20,集計!$D:$R,$B20,0)</f>
        <v>#N/A</v>
      </c>
      <c r="F20" s="129" t="e">
        <f>VLOOKUP(F$2&amp;$C20&amp;$A20,集計!$D:$R,$B20,0)</f>
        <v>#N/A</v>
      </c>
      <c r="G20" s="129" t="e">
        <f>VLOOKUP(G$2&amp;$C20&amp;$A20,集計!$D:$R,$B20,0)</f>
        <v>#N/A</v>
      </c>
      <c r="H20" s="129" t="e">
        <f>VLOOKUP(H$2&amp;$C20&amp;$A20,集計!$D:$R,$B20,0)</f>
        <v>#N/A</v>
      </c>
      <c r="I20" s="130" t="e">
        <f>D20+E20+F20+G20+H20</f>
        <v>#N/A</v>
      </c>
      <c r="J20" s="129" t="e">
        <f>VLOOKUP(J$2&amp;$C20&amp;$A20,集計!$D:$R,$B20,0)</f>
        <v>#N/A</v>
      </c>
      <c r="K20" s="129" t="e">
        <f>VLOOKUP(K$2&amp;$C20&amp;$A20,集計!$D:$R,$B20,0)</f>
        <v>#N/A</v>
      </c>
      <c r="L20" s="129" t="e">
        <f>VLOOKUP(L$2&amp;$C20&amp;$A20,集計!$D:$R,$B20,0)</f>
        <v>#N/A</v>
      </c>
      <c r="M20" s="129" t="e">
        <f>VLOOKUP(M$2&amp;$C20&amp;$A20,集計!$D:$R,$B20,0)</f>
        <v>#N/A</v>
      </c>
      <c r="N20" s="130" t="e">
        <f>J20+K20+L20+M20</f>
        <v>#N/A</v>
      </c>
      <c r="O20" s="129" t="e">
        <f>VLOOKUP(O$2&amp;$C20&amp;$A20,集計!$D:$R,$B20,0)</f>
        <v>#N/A</v>
      </c>
      <c r="P20" s="129" t="e">
        <f>VLOOKUP(P$2&amp;$C20&amp;$A20,集計!$D:$R,$B20,0)</f>
        <v>#N/A</v>
      </c>
      <c r="Q20" s="129" t="e">
        <f>VLOOKUP(Q$2&amp;$C20&amp;$A20,集計!$D:$R,$B20,0)</f>
        <v>#N/A</v>
      </c>
      <c r="R20" s="129" t="e">
        <f>VLOOKUP(R$2&amp;$C20&amp;$A20,集計!$D:$R,$B20,0)</f>
        <v>#N/A</v>
      </c>
      <c r="S20" s="129" t="e">
        <f>VLOOKUP(S$2&amp;$C20&amp;$A20,集計!$D:$R,$B20,0)</f>
        <v>#N/A</v>
      </c>
      <c r="T20" s="130" t="e">
        <f>O20+P20+Q20+R20+S20</f>
        <v>#N/A</v>
      </c>
      <c r="U20" s="129" t="e">
        <f>VLOOKUP(U$2&amp;$C20&amp;$A20,集計!$D:$R,$B20,0)</f>
        <v>#N/A</v>
      </c>
      <c r="V20" s="129" t="e">
        <f>VLOOKUP(V$2&amp;$C20&amp;$A20,集計!$D:$R,$B20,0)</f>
        <v>#N/A</v>
      </c>
      <c r="W20" s="129" t="e">
        <f>VLOOKUP(W$2&amp;$C20&amp;$A20,集計!$D:$R,$B20,0)</f>
        <v>#N/A</v>
      </c>
      <c r="X20" s="130" t="e">
        <f>U20+V20+W20</f>
        <v>#N/A</v>
      </c>
      <c r="Y20" s="129" t="e">
        <f>VLOOKUP(Y$2&amp;$C20&amp;$A20,集計!$D:$R,$B20,0)</f>
        <v>#N/A</v>
      </c>
      <c r="Z20" s="129" t="e">
        <f>VLOOKUP(Z$2&amp;$C20&amp;$A20,集計!$D:$R,$B20,0)</f>
        <v>#N/A</v>
      </c>
      <c r="AA20" s="129" t="e">
        <f>VLOOKUP(AA$2&amp;$C20&amp;$A20,集計!$D:$R,$B20,0)</f>
        <v>#N/A</v>
      </c>
      <c r="AB20" s="130" t="e">
        <f>Y20+Z20+AA20</f>
        <v>#N/A</v>
      </c>
      <c r="AC20" s="130" t="e">
        <f>I20+N20+T20+X20+AB20</f>
        <v>#N/A</v>
      </c>
      <c r="AD20" s="129" t="e">
        <f>VLOOKUP(AD$2&amp;$C20&amp;$A20,集計!$D:$R,$B20,0)</f>
        <v>#N/A</v>
      </c>
      <c r="AE20" s="129" t="e">
        <f>VLOOKUP(AE$2&amp;$C20&amp;$A20,集計!$D:$R,$B20,0)</f>
        <v>#N/A</v>
      </c>
      <c r="AF20" s="129" t="e">
        <f>VLOOKUP(AF$2&amp;$C20&amp;$A20,集計!$D:$R,$B20,0)</f>
        <v>#N/A</v>
      </c>
      <c r="AG20" s="129" t="e">
        <f>VLOOKUP(AG$2&amp;$C20&amp;$A20,集計!$D:$R,$B20,0)</f>
        <v>#N/A</v>
      </c>
      <c r="AH20" s="130" t="e">
        <f>AD20+AE20+AF20+AG20</f>
        <v>#N/A</v>
      </c>
      <c r="AI20" s="129" t="e">
        <f>VLOOKUP(AI$2&amp;$C20&amp;$A20,集計!$D:$R,$B20,0)</f>
        <v>#N/A</v>
      </c>
      <c r="AJ20" s="129" t="e">
        <f>VLOOKUP(AJ$2&amp;$C20&amp;$A20,集計!$D:$R,$B20,0)</f>
        <v>#N/A</v>
      </c>
      <c r="AK20" s="129" t="e">
        <f>VLOOKUP(AK$2&amp;$C20&amp;$A20,集計!$D:$R,$B20,0)</f>
        <v>#N/A</v>
      </c>
      <c r="AL20" s="130" t="e">
        <f>AI20+AJ20+AK20</f>
        <v>#N/A</v>
      </c>
      <c r="AM20" s="129" t="e">
        <f>VLOOKUP(AM$2&amp;$C20&amp;$A20,集計!$D:$R,$B20,0)</f>
        <v>#N/A</v>
      </c>
      <c r="AN20" s="129" t="e">
        <f>VLOOKUP(AN$2&amp;$C20&amp;$A20,集計!$D:$R,$B20,0)</f>
        <v>#N/A</v>
      </c>
      <c r="AO20" s="130" t="e">
        <f>AM20+AN20</f>
        <v>#N/A</v>
      </c>
      <c r="AP20" s="129" t="e">
        <f>VLOOKUP(AP$2&amp;$C20&amp;$A20,集計!$D:$R,$B20,0)</f>
        <v>#N/A</v>
      </c>
      <c r="AQ20" s="129" t="e">
        <f>VLOOKUP(AQ$2&amp;$C20&amp;$A20,集計!$D:$R,$B20,0)</f>
        <v>#N/A</v>
      </c>
      <c r="AR20" s="129" t="e">
        <f>VLOOKUP(AR$2&amp;$C20&amp;$A20,集計!$D:$R,$B20,0)</f>
        <v>#N/A</v>
      </c>
      <c r="AS20" s="130" t="e">
        <f>AP20+AQ20+AR20</f>
        <v>#N/A</v>
      </c>
      <c r="AT20" s="130" t="e">
        <f>AH20+AL20+AO20+AS20</f>
        <v>#N/A</v>
      </c>
      <c r="AU20" s="129" t="e">
        <f>VLOOKUP(AU$2&amp;$C20&amp;$A20,集計!$D:$R,$B20,0)</f>
        <v>#N/A</v>
      </c>
      <c r="AV20" s="129" t="e">
        <f>VLOOKUP(AV$2&amp;$C20&amp;$A20,集計!$D:$R,$B20,0)</f>
        <v>#N/A</v>
      </c>
      <c r="AW20" s="129" t="e">
        <f>VLOOKUP(AW$2&amp;$C20&amp;$A20,集計!$D:$R,$B20,0)</f>
        <v>#N/A</v>
      </c>
      <c r="AX20" s="129" t="e">
        <f>VLOOKUP(AX$2&amp;$C20&amp;$A20,集計!$D:$R,$B20,0)</f>
        <v>#N/A</v>
      </c>
      <c r="AY20" s="129" t="e">
        <f>VLOOKUP(AY$2&amp;$C20&amp;$A20,集計!$D:$R,$B20,0)</f>
        <v>#N/A</v>
      </c>
      <c r="AZ20" s="130" t="e">
        <f>AU20+AV20+AW20+AX20+AY20</f>
        <v>#N/A</v>
      </c>
      <c r="BA20" s="130" t="e">
        <f>AZ20</f>
        <v>#N/A</v>
      </c>
      <c r="BB20" s="129" t="e">
        <f>VLOOKUP(BB$2&amp;$C20&amp;$A20,集計!$D:$R,$B20,0)</f>
        <v>#N/A</v>
      </c>
      <c r="BC20" s="129" t="e">
        <f>VLOOKUP(BC$2&amp;$C20&amp;$A20,集計!$D:$R,$B20,0)</f>
        <v>#N/A</v>
      </c>
      <c r="BD20" s="130" t="e">
        <f>BB20+BC20</f>
        <v>#N/A</v>
      </c>
      <c r="BE20" s="129" t="e">
        <f>VLOOKUP(BE$2&amp;$C20&amp;$A20,集計!$D:$R,$B20,0)</f>
        <v>#N/A</v>
      </c>
      <c r="BF20" s="129" t="e">
        <f>VLOOKUP(BF$2&amp;$C20&amp;$A20,集計!$D:$R,$B20,0)</f>
        <v>#N/A</v>
      </c>
      <c r="BG20" s="129" t="e">
        <f>VLOOKUP(BG$2&amp;$C20&amp;$A20,集計!$D:$R,$B20,0)</f>
        <v>#N/A</v>
      </c>
      <c r="BH20" s="129" t="e">
        <f>VLOOKUP(BH$2&amp;$C20&amp;$A20,集計!$D:$R,$B20,0)</f>
        <v>#N/A</v>
      </c>
      <c r="BI20" s="129" t="e">
        <f>VLOOKUP(BI$2&amp;$C20&amp;$A20,集計!$D:$R,$B20,0)</f>
        <v>#N/A</v>
      </c>
      <c r="BJ20" s="130" t="e">
        <f>BE20+BF20+BG20+BH20+BI20</f>
        <v>#N/A</v>
      </c>
      <c r="BK20" s="129" t="e">
        <f>VLOOKUP(BK$2&amp;$C20&amp;$A20,集計!$D:$R,$B20,0)</f>
        <v>#N/A</v>
      </c>
      <c r="BL20" s="129" t="e">
        <f>VLOOKUP(BL$2&amp;$C20&amp;$A20,集計!$D:$R,$B20,0)</f>
        <v>#N/A</v>
      </c>
      <c r="BM20" s="129" t="e">
        <f>VLOOKUP(BM$2&amp;$C20&amp;$A20,集計!$D:$R,$B20,0)</f>
        <v>#N/A</v>
      </c>
      <c r="BN20" s="129" t="e">
        <f>VLOOKUP(BN$2&amp;$C20&amp;$A20,集計!$D:$R,$B20,0)</f>
        <v>#N/A</v>
      </c>
      <c r="BO20" s="129" t="e">
        <f>VLOOKUP(BO$2&amp;$C20&amp;$A20,集計!$D:$R,$B20,0)</f>
        <v>#N/A</v>
      </c>
      <c r="BP20" s="129" t="e">
        <f>VLOOKUP(BP$2&amp;$C20&amp;$A20,集計!$D:$R,$B20,0)</f>
        <v>#N/A</v>
      </c>
      <c r="BQ20" s="130" t="e">
        <f>BK20+BL20+BM20+BN20+BO20+BP20</f>
        <v>#N/A</v>
      </c>
      <c r="BR20" s="129" t="e">
        <f>VLOOKUP(BR$2&amp;$C20&amp;$A20,集計!$D:$R,$B20,0)</f>
        <v>#N/A</v>
      </c>
      <c r="BS20" s="129" t="e">
        <f>VLOOKUP(BS$2&amp;$C20&amp;$A20,集計!$D:$R,$B20,0)</f>
        <v>#N/A</v>
      </c>
      <c r="BT20" s="129" t="e">
        <f>VLOOKUP(BT$2&amp;$C20&amp;$A20,集計!$D:$R,$B20,0)</f>
        <v>#N/A</v>
      </c>
      <c r="BU20" s="130" t="e">
        <f>BR20+BS20+BT20</f>
        <v>#N/A</v>
      </c>
      <c r="BV20" s="129" t="e">
        <f>VLOOKUP(BV$2&amp;$C20&amp;$A20,集計!$D:$R,$B20,0)</f>
        <v>#N/A</v>
      </c>
      <c r="BW20" s="130" t="e">
        <f>BV20</f>
        <v>#N/A</v>
      </c>
      <c r="BX20" s="130" t="e">
        <f>AC20+AT20+BA20+BD20+BJ20+BQ20+BU20+BW20</f>
        <v>#N/A</v>
      </c>
    </row>
    <row r="21" spans="1:76" s="124" customFormat="1">
      <c r="A21" s="120" t="s">
        <v>40</v>
      </c>
      <c r="B21" s="152">
        <v>6</v>
      </c>
      <c r="C21" s="131" t="s">
        <v>26</v>
      </c>
      <c r="D21" s="132" t="e">
        <f>IF(VLOOKUP(D$2&amp;$C21&amp;$A21,集計!$D:$R,$B21,0)&lt;&gt;SUM(D19:D20),"NG",SUM(D19:D20))</f>
        <v>#N/A</v>
      </c>
      <c r="E21" s="132" t="e">
        <f>IF(VLOOKUP(E$2&amp;$C21&amp;$A21,集計!$D:$R,$B21,0)&lt;&gt;SUM(E19:E20),"NG",SUM(E19:E20))</f>
        <v>#N/A</v>
      </c>
      <c r="F21" s="132" t="e">
        <f>IF(VLOOKUP(F$2&amp;$C21&amp;$A21,集計!$D:$R,$B21,0)&lt;&gt;SUM(F19:F20),"NG",SUM(F19:F20))</f>
        <v>#N/A</v>
      </c>
      <c r="G21" s="132" t="e">
        <f>IF(VLOOKUP(G$2&amp;$C21&amp;$A21,集計!$D:$R,$B21,0)&lt;&gt;SUM(G19:G20),"NG",SUM(G19:G20))</f>
        <v>#N/A</v>
      </c>
      <c r="H21" s="132" t="e">
        <f>IF(VLOOKUP(H$2&amp;$C21&amp;$A21,集計!$D:$R,$B21,0)&lt;&gt;SUM(H19:H20),"NG",SUM(H19:H20))</f>
        <v>#N/A</v>
      </c>
      <c r="I21" s="133" t="e">
        <f>I19+I20</f>
        <v>#N/A</v>
      </c>
      <c r="J21" s="132" t="e">
        <f>IF(VLOOKUP(J$2&amp;$C21&amp;$A21,集計!$D:$R,$B21,0)&lt;&gt;SUM(J19:J20),"NG",SUM(J19:J20))</f>
        <v>#N/A</v>
      </c>
      <c r="K21" s="132" t="e">
        <f>IF(VLOOKUP(K$2&amp;$C21&amp;$A21,集計!$D:$R,$B21,0)&lt;&gt;SUM(K19:K20),"NG",SUM(K19:K20))</f>
        <v>#N/A</v>
      </c>
      <c r="L21" s="132" t="e">
        <f>IF(VLOOKUP(L$2&amp;$C21&amp;$A21,集計!$D:$R,$B21,0)&lt;&gt;SUM(L19:L20),"NG",SUM(L19:L20))</f>
        <v>#N/A</v>
      </c>
      <c r="M21" s="132" t="e">
        <f>IF(VLOOKUP(M$2&amp;$C21&amp;$A21,集計!$D:$R,$B21,0)&lt;&gt;SUM(M19:M20),"NG",SUM(M19:M20))</f>
        <v>#N/A</v>
      </c>
      <c r="N21" s="133" t="e">
        <f>N19+N20</f>
        <v>#N/A</v>
      </c>
      <c r="O21" s="132" t="e">
        <f>IF(VLOOKUP(O$2&amp;$C21&amp;$A21,集計!$D:$R,$B21,0)&lt;&gt;SUM(O19:O20),"NG",SUM(O19:O20))</f>
        <v>#N/A</v>
      </c>
      <c r="P21" s="132" t="e">
        <f>IF(VLOOKUP(P$2&amp;$C21&amp;$A21,集計!$D:$R,$B21,0)&lt;&gt;SUM(P19:P20),"NG",SUM(P19:P20))</f>
        <v>#N/A</v>
      </c>
      <c r="Q21" s="132" t="e">
        <f>IF(VLOOKUP(Q$2&amp;$C21&amp;$A21,集計!$D:$R,$B21,0)&lt;&gt;SUM(Q19:Q20),"NG",SUM(Q19:Q20))</f>
        <v>#N/A</v>
      </c>
      <c r="R21" s="132" t="e">
        <f>IF(VLOOKUP(R$2&amp;$C21&amp;$A21,集計!$D:$R,$B21,0)&lt;&gt;SUM(R19:R20),"NG",SUM(R19:R20))</f>
        <v>#N/A</v>
      </c>
      <c r="S21" s="132" t="e">
        <f>IF(VLOOKUP(S$2&amp;$C21&amp;$A21,集計!$D:$R,$B21,0)&lt;&gt;SUM(S19:S20),"NG",SUM(S19:S20))</f>
        <v>#N/A</v>
      </c>
      <c r="T21" s="133" t="e">
        <f>T19+T20</f>
        <v>#N/A</v>
      </c>
      <c r="U21" s="132" t="e">
        <f>IF(VLOOKUP(U$2&amp;$C21&amp;$A21,集計!$D:$R,$B21,0)&lt;&gt;SUM(U19:U20),"NG",SUM(U19:U20))</f>
        <v>#N/A</v>
      </c>
      <c r="V21" s="132" t="e">
        <f>IF(VLOOKUP(V$2&amp;$C21&amp;$A21,集計!$D:$R,$B21,0)&lt;&gt;SUM(V19:V20),"NG",SUM(V19:V20))</f>
        <v>#N/A</v>
      </c>
      <c r="W21" s="132" t="e">
        <f>IF(VLOOKUP(W$2&amp;$C21&amp;$A21,集計!$D:$R,$B21,0)&lt;&gt;SUM(W19:W20),"NG",SUM(W19:W20))</f>
        <v>#N/A</v>
      </c>
      <c r="X21" s="133" t="e">
        <f>SUM(X19:X20)</f>
        <v>#N/A</v>
      </c>
      <c r="Y21" s="132" t="e">
        <f>IF(VLOOKUP(Y$2&amp;$C21&amp;$A21,集計!$D:$R,$B21,0)&lt;&gt;SUM(Y19:Y20),"NG",SUM(Y19:Y20))</f>
        <v>#N/A</v>
      </c>
      <c r="Z21" s="132" t="e">
        <f>IF(VLOOKUP(Z$2&amp;$C21&amp;$A21,集計!$D:$R,$B21,0)&lt;&gt;SUM(Z19:Z20),"NG",SUM(Z19:Z20))</f>
        <v>#N/A</v>
      </c>
      <c r="AA21" s="132" t="e">
        <f>IF(VLOOKUP(AA$2&amp;$C21&amp;$A21,集計!$D:$R,$B21,0)&lt;&gt;SUM(AA19:AA20),"NG",SUM(AA19:AA20))</f>
        <v>#N/A</v>
      </c>
      <c r="AB21" s="133" t="e">
        <f>SUM(AB19:AB20)</f>
        <v>#N/A</v>
      </c>
      <c r="AC21" s="133" t="e">
        <f>SUM(AC19:AC20)</f>
        <v>#N/A</v>
      </c>
      <c r="AD21" s="132" t="e">
        <f>IF(VLOOKUP(AD$2&amp;$C21&amp;$A21,集計!$D:$R,$B21,0)&lt;&gt;SUM(AD19:AD20),"NG",SUM(AD19:AD20))</f>
        <v>#N/A</v>
      </c>
      <c r="AE21" s="132" t="e">
        <f>IF(VLOOKUP(AE$2&amp;$C21&amp;$A21,集計!$D:$R,$B21,0)&lt;&gt;SUM(AE19:AE20),"NG",SUM(AE19:AE20))</f>
        <v>#N/A</v>
      </c>
      <c r="AF21" s="132" t="e">
        <f>IF(VLOOKUP(AF$2&amp;$C21&amp;$A21,集計!$D:$R,$B21,0)&lt;&gt;SUM(AF19:AF20),"NG",SUM(AF19:AF20))</f>
        <v>#N/A</v>
      </c>
      <c r="AG21" s="132" t="e">
        <f>IF(VLOOKUP(AG$2&amp;$C21&amp;$A21,集計!$D:$R,$B21,0)&lt;&gt;SUM(AG19:AG20),"NG",SUM(AG19:AG20))</f>
        <v>#N/A</v>
      </c>
      <c r="AH21" s="133" t="e">
        <f>SUM(AH19:AH20)</f>
        <v>#N/A</v>
      </c>
      <c r="AI21" s="132" t="e">
        <f>IF(VLOOKUP(AI$2&amp;$C21&amp;$A21,集計!$D:$R,$B21,0)&lt;&gt;SUM(AI19:AI20),"NG",SUM(AI19:AI20))</f>
        <v>#N/A</v>
      </c>
      <c r="AJ21" s="132" t="e">
        <f>IF(VLOOKUP(AJ$2&amp;$C21&amp;$A21,集計!$D:$R,$B21,0)&lt;&gt;SUM(AJ19:AJ20),"NG",SUM(AJ19:AJ20))</f>
        <v>#N/A</v>
      </c>
      <c r="AK21" s="132" t="e">
        <f>IF(VLOOKUP(AK$2&amp;$C21&amp;$A21,集計!$D:$R,$B21,0)&lt;&gt;SUM(AK19:AK20),"NG",SUM(AK19:AK20))</f>
        <v>#N/A</v>
      </c>
      <c r="AL21" s="133" t="e">
        <f>SUM(AL19:AL20)</f>
        <v>#N/A</v>
      </c>
      <c r="AM21" s="132" t="e">
        <f>IF(VLOOKUP(AM$2&amp;$C21&amp;$A21,集計!$D:$R,$B21,0)&lt;&gt;SUM(AM19:AM20),"NG",SUM(AM19:AM20))</f>
        <v>#N/A</v>
      </c>
      <c r="AN21" s="132" t="e">
        <f>IF(VLOOKUP(AN$2&amp;$C21&amp;$A21,集計!$D:$R,$B21,0)&lt;&gt;SUM(AN19:AN20),"NG",SUM(AN19:AN20))</f>
        <v>#N/A</v>
      </c>
      <c r="AO21" s="133" t="e">
        <f>SUM(AO19:AO20)</f>
        <v>#N/A</v>
      </c>
      <c r="AP21" s="132" t="e">
        <f>IF(VLOOKUP(AP$2&amp;$C21&amp;$A21,集計!$D:$R,$B21,0)&lt;&gt;SUM(AP19:AP20),"NG",SUM(AP19:AP20))</f>
        <v>#N/A</v>
      </c>
      <c r="AQ21" s="132" t="e">
        <f>IF(VLOOKUP(AQ$2&amp;$C21&amp;$A21,集計!$D:$R,$B21,0)&lt;&gt;SUM(AQ19:AQ20),"NG",SUM(AQ19:AQ20))</f>
        <v>#N/A</v>
      </c>
      <c r="AR21" s="132" t="e">
        <f>IF(VLOOKUP(AR$2&amp;$C21&amp;$A21,集計!$D:$R,$B21,0)&lt;&gt;SUM(AR19:AR20),"NG",SUM(AR19:AR20))</f>
        <v>#N/A</v>
      </c>
      <c r="AS21" s="133" t="e">
        <f>SUM(AS19:AS20)</f>
        <v>#N/A</v>
      </c>
      <c r="AT21" s="133" t="e">
        <f>SUM(AT19:AT20)</f>
        <v>#N/A</v>
      </c>
      <c r="AU21" s="132" t="e">
        <f>IF(VLOOKUP(AU$2&amp;$C21&amp;$A21,集計!$D:$R,$B21,0)&lt;&gt;SUM(AU19:AU20),"NG",SUM(AU19:AU20))</f>
        <v>#N/A</v>
      </c>
      <c r="AV21" s="132" t="e">
        <f>IF(VLOOKUP(AV$2&amp;$C21&amp;$A21,集計!$D:$R,$B21,0)&lt;&gt;SUM(AV19:AV20),"NG",SUM(AV19:AV20))</f>
        <v>#N/A</v>
      </c>
      <c r="AW21" s="132" t="e">
        <f>IF(VLOOKUP(AW$2&amp;$C21&amp;$A21,集計!$D:$R,$B21,0)&lt;&gt;SUM(AW19:AW20),"NG",SUM(AW19:AW20))</f>
        <v>#N/A</v>
      </c>
      <c r="AX21" s="132" t="e">
        <f>IF(VLOOKUP(AX$2&amp;$C21&amp;$A21,集計!$D:$R,$B21,0)&lt;&gt;SUM(AX19:AX20),"NG",SUM(AX19:AX20))</f>
        <v>#N/A</v>
      </c>
      <c r="AY21" s="132" t="e">
        <f>IF(VLOOKUP(AY$2&amp;$C21&amp;$A21,集計!$D:$R,$B21,0)&lt;&gt;SUM(AY19:AY20),"NG",SUM(AY19:AY20))</f>
        <v>#N/A</v>
      </c>
      <c r="AZ21" s="133" t="e">
        <f>AZ19+AZ20</f>
        <v>#N/A</v>
      </c>
      <c r="BA21" s="133" t="e">
        <f>BA19+BA20</f>
        <v>#N/A</v>
      </c>
      <c r="BB21" s="132" t="e">
        <f>IF(VLOOKUP(BB$2&amp;$C21&amp;$A21,集計!$D:$R,$B21,0)&lt;&gt;SUM(BB19:BB20),"NG",SUM(BB19:BB20))</f>
        <v>#N/A</v>
      </c>
      <c r="BC21" s="132" t="e">
        <f>IF(VLOOKUP(BC$2&amp;$C21&amp;$A21,集計!$D:$R,$B21,0)&lt;&gt;SUM(BC19:BC20),"NG",SUM(BC19:BC20))</f>
        <v>#N/A</v>
      </c>
      <c r="BD21" s="133" t="e">
        <f>SUM(BD19:BD20)</f>
        <v>#N/A</v>
      </c>
      <c r="BE21" s="132" t="e">
        <f>IF(VLOOKUP(BE$2&amp;$C21&amp;$A21,集計!$D:$R,$B21,0)&lt;&gt;SUM(BE19:BE20),"NG",SUM(BE19:BE20))</f>
        <v>#N/A</v>
      </c>
      <c r="BF21" s="132" t="e">
        <f>IF(VLOOKUP(BF$2&amp;$C21&amp;$A21,集計!$D:$R,$B21,0)&lt;&gt;SUM(BF19:BF20),"NG",SUM(BF19:BF20))</f>
        <v>#N/A</v>
      </c>
      <c r="BG21" s="132" t="e">
        <f>IF(VLOOKUP(BG$2&amp;$C21&amp;$A21,集計!$D:$R,$B21,0)&lt;&gt;SUM(BG19:BG20),"NG",SUM(BG19:BG20))</f>
        <v>#N/A</v>
      </c>
      <c r="BH21" s="132" t="e">
        <f>IF(VLOOKUP(BH$2&amp;$C21&amp;$A21,集計!$D:$R,$B21,0)&lt;&gt;SUM(BH19:BH20),"NG",SUM(BH19:BH20))</f>
        <v>#N/A</v>
      </c>
      <c r="BI21" s="132" t="e">
        <f>IF(VLOOKUP(BI$2&amp;$C21&amp;$A21,集計!$D:$R,$B21,0)&lt;&gt;SUM(BI19:BI20),"NG",SUM(BI19:BI20))</f>
        <v>#N/A</v>
      </c>
      <c r="BJ21" s="133" t="e">
        <f>BJ19+BJ20</f>
        <v>#N/A</v>
      </c>
      <c r="BK21" s="132" t="e">
        <f>IF(VLOOKUP(BK$2&amp;$C21&amp;$A21,集計!$D:$R,$B21,0)&lt;&gt;SUM(BK19:BK20),"NG",SUM(BK19:BK20))</f>
        <v>#N/A</v>
      </c>
      <c r="BL21" s="132" t="e">
        <f>IF(VLOOKUP(BL$2&amp;$C21&amp;$A21,集計!$D:$R,$B21,0)&lt;&gt;SUM(BL19:BL20),"NG",SUM(BL19:BL20))</f>
        <v>#N/A</v>
      </c>
      <c r="BM21" s="132" t="e">
        <f>IF(VLOOKUP(BM$2&amp;$C21&amp;$A21,集計!$D:$R,$B21,0)&lt;&gt;SUM(BM19:BM20),"NG",SUM(BM19:BM20))</f>
        <v>#N/A</v>
      </c>
      <c r="BN21" s="132" t="e">
        <f>IF(VLOOKUP(BN$2&amp;$C21&amp;$A21,集計!$D:$R,$B21,0)&lt;&gt;SUM(BN19:BN20),"NG",SUM(BN19:BN20))</f>
        <v>#N/A</v>
      </c>
      <c r="BO21" s="132" t="e">
        <f>IF(VLOOKUP(BO$2&amp;$C21&amp;$A21,集計!$D:$R,$B21,0)&lt;&gt;SUM(BO19:BO20),"NG",SUM(BO19:BO20))</f>
        <v>#N/A</v>
      </c>
      <c r="BP21" s="132" t="e">
        <f>IF(VLOOKUP(BP$2&amp;$C21&amp;$A21,集計!$D:$R,$B21,0)&lt;&gt;SUM(BP19:BP20),"NG",SUM(BP19:BP20))</f>
        <v>#N/A</v>
      </c>
      <c r="BQ21" s="133" t="e">
        <f>BQ19+BQ20</f>
        <v>#N/A</v>
      </c>
      <c r="BR21" s="132" t="e">
        <f>IF(VLOOKUP(BR$2&amp;$C21&amp;$A21,集計!$D:$R,$B21,0)&lt;&gt;SUM(BR19:BR20),"NG",SUM(BR19:BR20))</f>
        <v>#N/A</v>
      </c>
      <c r="BS21" s="132" t="e">
        <f>IF(VLOOKUP(BS$2&amp;$C21&amp;$A21,集計!$D:$R,$B21,0)&lt;&gt;SUM(BS19:BS20),"NG",SUM(BS19:BS20))</f>
        <v>#N/A</v>
      </c>
      <c r="BT21" s="132" t="e">
        <f>IF(VLOOKUP(BT$2&amp;$C21&amp;$A21,集計!$D:$R,$B21,0)&lt;&gt;SUM(BT19:BT20),"NG",SUM(BT19:BT20))</f>
        <v>#N/A</v>
      </c>
      <c r="BU21" s="133" t="e">
        <f>BU19+BU20</f>
        <v>#N/A</v>
      </c>
      <c r="BV21" s="132" t="e">
        <f>IF(VLOOKUP(BV$2&amp;$C21&amp;$A21,集計!$D:$R,$B21,0)&lt;&gt;SUM(BV19:BV20),"NG",SUM(BV19:BV20))</f>
        <v>#N/A</v>
      </c>
      <c r="BW21" s="133" t="e">
        <f>SUM(BW19:BW20)</f>
        <v>#N/A</v>
      </c>
      <c r="BX21" s="133" t="e">
        <f>SUM(BX19:BX20)</f>
        <v>#N/A</v>
      </c>
    </row>
    <row r="22" spans="1:76" s="124" customFormat="1" ht="15" thickBot="1">
      <c r="A22" s="120" t="s">
        <v>40</v>
      </c>
      <c r="B22" s="152">
        <v>6</v>
      </c>
      <c r="C22" s="135" t="s">
        <v>27</v>
      </c>
      <c r="D22" s="136" t="e">
        <f>IF(VLOOKUP(D$2&amp;$C22&amp;$A22,集計!$D:$R,$B22,0)&lt;&gt;SUM(D18,D21),"NG",SUM(D18,D21))</f>
        <v>#N/A</v>
      </c>
      <c r="E22" s="136" t="e">
        <f>IF(VLOOKUP(E$2&amp;$C22&amp;$A22,集計!$D:$R,$B22,0)&lt;&gt;SUM(E18,E21),"NG",SUM(E18,E21))</f>
        <v>#N/A</v>
      </c>
      <c r="F22" s="136" t="e">
        <f>IF(VLOOKUP(F$2&amp;$C22&amp;$A22,集計!$D:$R,$B22,0)&lt;&gt;SUM(F18,F21),"NG",SUM(F18,F21))</f>
        <v>#N/A</v>
      </c>
      <c r="G22" s="136" t="e">
        <f>IF(VLOOKUP(G$2&amp;$C22&amp;$A22,集計!$D:$R,$B22,0)&lt;&gt;SUM(G18,G21),"NG",SUM(G18,G21))</f>
        <v>#N/A</v>
      </c>
      <c r="H22" s="136" t="e">
        <f>IF(VLOOKUP(H$2&amp;$C22&amp;$A22,集計!$D:$R,$B22,0)&lt;&gt;SUM(H18,H21),"NG",SUM(H18,H21))</f>
        <v>#N/A</v>
      </c>
      <c r="I22" s="137" t="e">
        <f>I18+I21</f>
        <v>#N/A</v>
      </c>
      <c r="J22" s="136" t="e">
        <f>IF(VLOOKUP(J$2&amp;$C22&amp;$A22,集計!$D:$R,$B22,0)&lt;&gt;SUM(J18,J21),"NG",SUM(J18,J21))</f>
        <v>#N/A</v>
      </c>
      <c r="K22" s="136" t="e">
        <f>IF(VLOOKUP(K$2&amp;$C22&amp;$A22,集計!$D:$R,$B22,0)&lt;&gt;SUM(K18,K21),"NG",SUM(K18,K21))</f>
        <v>#N/A</v>
      </c>
      <c r="L22" s="136" t="e">
        <f>IF(VLOOKUP(L$2&amp;$C22&amp;$A22,集計!$D:$R,$B22,0)&lt;&gt;SUM(L18,L21),"NG",SUM(L18,L21))</f>
        <v>#N/A</v>
      </c>
      <c r="M22" s="136" t="e">
        <f>IF(VLOOKUP(M$2&amp;$C22&amp;$A22,集計!$D:$R,$B22,0)&lt;&gt;SUM(M18,M21),"NG",SUM(M18,M21))</f>
        <v>#N/A</v>
      </c>
      <c r="N22" s="137" t="e">
        <f>N18+N21</f>
        <v>#N/A</v>
      </c>
      <c r="O22" s="136" t="e">
        <f>IF(VLOOKUP(O$2&amp;$C22&amp;$A22,集計!$D:$R,$B22,0)&lt;&gt;SUM(O18,O21),"NG",SUM(O18,O21))</f>
        <v>#N/A</v>
      </c>
      <c r="P22" s="136" t="e">
        <f>IF(VLOOKUP(P$2&amp;$C22&amp;$A22,集計!$D:$R,$B22,0)&lt;&gt;SUM(P18,P21),"NG",SUM(P18,P21))</f>
        <v>#N/A</v>
      </c>
      <c r="Q22" s="136" t="e">
        <f>IF(VLOOKUP(Q$2&amp;$C22&amp;$A22,集計!$D:$R,$B22,0)&lt;&gt;SUM(Q18,Q21),"NG",SUM(Q18,Q21))</f>
        <v>#N/A</v>
      </c>
      <c r="R22" s="136" t="e">
        <f>IF(VLOOKUP(R$2&amp;$C22&amp;$A22,集計!$D:$R,$B22,0)&lt;&gt;SUM(R18,R21),"NG",SUM(R18,R21))</f>
        <v>#N/A</v>
      </c>
      <c r="S22" s="136" t="e">
        <f>IF(VLOOKUP(S$2&amp;$C22&amp;$A22,集計!$D:$R,$B22,0)&lt;&gt;SUM(S18,S21),"NG",SUM(S18,S21))</f>
        <v>#N/A</v>
      </c>
      <c r="T22" s="137" t="e">
        <f>T18+T21</f>
        <v>#N/A</v>
      </c>
      <c r="U22" s="136" t="e">
        <f>IF(VLOOKUP(U$2&amp;$C22&amp;$A22,集計!$D:$R,$B22,0)&lt;&gt;SUM(U18,U21),"NG",SUM(U18,U21))</f>
        <v>#N/A</v>
      </c>
      <c r="V22" s="136" t="e">
        <f>IF(VLOOKUP(V$2&amp;$C22&amp;$A22,集計!$D:$R,$B22,0)&lt;&gt;SUM(V18,V21),"NG",SUM(V18,V21))</f>
        <v>#N/A</v>
      </c>
      <c r="W22" s="136" t="e">
        <f>IF(VLOOKUP(W$2&amp;$C22&amp;$A22,集計!$D:$R,$B22,0)&lt;&gt;SUM(W18,W21),"NG",SUM(W18,W21))</f>
        <v>#N/A</v>
      </c>
      <c r="X22" s="137" t="e">
        <f>X18+X21</f>
        <v>#N/A</v>
      </c>
      <c r="Y22" s="136" t="e">
        <f>IF(VLOOKUP(Y$2&amp;$C22&amp;$A22,集計!$D:$R,$B22,0)&lt;&gt;SUM(Y18,Y21),"NG",SUM(Y18,Y21))</f>
        <v>#N/A</v>
      </c>
      <c r="Z22" s="136" t="e">
        <f>IF(VLOOKUP(Z$2&amp;$C22&amp;$A22,集計!$D:$R,$B22,0)&lt;&gt;SUM(Z18,Z21),"NG",SUM(Z18,Z21))</f>
        <v>#N/A</v>
      </c>
      <c r="AA22" s="136" t="e">
        <f>IF(VLOOKUP(AA$2&amp;$C22&amp;$A22,集計!$D:$R,$B22,0)&lt;&gt;SUM(AA18,AA21),"NG",SUM(AA18,AA21))</f>
        <v>#N/A</v>
      </c>
      <c r="AB22" s="137" t="e">
        <f>AB18+AB21</f>
        <v>#N/A</v>
      </c>
      <c r="AC22" s="137" t="e">
        <f>AC18+AC21</f>
        <v>#N/A</v>
      </c>
      <c r="AD22" s="136" t="e">
        <f>IF(VLOOKUP(AD$2&amp;$C22&amp;$A22,集計!$D:$R,$B22,0)&lt;&gt;SUM(AD18,AD21),"NG",SUM(AD18,AD21))</f>
        <v>#N/A</v>
      </c>
      <c r="AE22" s="136" t="e">
        <f>IF(VLOOKUP(AE$2&amp;$C22&amp;$A22,集計!$D:$R,$B22,0)&lt;&gt;SUM(AE18,AE21),"NG",SUM(AE18,AE21))</f>
        <v>#N/A</v>
      </c>
      <c r="AF22" s="136" t="e">
        <f>IF(VLOOKUP(AF$2&amp;$C22&amp;$A22,集計!$D:$R,$B22,0)&lt;&gt;SUM(AF18,AF21),"NG",SUM(AF18,AF21))</f>
        <v>#N/A</v>
      </c>
      <c r="AG22" s="136" t="e">
        <f>IF(VLOOKUP(AG$2&amp;$C22&amp;$A22,集計!$D:$R,$B22,0)&lt;&gt;SUM(AG18,AG21),"NG",SUM(AG18,AG21))</f>
        <v>#N/A</v>
      </c>
      <c r="AH22" s="137" t="e">
        <f>AH18+AH21</f>
        <v>#N/A</v>
      </c>
      <c r="AI22" s="136" t="e">
        <f>IF(VLOOKUP(AI$2&amp;$C22&amp;$A22,集計!$D:$R,$B22,0)&lt;&gt;SUM(AI18,AI21),"NG",SUM(AI18,AI21))</f>
        <v>#N/A</v>
      </c>
      <c r="AJ22" s="136" t="e">
        <f>IF(VLOOKUP(AJ$2&amp;$C22&amp;$A22,集計!$D:$R,$B22,0)&lt;&gt;SUM(AJ18,AJ21),"NG",SUM(AJ18,AJ21))</f>
        <v>#N/A</v>
      </c>
      <c r="AK22" s="136" t="e">
        <f>IF(VLOOKUP(AK$2&amp;$C22&amp;$A22,集計!$D:$R,$B22,0)&lt;&gt;SUM(AK18,AK21),"NG",SUM(AK18,AK21))</f>
        <v>#N/A</v>
      </c>
      <c r="AL22" s="137" t="e">
        <f>AL18+AL21</f>
        <v>#N/A</v>
      </c>
      <c r="AM22" s="136" t="e">
        <f>IF(VLOOKUP(AM$2&amp;$C22&amp;$A22,集計!$D:$R,$B22,0)&lt;&gt;SUM(AM18,AM21),"NG",SUM(AM18,AM21))</f>
        <v>#N/A</v>
      </c>
      <c r="AN22" s="136" t="e">
        <f>IF(VLOOKUP(AN$2&amp;$C22&amp;$A22,集計!$D:$R,$B22,0)&lt;&gt;SUM(AN18,AN21),"NG",SUM(AN18,AN21))</f>
        <v>#N/A</v>
      </c>
      <c r="AO22" s="137" t="e">
        <f>AO18+AO21</f>
        <v>#N/A</v>
      </c>
      <c r="AP22" s="136" t="e">
        <f>IF(VLOOKUP(AP$2&amp;$C22&amp;$A22,集計!$D:$R,$B22,0)&lt;&gt;SUM(AP18,AP21),"NG",SUM(AP18,AP21))</f>
        <v>#N/A</v>
      </c>
      <c r="AQ22" s="136" t="e">
        <f>IF(VLOOKUP(AQ$2&amp;$C22&amp;$A22,集計!$D:$R,$B22,0)&lt;&gt;SUM(AQ18,AQ21),"NG",SUM(AQ18,AQ21))</f>
        <v>#N/A</v>
      </c>
      <c r="AR22" s="136" t="e">
        <f>IF(VLOOKUP(AR$2&amp;$C22&amp;$A22,集計!$D:$R,$B22,0)&lt;&gt;SUM(AR18,AR21),"NG",SUM(AR18,AR21))</f>
        <v>#N/A</v>
      </c>
      <c r="AS22" s="137" t="e">
        <f>AS18+AS21</f>
        <v>#N/A</v>
      </c>
      <c r="AT22" s="137" t="e">
        <f>AT18+AT21</f>
        <v>#N/A</v>
      </c>
      <c r="AU22" s="136" t="e">
        <f>IF(VLOOKUP(AU$2&amp;$C22&amp;$A22,集計!$D:$R,$B22,0)&lt;&gt;SUM(AU18,AU21),"NG",SUM(AU18,AU21))</f>
        <v>#N/A</v>
      </c>
      <c r="AV22" s="136" t="e">
        <f>IF(VLOOKUP(AV$2&amp;$C22&amp;$A22,集計!$D:$R,$B22,0)&lt;&gt;SUM(AV18,AV21),"NG",SUM(AV18,AV21))</f>
        <v>#N/A</v>
      </c>
      <c r="AW22" s="136" t="e">
        <f>IF(VLOOKUP(AW$2&amp;$C22&amp;$A22,集計!$D:$R,$B22,0)&lt;&gt;SUM(AW18,AW21),"NG",SUM(AW18,AW21))</f>
        <v>#N/A</v>
      </c>
      <c r="AX22" s="136" t="e">
        <f>IF(VLOOKUP(AX$2&amp;$C22&amp;$A22,集計!$D:$R,$B22,0)&lt;&gt;SUM(AX18,AX21),"NG",SUM(AX18,AX21))</f>
        <v>#N/A</v>
      </c>
      <c r="AY22" s="136" t="e">
        <f>IF(VLOOKUP(AY$2&amp;$C22&amp;$A22,集計!$D:$R,$B22,0)&lt;&gt;SUM(AY18,AY21),"NG",SUM(AY18,AY21))</f>
        <v>#N/A</v>
      </c>
      <c r="AZ22" s="137" t="e">
        <f>AZ18+AZ21</f>
        <v>#N/A</v>
      </c>
      <c r="BA22" s="137" t="e">
        <f>BA18+BA21</f>
        <v>#N/A</v>
      </c>
      <c r="BB22" s="136" t="e">
        <f>IF(VLOOKUP(BB$2&amp;$C22&amp;$A22,集計!$D:$R,$B22,0)&lt;&gt;SUM(BB18,BB21),"NG",SUM(BB18,BB21))</f>
        <v>#N/A</v>
      </c>
      <c r="BC22" s="136" t="e">
        <f>IF(VLOOKUP(BC$2&amp;$C22&amp;$A22,集計!$D:$R,$B22,0)&lt;&gt;SUM(BC18,BC21),"NG",SUM(BC18,BC21))</f>
        <v>#N/A</v>
      </c>
      <c r="BD22" s="137" t="e">
        <f>BD18+BD21</f>
        <v>#N/A</v>
      </c>
      <c r="BE22" s="136" t="e">
        <f>IF(VLOOKUP(BE$2&amp;$C22&amp;$A22,集計!$D:$R,$B22,0)&lt;&gt;SUM(BE18,BE21),"NG",SUM(BE18,BE21))</f>
        <v>#N/A</v>
      </c>
      <c r="BF22" s="136" t="e">
        <f>IF(VLOOKUP(BF$2&amp;$C22&amp;$A22,集計!$D:$R,$B22,0)&lt;&gt;SUM(BF18,BF21),"NG",SUM(BF18,BF21))</f>
        <v>#N/A</v>
      </c>
      <c r="BG22" s="136" t="e">
        <f>IF(VLOOKUP(BG$2&amp;$C22&amp;$A22,集計!$D:$R,$B22,0)&lt;&gt;SUM(BG18,BG21),"NG",SUM(BG18,BG21))</f>
        <v>#N/A</v>
      </c>
      <c r="BH22" s="136" t="e">
        <f>IF(VLOOKUP(BH$2&amp;$C22&amp;$A22,集計!$D:$R,$B22,0)&lt;&gt;SUM(BH18,BH21),"NG",SUM(BH18,BH21))</f>
        <v>#N/A</v>
      </c>
      <c r="BI22" s="136" t="e">
        <f>IF(VLOOKUP(BI$2&amp;$C22&amp;$A22,集計!$D:$R,$B22,0)&lt;&gt;SUM(BI18,BI21),"NG",SUM(BI18,BI21))</f>
        <v>#N/A</v>
      </c>
      <c r="BJ22" s="137" t="e">
        <f>BJ18+BJ21</f>
        <v>#N/A</v>
      </c>
      <c r="BK22" s="136" t="e">
        <f>IF(VLOOKUP(BK$2&amp;$C22&amp;$A22,集計!$D:$R,$B22,0)&lt;&gt;SUM(BK18,BK21),"NG",SUM(BK18,BK21))</f>
        <v>#N/A</v>
      </c>
      <c r="BL22" s="136" t="e">
        <f>IF(VLOOKUP(BL$2&amp;$C22&amp;$A22,集計!$D:$R,$B22,0)&lt;&gt;SUM(BL18,BL21),"NG",SUM(BL18,BL21))</f>
        <v>#N/A</v>
      </c>
      <c r="BM22" s="136" t="e">
        <f>IF(VLOOKUP(BM$2&amp;$C22&amp;$A22,集計!$D:$R,$B22,0)&lt;&gt;SUM(BM18,BM21),"NG",SUM(BM18,BM21))</f>
        <v>#N/A</v>
      </c>
      <c r="BN22" s="136" t="e">
        <f>IF(VLOOKUP(BN$2&amp;$C22&amp;$A22,集計!$D:$R,$B22,0)&lt;&gt;SUM(BN18,BN21),"NG",SUM(BN18,BN21))</f>
        <v>#N/A</v>
      </c>
      <c r="BO22" s="136" t="e">
        <f>IF(VLOOKUP(BO$2&amp;$C22&amp;$A22,集計!$D:$R,$B22,0)&lt;&gt;SUM(BO18,BO21),"NG",SUM(BO18,BO21))</f>
        <v>#N/A</v>
      </c>
      <c r="BP22" s="136" t="e">
        <f>IF(VLOOKUP(BP$2&amp;$C22&amp;$A22,集計!$D:$R,$B22,0)&lt;&gt;SUM(BP18,BP21),"NG",SUM(BP18,BP21))</f>
        <v>#N/A</v>
      </c>
      <c r="BQ22" s="137" t="e">
        <f>BQ18+BQ21</f>
        <v>#N/A</v>
      </c>
      <c r="BR22" s="136" t="e">
        <f>IF(VLOOKUP(BR$2&amp;$C22&amp;$A22,集計!$D:$R,$B22,0)&lt;&gt;SUM(BR18,BR21),"NG",SUM(BR18,BR21))</f>
        <v>#N/A</v>
      </c>
      <c r="BS22" s="136" t="e">
        <f>IF(VLOOKUP(BS$2&amp;$C22&amp;$A22,集計!$D:$R,$B22,0)&lt;&gt;SUM(BS18,BS21),"NG",SUM(BS18,BS21))</f>
        <v>#N/A</v>
      </c>
      <c r="BT22" s="136" t="e">
        <f>IF(VLOOKUP(BT$2&amp;$C22&amp;$A22,集計!$D:$R,$B22,0)&lt;&gt;SUM(BT18,BT21),"NG",SUM(BT18,BT21))</f>
        <v>#N/A</v>
      </c>
      <c r="BU22" s="137" t="e">
        <f>BU18+BU21</f>
        <v>#N/A</v>
      </c>
      <c r="BV22" s="136" t="e">
        <f>IF(VLOOKUP(BV$2&amp;$C22&amp;$A22,集計!$D:$R,$B22,0)&lt;&gt;SUM(BV18,BV21),"NG",SUM(BV18,BV21))</f>
        <v>#N/A</v>
      </c>
      <c r="BW22" s="137" t="e">
        <f>BW18+BW21</f>
        <v>#N/A</v>
      </c>
      <c r="BX22" s="137" t="e">
        <f>BX18+BX21</f>
        <v>#N/A</v>
      </c>
    </row>
    <row r="23" spans="1:76" s="124" customFormat="1">
      <c r="A23" s="134"/>
      <c r="B23" s="153"/>
      <c r="C23" s="142"/>
      <c r="D23" s="143"/>
      <c r="E23" s="143"/>
      <c r="F23" s="143"/>
      <c r="G23" s="143"/>
      <c r="H23" s="143"/>
      <c r="I23" s="144"/>
      <c r="J23" s="143"/>
      <c r="K23" s="143"/>
      <c r="L23" s="143"/>
      <c r="M23" s="143"/>
      <c r="N23" s="144"/>
      <c r="O23" s="143"/>
      <c r="P23" s="143"/>
      <c r="Q23" s="143"/>
      <c r="R23" s="143"/>
      <c r="S23" s="143"/>
      <c r="T23" s="144"/>
      <c r="U23" s="143"/>
      <c r="V23" s="143"/>
      <c r="W23" s="143"/>
      <c r="X23" s="144"/>
      <c r="Y23" s="143"/>
      <c r="Z23" s="143"/>
      <c r="AA23" s="143"/>
      <c r="AB23" s="144"/>
      <c r="AC23" s="144"/>
      <c r="AD23" s="143"/>
      <c r="AE23" s="143"/>
      <c r="AF23" s="143"/>
      <c r="AG23" s="143"/>
      <c r="AH23" s="144"/>
      <c r="AI23" s="143"/>
      <c r="AJ23" s="143"/>
      <c r="AK23" s="143"/>
      <c r="AL23" s="144"/>
      <c r="AM23" s="143"/>
      <c r="AN23" s="143"/>
      <c r="AO23" s="144"/>
      <c r="AP23" s="143"/>
      <c r="AQ23" s="143"/>
      <c r="AR23" s="143"/>
      <c r="AS23" s="144"/>
      <c r="AT23" s="144"/>
      <c r="AU23" s="143"/>
      <c r="AV23" s="143"/>
      <c r="AW23" s="143"/>
      <c r="AX23" s="143"/>
      <c r="AY23" s="143"/>
      <c r="AZ23" s="144"/>
      <c r="BA23" s="144"/>
      <c r="BB23" s="143"/>
      <c r="BC23" s="143"/>
      <c r="BD23" s="144"/>
      <c r="BE23" s="143"/>
      <c r="BF23" s="143"/>
      <c r="BG23" s="143"/>
      <c r="BH23" s="143"/>
      <c r="BI23" s="143"/>
      <c r="BJ23" s="144"/>
      <c r="BK23" s="143"/>
      <c r="BL23" s="143"/>
      <c r="BM23" s="143"/>
      <c r="BN23" s="143"/>
      <c r="BO23" s="143"/>
      <c r="BP23" s="143"/>
      <c r="BQ23" s="144"/>
      <c r="BR23" s="143"/>
      <c r="BS23" s="143"/>
      <c r="BT23" s="143"/>
      <c r="BU23" s="144"/>
      <c r="BV23" s="143"/>
      <c r="BW23" s="144"/>
      <c r="BX23" s="144"/>
    </row>
    <row r="24" spans="1:76" s="124" customFormat="1" ht="21.5" thickBot="1">
      <c r="A24" s="134"/>
      <c r="B24" s="96">
        <v>7</v>
      </c>
      <c r="C24" s="138" t="s">
        <v>40</v>
      </c>
      <c r="D24" s="145"/>
      <c r="E24" s="145"/>
      <c r="F24" s="145"/>
      <c r="G24" s="145"/>
      <c r="H24" s="145"/>
      <c r="I24" s="146"/>
      <c r="J24" s="145"/>
      <c r="K24" s="145"/>
      <c r="L24" s="145"/>
      <c r="M24" s="145"/>
      <c r="N24" s="146"/>
      <c r="O24" s="145"/>
      <c r="P24" s="145"/>
      <c r="Q24" s="145"/>
      <c r="R24" s="145"/>
      <c r="S24" s="145"/>
      <c r="T24" s="146"/>
      <c r="U24" s="145"/>
      <c r="V24" s="145"/>
      <c r="W24" s="145"/>
      <c r="X24" s="146"/>
      <c r="Y24" s="145"/>
      <c r="Z24" s="145"/>
      <c r="AA24" s="145"/>
      <c r="AB24" s="146"/>
      <c r="AC24" s="146"/>
      <c r="AD24" s="145"/>
      <c r="AE24" s="145"/>
      <c r="AF24" s="145"/>
      <c r="AG24" s="145"/>
      <c r="AH24" s="146"/>
      <c r="AI24" s="145"/>
      <c r="AJ24" s="145"/>
      <c r="AK24" s="145"/>
      <c r="AL24" s="146"/>
      <c r="AM24" s="145"/>
      <c r="AN24" s="145"/>
      <c r="AO24" s="146"/>
      <c r="AP24" s="145"/>
      <c r="AQ24" s="145"/>
      <c r="AR24" s="145"/>
      <c r="AS24" s="146"/>
      <c r="AT24" s="146"/>
      <c r="AU24" s="145"/>
      <c r="AV24" s="145"/>
      <c r="AW24" s="145"/>
      <c r="AX24" s="145"/>
      <c r="AY24" s="145"/>
      <c r="AZ24" s="146"/>
      <c r="BA24" s="146"/>
      <c r="BB24" s="145"/>
      <c r="BC24" s="145"/>
      <c r="BD24" s="146"/>
      <c r="BE24" s="145"/>
      <c r="BF24" s="145"/>
      <c r="BG24" s="145"/>
      <c r="BH24" s="145"/>
      <c r="BI24" s="145"/>
      <c r="BJ24" s="146"/>
      <c r="BK24" s="145"/>
      <c r="BL24" s="145"/>
      <c r="BM24" s="145"/>
      <c r="BN24" s="145"/>
      <c r="BO24" s="145"/>
      <c r="BP24" s="145"/>
      <c r="BQ24" s="146"/>
      <c r="BR24" s="145"/>
      <c r="BS24" s="145"/>
      <c r="BT24" s="145"/>
      <c r="BU24" s="146"/>
      <c r="BV24" s="145"/>
      <c r="BW24" s="146"/>
      <c r="BX24" s="147"/>
    </row>
    <row r="25" spans="1:76" s="124" customFormat="1" ht="21" customHeight="1">
      <c r="A25" s="120" t="s">
        <v>40</v>
      </c>
      <c r="B25" s="150">
        <v>7</v>
      </c>
      <c r="C25" s="121" t="s">
        <v>25</v>
      </c>
      <c r="D25" s="122" t="e">
        <f>VLOOKUP(D$2&amp;$C25&amp;$A25,集計!$D:$R,$B25,0)</f>
        <v>#N/A</v>
      </c>
      <c r="E25" s="122" t="e">
        <f>VLOOKUP(E$2&amp;$C25&amp;$A25,集計!$D:$R,$B25,0)</f>
        <v>#N/A</v>
      </c>
      <c r="F25" s="122" t="e">
        <f>VLOOKUP(F$2&amp;$C25&amp;$A25,集計!$D:$R,$B25,0)</f>
        <v>#N/A</v>
      </c>
      <c r="G25" s="122" t="e">
        <f>VLOOKUP(G$2&amp;$C25&amp;$A25,集計!$D:$R,$B25,0)</f>
        <v>#N/A</v>
      </c>
      <c r="H25" s="122" t="e">
        <f>VLOOKUP(H$2&amp;$C25&amp;$A25,集計!$D:$R,$B25,0)</f>
        <v>#N/A</v>
      </c>
      <c r="I25" s="123" t="e">
        <f>D25+E25+F25+G25+H25</f>
        <v>#N/A</v>
      </c>
      <c r="J25" s="122" t="e">
        <f>VLOOKUP(J$2&amp;$C25&amp;$A25,集計!$D:$R,$B25,0)</f>
        <v>#N/A</v>
      </c>
      <c r="K25" s="122" t="e">
        <f>VLOOKUP(K$2&amp;$C25&amp;$A25,集計!$D:$R,$B25,0)</f>
        <v>#N/A</v>
      </c>
      <c r="L25" s="122" t="e">
        <f>VLOOKUP(L$2&amp;$C25&amp;$A25,集計!$D:$R,$B25,0)</f>
        <v>#N/A</v>
      </c>
      <c r="M25" s="122" t="e">
        <f>VLOOKUP(M$2&amp;$C25&amp;$A25,集計!$D:$R,$B25,0)</f>
        <v>#N/A</v>
      </c>
      <c r="N25" s="123" t="e">
        <f>J25+K25+L25+M25</f>
        <v>#N/A</v>
      </c>
      <c r="O25" s="122" t="e">
        <f>VLOOKUP(O$2&amp;$C25&amp;$A25,集計!$D:$R,$B25,0)</f>
        <v>#N/A</v>
      </c>
      <c r="P25" s="122" t="e">
        <f>VLOOKUP(P$2&amp;$C25&amp;$A25,集計!$D:$R,$B25,0)</f>
        <v>#N/A</v>
      </c>
      <c r="Q25" s="122" t="e">
        <f>VLOOKUP(Q$2&amp;$C25&amp;$A25,集計!$D:$R,$B25,0)</f>
        <v>#N/A</v>
      </c>
      <c r="R25" s="122" t="e">
        <f>VLOOKUP(R$2&amp;$C25&amp;$A25,集計!$D:$R,$B25,0)</f>
        <v>#N/A</v>
      </c>
      <c r="S25" s="122" t="e">
        <f>VLOOKUP(S$2&amp;$C25&amp;$A25,集計!$D:$R,$B25,0)</f>
        <v>#N/A</v>
      </c>
      <c r="T25" s="123" t="e">
        <f>O25+P25+Q25+R25+S25</f>
        <v>#N/A</v>
      </c>
      <c r="U25" s="122" t="e">
        <f>VLOOKUP(U$2&amp;$C25&amp;$A25,集計!$D:$R,$B25,0)</f>
        <v>#N/A</v>
      </c>
      <c r="V25" s="122" t="e">
        <f>VLOOKUP(V$2&amp;$C25&amp;$A25,集計!$D:$R,$B25,0)</f>
        <v>#N/A</v>
      </c>
      <c r="W25" s="122" t="e">
        <f>VLOOKUP(W$2&amp;$C25&amp;$A25,集計!$D:$R,$B25,0)</f>
        <v>#N/A</v>
      </c>
      <c r="X25" s="123" t="e">
        <f>U25+V25+W25</f>
        <v>#N/A</v>
      </c>
      <c r="Y25" s="122" t="e">
        <f>VLOOKUP(Y$2&amp;$C25&amp;$A25,集計!$D:$R,$B25,0)</f>
        <v>#N/A</v>
      </c>
      <c r="Z25" s="122" t="e">
        <f>VLOOKUP(Z$2&amp;$C25&amp;$A25,集計!$D:$R,$B25,0)</f>
        <v>#N/A</v>
      </c>
      <c r="AA25" s="122" t="e">
        <f>VLOOKUP(AA$2&amp;$C25&amp;$A25,集計!$D:$R,$B25,0)</f>
        <v>#N/A</v>
      </c>
      <c r="AB25" s="123" t="e">
        <f>Y25+Z25+AA25</f>
        <v>#N/A</v>
      </c>
      <c r="AC25" s="123" t="e">
        <f>I25+N25+T25+X25+AB25</f>
        <v>#N/A</v>
      </c>
      <c r="AD25" s="122" t="e">
        <f>VLOOKUP(AD$2&amp;$C25&amp;$A25,集計!$D:$R,$B25,0)</f>
        <v>#N/A</v>
      </c>
      <c r="AE25" s="122" t="e">
        <f>VLOOKUP(AE$2&amp;$C25&amp;$A25,集計!$D:$R,$B25,0)</f>
        <v>#N/A</v>
      </c>
      <c r="AF25" s="122" t="e">
        <f>VLOOKUP(AF$2&amp;$C25&amp;$A25,集計!$D:$R,$B25,0)</f>
        <v>#N/A</v>
      </c>
      <c r="AG25" s="122" t="e">
        <f>VLOOKUP(AG$2&amp;$C25&amp;$A25,集計!$D:$R,$B25,0)</f>
        <v>#N/A</v>
      </c>
      <c r="AH25" s="123" t="e">
        <f>AD25+AE25+AF25+AG25</f>
        <v>#N/A</v>
      </c>
      <c r="AI25" s="122" t="e">
        <f>VLOOKUP(AI$2&amp;$C25&amp;$A25,集計!$D:$R,$B25,0)</f>
        <v>#N/A</v>
      </c>
      <c r="AJ25" s="122" t="e">
        <f>VLOOKUP(AJ$2&amp;$C25&amp;$A25,集計!$D:$R,$B25,0)</f>
        <v>#N/A</v>
      </c>
      <c r="AK25" s="122" t="e">
        <f>VLOOKUP(AK$2&amp;$C25&amp;$A25,集計!$D:$R,$B25,0)</f>
        <v>#N/A</v>
      </c>
      <c r="AL25" s="123" t="e">
        <f>AI25+AJ25+AK25</f>
        <v>#N/A</v>
      </c>
      <c r="AM25" s="122" t="e">
        <f>VLOOKUP(AM$2&amp;$C25&amp;$A25,集計!$D:$R,$B25,0)</f>
        <v>#N/A</v>
      </c>
      <c r="AN25" s="122" t="e">
        <f>VLOOKUP(AN$2&amp;$C25&amp;$A25,集計!$D:$R,$B25,0)</f>
        <v>#N/A</v>
      </c>
      <c r="AO25" s="123" t="e">
        <f>AM25+AN25</f>
        <v>#N/A</v>
      </c>
      <c r="AP25" s="122" t="e">
        <f>VLOOKUP(AP$2&amp;$C25&amp;$A25,集計!$D:$R,$B25,0)</f>
        <v>#N/A</v>
      </c>
      <c r="AQ25" s="122" t="e">
        <f>VLOOKUP(AQ$2&amp;$C25&amp;$A25,集計!$D:$R,$B25,0)</f>
        <v>#N/A</v>
      </c>
      <c r="AR25" s="122" t="e">
        <f>VLOOKUP(AR$2&amp;$C25&amp;$A25,集計!$D:$R,$B25,0)</f>
        <v>#N/A</v>
      </c>
      <c r="AS25" s="123" t="e">
        <f>AP25+AQ25+AR25</f>
        <v>#N/A</v>
      </c>
      <c r="AT25" s="123" t="e">
        <f>AH25+AL25+AO25+AS25</f>
        <v>#N/A</v>
      </c>
      <c r="AU25" s="122" t="e">
        <f>VLOOKUP(AU$2&amp;$C25&amp;$A25,集計!$D:$R,$B25,0)</f>
        <v>#N/A</v>
      </c>
      <c r="AV25" s="122" t="e">
        <f>VLOOKUP(AV$2&amp;$C25&amp;$A25,集計!$D:$R,$B25,0)</f>
        <v>#N/A</v>
      </c>
      <c r="AW25" s="122" t="e">
        <f>VLOOKUP(AW$2&amp;$C25&amp;$A25,集計!$D:$R,$B25,0)</f>
        <v>#N/A</v>
      </c>
      <c r="AX25" s="122" t="e">
        <f>VLOOKUP(AX$2&amp;$C25&amp;$A25,集計!$D:$R,$B25,0)</f>
        <v>#N/A</v>
      </c>
      <c r="AY25" s="122" t="e">
        <f>VLOOKUP(AY$2&amp;$C25&amp;$A25,集計!$D:$R,$B25,0)</f>
        <v>#N/A</v>
      </c>
      <c r="AZ25" s="123" t="e">
        <f>AU25+AV25+AW25+AX25+AY25</f>
        <v>#N/A</v>
      </c>
      <c r="BA25" s="123" t="e">
        <f>AZ25</f>
        <v>#N/A</v>
      </c>
      <c r="BB25" s="122" t="e">
        <f>VLOOKUP(BB$2&amp;$C25&amp;$A25,集計!$D:$R,$B25,0)</f>
        <v>#N/A</v>
      </c>
      <c r="BC25" s="122" t="e">
        <f>VLOOKUP(BC$2&amp;$C25&amp;$A25,集計!$D:$R,$B25,0)</f>
        <v>#N/A</v>
      </c>
      <c r="BD25" s="123" t="e">
        <f>BB25+BC25</f>
        <v>#N/A</v>
      </c>
      <c r="BE25" s="122" t="e">
        <f>VLOOKUP(BE$2&amp;$C25&amp;$A25,集計!$D:$R,$B25,0)</f>
        <v>#N/A</v>
      </c>
      <c r="BF25" s="122" t="e">
        <f>VLOOKUP(BF$2&amp;$C25&amp;$A25,集計!$D:$R,$B25,0)</f>
        <v>#N/A</v>
      </c>
      <c r="BG25" s="122" t="e">
        <f>VLOOKUP(BG$2&amp;$C25&amp;$A25,集計!$D:$R,$B25,0)</f>
        <v>#N/A</v>
      </c>
      <c r="BH25" s="122" t="e">
        <f>VLOOKUP(BH$2&amp;$C25&amp;$A25,集計!$D:$R,$B25,0)</f>
        <v>#N/A</v>
      </c>
      <c r="BI25" s="122" t="e">
        <f>VLOOKUP(BI$2&amp;$C25&amp;$A25,集計!$D:$R,$B25,0)</f>
        <v>#N/A</v>
      </c>
      <c r="BJ25" s="123" t="e">
        <f>BE25+BF25+BG25+BH25+BI25</f>
        <v>#N/A</v>
      </c>
      <c r="BK25" s="122" t="e">
        <f>VLOOKUP(BK$2&amp;$C25&amp;$A25,集計!$D:$R,$B25,0)</f>
        <v>#N/A</v>
      </c>
      <c r="BL25" s="122" t="e">
        <f>VLOOKUP(BL$2&amp;$C25&amp;$A25,集計!$D:$R,$B25,0)</f>
        <v>#N/A</v>
      </c>
      <c r="BM25" s="122" t="e">
        <f>VLOOKUP(BM$2&amp;$C25&amp;$A25,集計!$D:$R,$B25,0)</f>
        <v>#N/A</v>
      </c>
      <c r="BN25" s="122" t="e">
        <f>VLOOKUP(BN$2&amp;$C25&amp;$A25,集計!$D:$R,$B25,0)</f>
        <v>#N/A</v>
      </c>
      <c r="BO25" s="122" t="e">
        <f>VLOOKUP(BO$2&amp;$C25&amp;$A25,集計!$D:$R,$B25,0)</f>
        <v>#N/A</v>
      </c>
      <c r="BP25" s="122" t="e">
        <f>VLOOKUP(BP$2&amp;$C25&amp;$A25,集計!$D:$R,$B25,0)</f>
        <v>#N/A</v>
      </c>
      <c r="BQ25" s="123" t="e">
        <f>BK25+BL25+BM25+BN25+BO25+BP25</f>
        <v>#N/A</v>
      </c>
      <c r="BR25" s="122" t="e">
        <f>VLOOKUP(BR$2&amp;$C25&amp;$A25,集計!$D:$R,$B25,0)</f>
        <v>#N/A</v>
      </c>
      <c r="BS25" s="122" t="e">
        <f>VLOOKUP(BS$2&amp;$C25&amp;$A25,集計!$D:$R,$B25,0)</f>
        <v>#N/A</v>
      </c>
      <c r="BT25" s="122" t="e">
        <f>VLOOKUP(BT$2&amp;$C25&amp;$A25,集計!$D:$R,$B25,0)</f>
        <v>#N/A</v>
      </c>
      <c r="BU25" s="123" t="e">
        <f>BR25+BS25+BT25</f>
        <v>#N/A</v>
      </c>
      <c r="BV25" s="122" t="e">
        <f>VLOOKUP(BV$2&amp;$C25&amp;$A25,集計!$D:$R,$B25,0)</f>
        <v>#N/A</v>
      </c>
      <c r="BW25" s="123" t="e">
        <f>BV25</f>
        <v>#N/A</v>
      </c>
      <c r="BX25" s="123" t="e">
        <f>AC25+AT25+BA25+BD25+BJ25+BQ25+BU25+BW25</f>
        <v>#N/A</v>
      </c>
    </row>
    <row r="26" spans="1:76" s="124" customFormat="1">
      <c r="A26" s="120" t="s">
        <v>40</v>
      </c>
      <c r="B26" s="150">
        <v>7</v>
      </c>
      <c r="C26" s="125" t="s">
        <v>106</v>
      </c>
      <c r="D26" s="126" t="e">
        <f>VLOOKUP(D$2&amp;$C26&amp;$A26,集計!$D:$R,$B26,0)</f>
        <v>#N/A</v>
      </c>
      <c r="E26" s="126" t="e">
        <f>VLOOKUP(E$2&amp;$C26&amp;$A26,集計!$D:$R,$B26,0)</f>
        <v>#N/A</v>
      </c>
      <c r="F26" s="126" t="e">
        <f>VLOOKUP(F$2&amp;$C26&amp;$A26,集計!$D:$R,$B26,0)</f>
        <v>#N/A</v>
      </c>
      <c r="G26" s="126" t="e">
        <f>VLOOKUP(G$2&amp;$C26&amp;$A26,集計!$D:$R,$B26,0)</f>
        <v>#N/A</v>
      </c>
      <c r="H26" s="126" t="e">
        <f>VLOOKUP(H$2&amp;$C26&amp;$A26,集計!$D:$R,$B26,0)</f>
        <v>#N/A</v>
      </c>
      <c r="I26" s="127" t="e">
        <f>D26+E26+F26+G26+H26</f>
        <v>#N/A</v>
      </c>
      <c r="J26" s="126" t="e">
        <f>VLOOKUP(J$2&amp;$C26&amp;$A26,集計!$D:$R,$B26,0)</f>
        <v>#N/A</v>
      </c>
      <c r="K26" s="126" t="e">
        <f>VLOOKUP(K$2&amp;$C26&amp;$A26,集計!$D:$R,$B26,0)</f>
        <v>#N/A</v>
      </c>
      <c r="L26" s="126" t="e">
        <f>VLOOKUP(L$2&amp;$C26&amp;$A26,集計!$D:$R,$B26,0)</f>
        <v>#N/A</v>
      </c>
      <c r="M26" s="126" t="e">
        <f>VLOOKUP(M$2&amp;$C26&amp;$A26,集計!$D:$R,$B26,0)</f>
        <v>#N/A</v>
      </c>
      <c r="N26" s="127" t="e">
        <f>J26+K26+L26+M26</f>
        <v>#N/A</v>
      </c>
      <c r="O26" s="126" t="e">
        <f>VLOOKUP(O$2&amp;$C26&amp;$A26,集計!$D:$R,$B26,0)</f>
        <v>#N/A</v>
      </c>
      <c r="P26" s="126" t="e">
        <f>VLOOKUP(P$2&amp;$C26&amp;$A26,集計!$D:$R,$B26,0)</f>
        <v>#N/A</v>
      </c>
      <c r="Q26" s="126" t="e">
        <f>VLOOKUP(Q$2&amp;$C26&amp;$A26,集計!$D:$R,$B26,0)</f>
        <v>#N/A</v>
      </c>
      <c r="R26" s="126" t="e">
        <f>VLOOKUP(R$2&amp;$C26&amp;$A26,集計!$D:$R,$B26,0)</f>
        <v>#N/A</v>
      </c>
      <c r="S26" s="126" t="e">
        <f>VLOOKUP(S$2&amp;$C26&amp;$A26,集計!$D:$R,$B26,0)</f>
        <v>#N/A</v>
      </c>
      <c r="T26" s="127" t="e">
        <f>O26+P26+Q26+R26+S26</f>
        <v>#N/A</v>
      </c>
      <c r="U26" s="126" t="e">
        <f>VLOOKUP(U$2&amp;$C26&amp;$A26,集計!$D:$R,$B26,0)</f>
        <v>#N/A</v>
      </c>
      <c r="V26" s="126" t="e">
        <f>VLOOKUP(V$2&amp;$C26&amp;$A26,集計!$D:$R,$B26,0)</f>
        <v>#N/A</v>
      </c>
      <c r="W26" s="126" t="e">
        <f>VLOOKUP(W$2&amp;$C26&amp;$A26,集計!$D:$R,$B26,0)</f>
        <v>#N/A</v>
      </c>
      <c r="X26" s="127" t="e">
        <f>U26+V26+W26</f>
        <v>#N/A</v>
      </c>
      <c r="Y26" s="126" t="e">
        <f>VLOOKUP(Y$2&amp;$C26&amp;$A26,集計!$D:$R,$B26,0)</f>
        <v>#N/A</v>
      </c>
      <c r="Z26" s="126" t="e">
        <f>VLOOKUP(Z$2&amp;$C26&amp;$A26,集計!$D:$R,$B26,0)</f>
        <v>#N/A</v>
      </c>
      <c r="AA26" s="126" t="e">
        <f>VLOOKUP(AA$2&amp;$C26&amp;$A26,集計!$D:$R,$B26,0)</f>
        <v>#N/A</v>
      </c>
      <c r="AB26" s="127" t="e">
        <f>Y26+Z26+AA26</f>
        <v>#N/A</v>
      </c>
      <c r="AC26" s="127" t="e">
        <f>I26+N26+T26+X26+AB26</f>
        <v>#N/A</v>
      </c>
      <c r="AD26" s="126" t="e">
        <f>VLOOKUP(AD$2&amp;$C26&amp;$A26,集計!$D:$R,$B26,0)</f>
        <v>#N/A</v>
      </c>
      <c r="AE26" s="126" t="e">
        <f>VLOOKUP(AE$2&amp;$C26&amp;$A26,集計!$D:$R,$B26,0)</f>
        <v>#N/A</v>
      </c>
      <c r="AF26" s="126" t="e">
        <f>VLOOKUP(AF$2&amp;$C26&amp;$A26,集計!$D:$R,$B26,0)</f>
        <v>#N/A</v>
      </c>
      <c r="AG26" s="126" t="e">
        <f>VLOOKUP(AG$2&amp;$C26&amp;$A26,集計!$D:$R,$B26,0)</f>
        <v>#N/A</v>
      </c>
      <c r="AH26" s="127" t="e">
        <f>AD26+AE26+AF26+AG26</f>
        <v>#N/A</v>
      </c>
      <c r="AI26" s="126" t="e">
        <f>VLOOKUP(AI$2&amp;$C26&amp;$A26,集計!$D:$R,$B26,0)</f>
        <v>#N/A</v>
      </c>
      <c r="AJ26" s="126" t="e">
        <f>VLOOKUP(AJ$2&amp;$C26&amp;$A26,集計!$D:$R,$B26,0)</f>
        <v>#N/A</v>
      </c>
      <c r="AK26" s="126" t="e">
        <f>VLOOKUP(AK$2&amp;$C26&amp;$A26,集計!$D:$R,$B26,0)</f>
        <v>#N/A</v>
      </c>
      <c r="AL26" s="127" t="e">
        <f>AI26+AJ26+AK26</f>
        <v>#N/A</v>
      </c>
      <c r="AM26" s="126" t="e">
        <f>VLOOKUP(AM$2&amp;$C26&amp;$A26,集計!$D:$R,$B26,0)</f>
        <v>#N/A</v>
      </c>
      <c r="AN26" s="126" t="e">
        <f>VLOOKUP(AN$2&amp;$C26&amp;$A26,集計!$D:$R,$B26,0)</f>
        <v>#N/A</v>
      </c>
      <c r="AO26" s="127" t="e">
        <f>AM26+AN26</f>
        <v>#N/A</v>
      </c>
      <c r="AP26" s="126" t="e">
        <f>VLOOKUP(AP$2&amp;$C26&amp;$A26,集計!$D:$R,$B26,0)</f>
        <v>#N/A</v>
      </c>
      <c r="AQ26" s="126" t="e">
        <f>VLOOKUP(AQ$2&amp;$C26&amp;$A26,集計!$D:$R,$B26,0)</f>
        <v>#N/A</v>
      </c>
      <c r="AR26" s="126" t="e">
        <f>VLOOKUP(AR$2&amp;$C26&amp;$A26,集計!$D:$R,$B26,0)</f>
        <v>#N/A</v>
      </c>
      <c r="AS26" s="127" t="e">
        <f>AP26+AQ26+AR26</f>
        <v>#N/A</v>
      </c>
      <c r="AT26" s="127" t="e">
        <f>AH26+AL26+AO26+AS26</f>
        <v>#N/A</v>
      </c>
      <c r="AU26" s="126" t="e">
        <f>VLOOKUP(AU$2&amp;$C26&amp;$A26,集計!$D:$R,$B26,0)</f>
        <v>#N/A</v>
      </c>
      <c r="AV26" s="126" t="e">
        <f>VLOOKUP(AV$2&amp;$C26&amp;$A26,集計!$D:$R,$B26,0)</f>
        <v>#N/A</v>
      </c>
      <c r="AW26" s="126" t="e">
        <f>VLOOKUP(AW$2&amp;$C26&amp;$A26,集計!$D:$R,$B26,0)</f>
        <v>#N/A</v>
      </c>
      <c r="AX26" s="126" t="e">
        <f>VLOOKUP(AX$2&amp;$C26&amp;$A26,集計!$D:$R,$B26,0)</f>
        <v>#N/A</v>
      </c>
      <c r="AY26" s="126" t="e">
        <f>VLOOKUP(AY$2&amp;$C26&amp;$A26,集計!$D:$R,$B26,0)</f>
        <v>#N/A</v>
      </c>
      <c r="AZ26" s="127" t="e">
        <f>AU26+AV26+AW26+AX26+AY26</f>
        <v>#N/A</v>
      </c>
      <c r="BA26" s="127" t="e">
        <f>AZ26</f>
        <v>#N/A</v>
      </c>
      <c r="BB26" s="126" t="e">
        <f>VLOOKUP(BB$2&amp;$C26&amp;$A26,集計!$D:$R,$B26,0)</f>
        <v>#N/A</v>
      </c>
      <c r="BC26" s="126" t="e">
        <f>VLOOKUP(BC$2&amp;$C26&amp;$A26,集計!$D:$R,$B26,0)</f>
        <v>#N/A</v>
      </c>
      <c r="BD26" s="127" t="e">
        <f>BB26+BC26</f>
        <v>#N/A</v>
      </c>
      <c r="BE26" s="126" t="e">
        <f>VLOOKUP(BE$2&amp;$C26&amp;$A26,集計!$D:$R,$B26,0)</f>
        <v>#N/A</v>
      </c>
      <c r="BF26" s="126" t="e">
        <f>VLOOKUP(BF$2&amp;$C26&amp;$A26,集計!$D:$R,$B26,0)</f>
        <v>#N/A</v>
      </c>
      <c r="BG26" s="126" t="e">
        <f>VLOOKUP(BG$2&amp;$C26&amp;$A26,集計!$D:$R,$B26,0)</f>
        <v>#N/A</v>
      </c>
      <c r="BH26" s="126" t="e">
        <f>VLOOKUP(BH$2&amp;$C26&amp;$A26,集計!$D:$R,$B26,0)</f>
        <v>#N/A</v>
      </c>
      <c r="BI26" s="126" t="e">
        <f>VLOOKUP(BI$2&amp;$C26&amp;$A26,集計!$D:$R,$B26,0)</f>
        <v>#N/A</v>
      </c>
      <c r="BJ26" s="127" t="e">
        <f>BE26+BF26+BG26+BH26+BI26</f>
        <v>#N/A</v>
      </c>
      <c r="BK26" s="126" t="e">
        <f>VLOOKUP(BK$2&amp;$C26&amp;$A26,集計!$D:$R,$B26,0)</f>
        <v>#N/A</v>
      </c>
      <c r="BL26" s="126" t="e">
        <f>VLOOKUP(BL$2&amp;$C26&amp;$A26,集計!$D:$R,$B26,0)</f>
        <v>#N/A</v>
      </c>
      <c r="BM26" s="126" t="e">
        <f>VLOOKUP(BM$2&amp;$C26&amp;$A26,集計!$D:$R,$B26,0)</f>
        <v>#N/A</v>
      </c>
      <c r="BN26" s="126" t="e">
        <f>VLOOKUP(BN$2&amp;$C26&amp;$A26,集計!$D:$R,$B26,0)</f>
        <v>#N/A</v>
      </c>
      <c r="BO26" s="126" t="e">
        <f>VLOOKUP(BO$2&amp;$C26&amp;$A26,集計!$D:$R,$B26,0)</f>
        <v>#N/A</v>
      </c>
      <c r="BP26" s="126" t="e">
        <f>VLOOKUP(BP$2&amp;$C26&amp;$A26,集計!$D:$R,$B26,0)</f>
        <v>#N/A</v>
      </c>
      <c r="BQ26" s="127" t="e">
        <f>BK26+BL26+BM26+BN26+BO26+BP26</f>
        <v>#N/A</v>
      </c>
      <c r="BR26" s="126" t="e">
        <f>VLOOKUP(BR$2&amp;$C26&amp;$A26,集計!$D:$R,$B26,0)</f>
        <v>#N/A</v>
      </c>
      <c r="BS26" s="126" t="e">
        <f>VLOOKUP(BS$2&amp;$C26&amp;$A26,集計!$D:$R,$B26,0)</f>
        <v>#N/A</v>
      </c>
      <c r="BT26" s="126" t="e">
        <f>VLOOKUP(BT$2&amp;$C26&amp;$A26,集計!$D:$R,$B26,0)</f>
        <v>#N/A</v>
      </c>
      <c r="BU26" s="127" t="e">
        <f>BR26+BS26+BT26</f>
        <v>#N/A</v>
      </c>
      <c r="BV26" s="126" t="e">
        <f>VLOOKUP(BV$2&amp;$C26&amp;$A26,集計!$D:$R,$B26,0)</f>
        <v>#N/A</v>
      </c>
      <c r="BW26" s="127" t="e">
        <f>BV26</f>
        <v>#N/A</v>
      </c>
      <c r="BX26" s="127" t="e">
        <f>AC26+AT26+BA26+BD26+BJ26+BQ26+BU26+BW26</f>
        <v>#N/A</v>
      </c>
    </row>
    <row r="27" spans="1:76" s="124" customFormat="1">
      <c r="A27" s="120" t="s">
        <v>40</v>
      </c>
      <c r="B27" s="150">
        <v>7</v>
      </c>
      <c r="C27" s="128" t="s">
        <v>107</v>
      </c>
      <c r="D27" s="129" t="e">
        <f>VLOOKUP(D$2&amp;$C27&amp;$A27,集計!$D:$R,$B27,0)</f>
        <v>#N/A</v>
      </c>
      <c r="E27" s="129" t="e">
        <f>VLOOKUP(E$2&amp;$C27&amp;$A27,集計!$D:$R,$B27,0)</f>
        <v>#N/A</v>
      </c>
      <c r="F27" s="129" t="e">
        <f>VLOOKUP(F$2&amp;$C27&amp;$A27,集計!$D:$R,$B27,0)</f>
        <v>#N/A</v>
      </c>
      <c r="G27" s="129" t="e">
        <f>VLOOKUP(G$2&amp;$C27&amp;$A27,集計!$D:$R,$B27,0)</f>
        <v>#N/A</v>
      </c>
      <c r="H27" s="129" t="e">
        <f>VLOOKUP(H$2&amp;$C27&amp;$A27,集計!$D:$R,$B27,0)</f>
        <v>#N/A</v>
      </c>
      <c r="I27" s="130" t="e">
        <f>D27+E27+F27+G27+H27</f>
        <v>#N/A</v>
      </c>
      <c r="J27" s="129" t="e">
        <f>VLOOKUP(J$2&amp;$C27&amp;$A27,集計!$D:$R,$B27,0)</f>
        <v>#N/A</v>
      </c>
      <c r="K27" s="129" t="e">
        <f>VLOOKUP(K$2&amp;$C27&amp;$A27,集計!$D:$R,$B27,0)</f>
        <v>#N/A</v>
      </c>
      <c r="L27" s="129" t="e">
        <f>VLOOKUP(L$2&amp;$C27&amp;$A27,集計!$D:$R,$B27,0)</f>
        <v>#N/A</v>
      </c>
      <c r="M27" s="129" t="e">
        <f>VLOOKUP(M$2&amp;$C27&amp;$A27,集計!$D:$R,$B27,0)</f>
        <v>#N/A</v>
      </c>
      <c r="N27" s="130" t="e">
        <f>J27+K27+L27+M27</f>
        <v>#N/A</v>
      </c>
      <c r="O27" s="129" t="e">
        <f>VLOOKUP(O$2&amp;$C27&amp;$A27,集計!$D:$R,$B27,0)</f>
        <v>#N/A</v>
      </c>
      <c r="P27" s="129" t="e">
        <f>VLOOKUP(P$2&amp;$C27&amp;$A27,集計!$D:$R,$B27,0)</f>
        <v>#N/A</v>
      </c>
      <c r="Q27" s="129" t="e">
        <f>VLOOKUP(Q$2&amp;$C27&amp;$A27,集計!$D:$R,$B27,0)</f>
        <v>#N/A</v>
      </c>
      <c r="R27" s="129" t="e">
        <f>VLOOKUP(R$2&amp;$C27&amp;$A27,集計!$D:$R,$B27,0)</f>
        <v>#N/A</v>
      </c>
      <c r="S27" s="129" t="e">
        <f>VLOOKUP(S$2&amp;$C27&amp;$A27,集計!$D:$R,$B27,0)</f>
        <v>#N/A</v>
      </c>
      <c r="T27" s="130" t="e">
        <f>O27+P27+Q27+R27+S27</f>
        <v>#N/A</v>
      </c>
      <c r="U27" s="129" t="e">
        <f>VLOOKUP(U$2&amp;$C27&amp;$A27,集計!$D:$R,$B27,0)</f>
        <v>#N/A</v>
      </c>
      <c r="V27" s="129" t="e">
        <f>VLOOKUP(V$2&amp;$C27&amp;$A27,集計!$D:$R,$B27,0)</f>
        <v>#N/A</v>
      </c>
      <c r="W27" s="129" t="e">
        <f>VLOOKUP(W$2&amp;$C27&amp;$A27,集計!$D:$R,$B27,0)</f>
        <v>#N/A</v>
      </c>
      <c r="X27" s="130" t="e">
        <f>U27+V27+W27</f>
        <v>#N/A</v>
      </c>
      <c r="Y27" s="129" t="e">
        <f>VLOOKUP(Y$2&amp;$C27&amp;$A27,集計!$D:$R,$B27,0)</f>
        <v>#N/A</v>
      </c>
      <c r="Z27" s="129" t="e">
        <f>VLOOKUP(Z$2&amp;$C27&amp;$A27,集計!$D:$R,$B27,0)</f>
        <v>#N/A</v>
      </c>
      <c r="AA27" s="129" t="e">
        <f>VLOOKUP(AA$2&amp;$C27&amp;$A27,集計!$D:$R,$B27,0)</f>
        <v>#N/A</v>
      </c>
      <c r="AB27" s="130" t="e">
        <f>Y27+Z27+AA27</f>
        <v>#N/A</v>
      </c>
      <c r="AC27" s="130" t="e">
        <f>I27+N27+T27+X27+AB27</f>
        <v>#N/A</v>
      </c>
      <c r="AD27" s="129" t="e">
        <f>VLOOKUP(AD$2&amp;$C27&amp;$A27,集計!$D:$R,$B27,0)</f>
        <v>#N/A</v>
      </c>
      <c r="AE27" s="129" t="e">
        <f>VLOOKUP(AE$2&amp;$C27&amp;$A27,集計!$D:$R,$B27,0)</f>
        <v>#N/A</v>
      </c>
      <c r="AF27" s="129" t="e">
        <f>VLOOKUP(AF$2&amp;$C27&amp;$A27,集計!$D:$R,$B27,0)</f>
        <v>#N/A</v>
      </c>
      <c r="AG27" s="129" t="e">
        <f>VLOOKUP(AG$2&amp;$C27&amp;$A27,集計!$D:$R,$B27,0)</f>
        <v>#N/A</v>
      </c>
      <c r="AH27" s="130" t="e">
        <f>AD27+AE27+AF27+AG27</f>
        <v>#N/A</v>
      </c>
      <c r="AI27" s="129" t="e">
        <f>VLOOKUP(AI$2&amp;$C27&amp;$A27,集計!$D:$R,$B27,0)</f>
        <v>#N/A</v>
      </c>
      <c r="AJ27" s="129" t="e">
        <f>VLOOKUP(AJ$2&amp;$C27&amp;$A27,集計!$D:$R,$B27,0)</f>
        <v>#N/A</v>
      </c>
      <c r="AK27" s="129" t="e">
        <f>VLOOKUP(AK$2&amp;$C27&amp;$A27,集計!$D:$R,$B27,0)</f>
        <v>#N/A</v>
      </c>
      <c r="AL27" s="130" t="e">
        <f>AI27+AJ27+AK27</f>
        <v>#N/A</v>
      </c>
      <c r="AM27" s="129" t="e">
        <f>VLOOKUP(AM$2&amp;$C27&amp;$A27,集計!$D:$R,$B27,0)</f>
        <v>#N/A</v>
      </c>
      <c r="AN27" s="129" t="e">
        <f>VLOOKUP(AN$2&amp;$C27&amp;$A27,集計!$D:$R,$B27,0)</f>
        <v>#N/A</v>
      </c>
      <c r="AO27" s="130" t="e">
        <f>AM27+AN27</f>
        <v>#N/A</v>
      </c>
      <c r="AP27" s="129" t="e">
        <f>VLOOKUP(AP$2&amp;$C27&amp;$A27,集計!$D:$R,$B27,0)</f>
        <v>#N/A</v>
      </c>
      <c r="AQ27" s="129" t="e">
        <f>VLOOKUP(AQ$2&amp;$C27&amp;$A27,集計!$D:$R,$B27,0)</f>
        <v>#N/A</v>
      </c>
      <c r="AR27" s="129" t="e">
        <f>VLOOKUP(AR$2&amp;$C27&amp;$A27,集計!$D:$R,$B27,0)</f>
        <v>#N/A</v>
      </c>
      <c r="AS27" s="130" t="e">
        <f>AP27+AQ27+AR27</f>
        <v>#N/A</v>
      </c>
      <c r="AT27" s="130" t="e">
        <f>AH27+AL27+AO27+AS27</f>
        <v>#N/A</v>
      </c>
      <c r="AU27" s="129" t="e">
        <f>VLOOKUP(AU$2&amp;$C27&amp;$A27,集計!$D:$R,$B27,0)</f>
        <v>#N/A</v>
      </c>
      <c r="AV27" s="129" t="e">
        <f>VLOOKUP(AV$2&amp;$C27&amp;$A27,集計!$D:$R,$B27,0)</f>
        <v>#N/A</v>
      </c>
      <c r="AW27" s="129" t="e">
        <f>VLOOKUP(AW$2&amp;$C27&amp;$A27,集計!$D:$R,$B27,0)</f>
        <v>#N/A</v>
      </c>
      <c r="AX27" s="129" t="e">
        <f>VLOOKUP(AX$2&amp;$C27&amp;$A27,集計!$D:$R,$B27,0)</f>
        <v>#N/A</v>
      </c>
      <c r="AY27" s="129" t="e">
        <f>VLOOKUP(AY$2&amp;$C27&amp;$A27,集計!$D:$R,$B27,0)</f>
        <v>#N/A</v>
      </c>
      <c r="AZ27" s="130" t="e">
        <f>AU27+AV27+AW27+AX27+AY27</f>
        <v>#N/A</v>
      </c>
      <c r="BA27" s="130" t="e">
        <f>AZ27</f>
        <v>#N/A</v>
      </c>
      <c r="BB27" s="129" t="e">
        <f>VLOOKUP(BB$2&amp;$C27&amp;$A27,集計!$D:$R,$B27,0)</f>
        <v>#N/A</v>
      </c>
      <c r="BC27" s="129" t="e">
        <f>VLOOKUP(BC$2&amp;$C27&amp;$A27,集計!$D:$R,$B27,0)</f>
        <v>#N/A</v>
      </c>
      <c r="BD27" s="130" t="e">
        <f>BB27+BC27</f>
        <v>#N/A</v>
      </c>
      <c r="BE27" s="129" t="e">
        <f>VLOOKUP(BE$2&amp;$C27&amp;$A27,集計!$D:$R,$B27,0)</f>
        <v>#N/A</v>
      </c>
      <c r="BF27" s="129" t="e">
        <f>VLOOKUP(BF$2&amp;$C27&amp;$A27,集計!$D:$R,$B27,0)</f>
        <v>#N/A</v>
      </c>
      <c r="BG27" s="129" t="e">
        <f>VLOOKUP(BG$2&amp;$C27&amp;$A27,集計!$D:$R,$B27,0)</f>
        <v>#N/A</v>
      </c>
      <c r="BH27" s="129" t="e">
        <f>VLOOKUP(BH$2&amp;$C27&amp;$A27,集計!$D:$R,$B27,0)</f>
        <v>#N/A</v>
      </c>
      <c r="BI27" s="129" t="e">
        <f>VLOOKUP(BI$2&amp;$C27&amp;$A27,集計!$D:$R,$B27,0)</f>
        <v>#N/A</v>
      </c>
      <c r="BJ27" s="130" t="e">
        <f>BE27+BF27+BG27+BH27+BI27</f>
        <v>#N/A</v>
      </c>
      <c r="BK27" s="129" t="e">
        <f>VLOOKUP(BK$2&amp;$C27&amp;$A27,集計!$D:$R,$B27,0)</f>
        <v>#N/A</v>
      </c>
      <c r="BL27" s="129" t="e">
        <f>VLOOKUP(BL$2&amp;$C27&amp;$A27,集計!$D:$R,$B27,0)</f>
        <v>#N/A</v>
      </c>
      <c r="BM27" s="129" t="e">
        <f>VLOOKUP(BM$2&amp;$C27&amp;$A27,集計!$D:$R,$B27,0)</f>
        <v>#N/A</v>
      </c>
      <c r="BN27" s="129" t="e">
        <f>VLOOKUP(BN$2&amp;$C27&amp;$A27,集計!$D:$R,$B27,0)</f>
        <v>#N/A</v>
      </c>
      <c r="BO27" s="129" t="e">
        <f>VLOOKUP(BO$2&amp;$C27&amp;$A27,集計!$D:$R,$B27,0)</f>
        <v>#N/A</v>
      </c>
      <c r="BP27" s="129" t="e">
        <f>VLOOKUP(BP$2&amp;$C27&amp;$A27,集計!$D:$R,$B27,0)</f>
        <v>#N/A</v>
      </c>
      <c r="BQ27" s="130" t="e">
        <f>BK27+BL27+BM27+BN27+BO27+BP27</f>
        <v>#N/A</v>
      </c>
      <c r="BR27" s="129" t="e">
        <f>VLOOKUP(BR$2&amp;$C27&amp;$A27,集計!$D:$R,$B27,0)</f>
        <v>#N/A</v>
      </c>
      <c r="BS27" s="129" t="e">
        <f>VLOOKUP(BS$2&amp;$C27&amp;$A27,集計!$D:$R,$B27,0)</f>
        <v>#N/A</v>
      </c>
      <c r="BT27" s="129" t="e">
        <f>VLOOKUP(BT$2&amp;$C27&amp;$A27,集計!$D:$R,$B27,0)</f>
        <v>#N/A</v>
      </c>
      <c r="BU27" s="130" t="e">
        <f>BR27+BS27+BT27</f>
        <v>#N/A</v>
      </c>
      <c r="BV27" s="129" t="e">
        <f>VLOOKUP(BV$2&amp;$C27&amp;$A27,集計!$D:$R,$B27,0)</f>
        <v>#N/A</v>
      </c>
      <c r="BW27" s="130" t="e">
        <f>BV27</f>
        <v>#N/A</v>
      </c>
      <c r="BX27" s="130" t="e">
        <f>AC27+AT27+BA27+BD27+BJ27+BQ27+BU27+BW27</f>
        <v>#N/A</v>
      </c>
    </row>
    <row r="28" spans="1:76" s="124" customFormat="1">
      <c r="A28" s="120" t="s">
        <v>40</v>
      </c>
      <c r="B28" s="150">
        <v>7</v>
      </c>
      <c r="C28" s="131" t="s">
        <v>26</v>
      </c>
      <c r="D28" s="132" t="e">
        <f>IF(VLOOKUP(D$2&amp;$C28&amp;$A28,集計!$D:$R,$B28,0)&lt;&gt;SUM(D26:D27),"NG",SUM(D26:D27))</f>
        <v>#N/A</v>
      </c>
      <c r="E28" s="132" t="e">
        <f>IF(VLOOKUP(E$2&amp;$C28&amp;$A28,集計!$D:$R,$B28,0)&lt;&gt;SUM(E26:E27),"NG",SUM(E26:E27))</f>
        <v>#N/A</v>
      </c>
      <c r="F28" s="132" t="e">
        <f>IF(VLOOKUP(F$2&amp;$C28&amp;$A28,集計!$D:$R,$B28,0)&lt;&gt;SUM(F26:F27),"NG",SUM(F26:F27))</f>
        <v>#N/A</v>
      </c>
      <c r="G28" s="132" t="e">
        <f>IF(VLOOKUP(G$2&amp;$C28&amp;$A28,集計!$D:$R,$B28,0)&lt;&gt;SUM(G26:G27),"NG",SUM(G26:G27))</f>
        <v>#N/A</v>
      </c>
      <c r="H28" s="132" t="e">
        <f>IF(VLOOKUP(H$2&amp;$C28&amp;$A28,集計!$D:$R,$B28,0)&lt;&gt;SUM(H26:H27),"NG",SUM(H26:H27))</f>
        <v>#N/A</v>
      </c>
      <c r="I28" s="133" t="e">
        <f>I26+I27</f>
        <v>#N/A</v>
      </c>
      <c r="J28" s="132" t="e">
        <f>IF(VLOOKUP(J$2&amp;$C28&amp;$A28,集計!$D:$R,$B28,0)&lt;&gt;SUM(J26:J27),"NG",SUM(J26:J27))</f>
        <v>#N/A</v>
      </c>
      <c r="K28" s="132" t="e">
        <f>IF(VLOOKUP(K$2&amp;$C28&amp;$A28,集計!$D:$R,$B28,0)&lt;&gt;SUM(K26:K27),"NG",SUM(K26:K27))</f>
        <v>#N/A</v>
      </c>
      <c r="L28" s="132" t="e">
        <f>IF(VLOOKUP(L$2&amp;$C28&amp;$A28,集計!$D:$R,$B28,0)&lt;&gt;SUM(L26:L27),"NG",SUM(L26:L27))</f>
        <v>#N/A</v>
      </c>
      <c r="M28" s="132" t="e">
        <f>IF(VLOOKUP(M$2&amp;$C28&amp;$A28,集計!$D:$R,$B28,0)&lt;&gt;SUM(M26:M27),"NG",SUM(M26:M27))</f>
        <v>#N/A</v>
      </c>
      <c r="N28" s="133" t="e">
        <f>N26+N27</f>
        <v>#N/A</v>
      </c>
      <c r="O28" s="132" t="e">
        <f>IF(VLOOKUP(O$2&amp;$C28&amp;$A28,集計!$D:$R,$B28,0)&lt;&gt;SUM(O26:O27),"NG",SUM(O26:O27))</f>
        <v>#N/A</v>
      </c>
      <c r="P28" s="132" t="e">
        <f>IF(VLOOKUP(P$2&amp;$C28&amp;$A28,集計!$D:$R,$B28,0)&lt;&gt;SUM(P26:P27),"NG",SUM(P26:P27))</f>
        <v>#N/A</v>
      </c>
      <c r="Q28" s="132" t="e">
        <f>IF(VLOOKUP(Q$2&amp;$C28&amp;$A28,集計!$D:$R,$B28,0)&lt;&gt;SUM(Q26:Q27),"NG",SUM(Q26:Q27))</f>
        <v>#N/A</v>
      </c>
      <c r="R28" s="132" t="e">
        <f>IF(VLOOKUP(R$2&amp;$C28&amp;$A28,集計!$D:$R,$B28,0)&lt;&gt;SUM(R26:R27),"NG",SUM(R26:R27))</f>
        <v>#N/A</v>
      </c>
      <c r="S28" s="132" t="e">
        <f>IF(VLOOKUP(S$2&amp;$C28&amp;$A28,集計!$D:$R,$B28,0)&lt;&gt;SUM(S26:S27),"NG",SUM(S26:S27))</f>
        <v>#N/A</v>
      </c>
      <c r="T28" s="133" t="e">
        <f>T26+T27</f>
        <v>#N/A</v>
      </c>
      <c r="U28" s="132" t="e">
        <f>IF(VLOOKUP(U$2&amp;$C28&amp;$A28,集計!$D:$R,$B28,0)&lt;&gt;SUM(U26:U27),"NG",SUM(U26:U27))</f>
        <v>#N/A</v>
      </c>
      <c r="V28" s="132" t="e">
        <f>IF(VLOOKUP(V$2&amp;$C28&amp;$A28,集計!$D:$R,$B28,0)&lt;&gt;SUM(V26:V27),"NG",SUM(V26:V27))</f>
        <v>#N/A</v>
      </c>
      <c r="W28" s="132" t="e">
        <f>IF(VLOOKUP(W$2&amp;$C28&amp;$A28,集計!$D:$R,$B28,0)&lt;&gt;SUM(W26:W27),"NG",SUM(W26:W27))</f>
        <v>#N/A</v>
      </c>
      <c r="X28" s="133" t="e">
        <f>SUM(X26:X27)</f>
        <v>#N/A</v>
      </c>
      <c r="Y28" s="132" t="e">
        <f>IF(VLOOKUP(Y$2&amp;$C28&amp;$A28,集計!$D:$R,$B28,0)&lt;&gt;SUM(Y26:Y27),"NG",SUM(Y26:Y27))</f>
        <v>#N/A</v>
      </c>
      <c r="Z28" s="132" t="e">
        <f>IF(VLOOKUP(Z$2&amp;$C28&amp;$A28,集計!$D:$R,$B28,0)&lt;&gt;SUM(Z26:Z27),"NG",SUM(Z26:Z27))</f>
        <v>#N/A</v>
      </c>
      <c r="AA28" s="132" t="e">
        <f>IF(VLOOKUP(AA$2&amp;$C28&amp;$A28,集計!$D:$R,$B28,0)&lt;&gt;SUM(AA26:AA27),"NG",SUM(AA26:AA27))</f>
        <v>#N/A</v>
      </c>
      <c r="AB28" s="133" t="e">
        <f>SUM(AB26:AB27)</f>
        <v>#N/A</v>
      </c>
      <c r="AC28" s="133" t="e">
        <f>SUM(AC26:AC27)</f>
        <v>#N/A</v>
      </c>
      <c r="AD28" s="132" t="e">
        <f>IF(VLOOKUP(AD$2&amp;$C28&amp;$A28,集計!$D:$R,$B28,0)&lt;&gt;SUM(AD26:AD27),"NG",SUM(AD26:AD27))</f>
        <v>#N/A</v>
      </c>
      <c r="AE28" s="132" t="e">
        <f>IF(VLOOKUP(AE$2&amp;$C28&amp;$A28,集計!$D:$R,$B28,0)&lt;&gt;SUM(AE26:AE27),"NG",SUM(AE26:AE27))</f>
        <v>#N/A</v>
      </c>
      <c r="AF28" s="132" t="e">
        <f>IF(VLOOKUP(AF$2&amp;$C28&amp;$A28,集計!$D:$R,$B28,0)&lt;&gt;SUM(AF26:AF27),"NG",SUM(AF26:AF27))</f>
        <v>#N/A</v>
      </c>
      <c r="AG28" s="132" t="e">
        <f>IF(VLOOKUP(AG$2&amp;$C28&amp;$A28,集計!$D:$R,$B28,0)&lt;&gt;SUM(AG26:AG27),"NG",SUM(AG26:AG27))</f>
        <v>#N/A</v>
      </c>
      <c r="AH28" s="133" t="e">
        <f>SUM(AH26:AH27)</f>
        <v>#N/A</v>
      </c>
      <c r="AI28" s="132" t="e">
        <f>IF(VLOOKUP(AI$2&amp;$C28&amp;$A28,集計!$D:$R,$B28,0)&lt;&gt;SUM(AI26:AI27),"NG",SUM(AI26:AI27))</f>
        <v>#N/A</v>
      </c>
      <c r="AJ28" s="132" t="e">
        <f>IF(VLOOKUP(AJ$2&amp;$C28&amp;$A28,集計!$D:$R,$B28,0)&lt;&gt;SUM(AJ26:AJ27),"NG",SUM(AJ26:AJ27))</f>
        <v>#N/A</v>
      </c>
      <c r="AK28" s="132" t="e">
        <f>IF(VLOOKUP(AK$2&amp;$C28&amp;$A28,集計!$D:$R,$B28,0)&lt;&gt;SUM(AK26:AK27),"NG",SUM(AK26:AK27))</f>
        <v>#N/A</v>
      </c>
      <c r="AL28" s="133" t="e">
        <f>SUM(AL26:AL27)</f>
        <v>#N/A</v>
      </c>
      <c r="AM28" s="132" t="e">
        <f>IF(VLOOKUP(AM$2&amp;$C28&amp;$A28,集計!$D:$R,$B28,0)&lt;&gt;SUM(AM26:AM27),"NG",SUM(AM26:AM27))</f>
        <v>#N/A</v>
      </c>
      <c r="AN28" s="132" t="e">
        <f>IF(VLOOKUP(AN$2&amp;$C28&amp;$A28,集計!$D:$R,$B28,0)&lt;&gt;SUM(AN26:AN27),"NG",SUM(AN26:AN27))</f>
        <v>#N/A</v>
      </c>
      <c r="AO28" s="133" t="e">
        <f>SUM(AO26:AO27)</f>
        <v>#N/A</v>
      </c>
      <c r="AP28" s="132" t="e">
        <f>IF(VLOOKUP(AP$2&amp;$C28&amp;$A28,集計!$D:$R,$B28,0)&lt;&gt;SUM(AP26:AP27),"NG",SUM(AP26:AP27))</f>
        <v>#N/A</v>
      </c>
      <c r="AQ28" s="132" t="e">
        <f>IF(VLOOKUP(AQ$2&amp;$C28&amp;$A28,集計!$D:$R,$B28,0)&lt;&gt;SUM(AQ26:AQ27),"NG",SUM(AQ26:AQ27))</f>
        <v>#N/A</v>
      </c>
      <c r="AR28" s="132" t="e">
        <f>IF(VLOOKUP(AR$2&amp;$C28&amp;$A28,集計!$D:$R,$B28,0)&lt;&gt;SUM(AR26:AR27),"NG",SUM(AR26:AR27))</f>
        <v>#N/A</v>
      </c>
      <c r="AS28" s="133" t="e">
        <f>SUM(AS26:AS27)</f>
        <v>#N/A</v>
      </c>
      <c r="AT28" s="133" t="e">
        <f>SUM(AT26:AT27)</f>
        <v>#N/A</v>
      </c>
      <c r="AU28" s="132" t="e">
        <f>IF(VLOOKUP(AU$2&amp;$C28&amp;$A28,集計!$D:$R,$B28,0)&lt;&gt;SUM(AU26:AU27),"NG",SUM(AU26:AU27))</f>
        <v>#N/A</v>
      </c>
      <c r="AV28" s="132" t="e">
        <f>IF(VLOOKUP(AV$2&amp;$C28&amp;$A28,集計!$D:$R,$B28,0)&lt;&gt;SUM(AV26:AV27),"NG",SUM(AV26:AV27))</f>
        <v>#N/A</v>
      </c>
      <c r="AW28" s="132" t="e">
        <f>IF(VLOOKUP(AW$2&amp;$C28&amp;$A28,集計!$D:$R,$B28,0)&lt;&gt;SUM(AW26:AW27),"NG",SUM(AW26:AW27))</f>
        <v>#N/A</v>
      </c>
      <c r="AX28" s="132" t="e">
        <f>IF(VLOOKUP(AX$2&amp;$C28&amp;$A28,集計!$D:$R,$B28,0)&lt;&gt;SUM(AX26:AX27),"NG",SUM(AX26:AX27))</f>
        <v>#N/A</v>
      </c>
      <c r="AY28" s="132" t="e">
        <f>IF(VLOOKUP(AY$2&amp;$C28&amp;$A28,集計!$D:$R,$B28,0)&lt;&gt;SUM(AY26:AY27),"NG",SUM(AY26:AY27))</f>
        <v>#N/A</v>
      </c>
      <c r="AZ28" s="133" t="e">
        <f>AZ26+AZ27</f>
        <v>#N/A</v>
      </c>
      <c r="BA28" s="133" t="e">
        <f>BA26+BA27</f>
        <v>#N/A</v>
      </c>
      <c r="BB28" s="132" t="e">
        <f>IF(VLOOKUP(BB$2&amp;$C28&amp;$A28,集計!$D:$R,$B28,0)&lt;&gt;SUM(BB26:BB27),"NG",SUM(BB26:BB27))</f>
        <v>#N/A</v>
      </c>
      <c r="BC28" s="132" t="e">
        <f>IF(VLOOKUP(BC$2&amp;$C28&amp;$A28,集計!$D:$R,$B28,0)&lt;&gt;SUM(BC26:BC27),"NG",SUM(BC26:BC27))</f>
        <v>#N/A</v>
      </c>
      <c r="BD28" s="133" t="e">
        <f>SUM(BD26:BD27)</f>
        <v>#N/A</v>
      </c>
      <c r="BE28" s="132" t="e">
        <f>IF(VLOOKUP(BE$2&amp;$C28&amp;$A28,集計!$D:$R,$B28,0)&lt;&gt;SUM(BE26:BE27),"NG",SUM(BE26:BE27))</f>
        <v>#N/A</v>
      </c>
      <c r="BF28" s="132" t="e">
        <f>IF(VLOOKUP(BF$2&amp;$C28&amp;$A28,集計!$D:$R,$B28,0)&lt;&gt;SUM(BF26:BF27),"NG",SUM(BF26:BF27))</f>
        <v>#N/A</v>
      </c>
      <c r="BG28" s="132" t="e">
        <f>IF(VLOOKUP(BG$2&amp;$C28&amp;$A28,集計!$D:$R,$B28,0)&lt;&gt;SUM(BG26:BG27),"NG",SUM(BG26:BG27))</f>
        <v>#N/A</v>
      </c>
      <c r="BH28" s="132" t="e">
        <f>IF(VLOOKUP(BH$2&amp;$C28&amp;$A28,集計!$D:$R,$B28,0)&lt;&gt;SUM(BH26:BH27),"NG",SUM(BH26:BH27))</f>
        <v>#N/A</v>
      </c>
      <c r="BI28" s="132" t="e">
        <f>IF(VLOOKUP(BI$2&amp;$C28&amp;$A28,集計!$D:$R,$B28,0)&lt;&gt;SUM(BI26:BI27),"NG",SUM(BI26:BI27))</f>
        <v>#N/A</v>
      </c>
      <c r="BJ28" s="133" t="e">
        <f>BJ26+BJ27</f>
        <v>#N/A</v>
      </c>
      <c r="BK28" s="132" t="e">
        <f>IF(VLOOKUP(BK$2&amp;$C28&amp;$A28,集計!$D:$R,$B28,0)&lt;&gt;SUM(BK26:BK27),"NG",SUM(BK26:BK27))</f>
        <v>#N/A</v>
      </c>
      <c r="BL28" s="132" t="e">
        <f>IF(VLOOKUP(BL$2&amp;$C28&amp;$A28,集計!$D:$R,$B28,0)&lt;&gt;SUM(BL26:BL27),"NG",SUM(BL26:BL27))</f>
        <v>#N/A</v>
      </c>
      <c r="BM28" s="132" t="e">
        <f>IF(VLOOKUP(BM$2&amp;$C28&amp;$A28,集計!$D:$R,$B28,0)&lt;&gt;SUM(BM26:BM27),"NG",SUM(BM26:BM27))</f>
        <v>#N/A</v>
      </c>
      <c r="BN28" s="132" t="e">
        <f>IF(VLOOKUP(BN$2&amp;$C28&amp;$A28,集計!$D:$R,$B28,0)&lt;&gt;SUM(BN26:BN27),"NG",SUM(BN26:BN27))</f>
        <v>#N/A</v>
      </c>
      <c r="BO28" s="132" t="e">
        <f>IF(VLOOKUP(BO$2&amp;$C28&amp;$A28,集計!$D:$R,$B28,0)&lt;&gt;SUM(BO26:BO27),"NG",SUM(BO26:BO27))</f>
        <v>#N/A</v>
      </c>
      <c r="BP28" s="132" t="e">
        <f>IF(VLOOKUP(BP$2&amp;$C28&amp;$A28,集計!$D:$R,$B28,0)&lt;&gt;SUM(BP26:BP27),"NG",SUM(BP26:BP27))</f>
        <v>#N/A</v>
      </c>
      <c r="BQ28" s="133" t="e">
        <f>BQ26+BQ27</f>
        <v>#N/A</v>
      </c>
      <c r="BR28" s="132" t="e">
        <f>IF(VLOOKUP(BR$2&amp;$C28&amp;$A28,集計!$D:$R,$B28,0)&lt;&gt;SUM(BR26:BR27),"NG",SUM(BR26:BR27))</f>
        <v>#N/A</v>
      </c>
      <c r="BS28" s="132" t="e">
        <f>IF(VLOOKUP(BS$2&amp;$C28&amp;$A28,集計!$D:$R,$B28,0)&lt;&gt;SUM(BS26:BS27),"NG",SUM(BS26:BS27))</f>
        <v>#N/A</v>
      </c>
      <c r="BT28" s="132" t="e">
        <f>IF(VLOOKUP(BT$2&amp;$C28&amp;$A28,集計!$D:$R,$B28,0)&lt;&gt;SUM(BT26:BT27),"NG",SUM(BT26:BT27))</f>
        <v>#N/A</v>
      </c>
      <c r="BU28" s="133" t="e">
        <f>BU26+BU27</f>
        <v>#N/A</v>
      </c>
      <c r="BV28" s="132" t="e">
        <f>IF(VLOOKUP(BV$2&amp;$C28&amp;$A28,集計!$D:$R,$B28,0)&lt;&gt;SUM(BV26:BV27),"NG",SUM(BV26:BV27))</f>
        <v>#N/A</v>
      </c>
      <c r="BW28" s="133" t="e">
        <f>SUM(BW26:BW27)</f>
        <v>#N/A</v>
      </c>
      <c r="BX28" s="133" t="e">
        <f>SUM(BX26:BX27)</f>
        <v>#N/A</v>
      </c>
    </row>
    <row r="29" spans="1:76" s="124" customFormat="1" ht="15" thickBot="1">
      <c r="A29" s="120" t="s">
        <v>40</v>
      </c>
      <c r="B29" s="150">
        <v>7</v>
      </c>
      <c r="C29" s="135" t="s">
        <v>27</v>
      </c>
      <c r="D29" s="136" t="e">
        <f>IF(VLOOKUP(D$2&amp;$C29&amp;$A29,集計!$D:$R,$B29,0)&lt;&gt;SUM(D25,D28),"NG",SUM(D25,D28))</f>
        <v>#N/A</v>
      </c>
      <c r="E29" s="136" t="e">
        <f>IF(VLOOKUP(E$2&amp;$C29&amp;$A29,集計!$D:$R,$B29,0)&lt;&gt;SUM(E25,E28),"NG",SUM(E25,E28))</f>
        <v>#N/A</v>
      </c>
      <c r="F29" s="136" t="e">
        <f>IF(VLOOKUP(F$2&amp;$C29&amp;$A29,集計!$D:$R,$B29,0)&lt;&gt;SUM(F25,F28),"NG",SUM(F25,F28))</f>
        <v>#N/A</v>
      </c>
      <c r="G29" s="136" t="e">
        <f>IF(VLOOKUP(G$2&amp;$C29&amp;$A29,集計!$D:$R,$B29,0)&lt;&gt;SUM(G25,G28),"NG",SUM(G25,G28))</f>
        <v>#N/A</v>
      </c>
      <c r="H29" s="136" t="e">
        <f>IF(VLOOKUP(H$2&amp;$C29&amp;$A29,集計!$D:$R,$B29,0)&lt;&gt;SUM(H25,H28),"NG",SUM(H25,H28))</f>
        <v>#N/A</v>
      </c>
      <c r="I29" s="137" t="e">
        <f>I25+I28</f>
        <v>#N/A</v>
      </c>
      <c r="J29" s="136" t="e">
        <f>IF(VLOOKUP(J$2&amp;$C29&amp;$A29,集計!$D:$R,$B29,0)&lt;&gt;SUM(J25,J28),"NG",SUM(J25,J28))</f>
        <v>#N/A</v>
      </c>
      <c r="K29" s="136" t="e">
        <f>IF(VLOOKUP(K$2&amp;$C29&amp;$A29,集計!$D:$R,$B29,0)&lt;&gt;SUM(K25,K28),"NG",SUM(K25,K28))</f>
        <v>#N/A</v>
      </c>
      <c r="L29" s="136" t="e">
        <f>IF(VLOOKUP(L$2&amp;$C29&amp;$A29,集計!$D:$R,$B29,0)&lt;&gt;SUM(L25,L28),"NG",SUM(L25,L28))</f>
        <v>#N/A</v>
      </c>
      <c r="M29" s="136" t="e">
        <f>IF(VLOOKUP(M$2&amp;$C29&amp;$A29,集計!$D:$R,$B29,0)&lt;&gt;SUM(M25,M28),"NG",SUM(M25,M28))</f>
        <v>#N/A</v>
      </c>
      <c r="N29" s="137" t="e">
        <f>N25+N28</f>
        <v>#N/A</v>
      </c>
      <c r="O29" s="136" t="e">
        <f>IF(VLOOKUP(O$2&amp;$C29&amp;$A29,集計!$D:$R,$B29,0)&lt;&gt;SUM(O25,O28),"NG",SUM(O25,O28))</f>
        <v>#N/A</v>
      </c>
      <c r="P29" s="136" t="e">
        <f>IF(VLOOKUP(P$2&amp;$C29&amp;$A29,集計!$D:$R,$B29,0)&lt;&gt;SUM(P25,P28),"NG",SUM(P25,P28))</f>
        <v>#N/A</v>
      </c>
      <c r="Q29" s="136" t="e">
        <f>IF(VLOOKUP(Q$2&amp;$C29&amp;$A29,集計!$D:$R,$B29,0)&lt;&gt;SUM(Q25,Q28),"NG",SUM(Q25,Q28))</f>
        <v>#N/A</v>
      </c>
      <c r="R29" s="136" t="e">
        <f>IF(VLOOKUP(R$2&amp;$C29&amp;$A29,集計!$D:$R,$B29,0)&lt;&gt;SUM(R25,R28),"NG",SUM(R25,R28))</f>
        <v>#N/A</v>
      </c>
      <c r="S29" s="136" t="e">
        <f>IF(VLOOKUP(S$2&amp;$C29&amp;$A29,集計!$D:$R,$B29,0)&lt;&gt;SUM(S25,S28),"NG",SUM(S25,S28))</f>
        <v>#N/A</v>
      </c>
      <c r="T29" s="137" t="e">
        <f>T25+T28</f>
        <v>#N/A</v>
      </c>
      <c r="U29" s="136" t="e">
        <f>IF(VLOOKUP(U$2&amp;$C29&amp;$A29,集計!$D:$R,$B29,0)&lt;&gt;SUM(U25,U28),"NG",SUM(U25,U28))</f>
        <v>#N/A</v>
      </c>
      <c r="V29" s="136" t="e">
        <f>IF(VLOOKUP(V$2&amp;$C29&amp;$A29,集計!$D:$R,$B29,0)&lt;&gt;SUM(V25,V28),"NG",SUM(V25,V28))</f>
        <v>#N/A</v>
      </c>
      <c r="W29" s="136" t="e">
        <f>IF(VLOOKUP(W$2&amp;$C29&amp;$A29,集計!$D:$R,$B29,0)&lt;&gt;SUM(W25,W28),"NG",SUM(W25,W28))</f>
        <v>#N/A</v>
      </c>
      <c r="X29" s="137" t="e">
        <f>X25+X28</f>
        <v>#N/A</v>
      </c>
      <c r="Y29" s="136" t="e">
        <f>IF(VLOOKUP(Y$2&amp;$C29&amp;$A29,集計!$D:$R,$B29,0)&lt;&gt;SUM(Y25,Y28),"NG",SUM(Y25,Y28))</f>
        <v>#N/A</v>
      </c>
      <c r="Z29" s="136" t="e">
        <f>IF(VLOOKUP(Z$2&amp;$C29&amp;$A29,集計!$D:$R,$B29,0)&lt;&gt;SUM(Z25,Z28),"NG",SUM(Z25,Z28))</f>
        <v>#N/A</v>
      </c>
      <c r="AA29" s="136" t="e">
        <f>IF(VLOOKUP(AA$2&amp;$C29&amp;$A29,集計!$D:$R,$B29,0)&lt;&gt;SUM(AA25,AA28),"NG",SUM(AA25,AA28))</f>
        <v>#N/A</v>
      </c>
      <c r="AB29" s="137" t="e">
        <f>AB25+AB28</f>
        <v>#N/A</v>
      </c>
      <c r="AC29" s="137" t="e">
        <f>AC25+AC28</f>
        <v>#N/A</v>
      </c>
      <c r="AD29" s="136" t="e">
        <f>IF(VLOOKUP(AD$2&amp;$C29&amp;$A29,集計!$D:$R,$B29,0)&lt;&gt;SUM(AD25,AD28),"NG",SUM(AD25,AD28))</f>
        <v>#N/A</v>
      </c>
      <c r="AE29" s="136" t="e">
        <f>IF(VLOOKUP(AE$2&amp;$C29&amp;$A29,集計!$D:$R,$B29,0)&lt;&gt;SUM(AE25,AE28),"NG",SUM(AE25,AE28))</f>
        <v>#N/A</v>
      </c>
      <c r="AF29" s="136" t="e">
        <f>IF(VLOOKUP(AF$2&amp;$C29&amp;$A29,集計!$D:$R,$B29,0)&lt;&gt;SUM(AF25,AF28),"NG",SUM(AF25,AF28))</f>
        <v>#N/A</v>
      </c>
      <c r="AG29" s="136" t="e">
        <f>IF(VLOOKUP(AG$2&amp;$C29&amp;$A29,集計!$D:$R,$B29,0)&lt;&gt;SUM(AG25,AG28),"NG",SUM(AG25,AG28))</f>
        <v>#N/A</v>
      </c>
      <c r="AH29" s="137" t="e">
        <f>AH25+AH28</f>
        <v>#N/A</v>
      </c>
      <c r="AI29" s="136" t="e">
        <f>IF(VLOOKUP(AI$2&amp;$C29&amp;$A29,集計!$D:$R,$B29,0)&lt;&gt;SUM(AI25,AI28),"NG",SUM(AI25,AI28))</f>
        <v>#N/A</v>
      </c>
      <c r="AJ29" s="136" t="e">
        <f>IF(VLOOKUP(AJ$2&amp;$C29&amp;$A29,集計!$D:$R,$B29,0)&lt;&gt;SUM(AJ25,AJ28),"NG",SUM(AJ25,AJ28))</f>
        <v>#N/A</v>
      </c>
      <c r="AK29" s="136" t="e">
        <f>IF(VLOOKUP(AK$2&amp;$C29&amp;$A29,集計!$D:$R,$B29,0)&lt;&gt;SUM(AK25,AK28),"NG",SUM(AK25,AK28))</f>
        <v>#N/A</v>
      </c>
      <c r="AL29" s="137" t="e">
        <f>AL25+AL28</f>
        <v>#N/A</v>
      </c>
      <c r="AM29" s="136" t="e">
        <f>IF(VLOOKUP(AM$2&amp;$C29&amp;$A29,集計!$D:$R,$B29,0)&lt;&gt;SUM(AM25,AM28),"NG",SUM(AM25,AM28))</f>
        <v>#N/A</v>
      </c>
      <c r="AN29" s="136" t="e">
        <f>IF(VLOOKUP(AN$2&amp;$C29&amp;$A29,集計!$D:$R,$B29,0)&lt;&gt;SUM(AN25,AN28),"NG",SUM(AN25,AN28))</f>
        <v>#N/A</v>
      </c>
      <c r="AO29" s="137" t="e">
        <f>AO25+AO28</f>
        <v>#N/A</v>
      </c>
      <c r="AP29" s="136" t="e">
        <f>IF(VLOOKUP(AP$2&amp;$C29&amp;$A29,集計!$D:$R,$B29,0)&lt;&gt;SUM(AP25,AP28),"NG",SUM(AP25,AP28))</f>
        <v>#N/A</v>
      </c>
      <c r="AQ29" s="136" t="e">
        <f>IF(VLOOKUP(AQ$2&amp;$C29&amp;$A29,集計!$D:$R,$B29,0)&lt;&gt;SUM(AQ25,AQ28),"NG",SUM(AQ25,AQ28))</f>
        <v>#N/A</v>
      </c>
      <c r="AR29" s="136" t="e">
        <f>IF(VLOOKUP(AR$2&amp;$C29&amp;$A29,集計!$D:$R,$B29,0)&lt;&gt;SUM(AR25,AR28),"NG",SUM(AR25,AR28))</f>
        <v>#N/A</v>
      </c>
      <c r="AS29" s="137" t="e">
        <f>AS25+AS28</f>
        <v>#N/A</v>
      </c>
      <c r="AT29" s="137" t="e">
        <f>AT25+AT28</f>
        <v>#N/A</v>
      </c>
      <c r="AU29" s="136" t="e">
        <f>IF(VLOOKUP(AU$2&amp;$C29&amp;$A29,集計!$D:$R,$B29,0)&lt;&gt;SUM(AU25,AU28),"NG",SUM(AU25,AU28))</f>
        <v>#N/A</v>
      </c>
      <c r="AV29" s="136" t="e">
        <f>IF(VLOOKUP(AV$2&amp;$C29&amp;$A29,集計!$D:$R,$B29,0)&lt;&gt;SUM(AV25,AV28),"NG",SUM(AV25,AV28))</f>
        <v>#N/A</v>
      </c>
      <c r="AW29" s="136" t="e">
        <f>IF(VLOOKUP(AW$2&amp;$C29&amp;$A29,集計!$D:$R,$B29,0)&lt;&gt;SUM(AW25,AW28),"NG",SUM(AW25,AW28))</f>
        <v>#N/A</v>
      </c>
      <c r="AX29" s="136" t="e">
        <f>IF(VLOOKUP(AX$2&amp;$C29&amp;$A29,集計!$D:$R,$B29,0)&lt;&gt;SUM(AX25,AX28),"NG",SUM(AX25,AX28))</f>
        <v>#N/A</v>
      </c>
      <c r="AY29" s="136" t="e">
        <f>IF(VLOOKUP(AY$2&amp;$C29&amp;$A29,集計!$D:$R,$B29,0)&lt;&gt;SUM(AY25,AY28),"NG",SUM(AY25,AY28))</f>
        <v>#N/A</v>
      </c>
      <c r="AZ29" s="137" t="e">
        <f>AZ25+AZ28</f>
        <v>#N/A</v>
      </c>
      <c r="BA29" s="137" t="e">
        <f>BA25+BA28</f>
        <v>#N/A</v>
      </c>
      <c r="BB29" s="136" t="e">
        <f>IF(VLOOKUP(BB$2&amp;$C29&amp;$A29,集計!$D:$R,$B29,0)&lt;&gt;SUM(BB25,BB28),"NG",SUM(BB25,BB28))</f>
        <v>#N/A</v>
      </c>
      <c r="BC29" s="136" t="e">
        <f>IF(VLOOKUP(BC$2&amp;$C29&amp;$A29,集計!$D:$R,$B29,0)&lt;&gt;SUM(BC25,BC28),"NG",SUM(BC25,BC28))</f>
        <v>#N/A</v>
      </c>
      <c r="BD29" s="137" t="e">
        <f>BD25+BD28</f>
        <v>#N/A</v>
      </c>
      <c r="BE29" s="136" t="e">
        <f>IF(VLOOKUP(BE$2&amp;$C29&amp;$A29,集計!$D:$R,$B29,0)&lt;&gt;SUM(BE25,BE28),"NG",SUM(BE25,BE28))</f>
        <v>#N/A</v>
      </c>
      <c r="BF29" s="136" t="e">
        <f>IF(VLOOKUP(BF$2&amp;$C29&amp;$A29,集計!$D:$R,$B29,0)&lt;&gt;SUM(BF25,BF28),"NG",SUM(BF25,BF28))</f>
        <v>#N/A</v>
      </c>
      <c r="BG29" s="136" t="e">
        <f>IF(VLOOKUP(BG$2&amp;$C29&amp;$A29,集計!$D:$R,$B29,0)&lt;&gt;SUM(BG25,BG28),"NG",SUM(BG25,BG28))</f>
        <v>#N/A</v>
      </c>
      <c r="BH29" s="136" t="e">
        <f>IF(VLOOKUP(BH$2&amp;$C29&amp;$A29,集計!$D:$R,$B29,0)&lt;&gt;SUM(BH25,BH28),"NG",SUM(BH25,BH28))</f>
        <v>#N/A</v>
      </c>
      <c r="BI29" s="136" t="e">
        <f>IF(VLOOKUP(BI$2&amp;$C29&amp;$A29,集計!$D:$R,$B29,0)&lt;&gt;SUM(BI25,BI28),"NG",SUM(BI25,BI28))</f>
        <v>#N/A</v>
      </c>
      <c r="BJ29" s="137" t="e">
        <f>BJ25+BJ28</f>
        <v>#N/A</v>
      </c>
      <c r="BK29" s="136" t="e">
        <f>IF(VLOOKUP(BK$2&amp;$C29&amp;$A29,集計!$D:$R,$B29,0)&lt;&gt;SUM(BK25,BK28),"NG",SUM(BK25,BK28))</f>
        <v>#N/A</v>
      </c>
      <c r="BL29" s="136" t="e">
        <f>IF(VLOOKUP(BL$2&amp;$C29&amp;$A29,集計!$D:$R,$B29,0)&lt;&gt;SUM(BL25,BL28),"NG",SUM(BL25,BL28))</f>
        <v>#N/A</v>
      </c>
      <c r="BM29" s="136" t="e">
        <f>IF(VLOOKUP(BM$2&amp;$C29&amp;$A29,集計!$D:$R,$B29,0)&lt;&gt;SUM(BM25,BM28),"NG",SUM(BM25,BM28))</f>
        <v>#N/A</v>
      </c>
      <c r="BN29" s="136" t="e">
        <f>IF(VLOOKUP(BN$2&amp;$C29&amp;$A29,集計!$D:$R,$B29,0)&lt;&gt;SUM(BN25,BN28),"NG",SUM(BN25,BN28))</f>
        <v>#N/A</v>
      </c>
      <c r="BO29" s="136" t="e">
        <f>IF(VLOOKUP(BO$2&amp;$C29&amp;$A29,集計!$D:$R,$B29,0)&lt;&gt;SUM(BO25,BO28),"NG",SUM(BO25,BO28))</f>
        <v>#N/A</v>
      </c>
      <c r="BP29" s="136" t="e">
        <f>IF(VLOOKUP(BP$2&amp;$C29&amp;$A29,集計!$D:$R,$B29,0)&lt;&gt;SUM(BP25,BP28),"NG",SUM(BP25,BP28))</f>
        <v>#N/A</v>
      </c>
      <c r="BQ29" s="137" t="e">
        <f>BQ25+BQ28</f>
        <v>#N/A</v>
      </c>
      <c r="BR29" s="136" t="e">
        <f>IF(VLOOKUP(BR$2&amp;$C29&amp;$A29,集計!$D:$R,$B29,0)&lt;&gt;SUM(BR25,BR28),"NG",SUM(BR25,BR28))</f>
        <v>#N/A</v>
      </c>
      <c r="BS29" s="136" t="e">
        <f>IF(VLOOKUP(BS$2&amp;$C29&amp;$A29,集計!$D:$R,$B29,0)&lt;&gt;SUM(BS25,BS28),"NG",SUM(BS25,BS28))</f>
        <v>#N/A</v>
      </c>
      <c r="BT29" s="136" t="e">
        <f>IF(VLOOKUP(BT$2&amp;$C29&amp;$A29,集計!$D:$R,$B29,0)&lt;&gt;SUM(BT25,BT28),"NG",SUM(BT25,BT28))</f>
        <v>#N/A</v>
      </c>
      <c r="BU29" s="137" t="e">
        <f>BU25+BU28</f>
        <v>#N/A</v>
      </c>
      <c r="BV29" s="136" t="e">
        <f>IF(VLOOKUP(BV$2&amp;$C29&amp;$A29,集計!$D:$R,$B29,0)&lt;&gt;SUM(BV25,BV28),"NG",SUM(BV25,BV28))</f>
        <v>#N/A</v>
      </c>
      <c r="BW29" s="137" t="e">
        <f>BW25+BW28</f>
        <v>#N/A</v>
      </c>
      <c r="BX29" s="137" t="e">
        <f>BX25+BX28</f>
        <v>#N/A</v>
      </c>
    </row>
    <row r="30" spans="1:76" s="124" customFormat="1">
      <c r="A30" s="134"/>
      <c r="B30" s="151"/>
      <c r="C30" s="142"/>
      <c r="D30" s="143"/>
      <c r="E30" s="143"/>
      <c r="F30" s="143"/>
      <c r="G30" s="143"/>
      <c r="H30" s="143"/>
      <c r="I30" s="144"/>
      <c r="J30" s="143"/>
      <c r="K30" s="143"/>
      <c r="L30" s="143"/>
      <c r="M30" s="143"/>
      <c r="N30" s="144"/>
      <c r="O30" s="143"/>
      <c r="P30" s="143"/>
      <c r="Q30" s="143"/>
      <c r="R30" s="143"/>
      <c r="S30" s="143"/>
      <c r="T30" s="144"/>
      <c r="U30" s="143"/>
      <c r="V30" s="143"/>
      <c r="W30" s="143"/>
      <c r="X30" s="144"/>
      <c r="Y30" s="143"/>
      <c r="Z30" s="143"/>
      <c r="AA30" s="143"/>
      <c r="AB30" s="144"/>
      <c r="AC30" s="144"/>
      <c r="AD30" s="143"/>
      <c r="AE30" s="143"/>
      <c r="AF30" s="143"/>
      <c r="AG30" s="143"/>
      <c r="AH30" s="144"/>
      <c r="AI30" s="143"/>
      <c r="AJ30" s="143"/>
      <c r="AK30" s="143"/>
      <c r="AL30" s="144"/>
      <c r="AM30" s="143"/>
      <c r="AN30" s="143"/>
      <c r="AO30" s="144"/>
      <c r="AP30" s="143"/>
      <c r="AQ30" s="143"/>
      <c r="AR30" s="143"/>
      <c r="AS30" s="144"/>
      <c r="AT30" s="144"/>
      <c r="AU30" s="143"/>
      <c r="AV30" s="143"/>
      <c r="AW30" s="143"/>
      <c r="AX30" s="143"/>
      <c r="AY30" s="143"/>
      <c r="AZ30" s="144"/>
      <c r="BA30" s="144"/>
      <c r="BB30" s="143"/>
      <c r="BC30" s="143"/>
      <c r="BD30" s="144"/>
      <c r="BE30" s="143"/>
      <c r="BF30" s="143"/>
      <c r="BG30" s="143"/>
      <c r="BH30" s="143"/>
      <c r="BI30" s="143"/>
      <c r="BJ30" s="144"/>
      <c r="BK30" s="143"/>
      <c r="BL30" s="143"/>
      <c r="BM30" s="143"/>
      <c r="BN30" s="143"/>
      <c r="BO30" s="143"/>
      <c r="BP30" s="143"/>
      <c r="BQ30" s="144"/>
      <c r="BR30" s="143"/>
      <c r="BS30" s="143"/>
      <c r="BT30" s="143"/>
      <c r="BU30" s="144"/>
      <c r="BV30" s="143"/>
      <c r="BW30" s="144"/>
      <c r="BX30" s="144"/>
    </row>
    <row r="31" spans="1:76" s="124" customFormat="1" ht="21.5" thickBot="1">
      <c r="A31" s="134"/>
      <c r="B31" s="96">
        <v>8</v>
      </c>
      <c r="C31" s="138" t="s">
        <v>40</v>
      </c>
      <c r="D31" s="145"/>
      <c r="E31" s="145"/>
      <c r="F31" s="145"/>
      <c r="G31" s="145"/>
      <c r="H31" s="145"/>
      <c r="I31" s="146"/>
      <c r="J31" s="145"/>
      <c r="K31" s="145"/>
      <c r="L31" s="145"/>
      <c r="M31" s="145"/>
      <c r="N31" s="146"/>
      <c r="O31" s="145"/>
      <c r="P31" s="145"/>
      <c r="Q31" s="145"/>
      <c r="R31" s="145"/>
      <c r="S31" s="145"/>
      <c r="T31" s="146"/>
      <c r="U31" s="145"/>
      <c r="V31" s="145"/>
      <c r="W31" s="145"/>
      <c r="X31" s="146"/>
      <c r="Y31" s="145"/>
      <c r="Z31" s="145"/>
      <c r="AA31" s="145"/>
      <c r="AB31" s="146"/>
      <c r="AC31" s="146"/>
      <c r="AD31" s="145"/>
      <c r="AE31" s="145"/>
      <c r="AF31" s="145"/>
      <c r="AG31" s="145"/>
      <c r="AH31" s="146"/>
      <c r="AI31" s="145"/>
      <c r="AJ31" s="145"/>
      <c r="AK31" s="145"/>
      <c r="AL31" s="146"/>
      <c r="AM31" s="145"/>
      <c r="AN31" s="145"/>
      <c r="AO31" s="146"/>
      <c r="AP31" s="145"/>
      <c r="AQ31" s="145"/>
      <c r="AR31" s="145"/>
      <c r="AS31" s="146"/>
      <c r="AT31" s="146"/>
      <c r="AU31" s="145"/>
      <c r="AV31" s="145"/>
      <c r="AW31" s="145"/>
      <c r="AX31" s="145"/>
      <c r="AY31" s="145"/>
      <c r="AZ31" s="146"/>
      <c r="BA31" s="146"/>
      <c r="BB31" s="145"/>
      <c r="BC31" s="145"/>
      <c r="BD31" s="146"/>
      <c r="BE31" s="145"/>
      <c r="BF31" s="145"/>
      <c r="BG31" s="145"/>
      <c r="BH31" s="145"/>
      <c r="BI31" s="145"/>
      <c r="BJ31" s="146"/>
      <c r="BK31" s="145"/>
      <c r="BL31" s="145"/>
      <c r="BM31" s="145"/>
      <c r="BN31" s="145"/>
      <c r="BO31" s="145"/>
      <c r="BP31" s="145"/>
      <c r="BQ31" s="146"/>
      <c r="BR31" s="145"/>
      <c r="BS31" s="145"/>
      <c r="BT31" s="145"/>
      <c r="BU31" s="146"/>
      <c r="BV31" s="145"/>
      <c r="BW31" s="146"/>
      <c r="BX31" s="147"/>
    </row>
    <row r="32" spans="1:76" s="124" customFormat="1" ht="21" customHeight="1">
      <c r="A32" s="120" t="s">
        <v>40</v>
      </c>
      <c r="B32" s="150">
        <v>8</v>
      </c>
      <c r="C32" s="121" t="s">
        <v>25</v>
      </c>
      <c r="D32" s="122" t="e">
        <f>VLOOKUP(D$2&amp;$C32&amp;$A32,集計!$D:$R,$B32,0)</f>
        <v>#N/A</v>
      </c>
      <c r="E32" s="122" t="e">
        <f>VLOOKUP(E$2&amp;$C32&amp;$A32,集計!$D:$R,$B32,0)</f>
        <v>#N/A</v>
      </c>
      <c r="F32" s="122" t="e">
        <f>VLOOKUP(F$2&amp;$C32&amp;$A32,集計!$D:$R,$B32,0)</f>
        <v>#N/A</v>
      </c>
      <c r="G32" s="122" t="e">
        <f>VLOOKUP(G$2&amp;$C32&amp;$A32,集計!$D:$R,$B32,0)</f>
        <v>#N/A</v>
      </c>
      <c r="H32" s="122" t="e">
        <f>VLOOKUP(H$2&amp;$C32&amp;$A32,集計!$D:$R,$B32,0)</f>
        <v>#N/A</v>
      </c>
      <c r="I32" s="123" t="e">
        <f>D32+E32+F32+G32+H32</f>
        <v>#N/A</v>
      </c>
      <c r="J32" s="122" t="e">
        <f>VLOOKUP(J$2&amp;$C32&amp;$A32,集計!$D:$R,$B32,0)</f>
        <v>#N/A</v>
      </c>
      <c r="K32" s="122" t="e">
        <f>VLOOKUP(K$2&amp;$C32&amp;$A32,集計!$D:$R,$B32,0)</f>
        <v>#N/A</v>
      </c>
      <c r="L32" s="122" t="e">
        <f>VLOOKUP(L$2&amp;$C32&amp;$A32,集計!$D:$R,$B32,0)</f>
        <v>#N/A</v>
      </c>
      <c r="M32" s="122" t="e">
        <f>VLOOKUP(M$2&amp;$C32&amp;$A32,集計!$D:$R,$B32,0)</f>
        <v>#N/A</v>
      </c>
      <c r="N32" s="123" t="e">
        <f>J32+K32+L32+M32</f>
        <v>#N/A</v>
      </c>
      <c r="O32" s="122" t="e">
        <f>VLOOKUP(O$2&amp;$C32&amp;$A32,集計!$D:$R,$B32,0)</f>
        <v>#N/A</v>
      </c>
      <c r="P32" s="122" t="e">
        <f>VLOOKUP(P$2&amp;$C32&amp;$A32,集計!$D:$R,$B32,0)</f>
        <v>#N/A</v>
      </c>
      <c r="Q32" s="122" t="e">
        <f>VLOOKUP(Q$2&amp;$C32&amp;$A32,集計!$D:$R,$B32,0)</f>
        <v>#N/A</v>
      </c>
      <c r="R32" s="122" t="e">
        <f>VLOOKUP(R$2&amp;$C32&amp;$A32,集計!$D:$R,$B32,0)</f>
        <v>#N/A</v>
      </c>
      <c r="S32" s="122" t="e">
        <f>VLOOKUP(S$2&amp;$C32&amp;$A32,集計!$D:$R,$B32,0)</f>
        <v>#N/A</v>
      </c>
      <c r="T32" s="123" t="e">
        <f>O32+P32+Q32+R32+S32</f>
        <v>#N/A</v>
      </c>
      <c r="U32" s="122" t="e">
        <f>VLOOKUP(U$2&amp;$C32&amp;$A32,集計!$D:$R,$B32,0)</f>
        <v>#N/A</v>
      </c>
      <c r="V32" s="122" t="e">
        <f>VLOOKUP(V$2&amp;$C32&amp;$A32,集計!$D:$R,$B32,0)</f>
        <v>#N/A</v>
      </c>
      <c r="W32" s="122" t="e">
        <f>VLOOKUP(W$2&amp;$C32&amp;$A32,集計!$D:$R,$B32,0)</f>
        <v>#N/A</v>
      </c>
      <c r="X32" s="123" t="e">
        <f>U32+V32+W32</f>
        <v>#N/A</v>
      </c>
      <c r="Y32" s="122" t="e">
        <f>VLOOKUP(Y$2&amp;$C32&amp;$A32,集計!$D:$R,$B32,0)</f>
        <v>#N/A</v>
      </c>
      <c r="Z32" s="122" t="e">
        <f>VLOOKUP(Z$2&amp;$C32&amp;$A32,集計!$D:$R,$B32,0)</f>
        <v>#N/A</v>
      </c>
      <c r="AA32" s="122" t="e">
        <f>VLOOKUP(AA$2&amp;$C32&amp;$A32,集計!$D:$R,$B32,0)</f>
        <v>#N/A</v>
      </c>
      <c r="AB32" s="123" t="e">
        <f>Y32+Z32+AA32</f>
        <v>#N/A</v>
      </c>
      <c r="AC32" s="123" t="e">
        <f>I32+N32+T32+X32+AB32</f>
        <v>#N/A</v>
      </c>
      <c r="AD32" s="122" t="e">
        <f>VLOOKUP(AD$2&amp;$C32&amp;$A32,集計!$D:$R,$B32,0)</f>
        <v>#N/A</v>
      </c>
      <c r="AE32" s="122" t="e">
        <f>VLOOKUP(AE$2&amp;$C32&amp;$A32,集計!$D:$R,$B32,0)</f>
        <v>#N/A</v>
      </c>
      <c r="AF32" s="122" t="e">
        <f>VLOOKUP(AF$2&amp;$C32&amp;$A32,集計!$D:$R,$B32,0)</f>
        <v>#N/A</v>
      </c>
      <c r="AG32" s="122" t="e">
        <f>VLOOKUP(AG$2&amp;$C32&amp;$A32,集計!$D:$R,$B32,0)</f>
        <v>#N/A</v>
      </c>
      <c r="AH32" s="123" t="e">
        <f>AD32+AE32+AF32+AG32</f>
        <v>#N/A</v>
      </c>
      <c r="AI32" s="122" t="e">
        <f>VLOOKUP(AI$2&amp;$C32&amp;$A32,集計!$D:$R,$B32,0)</f>
        <v>#N/A</v>
      </c>
      <c r="AJ32" s="122" t="e">
        <f>VLOOKUP(AJ$2&amp;$C32&amp;$A32,集計!$D:$R,$B32,0)</f>
        <v>#N/A</v>
      </c>
      <c r="AK32" s="122" t="e">
        <f>VLOOKUP(AK$2&amp;$C32&amp;$A32,集計!$D:$R,$B32,0)</f>
        <v>#N/A</v>
      </c>
      <c r="AL32" s="123" t="e">
        <f>AI32+AJ32+AK32</f>
        <v>#N/A</v>
      </c>
      <c r="AM32" s="122" t="e">
        <f>VLOOKUP(AM$2&amp;$C32&amp;$A32,集計!$D:$R,$B32,0)</f>
        <v>#N/A</v>
      </c>
      <c r="AN32" s="122" t="e">
        <f>VLOOKUP(AN$2&amp;$C32&amp;$A32,集計!$D:$R,$B32,0)</f>
        <v>#N/A</v>
      </c>
      <c r="AO32" s="123" t="e">
        <f>AM32+AN32</f>
        <v>#N/A</v>
      </c>
      <c r="AP32" s="122" t="e">
        <f>VLOOKUP(AP$2&amp;$C32&amp;$A32,集計!$D:$R,$B32,0)</f>
        <v>#N/A</v>
      </c>
      <c r="AQ32" s="122" t="e">
        <f>VLOOKUP(AQ$2&amp;$C32&amp;$A32,集計!$D:$R,$B32,0)</f>
        <v>#N/A</v>
      </c>
      <c r="AR32" s="122" t="e">
        <f>VLOOKUP(AR$2&amp;$C32&amp;$A32,集計!$D:$R,$B32,0)</f>
        <v>#N/A</v>
      </c>
      <c r="AS32" s="123" t="e">
        <f>AP32+AQ32+AR32</f>
        <v>#N/A</v>
      </c>
      <c r="AT32" s="123" t="e">
        <f>AH32+AL32+AO32+AS32</f>
        <v>#N/A</v>
      </c>
      <c r="AU32" s="122" t="e">
        <f>VLOOKUP(AU$2&amp;$C32&amp;$A32,集計!$D:$R,$B32,0)</f>
        <v>#N/A</v>
      </c>
      <c r="AV32" s="122" t="e">
        <f>VLOOKUP(AV$2&amp;$C32&amp;$A32,集計!$D:$R,$B32,0)</f>
        <v>#N/A</v>
      </c>
      <c r="AW32" s="122" t="e">
        <f>VLOOKUP(AW$2&amp;$C32&amp;$A32,集計!$D:$R,$B32,0)</f>
        <v>#N/A</v>
      </c>
      <c r="AX32" s="122" t="e">
        <f>VLOOKUP(AX$2&amp;$C32&amp;$A32,集計!$D:$R,$B32,0)</f>
        <v>#N/A</v>
      </c>
      <c r="AY32" s="122" t="e">
        <f>VLOOKUP(AY$2&amp;$C32&amp;$A32,集計!$D:$R,$B32,0)</f>
        <v>#N/A</v>
      </c>
      <c r="AZ32" s="123" t="e">
        <f>AU32+AV32+AW32+AX32+AY32</f>
        <v>#N/A</v>
      </c>
      <c r="BA32" s="123" t="e">
        <f>AZ32</f>
        <v>#N/A</v>
      </c>
      <c r="BB32" s="122" t="e">
        <f>VLOOKUP(BB$2&amp;$C32&amp;$A32,集計!$D:$R,$B32,0)</f>
        <v>#N/A</v>
      </c>
      <c r="BC32" s="122" t="e">
        <f>VLOOKUP(BC$2&amp;$C32&amp;$A32,集計!$D:$R,$B32,0)</f>
        <v>#N/A</v>
      </c>
      <c r="BD32" s="123" t="e">
        <f>BB32+BC32</f>
        <v>#N/A</v>
      </c>
      <c r="BE32" s="122" t="e">
        <f>VLOOKUP(BE$2&amp;$C32&amp;$A32,集計!$D:$R,$B32,0)</f>
        <v>#N/A</v>
      </c>
      <c r="BF32" s="122" t="e">
        <f>VLOOKUP(BF$2&amp;$C32&amp;$A32,集計!$D:$R,$B32,0)</f>
        <v>#N/A</v>
      </c>
      <c r="BG32" s="122" t="e">
        <f>VLOOKUP(BG$2&amp;$C32&amp;$A32,集計!$D:$R,$B32,0)</f>
        <v>#N/A</v>
      </c>
      <c r="BH32" s="122" t="e">
        <f>VLOOKUP(BH$2&amp;$C32&amp;$A32,集計!$D:$R,$B32,0)</f>
        <v>#N/A</v>
      </c>
      <c r="BI32" s="122" t="e">
        <f>VLOOKUP(BI$2&amp;$C32&amp;$A32,集計!$D:$R,$B32,0)</f>
        <v>#N/A</v>
      </c>
      <c r="BJ32" s="123" t="e">
        <f>BE32+BF32+BG32+BH32+BI32</f>
        <v>#N/A</v>
      </c>
      <c r="BK32" s="122" t="e">
        <f>VLOOKUP(BK$2&amp;$C32&amp;$A32,集計!$D:$R,$B32,0)</f>
        <v>#N/A</v>
      </c>
      <c r="BL32" s="122" t="e">
        <f>VLOOKUP(BL$2&amp;$C32&amp;$A32,集計!$D:$R,$B32,0)</f>
        <v>#N/A</v>
      </c>
      <c r="BM32" s="122" t="e">
        <f>VLOOKUP(BM$2&amp;$C32&amp;$A32,集計!$D:$R,$B32,0)</f>
        <v>#N/A</v>
      </c>
      <c r="BN32" s="122" t="e">
        <f>VLOOKUP(BN$2&amp;$C32&amp;$A32,集計!$D:$R,$B32,0)</f>
        <v>#N/A</v>
      </c>
      <c r="BO32" s="122" t="e">
        <f>VLOOKUP(BO$2&amp;$C32&amp;$A32,集計!$D:$R,$B32,0)</f>
        <v>#N/A</v>
      </c>
      <c r="BP32" s="122" t="e">
        <f>VLOOKUP(BP$2&amp;$C32&amp;$A32,集計!$D:$R,$B32,0)</f>
        <v>#N/A</v>
      </c>
      <c r="BQ32" s="123" t="e">
        <f>BK32+BL32+BM32+BN32+BO32+BP32</f>
        <v>#N/A</v>
      </c>
      <c r="BR32" s="122" t="e">
        <f>VLOOKUP(BR$2&amp;$C32&amp;$A32,集計!$D:$R,$B32,0)</f>
        <v>#N/A</v>
      </c>
      <c r="BS32" s="122" t="e">
        <f>VLOOKUP(BS$2&amp;$C32&amp;$A32,集計!$D:$R,$B32,0)</f>
        <v>#N/A</v>
      </c>
      <c r="BT32" s="122" t="e">
        <f>VLOOKUP(BT$2&amp;$C32&amp;$A32,集計!$D:$R,$B32,0)</f>
        <v>#N/A</v>
      </c>
      <c r="BU32" s="123" t="e">
        <f>BR32+BS32+BT32</f>
        <v>#N/A</v>
      </c>
      <c r="BV32" s="122" t="e">
        <f>VLOOKUP(BV$2&amp;$C32&amp;$A32,集計!$D:$R,$B32,0)</f>
        <v>#N/A</v>
      </c>
      <c r="BW32" s="123" t="e">
        <f>BV32</f>
        <v>#N/A</v>
      </c>
      <c r="BX32" s="123" t="e">
        <f>AC32+AT32+BA32+BD32+BJ32+BQ32+BU32+BW32</f>
        <v>#N/A</v>
      </c>
    </row>
    <row r="33" spans="1:76" s="124" customFormat="1">
      <c r="A33" s="120" t="s">
        <v>40</v>
      </c>
      <c r="B33" s="150">
        <v>8</v>
      </c>
      <c r="C33" s="125" t="s">
        <v>106</v>
      </c>
      <c r="D33" s="126" t="e">
        <f>VLOOKUP(D$2&amp;$C33&amp;$A33,集計!$D:$R,$B33,0)</f>
        <v>#N/A</v>
      </c>
      <c r="E33" s="126" t="e">
        <f>VLOOKUP(E$2&amp;$C33&amp;$A33,集計!$D:$R,$B33,0)</f>
        <v>#N/A</v>
      </c>
      <c r="F33" s="126" t="e">
        <f>VLOOKUP(F$2&amp;$C33&amp;$A33,集計!$D:$R,$B33,0)</f>
        <v>#N/A</v>
      </c>
      <c r="G33" s="126" t="e">
        <f>VLOOKUP(G$2&amp;$C33&amp;$A33,集計!$D:$R,$B33,0)</f>
        <v>#N/A</v>
      </c>
      <c r="H33" s="126" t="e">
        <f>VLOOKUP(H$2&amp;$C33&amp;$A33,集計!$D:$R,$B33,0)</f>
        <v>#N/A</v>
      </c>
      <c r="I33" s="127" t="e">
        <f>D33+E33+F33+G33+H33</f>
        <v>#N/A</v>
      </c>
      <c r="J33" s="126" t="e">
        <f>VLOOKUP(J$2&amp;$C33&amp;$A33,集計!$D:$R,$B33,0)</f>
        <v>#N/A</v>
      </c>
      <c r="K33" s="126" t="e">
        <f>VLOOKUP(K$2&amp;$C33&amp;$A33,集計!$D:$R,$B33,0)</f>
        <v>#N/A</v>
      </c>
      <c r="L33" s="126" t="e">
        <f>VLOOKUP(L$2&amp;$C33&amp;$A33,集計!$D:$R,$B33,0)</f>
        <v>#N/A</v>
      </c>
      <c r="M33" s="126" t="e">
        <f>VLOOKUP(M$2&amp;$C33&amp;$A33,集計!$D:$R,$B33,0)</f>
        <v>#N/A</v>
      </c>
      <c r="N33" s="127" t="e">
        <f>J33+K33+L33+M33</f>
        <v>#N/A</v>
      </c>
      <c r="O33" s="126" t="e">
        <f>VLOOKUP(O$2&amp;$C33&amp;$A33,集計!$D:$R,$B33,0)</f>
        <v>#N/A</v>
      </c>
      <c r="P33" s="126" t="e">
        <f>VLOOKUP(P$2&amp;$C33&amp;$A33,集計!$D:$R,$B33,0)</f>
        <v>#N/A</v>
      </c>
      <c r="Q33" s="126" t="e">
        <f>VLOOKUP(Q$2&amp;$C33&amp;$A33,集計!$D:$R,$B33,0)</f>
        <v>#N/A</v>
      </c>
      <c r="R33" s="126" t="e">
        <f>VLOOKUP(R$2&amp;$C33&amp;$A33,集計!$D:$R,$B33,0)</f>
        <v>#N/A</v>
      </c>
      <c r="S33" s="126" t="e">
        <f>VLOOKUP(S$2&amp;$C33&amp;$A33,集計!$D:$R,$B33,0)</f>
        <v>#N/A</v>
      </c>
      <c r="T33" s="127" t="e">
        <f>O33+P33+Q33+R33+S33</f>
        <v>#N/A</v>
      </c>
      <c r="U33" s="126" t="e">
        <f>VLOOKUP(U$2&amp;$C33&amp;$A33,集計!$D:$R,$B33,0)</f>
        <v>#N/A</v>
      </c>
      <c r="V33" s="126" t="e">
        <f>VLOOKUP(V$2&amp;$C33&amp;$A33,集計!$D:$R,$B33,0)</f>
        <v>#N/A</v>
      </c>
      <c r="W33" s="126" t="e">
        <f>VLOOKUP(W$2&amp;$C33&amp;$A33,集計!$D:$R,$B33,0)</f>
        <v>#N/A</v>
      </c>
      <c r="X33" s="127" t="e">
        <f>U33+V33+W33</f>
        <v>#N/A</v>
      </c>
      <c r="Y33" s="126" t="e">
        <f>VLOOKUP(Y$2&amp;$C33&amp;$A33,集計!$D:$R,$B33,0)</f>
        <v>#N/A</v>
      </c>
      <c r="Z33" s="126" t="e">
        <f>VLOOKUP(Z$2&amp;$C33&amp;$A33,集計!$D:$R,$B33,0)</f>
        <v>#N/A</v>
      </c>
      <c r="AA33" s="126" t="e">
        <f>VLOOKUP(AA$2&amp;$C33&amp;$A33,集計!$D:$R,$B33,0)</f>
        <v>#N/A</v>
      </c>
      <c r="AB33" s="127" t="e">
        <f>Y33+Z33+AA33</f>
        <v>#N/A</v>
      </c>
      <c r="AC33" s="127" t="e">
        <f>I33+N33+T33+X33+AB33</f>
        <v>#N/A</v>
      </c>
      <c r="AD33" s="126" t="e">
        <f>VLOOKUP(AD$2&amp;$C33&amp;$A33,集計!$D:$R,$B33,0)</f>
        <v>#N/A</v>
      </c>
      <c r="AE33" s="126" t="e">
        <f>VLOOKUP(AE$2&amp;$C33&amp;$A33,集計!$D:$R,$B33,0)</f>
        <v>#N/A</v>
      </c>
      <c r="AF33" s="126" t="e">
        <f>VLOOKUP(AF$2&amp;$C33&amp;$A33,集計!$D:$R,$B33,0)</f>
        <v>#N/A</v>
      </c>
      <c r="AG33" s="126" t="e">
        <f>VLOOKUP(AG$2&amp;$C33&amp;$A33,集計!$D:$R,$B33,0)</f>
        <v>#N/A</v>
      </c>
      <c r="AH33" s="127" t="e">
        <f>AD33+AE33+AF33+AG33</f>
        <v>#N/A</v>
      </c>
      <c r="AI33" s="126" t="e">
        <f>VLOOKUP(AI$2&amp;$C33&amp;$A33,集計!$D:$R,$B33,0)</f>
        <v>#N/A</v>
      </c>
      <c r="AJ33" s="126" t="e">
        <f>VLOOKUP(AJ$2&amp;$C33&amp;$A33,集計!$D:$R,$B33,0)</f>
        <v>#N/A</v>
      </c>
      <c r="AK33" s="126" t="e">
        <f>VLOOKUP(AK$2&amp;$C33&amp;$A33,集計!$D:$R,$B33,0)</f>
        <v>#N/A</v>
      </c>
      <c r="AL33" s="127" t="e">
        <f>AI33+AJ33+AK33</f>
        <v>#N/A</v>
      </c>
      <c r="AM33" s="126" t="e">
        <f>VLOOKUP(AM$2&amp;$C33&amp;$A33,集計!$D:$R,$B33,0)</f>
        <v>#N/A</v>
      </c>
      <c r="AN33" s="126" t="e">
        <f>VLOOKUP(AN$2&amp;$C33&amp;$A33,集計!$D:$R,$B33,0)</f>
        <v>#N/A</v>
      </c>
      <c r="AO33" s="127" t="e">
        <f>AM33+AN33</f>
        <v>#N/A</v>
      </c>
      <c r="AP33" s="126" t="e">
        <f>VLOOKUP(AP$2&amp;$C33&amp;$A33,集計!$D:$R,$B33,0)</f>
        <v>#N/A</v>
      </c>
      <c r="AQ33" s="126" t="e">
        <f>VLOOKUP(AQ$2&amp;$C33&amp;$A33,集計!$D:$R,$B33,0)</f>
        <v>#N/A</v>
      </c>
      <c r="AR33" s="126" t="e">
        <f>VLOOKUP(AR$2&amp;$C33&amp;$A33,集計!$D:$R,$B33,0)</f>
        <v>#N/A</v>
      </c>
      <c r="AS33" s="127" t="e">
        <f>AP33+AQ33+AR33</f>
        <v>#N/A</v>
      </c>
      <c r="AT33" s="127" t="e">
        <f>AH33+AL33+AO33+AS33</f>
        <v>#N/A</v>
      </c>
      <c r="AU33" s="126" t="e">
        <f>VLOOKUP(AU$2&amp;$C33&amp;$A33,集計!$D:$R,$B33,0)</f>
        <v>#N/A</v>
      </c>
      <c r="AV33" s="126" t="e">
        <f>VLOOKUP(AV$2&amp;$C33&amp;$A33,集計!$D:$R,$B33,0)</f>
        <v>#N/A</v>
      </c>
      <c r="AW33" s="126" t="e">
        <f>VLOOKUP(AW$2&amp;$C33&amp;$A33,集計!$D:$R,$B33,0)</f>
        <v>#N/A</v>
      </c>
      <c r="AX33" s="126" t="e">
        <f>VLOOKUP(AX$2&amp;$C33&amp;$A33,集計!$D:$R,$B33,0)</f>
        <v>#N/A</v>
      </c>
      <c r="AY33" s="126" t="e">
        <f>VLOOKUP(AY$2&amp;$C33&amp;$A33,集計!$D:$R,$B33,0)</f>
        <v>#N/A</v>
      </c>
      <c r="AZ33" s="127" t="e">
        <f>AU33+AV33+AW33+AX33+AY33</f>
        <v>#N/A</v>
      </c>
      <c r="BA33" s="127" t="e">
        <f>AZ33</f>
        <v>#N/A</v>
      </c>
      <c r="BB33" s="126" t="e">
        <f>VLOOKUP(BB$2&amp;$C33&amp;$A33,集計!$D:$R,$B33,0)</f>
        <v>#N/A</v>
      </c>
      <c r="BC33" s="126" t="e">
        <f>VLOOKUP(BC$2&amp;$C33&amp;$A33,集計!$D:$R,$B33,0)</f>
        <v>#N/A</v>
      </c>
      <c r="BD33" s="127" t="e">
        <f>BB33+BC33</f>
        <v>#N/A</v>
      </c>
      <c r="BE33" s="126" t="e">
        <f>VLOOKUP(BE$2&amp;$C33&amp;$A33,集計!$D:$R,$B33,0)</f>
        <v>#N/A</v>
      </c>
      <c r="BF33" s="126" t="e">
        <f>VLOOKUP(BF$2&amp;$C33&amp;$A33,集計!$D:$R,$B33,0)</f>
        <v>#N/A</v>
      </c>
      <c r="BG33" s="126" t="e">
        <f>VLOOKUP(BG$2&amp;$C33&amp;$A33,集計!$D:$R,$B33,0)</f>
        <v>#N/A</v>
      </c>
      <c r="BH33" s="126" t="e">
        <f>VLOOKUP(BH$2&amp;$C33&amp;$A33,集計!$D:$R,$B33,0)</f>
        <v>#N/A</v>
      </c>
      <c r="BI33" s="126" t="e">
        <f>VLOOKUP(BI$2&amp;$C33&amp;$A33,集計!$D:$R,$B33,0)</f>
        <v>#N/A</v>
      </c>
      <c r="BJ33" s="127" t="e">
        <f>BE33+BF33+BG33+BH33+BI33</f>
        <v>#N/A</v>
      </c>
      <c r="BK33" s="126" t="e">
        <f>VLOOKUP(BK$2&amp;$C33&amp;$A33,集計!$D:$R,$B33,0)</f>
        <v>#N/A</v>
      </c>
      <c r="BL33" s="126" t="e">
        <f>VLOOKUP(BL$2&amp;$C33&amp;$A33,集計!$D:$R,$B33,0)</f>
        <v>#N/A</v>
      </c>
      <c r="BM33" s="126" t="e">
        <f>VLOOKUP(BM$2&amp;$C33&amp;$A33,集計!$D:$R,$B33,0)</f>
        <v>#N/A</v>
      </c>
      <c r="BN33" s="126" t="e">
        <f>VLOOKUP(BN$2&amp;$C33&amp;$A33,集計!$D:$R,$B33,0)</f>
        <v>#N/A</v>
      </c>
      <c r="BO33" s="126" t="e">
        <f>VLOOKUP(BO$2&amp;$C33&amp;$A33,集計!$D:$R,$B33,0)</f>
        <v>#N/A</v>
      </c>
      <c r="BP33" s="126" t="e">
        <f>VLOOKUP(BP$2&amp;$C33&amp;$A33,集計!$D:$R,$B33,0)</f>
        <v>#N/A</v>
      </c>
      <c r="BQ33" s="127" t="e">
        <f>BK33+BL33+BM33+BN33+BO33+BP33</f>
        <v>#N/A</v>
      </c>
      <c r="BR33" s="126" t="e">
        <f>VLOOKUP(BR$2&amp;$C33&amp;$A33,集計!$D:$R,$B33,0)</f>
        <v>#N/A</v>
      </c>
      <c r="BS33" s="126" t="e">
        <f>VLOOKUP(BS$2&amp;$C33&amp;$A33,集計!$D:$R,$B33,0)</f>
        <v>#N/A</v>
      </c>
      <c r="BT33" s="126" t="e">
        <f>VLOOKUP(BT$2&amp;$C33&amp;$A33,集計!$D:$R,$B33,0)</f>
        <v>#N/A</v>
      </c>
      <c r="BU33" s="127" t="e">
        <f>BR33+BS33+BT33</f>
        <v>#N/A</v>
      </c>
      <c r="BV33" s="126" t="e">
        <f>VLOOKUP(BV$2&amp;$C33&amp;$A33,集計!$D:$R,$B33,0)</f>
        <v>#N/A</v>
      </c>
      <c r="BW33" s="127" t="e">
        <f>BV33</f>
        <v>#N/A</v>
      </c>
      <c r="BX33" s="127" t="e">
        <f>AC33+AT33+BA33+BD33+BJ33+BQ33+BU33+BW33</f>
        <v>#N/A</v>
      </c>
    </row>
    <row r="34" spans="1:76" s="124" customFormat="1">
      <c r="A34" s="120" t="s">
        <v>40</v>
      </c>
      <c r="B34" s="150">
        <v>8</v>
      </c>
      <c r="C34" s="128" t="s">
        <v>107</v>
      </c>
      <c r="D34" s="129" t="e">
        <f>VLOOKUP(D$2&amp;$C34&amp;$A34,集計!$D:$R,$B34,0)</f>
        <v>#N/A</v>
      </c>
      <c r="E34" s="129" t="e">
        <f>VLOOKUP(E$2&amp;$C34&amp;$A34,集計!$D:$R,$B34,0)</f>
        <v>#N/A</v>
      </c>
      <c r="F34" s="129" t="e">
        <f>VLOOKUP(F$2&amp;$C34&amp;$A34,集計!$D:$R,$B34,0)</f>
        <v>#N/A</v>
      </c>
      <c r="G34" s="129" t="e">
        <f>VLOOKUP(G$2&amp;$C34&amp;$A34,集計!$D:$R,$B34,0)</f>
        <v>#N/A</v>
      </c>
      <c r="H34" s="129" t="e">
        <f>VLOOKUP(H$2&amp;$C34&amp;$A34,集計!$D:$R,$B34,0)</f>
        <v>#N/A</v>
      </c>
      <c r="I34" s="130" t="e">
        <f>D34+E34+F34+G34+H34</f>
        <v>#N/A</v>
      </c>
      <c r="J34" s="129" t="e">
        <f>VLOOKUP(J$2&amp;$C34&amp;$A34,集計!$D:$R,$B34,0)</f>
        <v>#N/A</v>
      </c>
      <c r="K34" s="129" t="e">
        <f>VLOOKUP(K$2&amp;$C34&amp;$A34,集計!$D:$R,$B34,0)</f>
        <v>#N/A</v>
      </c>
      <c r="L34" s="129" t="e">
        <f>VLOOKUP(L$2&amp;$C34&amp;$A34,集計!$D:$R,$B34,0)</f>
        <v>#N/A</v>
      </c>
      <c r="M34" s="129" t="e">
        <f>VLOOKUP(M$2&amp;$C34&amp;$A34,集計!$D:$R,$B34,0)</f>
        <v>#N/A</v>
      </c>
      <c r="N34" s="130" t="e">
        <f>J34+K34+L34+M34</f>
        <v>#N/A</v>
      </c>
      <c r="O34" s="129" t="e">
        <f>VLOOKUP(O$2&amp;$C34&amp;$A34,集計!$D:$R,$B34,0)</f>
        <v>#N/A</v>
      </c>
      <c r="P34" s="129" t="e">
        <f>VLOOKUP(P$2&amp;$C34&amp;$A34,集計!$D:$R,$B34,0)</f>
        <v>#N/A</v>
      </c>
      <c r="Q34" s="129" t="e">
        <f>VLOOKUP(Q$2&amp;$C34&amp;$A34,集計!$D:$R,$B34,0)</f>
        <v>#N/A</v>
      </c>
      <c r="R34" s="129" t="e">
        <f>VLOOKUP(R$2&amp;$C34&amp;$A34,集計!$D:$R,$B34,0)</f>
        <v>#N/A</v>
      </c>
      <c r="S34" s="129" t="e">
        <f>VLOOKUP(S$2&amp;$C34&amp;$A34,集計!$D:$R,$B34,0)</f>
        <v>#N/A</v>
      </c>
      <c r="T34" s="130" t="e">
        <f>O34+P34+Q34+R34+S34</f>
        <v>#N/A</v>
      </c>
      <c r="U34" s="129" t="e">
        <f>VLOOKUP(U$2&amp;$C34&amp;$A34,集計!$D:$R,$B34,0)</f>
        <v>#N/A</v>
      </c>
      <c r="V34" s="129" t="e">
        <f>VLOOKUP(V$2&amp;$C34&amp;$A34,集計!$D:$R,$B34,0)</f>
        <v>#N/A</v>
      </c>
      <c r="W34" s="129" t="e">
        <f>VLOOKUP(W$2&amp;$C34&amp;$A34,集計!$D:$R,$B34,0)</f>
        <v>#N/A</v>
      </c>
      <c r="X34" s="130" t="e">
        <f>U34+V34+W34</f>
        <v>#N/A</v>
      </c>
      <c r="Y34" s="129" t="e">
        <f>VLOOKUP(Y$2&amp;$C34&amp;$A34,集計!$D:$R,$B34,0)</f>
        <v>#N/A</v>
      </c>
      <c r="Z34" s="129" t="e">
        <f>VLOOKUP(Z$2&amp;$C34&amp;$A34,集計!$D:$R,$B34,0)</f>
        <v>#N/A</v>
      </c>
      <c r="AA34" s="129" t="e">
        <f>VLOOKUP(AA$2&amp;$C34&amp;$A34,集計!$D:$R,$B34,0)</f>
        <v>#N/A</v>
      </c>
      <c r="AB34" s="130" t="e">
        <f>Y34+Z34+AA34</f>
        <v>#N/A</v>
      </c>
      <c r="AC34" s="130" t="e">
        <f>I34+N34+T34+X34+AB34</f>
        <v>#N/A</v>
      </c>
      <c r="AD34" s="129" t="e">
        <f>VLOOKUP(AD$2&amp;$C34&amp;$A34,集計!$D:$R,$B34,0)</f>
        <v>#N/A</v>
      </c>
      <c r="AE34" s="129" t="e">
        <f>VLOOKUP(AE$2&amp;$C34&amp;$A34,集計!$D:$R,$B34,0)</f>
        <v>#N/A</v>
      </c>
      <c r="AF34" s="129" t="e">
        <f>VLOOKUP(AF$2&amp;$C34&amp;$A34,集計!$D:$R,$B34,0)</f>
        <v>#N/A</v>
      </c>
      <c r="AG34" s="129" t="e">
        <f>VLOOKUP(AG$2&amp;$C34&amp;$A34,集計!$D:$R,$B34,0)</f>
        <v>#N/A</v>
      </c>
      <c r="AH34" s="130" t="e">
        <f>AD34+AE34+AF34+AG34</f>
        <v>#N/A</v>
      </c>
      <c r="AI34" s="129" t="e">
        <f>VLOOKUP(AI$2&amp;$C34&amp;$A34,集計!$D:$R,$B34,0)</f>
        <v>#N/A</v>
      </c>
      <c r="AJ34" s="129" t="e">
        <f>VLOOKUP(AJ$2&amp;$C34&amp;$A34,集計!$D:$R,$B34,0)</f>
        <v>#N/A</v>
      </c>
      <c r="AK34" s="129" t="e">
        <f>VLOOKUP(AK$2&amp;$C34&amp;$A34,集計!$D:$R,$B34,0)</f>
        <v>#N/A</v>
      </c>
      <c r="AL34" s="130" t="e">
        <f>AI34+AJ34+AK34</f>
        <v>#N/A</v>
      </c>
      <c r="AM34" s="129" t="e">
        <f>VLOOKUP(AM$2&amp;$C34&amp;$A34,集計!$D:$R,$B34,0)</f>
        <v>#N/A</v>
      </c>
      <c r="AN34" s="129" t="e">
        <f>VLOOKUP(AN$2&amp;$C34&amp;$A34,集計!$D:$R,$B34,0)</f>
        <v>#N/A</v>
      </c>
      <c r="AO34" s="130" t="e">
        <f>AM34+AN34</f>
        <v>#N/A</v>
      </c>
      <c r="AP34" s="129" t="e">
        <f>VLOOKUP(AP$2&amp;$C34&amp;$A34,集計!$D:$R,$B34,0)</f>
        <v>#N/A</v>
      </c>
      <c r="AQ34" s="129" t="e">
        <f>VLOOKUP(AQ$2&amp;$C34&amp;$A34,集計!$D:$R,$B34,0)</f>
        <v>#N/A</v>
      </c>
      <c r="AR34" s="129" t="e">
        <f>VLOOKUP(AR$2&amp;$C34&amp;$A34,集計!$D:$R,$B34,0)</f>
        <v>#N/A</v>
      </c>
      <c r="AS34" s="130" t="e">
        <f>AP34+AQ34+AR34</f>
        <v>#N/A</v>
      </c>
      <c r="AT34" s="130" t="e">
        <f>AH34+AL34+AO34+AS34</f>
        <v>#N/A</v>
      </c>
      <c r="AU34" s="129" t="e">
        <f>VLOOKUP(AU$2&amp;$C34&amp;$A34,集計!$D:$R,$B34,0)</f>
        <v>#N/A</v>
      </c>
      <c r="AV34" s="129" t="e">
        <f>VLOOKUP(AV$2&amp;$C34&amp;$A34,集計!$D:$R,$B34,0)</f>
        <v>#N/A</v>
      </c>
      <c r="AW34" s="129" t="e">
        <f>VLOOKUP(AW$2&amp;$C34&amp;$A34,集計!$D:$R,$B34,0)</f>
        <v>#N/A</v>
      </c>
      <c r="AX34" s="129" t="e">
        <f>VLOOKUP(AX$2&amp;$C34&amp;$A34,集計!$D:$R,$B34,0)</f>
        <v>#N/A</v>
      </c>
      <c r="AY34" s="129" t="e">
        <f>VLOOKUP(AY$2&amp;$C34&amp;$A34,集計!$D:$R,$B34,0)</f>
        <v>#N/A</v>
      </c>
      <c r="AZ34" s="130" t="e">
        <f>AU34+AV34+AW34+AX34+AY34</f>
        <v>#N/A</v>
      </c>
      <c r="BA34" s="130" t="e">
        <f>AZ34</f>
        <v>#N/A</v>
      </c>
      <c r="BB34" s="129" t="e">
        <f>VLOOKUP(BB$2&amp;$C34&amp;$A34,集計!$D:$R,$B34,0)</f>
        <v>#N/A</v>
      </c>
      <c r="BC34" s="129" t="e">
        <f>VLOOKUP(BC$2&amp;$C34&amp;$A34,集計!$D:$R,$B34,0)</f>
        <v>#N/A</v>
      </c>
      <c r="BD34" s="130" t="e">
        <f>BB34+BC34</f>
        <v>#N/A</v>
      </c>
      <c r="BE34" s="129" t="e">
        <f>VLOOKUP(BE$2&amp;$C34&amp;$A34,集計!$D:$R,$B34,0)</f>
        <v>#N/A</v>
      </c>
      <c r="BF34" s="129" t="e">
        <f>VLOOKUP(BF$2&amp;$C34&amp;$A34,集計!$D:$R,$B34,0)</f>
        <v>#N/A</v>
      </c>
      <c r="BG34" s="129" t="e">
        <f>VLOOKUP(BG$2&amp;$C34&amp;$A34,集計!$D:$R,$B34,0)</f>
        <v>#N/A</v>
      </c>
      <c r="BH34" s="129" t="e">
        <f>VLOOKUP(BH$2&amp;$C34&amp;$A34,集計!$D:$R,$B34,0)</f>
        <v>#N/A</v>
      </c>
      <c r="BI34" s="129" t="e">
        <f>VLOOKUP(BI$2&amp;$C34&amp;$A34,集計!$D:$R,$B34,0)</f>
        <v>#N/A</v>
      </c>
      <c r="BJ34" s="130" t="e">
        <f>BE34+BF34+BG34+BH34+BI34</f>
        <v>#N/A</v>
      </c>
      <c r="BK34" s="129" t="e">
        <f>VLOOKUP(BK$2&amp;$C34&amp;$A34,集計!$D:$R,$B34,0)</f>
        <v>#N/A</v>
      </c>
      <c r="BL34" s="129" t="e">
        <f>VLOOKUP(BL$2&amp;$C34&amp;$A34,集計!$D:$R,$B34,0)</f>
        <v>#N/A</v>
      </c>
      <c r="BM34" s="129" t="e">
        <f>VLOOKUP(BM$2&amp;$C34&amp;$A34,集計!$D:$R,$B34,0)</f>
        <v>#N/A</v>
      </c>
      <c r="BN34" s="129" t="e">
        <f>VLOOKUP(BN$2&amp;$C34&amp;$A34,集計!$D:$R,$B34,0)</f>
        <v>#N/A</v>
      </c>
      <c r="BO34" s="129" t="e">
        <f>VLOOKUP(BO$2&amp;$C34&amp;$A34,集計!$D:$R,$B34,0)</f>
        <v>#N/A</v>
      </c>
      <c r="BP34" s="129" t="e">
        <f>VLOOKUP(BP$2&amp;$C34&amp;$A34,集計!$D:$R,$B34,0)</f>
        <v>#N/A</v>
      </c>
      <c r="BQ34" s="130" t="e">
        <f>BK34+BL34+BM34+BN34+BO34+BP34</f>
        <v>#N/A</v>
      </c>
      <c r="BR34" s="129" t="e">
        <f>VLOOKUP(BR$2&amp;$C34&amp;$A34,集計!$D:$R,$B34,0)</f>
        <v>#N/A</v>
      </c>
      <c r="BS34" s="129" t="e">
        <f>VLOOKUP(BS$2&amp;$C34&amp;$A34,集計!$D:$R,$B34,0)</f>
        <v>#N/A</v>
      </c>
      <c r="BT34" s="129" t="e">
        <f>VLOOKUP(BT$2&amp;$C34&amp;$A34,集計!$D:$R,$B34,0)</f>
        <v>#N/A</v>
      </c>
      <c r="BU34" s="130" t="e">
        <f>BR34+BS34+BT34</f>
        <v>#N/A</v>
      </c>
      <c r="BV34" s="129" t="e">
        <f>VLOOKUP(BV$2&amp;$C34&amp;$A34,集計!$D:$R,$B34,0)</f>
        <v>#N/A</v>
      </c>
      <c r="BW34" s="130" t="e">
        <f>BV34</f>
        <v>#N/A</v>
      </c>
      <c r="BX34" s="130" t="e">
        <f>AC34+AT34+BA34+BD34+BJ34+BQ34+BU34+BW34</f>
        <v>#N/A</v>
      </c>
    </row>
    <row r="35" spans="1:76" s="124" customFormat="1">
      <c r="A35" s="120" t="s">
        <v>40</v>
      </c>
      <c r="B35" s="150">
        <v>8</v>
      </c>
      <c r="C35" s="131" t="s">
        <v>26</v>
      </c>
      <c r="D35" s="132" t="e">
        <f>IF(VLOOKUP(D$2&amp;$C35&amp;$A35,集計!$D:$R,$B35,0)&lt;&gt;SUM(D33:D34),"NG",SUM(D33:D34))</f>
        <v>#N/A</v>
      </c>
      <c r="E35" s="132" t="e">
        <f>IF(VLOOKUP(E$2&amp;$C35&amp;$A35,集計!$D:$R,$B35,0)&lt;&gt;SUM(E33:E34),"NG",SUM(E33:E34))</f>
        <v>#N/A</v>
      </c>
      <c r="F35" s="132" t="e">
        <f>IF(VLOOKUP(F$2&amp;$C35&amp;$A35,集計!$D:$R,$B35,0)&lt;&gt;SUM(F33:F34),"NG",SUM(F33:F34))</f>
        <v>#N/A</v>
      </c>
      <c r="G35" s="132" t="e">
        <f>IF(VLOOKUP(G$2&amp;$C35&amp;$A35,集計!$D:$R,$B35,0)&lt;&gt;SUM(G33:G34),"NG",SUM(G33:G34))</f>
        <v>#N/A</v>
      </c>
      <c r="H35" s="132" t="e">
        <f>IF(VLOOKUP(H$2&amp;$C35&amp;$A35,集計!$D:$R,$B35,0)&lt;&gt;SUM(H33:H34),"NG",SUM(H33:H34))</f>
        <v>#N/A</v>
      </c>
      <c r="I35" s="133" t="e">
        <f>I33+I34</f>
        <v>#N/A</v>
      </c>
      <c r="J35" s="132" t="e">
        <f>IF(VLOOKUP(J$2&amp;$C35&amp;$A35,集計!$D:$R,$B35,0)&lt;&gt;SUM(J33:J34),"NG",SUM(J33:J34))</f>
        <v>#N/A</v>
      </c>
      <c r="K35" s="132" t="e">
        <f>IF(VLOOKUP(K$2&amp;$C35&amp;$A35,集計!$D:$R,$B35,0)&lt;&gt;SUM(K33:K34),"NG",SUM(K33:K34))</f>
        <v>#N/A</v>
      </c>
      <c r="L35" s="132" t="e">
        <f>IF(VLOOKUP(L$2&amp;$C35&amp;$A35,集計!$D:$R,$B35,0)&lt;&gt;SUM(L33:L34),"NG",SUM(L33:L34))</f>
        <v>#N/A</v>
      </c>
      <c r="M35" s="132" t="e">
        <f>IF(VLOOKUP(M$2&amp;$C35&amp;$A35,集計!$D:$R,$B35,0)&lt;&gt;SUM(M33:M34),"NG",SUM(M33:M34))</f>
        <v>#N/A</v>
      </c>
      <c r="N35" s="133" t="e">
        <f>N33+N34</f>
        <v>#N/A</v>
      </c>
      <c r="O35" s="132" t="e">
        <f>IF(VLOOKUP(O$2&amp;$C35&amp;$A35,集計!$D:$R,$B35,0)&lt;&gt;SUM(O33:O34),"NG",SUM(O33:O34))</f>
        <v>#N/A</v>
      </c>
      <c r="P35" s="132" t="e">
        <f>IF(VLOOKUP(P$2&amp;$C35&amp;$A35,集計!$D:$R,$B35,0)&lt;&gt;SUM(P33:P34),"NG",SUM(P33:P34))</f>
        <v>#N/A</v>
      </c>
      <c r="Q35" s="132" t="e">
        <f>IF(VLOOKUP(Q$2&amp;$C35&amp;$A35,集計!$D:$R,$B35,0)&lt;&gt;SUM(Q33:Q34),"NG",SUM(Q33:Q34))</f>
        <v>#N/A</v>
      </c>
      <c r="R35" s="132" t="e">
        <f>IF(VLOOKUP(R$2&amp;$C35&amp;$A35,集計!$D:$R,$B35,0)&lt;&gt;SUM(R33:R34),"NG",SUM(R33:R34))</f>
        <v>#N/A</v>
      </c>
      <c r="S35" s="132" t="e">
        <f>IF(VLOOKUP(S$2&amp;$C35&amp;$A35,集計!$D:$R,$B35,0)&lt;&gt;SUM(S33:S34),"NG",SUM(S33:S34))</f>
        <v>#N/A</v>
      </c>
      <c r="T35" s="133" t="e">
        <f>T33+T34</f>
        <v>#N/A</v>
      </c>
      <c r="U35" s="132" t="e">
        <f>IF(VLOOKUP(U$2&amp;$C35&amp;$A35,集計!$D:$R,$B35,0)&lt;&gt;SUM(U33:U34),"NG",SUM(U33:U34))</f>
        <v>#N/A</v>
      </c>
      <c r="V35" s="132" t="e">
        <f>IF(VLOOKUP(V$2&amp;$C35&amp;$A35,集計!$D:$R,$B35,0)&lt;&gt;SUM(V33:V34),"NG",SUM(V33:V34))</f>
        <v>#N/A</v>
      </c>
      <c r="W35" s="132" t="e">
        <f>IF(VLOOKUP(W$2&amp;$C35&amp;$A35,集計!$D:$R,$B35,0)&lt;&gt;SUM(W33:W34),"NG",SUM(W33:W34))</f>
        <v>#N/A</v>
      </c>
      <c r="X35" s="133" t="e">
        <f>SUM(X33:X34)</f>
        <v>#N/A</v>
      </c>
      <c r="Y35" s="132" t="e">
        <f>IF(VLOOKUP(Y$2&amp;$C35&amp;$A35,集計!$D:$R,$B35,0)&lt;&gt;SUM(Y33:Y34),"NG",SUM(Y33:Y34))</f>
        <v>#N/A</v>
      </c>
      <c r="Z35" s="132" t="e">
        <f>IF(VLOOKUP(Z$2&amp;$C35&amp;$A35,集計!$D:$R,$B35,0)&lt;&gt;SUM(Z33:Z34),"NG",SUM(Z33:Z34))</f>
        <v>#N/A</v>
      </c>
      <c r="AA35" s="132" t="e">
        <f>IF(VLOOKUP(AA$2&amp;$C35&amp;$A35,集計!$D:$R,$B35,0)&lt;&gt;SUM(AA33:AA34),"NG",SUM(AA33:AA34))</f>
        <v>#N/A</v>
      </c>
      <c r="AB35" s="133" t="e">
        <f>SUM(AB33:AB34)</f>
        <v>#N/A</v>
      </c>
      <c r="AC35" s="133" t="e">
        <f>SUM(AC33:AC34)</f>
        <v>#N/A</v>
      </c>
      <c r="AD35" s="132" t="e">
        <f>IF(VLOOKUP(AD$2&amp;$C35&amp;$A35,集計!$D:$R,$B35,0)&lt;&gt;SUM(AD33:AD34),"NG",SUM(AD33:AD34))</f>
        <v>#N/A</v>
      </c>
      <c r="AE35" s="132" t="e">
        <f>IF(VLOOKUP(AE$2&amp;$C35&amp;$A35,集計!$D:$R,$B35,0)&lt;&gt;SUM(AE33:AE34),"NG",SUM(AE33:AE34))</f>
        <v>#N/A</v>
      </c>
      <c r="AF35" s="132" t="e">
        <f>IF(VLOOKUP(AF$2&amp;$C35&amp;$A35,集計!$D:$R,$B35,0)&lt;&gt;SUM(AF33:AF34),"NG",SUM(AF33:AF34))</f>
        <v>#N/A</v>
      </c>
      <c r="AG35" s="132" t="e">
        <f>IF(VLOOKUP(AG$2&amp;$C35&amp;$A35,集計!$D:$R,$B35,0)&lt;&gt;SUM(AG33:AG34),"NG",SUM(AG33:AG34))</f>
        <v>#N/A</v>
      </c>
      <c r="AH35" s="133" t="e">
        <f>SUM(AH33:AH34)</f>
        <v>#N/A</v>
      </c>
      <c r="AI35" s="132" t="e">
        <f>IF(VLOOKUP(AI$2&amp;$C35&amp;$A35,集計!$D:$R,$B35,0)&lt;&gt;SUM(AI33:AI34),"NG",SUM(AI33:AI34))</f>
        <v>#N/A</v>
      </c>
      <c r="AJ35" s="132" t="e">
        <f>IF(VLOOKUP(AJ$2&amp;$C35&amp;$A35,集計!$D:$R,$B35,0)&lt;&gt;SUM(AJ33:AJ34),"NG",SUM(AJ33:AJ34))</f>
        <v>#N/A</v>
      </c>
      <c r="AK35" s="132" t="e">
        <f>IF(VLOOKUP(AK$2&amp;$C35&amp;$A35,集計!$D:$R,$B35,0)&lt;&gt;SUM(AK33:AK34),"NG",SUM(AK33:AK34))</f>
        <v>#N/A</v>
      </c>
      <c r="AL35" s="133" t="e">
        <f>SUM(AL33:AL34)</f>
        <v>#N/A</v>
      </c>
      <c r="AM35" s="132" t="e">
        <f>IF(VLOOKUP(AM$2&amp;$C35&amp;$A35,集計!$D:$R,$B35,0)&lt;&gt;SUM(AM33:AM34),"NG",SUM(AM33:AM34))</f>
        <v>#N/A</v>
      </c>
      <c r="AN35" s="132" t="e">
        <f>IF(VLOOKUP(AN$2&amp;$C35&amp;$A35,集計!$D:$R,$B35,0)&lt;&gt;SUM(AN33:AN34),"NG",SUM(AN33:AN34))</f>
        <v>#N/A</v>
      </c>
      <c r="AO35" s="133" t="e">
        <f>SUM(AO33:AO34)</f>
        <v>#N/A</v>
      </c>
      <c r="AP35" s="132" t="e">
        <f>IF(VLOOKUP(AP$2&amp;$C35&amp;$A35,集計!$D:$R,$B35,0)&lt;&gt;SUM(AP33:AP34),"NG",SUM(AP33:AP34))</f>
        <v>#N/A</v>
      </c>
      <c r="AQ35" s="132" t="e">
        <f>IF(VLOOKUP(AQ$2&amp;$C35&amp;$A35,集計!$D:$R,$B35,0)&lt;&gt;SUM(AQ33:AQ34),"NG",SUM(AQ33:AQ34))</f>
        <v>#N/A</v>
      </c>
      <c r="AR35" s="132" t="e">
        <f>IF(VLOOKUP(AR$2&amp;$C35&amp;$A35,集計!$D:$R,$B35,0)&lt;&gt;SUM(AR33:AR34),"NG",SUM(AR33:AR34))</f>
        <v>#N/A</v>
      </c>
      <c r="AS35" s="133" t="e">
        <f>SUM(AS33:AS34)</f>
        <v>#N/A</v>
      </c>
      <c r="AT35" s="133" t="e">
        <f>SUM(AT33:AT34)</f>
        <v>#N/A</v>
      </c>
      <c r="AU35" s="132" t="e">
        <f>IF(VLOOKUP(AU$2&amp;$C35&amp;$A35,集計!$D:$R,$B35,0)&lt;&gt;SUM(AU33:AU34),"NG",SUM(AU33:AU34))</f>
        <v>#N/A</v>
      </c>
      <c r="AV35" s="132" t="e">
        <f>IF(VLOOKUP(AV$2&amp;$C35&amp;$A35,集計!$D:$R,$B35,0)&lt;&gt;SUM(AV33:AV34),"NG",SUM(AV33:AV34))</f>
        <v>#N/A</v>
      </c>
      <c r="AW35" s="132" t="e">
        <f>IF(VLOOKUP(AW$2&amp;$C35&amp;$A35,集計!$D:$R,$B35,0)&lt;&gt;SUM(AW33:AW34),"NG",SUM(AW33:AW34))</f>
        <v>#N/A</v>
      </c>
      <c r="AX35" s="132" t="e">
        <f>IF(VLOOKUP(AX$2&amp;$C35&amp;$A35,集計!$D:$R,$B35,0)&lt;&gt;SUM(AX33:AX34),"NG",SUM(AX33:AX34))</f>
        <v>#N/A</v>
      </c>
      <c r="AY35" s="132" t="e">
        <f>IF(VLOOKUP(AY$2&amp;$C35&amp;$A35,集計!$D:$R,$B35,0)&lt;&gt;SUM(AY33:AY34),"NG",SUM(AY33:AY34))</f>
        <v>#N/A</v>
      </c>
      <c r="AZ35" s="133" t="e">
        <f>AZ33+AZ34</f>
        <v>#N/A</v>
      </c>
      <c r="BA35" s="133" t="e">
        <f>BA33+BA34</f>
        <v>#N/A</v>
      </c>
      <c r="BB35" s="132" t="e">
        <f>IF(VLOOKUP(BB$2&amp;$C35&amp;$A35,集計!$D:$R,$B35,0)&lt;&gt;SUM(BB33:BB34),"NG",SUM(BB33:BB34))</f>
        <v>#N/A</v>
      </c>
      <c r="BC35" s="132" t="e">
        <f>IF(VLOOKUP(BC$2&amp;$C35&amp;$A35,集計!$D:$R,$B35,0)&lt;&gt;SUM(BC33:BC34),"NG",SUM(BC33:BC34))</f>
        <v>#N/A</v>
      </c>
      <c r="BD35" s="133" t="e">
        <f>SUM(BD33:BD34)</f>
        <v>#N/A</v>
      </c>
      <c r="BE35" s="132" t="e">
        <f>IF(VLOOKUP(BE$2&amp;$C35&amp;$A35,集計!$D:$R,$B35,0)&lt;&gt;SUM(BE33:BE34),"NG",SUM(BE33:BE34))</f>
        <v>#N/A</v>
      </c>
      <c r="BF35" s="132" t="e">
        <f>IF(VLOOKUP(BF$2&amp;$C35&amp;$A35,集計!$D:$R,$B35,0)&lt;&gt;SUM(BF33:BF34),"NG",SUM(BF33:BF34))</f>
        <v>#N/A</v>
      </c>
      <c r="BG35" s="132" t="e">
        <f>IF(VLOOKUP(BG$2&amp;$C35&amp;$A35,集計!$D:$R,$B35,0)&lt;&gt;SUM(BG33:BG34),"NG",SUM(BG33:BG34))</f>
        <v>#N/A</v>
      </c>
      <c r="BH35" s="132" t="e">
        <f>IF(VLOOKUP(BH$2&amp;$C35&amp;$A35,集計!$D:$R,$B35,0)&lt;&gt;SUM(BH33:BH34),"NG",SUM(BH33:BH34))</f>
        <v>#N/A</v>
      </c>
      <c r="BI35" s="132" t="e">
        <f>IF(VLOOKUP(BI$2&amp;$C35&amp;$A35,集計!$D:$R,$B35,0)&lt;&gt;SUM(BI33:BI34),"NG",SUM(BI33:BI34))</f>
        <v>#N/A</v>
      </c>
      <c r="BJ35" s="133" t="e">
        <f>BJ33+BJ34</f>
        <v>#N/A</v>
      </c>
      <c r="BK35" s="132" t="e">
        <f>IF(VLOOKUP(BK$2&amp;$C35&amp;$A35,集計!$D:$R,$B35,0)&lt;&gt;SUM(BK33:BK34),"NG",SUM(BK33:BK34))</f>
        <v>#N/A</v>
      </c>
      <c r="BL35" s="132" t="e">
        <f>IF(VLOOKUP(BL$2&amp;$C35&amp;$A35,集計!$D:$R,$B35,0)&lt;&gt;SUM(BL33:BL34),"NG",SUM(BL33:BL34))</f>
        <v>#N/A</v>
      </c>
      <c r="BM35" s="132" t="e">
        <f>IF(VLOOKUP(BM$2&amp;$C35&amp;$A35,集計!$D:$R,$B35,0)&lt;&gt;SUM(BM33:BM34),"NG",SUM(BM33:BM34))</f>
        <v>#N/A</v>
      </c>
      <c r="BN35" s="132" t="e">
        <f>IF(VLOOKUP(BN$2&amp;$C35&amp;$A35,集計!$D:$R,$B35,0)&lt;&gt;SUM(BN33:BN34),"NG",SUM(BN33:BN34))</f>
        <v>#N/A</v>
      </c>
      <c r="BO35" s="132" t="e">
        <f>IF(VLOOKUP(BO$2&amp;$C35&amp;$A35,集計!$D:$R,$B35,0)&lt;&gt;SUM(BO33:BO34),"NG",SUM(BO33:BO34))</f>
        <v>#N/A</v>
      </c>
      <c r="BP35" s="132" t="e">
        <f>IF(VLOOKUP(BP$2&amp;$C35&amp;$A35,集計!$D:$R,$B35,0)&lt;&gt;SUM(BP33:BP34),"NG",SUM(BP33:BP34))</f>
        <v>#N/A</v>
      </c>
      <c r="BQ35" s="133" t="e">
        <f>BQ33+BQ34</f>
        <v>#N/A</v>
      </c>
      <c r="BR35" s="132" t="e">
        <f>IF(VLOOKUP(BR$2&amp;$C35&amp;$A35,集計!$D:$R,$B35,0)&lt;&gt;SUM(BR33:BR34),"NG",SUM(BR33:BR34))</f>
        <v>#N/A</v>
      </c>
      <c r="BS35" s="132" t="e">
        <f>IF(VLOOKUP(BS$2&amp;$C35&amp;$A35,集計!$D:$R,$B35,0)&lt;&gt;SUM(BS33:BS34),"NG",SUM(BS33:BS34))</f>
        <v>#N/A</v>
      </c>
      <c r="BT35" s="132" t="e">
        <f>IF(VLOOKUP(BT$2&amp;$C35&amp;$A35,集計!$D:$R,$B35,0)&lt;&gt;SUM(BT33:BT34),"NG",SUM(BT33:BT34))</f>
        <v>#N/A</v>
      </c>
      <c r="BU35" s="133" t="e">
        <f>BU33+BU34</f>
        <v>#N/A</v>
      </c>
      <c r="BV35" s="132" t="e">
        <f>IF(VLOOKUP(BV$2&amp;$C35&amp;$A35,集計!$D:$R,$B35,0)&lt;&gt;SUM(BV33:BV34),"NG",SUM(BV33:BV34))</f>
        <v>#N/A</v>
      </c>
      <c r="BW35" s="133" t="e">
        <f>SUM(BW33:BW34)</f>
        <v>#N/A</v>
      </c>
      <c r="BX35" s="133" t="e">
        <f>SUM(BX33:BX34)</f>
        <v>#N/A</v>
      </c>
    </row>
    <row r="36" spans="1:76" s="124" customFormat="1" ht="15" thickBot="1">
      <c r="A36" s="120" t="s">
        <v>40</v>
      </c>
      <c r="B36" s="150">
        <v>8</v>
      </c>
      <c r="C36" s="135" t="s">
        <v>27</v>
      </c>
      <c r="D36" s="136" t="e">
        <f>IF(VLOOKUP(D$2&amp;$C36&amp;$A36,集計!$D:$R,$B36,0)&lt;&gt;SUM(D32,D35),"NG",SUM(D32,D35))</f>
        <v>#N/A</v>
      </c>
      <c r="E36" s="136" t="e">
        <f>IF(VLOOKUP(E$2&amp;$C36&amp;$A36,集計!$D:$R,$B36,0)&lt;&gt;SUM(E32,E35),"NG",SUM(E32,E35))</f>
        <v>#N/A</v>
      </c>
      <c r="F36" s="136" t="e">
        <f>IF(VLOOKUP(F$2&amp;$C36&amp;$A36,集計!$D:$R,$B36,0)&lt;&gt;SUM(F32,F35),"NG",SUM(F32,F35))</f>
        <v>#N/A</v>
      </c>
      <c r="G36" s="136" t="e">
        <f>IF(VLOOKUP(G$2&amp;$C36&amp;$A36,集計!$D:$R,$B36,0)&lt;&gt;SUM(G32,G35),"NG",SUM(G32,G35))</f>
        <v>#N/A</v>
      </c>
      <c r="H36" s="136" t="e">
        <f>IF(VLOOKUP(H$2&amp;$C36&amp;$A36,集計!$D:$R,$B36,0)&lt;&gt;SUM(H32,H35),"NG",SUM(H32,H35))</f>
        <v>#N/A</v>
      </c>
      <c r="I36" s="137" t="e">
        <f>I32+I35</f>
        <v>#N/A</v>
      </c>
      <c r="J36" s="136" t="e">
        <f>IF(VLOOKUP(J$2&amp;$C36&amp;$A36,集計!$D:$R,$B36,0)&lt;&gt;SUM(J32,J35),"NG",SUM(J32,J35))</f>
        <v>#N/A</v>
      </c>
      <c r="K36" s="136" t="e">
        <f>IF(VLOOKUP(K$2&amp;$C36&amp;$A36,集計!$D:$R,$B36,0)&lt;&gt;SUM(K32,K35),"NG",SUM(K32,K35))</f>
        <v>#N/A</v>
      </c>
      <c r="L36" s="136" t="e">
        <f>IF(VLOOKUP(L$2&amp;$C36&amp;$A36,集計!$D:$R,$B36,0)&lt;&gt;SUM(L32,L35),"NG",SUM(L32,L35))</f>
        <v>#N/A</v>
      </c>
      <c r="M36" s="136" t="e">
        <f>IF(VLOOKUP(M$2&amp;$C36&amp;$A36,集計!$D:$R,$B36,0)&lt;&gt;SUM(M32,M35),"NG",SUM(M32,M35))</f>
        <v>#N/A</v>
      </c>
      <c r="N36" s="137" t="e">
        <f>N32+N35</f>
        <v>#N/A</v>
      </c>
      <c r="O36" s="136" t="e">
        <f>IF(VLOOKUP(O$2&amp;$C36&amp;$A36,集計!$D:$R,$B36,0)&lt;&gt;SUM(O32,O35),"NG",SUM(O32,O35))</f>
        <v>#N/A</v>
      </c>
      <c r="P36" s="136" t="e">
        <f>IF(VLOOKUP(P$2&amp;$C36&amp;$A36,集計!$D:$R,$B36,0)&lt;&gt;SUM(P32,P35),"NG",SUM(P32,P35))</f>
        <v>#N/A</v>
      </c>
      <c r="Q36" s="136" t="e">
        <f>IF(VLOOKUP(Q$2&amp;$C36&amp;$A36,集計!$D:$R,$B36,0)&lt;&gt;SUM(Q32,Q35),"NG",SUM(Q32,Q35))</f>
        <v>#N/A</v>
      </c>
      <c r="R36" s="136" t="e">
        <f>IF(VLOOKUP(R$2&amp;$C36&amp;$A36,集計!$D:$R,$B36,0)&lt;&gt;SUM(R32,R35),"NG",SUM(R32,R35))</f>
        <v>#N/A</v>
      </c>
      <c r="S36" s="136" t="e">
        <f>IF(VLOOKUP(S$2&amp;$C36&amp;$A36,集計!$D:$R,$B36,0)&lt;&gt;SUM(S32,S35),"NG",SUM(S32,S35))</f>
        <v>#N/A</v>
      </c>
      <c r="T36" s="137" t="e">
        <f>T32+T35</f>
        <v>#N/A</v>
      </c>
      <c r="U36" s="136" t="e">
        <f>IF(VLOOKUP(U$2&amp;$C36&amp;$A36,集計!$D:$R,$B36,0)&lt;&gt;SUM(U32,U35),"NG",SUM(U32,U35))</f>
        <v>#N/A</v>
      </c>
      <c r="V36" s="136" t="e">
        <f>IF(VLOOKUP(V$2&amp;$C36&amp;$A36,集計!$D:$R,$B36,0)&lt;&gt;SUM(V32,V35),"NG",SUM(V32,V35))</f>
        <v>#N/A</v>
      </c>
      <c r="W36" s="136" t="e">
        <f>IF(VLOOKUP(W$2&amp;$C36&amp;$A36,集計!$D:$R,$B36,0)&lt;&gt;SUM(W32,W35),"NG",SUM(W32,W35))</f>
        <v>#N/A</v>
      </c>
      <c r="X36" s="137" t="e">
        <f>X32+X35</f>
        <v>#N/A</v>
      </c>
      <c r="Y36" s="136" t="e">
        <f>IF(VLOOKUP(Y$2&amp;$C36&amp;$A36,集計!$D:$R,$B36,0)&lt;&gt;SUM(Y32,Y35),"NG",SUM(Y32,Y35))</f>
        <v>#N/A</v>
      </c>
      <c r="Z36" s="136" t="e">
        <f>IF(VLOOKUP(Z$2&amp;$C36&amp;$A36,集計!$D:$R,$B36,0)&lt;&gt;SUM(Z32,Z35),"NG",SUM(Z32,Z35))</f>
        <v>#N/A</v>
      </c>
      <c r="AA36" s="136" t="e">
        <f>IF(VLOOKUP(AA$2&amp;$C36&amp;$A36,集計!$D:$R,$B36,0)&lt;&gt;SUM(AA32,AA35),"NG",SUM(AA32,AA35))</f>
        <v>#N/A</v>
      </c>
      <c r="AB36" s="137" t="e">
        <f>AB32+AB35</f>
        <v>#N/A</v>
      </c>
      <c r="AC36" s="137" t="e">
        <f>AC32+AC35</f>
        <v>#N/A</v>
      </c>
      <c r="AD36" s="136" t="e">
        <f>IF(VLOOKUP(AD$2&amp;$C36&amp;$A36,集計!$D:$R,$B36,0)&lt;&gt;SUM(AD32,AD35),"NG",SUM(AD32,AD35))</f>
        <v>#N/A</v>
      </c>
      <c r="AE36" s="136" t="e">
        <f>IF(VLOOKUP(AE$2&amp;$C36&amp;$A36,集計!$D:$R,$B36,0)&lt;&gt;SUM(AE32,AE35),"NG",SUM(AE32,AE35))</f>
        <v>#N/A</v>
      </c>
      <c r="AF36" s="136" t="e">
        <f>IF(VLOOKUP(AF$2&amp;$C36&amp;$A36,集計!$D:$R,$B36,0)&lt;&gt;SUM(AF32,AF35),"NG",SUM(AF32,AF35))</f>
        <v>#N/A</v>
      </c>
      <c r="AG36" s="136" t="e">
        <f>IF(VLOOKUP(AG$2&amp;$C36&amp;$A36,集計!$D:$R,$B36,0)&lt;&gt;SUM(AG32,AG35),"NG",SUM(AG32,AG35))</f>
        <v>#N/A</v>
      </c>
      <c r="AH36" s="137" t="e">
        <f>AH32+AH35</f>
        <v>#N/A</v>
      </c>
      <c r="AI36" s="136" t="e">
        <f>IF(VLOOKUP(AI$2&amp;$C36&amp;$A36,集計!$D:$R,$B36,0)&lt;&gt;SUM(AI32,AI35),"NG",SUM(AI32,AI35))</f>
        <v>#N/A</v>
      </c>
      <c r="AJ36" s="136" t="e">
        <f>IF(VLOOKUP(AJ$2&amp;$C36&amp;$A36,集計!$D:$R,$B36,0)&lt;&gt;SUM(AJ32,AJ35),"NG",SUM(AJ32,AJ35))</f>
        <v>#N/A</v>
      </c>
      <c r="AK36" s="136" t="e">
        <f>IF(VLOOKUP(AK$2&amp;$C36&amp;$A36,集計!$D:$R,$B36,0)&lt;&gt;SUM(AK32,AK35),"NG",SUM(AK32,AK35))</f>
        <v>#N/A</v>
      </c>
      <c r="AL36" s="137" t="e">
        <f>AL32+AL35</f>
        <v>#N/A</v>
      </c>
      <c r="AM36" s="136" t="e">
        <f>IF(VLOOKUP(AM$2&amp;$C36&amp;$A36,集計!$D:$R,$B36,0)&lt;&gt;SUM(AM32,AM35),"NG",SUM(AM32,AM35))</f>
        <v>#N/A</v>
      </c>
      <c r="AN36" s="136" t="e">
        <f>IF(VLOOKUP(AN$2&amp;$C36&amp;$A36,集計!$D:$R,$B36,0)&lt;&gt;SUM(AN32,AN35),"NG",SUM(AN32,AN35))</f>
        <v>#N/A</v>
      </c>
      <c r="AO36" s="137" t="e">
        <f>AO32+AO35</f>
        <v>#N/A</v>
      </c>
      <c r="AP36" s="136" t="e">
        <f>IF(VLOOKUP(AP$2&amp;$C36&amp;$A36,集計!$D:$R,$B36,0)&lt;&gt;SUM(AP32,AP35),"NG",SUM(AP32,AP35))</f>
        <v>#N/A</v>
      </c>
      <c r="AQ36" s="136" t="e">
        <f>IF(VLOOKUP(AQ$2&amp;$C36&amp;$A36,集計!$D:$R,$B36,0)&lt;&gt;SUM(AQ32,AQ35),"NG",SUM(AQ32,AQ35))</f>
        <v>#N/A</v>
      </c>
      <c r="AR36" s="136" t="e">
        <f>IF(VLOOKUP(AR$2&amp;$C36&amp;$A36,集計!$D:$R,$B36,0)&lt;&gt;SUM(AR32,AR35),"NG",SUM(AR32,AR35))</f>
        <v>#N/A</v>
      </c>
      <c r="AS36" s="137" t="e">
        <f>AS32+AS35</f>
        <v>#N/A</v>
      </c>
      <c r="AT36" s="137" t="e">
        <f>AT32+AT35</f>
        <v>#N/A</v>
      </c>
      <c r="AU36" s="136" t="e">
        <f>IF(VLOOKUP(AU$2&amp;$C36&amp;$A36,集計!$D:$R,$B36,0)&lt;&gt;SUM(AU32,AU35),"NG",SUM(AU32,AU35))</f>
        <v>#N/A</v>
      </c>
      <c r="AV36" s="136" t="e">
        <f>IF(VLOOKUP(AV$2&amp;$C36&amp;$A36,集計!$D:$R,$B36,0)&lt;&gt;SUM(AV32,AV35),"NG",SUM(AV32,AV35))</f>
        <v>#N/A</v>
      </c>
      <c r="AW36" s="136" t="e">
        <f>IF(VLOOKUP(AW$2&amp;$C36&amp;$A36,集計!$D:$R,$B36,0)&lt;&gt;SUM(AW32,AW35),"NG",SUM(AW32,AW35))</f>
        <v>#N/A</v>
      </c>
      <c r="AX36" s="136" t="e">
        <f>IF(VLOOKUP(AX$2&amp;$C36&amp;$A36,集計!$D:$R,$B36,0)&lt;&gt;SUM(AX32,AX35),"NG",SUM(AX32,AX35))</f>
        <v>#N/A</v>
      </c>
      <c r="AY36" s="136" t="e">
        <f>IF(VLOOKUP(AY$2&amp;$C36&amp;$A36,集計!$D:$R,$B36,0)&lt;&gt;SUM(AY32,AY35),"NG",SUM(AY32,AY35))</f>
        <v>#N/A</v>
      </c>
      <c r="AZ36" s="137" t="e">
        <f>AZ32+AZ35</f>
        <v>#N/A</v>
      </c>
      <c r="BA36" s="137" t="e">
        <f>BA32+BA35</f>
        <v>#N/A</v>
      </c>
      <c r="BB36" s="136" t="e">
        <f>IF(VLOOKUP(BB$2&amp;$C36&amp;$A36,集計!$D:$R,$B36,0)&lt;&gt;SUM(BB32,BB35),"NG",SUM(BB32,BB35))</f>
        <v>#N/A</v>
      </c>
      <c r="BC36" s="136" t="e">
        <f>IF(VLOOKUP(BC$2&amp;$C36&amp;$A36,集計!$D:$R,$B36,0)&lt;&gt;SUM(BC32,BC35),"NG",SUM(BC32,BC35))</f>
        <v>#N/A</v>
      </c>
      <c r="BD36" s="137" t="e">
        <f>BD32+BD35</f>
        <v>#N/A</v>
      </c>
      <c r="BE36" s="136" t="e">
        <f>IF(VLOOKUP(BE$2&amp;$C36&amp;$A36,集計!$D:$R,$B36,0)&lt;&gt;SUM(BE32,BE35),"NG",SUM(BE32,BE35))</f>
        <v>#N/A</v>
      </c>
      <c r="BF36" s="136" t="e">
        <f>IF(VLOOKUP(BF$2&amp;$C36&amp;$A36,集計!$D:$R,$B36,0)&lt;&gt;SUM(BF32,BF35),"NG",SUM(BF32,BF35))</f>
        <v>#N/A</v>
      </c>
      <c r="BG36" s="136" t="e">
        <f>IF(VLOOKUP(BG$2&amp;$C36&amp;$A36,集計!$D:$R,$B36,0)&lt;&gt;SUM(BG32,BG35),"NG",SUM(BG32,BG35))</f>
        <v>#N/A</v>
      </c>
      <c r="BH36" s="136" t="e">
        <f>IF(VLOOKUP(BH$2&amp;$C36&amp;$A36,集計!$D:$R,$B36,0)&lt;&gt;SUM(BH32,BH35),"NG",SUM(BH32,BH35))</f>
        <v>#N/A</v>
      </c>
      <c r="BI36" s="136" t="e">
        <f>IF(VLOOKUP(BI$2&amp;$C36&amp;$A36,集計!$D:$R,$B36,0)&lt;&gt;SUM(BI32,BI35),"NG",SUM(BI32,BI35))</f>
        <v>#N/A</v>
      </c>
      <c r="BJ36" s="137" t="e">
        <f>BJ32+BJ35</f>
        <v>#N/A</v>
      </c>
      <c r="BK36" s="136" t="e">
        <f>IF(VLOOKUP(BK$2&amp;$C36&amp;$A36,集計!$D:$R,$B36,0)&lt;&gt;SUM(BK32,BK35),"NG",SUM(BK32,BK35))</f>
        <v>#N/A</v>
      </c>
      <c r="BL36" s="136" t="e">
        <f>IF(VLOOKUP(BL$2&amp;$C36&amp;$A36,集計!$D:$R,$B36,0)&lt;&gt;SUM(BL32,BL35),"NG",SUM(BL32,BL35))</f>
        <v>#N/A</v>
      </c>
      <c r="BM36" s="136" t="e">
        <f>IF(VLOOKUP(BM$2&amp;$C36&amp;$A36,集計!$D:$R,$B36,0)&lt;&gt;SUM(BM32,BM35),"NG",SUM(BM32,BM35))</f>
        <v>#N/A</v>
      </c>
      <c r="BN36" s="136" t="e">
        <f>IF(VLOOKUP(BN$2&amp;$C36&amp;$A36,集計!$D:$R,$B36,0)&lt;&gt;SUM(BN32,BN35),"NG",SUM(BN32,BN35))</f>
        <v>#N/A</v>
      </c>
      <c r="BO36" s="136" t="e">
        <f>IF(VLOOKUP(BO$2&amp;$C36&amp;$A36,集計!$D:$R,$B36,0)&lt;&gt;SUM(BO32,BO35),"NG",SUM(BO32,BO35))</f>
        <v>#N/A</v>
      </c>
      <c r="BP36" s="136" t="e">
        <f>IF(VLOOKUP(BP$2&amp;$C36&amp;$A36,集計!$D:$R,$B36,0)&lt;&gt;SUM(BP32,BP35),"NG",SUM(BP32,BP35))</f>
        <v>#N/A</v>
      </c>
      <c r="BQ36" s="137" t="e">
        <f>BQ32+BQ35</f>
        <v>#N/A</v>
      </c>
      <c r="BR36" s="136" t="e">
        <f>IF(VLOOKUP(BR$2&amp;$C36&amp;$A36,集計!$D:$R,$B36,0)&lt;&gt;SUM(BR32,BR35),"NG",SUM(BR32,BR35))</f>
        <v>#N/A</v>
      </c>
      <c r="BS36" s="136" t="e">
        <f>IF(VLOOKUP(BS$2&amp;$C36&amp;$A36,集計!$D:$R,$B36,0)&lt;&gt;SUM(BS32,BS35),"NG",SUM(BS32,BS35))</f>
        <v>#N/A</v>
      </c>
      <c r="BT36" s="136" t="e">
        <f>IF(VLOOKUP(BT$2&amp;$C36&amp;$A36,集計!$D:$R,$B36,0)&lt;&gt;SUM(BT32,BT35),"NG",SUM(BT32,BT35))</f>
        <v>#N/A</v>
      </c>
      <c r="BU36" s="137" t="e">
        <f>BU32+BU35</f>
        <v>#N/A</v>
      </c>
      <c r="BV36" s="136" t="e">
        <f>IF(VLOOKUP(BV$2&amp;$C36&amp;$A36,集計!$D:$R,$B36,0)&lt;&gt;SUM(BV32,BV35),"NG",SUM(BV32,BV35))</f>
        <v>#N/A</v>
      </c>
      <c r="BW36" s="137" t="e">
        <f>BW32+BW35</f>
        <v>#N/A</v>
      </c>
      <c r="BX36" s="137" t="e">
        <f>BX32+BX35</f>
        <v>#N/A</v>
      </c>
    </row>
    <row r="37" spans="1:76" s="124" customFormat="1">
      <c r="A37" s="134"/>
      <c r="B37" s="151"/>
      <c r="C37" s="142"/>
      <c r="D37" s="143"/>
      <c r="E37" s="143"/>
      <c r="F37" s="143"/>
      <c r="G37" s="143"/>
      <c r="H37" s="143"/>
      <c r="I37" s="144"/>
      <c r="J37" s="143"/>
      <c r="K37" s="143"/>
      <c r="L37" s="143"/>
      <c r="M37" s="143"/>
      <c r="N37" s="144"/>
      <c r="O37" s="143"/>
      <c r="P37" s="143"/>
      <c r="Q37" s="143"/>
      <c r="R37" s="143"/>
      <c r="S37" s="143"/>
      <c r="T37" s="144"/>
      <c r="U37" s="143"/>
      <c r="V37" s="143"/>
      <c r="W37" s="143"/>
      <c r="X37" s="144"/>
      <c r="Y37" s="143"/>
      <c r="Z37" s="143"/>
      <c r="AA37" s="143"/>
      <c r="AB37" s="144"/>
      <c r="AC37" s="144"/>
      <c r="AD37" s="143"/>
      <c r="AE37" s="143"/>
      <c r="AF37" s="143"/>
      <c r="AG37" s="143"/>
      <c r="AH37" s="144"/>
      <c r="AI37" s="143"/>
      <c r="AJ37" s="143"/>
      <c r="AK37" s="143"/>
      <c r="AL37" s="144"/>
      <c r="AM37" s="143"/>
      <c r="AN37" s="143"/>
      <c r="AO37" s="144"/>
      <c r="AP37" s="143"/>
      <c r="AQ37" s="143"/>
      <c r="AR37" s="143"/>
      <c r="AS37" s="144"/>
      <c r="AT37" s="144"/>
      <c r="AU37" s="143"/>
      <c r="AV37" s="143"/>
      <c r="AW37" s="143"/>
      <c r="AX37" s="143"/>
      <c r="AY37" s="143"/>
      <c r="AZ37" s="144"/>
      <c r="BA37" s="144"/>
      <c r="BB37" s="143"/>
      <c r="BC37" s="143"/>
      <c r="BD37" s="144"/>
      <c r="BE37" s="143"/>
      <c r="BF37" s="143"/>
      <c r="BG37" s="143"/>
      <c r="BH37" s="143"/>
      <c r="BI37" s="143"/>
      <c r="BJ37" s="144"/>
      <c r="BK37" s="143"/>
      <c r="BL37" s="143"/>
      <c r="BM37" s="143"/>
      <c r="BN37" s="143"/>
      <c r="BO37" s="143"/>
      <c r="BP37" s="143"/>
      <c r="BQ37" s="144"/>
      <c r="BR37" s="143"/>
      <c r="BS37" s="143"/>
      <c r="BT37" s="143"/>
      <c r="BU37" s="144"/>
      <c r="BV37" s="143"/>
      <c r="BW37" s="144"/>
      <c r="BX37" s="144"/>
    </row>
    <row r="38" spans="1:76" s="124" customFormat="1" ht="21.5" thickBot="1">
      <c r="A38" s="134"/>
      <c r="B38" s="96">
        <v>9</v>
      </c>
      <c r="C38" s="138" t="s">
        <v>40</v>
      </c>
      <c r="D38" s="145"/>
      <c r="E38" s="145"/>
      <c r="F38" s="145"/>
      <c r="G38" s="145"/>
      <c r="H38" s="145"/>
      <c r="I38" s="146"/>
      <c r="J38" s="145"/>
      <c r="K38" s="145"/>
      <c r="L38" s="145"/>
      <c r="M38" s="145"/>
      <c r="N38" s="146"/>
      <c r="O38" s="145"/>
      <c r="P38" s="145"/>
      <c r="Q38" s="145"/>
      <c r="R38" s="145"/>
      <c r="S38" s="145"/>
      <c r="T38" s="146"/>
      <c r="U38" s="145"/>
      <c r="V38" s="145"/>
      <c r="W38" s="145"/>
      <c r="X38" s="146"/>
      <c r="Y38" s="145"/>
      <c r="Z38" s="145"/>
      <c r="AA38" s="145"/>
      <c r="AB38" s="146"/>
      <c r="AC38" s="146"/>
      <c r="AD38" s="145"/>
      <c r="AE38" s="145"/>
      <c r="AF38" s="145"/>
      <c r="AG38" s="145"/>
      <c r="AH38" s="146"/>
      <c r="AI38" s="145"/>
      <c r="AJ38" s="145"/>
      <c r="AK38" s="145"/>
      <c r="AL38" s="146"/>
      <c r="AM38" s="145"/>
      <c r="AN38" s="145"/>
      <c r="AO38" s="146"/>
      <c r="AP38" s="145"/>
      <c r="AQ38" s="145"/>
      <c r="AR38" s="145"/>
      <c r="AS38" s="146"/>
      <c r="AT38" s="146"/>
      <c r="AU38" s="145"/>
      <c r="AV38" s="145"/>
      <c r="AW38" s="145"/>
      <c r="AX38" s="145"/>
      <c r="AY38" s="145"/>
      <c r="AZ38" s="146"/>
      <c r="BA38" s="146"/>
      <c r="BB38" s="145"/>
      <c r="BC38" s="145"/>
      <c r="BD38" s="146"/>
      <c r="BE38" s="145"/>
      <c r="BF38" s="145"/>
      <c r="BG38" s="145"/>
      <c r="BH38" s="145"/>
      <c r="BI38" s="145"/>
      <c r="BJ38" s="146"/>
      <c r="BK38" s="145"/>
      <c r="BL38" s="145"/>
      <c r="BM38" s="145"/>
      <c r="BN38" s="145"/>
      <c r="BO38" s="145"/>
      <c r="BP38" s="145"/>
      <c r="BQ38" s="146"/>
      <c r="BR38" s="145"/>
      <c r="BS38" s="145"/>
      <c r="BT38" s="145"/>
      <c r="BU38" s="146"/>
      <c r="BV38" s="145"/>
      <c r="BW38" s="146"/>
      <c r="BX38" s="147"/>
    </row>
    <row r="39" spans="1:76" s="124" customFormat="1" ht="21" customHeight="1">
      <c r="A39" s="120" t="s">
        <v>40</v>
      </c>
      <c r="B39" s="150">
        <v>9</v>
      </c>
      <c r="C39" s="121" t="s">
        <v>25</v>
      </c>
      <c r="D39" s="122" t="e">
        <f>VLOOKUP(D$2&amp;$C39&amp;$A39,集計!$D:$R,$B39,0)</f>
        <v>#N/A</v>
      </c>
      <c r="E39" s="122" t="e">
        <f>VLOOKUP(E$2&amp;$C39&amp;$A39,集計!$D:$R,$B39,0)</f>
        <v>#N/A</v>
      </c>
      <c r="F39" s="122" t="e">
        <f>VLOOKUP(F$2&amp;$C39&amp;$A39,集計!$D:$R,$B39,0)</f>
        <v>#N/A</v>
      </c>
      <c r="G39" s="122" t="e">
        <f>VLOOKUP(G$2&amp;$C39&amp;$A39,集計!$D:$R,$B39,0)</f>
        <v>#N/A</v>
      </c>
      <c r="H39" s="122" t="e">
        <f>VLOOKUP(H$2&amp;$C39&amp;$A39,集計!$D:$R,$B39,0)</f>
        <v>#N/A</v>
      </c>
      <c r="I39" s="123" t="e">
        <f>D39+E39+F39+G39+H39</f>
        <v>#N/A</v>
      </c>
      <c r="J39" s="122" t="e">
        <f>VLOOKUP(J$2&amp;$C39&amp;$A39,集計!$D:$R,$B39,0)</f>
        <v>#N/A</v>
      </c>
      <c r="K39" s="122" t="e">
        <f>VLOOKUP(K$2&amp;$C39&amp;$A39,集計!$D:$R,$B39,0)</f>
        <v>#N/A</v>
      </c>
      <c r="L39" s="122" t="e">
        <f>VLOOKUP(L$2&amp;$C39&amp;$A39,集計!$D:$R,$B39,0)</f>
        <v>#N/A</v>
      </c>
      <c r="M39" s="122" t="e">
        <f>VLOOKUP(M$2&amp;$C39&amp;$A39,集計!$D:$R,$B39,0)</f>
        <v>#N/A</v>
      </c>
      <c r="N39" s="123" t="e">
        <f>J39+K39+L39+M39</f>
        <v>#N/A</v>
      </c>
      <c r="O39" s="122" t="e">
        <f>VLOOKUP(O$2&amp;$C39&amp;$A39,集計!$D:$R,$B39,0)</f>
        <v>#N/A</v>
      </c>
      <c r="P39" s="122" t="e">
        <f>VLOOKUP(P$2&amp;$C39&amp;$A39,集計!$D:$R,$B39,0)</f>
        <v>#N/A</v>
      </c>
      <c r="Q39" s="122" t="e">
        <f>VLOOKUP(Q$2&amp;$C39&amp;$A39,集計!$D:$R,$B39,0)</f>
        <v>#N/A</v>
      </c>
      <c r="R39" s="122" t="e">
        <f>VLOOKUP(R$2&amp;$C39&amp;$A39,集計!$D:$R,$B39,0)</f>
        <v>#N/A</v>
      </c>
      <c r="S39" s="122" t="e">
        <f>VLOOKUP(S$2&amp;$C39&amp;$A39,集計!$D:$R,$B39,0)</f>
        <v>#N/A</v>
      </c>
      <c r="T39" s="123" t="e">
        <f>O39+P39+Q39+R39+S39</f>
        <v>#N/A</v>
      </c>
      <c r="U39" s="122" t="e">
        <f>VLOOKUP(U$2&amp;$C39&amp;$A39,集計!$D:$R,$B39,0)</f>
        <v>#N/A</v>
      </c>
      <c r="V39" s="122" t="e">
        <f>VLOOKUP(V$2&amp;$C39&amp;$A39,集計!$D:$R,$B39,0)</f>
        <v>#N/A</v>
      </c>
      <c r="W39" s="122" t="e">
        <f>VLOOKUP(W$2&amp;$C39&amp;$A39,集計!$D:$R,$B39,0)</f>
        <v>#N/A</v>
      </c>
      <c r="X39" s="123" t="e">
        <f>U39+V39+W39</f>
        <v>#N/A</v>
      </c>
      <c r="Y39" s="122" t="e">
        <f>VLOOKUP(Y$2&amp;$C39&amp;$A39,集計!$D:$R,$B39,0)</f>
        <v>#N/A</v>
      </c>
      <c r="Z39" s="122" t="e">
        <f>VLOOKUP(Z$2&amp;$C39&amp;$A39,集計!$D:$R,$B39,0)</f>
        <v>#N/A</v>
      </c>
      <c r="AA39" s="122" t="e">
        <f>VLOOKUP(AA$2&amp;$C39&amp;$A39,集計!$D:$R,$B39,0)</f>
        <v>#N/A</v>
      </c>
      <c r="AB39" s="123" t="e">
        <f>Y39+Z39+AA39</f>
        <v>#N/A</v>
      </c>
      <c r="AC39" s="123" t="e">
        <f>I39+N39+T39+X39+AB39</f>
        <v>#N/A</v>
      </c>
      <c r="AD39" s="122" t="e">
        <f>VLOOKUP(AD$2&amp;$C39&amp;$A39,集計!$D:$R,$B39,0)</f>
        <v>#N/A</v>
      </c>
      <c r="AE39" s="122" t="e">
        <f>VLOOKUP(AE$2&amp;$C39&amp;$A39,集計!$D:$R,$B39,0)</f>
        <v>#N/A</v>
      </c>
      <c r="AF39" s="122" t="e">
        <f>VLOOKUP(AF$2&amp;$C39&amp;$A39,集計!$D:$R,$B39,0)</f>
        <v>#N/A</v>
      </c>
      <c r="AG39" s="122" t="e">
        <f>VLOOKUP(AG$2&amp;$C39&amp;$A39,集計!$D:$R,$B39,0)</f>
        <v>#N/A</v>
      </c>
      <c r="AH39" s="123" t="e">
        <f>AD39+AE39+AF39+AG39</f>
        <v>#N/A</v>
      </c>
      <c r="AI39" s="122" t="e">
        <f>VLOOKUP(AI$2&amp;$C39&amp;$A39,集計!$D:$R,$B39,0)</f>
        <v>#N/A</v>
      </c>
      <c r="AJ39" s="122" t="e">
        <f>VLOOKUP(AJ$2&amp;$C39&amp;$A39,集計!$D:$R,$B39,0)</f>
        <v>#N/A</v>
      </c>
      <c r="AK39" s="122" t="e">
        <f>VLOOKUP(AK$2&amp;$C39&amp;$A39,集計!$D:$R,$B39,0)</f>
        <v>#N/A</v>
      </c>
      <c r="AL39" s="123" t="e">
        <f>AI39+AJ39+AK39</f>
        <v>#N/A</v>
      </c>
      <c r="AM39" s="122" t="e">
        <f>VLOOKUP(AM$2&amp;$C39&amp;$A39,集計!$D:$R,$B39,0)</f>
        <v>#N/A</v>
      </c>
      <c r="AN39" s="122" t="e">
        <f>VLOOKUP(AN$2&amp;$C39&amp;$A39,集計!$D:$R,$B39,0)</f>
        <v>#N/A</v>
      </c>
      <c r="AO39" s="123" t="e">
        <f>AM39+AN39</f>
        <v>#N/A</v>
      </c>
      <c r="AP39" s="122" t="e">
        <f>VLOOKUP(AP$2&amp;$C39&amp;$A39,集計!$D:$R,$B39,0)</f>
        <v>#N/A</v>
      </c>
      <c r="AQ39" s="122" t="e">
        <f>VLOOKUP(AQ$2&amp;$C39&amp;$A39,集計!$D:$R,$B39,0)</f>
        <v>#N/A</v>
      </c>
      <c r="AR39" s="122" t="e">
        <f>VLOOKUP(AR$2&amp;$C39&amp;$A39,集計!$D:$R,$B39,0)</f>
        <v>#N/A</v>
      </c>
      <c r="AS39" s="123" t="e">
        <f>AP39+AQ39+AR39</f>
        <v>#N/A</v>
      </c>
      <c r="AT39" s="123" t="e">
        <f>AH39+AL39+AO39+AS39</f>
        <v>#N/A</v>
      </c>
      <c r="AU39" s="122" t="e">
        <f>VLOOKUP(AU$2&amp;$C39&amp;$A39,集計!$D:$R,$B39,0)</f>
        <v>#N/A</v>
      </c>
      <c r="AV39" s="122" t="e">
        <f>VLOOKUP(AV$2&amp;$C39&amp;$A39,集計!$D:$R,$B39,0)</f>
        <v>#N/A</v>
      </c>
      <c r="AW39" s="122" t="e">
        <f>VLOOKUP(AW$2&amp;$C39&amp;$A39,集計!$D:$R,$B39,0)</f>
        <v>#N/A</v>
      </c>
      <c r="AX39" s="122" t="e">
        <f>VLOOKUP(AX$2&amp;$C39&amp;$A39,集計!$D:$R,$B39,0)</f>
        <v>#N/A</v>
      </c>
      <c r="AY39" s="122" t="e">
        <f>VLOOKUP(AY$2&amp;$C39&amp;$A39,集計!$D:$R,$B39,0)</f>
        <v>#N/A</v>
      </c>
      <c r="AZ39" s="123" t="e">
        <f>AU39+AV39+AW39+AX39+AY39</f>
        <v>#N/A</v>
      </c>
      <c r="BA39" s="123" t="e">
        <f>AZ39</f>
        <v>#N/A</v>
      </c>
      <c r="BB39" s="122" t="e">
        <f>VLOOKUP(BB$2&amp;$C39&amp;$A39,集計!$D:$R,$B39,0)</f>
        <v>#N/A</v>
      </c>
      <c r="BC39" s="122" t="e">
        <f>VLOOKUP(BC$2&amp;$C39&amp;$A39,集計!$D:$R,$B39,0)</f>
        <v>#N/A</v>
      </c>
      <c r="BD39" s="123" t="e">
        <f>BB39+BC39</f>
        <v>#N/A</v>
      </c>
      <c r="BE39" s="122" t="e">
        <f>VLOOKUP(BE$2&amp;$C39&amp;$A39,集計!$D:$R,$B39,0)</f>
        <v>#N/A</v>
      </c>
      <c r="BF39" s="122" t="e">
        <f>VLOOKUP(BF$2&amp;$C39&amp;$A39,集計!$D:$R,$B39,0)</f>
        <v>#N/A</v>
      </c>
      <c r="BG39" s="122" t="e">
        <f>VLOOKUP(BG$2&amp;$C39&amp;$A39,集計!$D:$R,$B39,0)</f>
        <v>#N/A</v>
      </c>
      <c r="BH39" s="122" t="e">
        <f>VLOOKUP(BH$2&amp;$C39&amp;$A39,集計!$D:$R,$B39,0)</f>
        <v>#N/A</v>
      </c>
      <c r="BI39" s="122" t="e">
        <f>VLOOKUP(BI$2&amp;$C39&amp;$A39,集計!$D:$R,$B39,0)</f>
        <v>#N/A</v>
      </c>
      <c r="BJ39" s="123" t="e">
        <f>BE39+BF39+BG39+BH39+BI39</f>
        <v>#N/A</v>
      </c>
      <c r="BK39" s="122" t="e">
        <f>VLOOKUP(BK$2&amp;$C39&amp;$A39,集計!$D:$R,$B39,0)</f>
        <v>#N/A</v>
      </c>
      <c r="BL39" s="122" t="e">
        <f>VLOOKUP(BL$2&amp;$C39&amp;$A39,集計!$D:$R,$B39,0)</f>
        <v>#N/A</v>
      </c>
      <c r="BM39" s="122" t="e">
        <f>VLOOKUP(BM$2&amp;$C39&amp;$A39,集計!$D:$R,$B39,0)</f>
        <v>#N/A</v>
      </c>
      <c r="BN39" s="122" t="e">
        <f>VLOOKUP(BN$2&amp;$C39&amp;$A39,集計!$D:$R,$B39,0)</f>
        <v>#N/A</v>
      </c>
      <c r="BO39" s="122" t="e">
        <f>VLOOKUP(BO$2&amp;$C39&amp;$A39,集計!$D:$R,$B39,0)</f>
        <v>#N/A</v>
      </c>
      <c r="BP39" s="122" t="e">
        <f>VLOOKUP(BP$2&amp;$C39&amp;$A39,集計!$D:$R,$B39,0)</f>
        <v>#N/A</v>
      </c>
      <c r="BQ39" s="123" t="e">
        <f>BK39+BL39+BM39+BN39+BO39+BP39</f>
        <v>#N/A</v>
      </c>
      <c r="BR39" s="122" t="e">
        <f>VLOOKUP(BR$2&amp;$C39&amp;$A39,集計!$D:$R,$B39,0)</f>
        <v>#N/A</v>
      </c>
      <c r="BS39" s="122" t="e">
        <f>VLOOKUP(BS$2&amp;$C39&amp;$A39,集計!$D:$R,$B39,0)</f>
        <v>#N/A</v>
      </c>
      <c r="BT39" s="122" t="e">
        <f>VLOOKUP(BT$2&amp;$C39&amp;$A39,集計!$D:$R,$B39,0)</f>
        <v>#N/A</v>
      </c>
      <c r="BU39" s="123" t="e">
        <f>BR39+BS39+BT39</f>
        <v>#N/A</v>
      </c>
      <c r="BV39" s="122" t="e">
        <f>VLOOKUP(BV$2&amp;$C39&amp;$A39,集計!$D:$R,$B39,0)</f>
        <v>#N/A</v>
      </c>
      <c r="BW39" s="123" t="e">
        <f>BV39</f>
        <v>#N/A</v>
      </c>
      <c r="BX39" s="123" t="e">
        <f>AC39+AT39+BA39+BD39+BJ39+BQ39+BU39+BW39</f>
        <v>#N/A</v>
      </c>
    </row>
    <row r="40" spans="1:76" s="124" customFormat="1">
      <c r="A40" s="120" t="s">
        <v>40</v>
      </c>
      <c r="B40" s="150">
        <v>9</v>
      </c>
      <c r="C40" s="125" t="s">
        <v>106</v>
      </c>
      <c r="D40" s="126" t="e">
        <f>VLOOKUP(D$2&amp;$C40&amp;$A40,集計!$D:$R,$B40,0)</f>
        <v>#N/A</v>
      </c>
      <c r="E40" s="126" t="e">
        <f>VLOOKUP(E$2&amp;$C40&amp;$A40,集計!$D:$R,$B40,0)</f>
        <v>#N/A</v>
      </c>
      <c r="F40" s="126" t="e">
        <f>VLOOKUP(F$2&amp;$C40&amp;$A40,集計!$D:$R,$B40,0)</f>
        <v>#N/A</v>
      </c>
      <c r="G40" s="126" t="e">
        <f>VLOOKUP(G$2&amp;$C40&amp;$A40,集計!$D:$R,$B40,0)</f>
        <v>#N/A</v>
      </c>
      <c r="H40" s="126" t="e">
        <f>VLOOKUP(H$2&amp;$C40&amp;$A40,集計!$D:$R,$B40,0)</f>
        <v>#N/A</v>
      </c>
      <c r="I40" s="127" t="e">
        <f>D40+E40+F40+G40+H40</f>
        <v>#N/A</v>
      </c>
      <c r="J40" s="126" t="e">
        <f>VLOOKUP(J$2&amp;$C40&amp;$A40,集計!$D:$R,$B40,0)</f>
        <v>#N/A</v>
      </c>
      <c r="K40" s="126" t="e">
        <f>VLOOKUP(K$2&amp;$C40&amp;$A40,集計!$D:$R,$B40,0)</f>
        <v>#N/A</v>
      </c>
      <c r="L40" s="126" t="e">
        <f>VLOOKUP(L$2&amp;$C40&amp;$A40,集計!$D:$R,$B40,0)</f>
        <v>#N/A</v>
      </c>
      <c r="M40" s="126" t="e">
        <f>VLOOKUP(M$2&amp;$C40&amp;$A40,集計!$D:$R,$B40,0)</f>
        <v>#N/A</v>
      </c>
      <c r="N40" s="127" t="e">
        <f>J40+K40+L40+M40</f>
        <v>#N/A</v>
      </c>
      <c r="O40" s="126" t="e">
        <f>VLOOKUP(O$2&amp;$C40&amp;$A40,集計!$D:$R,$B40,0)</f>
        <v>#N/A</v>
      </c>
      <c r="P40" s="126" t="e">
        <f>VLOOKUP(P$2&amp;$C40&amp;$A40,集計!$D:$R,$B40,0)</f>
        <v>#N/A</v>
      </c>
      <c r="Q40" s="126" t="e">
        <f>VLOOKUP(Q$2&amp;$C40&amp;$A40,集計!$D:$R,$B40,0)</f>
        <v>#N/A</v>
      </c>
      <c r="R40" s="126" t="e">
        <f>VLOOKUP(R$2&amp;$C40&amp;$A40,集計!$D:$R,$B40,0)</f>
        <v>#N/A</v>
      </c>
      <c r="S40" s="126" t="e">
        <f>VLOOKUP(S$2&amp;$C40&amp;$A40,集計!$D:$R,$B40,0)</f>
        <v>#N/A</v>
      </c>
      <c r="T40" s="127" t="e">
        <f>O40+P40+Q40+R40+S40</f>
        <v>#N/A</v>
      </c>
      <c r="U40" s="126" t="e">
        <f>VLOOKUP(U$2&amp;$C40&amp;$A40,集計!$D:$R,$B40,0)</f>
        <v>#N/A</v>
      </c>
      <c r="V40" s="126" t="e">
        <f>VLOOKUP(V$2&amp;$C40&amp;$A40,集計!$D:$R,$B40,0)</f>
        <v>#N/A</v>
      </c>
      <c r="W40" s="126" t="e">
        <f>VLOOKUP(W$2&amp;$C40&amp;$A40,集計!$D:$R,$B40,0)</f>
        <v>#N/A</v>
      </c>
      <c r="X40" s="127" t="e">
        <f>U40+V40+W40</f>
        <v>#N/A</v>
      </c>
      <c r="Y40" s="126" t="e">
        <f>VLOOKUP(Y$2&amp;$C40&amp;$A40,集計!$D:$R,$B40,0)</f>
        <v>#N/A</v>
      </c>
      <c r="Z40" s="126" t="e">
        <f>VLOOKUP(Z$2&amp;$C40&amp;$A40,集計!$D:$R,$B40,0)</f>
        <v>#N/A</v>
      </c>
      <c r="AA40" s="126" t="e">
        <f>VLOOKUP(AA$2&amp;$C40&amp;$A40,集計!$D:$R,$B40,0)</f>
        <v>#N/A</v>
      </c>
      <c r="AB40" s="127" t="e">
        <f>Y40+Z40+AA40</f>
        <v>#N/A</v>
      </c>
      <c r="AC40" s="127" t="e">
        <f>I40+N40+T40+X40+AB40</f>
        <v>#N/A</v>
      </c>
      <c r="AD40" s="126" t="e">
        <f>VLOOKUP(AD$2&amp;$C40&amp;$A40,集計!$D:$R,$B40,0)</f>
        <v>#N/A</v>
      </c>
      <c r="AE40" s="126" t="e">
        <f>VLOOKUP(AE$2&amp;$C40&amp;$A40,集計!$D:$R,$B40,0)</f>
        <v>#N/A</v>
      </c>
      <c r="AF40" s="126" t="e">
        <f>VLOOKUP(AF$2&amp;$C40&amp;$A40,集計!$D:$R,$B40,0)</f>
        <v>#N/A</v>
      </c>
      <c r="AG40" s="126" t="e">
        <f>VLOOKUP(AG$2&amp;$C40&amp;$A40,集計!$D:$R,$B40,0)</f>
        <v>#N/A</v>
      </c>
      <c r="AH40" s="127" t="e">
        <f>AD40+AE40+AF40+AG40</f>
        <v>#N/A</v>
      </c>
      <c r="AI40" s="126" t="e">
        <f>VLOOKUP(AI$2&amp;$C40&amp;$A40,集計!$D:$R,$B40,0)</f>
        <v>#N/A</v>
      </c>
      <c r="AJ40" s="126" t="e">
        <f>VLOOKUP(AJ$2&amp;$C40&amp;$A40,集計!$D:$R,$B40,0)</f>
        <v>#N/A</v>
      </c>
      <c r="AK40" s="126" t="e">
        <f>VLOOKUP(AK$2&amp;$C40&amp;$A40,集計!$D:$R,$B40,0)</f>
        <v>#N/A</v>
      </c>
      <c r="AL40" s="127" t="e">
        <f>AI40+AJ40+AK40</f>
        <v>#N/A</v>
      </c>
      <c r="AM40" s="126" t="e">
        <f>VLOOKUP(AM$2&amp;$C40&amp;$A40,集計!$D:$R,$B40,0)</f>
        <v>#N/A</v>
      </c>
      <c r="AN40" s="126" t="e">
        <f>VLOOKUP(AN$2&amp;$C40&amp;$A40,集計!$D:$R,$B40,0)</f>
        <v>#N/A</v>
      </c>
      <c r="AO40" s="127" t="e">
        <f>AM40+AN40</f>
        <v>#N/A</v>
      </c>
      <c r="AP40" s="126" t="e">
        <f>VLOOKUP(AP$2&amp;$C40&amp;$A40,集計!$D:$R,$B40,0)</f>
        <v>#N/A</v>
      </c>
      <c r="AQ40" s="126" t="e">
        <f>VLOOKUP(AQ$2&amp;$C40&amp;$A40,集計!$D:$R,$B40,0)</f>
        <v>#N/A</v>
      </c>
      <c r="AR40" s="126" t="e">
        <f>VLOOKUP(AR$2&amp;$C40&amp;$A40,集計!$D:$R,$B40,0)</f>
        <v>#N/A</v>
      </c>
      <c r="AS40" s="127" t="e">
        <f>AP40+AQ40+AR40</f>
        <v>#N/A</v>
      </c>
      <c r="AT40" s="127" t="e">
        <f>AH40+AL40+AO40+AS40</f>
        <v>#N/A</v>
      </c>
      <c r="AU40" s="126" t="e">
        <f>VLOOKUP(AU$2&amp;$C40&amp;$A40,集計!$D:$R,$B40,0)</f>
        <v>#N/A</v>
      </c>
      <c r="AV40" s="126" t="e">
        <f>VLOOKUP(AV$2&amp;$C40&amp;$A40,集計!$D:$R,$B40,0)</f>
        <v>#N/A</v>
      </c>
      <c r="AW40" s="126" t="e">
        <f>VLOOKUP(AW$2&amp;$C40&amp;$A40,集計!$D:$R,$B40,0)</f>
        <v>#N/A</v>
      </c>
      <c r="AX40" s="126" t="e">
        <f>VLOOKUP(AX$2&amp;$C40&amp;$A40,集計!$D:$R,$B40,0)</f>
        <v>#N/A</v>
      </c>
      <c r="AY40" s="126" t="e">
        <f>VLOOKUP(AY$2&amp;$C40&amp;$A40,集計!$D:$R,$B40,0)</f>
        <v>#N/A</v>
      </c>
      <c r="AZ40" s="127" t="e">
        <f>AU40+AV40+AW40+AX40+AY40</f>
        <v>#N/A</v>
      </c>
      <c r="BA40" s="127" t="e">
        <f>AZ40</f>
        <v>#N/A</v>
      </c>
      <c r="BB40" s="126" t="e">
        <f>VLOOKUP(BB$2&amp;$C40&amp;$A40,集計!$D:$R,$B40,0)</f>
        <v>#N/A</v>
      </c>
      <c r="BC40" s="126" t="e">
        <f>VLOOKUP(BC$2&amp;$C40&amp;$A40,集計!$D:$R,$B40,0)</f>
        <v>#N/A</v>
      </c>
      <c r="BD40" s="127" t="e">
        <f>BB40+BC40</f>
        <v>#N/A</v>
      </c>
      <c r="BE40" s="126" t="e">
        <f>VLOOKUP(BE$2&amp;$C40&amp;$A40,集計!$D:$R,$B40,0)</f>
        <v>#N/A</v>
      </c>
      <c r="BF40" s="126" t="e">
        <f>VLOOKUP(BF$2&amp;$C40&amp;$A40,集計!$D:$R,$B40,0)</f>
        <v>#N/A</v>
      </c>
      <c r="BG40" s="126" t="e">
        <f>VLOOKUP(BG$2&amp;$C40&amp;$A40,集計!$D:$R,$B40,0)</f>
        <v>#N/A</v>
      </c>
      <c r="BH40" s="126" t="e">
        <f>VLOOKUP(BH$2&amp;$C40&amp;$A40,集計!$D:$R,$B40,0)</f>
        <v>#N/A</v>
      </c>
      <c r="BI40" s="126" t="e">
        <f>VLOOKUP(BI$2&amp;$C40&amp;$A40,集計!$D:$R,$B40,0)</f>
        <v>#N/A</v>
      </c>
      <c r="BJ40" s="127" t="e">
        <f>BE40+BF40+BG40+BH40+BI40</f>
        <v>#N/A</v>
      </c>
      <c r="BK40" s="126" t="e">
        <f>VLOOKUP(BK$2&amp;$C40&amp;$A40,集計!$D:$R,$B40,0)</f>
        <v>#N/A</v>
      </c>
      <c r="BL40" s="126" t="e">
        <f>VLOOKUP(BL$2&amp;$C40&amp;$A40,集計!$D:$R,$B40,0)</f>
        <v>#N/A</v>
      </c>
      <c r="BM40" s="126" t="e">
        <f>VLOOKUP(BM$2&amp;$C40&amp;$A40,集計!$D:$R,$B40,0)</f>
        <v>#N/A</v>
      </c>
      <c r="BN40" s="126" t="e">
        <f>VLOOKUP(BN$2&amp;$C40&amp;$A40,集計!$D:$R,$B40,0)</f>
        <v>#N/A</v>
      </c>
      <c r="BO40" s="126" t="e">
        <f>VLOOKUP(BO$2&amp;$C40&amp;$A40,集計!$D:$R,$B40,0)</f>
        <v>#N/A</v>
      </c>
      <c r="BP40" s="126" t="e">
        <f>VLOOKUP(BP$2&amp;$C40&amp;$A40,集計!$D:$R,$B40,0)</f>
        <v>#N/A</v>
      </c>
      <c r="BQ40" s="127" t="e">
        <f>BK40+BL40+BM40+BN40+BO40+BP40</f>
        <v>#N/A</v>
      </c>
      <c r="BR40" s="126" t="e">
        <f>VLOOKUP(BR$2&amp;$C40&amp;$A40,集計!$D:$R,$B40,0)</f>
        <v>#N/A</v>
      </c>
      <c r="BS40" s="126" t="e">
        <f>VLOOKUP(BS$2&amp;$C40&amp;$A40,集計!$D:$R,$B40,0)</f>
        <v>#N/A</v>
      </c>
      <c r="BT40" s="126" t="e">
        <f>VLOOKUP(BT$2&amp;$C40&amp;$A40,集計!$D:$R,$B40,0)</f>
        <v>#N/A</v>
      </c>
      <c r="BU40" s="127" t="e">
        <f>BR40+BS40+BT40</f>
        <v>#N/A</v>
      </c>
      <c r="BV40" s="126" t="e">
        <f>VLOOKUP(BV$2&amp;$C40&amp;$A40,集計!$D:$R,$B40,0)</f>
        <v>#N/A</v>
      </c>
      <c r="BW40" s="127" t="e">
        <f>BV40</f>
        <v>#N/A</v>
      </c>
      <c r="BX40" s="127" t="e">
        <f>AC40+AT40+BA40+BD40+BJ40+BQ40+BU40+BW40</f>
        <v>#N/A</v>
      </c>
    </row>
    <row r="41" spans="1:76" s="124" customFormat="1">
      <c r="A41" s="120" t="s">
        <v>40</v>
      </c>
      <c r="B41" s="150">
        <v>9</v>
      </c>
      <c r="C41" s="128" t="s">
        <v>107</v>
      </c>
      <c r="D41" s="129" t="e">
        <f>VLOOKUP(D$2&amp;$C41&amp;$A41,集計!$D:$R,$B41,0)</f>
        <v>#N/A</v>
      </c>
      <c r="E41" s="129" t="e">
        <f>VLOOKUP(E$2&amp;$C41&amp;$A41,集計!$D:$R,$B41,0)</f>
        <v>#N/A</v>
      </c>
      <c r="F41" s="129" t="e">
        <f>VLOOKUP(F$2&amp;$C41&amp;$A41,集計!$D:$R,$B41,0)</f>
        <v>#N/A</v>
      </c>
      <c r="G41" s="129" t="e">
        <f>VLOOKUP(G$2&amp;$C41&amp;$A41,集計!$D:$R,$B41,0)</f>
        <v>#N/A</v>
      </c>
      <c r="H41" s="129" t="e">
        <f>VLOOKUP(H$2&amp;$C41&amp;$A41,集計!$D:$R,$B41,0)</f>
        <v>#N/A</v>
      </c>
      <c r="I41" s="130" t="e">
        <f>D41+E41+F41+G41+H41</f>
        <v>#N/A</v>
      </c>
      <c r="J41" s="129" t="e">
        <f>VLOOKUP(J$2&amp;$C41&amp;$A41,集計!$D:$R,$B41,0)</f>
        <v>#N/A</v>
      </c>
      <c r="K41" s="129" t="e">
        <f>VLOOKUP(K$2&amp;$C41&amp;$A41,集計!$D:$R,$B41,0)</f>
        <v>#N/A</v>
      </c>
      <c r="L41" s="129" t="e">
        <f>VLOOKUP(L$2&amp;$C41&amp;$A41,集計!$D:$R,$B41,0)</f>
        <v>#N/A</v>
      </c>
      <c r="M41" s="129" t="e">
        <f>VLOOKUP(M$2&amp;$C41&amp;$A41,集計!$D:$R,$B41,0)</f>
        <v>#N/A</v>
      </c>
      <c r="N41" s="130" t="e">
        <f>J41+K41+L41+M41</f>
        <v>#N/A</v>
      </c>
      <c r="O41" s="129" t="e">
        <f>VLOOKUP(O$2&amp;$C41&amp;$A41,集計!$D:$R,$B41,0)</f>
        <v>#N/A</v>
      </c>
      <c r="P41" s="129" t="e">
        <f>VLOOKUP(P$2&amp;$C41&amp;$A41,集計!$D:$R,$B41,0)</f>
        <v>#N/A</v>
      </c>
      <c r="Q41" s="129" t="e">
        <f>VLOOKUP(Q$2&amp;$C41&amp;$A41,集計!$D:$R,$B41,0)</f>
        <v>#N/A</v>
      </c>
      <c r="R41" s="129" t="e">
        <f>VLOOKUP(R$2&amp;$C41&amp;$A41,集計!$D:$R,$B41,0)</f>
        <v>#N/A</v>
      </c>
      <c r="S41" s="129" t="e">
        <f>VLOOKUP(S$2&amp;$C41&amp;$A41,集計!$D:$R,$B41,0)</f>
        <v>#N/A</v>
      </c>
      <c r="T41" s="130" t="e">
        <f>O41+P41+Q41+R41+S41</f>
        <v>#N/A</v>
      </c>
      <c r="U41" s="129" t="e">
        <f>VLOOKUP(U$2&amp;$C41&amp;$A41,集計!$D:$R,$B41,0)</f>
        <v>#N/A</v>
      </c>
      <c r="V41" s="129" t="e">
        <f>VLOOKUP(V$2&amp;$C41&amp;$A41,集計!$D:$R,$B41,0)</f>
        <v>#N/A</v>
      </c>
      <c r="W41" s="129" t="e">
        <f>VLOOKUP(W$2&amp;$C41&amp;$A41,集計!$D:$R,$B41,0)</f>
        <v>#N/A</v>
      </c>
      <c r="X41" s="130" t="e">
        <f>U41+V41+W41</f>
        <v>#N/A</v>
      </c>
      <c r="Y41" s="129" t="e">
        <f>VLOOKUP(Y$2&amp;$C41&amp;$A41,集計!$D:$R,$B41,0)</f>
        <v>#N/A</v>
      </c>
      <c r="Z41" s="129" t="e">
        <f>VLOOKUP(Z$2&amp;$C41&amp;$A41,集計!$D:$R,$B41,0)</f>
        <v>#N/A</v>
      </c>
      <c r="AA41" s="129" t="e">
        <f>VLOOKUP(AA$2&amp;$C41&amp;$A41,集計!$D:$R,$B41,0)</f>
        <v>#N/A</v>
      </c>
      <c r="AB41" s="130" t="e">
        <f>Y41+Z41+AA41</f>
        <v>#N/A</v>
      </c>
      <c r="AC41" s="130" t="e">
        <f>I41+N41+T41+X41+AB41</f>
        <v>#N/A</v>
      </c>
      <c r="AD41" s="129" t="e">
        <f>VLOOKUP(AD$2&amp;$C41&amp;$A41,集計!$D:$R,$B41,0)</f>
        <v>#N/A</v>
      </c>
      <c r="AE41" s="129" t="e">
        <f>VLOOKUP(AE$2&amp;$C41&amp;$A41,集計!$D:$R,$B41,0)</f>
        <v>#N/A</v>
      </c>
      <c r="AF41" s="129" t="e">
        <f>VLOOKUP(AF$2&amp;$C41&amp;$A41,集計!$D:$R,$B41,0)</f>
        <v>#N/A</v>
      </c>
      <c r="AG41" s="129" t="e">
        <f>VLOOKUP(AG$2&amp;$C41&amp;$A41,集計!$D:$R,$B41,0)</f>
        <v>#N/A</v>
      </c>
      <c r="AH41" s="130" t="e">
        <f>AD41+AE41+AF41+AG41</f>
        <v>#N/A</v>
      </c>
      <c r="AI41" s="129" t="e">
        <f>VLOOKUP(AI$2&amp;$C41&amp;$A41,集計!$D:$R,$B41,0)</f>
        <v>#N/A</v>
      </c>
      <c r="AJ41" s="129" t="e">
        <f>VLOOKUP(AJ$2&amp;$C41&amp;$A41,集計!$D:$R,$B41,0)</f>
        <v>#N/A</v>
      </c>
      <c r="AK41" s="129" t="e">
        <f>VLOOKUP(AK$2&amp;$C41&amp;$A41,集計!$D:$R,$B41,0)</f>
        <v>#N/A</v>
      </c>
      <c r="AL41" s="130" t="e">
        <f>AI41+AJ41+AK41</f>
        <v>#N/A</v>
      </c>
      <c r="AM41" s="129" t="e">
        <f>VLOOKUP(AM$2&amp;$C41&amp;$A41,集計!$D:$R,$B41,0)</f>
        <v>#N/A</v>
      </c>
      <c r="AN41" s="129" t="e">
        <f>VLOOKUP(AN$2&amp;$C41&amp;$A41,集計!$D:$R,$B41,0)</f>
        <v>#N/A</v>
      </c>
      <c r="AO41" s="130" t="e">
        <f>AM41+AN41</f>
        <v>#N/A</v>
      </c>
      <c r="AP41" s="129" t="e">
        <f>VLOOKUP(AP$2&amp;$C41&amp;$A41,集計!$D:$R,$B41,0)</f>
        <v>#N/A</v>
      </c>
      <c r="AQ41" s="129" t="e">
        <f>VLOOKUP(AQ$2&amp;$C41&amp;$A41,集計!$D:$R,$B41,0)</f>
        <v>#N/A</v>
      </c>
      <c r="AR41" s="129" t="e">
        <f>VLOOKUP(AR$2&amp;$C41&amp;$A41,集計!$D:$R,$B41,0)</f>
        <v>#N/A</v>
      </c>
      <c r="AS41" s="130" t="e">
        <f>AP41+AQ41+AR41</f>
        <v>#N/A</v>
      </c>
      <c r="AT41" s="130" t="e">
        <f>AH41+AL41+AO41+AS41</f>
        <v>#N/A</v>
      </c>
      <c r="AU41" s="129" t="e">
        <f>VLOOKUP(AU$2&amp;$C41&amp;$A41,集計!$D:$R,$B41,0)</f>
        <v>#N/A</v>
      </c>
      <c r="AV41" s="129" t="e">
        <f>VLOOKUP(AV$2&amp;$C41&amp;$A41,集計!$D:$R,$B41,0)</f>
        <v>#N/A</v>
      </c>
      <c r="AW41" s="129" t="e">
        <f>VLOOKUP(AW$2&amp;$C41&amp;$A41,集計!$D:$R,$B41,0)</f>
        <v>#N/A</v>
      </c>
      <c r="AX41" s="129" t="e">
        <f>VLOOKUP(AX$2&amp;$C41&amp;$A41,集計!$D:$R,$B41,0)</f>
        <v>#N/A</v>
      </c>
      <c r="AY41" s="129" t="e">
        <f>VLOOKUP(AY$2&amp;$C41&amp;$A41,集計!$D:$R,$B41,0)</f>
        <v>#N/A</v>
      </c>
      <c r="AZ41" s="130" t="e">
        <f>AU41+AV41+AW41+AX41+AY41</f>
        <v>#N/A</v>
      </c>
      <c r="BA41" s="130" t="e">
        <f>AZ41</f>
        <v>#N/A</v>
      </c>
      <c r="BB41" s="129" t="e">
        <f>VLOOKUP(BB$2&amp;$C41&amp;$A41,集計!$D:$R,$B41,0)</f>
        <v>#N/A</v>
      </c>
      <c r="BC41" s="129" t="e">
        <f>VLOOKUP(BC$2&amp;$C41&amp;$A41,集計!$D:$R,$B41,0)</f>
        <v>#N/A</v>
      </c>
      <c r="BD41" s="130" t="e">
        <f>BB41+BC41</f>
        <v>#N/A</v>
      </c>
      <c r="BE41" s="129" t="e">
        <f>VLOOKUP(BE$2&amp;$C41&amp;$A41,集計!$D:$R,$B41,0)</f>
        <v>#N/A</v>
      </c>
      <c r="BF41" s="129" t="e">
        <f>VLOOKUP(BF$2&amp;$C41&amp;$A41,集計!$D:$R,$B41,0)</f>
        <v>#N/A</v>
      </c>
      <c r="BG41" s="129" t="e">
        <f>VLOOKUP(BG$2&amp;$C41&amp;$A41,集計!$D:$R,$B41,0)</f>
        <v>#N/A</v>
      </c>
      <c r="BH41" s="129" t="e">
        <f>VLOOKUP(BH$2&amp;$C41&amp;$A41,集計!$D:$R,$B41,0)</f>
        <v>#N/A</v>
      </c>
      <c r="BI41" s="129" t="e">
        <f>VLOOKUP(BI$2&amp;$C41&amp;$A41,集計!$D:$R,$B41,0)</f>
        <v>#N/A</v>
      </c>
      <c r="BJ41" s="130" t="e">
        <f>BE41+BF41+BG41+BH41+BI41</f>
        <v>#N/A</v>
      </c>
      <c r="BK41" s="129" t="e">
        <f>VLOOKUP(BK$2&amp;$C41&amp;$A41,集計!$D:$R,$B41,0)</f>
        <v>#N/A</v>
      </c>
      <c r="BL41" s="129" t="e">
        <f>VLOOKUP(BL$2&amp;$C41&amp;$A41,集計!$D:$R,$B41,0)</f>
        <v>#N/A</v>
      </c>
      <c r="BM41" s="129" t="e">
        <f>VLOOKUP(BM$2&amp;$C41&amp;$A41,集計!$D:$R,$B41,0)</f>
        <v>#N/A</v>
      </c>
      <c r="BN41" s="129" t="e">
        <f>VLOOKUP(BN$2&amp;$C41&amp;$A41,集計!$D:$R,$B41,0)</f>
        <v>#N/A</v>
      </c>
      <c r="BO41" s="129" t="e">
        <f>VLOOKUP(BO$2&amp;$C41&amp;$A41,集計!$D:$R,$B41,0)</f>
        <v>#N/A</v>
      </c>
      <c r="BP41" s="129" t="e">
        <f>VLOOKUP(BP$2&amp;$C41&amp;$A41,集計!$D:$R,$B41,0)</f>
        <v>#N/A</v>
      </c>
      <c r="BQ41" s="130" t="e">
        <f>BK41+BL41+BM41+BN41+BO41+BP41</f>
        <v>#N/A</v>
      </c>
      <c r="BR41" s="129" t="e">
        <f>VLOOKUP(BR$2&amp;$C41&amp;$A41,集計!$D:$R,$B41,0)</f>
        <v>#N/A</v>
      </c>
      <c r="BS41" s="129" t="e">
        <f>VLOOKUP(BS$2&amp;$C41&amp;$A41,集計!$D:$R,$B41,0)</f>
        <v>#N/A</v>
      </c>
      <c r="BT41" s="129" t="e">
        <f>VLOOKUP(BT$2&amp;$C41&amp;$A41,集計!$D:$R,$B41,0)</f>
        <v>#N/A</v>
      </c>
      <c r="BU41" s="130" t="e">
        <f>BR41+BS41+BT41</f>
        <v>#N/A</v>
      </c>
      <c r="BV41" s="129" t="e">
        <f>VLOOKUP(BV$2&amp;$C41&amp;$A41,集計!$D:$R,$B41,0)</f>
        <v>#N/A</v>
      </c>
      <c r="BW41" s="130" t="e">
        <f>BV41</f>
        <v>#N/A</v>
      </c>
      <c r="BX41" s="130" t="e">
        <f>AC41+AT41+BA41+BD41+BJ41+BQ41+BU41+BW41</f>
        <v>#N/A</v>
      </c>
    </row>
    <row r="42" spans="1:76" s="124" customFormat="1">
      <c r="A42" s="120" t="s">
        <v>40</v>
      </c>
      <c r="B42" s="150">
        <v>9</v>
      </c>
      <c r="C42" s="131" t="s">
        <v>26</v>
      </c>
      <c r="D42" s="132" t="e">
        <f>IF(VLOOKUP(D$2&amp;$C42&amp;$A42,集計!$D:$R,$B42,0)&lt;&gt;SUM(D40:D41),"NG",SUM(D40:D41))</f>
        <v>#N/A</v>
      </c>
      <c r="E42" s="132" t="e">
        <f>IF(VLOOKUP(E$2&amp;$C42&amp;$A42,集計!$D:$R,$B42,0)&lt;&gt;SUM(E40:E41),"NG",SUM(E40:E41))</f>
        <v>#N/A</v>
      </c>
      <c r="F42" s="132" t="e">
        <f>IF(VLOOKUP(F$2&amp;$C42&amp;$A42,集計!$D:$R,$B42,0)&lt;&gt;SUM(F40:F41),"NG",SUM(F40:F41))</f>
        <v>#N/A</v>
      </c>
      <c r="G42" s="132" t="e">
        <f>IF(VLOOKUP(G$2&amp;$C42&amp;$A42,集計!$D:$R,$B42,0)&lt;&gt;SUM(G40:G41),"NG",SUM(G40:G41))</f>
        <v>#N/A</v>
      </c>
      <c r="H42" s="132" t="e">
        <f>IF(VLOOKUP(H$2&amp;$C42&amp;$A42,集計!$D:$R,$B42,0)&lt;&gt;SUM(H40:H41),"NG",SUM(H40:H41))</f>
        <v>#N/A</v>
      </c>
      <c r="I42" s="133" t="e">
        <f>I40+I41</f>
        <v>#N/A</v>
      </c>
      <c r="J42" s="132" t="e">
        <f>IF(VLOOKUP(J$2&amp;$C42&amp;$A42,集計!$D:$R,$B42,0)&lt;&gt;SUM(J40:J41),"NG",SUM(J40:J41))</f>
        <v>#N/A</v>
      </c>
      <c r="K42" s="132" t="e">
        <f>IF(VLOOKUP(K$2&amp;$C42&amp;$A42,集計!$D:$R,$B42,0)&lt;&gt;SUM(K40:K41),"NG",SUM(K40:K41))</f>
        <v>#N/A</v>
      </c>
      <c r="L42" s="132" t="e">
        <f>IF(VLOOKUP(L$2&amp;$C42&amp;$A42,集計!$D:$R,$B42,0)&lt;&gt;SUM(L40:L41),"NG",SUM(L40:L41))</f>
        <v>#N/A</v>
      </c>
      <c r="M42" s="132" t="e">
        <f>IF(VLOOKUP(M$2&amp;$C42&amp;$A42,集計!$D:$R,$B42,0)&lt;&gt;SUM(M40:M41),"NG",SUM(M40:M41))</f>
        <v>#N/A</v>
      </c>
      <c r="N42" s="133" t="e">
        <f>N40+N41</f>
        <v>#N/A</v>
      </c>
      <c r="O42" s="132" t="e">
        <f>IF(VLOOKUP(O$2&amp;$C42&amp;$A42,集計!$D:$R,$B42,0)&lt;&gt;SUM(O40:O41),"NG",SUM(O40:O41))</f>
        <v>#N/A</v>
      </c>
      <c r="P42" s="132" t="e">
        <f>IF(VLOOKUP(P$2&amp;$C42&amp;$A42,集計!$D:$R,$B42,0)&lt;&gt;SUM(P40:P41),"NG",SUM(P40:P41))</f>
        <v>#N/A</v>
      </c>
      <c r="Q42" s="132" t="e">
        <f>IF(VLOOKUP(Q$2&amp;$C42&amp;$A42,集計!$D:$R,$B42,0)&lt;&gt;SUM(Q40:Q41),"NG",SUM(Q40:Q41))</f>
        <v>#N/A</v>
      </c>
      <c r="R42" s="132" t="e">
        <f>IF(VLOOKUP(R$2&amp;$C42&amp;$A42,集計!$D:$R,$B42,0)&lt;&gt;SUM(R40:R41),"NG",SUM(R40:R41))</f>
        <v>#N/A</v>
      </c>
      <c r="S42" s="132" t="e">
        <f>IF(VLOOKUP(S$2&amp;$C42&amp;$A42,集計!$D:$R,$B42,0)&lt;&gt;SUM(S40:S41),"NG",SUM(S40:S41))</f>
        <v>#N/A</v>
      </c>
      <c r="T42" s="133" t="e">
        <f>T40+T41</f>
        <v>#N/A</v>
      </c>
      <c r="U42" s="132" t="e">
        <f>IF(VLOOKUP(U$2&amp;$C42&amp;$A42,集計!$D:$R,$B42,0)&lt;&gt;SUM(U40:U41),"NG",SUM(U40:U41))</f>
        <v>#N/A</v>
      </c>
      <c r="V42" s="132" t="e">
        <f>IF(VLOOKUP(V$2&amp;$C42&amp;$A42,集計!$D:$R,$B42,0)&lt;&gt;SUM(V40:V41),"NG",SUM(V40:V41))</f>
        <v>#N/A</v>
      </c>
      <c r="W42" s="132" t="e">
        <f>IF(VLOOKUP(W$2&amp;$C42&amp;$A42,集計!$D:$R,$B42,0)&lt;&gt;SUM(W40:W41),"NG",SUM(W40:W41))</f>
        <v>#N/A</v>
      </c>
      <c r="X42" s="133" t="e">
        <f>SUM(X40:X41)</f>
        <v>#N/A</v>
      </c>
      <c r="Y42" s="132" t="e">
        <f>IF(VLOOKUP(Y$2&amp;$C42&amp;$A42,集計!$D:$R,$B42,0)&lt;&gt;SUM(Y40:Y41),"NG",SUM(Y40:Y41))</f>
        <v>#N/A</v>
      </c>
      <c r="Z42" s="132" t="e">
        <f>IF(VLOOKUP(Z$2&amp;$C42&amp;$A42,集計!$D:$R,$B42,0)&lt;&gt;SUM(Z40:Z41),"NG",SUM(Z40:Z41))</f>
        <v>#N/A</v>
      </c>
      <c r="AA42" s="132" t="e">
        <f>IF(VLOOKUP(AA$2&amp;$C42&amp;$A42,集計!$D:$R,$B42,0)&lt;&gt;SUM(AA40:AA41),"NG",SUM(AA40:AA41))</f>
        <v>#N/A</v>
      </c>
      <c r="AB42" s="133" t="e">
        <f>SUM(AB40:AB41)</f>
        <v>#N/A</v>
      </c>
      <c r="AC42" s="133" t="e">
        <f>SUM(AC40:AC41)</f>
        <v>#N/A</v>
      </c>
      <c r="AD42" s="132" t="e">
        <f>IF(VLOOKUP(AD$2&amp;$C42&amp;$A42,集計!$D:$R,$B42,0)&lt;&gt;SUM(AD40:AD41),"NG",SUM(AD40:AD41))</f>
        <v>#N/A</v>
      </c>
      <c r="AE42" s="132" t="e">
        <f>IF(VLOOKUP(AE$2&amp;$C42&amp;$A42,集計!$D:$R,$B42,0)&lt;&gt;SUM(AE40:AE41),"NG",SUM(AE40:AE41))</f>
        <v>#N/A</v>
      </c>
      <c r="AF42" s="132" t="e">
        <f>IF(VLOOKUP(AF$2&amp;$C42&amp;$A42,集計!$D:$R,$B42,0)&lt;&gt;SUM(AF40:AF41),"NG",SUM(AF40:AF41))</f>
        <v>#N/A</v>
      </c>
      <c r="AG42" s="132" t="e">
        <f>IF(VLOOKUP(AG$2&amp;$C42&amp;$A42,集計!$D:$R,$B42,0)&lt;&gt;SUM(AG40:AG41),"NG",SUM(AG40:AG41))</f>
        <v>#N/A</v>
      </c>
      <c r="AH42" s="133" t="e">
        <f>SUM(AH40:AH41)</f>
        <v>#N/A</v>
      </c>
      <c r="AI42" s="132" t="e">
        <f>IF(VLOOKUP(AI$2&amp;$C42&amp;$A42,集計!$D:$R,$B42,0)&lt;&gt;SUM(AI40:AI41),"NG",SUM(AI40:AI41))</f>
        <v>#N/A</v>
      </c>
      <c r="AJ42" s="132" t="e">
        <f>IF(VLOOKUP(AJ$2&amp;$C42&amp;$A42,集計!$D:$R,$B42,0)&lt;&gt;SUM(AJ40:AJ41),"NG",SUM(AJ40:AJ41))</f>
        <v>#N/A</v>
      </c>
      <c r="AK42" s="132" t="e">
        <f>IF(VLOOKUP(AK$2&amp;$C42&amp;$A42,集計!$D:$R,$B42,0)&lt;&gt;SUM(AK40:AK41),"NG",SUM(AK40:AK41))</f>
        <v>#N/A</v>
      </c>
      <c r="AL42" s="133" t="e">
        <f>SUM(AL40:AL41)</f>
        <v>#N/A</v>
      </c>
      <c r="AM42" s="132" t="e">
        <f>IF(VLOOKUP(AM$2&amp;$C42&amp;$A42,集計!$D:$R,$B42,0)&lt;&gt;SUM(AM40:AM41),"NG",SUM(AM40:AM41))</f>
        <v>#N/A</v>
      </c>
      <c r="AN42" s="132" t="e">
        <f>IF(VLOOKUP(AN$2&amp;$C42&amp;$A42,集計!$D:$R,$B42,0)&lt;&gt;SUM(AN40:AN41),"NG",SUM(AN40:AN41))</f>
        <v>#N/A</v>
      </c>
      <c r="AO42" s="133" t="e">
        <f>SUM(AO40:AO41)</f>
        <v>#N/A</v>
      </c>
      <c r="AP42" s="132" t="e">
        <f>IF(VLOOKUP(AP$2&amp;$C42&amp;$A42,集計!$D:$R,$B42,0)&lt;&gt;SUM(AP40:AP41),"NG",SUM(AP40:AP41))</f>
        <v>#N/A</v>
      </c>
      <c r="AQ42" s="132" t="e">
        <f>IF(VLOOKUP(AQ$2&amp;$C42&amp;$A42,集計!$D:$R,$B42,0)&lt;&gt;SUM(AQ40:AQ41),"NG",SUM(AQ40:AQ41))</f>
        <v>#N/A</v>
      </c>
      <c r="AR42" s="132" t="e">
        <f>IF(VLOOKUP(AR$2&amp;$C42&amp;$A42,集計!$D:$R,$B42,0)&lt;&gt;SUM(AR40:AR41),"NG",SUM(AR40:AR41))</f>
        <v>#N/A</v>
      </c>
      <c r="AS42" s="133" t="e">
        <f>SUM(AS40:AS41)</f>
        <v>#N/A</v>
      </c>
      <c r="AT42" s="133" t="e">
        <f>SUM(AT40:AT41)</f>
        <v>#N/A</v>
      </c>
      <c r="AU42" s="132" t="e">
        <f>IF(VLOOKUP(AU$2&amp;$C42&amp;$A42,集計!$D:$R,$B42,0)&lt;&gt;SUM(AU40:AU41),"NG",SUM(AU40:AU41))</f>
        <v>#N/A</v>
      </c>
      <c r="AV42" s="132" t="e">
        <f>IF(VLOOKUP(AV$2&amp;$C42&amp;$A42,集計!$D:$R,$B42,0)&lt;&gt;SUM(AV40:AV41),"NG",SUM(AV40:AV41))</f>
        <v>#N/A</v>
      </c>
      <c r="AW42" s="132" t="e">
        <f>IF(VLOOKUP(AW$2&amp;$C42&amp;$A42,集計!$D:$R,$B42,0)&lt;&gt;SUM(AW40:AW41),"NG",SUM(AW40:AW41))</f>
        <v>#N/A</v>
      </c>
      <c r="AX42" s="132" t="e">
        <f>IF(VLOOKUP(AX$2&amp;$C42&amp;$A42,集計!$D:$R,$B42,0)&lt;&gt;SUM(AX40:AX41),"NG",SUM(AX40:AX41))</f>
        <v>#N/A</v>
      </c>
      <c r="AY42" s="132" t="e">
        <f>IF(VLOOKUP(AY$2&amp;$C42&amp;$A42,集計!$D:$R,$B42,0)&lt;&gt;SUM(AY40:AY41),"NG",SUM(AY40:AY41))</f>
        <v>#N/A</v>
      </c>
      <c r="AZ42" s="133" t="e">
        <f>AZ40+AZ41</f>
        <v>#N/A</v>
      </c>
      <c r="BA42" s="133" t="e">
        <f>BA40+BA41</f>
        <v>#N/A</v>
      </c>
      <c r="BB42" s="132" t="e">
        <f>IF(VLOOKUP(BB$2&amp;$C42&amp;$A42,集計!$D:$R,$B42,0)&lt;&gt;SUM(BB40:BB41),"NG",SUM(BB40:BB41))</f>
        <v>#N/A</v>
      </c>
      <c r="BC42" s="132" t="e">
        <f>IF(VLOOKUP(BC$2&amp;$C42&amp;$A42,集計!$D:$R,$B42,0)&lt;&gt;SUM(BC40:BC41),"NG",SUM(BC40:BC41))</f>
        <v>#N/A</v>
      </c>
      <c r="BD42" s="133" t="e">
        <f>SUM(BD40:BD41)</f>
        <v>#N/A</v>
      </c>
      <c r="BE42" s="132" t="e">
        <f>IF(VLOOKUP(BE$2&amp;$C42&amp;$A42,集計!$D:$R,$B42,0)&lt;&gt;SUM(BE40:BE41),"NG",SUM(BE40:BE41))</f>
        <v>#N/A</v>
      </c>
      <c r="BF42" s="132" t="e">
        <f>IF(VLOOKUP(BF$2&amp;$C42&amp;$A42,集計!$D:$R,$B42,0)&lt;&gt;SUM(BF40:BF41),"NG",SUM(BF40:BF41))</f>
        <v>#N/A</v>
      </c>
      <c r="BG42" s="132" t="e">
        <f>IF(VLOOKUP(BG$2&amp;$C42&amp;$A42,集計!$D:$R,$B42,0)&lt;&gt;SUM(BG40:BG41),"NG",SUM(BG40:BG41))</f>
        <v>#N/A</v>
      </c>
      <c r="BH42" s="132" t="e">
        <f>IF(VLOOKUP(BH$2&amp;$C42&amp;$A42,集計!$D:$R,$B42,0)&lt;&gt;SUM(BH40:BH41),"NG",SUM(BH40:BH41))</f>
        <v>#N/A</v>
      </c>
      <c r="BI42" s="132" t="e">
        <f>IF(VLOOKUP(BI$2&amp;$C42&amp;$A42,集計!$D:$R,$B42,0)&lt;&gt;SUM(BI40:BI41),"NG",SUM(BI40:BI41))</f>
        <v>#N/A</v>
      </c>
      <c r="BJ42" s="133" t="e">
        <f>BJ40+BJ41</f>
        <v>#N/A</v>
      </c>
      <c r="BK42" s="132" t="e">
        <f>IF(VLOOKUP(BK$2&amp;$C42&amp;$A42,集計!$D:$R,$B42,0)&lt;&gt;SUM(BK40:BK41),"NG",SUM(BK40:BK41))</f>
        <v>#N/A</v>
      </c>
      <c r="BL42" s="132" t="e">
        <f>IF(VLOOKUP(BL$2&amp;$C42&amp;$A42,集計!$D:$R,$B42,0)&lt;&gt;SUM(BL40:BL41),"NG",SUM(BL40:BL41))</f>
        <v>#N/A</v>
      </c>
      <c r="BM42" s="132" t="e">
        <f>IF(VLOOKUP(BM$2&amp;$C42&amp;$A42,集計!$D:$R,$B42,0)&lt;&gt;SUM(BM40:BM41),"NG",SUM(BM40:BM41))</f>
        <v>#N/A</v>
      </c>
      <c r="BN42" s="132" t="e">
        <f>IF(VLOOKUP(BN$2&amp;$C42&amp;$A42,集計!$D:$R,$B42,0)&lt;&gt;SUM(BN40:BN41),"NG",SUM(BN40:BN41))</f>
        <v>#N/A</v>
      </c>
      <c r="BO42" s="132" t="e">
        <f>IF(VLOOKUP(BO$2&amp;$C42&amp;$A42,集計!$D:$R,$B42,0)&lt;&gt;SUM(BO40:BO41),"NG",SUM(BO40:BO41))</f>
        <v>#N/A</v>
      </c>
      <c r="BP42" s="132" t="e">
        <f>IF(VLOOKUP(BP$2&amp;$C42&amp;$A42,集計!$D:$R,$B42,0)&lt;&gt;SUM(BP40:BP41),"NG",SUM(BP40:BP41))</f>
        <v>#N/A</v>
      </c>
      <c r="BQ42" s="133" t="e">
        <f>BQ40+BQ41</f>
        <v>#N/A</v>
      </c>
      <c r="BR42" s="132" t="e">
        <f>IF(VLOOKUP(BR$2&amp;$C42&amp;$A42,集計!$D:$R,$B42,0)&lt;&gt;SUM(BR40:BR41),"NG",SUM(BR40:BR41))</f>
        <v>#N/A</v>
      </c>
      <c r="BS42" s="132" t="e">
        <f>IF(VLOOKUP(BS$2&amp;$C42&amp;$A42,集計!$D:$R,$B42,0)&lt;&gt;SUM(BS40:BS41),"NG",SUM(BS40:BS41))</f>
        <v>#N/A</v>
      </c>
      <c r="BT42" s="132" t="e">
        <f>IF(VLOOKUP(BT$2&amp;$C42&amp;$A42,集計!$D:$R,$B42,0)&lt;&gt;SUM(BT40:BT41),"NG",SUM(BT40:BT41))</f>
        <v>#N/A</v>
      </c>
      <c r="BU42" s="133" t="e">
        <f>BU40+BU41</f>
        <v>#N/A</v>
      </c>
      <c r="BV42" s="132" t="e">
        <f>IF(VLOOKUP(BV$2&amp;$C42&amp;$A42,集計!$D:$R,$B42,0)&lt;&gt;SUM(BV40:BV41),"NG",SUM(BV40:BV41))</f>
        <v>#N/A</v>
      </c>
      <c r="BW42" s="133" t="e">
        <f>SUM(BW40:BW41)</f>
        <v>#N/A</v>
      </c>
      <c r="BX42" s="133" t="e">
        <f>SUM(BX40:BX41)</f>
        <v>#N/A</v>
      </c>
    </row>
    <row r="43" spans="1:76" s="124" customFormat="1" ht="15" thickBot="1">
      <c r="A43" s="120" t="s">
        <v>40</v>
      </c>
      <c r="B43" s="150">
        <v>9</v>
      </c>
      <c r="C43" s="135" t="s">
        <v>27</v>
      </c>
      <c r="D43" s="136" t="e">
        <f>IF(VLOOKUP(D$2&amp;$C43&amp;$A43,集計!$D:$R,$B43,0)&lt;&gt;SUM(D39,D42),"NG",SUM(D39,D42))</f>
        <v>#N/A</v>
      </c>
      <c r="E43" s="136" t="e">
        <f>IF(VLOOKUP(E$2&amp;$C43&amp;$A43,集計!$D:$R,$B43,0)&lt;&gt;SUM(E39,E42),"NG",SUM(E39,E42))</f>
        <v>#N/A</v>
      </c>
      <c r="F43" s="136" t="e">
        <f>IF(VLOOKUP(F$2&amp;$C43&amp;$A43,集計!$D:$R,$B43,0)&lt;&gt;SUM(F39,F42),"NG",SUM(F39,F42))</f>
        <v>#N/A</v>
      </c>
      <c r="G43" s="136" t="e">
        <f>IF(VLOOKUP(G$2&amp;$C43&amp;$A43,集計!$D:$R,$B43,0)&lt;&gt;SUM(G39,G42),"NG",SUM(G39,G42))</f>
        <v>#N/A</v>
      </c>
      <c r="H43" s="136" t="e">
        <f>IF(VLOOKUP(H$2&amp;$C43&amp;$A43,集計!$D:$R,$B43,0)&lt;&gt;SUM(H39,H42),"NG",SUM(H39,H42))</f>
        <v>#N/A</v>
      </c>
      <c r="I43" s="137" t="e">
        <f>I39+I42</f>
        <v>#N/A</v>
      </c>
      <c r="J43" s="136" t="e">
        <f>IF(VLOOKUP(J$2&amp;$C43&amp;$A43,集計!$D:$R,$B43,0)&lt;&gt;SUM(J39,J42),"NG",SUM(J39,J42))</f>
        <v>#N/A</v>
      </c>
      <c r="K43" s="136" t="e">
        <f>IF(VLOOKUP(K$2&amp;$C43&amp;$A43,集計!$D:$R,$B43,0)&lt;&gt;SUM(K39,K42),"NG",SUM(K39,K42))</f>
        <v>#N/A</v>
      </c>
      <c r="L43" s="136" t="e">
        <f>IF(VLOOKUP(L$2&amp;$C43&amp;$A43,集計!$D:$R,$B43,0)&lt;&gt;SUM(L39,L42),"NG",SUM(L39,L42))</f>
        <v>#N/A</v>
      </c>
      <c r="M43" s="136" t="e">
        <f>IF(VLOOKUP(M$2&amp;$C43&amp;$A43,集計!$D:$R,$B43,0)&lt;&gt;SUM(M39,M42),"NG",SUM(M39,M42))</f>
        <v>#N/A</v>
      </c>
      <c r="N43" s="137" t="e">
        <f>N39+N42</f>
        <v>#N/A</v>
      </c>
      <c r="O43" s="136" t="e">
        <f>IF(VLOOKUP(O$2&amp;$C43&amp;$A43,集計!$D:$R,$B43,0)&lt;&gt;SUM(O39,O42),"NG",SUM(O39,O42))</f>
        <v>#N/A</v>
      </c>
      <c r="P43" s="136" t="e">
        <f>IF(VLOOKUP(P$2&amp;$C43&amp;$A43,集計!$D:$R,$B43,0)&lt;&gt;SUM(P39,P42),"NG",SUM(P39,P42))</f>
        <v>#N/A</v>
      </c>
      <c r="Q43" s="136" t="e">
        <f>IF(VLOOKUP(Q$2&amp;$C43&amp;$A43,集計!$D:$R,$B43,0)&lt;&gt;SUM(Q39,Q42),"NG",SUM(Q39,Q42))</f>
        <v>#N/A</v>
      </c>
      <c r="R43" s="136" t="e">
        <f>IF(VLOOKUP(R$2&amp;$C43&amp;$A43,集計!$D:$R,$B43,0)&lt;&gt;SUM(R39,R42),"NG",SUM(R39,R42))</f>
        <v>#N/A</v>
      </c>
      <c r="S43" s="136" t="e">
        <f>IF(VLOOKUP(S$2&amp;$C43&amp;$A43,集計!$D:$R,$B43,0)&lt;&gt;SUM(S39,S42),"NG",SUM(S39,S42))</f>
        <v>#N/A</v>
      </c>
      <c r="T43" s="137" t="e">
        <f>T39+T42</f>
        <v>#N/A</v>
      </c>
      <c r="U43" s="136" t="e">
        <f>IF(VLOOKUP(U$2&amp;$C43&amp;$A43,集計!$D:$R,$B43,0)&lt;&gt;SUM(U39,U42),"NG",SUM(U39,U42))</f>
        <v>#N/A</v>
      </c>
      <c r="V43" s="136" t="e">
        <f>IF(VLOOKUP(V$2&amp;$C43&amp;$A43,集計!$D:$R,$B43,0)&lt;&gt;SUM(V39,V42),"NG",SUM(V39,V42))</f>
        <v>#N/A</v>
      </c>
      <c r="W43" s="136" t="e">
        <f>IF(VLOOKUP(W$2&amp;$C43&amp;$A43,集計!$D:$R,$B43,0)&lt;&gt;SUM(W39,W42),"NG",SUM(W39,W42))</f>
        <v>#N/A</v>
      </c>
      <c r="X43" s="137" t="e">
        <f>X39+X42</f>
        <v>#N/A</v>
      </c>
      <c r="Y43" s="136" t="e">
        <f>IF(VLOOKUP(Y$2&amp;$C43&amp;$A43,集計!$D:$R,$B43,0)&lt;&gt;SUM(Y39,Y42),"NG",SUM(Y39,Y42))</f>
        <v>#N/A</v>
      </c>
      <c r="Z43" s="136" t="e">
        <f>IF(VLOOKUP(Z$2&amp;$C43&amp;$A43,集計!$D:$R,$B43,0)&lt;&gt;SUM(Z39,Z42),"NG",SUM(Z39,Z42))</f>
        <v>#N/A</v>
      </c>
      <c r="AA43" s="136" t="e">
        <f>IF(VLOOKUP(AA$2&amp;$C43&amp;$A43,集計!$D:$R,$B43,0)&lt;&gt;SUM(AA39,AA42),"NG",SUM(AA39,AA42))</f>
        <v>#N/A</v>
      </c>
      <c r="AB43" s="137" t="e">
        <f>AB39+AB42</f>
        <v>#N/A</v>
      </c>
      <c r="AC43" s="137" t="e">
        <f>AC39+AC42</f>
        <v>#N/A</v>
      </c>
      <c r="AD43" s="136" t="e">
        <f>IF(VLOOKUP(AD$2&amp;$C43&amp;$A43,集計!$D:$R,$B43,0)&lt;&gt;SUM(AD39,AD42),"NG",SUM(AD39,AD42))</f>
        <v>#N/A</v>
      </c>
      <c r="AE43" s="136" t="e">
        <f>IF(VLOOKUP(AE$2&amp;$C43&amp;$A43,集計!$D:$R,$B43,0)&lt;&gt;SUM(AE39,AE42),"NG",SUM(AE39,AE42))</f>
        <v>#N/A</v>
      </c>
      <c r="AF43" s="136" t="e">
        <f>IF(VLOOKUP(AF$2&amp;$C43&amp;$A43,集計!$D:$R,$B43,0)&lt;&gt;SUM(AF39,AF42),"NG",SUM(AF39,AF42))</f>
        <v>#N/A</v>
      </c>
      <c r="AG43" s="136" t="e">
        <f>IF(VLOOKUP(AG$2&amp;$C43&amp;$A43,集計!$D:$R,$B43,0)&lt;&gt;SUM(AG39,AG42),"NG",SUM(AG39,AG42))</f>
        <v>#N/A</v>
      </c>
      <c r="AH43" s="137" t="e">
        <f>AH39+AH42</f>
        <v>#N/A</v>
      </c>
      <c r="AI43" s="136" t="e">
        <f>IF(VLOOKUP(AI$2&amp;$C43&amp;$A43,集計!$D:$R,$B43,0)&lt;&gt;SUM(AI39,AI42),"NG",SUM(AI39,AI42))</f>
        <v>#N/A</v>
      </c>
      <c r="AJ43" s="136" t="e">
        <f>IF(VLOOKUP(AJ$2&amp;$C43&amp;$A43,集計!$D:$R,$B43,0)&lt;&gt;SUM(AJ39,AJ42),"NG",SUM(AJ39,AJ42))</f>
        <v>#N/A</v>
      </c>
      <c r="AK43" s="136" t="e">
        <f>IF(VLOOKUP(AK$2&amp;$C43&amp;$A43,集計!$D:$R,$B43,0)&lt;&gt;SUM(AK39,AK42),"NG",SUM(AK39,AK42))</f>
        <v>#N/A</v>
      </c>
      <c r="AL43" s="137" t="e">
        <f>AL39+AL42</f>
        <v>#N/A</v>
      </c>
      <c r="AM43" s="136" t="e">
        <f>IF(VLOOKUP(AM$2&amp;$C43&amp;$A43,集計!$D:$R,$B43,0)&lt;&gt;SUM(AM39,AM42),"NG",SUM(AM39,AM42))</f>
        <v>#N/A</v>
      </c>
      <c r="AN43" s="136" t="e">
        <f>IF(VLOOKUP(AN$2&amp;$C43&amp;$A43,集計!$D:$R,$B43,0)&lt;&gt;SUM(AN39,AN42),"NG",SUM(AN39,AN42))</f>
        <v>#N/A</v>
      </c>
      <c r="AO43" s="137" t="e">
        <f>AO39+AO42</f>
        <v>#N/A</v>
      </c>
      <c r="AP43" s="136" t="e">
        <f>IF(VLOOKUP(AP$2&amp;$C43&amp;$A43,集計!$D:$R,$B43,0)&lt;&gt;SUM(AP39,AP42),"NG",SUM(AP39,AP42))</f>
        <v>#N/A</v>
      </c>
      <c r="AQ43" s="136" t="e">
        <f>IF(VLOOKUP(AQ$2&amp;$C43&amp;$A43,集計!$D:$R,$B43,0)&lt;&gt;SUM(AQ39,AQ42),"NG",SUM(AQ39,AQ42))</f>
        <v>#N/A</v>
      </c>
      <c r="AR43" s="136" t="e">
        <f>IF(VLOOKUP(AR$2&amp;$C43&amp;$A43,集計!$D:$R,$B43,0)&lt;&gt;SUM(AR39,AR42),"NG",SUM(AR39,AR42))</f>
        <v>#N/A</v>
      </c>
      <c r="AS43" s="137" t="e">
        <f>AS39+AS42</f>
        <v>#N/A</v>
      </c>
      <c r="AT43" s="137" t="e">
        <f>AT39+AT42</f>
        <v>#N/A</v>
      </c>
      <c r="AU43" s="136" t="e">
        <f>IF(VLOOKUP(AU$2&amp;$C43&amp;$A43,集計!$D:$R,$B43,0)&lt;&gt;SUM(AU39,AU42),"NG",SUM(AU39,AU42))</f>
        <v>#N/A</v>
      </c>
      <c r="AV43" s="136" t="e">
        <f>IF(VLOOKUP(AV$2&amp;$C43&amp;$A43,集計!$D:$R,$B43,0)&lt;&gt;SUM(AV39,AV42),"NG",SUM(AV39,AV42))</f>
        <v>#N/A</v>
      </c>
      <c r="AW43" s="136" t="e">
        <f>IF(VLOOKUP(AW$2&amp;$C43&amp;$A43,集計!$D:$R,$B43,0)&lt;&gt;SUM(AW39,AW42),"NG",SUM(AW39,AW42))</f>
        <v>#N/A</v>
      </c>
      <c r="AX43" s="136" t="e">
        <f>IF(VLOOKUP(AX$2&amp;$C43&amp;$A43,集計!$D:$R,$B43,0)&lt;&gt;SUM(AX39,AX42),"NG",SUM(AX39,AX42))</f>
        <v>#N/A</v>
      </c>
      <c r="AY43" s="136" t="e">
        <f>IF(VLOOKUP(AY$2&amp;$C43&amp;$A43,集計!$D:$R,$B43,0)&lt;&gt;SUM(AY39,AY42),"NG",SUM(AY39,AY42))</f>
        <v>#N/A</v>
      </c>
      <c r="AZ43" s="137" t="e">
        <f>AZ39+AZ42</f>
        <v>#N/A</v>
      </c>
      <c r="BA43" s="137" t="e">
        <f>BA39+BA42</f>
        <v>#N/A</v>
      </c>
      <c r="BB43" s="136" t="e">
        <f>IF(VLOOKUP(BB$2&amp;$C43&amp;$A43,集計!$D:$R,$B43,0)&lt;&gt;SUM(BB39,BB42),"NG",SUM(BB39,BB42))</f>
        <v>#N/A</v>
      </c>
      <c r="BC43" s="136" t="e">
        <f>IF(VLOOKUP(BC$2&amp;$C43&amp;$A43,集計!$D:$R,$B43,0)&lt;&gt;SUM(BC39,BC42),"NG",SUM(BC39,BC42))</f>
        <v>#N/A</v>
      </c>
      <c r="BD43" s="137" t="e">
        <f>BD39+BD42</f>
        <v>#N/A</v>
      </c>
      <c r="BE43" s="136" t="e">
        <f>IF(VLOOKUP(BE$2&amp;$C43&amp;$A43,集計!$D:$R,$B43,0)&lt;&gt;SUM(BE39,BE42),"NG",SUM(BE39,BE42))</f>
        <v>#N/A</v>
      </c>
      <c r="BF43" s="136" t="e">
        <f>IF(VLOOKUP(BF$2&amp;$C43&amp;$A43,集計!$D:$R,$B43,0)&lt;&gt;SUM(BF39,BF42),"NG",SUM(BF39,BF42))</f>
        <v>#N/A</v>
      </c>
      <c r="BG43" s="136" t="e">
        <f>IF(VLOOKUP(BG$2&amp;$C43&amp;$A43,集計!$D:$R,$B43,0)&lt;&gt;SUM(BG39,BG42),"NG",SUM(BG39,BG42))</f>
        <v>#N/A</v>
      </c>
      <c r="BH43" s="136" t="e">
        <f>IF(VLOOKUP(BH$2&amp;$C43&amp;$A43,集計!$D:$R,$B43,0)&lt;&gt;SUM(BH39,BH42),"NG",SUM(BH39,BH42))</f>
        <v>#N/A</v>
      </c>
      <c r="BI43" s="136" t="e">
        <f>IF(VLOOKUP(BI$2&amp;$C43&amp;$A43,集計!$D:$R,$B43,0)&lt;&gt;SUM(BI39,BI42),"NG",SUM(BI39,BI42))</f>
        <v>#N/A</v>
      </c>
      <c r="BJ43" s="137" t="e">
        <f>BJ39+BJ42</f>
        <v>#N/A</v>
      </c>
      <c r="BK43" s="136" t="e">
        <f>IF(VLOOKUP(BK$2&amp;$C43&amp;$A43,集計!$D:$R,$B43,0)&lt;&gt;SUM(BK39,BK42),"NG",SUM(BK39,BK42))</f>
        <v>#N/A</v>
      </c>
      <c r="BL43" s="136" t="e">
        <f>IF(VLOOKUP(BL$2&amp;$C43&amp;$A43,集計!$D:$R,$B43,0)&lt;&gt;SUM(BL39,BL42),"NG",SUM(BL39,BL42))</f>
        <v>#N/A</v>
      </c>
      <c r="BM43" s="136" t="e">
        <f>IF(VLOOKUP(BM$2&amp;$C43&amp;$A43,集計!$D:$R,$B43,0)&lt;&gt;SUM(BM39,BM42),"NG",SUM(BM39,BM42))</f>
        <v>#N/A</v>
      </c>
      <c r="BN43" s="136" t="e">
        <f>IF(VLOOKUP(BN$2&amp;$C43&amp;$A43,集計!$D:$R,$B43,0)&lt;&gt;SUM(BN39,BN42),"NG",SUM(BN39,BN42))</f>
        <v>#N/A</v>
      </c>
      <c r="BO43" s="136" t="e">
        <f>IF(VLOOKUP(BO$2&amp;$C43&amp;$A43,集計!$D:$R,$B43,0)&lt;&gt;SUM(BO39,BO42),"NG",SUM(BO39,BO42))</f>
        <v>#N/A</v>
      </c>
      <c r="BP43" s="136" t="e">
        <f>IF(VLOOKUP(BP$2&amp;$C43&amp;$A43,集計!$D:$R,$B43,0)&lt;&gt;SUM(BP39,BP42),"NG",SUM(BP39,BP42))</f>
        <v>#N/A</v>
      </c>
      <c r="BQ43" s="137" t="e">
        <f>BQ39+BQ42</f>
        <v>#N/A</v>
      </c>
      <c r="BR43" s="136" t="e">
        <f>IF(VLOOKUP(BR$2&amp;$C43&amp;$A43,集計!$D:$R,$B43,0)&lt;&gt;SUM(BR39,BR42),"NG",SUM(BR39,BR42))</f>
        <v>#N/A</v>
      </c>
      <c r="BS43" s="136" t="e">
        <f>IF(VLOOKUP(BS$2&amp;$C43&amp;$A43,集計!$D:$R,$B43,0)&lt;&gt;SUM(BS39,BS42),"NG",SUM(BS39,BS42))</f>
        <v>#N/A</v>
      </c>
      <c r="BT43" s="136" t="e">
        <f>IF(VLOOKUP(BT$2&amp;$C43&amp;$A43,集計!$D:$R,$B43,0)&lt;&gt;SUM(BT39,BT42),"NG",SUM(BT39,BT42))</f>
        <v>#N/A</v>
      </c>
      <c r="BU43" s="137" t="e">
        <f>BU39+BU42</f>
        <v>#N/A</v>
      </c>
      <c r="BV43" s="136" t="e">
        <f>IF(VLOOKUP(BV$2&amp;$C43&amp;$A43,集計!$D:$R,$B43,0)&lt;&gt;SUM(BV39,BV42),"NG",SUM(BV39,BV42))</f>
        <v>#N/A</v>
      </c>
      <c r="BW43" s="137" t="e">
        <f>BW39+BW42</f>
        <v>#N/A</v>
      </c>
      <c r="BX43" s="137" t="e">
        <f>BX39+BX42</f>
        <v>#N/A</v>
      </c>
    </row>
    <row r="44" spans="1:76" s="124" customFormat="1">
      <c r="A44" s="134"/>
      <c r="B44" s="151"/>
      <c r="C44" s="142"/>
      <c r="D44" s="143"/>
      <c r="E44" s="143"/>
      <c r="F44" s="143"/>
      <c r="G44" s="143"/>
      <c r="H44" s="143"/>
      <c r="I44" s="144"/>
      <c r="J44" s="143"/>
      <c r="K44" s="143"/>
      <c r="L44" s="143"/>
      <c r="M44" s="143"/>
      <c r="N44" s="144"/>
      <c r="O44" s="143"/>
      <c r="P44" s="143"/>
      <c r="Q44" s="143"/>
      <c r="R44" s="143"/>
      <c r="S44" s="143"/>
      <c r="T44" s="144"/>
      <c r="U44" s="143"/>
      <c r="V44" s="143"/>
      <c r="W44" s="143"/>
      <c r="X44" s="144"/>
      <c r="Y44" s="143"/>
      <c r="Z44" s="143"/>
      <c r="AA44" s="143"/>
      <c r="AB44" s="144"/>
      <c r="AC44" s="144"/>
      <c r="AD44" s="143"/>
      <c r="AE44" s="143"/>
      <c r="AF44" s="143"/>
      <c r="AG44" s="143"/>
      <c r="AH44" s="144"/>
      <c r="AI44" s="143"/>
      <c r="AJ44" s="143"/>
      <c r="AK44" s="143"/>
      <c r="AL44" s="144"/>
      <c r="AM44" s="143"/>
      <c r="AN44" s="143"/>
      <c r="AO44" s="144"/>
      <c r="AP44" s="143"/>
      <c r="AQ44" s="143"/>
      <c r="AR44" s="143"/>
      <c r="AS44" s="144"/>
      <c r="AT44" s="144"/>
      <c r="AU44" s="143"/>
      <c r="AV44" s="143"/>
      <c r="AW44" s="143"/>
      <c r="AX44" s="143"/>
      <c r="AY44" s="143"/>
      <c r="AZ44" s="144"/>
      <c r="BA44" s="144"/>
      <c r="BB44" s="143"/>
      <c r="BC44" s="143"/>
      <c r="BD44" s="144"/>
      <c r="BE44" s="143"/>
      <c r="BF44" s="143"/>
      <c r="BG44" s="143"/>
      <c r="BH44" s="143"/>
      <c r="BI44" s="143"/>
      <c r="BJ44" s="144"/>
      <c r="BK44" s="143"/>
      <c r="BL44" s="143"/>
      <c r="BM44" s="143"/>
      <c r="BN44" s="143"/>
      <c r="BO44" s="143"/>
      <c r="BP44" s="143"/>
      <c r="BQ44" s="144"/>
      <c r="BR44" s="143"/>
      <c r="BS44" s="143"/>
      <c r="BT44" s="143"/>
      <c r="BU44" s="144"/>
      <c r="BV44" s="143"/>
      <c r="BW44" s="144"/>
      <c r="BX44" s="144"/>
    </row>
    <row r="45" spans="1:76" s="124" customFormat="1" ht="21.5" thickBot="1">
      <c r="A45" s="134"/>
      <c r="B45" s="96">
        <v>10</v>
      </c>
      <c r="C45" s="138" t="s">
        <v>40</v>
      </c>
      <c r="D45" s="145"/>
      <c r="E45" s="145"/>
      <c r="F45" s="145"/>
      <c r="G45" s="145"/>
      <c r="H45" s="145"/>
      <c r="I45" s="146"/>
      <c r="J45" s="145"/>
      <c r="K45" s="145"/>
      <c r="L45" s="145"/>
      <c r="M45" s="145"/>
      <c r="N45" s="146"/>
      <c r="O45" s="145"/>
      <c r="P45" s="145"/>
      <c r="Q45" s="145"/>
      <c r="R45" s="145"/>
      <c r="S45" s="145"/>
      <c r="T45" s="146"/>
      <c r="U45" s="145"/>
      <c r="V45" s="145"/>
      <c r="W45" s="145"/>
      <c r="X45" s="146"/>
      <c r="Y45" s="145"/>
      <c r="Z45" s="145"/>
      <c r="AA45" s="145"/>
      <c r="AB45" s="146"/>
      <c r="AC45" s="146"/>
      <c r="AD45" s="145"/>
      <c r="AE45" s="145"/>
      <c r="AF45" s="145"/>
      <c r="AG45" s="145"/>
      <c r="AH45" s="146"/>
      <c r="AI45" s="145"/>
      <c r="AJ45" s="145"/>
      <c r="AK45" s="145"/>
      <c r="AL45" s="146"/>
      <c r="AM45" s="145"/>
      <c r="AN45" s="145"/>
      <c r="AO45" s="146"/>
      <c r="AP45" s="145"/>
      <c r="AQ45" s="145"/>
      <c r="AR45" s="145"/>
      <c r="AS45" s="146"/>
      <c r="AT45" s="146"/>
      <c r="AU45" s="145"/>
      <c r="AV45" s="145"/>
      <c r="AW45" s="145"/>
      <c r="AX45" s="145"/>
      <c r="AY45" s="145"/>
      <c r="AZ45" s="146"/>
      <c r="BA45" s="146"/>
      <c r="BB45" s="145"/>
      <c r="BC45" s="145"/>
      <c r="BD45" s="146"/>
      <c r="BE45" s="145"/>
      <c r="BF45" s="145"/>
      <c r="BG45" s="145"/>
      <c r="BH45" s="145"/>
      <c r="BI45" s="145"/>
      <c r="BJ45" s="146"/>
      <c r="BK45" s="145"/>
      <c r="BL45" s="145"/>
      <c r="BM45" s="145"/>
      <c r="BN45" s="145"/>
      <c r="BO45" s="145"/>
      <c r="BP45" s="145"/>
      <c r="BQ45" s="146"/>
      <c r="BR45" s="145"/>
      <c r="BS45" s="145"/>
      <c r="BT45" s="145"/>
      <c r="BU45" s="146"/>
      <c r="BV45" s="145"/>
      <c r="BW45" s="146"/>
      <c r="BX45" s="147"/>
    </row>
    <row r="46" spans="1:76" s="124" customFormat="1" ht="21" customHeight="1">
      <c r="A46" s="120" t="s">
        <v>40</v>
      </c>
      <c r="B46" s="152">
        <v>10</v>
      </c>
      <c r="C46" s="121" t="s">
        <v>25</v>
      </c>
      <c r="D46" s="122" t="e">
        <f>VLOOKUP(D$2&amp;$C46&amp;$A46,集計!$D:$R,$B46,0)</f>
        <v>#N/A</v>
      </c>
      <c r="E46" s="122" t="e">
        <f>VLOOKUP(E$2&amp;$C46&amp;$A46,集計!$D:$R,$B46,0)</f>
        <v>#N/A</v>
      </c>
      <c r="F46" s="122" t="e">
        <f>VLOOKUP(F$2&amp;$C46&amp;$A46,集計!$D:$R,$B46,0)</f>
        <v>#N/A</v>
      </c>
      <c r="G46" s="122" t="e">
        <f>VLOOKUP(G$2&amp;$C46&amp;$A46,集計!$D:$R,$B46,0)</f>
        <v>#N/A</v>
      </c>
      <c r="H46" s="122" t="e">
        <f>VLOOKUP(H$2&amp;$C46&amp;$A46,集計!$D:$R,$B46,0)</f>
        <v>#N/A</v>
      </c>
      <c r="I46" s="123" t="e">
        <f>D46+E46+F46+G46+H46</f>
        <v>#N/A</v>
      </c>
      <c r="J46" s="122" t="e">
        <f>VLOOKUP(J$2&amp;$C46&amp;$A46,集計!$D:$R,$B46,0)</f>
        <v>#N/A</v>
      </c>
      <c r="K46" s="122" t="e">
        <f>VLOOKUP(K$2&amp;$C46&amp;$A46,集計!$D:$R,$B46,0)</f>
        <v>#N/A</v>
      </c>
      <c r="L46" s="122" t="e">
        <f>VLOOKUP(L$2&amp;$C46&amp;$A46,集計!$D:$R,$B46,0)</f>
        <v>#N/A</v>
      </c>
      <c r="M46" s="122" t="e">
        <f>VLOOKUP(M$2&amp;$C46&amp;$A46,集計!$D:$R,$B46,0)</f>
        <v>#N/A</v>
      </c>
      <c r="N46" s="123" t="e">
        <f>J46+K46+L46+M46</f>
        <v>#N/A</v>
      </c>
      <c r="O46" s="122" t="e">
        <f>VLOOKUP(O$2&amp;$C46&amp;$A46,集計!$D:$R,$B46,0)</f>
        <v>#N/A</v>
      </c>
      <c r="P46" s="122" t="e">
        <f>VLOOKUP(P$2&amp;$C46&amp;$A46,集計!$D:$R,$B46,0)</f>
        <v>#N/A</v>
      </c>
      <c r="Q46" s="122" t="e">
        <f>VLOOKUP(Q$2&amp;$C46&amp;$A46,集計!$D:$R,$B46,0)</f>
        <v>#N/A</v>
      </c>
      <c r="R46" s="122" t="e">
        <f>VLOOKUP(R$2&amp;$C46&amp;$A46,集計!$D:$R,$B46,0)</f>
        <v>#N/A</v>
      </c>
      <c r="S46" s="122" t="e">
        <f>VLOOKUP(S$2&amp;$C46&amp;$A46,集計!$D:$R,$B46,0)</f>
        <v>#N/A</v>
      </c>
      <c r="T46" s="123" t="e">
        <f>O46+P46+Q46+R46+S46</f>
        <v>#N/A</v>
      </c>
      <c r="U46" s="122" t="e">
        <f>VLOOKUP(U$2&amp;$C46&amp;$A46,集計!$D:$R,$B46,0)</f>
        <v>#N/A</v>
      </c>
      <c r="V46" s="122" t="e">
        <f>VLOOKUP(V$2&amp;$C46&amp;$A46,集計!$D:$R,$B46,0)</f>
        <v>#N/A</v>
      </c>
      <c r="W46" s="122" t="e">
        <f>VLOOKUP(W$2&amp;$C46&amp;$A46,集計!$D:$R,$B46,0)</f>
        <v>#N/A</v>
      </c>
      <c r="X46" s="123" t="e">
        <f>U46+V46+W46</f>
        <v>#N/A</v>
      </c>
      <c r="Y46" s="122" t="e">
        <f>VLOOKUP(Y$2&amp;$C46&amp;$A46,集計!$D:$R,$B46,0)</f>
        <v>#N/A</v>
      </c>
      <c r="Z46" s="122" t="e">
        <f>VLOOKUP(Z$2&amp;$C46&amp;$A46,集計!$D:$R,$B46,0)</f>
        <v>#N/A</v>
      </c>
      <c r="AA46" s="122" t="e">
        <f>VLOOKUP(AA$2&amp;$C46&amp;$A46,集計!$D:$R,$B46,0)</f>
        <v>#N/A</v>
      </c>
      <c r="AB46" s="123" t="e">
        <f>Y46+Z46+AA46</f>
        <v>#N/A</v>
      </c>
      <c r="AC46" s="123" t="e">
        <f>I46+N46+T46+X46+AB46</f>
        <v>#N/A</v>
      </c>
      <c r="AD46" s="122" t="e">
        <f>VLOOKUP(AD$2&amp;$C46&amp;$A46,集計!$D:$R,$B46,0)</f>
        <v>#N/A</v>
      </c>
      <c r="AE46" s="122" t="e">
        <f>VLOOKUP(AE$2&amp;$C46&amp;$A46,集計!$D:$R,$B46,0)</f>
        <v>#N/A</v>
      </c>
      <c r="AF46" s="122" t="e">
        <f>VLOOKUP(AF$2&amp;$C46&amp;$A46,集計!$D:$R,$B46,0)</f>
        <v>#N/A</v>
      </c>
      <c r="AG46" s="122" t="e">
        <f>VLOOKUP(AG$2&amp;$C46&amp;$A46,集計!$D:$R,$B46,0)</f>
        <v>#N/A</v>
      </c>
      <c r="AH46" s="123" t="e">
        <f>AD46+AE46+AF46+AG46</f>
        <v>#N/A</v>
      </c>
      <c r="AI46" s="122" t="e">
        <f>VLOOKUP(AI$2&amp;$C46&amp;$A46,集計!$D:$R,$B46,0)</f>
        <v>#N/A</v>
      </c>
      <c r="AJ46" s="122" t="e">
        <f>VLOOKUP(AJ$2&amp;$C46&amp;$A46,集計!$D:$R,$B46,0)</f>
        <v>#N/A</v>
      </c>
      <c r="AK46" s="122" t="e">
        <f>VLOOKUP(AK$2&amp;$C46&amp;$A46,集計!$D:$R,$B46,0)</f>
        <v>#N/A</v>
      </c>
      <c r="AL46" s="123" t="e">
        <f>AI46+AJ46+AK46</f>
        <v>#N/A</v>
      </c>
      <c r="AM46" s="122" t="e">
        <f>VLOOKUP(AM$2&amp;$C46&amp;$A46,集計!$D:$R,$B46,0)</f>
        <v>#N/A</v>
      </c>
      <c r="AN46" s="122" t="e">
        <f>VLOOKUP(AN$2&amp;$C46&amp;$A46,集計!$D:$R,$B46,0)</f>
        <v>#N/A</v>
      </c>
      <c r="AO46" s="123" t="e">
        <f>AM46+AN46</f>
        <v>#N/A</v>
      </c>
      <c r="AP46" s="122" t="e">
        <f>VLOOKUP(AP$2&amp;$C46&amp;$A46,集計!$D:$R,$B46,0)</f>
        <v>#N/A</v>
      </c>
      <c r="AQ46" s="122" t="e">
        <f>VLOOKUP(AQ$2&amp;$C46&amp;$A46,集計!$D:$R,$B46,0)</f>
        <v>#N/A</v>
      </c>
      <c r="AR46" s="122" t="e">
        <f>VLOOKUP(AR$2&amp;$C46&amp;$A46,集計!$D:$R,$B46,0)</f>
        <v>#N/A</v>
      </c>
      <c r="AS46" s="123" t="e">
        <f>AP46+AQ46+AR46</f>
        <v>#N/A</v>
      </c>
      <c r="AT46" s="123" t="e">
        <f>AH46+AL46+AO46+AS46</f>
        <v>#N/A</v>
      </c>
      <c r="AU46" s="122" t="e">
        <f>VLOOKUP(AU$2&amp;$C46&amp;$A46,集計!$D:$R,$B46,0)</f>
        <v>#N/A</v>
      </c>
      <c r="AV46" s="122" t="e">
        <f>VLOOKUP(AV$2&amp;$C46&amp;$A46,集計!$D:$R,$B46,0)</f>
        <v>#N/A</v>
      </c>
      <c r="AW46" s="122" t="e">
        <f>VLOOKUP(AW$2&amp;$C46&amp;$A46,集計!$D:$R,$B46,0)</f>
        <v>#N/A</v>
      </c>
      <c r="AX46" s="122" t="e">
        <f>VLOOKUP(AX$2&amp;$C46&amp;$A46,集計!$D:$R,$B46,0)</f>
        <v>#N/A</v>
      </c>
      <c r="AY46" s="122" t="e">
        <f>VLOOKUP(AY$2&amp;$C46&amp;$A46,集計!$D:$R,$B46,0)</f>
        <v>#N/A</v>
      </c>
      <c r="AZ46" s="123" t="e">
        <f>AU46+AV46+AW46+AX46+AY46</f>
        <v>#N/A</v>
      </c>
      <c r="BA46" s="123" t="e">
        <f>AZ46</f>
        <v>#N/A</v>
      </c>
      <c r="BB46" s="122" t="e">
        <f>VLOOKUP(BB$2&amp;$C46&amp;$A46,集計!$D:$R,$B46,0)</f>
        <v>#N/A</v>
      </c>
      <c r="BC46" s="122" t="e">
        <f>VLOOKUP(BC$2&amp;$C46&amp;$A46,集計!$D:$R,$B46,0)</f>
        <v>#N/A</v>
      </c>
      <c r="BD46" s="123" t="e">
        <f>BB46+BC46</f>
        <v>#N/A</v>
      </c>
      <c r="BE46" s="122" t="e">
        <f>VLOOKUP(BE$2&amp;$C46&amp;$A46,集計!$D:$R,$B46,0)</f>
        <v>#N/A</v>
      </c>
      <c r="BF46" s="122" t="e">
        <f>VLOOKUP(BF$2&amp;$C46&amp;$A46,集計!$D:$R,$B46,0)</f>
        <v>#N/A</v>
      </c>
      <c r="BG46" s="122" t="e">
        <f>VLOOKUP(BG$2&amp;$C46&amp;$A46,集計!$D:$R,$B46,0)</f>
        <v>#N/A</v>
      </c>
      <c r="BH46" s="122" t="e">
        <f>VLOOKUP(BH$2&amp;$C46&amp;$A46,集計!$D:$R,$B46,0)</f>
        <v>#N/A</v>
      </c>
      <c r="BI46" s="122" t="e">
        <f>VLOOKUP(BI$2&amp;$C46&amp;$A46,集計!$D:$R,$B46,0)</f>
        <v>#N/A</v>
      </c>
      <c r="BJ46" s="123" t="e">
        <f>BE46+BF46+BG46+BH46+BI46</f>
        <v>#N/A</v>
      </c>
      <c r="BK46" s="122" t="e">
        <f>VLOOKUP(BK$2&amp;$C46&amp;$A46,集計!$D:$R,$B46,0)</f>
        <v>#N/A</v>
      </c>
      <c r="BL46" s="122" t="e">
        <f>VLOOKUP(BL$2&amp;$C46&amp;$A46,集計!$D:$R,$B46,0)</f>
        <v>#N/A</v>
      </c>
      <c r="BM46" s="122" t="e">
        <f>VLOOKUP(BM$2&amp;$C46&amp;$A46,集計!$D:$R,$B46,0)</f>
        <v>#N/A</v>
      </c>
      <c r="BN46" s="122" t="e">
        <f>VLOOKUP(BN$2&amp;$C46&amp;$A46,集計!$D:$R,$B46,0)</f>
        <v>#N/A</v>
      </c>
      <c r="BO46" s="122" t="e">
        <f>VLOOKUP(BO$2&amp;$C46&amp;$A46,集計!$D:$R,$B46,0)</f>
        <v>#N/A</v>
      </c>
      <c r="BP46" s="122" t="e">
        <f>VLOOKUP(BP$2&amp;$C46&amp;$A46,集計!$D:$R,$B46,0)</f>
        <v>#N/A</v>
      </c>
      <c r="BQ46" s="123" t="e">
        <f>BK46+BL46+BM46+BN46+BO46+BP46</f>
        <v>#N/A</v>
      </c>
      <c r="BR46" s="122" t="e">
        <f>VLOOKUP(BR$2&amp;$C46&amp;$A46,集計!$D:$R,$B46,0)</f>
        <v>#N/A</v>
      </c>
      <c r="BS46" s="122" t="e">
        <f>VLOOKUP(BS$2&amp;$C46&amp;$A46,集計!$D:$R,$B46,0)</f>
        <v>#N/A</v>
      </c>
      <c r="BT46" s="122" t="e">
        <f>VLOOKUP(BT$2&amp;$C46&amp;$A46,集計!$D:$R,$B46,0)</f>
        <v>#N/A</v>
      </c>
      <c r="BU46" s="123" t="e">
        <f>BR46+BS46+BT46</f>
        <v>#N/A</v>
      </c>
      <c r="BV46" s="122" t="e">
        <f>VLOOKUP(BV$2&amp;$C46&amp;$A46,集計!$D:$R,$B46,0)</f>
        <v>#N/A</v>
      </c>
      <c r="BW46" s="123" t="e">
        <f>BV46</f>
        <v>#N/A</v>
      </c>
      <c r="BX46" s="123" t="e">
        <f>AC46+AT46+BA46+BD46+BJ46+BQ46+BU46+BW46</f>
        <v>#N/A</v>
      </c>
    </row>
    <row r="47" spans="1:76" s="124" customFormat="1">
      <c r="A47" s="120" t="s">
        <v>40</v>
      </c>
      <c r="B47" s="152">
        <v>10</v>
      </c>
      <c r="C47" s="125" t="s">
        <v>106</v>
      </c>
      <c r="D47" s="126" t="e">
        <f>VLOOKUP(D$2&amp;$C47&amp;$A47,集計!$D:$R,$B47,0)</f>
        <v>#N/A</v>
      </c>
      <c r="E47" s="126" t="e">
        <f>VLOOKUP(E$2&amp;$C47&amp;$A47,集計!$D:$R,$B47,0)</f>
        <v>#N/A</v>
      </c>
      <c r="F47" s="126" t="e">
        <f>VLOOKUP(F$2&amp;$C47&amp;$A47,集計!$D:$R,$B47,0)</f>
        <v>#N/A</v>
      </c>
      <c r="G47" s="126" t="e">
        <f>VLOOKUP(G$2&amp;$C47&amp;$A47,集計!$D:$R,$B47,0)</f>
        <v>#N/A</v>
      </c>
      <c r="H47" s="126" t="e">
        <f>VLOOKUP(H$2&amp;$C47&amp;$A47,集計!$D:$R,$B47,0)</f>
        <v>#N/A</v>
      </c>
      <c r="I47" s="127" t="e">
        <f>D47+E47+F47+G47+H47</f>
        <v>#N/A</v>
      </c>
      <c r="J47" s="126" t="e">
        <f>VLOOKUP(J$2&amp;$C47&amp;$A47,集計!$D:$R,$B47,0)</f>
        <v>#N/A</v>
      </c>
      <c r="K47" s="126" t="e">
        <f>VLOOKUP(K$2&amp;$C47&amp;$A47,集計!$D:$R,$B47,0)</f>
        <v>#N/A</v>
      </c>
      <c r="L47" s="126" t="e">
        <f>VLOOKUP(L$2&amp;$C47&amp;$A47,集計!$D:$R,$B47,0)</f>
        <v>#N/A</v>
      </c>
      <c r="M47" s="126" t="e">
        <f>VLOOKUP(M$2&amp;$C47&amp;$A47,集計!$D:$R,$B47,0)</f>
        <v>#N/A</v>
      </c>
      <c r="N47" s="127" t="e">
        <f>J47+K47+L47+M47</f>
        <v>#N/A</v>
      </c>
      <c r="O47" s="126" t="e">
        <f>VLOOKUP(O$2&amp;$C47&amp;$A47,集計!$D:$R,$B47,0)</f>
        <v>#N/A</v>
      </c>
      <c r="P47" s="126" t="e">
        <f>VLOOKUP(P$2&amp;$C47&amp;$A47,集計!$D:$R,$B47,0)</f>
        <v>#N/A</v>
      </c>
      <c r="Q47" s="126" t="e">
        <f>VLOOKUP(Q$2&amp;$C47&amp;$A47,集計!$D:$R,$B47,0)</f>
        <v>#N/A</v>
      </c>
      <c r="R47" s="126" t="e">
        <f>VLOOKUP(R$2&amp;$C47&amp;$A47,集計!$D:$R,$B47,0)</f>
        <v>#N/A</v>
      </c>
      <c r="S47" s="126" t="e">
        <f>VLOOKUP(S$2&amp;$C47&amp;$A47,集計!$D:$R,$B47,0)</f>
        <v>#N/A</v>
      </c>
      <c r="T47" s="127" t="e">
        <f>O47+P47+Q47+R47+S47</f>
        <v>#N/A</v>
      </c>
      <c r="U47" s="126" t="e">
        <f>VLOOKUP(U$2&amp;$C47&amp;$A47,集計!$D:$R,$B47,0)</f>
        <v>#N/A</v>
      </c>
      <c r="V47" s="126" t="e">
        <f>VLOOKUP(V$2&amp;$C47&amp;$A47,集計!$D:$R,$B47,0)</f>
        <v>#N/A</v>
      </c>
      <c r="W47" s="126" t="e">
        <f>VLOOKUP(W$2&amp;$C47&amp;$A47,集計!$D:$R,$B47,0)</f>
        <v>#N/A</v>
      </c>
      <c r="X47" s="127" t="e">
        <f>U47+V47+W47</f>
        <v>#N/A</v>
      </c>
      <c r="Y47" s="126" t="e">
        <f>VLOOKUP(Y$2&amp;$C47&amp;$A47,集計!$D:$R,$B47,0)</f>
        <v>#N/A</v>
      </c>
      <c r="Z47" s="126" t="e">
        <f>VLOOKUP(Z$2&amp;$C47&amp;$A47,集計!$D:$R,$B47,0)</f>
        <v>#N/A</v>
      </c>
      <c r="AA47" s="126" t="e">
        <f>VLOOKUP(AA$2&amp;$C47&amp;$A47,集計!$D:$R,$B47,0)</f>
        <v>#N/A</v>
      </c>
      <c r="AB47" s="127" t="e">
        <f>Y47+Z47+AA47</f>
        <v>#N/A</v>
      </c>
      <c r="AC47" s="127" t="e">
        <f>I47+N47+T47+X47+AB47</f>
        <v>#N/A</v>
      </c>
      <c r="AD47" s="126" t="e">
        <f>VLOOKUP(AD$2&amp;$C47&amp;$A47,集計!$D:$R,$B47,0)</f>
        <v>#N/A</v>
      </c>
      <c r="AE47" s="126" t="e">
        <f>VLOOKUP(AE$2&amp;$C47&amp;$A47,集計!$D:$R,$B47,0)</f>
        <v>#N/A</v>
      </c>
      <c r="AF47" s="126" t="e">
        <f>VLOOKUP(AF$2&amp;$C47&amp;$A47,集計!$D:$R,$B47,0)</f>
        <v>#N/A</v>
      </c>
      <c r="AG47" s="126" t="e">
        <f>VLOOKUP(AG$2&amp;$C47&amp;$A47,集計!$D:$R,$B47,0)</f>
        <v>#N/A</v>
      </c>
      <c r="AH47" s="127" t="e">
        <f>AD47+AE47+AF47+AG47</f>
        <v>#N/A</v>
      </c>
      <c r="AI47" s="126" t="e">
        <f>VLOOKUP(AI$2&amp;$C47&amp;$A47,集計!$D:$R,$B47,0)</f>
        <v>#N/A</v>
      </c>
      <c r="AJ47" s="126" t="e">
        <f>VLOOKUP(AJ$2&amp;$C47&amp;$A47,集計!$D:$R,$B47,0)</f>
        <v>#N/A</v>
      </c>
      <c r="AK47" s="126" t="e">
        <f>VLOOKUP(AK$2&amp;$C47&amp;$A47,集計!$D:$R,$B47,0)</f>
        <v>#N/A</v>
      </c>
      <c r="AL47" s="127" t="e">
        <f>AI47+AJ47+AK47</f>
        <v>#N/A</v>
      </c>
      <c r="AM47" s="126" t="e">
        <f>VLOOKUP(AM$2&amp;$C47&amp;$A47,集計!$D:$R,$B47,0)</f>
        <v>#N/A</v>
      </c>
      <c r="AN47" s="126" t="e">
        <f>VLOOKUP(AN$2&amp;$C47&amp;$A47,集計!$D:$R,$B47,0)</f>
        <v>#N/A</v>
      </c>
      <c r="AO47" s="127" t="e">
        <f>AM47+AN47</f>
        <v>#N/A</v>
      </c>
      <c r="AP47" s="126" t="e">
        <f>VLOOKUP(AP$2&amp;$C47&amp;$A47,集計!$D:$R,$B47,0)</f>
        <v>#N/A</v>
      </c>
      <c r="AQ47" s="126" t="e">
        <f>VLOOKUP(AQ$2&amp;$C47&amp;$A47,集計!$D:$R,$B47,0)</f>
        <v>#N/A</v>
      </c>
      <c r="AR47" s="126" t="e">
        <f>VLOOKUP(AR$2&amp;$C47&amp;$A47,集計!$D:$R,$B47,0)</f>
        <v>#N/A</v>
      </c>
      <c r="AS47" s="127" t="e">
        <f>AP47+AQ47+AR47</f>
        <v>#N/A</v>
      </c>
      <c r="AT47" s="127" t="e">
        <f>AH47+AL47+AO47+AS47</f>
        <v>#N/A</v>
      </c>
      <c r="AU47" s="126" t="e">
        <f>VLOOKUP(AU$2&amp;$C47&amp;$A47,集計!$D:$R,$B47,0)</f>
        <v>#N/A</v>
      </c>
      <c r="AV47" s="126" t="e">
        <f>VLOOKUP(AV$2&amp;$C47&amp;$A47,集計!$D:$R,$B47,0)</f>
        <v>#N/A</v>
      </c>
      <c r="AW47" s="126" t="e">
        <f>VLOOKUP(AW$2&amp;$C47&amp;$A47,集計!$D:$R,$B47,0)</f>
        <v>#N/A</v>
      </c>
      <c r="AX47" s="126" t="e">
        <f>VLOOKUP(AX$2&amp;$C47&amp;$A47,集計!$D:$R,$B47,0)</f>
        <v>#N/A</v>
      </c>
      <c r="AY47" s="126" t="e">
        <f>VLOOKUP(AY$2&amp;$C47&amp;$A47,集計!$D:$R,$B47,0)</f>
        <v>#N/A</v>
      </c>
      <c r="AZ47" s="127" t="e">
        <f>AU47+AV47+AW47+AX47+AY47</f>
        <v>#N/A</v>
      </c>
      <c r="BA47" s="127" t="e">
        <f>AZ47</f>
        <v>#N/A</v>
      </c>
      <c r="BB47" s="126" t="e">
        <f>VLOOKUP(BB$2&amp;$C47&amp;$A47,集計!$D:$R,$B47,0)</f>
        <v>#N/A</v>
      </c>
      <c r="BC47" s="126" t="e">
        <f>VLOOKUP(BC$2&amp;$C47&amp;$A47,集計!$D:$R,$B47,0)</f>
        <v>#N/A</v>
      </c>
      <c r="BD47" s="127" t="e">
        <f>BB47+BC47</f>
        <v>#N/A</v>
      </c>
      <c r="BE47" s="126" t="e">
        <f>VLOOKUP(BE$2&amp;$C47&amp;$A47,集計!$D:$R,$B47,0)</f>
        <v>#N/A</v>
      </c>
      <c r="BF47" s="126" t="e">
        <f>VLOOKUP(BF$2&amp;$C47&amp;$A47,集計!$D:$R,$B47,0)</f>
        <v>#N/A</v>
      </c>
      <c r="BG47" s="126" t="e">
        <f>VLOOKUP(BG$2&amp;$C47&amp;$A47,集計!$D:$R,$B47,0)</f>
        <v>#N/A</v>
      </c>
      <c r="BH47" s="126" t="e">
        <f>VLOOKUP(BH$2&amp;$C47&amp;$A47,集計!$D:$R,$B47,0)</f>
        <v>#N/A</v>
      </c>
      <c r="BI47" s="126" t="e">
        <f>VLOOKUP(BI$2&amp;$C47&amp;$A47,集計!$D:$R,$B47,0)</f>
        <v>#N/A</v>
      </c>
      <c r="BJ47" s="127" t="e">
        <f>BE47+BF47+BG47+BH47+BI47</f>
        <v>#N/A</v>
      </c>
      <c r="BK47" s="126" t="e">
        <f>VLOOKUP(BK$2&amp;$C47&amp;$A47,集計!$D:$R,$B47,0)</f>
        <v>#N/A</v>
      </c>
      <c r="BL47" s="126" t="e">
        <f>VLOOKUP(BL$2&amp;$C47&amp;$A47,集計!$D:$R,$B47,0)</f>
        <v>#N/A</v>
      </c>
      <c r="BM47" s="126" t="e">
        <f>VLOOKUP(BM$2&amp;$C47&amp;$A47,集計!$D:$R,$B47,0)</f>
        <v>#N/A</v>
      </c>
      <c r="BN47" s="126" t="e">
        <f>VLOOKUP(BN$2&amp;$C47&amp;$A47,集計!$D:$R,$B47,0)</f>
        <v>#N/A</v>
      </c>
      <c r="BO47" s="126" t="e">
        <f>VLOOKUP(BO$2&amp;$C47&amp;$A47,集計!$D:$R,$B47,0)</f>
        <v>#N/A</v>
      </c>
      <c r="BP47" s="126" t="e">
        <f>VLOOKUP(BP$2&amp;$C47&amp;$A47,集計!$D:$R,$B47,0)</f>
        <v>#N/A</v>
      </c>
      <c r="BQ47" s="127" t="e">
        <f>BK47+BL47+BM47+BN47+BO47+BP47</f>
        <v>#N/A</v>
      </c>
      <c r="BR47" s="126" t="e">
        <f>VLOOKUP(BR$2&amp;$C47&amp;$A47,集計!$D:$R,$B47,0)</f>
        <v>#N/A</v>
      </c>
      <c r="BS47" s="126" t="e">
        <f>VLOOKUP(BS$2&amp;$C47&amp;$A47,集計!$D:$R,$B47,0)</f>
        <v>#N/A</v>
      </c>
      <c r="BT47" s="126" t="e">
        <f>VLOOKUP(BT$2&amp;$C47&amp;$A47,集計!$D:$R,$B47,0)</f>
        <v>#N/A</v>
      </c>
      <c r="BU47" s="127" t="e">
        <f>BR47+BS47+BT47</f>
        <v>#N/A</v>
      </c>
      <c r="BV47" s="126" t="e">
        <f>VLOOKUP(BV$2&amp;$C47&amp;$A47,集計!$D:$R,$B47,0)</f>
        <v>#N/A</v>
      </c>
      <c r="BW47" s="127" t="e">
        <f>BV47</f>
        <v>#N/A</v>
      </c>
      <c r="BX47" s="127" t="e">
        <f>AC47+AT47+BA47+BD47+BJ47+BQ47+BU47+BW47</f>
        <v>#N/A</v>
      </c>
    </row>
    <row r="48" spans="1:76" s="124" customFormat="1">
      <c r="A48" s="120" t="s">
        <v>40</v>
      </c>
      <c r="B48" s="152">
        <v>10</v>
      </c>
      <c r="C48" s="128" t="s">
        <v>107</v>
      </c>
      <c r="D48" s="129" t="e">
        <f>VLOOKUP(D$2&amp;$C48&amp;$A48,集計!$D:$R,$B48,0)</f>
        <v>#N/A</v>
      </c>
      <c r="E48" s="129" t="e">
        <f>VLOOKUP(E$2&amp;$C48&amp;$A48,集計!$D:$R,$B48,0)</f>
        <v>#N/A</v>
      </c>
      <c r="F48" s="129" t="e">
        <f>VLOOKUP(F$2&amp;$C48&amp;$A48,集計!$D:$R,$B48,0)</f>
        <v>#N/A</v>
      </c>
      <c r="G48" s="129" t="e">
        <f>VLOOKUP(G$2&amp;$C48&amp;$A48,集計!$D:$R,$B48,0)</f>
        <v>#N/A</v>
      </c>
      <c r="H48" s="129" t="e">
        <f>VLOOKUP(H$2&amp;$C48&amp;$A48,集計!$D:$R,$B48,0)</f>
        <v>#N/A</v>
      </c>
      <c r="I48" s="130" t="e">
        <f>D48+E48+F48+G48+H48</f>
        <v>#N/A</v>
      </c>
      <c r="J48" s="129" t="e">
        <f>VLOOKUP(J$2&amp;$C48&amp;$A48,集計!$D:$R,$B48,0)</f>
        <v>#N/A</v>
      </c>
      <c r="K48" s="129" t="e">
        <f>VLOOKUP(K$2&amp;$C48&amp;$A48,集計!$D:$R,$B48,0)</f>
        <v>#N/A</v>
      </c>
      <c r="L48" s="129" t="e">
        <f>VLOOKUP(L$2&amp;$C48&amp;$A48,集計!$D:$R,$B48,0)</f>
        <v>#N/A</v>
      </c>
      <c r="M48" s="129" t="e">
        <f>VLOOKUP(M$2&amp;$C48&amp;$A48,集計!$D:$R,$B48,0)</f>
        <v>#N/A</v>
      </c>
      <c r="N48" s="130" t="e">
        <f>J48+K48+L48+M48</f>
        <v>#N/A</v>
      </c>
      <c r="O48" s="129" t="e">
        <f>VLOOKUP(O$2&amp;$C48&amp;$A48,集計!$D:$R,$B48,0)</f>
        <v>#N/A</v>
      </c>
      <c r="P48" s="129" t="e">
        <f>VLOOKUP(P$2&amp;$C48&amp;$A48,集計!$D:$R,$B48,0)</f>
        <v>#N/A</v>
      </c>
      <c r="Q48" s="129" t="e">
        <f>VLOOKUP(Q$2&amp;$C48&amp;$A48,集計!$D:$R,$B48,0)</f>
        <v>#N/A</v>
      </c>
      <c r="R48" s="129" t="e">
        <f>VLOOKUP(R$2&amp;$C48&amp;$A48,集計!$D:$R,$B48,0)</f>
        <v>#N/A</v>
      </c>
      <c r="S48" s="129" t="e">
        <f>VLOOKUP(S$2&amp;$C48&amp;$A48,集計!$D:$R,$B48,0)</f>
        <v>#N/A</v>
      </c>
      <c r="T48" s="130" t="e">
        <f>O48+P48+Q48+R48+S48</f>
        <v>#N/A</v>
      </c>
      <c r="U48" s="129" t="e">
        <f>VLOOKUP(U$2&amp;$C48&amp;$A48,集計!$D:$R,$B48,0)</f>
        <v>#N/A</v>
      </c>
      <c r="V48" s="129" t="e">
        <f>VLOOKUP(V$2&amp;$C48&amp;$A48,集計!$D:$R,$B48,0)</f>
        <v>#N/A</v>
      </c>
      <c r="W48" s="129" t="e">
        <f>VLOOKUP(W$2&amp;$C48&amp;$A48,集計!$D:$R,$B48,0)</f>
        <v>#N/A</v>
      </c>
      <c r="X48" s="130" t="e">
        <f>U48+V48+W48</f>
        <v>#N/A</v>
      </c>
      <c r="Y48" s="129" t="e">
        <f>VLOOKUP(Y$2&amp;$C48&amp;$A48,集計!$D:$R,$B48,0)</f>
        <v>#N/A</v>
      </c>
      <c r="Z48" s="129" t="e">
        <f>VLOOKUP(Z$2&amp;$C48&amp;$A48,集計!$D:$R,$B48,0)</f>
        <v>#N/A</v>
      </c>
      <c r="AA48" s="129" t="e">
        <f>VLOOKUP(AA$2&amp;$C48&amp;$A48,集計!$D:$R,$B48,0)</f>
        <v>#N/A</v>
      </c>
      <c r="AB48" s="130" t="e">
        <f>Y48+Z48+AA48</f>
        <v>#N/A</v>
      </c>
      <c r="AC48" s="130" t="e">
        <f>I48+N48+T48+X48+AB48</f>
        <v>#N/A</v>
      </c>
      <c r="AD48" s="129" t="e">
        <f>VLOOKUP(AD$2&amp;$C48&amp;$A48,集計!$D:$R,$B48,0)</f>
        <v>#N/A</v>
      </c>
      <c r="AE48" s="129" t="e">
        <f>VLOOKUP(AE$2&amp;$C48&amp;$A48,集計!$D:$R,$B48,0)</f>
        <v>#N/A</v>
      </c>
      <c r="AF48" s="129" t="e">
        <f>VLOOKUP(AF$2&amp;$C48&amp;$A48,集計!$D:$R,$B48,0)</f>
        <v>#N/A</v>
      </c>
      <c r="AG48" s="129" t="e">
        <f>VLOOKUP(AG$2&amp;$C48&amp;$A48,集計!$D:$R,$B48,0)</f>
        <v>#N/A</v>
      </c>
      <c r="AH48" s="130" t="e">
        <f>AD48+AE48+AF48+AG48</f>
        <v>#N/A</v>
      </c>
      <c r="AI48" s="129" t="e">
        <f>VLOOKUP(AI$2&amp;$C48&amp;$A48,集計!$D:$R,$B48,0)</f>
        <v>#N/A</v>
      </c>
      <c r="AJ48" s="129" t="e">
        <f>VLOOKUP(AJ$2&amp;$C48&amp;$A48,集計!$D:$R,$B48,0)</f>
        <v>#N/A</v>
      </c>
      <c r="AK48" s="129" t="e">
        <f>VLOOKUP(AK$2&amp;$C48&amp;$A48,集計!$D:$R,$B48,0)</f>
        <v>#N/A</v>
      </c>
      <c r="AL48" s="130" t="e">
        <f>AI48+AJ48+AK48</f>
        <v>#N/A</v>
      </c>
      <c r="AM48" s="129" t="e">
        <f>VLOOKUP(AM$2&amp;$C48&amp;$A48,集計!$D:$R,$B48,0)</f>
        <v>#N/A</v>
      </c>
      <c r="AN48" s="129" t="e">
        <f>VLOOKUP(AN$2&amp;$C48&amp;$A48,集計!$D:$R,$B48,0)</f>
        <v>#N/A</v>
      </c>
      <c r="AO48" s="130" t="e">
        <f>AM48+AN48</f>
        <v>#N/A</v>
      </c>
      <c r="AP48" s="129" t="e">
        <f>VLOOKUP(AP$2&amp;$C48&amp;$A48,集計!$D:$R,$B48,0)</f>
        <v>#N/A</v>
      </c>
      <c r="AQ48" s="129" t="e">
        <f>VLOOKUP(AQ$2&amp;$C48&amp;$A48,集計!$D:$R,$B48,0)</f>
        <v>#N/A</v>
      </c>
      <c r="AR48" s="129" t="e">
        <f>VLOOKUP(AR$2&amp;$C48&amp;$A48,集計!$D:$R,$B48,0)</f>
        <v>#N/A</v>
      </c>
      <c r="AS48" s="130" t="e">
        <f>AP48+AQ48+AR48</f>
        <v>#N/A</v>
      </c>
      <c r="AT48" s="130" t="e">
        <f>AH48+AL48+AO48+AS48</f>
        <v>#N/A</v>
      </c>
      <c r="AU48" s="129" t="e">
        <f>VLOOKUP(AU$2&amp;$C48&amp;$A48,集計!$D:$R,$B48,0)</f>
        <v>#N/A</v>
      </c>
      <c r="AV48" s="129" t="e">
        <f>VLOOKUP(AV$2&amp;$C48&amp;$A48,集計!$D:$R,$B48,0)</f>
        <v>#N/A</v>
      </c>
      <c r="AW48" s="129" t="e">
        <f>VLOOKUP(AW$2&amp;$C48&amp;$A48,集計!$D:$R,$B48,0)</f>
        <v>#N/A</v>
      </c>
      <c r="AX48" s="129" t="e">
        <f>VLOOKUP(AX$2&amp;$C48&amp;$A48,集計!$D:$R,$B48,0)</f>
        <v>#N/A</v>
      </c>
      <c r="AY48" s="129" t="e">
        <f>VLOOKUP(AY$2&amp;$C48&amp;$A48,集計!$D:$R,$B48,0)</f>
        <v>#N/A</v>
      </c>
      <c r="AZ48" s="130" t="e">
        <f>AU48+AV48+AW48+AX48+AY48</f>
        <v>#N/A</v>
      </c>
      <c r="BA48" s="130" t="e">
        <f>AZ48</f>
        <v>#N/A</v>
      </c>
      <c r="BB48" s="129" t="e">
        <f>VLOOKUP(BB$2&amp;$C48&amp;$A48,集計!$D:$R,$B48,0)</f>
        <v>#N/A</v>
      </c>
      <c r="BC48" s="129" t="e">
        <f>VLOOKUP(BC$2&amp;$C48&amp;$A48,集計!$D:$R,$B48,0)</f>
        <v>#N/A</v>
      </c>
      <c r="BD48" s="130" t="e">
        <f>BB48+BC48</f>
        <v>#N/A</v>
      </c>
      <c r="BE48" s="129" t="e">
        <f>VLOOKUP(BE$2&amp;$C48&amp;$A48,集計!$D:$R,$B48,0)</f>
        <v>#N/A</v>
      </c>
      <c r="BF48" s="129" t="e">
        <f>VLOOKUP(BF$2&amp;$C48&amp;$A48,集計!$D:$R,$B48,0)</f>
        <v>#N/A</v>
      </c>
      <c r="BG48" s="129" t="e">
        <f>VLOOKUP(BG$2&amp;$C48&amp;$A48,集計!$D:$R,$B48,0)</f>
        <v>#N/A</v>
      </c>
      <c r="BH48" s="129" t="e">
        <f>VLOOKUP(BH$2&amp;$C48&amp;$A48,集計!$D:$R,$B48,0)</f>
        <v>#N/A</v>
      </c>
      <c r="BI48" s="129" t="e">
        <f>VLOOKUP(BI$2&amp;$C48&amp;$A48,集計!$D:$R,$B48,0)</f>
        <v>#N/A</v>
      </c>
      <c r="BJ48" s="130" t="e">
        <f>BE48+BF48+BG48+BH48+BI48</f>
        <v>#N/A</v>
      </c>
      <c r="BK48" s="129" t="e">
        <f>VLOOKUP(BK$2&amp;$C48&amp;$A48,集計!$D:$R,$B48,0)</f>
        <v>#N/A</v>
      </c>
      <c r="BL48" s="129" t="e">
        <f>VLOOKUP(BL$2&amp;$C48&amp;$A48,集計!$D:$R,$B48,0)</f>
        <v>#N/A</v>
      </c>
      <c r="BM48" s="129" t="e">
        <f>VLOOKUP(BM$2&amp;$C48&amp;$A48,集計!$D:$R,$B48,0)</f>
        <v>#N/A</v>
      </c>
      <c r="BN48" s="129" t="e">
        <f>VLOOKUP(BN$2&amp;$C48&amp;$A48,集計!$D:$R,$B48,0)</f>
        <v>#N/A</v>
      </c>
      <c r="BO48" s="129" t="e">
        <f>VLOOKUP(BO$2&amp;$C48&amp;$A48,集計!$D:$R,$B48,0)</f>
        <v>#N/A</v>
      </c>
      <c r="BP48" s="129" t="e">
        <f>VLOOKUP(BP$2&amp;$C48&amp;$A48,集計!$D:$R,$B48,0)</f>
        <v>#N/A</v>
      </c>
      <c r="BQ48" s="130" t="e">
        <f>BK48+BL48+BM48+BN48+BO48+BP48</f>
        <v>#N/A</v>
      </c>
      <c r="BR48" s="129" t="e">
        <f>VLOOKUP(BR$2&amp;$C48&amp;$A48,集計!$D:$R,$B48,0)</f>
        <v>#N/A</v>
      </c>
      <c r="BS48" s="129" t="e">
        <f>VLOOKUP(BS$2&amp;$C48&amp;$A48,集計!$D:$R,$B48,0)</f>
        <v>#N/A</v>
      </c>
      <c r="BT48" s="129" t="e">
        <f>VLOOKUP(BT$2&amp;$C48&amp;$A48,集計!$D:$R,$B48,0)</f>
        <v>#N/A</v>
      </c>
      <c r="BU48" s="130" t="e">
        <f>BR48+BS48+BT48</f>
        <v>#N/A</v>
      </c>
      <c r="BV48" s="129" t="e">
        <f>VLOOKUP(BV$2&amp;$C48&amp;$A48,集計!$D:$R,$B48,0)</f>
        <v>#N/A</v>
      </c>
      <c r="BW48" s="130" t="e">
        <f>BV48</f>
        <v>#N/A</v>
      </c>
      <c r="BX48" s="130" t="e">
        <f>AC48+AT48+BA48+BD48+BJ48+BQ48+BU48+BW48</f>
        <v>#N/A</v>
      </c>
    </row>
    <row r="49" spans="1:76" s="124" customFormat="1">
      <c r="A49" s="120" t="s">
        <v>40</v>
      </c>
      <c r="B49" s="152">
        <v>10</v>
      </c>
      <c r="C49" s="131" t="s">
        <v>26</v>
      </c>
      <c r="D49" s="132" t="e">
        <f>IF(VLOOKUP(D$2&amp;$C49&amp;$A49,集計!$D:$R,$B49,0)&lt;&gt;SUM(D47:D48),"NG",SUM(D47:D48))</f>
        <v>#N/A</v>
      </c>
      <c r="E49" s="132" t="e">
        <f>IF(VLOOKUP(E$2&amp;$C49&amp;$A49,集計!$D:$R,$B49,0)&lt;&gt;SUM(E47:E48),"NG",SUM(E47:E48))</f>
        <v>#N/A</v>
      </c>
      <c r="F49" s="132" t="e">
        <f>IF(VLOOKUP(F$2&amp;$C49&amp;$A49,集計!$D:$R,$B49,0)&lt;&gt;SUM(F47:F48),"NG",SUM(F47:F48))</f>
        <v>#N/A</v>
      </c>
      <c r="G49" s="132" t="e">
        <f>IF(VLOOKUP(G$2&amp;$C49&amp;$A49,集計!$D:$R,$B49,0)&lt;&gt;SUM(G47:G48),"NG",SUM(G47:G48))</f>
        <v>#N/A</v>
      </c>
      <c r="H49" s="132" t="e">
        <f>IF(VLOOKUP(H$2&amp;$C49&amp;$A49,集計!$D:$R,$B49,0)&lt;&gt;SUM(H47:H48),"NG",SUM(H47:H48))</f>
        <v>#N/A</v>
      </c>
      <c r="I49" s="133" t="e">
        <f>I47+I48</f>
        <v>#N/A</v>
      </c>
      <c r="J49" s="132" t="e">
        <f>IF(VLOOKUP(J$2&amp;$C49&amp;$A49,集計!$D:$R,$B49,0)&lt;&gt;SUM(J47:J48),"NG",SUM(J47:J48))</f>
        <v>#N/A</v>
      </c>
      <c r="K49" s="132" t="e">
        <f>IF(VLOOKUP(K$2&amp;$C49&amp;$A49,集計!$D:$R,$B49,0)&lt;&gt;SUM(K47:K48),"NG",SUM(K47:K48))</f>
        <v>#N/A</v>
      </c>
      <c r="L49" s="132" t="e">
        <f>IF(VLOOKUP(L$2&amp;$C49&amp;$A49,集計!$D:$R,$B49,0)&lt;&gt;SUM(L47:L48),"NG",SUM(L47:L48))</f>
        <v>#N/A</v>
      </c>
      <c r="M49" s="132" t="e">
        <f>IF(VLOOKUP(M$2&amp;$C49&amp;$A49,集計!$D:$R,$B49,0)&lt;&gt;SUM(M47:M48),"NG",SUM(M47:M48))</f>
        <v>#N/A</v>
      </c>
      <c r="N49" s="133" t="e">
        <f>N47+N48</f>
        <v>#N/A</v>
      </c>
      <c r="O49" s="132" t="e">
        <f>IF(VLOOKUP(O$2&amp;$C49&amp;$A49,集計!$D:$R,$B49,0)&lt;&gt;SUM(O47:O48),"NG",SUM(O47:O48))</f>
        <v>#N/A</v>
      </c>
      <c r="P49" s="132" t="e">
        <f>IF(VLOOKUP(P$2&amp;$C49&amp;$A49,集計!$D:$R,$B49,0)&lt;&gt;SUM(P47:P48),"NG",SUM(P47:P48))</f>
        <v>#N/A</v>
      </c>
      <c r="Q49" s="132" t="e">
        <f>IF(VLOOKUP(Q$2&amp;$C49&amp;$A49,集計!$D:$R,$B49,0)&lt;&gt;SUM(Q47:Q48),"NG",SUM(Q47:Q48))</f>
        <v>#N/A</v>
      </c>
      <c r="R49" s="132" t="e">
        <f>IF(VLOOKUP(R$2&amp;$C49&amp;$A49,集計!$D:$R,$B49,0)&lt;&gt;SUM(R47:R48),"NG",SUM(R47:R48))</f>
        <v>#N/A</v>
      </c>
      <c r="S49" s="132" t="e">
        <f>IF(VLOOKUP(S$2&amp;$C49&amp;$A49,集計!$D:$R,$B49,0)&lt;&gt;SUM(S47:S48),"NG",SUM(S47:S48))</f>
        <v>#N/A</v>
      </c>
      <c r="T49" s="133" t="e">
        <f>T47+T48</f>
        <v>#N/A</v>
      </c>
      <c r="U49" s="132" t="e">
        <f>IF(VLOOKUP(U$2&amp;$C49&amp;$A49,集計!$D:$R,$B49,0)&lt;&gt;SUM(U47:U48),"NG",SUM(U47:U48))</f>
        <v>#N/A</v>
      </c>
      <c r="V49" s="132" t="e">
        <f>IF(VLOOKUP(V$2&amp;$C49&amp;$A49,集計!$D:$R,$B49,0)&lt;&gt;SUM(V47:V48),"NG",SUM(V47:V48))</f>
        <v>#N/A</v>
      </c>
      <c r="W49" s="132" t="e">
        <f>IF(VLOOKUP(W$2&amp;$C49&amp;$A49,集計!$D:$R,$B49,0)&lt;&gt;SUM(W47:W48),"NG",SUM(W47:W48))</f>
        <v>#N/A</v>
      </c>
      <c r="X49" s="133" t="e">
        <f>SUM(X47:X48)</f>
        <v>#N/A</v>
      </c>
      <c r="Y49" s="132" t="e">
        <f>IF(VLOOKUP(Y$2&amp;$C49&amp;$A49,集計!$D:$R,$B49,0)&lt;&gt;SUM(Y47:Y48),"NG",SUM(Y47:Y48))</f>
        <v>#N/A</v>
      </c>
      <c r="Z49" s="132" t="e">
        <f>IF(VLOOKUP(Z$2&amp;$C49&amp;$A49,集計!$D:$R,$B49,0)&lt;&gt;SUM(Z47:Z48),"NG",SUM(Z47:Z48))</f>
        <v>#N/A</v>
      </c>
      <c r="AA49" s="132" t="e">
        <f>IF(VLOOKUP(AA$2&amp;$C49&amp;$A49,集計!$D:$R,$B49,0)&lt;&gt;SUM(AA47:AA48),"NG",SUM(AA47:AA48))</f>
        <v>#N/A</v>
      </c>
      <c r="AB49" s="133" t="e">
        <f>SUM(AB47:AB48)</f>
        <v>#N/A</v>
      </c>
      <c r="AC49" s="133" t="e">
        <f>SUM(AC47:AC48)</f>
        <v>#N/A</v>
      </c>
      <c r="AD49" s="132" t="e">
        <f>IF(VLOOKUP(AD$2&amp;$C49&amp;$A49,集計!$D:$R,$B49,0)&lt;&gt;SUM(AD47:AD48),"NG",SUM(AD47:AD48))</f>
        <v>#N/A</v>
      </c>
      <c r="AE49" s="132" t="e">
        <f>IF(VLOOKUP(AE$2&amp;$C49&amp;$A49,集計!$D:$R,$B49,0)&lt;&gt;SUM(AE47:AE48),"NG",SUM(AE47:AE48))</f>
        <v>#N/A</v>
      </c>
      <c r="AF49" s="132" t="e">
        <f>IF(VLOOKUP(AF$2&amp;$C49&amp;$A49,集計!$D:$R,$B49,0)&lt;&gt;SUM(AF47:AF48),"NG",SUM(AF47:AF48))</f>
        <v>#N/A</v>
      </c>
      <c r="AG49" s="132" t="e">
        <f>IF(VLOOKUP(AG$2&amp;$C49&amp;$A49,集計!$D:$R,$B49,0)&lt;&gt;SUM(AG47:AG48),"NG",SUM(AG47:AG48))</f>
        <v>#N/A</v>
      </c>
      <c r="AH49" s="133" t="e">
        <f>SUM(AH47:AH48)</f>
        <v>#N/A</v>
      </c>
      <c r="AI49" s="132" t="e">
        <f>IF(VLOOKUP(AI$2&amp;$C49&amp;$A49,集計!$D:$R,$B49,0)&lt;&gt;SUM(AI47:AI48),"NG",SUM(AI47:AI48))</f>
        <v>#N/A</v>
      </c>
      <c r="AJ49" s="132" t="e">
        <f>IF(VLOOKUP(AJ$2&amp;$C49&amp;$A49,集計!$D:$R,$B49,0)&lt;&gt;SUM(AJ47:AJ48),"NG",SUM(AJ47:AJ48))</f>
        <v>#N/A</v>
      </c>
      <c r="AK49" s="132" t="e">
        <f>IF(VLOOKUP(AK$2&amp;$C49&amp;$A49,集計!$D:$R,$B49,0)&lt;&gt;SUM(AK47:AK48),"NG",SUM(AK47:AK48))</f>
        <v>#N/A</v>
      </c>
      <c r="AL49" s="133" t="e">
        <f>SUM(AL47:AL48)</f>
        <v>#N/A</v>
      </c>
      <c r="AM49" s="132" t="e">
        <f>IF(VLOOKUP(AM$2&amp;$C49&amp;$A49,集計!$D:$R,$B49,0)&lt;&gt;SUM(AM47:AM48),"NG",SUM(AM47:AM48))</f>
        <v>#N/A</v>
      </c>
      <c r="AN49" s="132" t="e">
        <f>IF(VLOOKUP(AN$2&amp;$C49&amp;$A49,集計!$D:$R,$B49,0)&lt;&gt;SUM(AN47:AN48),"NG",SUM(AN47:AN48))</f>
        <v>#N/A</v>
      </c>
      <c r="AO49" s="133" t="e">
        <f>SUM(AO47:AO48)</f>
        <v>#N/A</v>
      </c>
      <c r="AP49" s="132" t="e">
        <f>IF(VLOOKUP(AP$2&amp;$C49&amp;$A49,集計!$D:$R,$B49,0)&lt;&gt;SUM(AP47:AP48),"NG",SUM(AP47:AP48))</f>
        <v>#N/A</v>
      </c>
      <c r="AQ49" s="132" t="e">
        <f>IF(VLOOKUP(AQ$2&amp;$C49&amp;$A49,集計!$D:$R,$B49,0)&lt;&gt;SUM(AQ47:AQ48),"NG",SUM(AQ47:AQ48))</f>
        <v>#N/A</v>
      </c>
      <c r="AR49" s="132" t="e">
        <f>IF(VLOOKUP(AR$2&amp;$C49&amp;$A49,集計!$D:$R,$B49,0)&lt;&gt;SUM(AR47:AR48),"NG",SUM(AR47:AR48))</f>
        <v>#N/A</v>
      </c>
      <c r="AS49" s="133" t="e">
        <f>SUM(AS47:AS48)</f>
        <v>#N/A</v>
      </c>
      <c r="AT49" s="133" t="e">
        <f>SUM(AT47:AT48)</f>
        <v>#N/A</v>
      </c>
      <c r="AU49" s="132" t="e">
        <f>IF(VLOOKUP(AU$2&amp;$C49&amp;$A49,集計!$D:$R,$B49,0)&lt;&gt;SUM(AU47:AU48),"NG",SUM(AU47:AU48))</f>
        <v>#N/A</v>
      </c>
      <c r="AV49" s="132" t="e">
        <f>IF(VLOOKUP(AV$2&amp;$C49&amp;$A49,集計!$D:$R,$B49,0)&lt;&gt;SUM(AV47:AV48),"NG",SUM(AV47:AV48))</f>
        <v>#N/A</v>
      </c>
      <c r="AW49" s="132" t="e">
        <f>IF(VLOOKUP(AW$2&amp;$C49&amp;$A49,集計!$D:$R,$B49,0)&lt;&gt;SUM(AW47:AW48),"NG",SUM(AW47:AW48))</f>
        <v>#N/A</v>
      </c>
      <c r="AX49" s="132" t="e">
        <f>IF(VLOOKUP(AX$2&amp;$C49&amp;$A49,集計!$D:$R,$B49,0)&lt;&gt;SUM(AX47:AX48),"NG",SUM(AX47:AX48))</f>
        <v>#N/A</v>
      </c>
      <c r="AY49" s="132" t="e">
        <f>IF(VLOOKUP(AY$2&amp;$C49&amp;$A49,集計!$D:$R,$B49,0)&lt;&gt;SUM(AY47:AY48),"NG",SUM(AY47:AY48))</f>
        <v>#N/A</v>
      </c>
      <c r="AZ49" s="133" t="e">
        <f>AZ47+AZ48</f>
        <v>#N/A</v>
      </c>
      <c r="BA49" s="133" t="e">
        <f>BA47+BA48</f>
        <v>#N/A</v>
      </c>
      <c r="BB49" s="132" t="e">
        <f>IF(VLOOKUP(BB$2&amp;$C49&amp;$A49,集計!$D:$R,$B49,0)&lt;&gt;SUM(BB47:BB48),"NG",SUM(BB47:BB48))</f>
        <v>#N/A</v>
      </c>
      <c r="BC49" s="132" t="e">
        <f>IF(VLOOKUP(BC$2&amp;$C49&amp;$A49,集計!$D:$R,$B49,0)&lt;&gt;SUM(BC47:BC48),"NG",SUM(BC47:BC48))</f>
        <v>#N/A</v>
      </c>
      <c r="BD49" s="133" t="e">
        <f>SUM(BD47:BD48)</f>
        <v>#N/A</v>
      </c>
      <c r="BE49" s="132" t="e">
        <f>IF(VLOOKUP(BE$2&amp;$C49&amp;$A49,集計!$D:$R,$B49,0)&lt;&gt;SUM(BE47:BE48),"NG",SUM(BE47:BE48))</f>
        <v>#N/A</v>
      </c>
      <c r="BF49" s="132" t="e">
        <f>IF(VLOOKUP(BF$2&amp;$C49&amp;$A49,集計!$D:$R,$B49,0)&lt;&gt;SUM(BF47:BF48),"NG",SUM(BF47:BF48))</f>
        <v>#N/A</v>
      </c>
      <c r="BG49" s="132" t="e">
        <f>IF(VLOOKUP(BG$2&amp;$C49&amp;$A49,集計!$D:$R,$B49,0)&lt;&gt;SUM(BG47:BG48),"NG",SUM(BG47:BG48))</f>
        <v>#N/A</v>
      </c>
      <c r="BH49" s="132" t="e">
        <f>IF(VLOOKUP(BH$2&amp;$C49&amp;$A49,集計!$D:$R,$B49,0)&lt;&gt;SUM(BH47:BH48),"NG",SUM(BH47:BH48))</f>
        <v>#N/A</v>
      </c>
      <c r="BI49" s="132" t="e">
        <f>IF(VLOOKUP(BI$2&amp;$C49&amp;$A49,集計!$D:$R,$B49,0)&lt;&gt;SUM(BI47:BI48),"NG",SUM(BI47:BI48))</f>
        <v>#N/A</v>
      </c>
      <c r="BJ49" s="133" t="e">
        <f>BJ47+BJ48</f>
        <v>#N/A</v>
      </c>
      <c r="BK49" s="132" t="e">
        <f>IF(VLOOKUP(BK$2&amp;$C49&amp;$A49,集計!$D:$R,$B49,0)&lt;&gt;SUM(BK47:BK48),"NG",SUM(BK47:BK48))</f>
        <v>#N/A</v>
      </c>
      <c r="BL49" s="132" t="e">
        <f>IF(VLOOKUP(BL$2&amp;$C49&amp;$A49,集計!$D:$R,$B49,0)&lt;&gt;SUM(BL47:BL48),"NG",SUM(BL47:BL48))</f>
        <v>#N/A</v>
      </c>
      <c r="BM49" s="132" t="e">
        <f>IF(VLOOKUP(BM$2&amp;$C49&amp;$A49,集計!$D:$R,$B49,0)&lt;&gt;SUM(BM47:BM48),"NG",SUM(BM47:BM48))</f>
        <v>#N/A</v>
      </c>
      <c r="BN49" s="132" t="e">
        <f>IF(VLOOKUP(BN$2&amp;$C49&amp;$A49,集計!$D:$R,$B49,0)&lt;&gt;SUM(BN47:BN48),"NG",SUM(BN47:BN48))</f>
        <v>#N/A</v>
      </c>
      <c r="BO49" s="132" t="e">
        <f>IF(VLOOKUP(BO$2&amp;$C49&amp;$A49,集計!$D:$R,$B49,0)&lt;&gt;SUM(BO47:BO48),"NG",SUM(BO47:BO48))</f>
        <v>#N/A</v>
      </c>
      <c r="BP49" s="132" t="e">
        <f>IF(VLOOKUP(BP$2&amp;$C49&amp;$A49,集計!$D:$R,$B49,0)&lt;&gt;SUM(BP47:BP48),"NG",SUM(BP47:BP48))</f>
        <v>#N/A</v>
      </c>
      <c r="BQ49" s="133" t="e">
        <f>BQ47+BQ48</f>
        <v>#N/A</v>
      </c>
      <c r="BR49" s="132" t="e">
        <f>IF(VLOOKUP(BR$2&amp;$C49&amp;$A49,集計!$D:$R,$B49,0)&lt;&gt;SUM(BR47:BR48),"NG",SUM(BR47:BR48))</f>
        <v>#N/A</v>
      </c>
      <c r="BS49" s="132" t="e">
        <f>IF(VLOOKUP(BS$2&amp;$C49&amp;$A49,集計!$D:$R,$B49,0)&lt;&gt;SUM(BS47:BS48),"NG",SUM(BS47:BS48))</f>
        <v>#N/A</v>
      </c>
      <c r="BT49" s="132" t="e">
        <f>IF(VLOOKUP(BT$2&amp;$C49&amp;$A49,集計!$D:$R,$B49,0)&lt;&gt;SUM(BT47:BT48),"NG",SUM(BT47:BT48))</f>
        <v>#N/A</v>
      </c>
      <c r="BU49" s="133" t="e">
        <f>BU47+BU48</f>
        <v>#N/A</v>
      </c>
      <c r="BV49" s="132" t="e">
        <f>IF(VLOOKUP(BV$2&amp;$C49&amp;$A49,集計!$D:$R,$B49,0)&lt;&gt;SUM(BV47:BV48),"NG",SUM(BV47:BV48))</f>
        <v>#N/A</v>
      </c>
      <c r="BW49" s="133" t="e">
        <f>SUM(BW47:BW48)</f>
        <v>#N/A</v>
      </c>
      <c r="BX49" s="133" t="e">
        <f>SUM(BX47:BX48)</f>
        <v>#N/A</v>
      </c>
    </row>
    <row r="50" spans="1:76" s="124" customFormat="1" ht="15" thickBot="1">
      <c r="A50" s="120" t="s">
        <v>40</v>
      </c>
      <c r="B50" s="152">
        <v>10</v>
      </c>
      <c r="C50" s="135" t="s">
        <v>27</v>
      </c>
      <c r="D50" s="136" t="e">
        <f>IF(VLOOKUP(D$2&amp;$C50&amp;$A50,集計!$D:$R,$B50,0)&lt;&gt;SUM(D46,D49),"NG",SUM(D46,D49))</f>
        <v>#N/A</v>
      </c>
      <c r="E50" s="136" t="e">
        <f>IF(VLOOKUP(E$2&amp;$C50&amp;$A50,集計!$D:$R,$B50,0)&lt;&gt;SUM(E46,E49),"NG",SUM(E46,E49))</f>
        <v>#N/A</v>
      </c>
      <c r="F50" s="136" t="e">
        <f>IF(VLOOKUP(F$2&amp;$C50&amp;$A50,集計!$D:$R,$B50,0)&lt;&gt;SUM(F46,F49),"NG",SUM(F46,F49))</f>
        <v>#N/A</v>
      </c>
      <c r="G50" s="136" t="e">
        <f>IF(VLOOKUP(G$2&amp;$C50&amp;$A50,集計!$D:$R,$B50,0)&lt;&gt;SUM(G46,G49),"NG",SUM(G46,G49))</f>
        <v>#N/A</v>
      </c>
      <c r="H50" s="136" t="e">
        <f>IF(VLOOKUP(H$2&amp;$C50&amp;$A50,集計!$D:$R,$B50,0)&lt;&gt;SUM(H46,H49),"NG",SUM(H46,H49))</f>
        <v>#N/A</v>
      </c>
      <c r="I50" s="137" t="e">
        <f>I46+I49</f>
        <v>#N/A</v>
      </c>
      <c r="J50" s="136" t="e">
        <f>IF(VLOOKUP(J$2&amp;$C50&amp;$A50,集計!$D:$R,$B50,0)&lt;&gt;SUM(J46,J49),"NG",SUM(J46,J49))</f>
        <v>#N/A</v>
      </c>
      <c r="K50" s="136" t="e">
        <f>IF(VLOOKUP(K$2&amp;$C50&amp;$A50,集計!$D:$R,$B50,0)&lt;&gt;SUM(K46,K49),"NG",SUM(K46,K49))</f>
        <v>#N/A</v>
      </c>
      <c r="L50" s="136" t="e">
        <f>IF(VLOOKUP(L$2&amp;$C50&amp;$A50,集計!$D:$R,$B50,0)&lt;&gt;SUM(L46,L49),"NG",SUM(L46,L49))</f>
        <v>#N/A</v>
      </c>
      <c r="M50" s="136" t="e">
        <f>IF(VLOOKUP(M$2&amp;$C50&amp;$A50,集計!$D:$R,$B50,0)&lt;&gt;SUM(M46,M49),"NG",SUM(M46,M49))</f>
        <v>#N/A</v>
      </c>
      <c r="N50" s="137" t="e">
        <f>N46+N49</f>
        <v>#N/A</v>
      </c>
      <c r="O50" s="136" t="e">
        <f>IF(VLOOKUP(O$2&amp;$C50&amp;$A50,集計!$D:$R,$B50,0)&lt;&gt;SUM(O46,O49),"NG",SUM(O46,O49))</f>
        <v>#N/A</v>
      </c>
      <c r="P50" s="136" t="e">
        <f>IF(VLOOKUP(P$2&amp;$C50&amp;$A50,集計!$D:$R,$B50,0)&lt;&gt;SUM(P46,P49),"NG",SUM(P46,P49))</f>
        <v>#N/A</v>
      </c>
      <c r="Q50" s="136" t="e">
        <f>IF(VLOOKUP(Q$2&amp;$C50&amp;$A50,集計!$D:$R,$B50,0)&lt;&gt;SUM(Q46,Q49),"NG",SUM(Q46,Q49))</f>
        <v>#N/A</v>
      </c>
      <c r="R50" s="136" t="e">
        <f>IF(VLOOKUP(R$2&amp;$C50&amp;$A50,集計!$D:$R,$B50,0)&lt;&gt;SUM(R46,R49),"NG",SUM(R46,R49))</f>
        <v>#N/A</v>
      </c>
      <c r="S50" s="136" t="e">
        <f>IF(VLOOKUP(S$2&amp;$C50&amp;$A50,集計!$D:$R,$B50,0)&lt;&gt;SUM(S46,S49),"NG",SUM(S46,S49))</f>
        <v>#N/A</v>
      </c>
      <c r="T50" s="137" t="e">
        <f>T46+T49</f>
        <v>#N/A</v>
      </c>
      <c r="U50" s="136" t="e">
        <f>IF(VLOOKUP(U$2&amp;$C50&amp;$A50,集計!$D:$R,$B50,0)&lt;&gt;SUM(U46,U49),"NG",SUM(U46,U49))</f>
        <v>#N/A</v>
      </c>
      <c r="V50" s="136" t="e">
        <f>IF(VLOOKUP(V$2&amp;$C50&amp;$A50,集計!$D:$R,$B50,0)&lt;&gt;SUM(V46,V49),"NG",SUM(V46,V49))</f>
        <v>#N/A</v>
      </c>
      <c r="W50" s="136" t="e">
        <f>IF(VLOOKUP(W$2&amp;$C50&amp;$A50,集計!$D:$R,$B50,0)&lt;&gt;SUM(W46,W49),"NG",SUM(W46,W49))</f>
        <v>#N/A</v>
      </c>
      <c r="X50" s="137" t="e">
        <f>X46+X49</f>
        <v>#N/A</v>
      </c>
      <c r="Y50" s="136" t="e">
        <f>IF(VLOOKUP(Y$2&amp;$C50&amp;$A50,集計!$D:$R,$B50,0)&lt;&gt;SUM(Y46,Y49),"NG",SUM(Y46,Y49))</f>
        <v>#N/A</v>
      </c>
      <c r="Z50" s="136" t="e">
        <f>IF(VLOOKUP(Z$2&amp;$C50&amp;$A50,集計!$D:$R,$B50,0)&lt;&gt;SUM(Z46,Z49),"NG",SUM(Z46,Z49))</f>
        <v>#N/A</v>
      </c>
      <c r="AA50" s="136" t="e">
        <f>IF(VLOOKUP(AA$2&amp;$C50&amp;$A50,集計!$D:$R,$B50,0)&lt;&gt;SUM(AA46,AA49),"NG",SUM(AA46,AA49))</f>
        <v>#N/A</v>
      </c>
      <c r="AB50" s="137" t="e">
        <f>AB46+AB49</f>
        <v>#N/A</v>
      </c>
      <c r="AC50" s="137" t="e">
        <f>AC46+AC49</f>
        <v>#N/A</v>
      </c>
      <c r="AD50" s="136" t="e">
        <f>IF(VLOOKUP(AD$2&amp;$C50&amp;$A50,集計!$D:$R,$B50,0)&lt;&gt;SUM(AD46,AD49),"NG",SUM(AD46,AD49))</f>
        <v>#N/A</v>
      </c>
      <c r="AE50" s="136" t="e">
        <f>IF(VLOOKUP(AE$2&amp;$C50&amp;$A50,集計!$D:$R,$B50,0)&lt;&gt;SUM(AE46,AE49),"NG",SUM(AE46,AE49))</f>
        <v>#N/A</v>
      </c>
      <c r="AF50" s="136" t="e">
        <f>IF(VLOOKUP(AF$2&amp;$C50&amp;$A50,集計!$D:$R,$B50,0)&lt;&gt;SUM(AF46,AF49),"NG",SUM(AF46,AF49))</f>
        <v>#N/A</v>
      </c>
      <c r="AG50" s="136" t="e">
        <f>IF(VLOOKUP(AG$2&amp;$C50&amp;$A50,集計!$D:$R,$B50,0)&lt;&gt;SUM(AG46,AG49),"NG",SUM(AG46,AG49))</f>
        <v>#N/A</v>
      </c>
      <c r="AH50" s="137" t="e">
        <f>AH46+AH49</f>
        <v>#N/A</v>
      </c>
      <c r="AI50" s="136" t="e">
        <f>IF(VLOOKUP(AI$2&amp;$C50&amp;$A50,集計!$D:$R,$B50,0)&lt;&gt;SUM(AI46,AI49),"NG",SUM(AI46,AI49))</f>
        <v>#N/A</v>
      </c>
      <c r="AJ50" s="136" t="e">
        <f>IF(VLOOKUP(AJ$2&amp;$C50&amp;$A50,集計!$D:$R,$B50,0)&lt;&gt;SUM(AJ46,AJ49),"NG",SUM(AJ46,AJ49))</f>
        <v>#N/A</v>
      </c>
      <c r="AK50" s="136" t="e">
        <f>IF(VLOOKUP(AK$2&amp;$C50&amp;$A50,集計!$D:$R,$B50,0)&lt;&gt;SUM(AK46,AK49),"NG",SUM(AK46,AK49))</f>
        <v>#N/A</v>
      </c>
      <c r="AL50" s="137" t="e">
        <f>AL46+AL49</f>
        <v>#N/A</v>
      </c>
      <c r="AM50" s="136" t="e">
        <f>IF(VLOOKUP(AM$2&amp;$C50&amp;$A50,集計!$D:$R,$B50,0)&lt;&gt;SUM(AM46,AM49),"NG",SUM(AM46,AM49))</f>
        <v>#N/A</v>
      </c>
      <c r="AN50" s="136" t="e">
        <f>IF(VLOOKUP(AN$2&amp;$C50&amp;$A50,集計!$D:$R,$B50,0)&lt;&gt;SUM(AN46,AN49),"NG",SUM(AN46,AN49))</f>
        <v>#N/A</v>
      </c>
      <c r="AO50" s="137" t="e">
        <f>AO46+AO49</f>
        <v>#N/A</v>
      </c>
      <c r="AP50" s="136" t="e">
        <f>IF(VLOOKUP(AP$2&amp;$C50&amp;$A50,集計!$D:$R,$B50,0)&lt;&gt;SUM(AP46,AP49),"NG",SUM(AP46,AP49))</f>
        <v>#N/A</v>
      </c>
      <c r="AQ50" s="136" t="e">
        <f>IF(VLOOKUP(AQ$2&amp;$C50&amp;$A50,集計!$D:$R,$B50,0)&lt;&gt;SUM(AQ46,AQ49),"NG",SUM(AQ46,AQ49))</f>
        <v>#N/A</v>
      </c>
      <c r="AR50" s="136" t="e">
        <f>IF(VLOOKUP(AR$2&amp;$C50&amp;$A50,集計!$D:$R,$B50,0)&lt;&gt;SUM(AR46,AR49),"NG",SUM(AR46,AR49))</f>
        <v>#N/A</v>
      </c>
      <c r="AS50" s="137" t="e">
        <f>AS46+AS49</f>
        <v>#N/A</v>
      </c>
      <c r="AT50" s="137" t="e">
        <f>AT46+AT49</f>
        <v>#N/A</v>
      </c>
      <c r="AU50" s="136" t="e">
        <f>IF(VLOOKUP(AU$2&amp;$C50&amp;$A50,集計!$D:$R,$B50,0)&lt;&gt;SUM(AU46,AU49),"NG",SUM(AU46,AU49))</f>
        <v>#N/A</v>
      </c>
      <c r="AV50" s="136" t="e">
        <f>IF(VLOOKUP(AV$2&amp;$C50&amp;$A50,集計!$D:$R,$B50,0)&lt;&gt;SUM(AV46,AV49),"NG",SUM(AV46,AV49))</f>
        <v>#N/A</v>
      </c>
      <c r="AW50" s="136" t="e">
        <f>IF(VLOOKUP(AW$2&amp;$C50&amp;$A50,集計!$D:$R,$B50,0)&lt;&gt;SUM(AW46,AW49),"NG",SUM(AW46,AW49))</f>
        <v>#N/A</v>
      </c>
      <c r="AX50" s="136" t="e">
        <f>IF(VLOOKUP(AX$2&amp;$C50&amp;$A50,集計!$D:$R,$B50,0)&lt;&gt;SUM(AX46,AX49),"NG",SUM(AX46,AX49))</f>
        <v>#N/A</v>
      </c>
      <c r="AY50" s="136" t="e">
        <f>IF(VLOOKUP(AY$2&amp;$C50&amp;$A50,集計!$D:$R,$B50,0)&lt;&gt;SUM(AY46,AY49),"NG",SUM(AY46,AY49))</f>
        <v>#N/A</v>
      </c>
      <c r="AZ50" s="137" t="e">
        <f>AZ46+AZ49</f>
        <v>#N/A</v>
      </c>
      <c r="BA50" s="137" t="e">
        <f>BA46+BA49</f>
        <v>#N/A</v>
      </c>
      <c r="BB50" s="136" t="e">
        <f>IF(VLOOKUP(BB$2&amp;$C50&amp;$A50,集計!$D:$R,$B50,0)&lt;&gt;SUM(BB46,BB49),"NG",SUM(BB46,BB49))</f>
        <v>#N/A</v>
      </c>
      <c r="BC50" s="136" t="e">
        <f>IF(VLOOKUP(BC$2&amp;$C50&amp;$A50,集計!$D:$R,$B50,0)&lt;&gt;SUM(BC46,BC49),"NG",SUM(BC46,BC49))</f>
        <v>#N/A</v>
      </c>
      <c r="BD50" s="137" t="e">
        <f>BD46+BD49</f>
        <v>#N/A</v>
      </c>
      <c r="BE50" s="136" t="e">
        <f>IF(VLOOKUP(BE$2&amp;$C50&amp;$A50,集計!$D:$R,$B50,0)&lt;&gt;SUM(BE46,BE49),"NG",SUM(BE46,BE49))</f>
        <v>#N/A</v>
      </c>
      <c r="BF50" s="136" t="e">
        <f>IF(VLOOKUP(BF$2&amp;$C50&amp;$A50,集計!$D:$R,$B50,0)&lt;&gt;SUM(BF46,BF49),"NG",SUM(BF46,BF49))</f>
        <v>#N/A</v>
      </c>
      <c r="BG50" s="136" t="e">
        <f>IF(VLOOKUP(BG$2&amp;$C50&amp;$A50,集計!$D:$R,$B50,0)&lt;&gt;SUM(BG46,BG49),"NG",SUM(BG46,BG49))</f>
        <v>#N/A</v>
      </c>
      <c r="BH50" s="136" t="e">
        <f>IF(VLOOKUP(BH$2&amp;$C50&amp;$A50,集計!$D:$R,$B50,0)&lt;&gt;SUM(BH46,BH49),"NG",SUM(BH46,BH49))</f>
        <v>#N/A</v>
      </c>
      <c r="BI50" s="136" t="e">
        <f>IF(VLOOKUP(BI$2&amp;$C50&amp;$A50,集計!$D:$R,$B50,0)&lt;&gt;SUM(BI46,BI49),"NG",SUM(BI46,BI49))</f>
        <v>#N/A</v>
      </c>
      <c r="BJ50" s="137" t="e">
        <f>BJ46+BJ49</f>
        <v>#N/A</v>
      </c>
      <c r="BK50" s="136" t="e">
        <f>IF(VLOOKUP(BK$2&amp;$C50&amp;$A50,集計!$D:$R,$B50,0)&lt;&gt;SUM(BK46,BK49),"NG",SUM(BK46,BK49))</f>
        <v>#N/A</v>
      </c>
      <c r="BL50" s="136" t="e">
        <f>IF(VLOOKUP(BL$2&amp;$C50&amp;$A50,集計!$D:$R,$B50,0)&lt;&gt;SUM(BL46,BL49),"NG",SUM(BL46,BL49))</f>
        <v>#N/A</v>
      </c>
      <c r="BM50" s="136" t="e">
        <f>IF(VLOOKUP(BM$2&amp;$C50&amp;$A50,集計!$D:$R,$B50,0)&lt;&gt;SUM(BM46,BM49),"NG",SUM(BM46,BM49))</f>
        <v>#N/A</v>
      </c>
      <c r="BN50" s="136" t="e">
        <f>IF(VLOOKUP(BN$2&amp;$C50&amp;$A50,集計!$D:$R,$B50,0)&lt;&gt;SUM(BN46,BN49),"NG",SUM(BN46,BN49))</f>
        <v>#N/A</v>
      </c>
      <c r="BO50" s="136" t="e">
        <f>IF(VLOOKUP(BO$2&amp;$C50&amp;$A50,集計!$D:$R,$B50,0)&lt;&gt;SUM(BO46,BO49),"NG",SUM(BO46,BO49))</f>
        <v>#N/A</v>
      </c>
      <c r="BP50" s="136" t="e">
        <f>IF(VLOOKUP(BP$2&amp;$C50&amp;$A50,集計!$D:$R,$B50,0)&lt;&gt;SUM(BP46,BP49),"NG",SUM(BP46,BP49))</f>
        <v>#N/A</v>
      </c>
      <c r="BQ50" s="137" t="e">
        <f>BQ46+BQ49</f>
        <v>#N/A</v>
      </c>
      <c r="BR50" s="136" t="e">
        <f>IF(VLOOKUP(BR$2&amp;$C50&amp;$A50,集計!$D:$R,$B50,0)&lt;&gt;SUM(BR46,BR49),"NG",SUM(BR46,BR49))</f>
        <v>#N/A</v>
      </c>
      <c r="BS50" s="136" t="e">
        <f>IF(VLOOKUP(BS$2&amp;$C50&amp;$A50,集計!$D:$R,$B50,0)&lt;&gt;SUM(BS46,BS49),"NG",SUM(BS46,BS49))</f>
        <v>#N/A</v>
      </c>
      <c r="BT50" s="136" t="e">
        <f>IF(VLOOKUP(BT$2&amp;$C50&amp;$A50,集計!$D:$R,$B50,0)&lt;&gt;SUM(BT46,BT49),"NG",SUM(BT46,BT49))</f>
        <v>#N/A</v>
      </c>
      <c r="BU50" s="137" t="e">
        <f>BU46+BU49</f>
        <v>#N/A</v>
      </c>
      <c r="BV50" s="136" t="e">
        <f>IF(VLOOKUP(BV$2&amp;$C50&amp;$A50,集計!$D:$R,$B50,0)&lt;&gt;SUM(BV46,BV49),"NG",SUM(BV46,BV49))</f>
        <v>#N/A</v>
      </c>
      <c r="BW50" s="137" t="e">
        <f>BW46+BW49</f>
        <v>#N/A</v>
      </c>
      <c r="BX50" s="137" t="e">
        <f>BX46+BX49</f>
        <v>#N/A</v>
      </c>
    </row>
    <row r="51" spans="1:76" s="124" customFormat="1">
      <c r="A51" s="134"/>
      <c r="B51" s="153"/>
      <c r="C51" s="142"/>
      <c r="D51" s="143"/>
      <c r="E51" s="143"/>
      <c r="F51" s="143"/>
      <c r="G51" s="143"/>
      <c r="H51" s="143"/>
      <c r="I51" s="144"/>
      <c r="J51" s="143"/>
      <c r="K51" s="143"/>
      <c r="L51" s="143"/>
      <c r="M51" s="143"/>
      <c r="N51" s="144"/>
      <c r="O51" s="143"/>
      <c r="P51" s="143"/>
      <c r="Q51" s="143"/>
      <c r="R51" s="143"/>
      <c r="S51" s="143"/>
      <c r="T51" s="144"/>
      <c r="U51" s="143"/>
      <c r="V51" s="143"/>
      <c r="W51" s="143"/>
      <c r="X51" s="144"/>
      <c r="Y51" s="143"/>
      <c r="Z51" s="143"/>
      <c r="AA51" s="143"/>
      <c r="AB51" s="144"/>
      <c r="AC51" s="144"/>
      <c r="AD51" s="143"/>
      <c r="AE51" s="143"/>
      <c r="AF51" s="143"/>
      <c r="AG51" s="143"/>
      <c r="AH51" s="144"/>
      <c r="AI51" s="143"/>
      <c r="AJ51" s="143"/>
      <c r="AK51" s="143"/>
      <c r="AL51" s="144"/>
      <c r="AM51" s="143"/>
      <c r="AN51" s="143"/>
      <c r="AO51" s="144"/>
      <c r="AP51" s="143"/>
      <c r="AQ51" s="143"/>
      <c r="AR51" s="143"/>
      <c r="AS51" s="144"/>
      <c r="AT51" s="144"/>
      <c r="AU51" s="143"/>
      <c r="AV51" s="143"/>
      <c r="AW51" s="143"/>
      <c r="AX51" s="143"/>
      <c r="AY51" s="143"/>
      <c r="AZ51" s="144"/>
      <c r="BA51" s="144"/>
      <c r="BB51" s="143"/>
      <c r="BC51" s="143"/>
      <c r="BD51" s="144"/>
      <c r="BE51" s="143"/>
      <c r="BF51" s="143"/>
      <c r="BG51" s="143"/>
      <c r="BH51" s="143"/>
      <c r="BI51" s="143"/>
      <c r="BJ51" s="144"/>
      <c r="BK51" s="143"/>
      <c r="BL51" s="143"/>
      <c r="BM51" s="143"/>
      <c r="BN51" s="143"/>
      <c r="BO51" s="143"/>
      <c r="BP51" s="143"/>
      <c r="BQ51" s="144"/>
      <c r="BR51" s="143"/>
      <c r="BS51" s="143"/>
      <c r="BT51" s="143"/>
      <c r="BU51" s="144"/>
      <c r="BV51" s="143"/>
      <c r="BW51" s="144"/>
      <c r="BX51" s="144"/>
    </row>
    <row r="52" spans="1:76" s="124" customFormat="1" ht="21.5" thickBot="1">
      <c r="A52" s="134"/>
      <c r="B52" s="96">
        <v>11</v>
      </c>
      <c r="C52" s="138" t="s">
        <v>40</v>
      </c>
      <c r="D52" s="145"/>
      <c r="E52" s="145"/>
      <c r="F52" s="145"/>
      <c r="G52" s="145"/>
      <c r="H52" s="145"/>
      <c r="I52" s="146"/>
      <c r="J52" s="145"/>
      <c r="K52" s="145"/>
      <c r="L52" s="145"/>
      <c r="M52" s="145"/>
      <c r="N52" s="146"/>
      <c r="O52" s="145"/>
      <c r="P52" s="145"/>
      <c r="Q52" s="145"/>
      <c r="R52" s="145"/>
      <c r="S52" s="145"/>
      <c r="T52" s="146"/>
      <c r="U52" s="145"/>
      <c r="V52" s="145"/>
      <c r="W52" s="145"/>
      <c r="X52" s="146"/>
      <c r="Y52" s="145"/>
      <c r="Z52" s="145"/>
      <c r="AA52" s="145"/>
      <c r="AB52" s="146"/>
      <c r="AC52" s="146"/>
      <c r="AD52" s="145"/>
      <c r="AE52" s="145"/>
      <c r="AF52" s="145"/>
      <c r="AG52" s="145"/>
      <c r="AH52" s="146"/>
      <c r="AI52" s="145"/>
      <c r="AJ52" s="145"/>
      <c r="AK52" s="145"/>
      <c r="AL52" s="146"/>
      <c r="AM52" s="145"/>
      <c r="AN52" s="145"/>
      <c r="AO52" s="146"/>
      <c r="AP52" s="145"/>
      <c r="AQ52" s="145"/>
      <c r="AR52" s="145"/>
      <c r="AS52" s="146"/>
      <c r="AT52" s="146"/>
      <c r="AU52" s="145"/>
      <c r="AV52" s="145"/>
      <c r="AW52" s="145"/>
      <c r="AX52" s="145"/>
      <c r="AY52" s="145"/>
      <c r="AZ52" s="146"/>
      <c r="BA52" s="146"/>
      <c r="BB52" s="145"/>
      <c r="BC52" s="145"/>
      <c r="BD52" s="146"/>
      <c r="BE52" s="145"/>
      <c r="BF52" s="145"/>
      <c r="BG52" s="145"/>
      <c r="BH52" s="145"/>
      <c r="BI52" s="145"/>
      <c r="BJ52" s="146"/>
      <c r="BK52" s="145"/>
      <c r="BL52" s="145"/>
      <c r="BM52" s="145"/>
      <c r="BN52" s="145"/>
      <c r="BO52" s="145"/>
      <c r="BP52" s="145"/>
      <c r="BQ52" s="146"/>
      <c r="BR52" s="145"/>
      <c r="BS52" s="145"/>
      <c r="BT52" s="145"/>
      <c r="BU52" s="146"/>
      <c r="BV52" s="145"/>
      <c r="BW52" s="146"/>
      <c r="BX52" s="147"/>
    </row>
    <row r="53" spans="1:76" s="124" customFormat="1" ht="21" customHeight="1">
      <c r="A53" s="120" t="s">
        <v>40</v>
      </c>
      <c r="B53" s="150">
        <v>11</v>
      </c>
      <c r="C53" s="121" t="s">
        <v>25</v>
      </c>
      <c r="D53" s="122" t="e">
        <f>VLOOKUP(D$2&amp;$C53&amp;$A53,集計!$D:$R,$B53,0)</f>
        <v>#N/A</v>
      </c>
      <c r="E53" s="122" t="e">
        <f>VLOOKUP(E$2&amp;$C53&amp;$A53,集計!$D:$R,$B53,0)</f>
        <v>#N/A</v>
      </c>
      <c r="F53" s="122" t="e">
        <f>VLOOKUP(F$2&amp;$C53&amp;$A53,集計!$D:$R,$B53,0)</f>
        <v>#N/A</v>
      </c>
      <c r="G53" s="122" t="e">
        <f>VLOOKUP(G$2&amp;$C53&amp;$A53,集計!$D:$R,$B53,0)</f>
        <v>#N/A</v>
      </c>
      <c r="H53" s="122" t="e">
        <f>VLOOKUP(H$2&amp;$C53&amp;$A53,集計!$D:$R,$B53,0)</f>
        <v>#N/A</v>
      </c>
      <c r="I53" s="123" t="e">
        <f>D53+E53+F53+G53+H53</f>
        <v>#N/A</v>
      </c>
      <c r="J53" s="122" t="e">
        <f>VLOOKUP(J$2&amp;$C53&amp;$A53,集計!$D:$R,$B53,0)</f>
        <v>#N/A</v>
      </c>
      <c r="K53" s="122" t="e">
        <f>VLOOKUP(K$2&amp;$C53&amp;$A53,集計!$D:$R,$B53,0)</f>
        <v>#N/A</v>
      </c>
      <c r="L53" s="122" t="e">
        <f>VLOOKUP(L$2&amp;$C53&amp;$A53,集計!$D:$R,$B53,0)</f>
        <v>#N/A</v>
      </c>
      <c r="M53" s="122" t="e">
        <f>VLOOKUP(M$2&amp;$C53&amp;$A53,集計!$D:$R,$B53,0)</f>
        <v>#N/A</v>
      </c>
      <c r="N53" s="123" t="e">
        <f>J53+K53+L53+M53</f>
        <v>#N/A</v>
      </c>
      <c r="O53" s="122" t="e">
        <f>VLOOKUP(O$2&amp;$C53&amp;$A53,集計!$D:$R,$B53,0)</f>
        <v>#N/A</v>
      </c>
      <c r="P53" s="122" t="e">
        <f>VLOOKUP(P$2&amp;$C53&amp;$A53,集計!$D:$R,$B53,0)</f>
        <v>#N/A</v>
      </c>
      <c r="Q53" s="122" t="e">
        <f>VLOOKUP(Q$2&amp;$C53&amp;$A53,集計!$D:$R,$B53,0)</f>
        <v>#N/A</v>
      </c>
      <c r="R53" s="122" t="e">
        <f>VLOOKUP(R$2&amp;$C53&amp;$A53,集計!$D:$R,$B53,0)</f>
        <v>#N/A</v>
      </c>
      <c r="S53" s="122" t="e">
        <f>VLOOKUP(S$2&amp;$C53&amp;$A53,集計!$D:$R,$B53,0)</f>
        <v>#N/A</v>
      </c>
      <c r="T53" s="123" t="e">
        <f>O53+P53+Q53+R53+S53</f>
        <v>#N/A</v>
      </c>
      <c r="U53" s="122" t="e">
        <f>VLOOKUP(U$2&amp;$C53&amp;$A53,集計!$D:$R,$B53,0)</f>
        <v>#N/A</v>
      </c>
      <c r="V53" s="122" t="e">
        <f>VLOOKUP(V$2&amp;$C53&amp;$A53,集計!$D:$R,$B53,0)</f>
        <v>#N/A</v>
      </c>
      <c r="W53" s="122" t="e">
        <f>VLOOKUP(W$2&amp;$C53&amp;$A53,集計!$D:$R,$B53,0)</f>
        <v>#N/A</v>
      </c>
      <c r="X53" s="123" t="e">
        <f>U53+V53+W53</f>
        <v>#N/A</v>
      </c>
      <c r="Y53" s="122" t="e">
        <f>VLOOKUP(Y$2&amp;$C53&amp;$A53,集計!$D:$R,$B53,0)</f>
        <v>#N/A</v>
      </c>
      <c r="Z53" s="122" t="e">
        <f>VLOOKUP(Z$2&amp;$C53&amp;$A53,集計!$D:$R,$B53,0)</f>
        <v>#N/A</v>
      </c>
      <c r="AA53" s="122" t="e">
        <f>VLOOKUP(AA$2&amp;$C53&amp;$A53,集計!$D:$R,$B53,0)</f>
        <v>#N/A</v>
      </c>
      <c r="AB53" s="123" t="e">
        <f>Y53+Z53+AA53</f>
        <v>#N/A</v>
      </c>
      <c r="AC53" s="123" t="e">
        <f>I53+N53+T53+X53+AB53</f>
        <v>#N/A</v>
      </c>
      <c r="AD53" s="122" t="e">
        <f>VLOOKUP(AD$2&amp;$C53&amp;$A53,集計!$D:$R,$B53,0)</f>
        <v>#N/A</v>
      </c>
      <c r="AE53" s="122" t="e">
        <f>VLOOKUP(AE$2&amp;$C53&amp;$A53,集計!$D:$R,$B53,0)</f>
        <v>#N/A</v>
      </c>
      <c r="AF53" s="122" t="e">
        <f>VLOOKUP(AF$2&amp;$C53&amp;$A53,集計!$D:$R,$B53,0)</f>
        <v>#N/A</v>
      </c>
      <c r="AG53" s="122" t="e">
        <f>VLOOKUP(AG$2&amp;$C53&amp;$A53,集計!$D:$R,$B53,0)</f>
        <v>#N/A</v>
      </c>
      <c r="AH53" s="123" t="e">
        <f>AD53+AE53+AF53+AG53</f>
        <v>#N/A</v>
      </c>
      <c r="AI53" s="122" t="e">
        <f>VLOOKUP(AI$2&amp;$C53&amp;$A53,集計!$D:$R,$B53,0)</f>
        <v>#N/A</v>
      </c>
      <c r="AJ53" s="122" t="e">
        <f>VLOOKUP(AJ$2&amp;$C53&amp;$A53,集計!$D:$R,$B53,0)</f>
        <v>#N/A</v>
      </c>
      <c r="AK53" s="122" t="e">
        <f>VLOOKUP(AK$2&amp;$C53&amp;$A53,集計!$D:$R,$B53,0)</f>
        <v>#N/A</v>
      </c>
      <c r="AL53" s="123" t="e">
        <f>AI53+AJ53+AK53</f>
        <v>#N/A</v>
      </c>
      <c r="AM53" s="122" t="e">
        <f>VLOOKUP(AM$2&amp;$C53&amp;$A53,集計!$D:$R,$B53,0)</f>
        <v>#N/A</v>
      </c>
      <c r="AN53" s="122" t="e">
        <f>VLOOKUP(AN$2&amp;$C53&amp;$A53,集計!$D:$R,$B53,0)</f>
        <v>#N/A</v>
      </c>
      <c r="AO53" s="123" t="e">
        <f>AM53+AN53</f>
        <v>#N/A</v>
      </c>
      <c r="AP53" s="122" t="e">
        <f>VLOOKUP(AP$2&amp;$C53&amp;$A53,集計!$D:$R,$B53,0)</f>
        <v>#N/A</v>
      </c>
      <c r="AQ53" s="122" t="e">
        <f>VLOOKUP(AQ$2&amp;$C53&amp;$A53,集計!$D:$R,$B53,0)</f>
        <v>#N/A</v>
      </c>
      <c r="AR53" s="122" t="e">
        <f>VLOOKUP(AR$2&amp;$C53&amp;$A53,集計!$D:$R,$B53,0)</f>
        <v>#N/A</v>
      </c>
      <c r="AS53" s="123" t="e">
        <f>AP53+AQ53+AR53</f>
        <v>#N/A</v>
      </c>
      <c r="AT53" s="123" t="e">
        <f>AH53+AL53+AO53+AS53</f>
        <v>#N/A</v>
      </c>
      <c r="AU53" s="122" t="e">
        <f>VLOOKUP(AU$2&amp;$C53&amp;$A53,集計!$D:$R,$B53,0)</f>
        <v>#N/A</v>
      </c>
      <c r="AV53" s="122" t="e">
        <f>VLOOKUP(AV$2&amp;$C53&amp;$A53,集計!$D:$R,$B53,0)</f>
        <v>#N/A</v>
      </c>
      <c r="AW53" s="122" t="e">
        <f>VLOOKUP(AW$2&amp;$C53&amp;$A53,集計!$D:$R,$B53,0)</f>
        <v>#N/A</v>
      </c>
      <c r="AX53" s="122" t="e">
        <f>VLOOKUP(AX$2&amp;$C53&amp;$A53,集計!$D:$R,$B53,0)</f>
        <v>#N/A</v>
      </c>
      <c r="AY53" s="122" t="e">
        <f>VLOOKUP(AY$2&amp;$C53&amp;$A53,集計!$D:$R,$B53,0)</f>
        <v>#N/A</v>
      </c>
      <c r="AZ53" s="123" t="e">
        <f>AU53+AV53+AW53+AX53+AY53</f>
        <v>#N/A</v>
      </c>
      <c r="BA53" s="123" t="e">
        <f>AZ53</f>
        <v>#N/A</v>
      </c>
      <c r="BB53" s="122" t="e">
        <f>VLOOKUP(BB$2&amp;$C53&amp;$A53,集計!$D:$R,$B53,0)</f>
        <v>#N/A</v>
      </c>
      <c r="BC53" s="122" t="e">
        <f>VLOOKUP(BC$2&amp;$C53&amp;$A53,集計!$D:$R,$B53,0)</f>
        <v>#N/A</v>
      </c>
      <c r="BD53" s="123" t="e">
        <f>BB53+BC53</f>
        <v>#N/A</v>
      </c>
      <c r="BE53" s="122" t="e">
        <f>VLOOKUP(BE$2&amp;$C53&amp;$A53,集計!$D:$R,$B53,0)</f>
        <v>#N/A</v>
      </c>
      <c r="BF53" s="122" t="e">
        <f>VLOOKUP(BF$2&amp;$C53&amp;$A53,集計!$D:$R,$B53,0)</f>
        <v>#N/A</v>
      </c>
      <c r="BG53" s="122" t="e">
        <f>VLOOKUP(BG$2&amp;$C53&amp;$A53,集計!$D:$R,$B53,0)</f>
        <v>#N/A</v>
      </c>
      <c r="BH53" s="122" t="e">
        <f>VLOOKUP(BH$2&amp;$C53&amp;$A53,集計!$D:$R,$B53,0)</f>
        <v>#N/A</v>
      </c>
      <c r="BI53" s="122" t="e">
        <f>VLOOKUP(BI$2&amp;$C53&amp;$A53,集計!$D:$R,$B53,0)</f>
        <v>#N/A</v>
      </c>
      <c r="BJ53" s="123" t="e">
        <f>BE53+BF53+BG53+BH53+BI53</f>
        <v>#N/A</v>
      </c>
      <c r="BK53" s="122" t="e">
        <f>VLOOKUP(BK$2&amp;$C53&amp;$A53,集計!$D:$R,$B53,0)</f>
        <v>#N/A</v>
      </c>
      <c r="BL53" s="122" t="e">
        <f>VLOOKUP(BL$2&amp;$C53&amp;$A53,集計!$D:$R,$B53,0)</f>
        <v>#N/A</v>
      </c>
      <c r="BM53" s="122" t="e">
        <f>VLOOKUP(BM$2&amp;$C53&amp;$A53,集計!$D:$R,$B53,0)</f>
        <v>#N/A</v>
      </c>
      <c r="BN53" s="122" t="e">
        <f>VLOOKUP(BN$2&amp;$C53&amp;$A53,集計!$D:$R,$B53,0)</f>
        <v>#N/A</v>
      </c>
      <c r="BO53" s="122" t="e">
        <f>VLOOKUP(BO$2&amp;$C53&amp;$A53,集計!$D:$R,$B53,0)</f>
        <v>#N/A</v>
      </c>
      <c r="BP53" s="122" t="e">
        <f>VLOOKUP(BP$2&amp;$C53&amp;$A53,集計!$D:$R,$B53,0)</f>
        <v>#N/A</v>
      </c>
      <c r="BQ53" s="123" t="e">
        <f>BK53+BL53+BM53+BN53+BO53+BP53</f>
        <v>#N/A</v>
      </c>
      <c r="BR53" s="122" t="e">
        <f>VLOOKUP(BR$2&amp;$C53&amp;$A53,集計!$D:$R,$B53,0)</f>
        <v>#N/A</v>
      </c>
      <c r="BS53" s="122" t="e">
        <f>VLOOKUP(BS$2&amp;$C53&amp;$A53,集計!$D:$R,$B53,0)</f>
        <v>#N/A</v>
      </c>
      <c r="BT53" s="122" t="e">
        <f>VLOOKUP(BT$2&amp;$C53&amp;$A53,集計!$D:$R,$B53,0)</f>
        <v>#N/A</v>
      </c>
      <c r="BU53" s="123" t="e">
        <f>BR53+BS53+BT53</f>
        <v>#N/A</v>
      </c>
      <c r="BV53" s="122" t="e">
        <f>VLOOKUP(BV$2&amp;$C53&amp;$A53,集計!$D:$R,$B53,0)</f>
        <v>#N/A</v>
      </c>
      <c r="BW53" s="123" t="e">
        <f>BV53</f>
        <v>#N/A</v>
      </c>
      <c r="BX53" s="123" t="e">
        <f>AC53+AT53+BA53+BD53+BJ53+BQ53+BU53+BW53</f>
        <v>#N/A</v>
      </c>
    </row>
    <row r="54" spans="1:76" s="124" customFormat="1">
      <c r="A54" s="120" t="s">
        <v>40</v>
      </c>
      <c r="B54" s="150">
        <v>11</v>
      </c>
      <c r="C54" s="125" t="s">
        <v>106</v>
      </c>
      <c r="D54" s="126" t="e">
        <f>VLOOKUP(D$2&amp;$C54&amp;$A54,集計!$D:$R,$B54,0)</f>
        <v>#N/A</v>
      </c>
      <c r="E54" s="126" t="e">
        <f>VLOOKUP(E$2&amp;$C54&amp;$A54,集計!$D:$R,$B54,0)</f>
        <v>#N/A</v>
      </c>
      <c r="F54" s="126" t="e">
        <f>VLOOKUP(F$2&amp;$C54&amp;$A54,集計!$D:$R,$B54,0)</f>
        <v>#N/A</v>
      </c>
      <c r="G54" s="126" t="e">
        <f>VLOOKUP(G$2&amp;$C54&amp;$A54,集計!$D:$R,$B54,0)</f>
        <v>#N/A</v>
      </c>
      <c r="H54" s="126" t="e">
        <f>VLOOKUP(H$2&amp;$C54&amp;$A54,集計!$D:$R,$B54,0)</f>
        <v>#N/A</v>
      </c>
      <c r="I54" s="127" t="e">
        <f>D54+E54+F54+G54+H54</f>
        <v>#N/A</v>
      </c>
      <c r="J54" s="126" t="e">
        <f>VLOOKUP(J$2&amp;$C54&amp;$A54,集計!$D:$R,$B54,0)</f>
        <v>#N/A</v>
      </c>
      <c r="K54" s="126" t="e">
        <f>VLOOKUP(K$2&amp;$C54&amp;$A54,集計!$D:$R,$B54,0)</f>
        <v>#N/A</v>
      </c>
      <c r="L54" s="126" t="e">
        <f>VLOOKUP(L$2&amp;$C54&amp;$A54,集計!$D:$R,$B54,0)</f>
        <v>#N/A</v>
      </c>
      <c r="M54" s="126" t="e">
        <f>VLOOKUP(M$2&amp;$C54&amp;$A54,集計!$D:$R,$B54,0)</f>
        <v>#N/A</v>
      </c>
      <c r="N54" s="127" t="e">
        <f>J54+K54+L54+M54</f>
        <v>#N/A</v>
      </c>
      <c r="O54" s="126" t="e">
        <f>VLOOKUP(O$2&amp;$C54&amp;$A54,集計!$D:$R,$B54,0)</f>
        <v>#N/A</v>
      </c>
      <c r="P54" s="126" t="e">
        <f>VLOOKUP(P$2&amp;$C54&amp;$A54,集計!$D:$R,$B54,0)</f>
        <v>#N/A</v>
      </c>
      <c r="Q54" s="126" t="e">
        <f>VLOOKUP(Q$2&amp;$C54&amp;$A54,集計!$D:$R,$B54,0)</f>
        <v>#N/A</v>
      </c>
      <c r="R54" s="126" t="e">
        <f>VLOOKUP(R$2&amp;$C54&amp;$A54,集計!$D:$R,$B54,0)</f>
        <v>#N/A</v>
      </c>
      <c r="S54" s="126" t="e">
        <f>VLOOKUP(S$2&amp;$C54&amp;$A54,集計!$D:$R,$B54,0)</f>
        <v>#N/A</v>
      </c>
      <c r="T54" s="127" t="e">
        <f>O54+P54+Q54+R54+S54</f>
        <v>#N/A</v>
      </c>
      <c r="U54" s="126" t="e">
        <f>VLOOKUP(U$2&amp;$C54&amp;$A54,集計!$D:$R,$B54,0)</f>
        <v>#N/A</v>
      </c>
      <c r="V54" s="126" t="e">
        <f>VLOOKUP(V$2&amp;$C54&amp;$A54,集計!$D:$R,$B54,0)</f>
        <v>#N/A</v>
      </c>
      <c r="W54" s="126" t="e">
        <f>VLOOKUP(W$2&amp;$C54&amp;$A54,集計!$D:$R,$B54,0)</f>
        <v>#N/A</v>
      </c>
      <c r="X54" s="127" t="e">
        <f>U54+V54+W54</f>
        <v>#N/A</v>
      </c>
      <c r="Y54" s="126" t="e">
        <f>VLOOKUP(Y$2&amp;$C54&amp;$A54,集計!$D:$R,$B54,0)</f>
        <v>#N/A</v>
      </c>
      <c r="Z54" s="126" t="e">
        <f>VLOOKUP(Z$2&amp;$C54&amp;$A54,集計!$D:$R,$B54,0)</f>
        <v>#N/A</v>
      </c>
      <c r="AA54" s="126" t="e">
        <f>VLOOKUP(AA$2&amp;$C54&amp;$A54,集計!$D:$R,$B54,0)</f>
        <v>#N/A</v>
      </c>
      <c r="AB54" s="127" t="e">
        <f>Y54+Z54+AA54</f>
        <v>#N/A</v>
      </c>
      <c r="AC54" s="127" t="e">
        <f>I54+N54+T54+X54+AB54</f>
        <v>#N/A</v>
      </c>
      <c r="AD54" s="126" t="e">
        <f>VLOOKUP(AD$2&amp;$C54&amp;$A54,集計!$D:$R,$B54,0)</f>
        <v>#N/A</v>
      </c>
      <c r="AE54" s="126" t="e">
        <f>VLOOKUP(AE$2&amp;$C54&amp;$A54,集計!$D:$R,$B54,0)</f>
        <v>#N/A</v>
      </c>
      <c r="AF54" s="126" t="e">
        <f>VLOOKUP(AF$2&amp;$C54&amp;$A54,集計!$D:$R,$B54,0)</f>
        <v>#N/A</v>
      </c>
      <c r="AG54" s="126" t="e">
        <f>VLOOKUP(AG$2&amp;$C54&amp;$A54,集計!$D:$R,$B54,0)</f>
        <v>#N/A</v>
      </c>
      <c r="AH54" s="127" t="e">
        <f>AD54+AE54+AF54+AG54</f>
        <v>#N/A</v>
      </c>
      <c r="AI54" s="126" t="e">
        <f>VLOOKUP(AI$2&amp;$C54&amp;$A54,集計!$D:$R,$B54,0)</f>
        <v>#N/A</v>
      </c>
      <c r="AJ54" s="126" t="e">
        <f>VLOOKUP(AJ$2&amp;$C54&amp;$A54,集計!$D:$R,$B54,0)</f>
        <v>#N/A</v>
      </c>
      <c r="AK54" s="126" t="e">
        <f>VLOOKUP(AK$2&amp;$C54&amp;$A54,集計!$D:$R,$B54,0)</f>
        <v>#N/A</v>
      </c>
      <c r="AL54" s="127" t="e">
        <f>AI54+AJ54+AK54</f>
        <v>#N/A</v>
      </c>
      <c r="AM54" s="126" t="e">
        <f>VLOOKUP(AM$2&amp;$C54&amp;$A54,集計!$D:$R,$B54,0)</f>
        <v>#N/A</v>
      </c>
      <c r="AN54" s="126" t="e">
        <f>VLOOKUP(AN$2&amp;$C54&amp;$A54,集計!$D:$R,$B54,0)</f>
        <v>#N/A</v>
      </c>
      <c r="AO54" s="127" t="e">
        <f>AM54+AN54</f>
        <v>#N/A</v>
      </c>
      <c r="AP54" s="126" t="e">
        <f>VLOOKUP(AP$2&amp;$C54&amp;$A54,集計!$D:$R,$B54,0)</f>
        <v>#N/A</v>
      </c>
      <c r="AQ54" s="126" t="e">
        <f>VLOOKUP(AQ$2&amp;$C54&amp;$A54,集計!$D:$R,$B54,0)</f>
        <v>#N/A</v>
      </c>
      <c r="AR54" s="126" t="e">
        <f>VLOOKUP(AR$2&amp;$C54&amp;$A54,集計!$D:$R,$B54,0)</f>
        <v>#N/A</v>
      </c>
      <c r="AS54" s="127" t="e">
        <f>AP54+AQ54+AR54</f>
        <v>#N/A</v>
      </c>
      <c r="AT54" s="127" t="e">
        <f>AH54+AL54+AO54+AS54</f>
        <v>#N/A</v>
      </c>
      <c r="AU54" s="126" t="e">
        <f>VLOOKUP(AU$2&amp;$C54&amp;$A54,集計!$D:$R,$B54,0)</f>
        <v>#N/A</v>
      </c>
      <c r="AV54" s="126" t="e">
        <f>VLOOKUP(AV$2&amp;$C54&amp;$A54,集計!$D:$R,$B54,0)</f>
        <v>#N/A</v>
      </c>
      <c r="AW54" s="126" t="e">
        <f>VLOOKUP(AW$2&amp;$C54&amp;$A54,集計!$D:$R,$B54,0)</f>
        <v>#N/A</v>
      </c>
      <c r="AX54" s="126" t="e">
        <f>VLOOKUP(AX$2&amp;$C54&amp;$A54,集計!$D:$R,$B54,0)</f>
        <v>#N/A</v>
      </c>
      <c r="AY54" s="126" t="e">
        <f>VLOOKUP(AY$2&amp;$C54&amp;$A54,集計!$D:$R,$B54,0)</f>
        <v>#N/A</v>
      </c>
      <c r="AZ54" s="127" t="e">
        <f>AU54+AV54+AW54+AX54+AY54</f>
        <v>#N/A</v>
      </c>
      <c r="BA54" s="127" t="e">
        <f>AZ54</f>
        <v>#N/A</v>
      </c>
      <c r="BB54" s="126" t="e">
        <f>VLOOKUP(BB$2&amp;$C54&amp;$A54,集計!$D:$R,$B54,0)</f>
        <v>#N/A</v>
      </c>
      <c r="BC54" s="126" t="e">
        <f>VLOOKUP(BC$2&amp;$C54&amp;$A54,集計!$D:$R,$B54,0)</f>
        <v>#N/A</v>
      </c>
      <c r="BD54" s="127" t="e">
        <f>BB54+BC54</f>
        <v>#N/A</v>
      </c>
      <c r="BE54" s="126" t="e">
        <f>VLOOKUP(BE$2&amp;$C54&amp;$A54,集計!$D:$R,$B54,0)</f>
        <v>#N/A</v>
      </c>
      <c r="BF54" s="126" t="e">
        <f>VLOOKUP(BF$2&amp;$C54&amp;$A54,集計!$D:$R,$B54,0)</f>
        <v>#N/A</v>
      </c>
      <c r="BG54" s="126" t="e">
        <f>VLOOKUP(BG$2&amp;$C54&amp;$A54,集計!$D:$R,$B54,0)</f>
        <v>#N/A</v>
      </c>
      <c r="BH54" s="126" t="e">
        <f>VLOOKUP(BH$2&amp;$C54&amp;$A54,集計!$D:$R,$B54,0)</f>
        <v>#N/A</v>
      </c>
      <c r="BI54" s="126" t="e">
        <f>VLOOKUP(BI$2&amp;$C54&amp;$A54,集計!$D:$R,$B54,0)</f>
        <v>#N/A</v>
      </c>
      <c r="BJ54" s="127" t="e">
        <f>BE54+BF54+BG54+BH54+BI54</f>
        <v>#N/A</v>
      </c>
      <c r="BK54" s="126" t="e">
        <f>VLOOKUP(BK$2&amp;$C54&amp;$A54,集計!$D:$R,$B54,0)</f>
        <v>#N/A</v>
      </c>
      <c r="BL54" s="126" t="e">
        <f>VLOOKUP(BL$2&amp;$C54&amp;$A54,集計!$D:$R,$B54,0)</f>
        <v>#N/A</v>
      </c>
      <c r="BM54" s="126" t="e">
        <f>VLOOKUP(BM$2&amp;$C54&amp;$A54,集計!$D:$R,$B54,0)</f>
        <v>#N/A</v>
      </c>
      <c r="BN54" s="126" t="e">
        <f>VLOOKUP(BN$2&amp;$C54&amp;$A54,集計!$D:$R,$B54,0)</f>
        <v>#N/A</v>
      </c>
      <c r="BO54" s="126" t="e">
        <f>VLOOKUP(BO$2&amp;$C54&amp;$A54,集計!$D:$R,$B54,0)</f>
        <v>#N/A</v>
      </c>
      <c r="BP54" s="126" t="e">
        <f>VLOOKUP(BP$2&amp;$C54&amp;$A54,集計!$D:$R,$B54,0)</f>
        <v>#N/A</v>
      </c>
      <c r="BQ54" s="127" t="e">
        <f>BK54+BL54+BM54+BN54+BO54+BP54</f>
        <v>#N/A</v>
      </c>
      <c r="BR54" s="126" t="e">
        <f>VLOOKUP(BR$2&amp;$C54&amp;$A54,集計!$D:$R,$B54,0)</f>
        <v>#N/A</v>
      </c>
      <c r="BS54" s="126" t="e">
        <f>VLOOKUP(BS$2&amp;$C54&amp;$A54,集計!$D:$R,$B54,0)</f>
        <v>#N/A</v>
      </c>
      <c r="BT54" s="126" t="e">
        <f>VLOOKUP(BT$2&amp;$C54&amp;$A54,集計!$D:$R,$B54,0)</f>
        <v>#N/A</v>
      </c>
      <c r="BU54" s="127" t="e">
        <f>BR54+BS54+BT54</f>
        <v>#N/A</v>
      </c>
      <c r="BV54" s="126" t="e">
        <f>VLOOKUP(BV$2&amp;$C54&amp;$A54,集計!$D:$R,$B54,0)</f>
        <v>#N/A</v>
      </c>
      <c r="BW54" s="127" t="e">
        <f>BV54</f>
        <v>#N/A</v>
      </c>
      <c r="BX54" s="127" t="e">
        <f>AC54+AT54+BA54+BD54+BJ54+BQ54+BU54+BW54</f>
        <v>#N/A</v>
      </c>
    </row>
    <row r="55" spans="1:76" s="124" customFormat="1">
      <c r="A55" s="120" t="s">
        <v>40</v>
      </c>
      <c r="B55" s="150">
        <v>11</v>
      </c>
      <c r="C55" s="128" t="s">
        <v>107</v>
      </c>
      <c r="D55" s="129" t="e">
        <f>VLOOKUP(D$2&amp;$C55&amp;$A55,集計!$D:$R,$B55,0)</f>
        <v>#N/A</v>
      </c>
      <c r="E55" s="129" t="e">
        <f>VLOOKUP(E$2&amp;$C55&amp;$A55,集計!$D:$R,$B55,0)</f>
        <v>#N/A</v>
      </c>
      <c r="F55" s="129" t="e">
        <f>VLOOKUP(F$2&amp;$C55&amp;$A55,集計!$D:$R,$B55,0)</f>
        <v>#N/A</v>
      </c>
      <c r="G55" s="129" t="e">
        <f>VLOOKUP(G$2&amp;$C55&amp;$A55,集計!$D:$R,$B55,0)</f>
        <v>#N/A</v>
      </c>
      <c r="H55" s="129" t="e">
        <f>VLOOKUP(H$2&amp;$C55&amp;$A55,集計!$D:$R,$B55,0)</f>
        <v>#N/A</v>
      </c>
      <c r="I55" s="130" t="e">
        <f>D55+E55+F55+G55+H55</f>
        <v>#N/A</v>
      </c>
      <c r="J55" s="129" t="e">
        <f>VLOOKUP(J$2&amp;$C55&amp;$A55,集計!$D:$R,$B55,0)</f>
        <v>#N/A</v>
      </c>
      <c r="K55" s="129" t="e">
        <f>VLOOKUP(K$2&amp;$C55&amp;$A55,集計!$D:$R,$B55,0)</f>
        <v>#N/A</v>
      </c>
      <c r="L55" s="129" t="e">
        <f>VLOOKUP(L$2&amp;$C55&amp;$A55,集計!$D:$R,$B55,0)</f>
        <v>#N/A</v>
      </c>
      <c r="M55" s="129" t="e">
        <f>VLOOKUP(M$2&amp;$C55&amp;$A55,集計!$D:$R,$B55,0)</f>
        <v>#N/A</v>
      </c>
      <c r="N55" s="130" t="e">
        <f>J55+K55+L55+M55</f>
        <v>#N/A</v>
      </c>
      <c r="O55" s="129" t="e">
        <f>VLOOKUP(O$2&amp;$C55&amp;$A55,集計!$D:$R,$B55,0)</f>
        <v>#N/A</v>
      </c>
      <c r="P55" s="129" t="e">
        <f>VLOOKUP(P$2&amp;$C55&amp;$A55,集計!$D:$R,$B55,0)</f>
        <v>#N/A</v>
      </c>
      <c r="Q55" s="129" t="e">
        <f>VLOOKUP(Q$2&amp;$C55&amp;$A55,集計!$D:$R,$B55,0)</f>
        <v>#N/A</v>
      </c>
      <c r="R55" s="129" t="e">
        <f>VLOOKUP(R$2&amp;$C55&amp;$A55,集計!$D:$R,$B55,0)</f>
        <v>#N/A</v>
      </c>
      <c r="S55" s="129" t="e">
        <f>VLOOKUP(S$2&amp;$C55&amp;$A55,集計!$D:$R,$B55,0)</f>
        <v>#N/A</v>
      </c>
      <c r="T55" s="130" t="e">
        <f>O55+P55+Q55+R55+S55</f>
        <v>#N/A</v>
      </c>
      <c r="U55" s="129" t="e">
        <f>VLOOKUP(U$2&amp;$C55&amp;$A55,集計!$D:$R,$B55,0)</f>
        <v>#N/A</v>
      </c>
      <c r="V55" s="129" t="e">
        <f>VLOOKUP(V$2&amp;$C55&amp;$A55,集計!$D:$R,$B55,0)</f>
        <v>#N/A</v>
      </c>
      <c r="W55" s="129" t="e">
        <f>VLOOKUP(W$2&amp;$C55&amp;$A55,集計!$D:$R,$B55,0)</f>
        <v>#N/A</v>
      </c>
      <c r="X55" s="130" t="e">
        <f>U55+V55+W55</f>
        <v>#N/A</v>
      </c>
      <c r="Y55" s="129" t="e">
        <f>VLOOKUP(Y$2&amp;$C55&amp;$A55,集計!$D:$R,$B55,0)</f>
        <v>#N/A</v>
      </c>
      <c r="Z55" s="129" t="e">
        <f>VLOOKUP(Z$2&amp;$C55&amp;$A55,集計!$D:$R,$B55,0)</f>
        <v>#N/A</v>
      </c>
      <c r="AA55" s="129" t="e">
        <f>VLOOKUP(AA$2&amp;$C55&amp;$A55,集計!$D:$R,$B55,0)</f>
        <v>#N/A</v>
      </c>
      <c r="AB55" s="130" t="e">
        <f>Y55+Z55+AA55</f>
        <v>#N/A</v>
      </c>
      <c r="AC55" s="130" t="e">
        <f>I55+N55+T55+X55+AB55</f>
        <v>#N/A</v>
      </c>
      <c r="AD55" s="129" t="e">
        <f>VLOOKUP(AD$2&amp;$C55&amp;$A55,集計!$D:$R,$B55,0)</f>
        <v>#N/A</v>
      </c>
      <c r="AE55" s="129" t="e">
        <f>VLOOKUP(AE$2&amp;$C55&amp;$A55,集計!$D:$R,$B55,0)</f>
        <v>#N/A</v>
      </c>
      <c r="AF55" s="129" t="e">
        <f>VLOOKUP(AF$2&amp;$C55&amp;$A55,集計!$D:$R,$B55,0)</f>
        <v>#N/A</v>
      </c>
      <c r="AG55" s="129" t="e">
        <f>VLOOKUP(AG$2&amp;$C55&amp;$A55,集計!$D:$R,$B55,0)</f>
        <v>#N/A</v>
      </c>
      <c r="AH55" s="130" t="e">
        <f>AD55+AE55+AF55+AG55</f>
        <v>#N/A</v>
      </c>
      <c r="AI55" s="129" t="e">
        <f>VLOOKUP(AI$2&amp;$C55&amp;$A55,集計!$D:$R,$B55,0)</f>
        <v>#N/A</v>
      </c>
      <c r="AJ55" s="129" t="e">
        <f>VLOOKUP(AJ$2&amp;$C55&amp;$A55,集計!$D:$R,$B55,0)</f>
        <v>#N/A</v>
      </c>
      <c r="AK55" s="129" t="e">
        <f>VLOOKUP(AK$2&amp;$C55&amp;$A55,集計!$D:$R,$B55,0)</f>
        <v>#N/A</v>
      </c>
      <c r="AL55" s="130" t="e">
        <f>AI55+AJ55+AK55</f>
        <v>#N/A</v>
      </c>
      <c r="AM55" s="129" t="e">
        <f>VLOOKUP(AM$2&amp;$C55&amp;$A55,集計!$D:$R,$B55,0)</f>
        <v>#N/A</v>
      </c>
      <c r="AN55" s="129" t="e">
        <f>VLOOKUP(AN$2&amp;$C55&amp;$A55,集計!$D:$R,$B55,0)</f>
        <v>#N/A</v>
      </c>
      <c r="AO55" s="130" t="e">
        <f>AM55+AN55</f>
        <v>#N/A</v>
      </c>
      <c r="AP55" s="129" t="e">
        <f>VLOOKUP(AP$2&amp;$C55&amp;$A55,集計!$D:$R,$B55,0)</f>
        <v>#N/A</v>
      </c>
      <c r="AQ55" s="129" t="e">
        <f>VLOOKUP(AQ$2&amp;$C55&amp;$A55,集計!$D:$R,$B55,0)</f>
        <v>#N/A</v>
      </c>
      <c r="AR55" s="129" t="e">
        <f>VLOOKUP(AR$2&amp;$C55&amp;$A55,集計!$D:$R,$B55,0)</f>
        <v>#N/A</v>
      </c>
      <c r="AS55" s="130" t="e">
        <f>AP55+AQ55+AR55</f>
        <v>#N/A</v>
      </c>
      <c r="AT55" s="130" t="e">
        <f>AH55+AL55+AO55+AS55</f>
        <v>#N/A</v>
      </c>
      <c r="AU55" s="129" t="e">
        <f>VLOOKUP(AU$2&amp;$C55&amp;$A55,集計!$D:$R,$B55,0)</f>
        <v>#N/A</v>
      </c>
      <c r="AV55" s="129" t="e">
        <f>VLOOKUP(AV$2&amp;$C55&amp;$A55,集計!$D:$R,$B55,0)</f>
        <v>#N/A</v>
      </c>
      <c r="AW55" s="129" t="e">
        <f>VLOOKUP(AW$2&amp;$C55&amp;$A55,集計!$D:$R,$B55,0)</f>
        <v>#N/A</v>
      </c>
      <c r="AX55" s="129" t="e">
        <f>VLOOKUP(AX$2&amp;$C55&amp;$A55,集計!$D:$R,$B55,0)</f>
        <v>#N/A</v>
      </c>
      <c r="AY55" s="129" t="e">
        <f>VLOOKUP(AY$2&amp;$C55&amp;$A55,集計!$D:$R,$B55,0)</f>
        <v>#N/A</v>
      </c>
      <c r="AZ55" s="130" t="e">
        <f>AU55+AV55+AW55+AX55+AY55</f>
        <v>#N/A</v>
      </c>
      <c r="BA55" s="130" t="e">
        <f>AZ55</f>
        <v>#N/A</v>
      </c>
      <c r="BB55" s="129" t="e">
        <f>VLOOKUP(BB$2&amp;$C55&amp;$A55,集計!$D:$R,$B55,0)</f>
        <v>#N/A</v>
      </c>
      <c r="BC55" s="129" t="e">
        <f>VLOOKUP(BC$2&amp;$C55&amp;$A55,集計!$D:$R,$B55,0)</f>
        <v>#N/A</v>
      </c>
      <c r="BD55" s="130" t="e">
        <f>BB55+BC55</f>
        <v>#N/A</v>
      </c>
      <c r="BE55" s="129" t="e">
        <f>VLOOKUP(BE$2&amp;$C55&amp;$A55,集計!$D:$R,$B55,0)</f>
        <v>#N/A</v>
      </c>
      <c r="BF55" s="129" t="e">
        <f>VLOOKUP(BF$2&amp;$C55&amp;$A55,集計!$D:$R,$B55,0)</f>
        <v>#N/A</v>
      </c>
      <c r="BG55" s="129" t="e">
        <f>VLOOKUP(BG$2&amp;$C55&amp;$A55,集計!$D:$R,$B55,0)</f>
        <v>#N/A</v>
      </c>
      <c r="BH55" s="129" t="e">
        <f>VLOOKUP(BH$2&amp;$C55&amp;$A55,集計!$D:$R,$B55,0)</f>
        <v>#N/A</v>
      </c>
      <c r="BI55" s="129" t="e">
        <f>VLOOKUP(BI$2&amp;$C55&amp;$A55,集計!$D:$R,$B55,0)</f>
        <v>#N/A</v>
      </c>
      <c r="BJ55" s="130" t="e">
        <f>BE55+BF55+BG55+BH55+BI55</f>
        <v>#N/A</v>
      </c>
      <c r="BK55" s="129" t="e">
        <f>VLOOKUP(BK$2&amp;$C55&amp;$A55,集計!$D:$R,$B55,0)</f>
        <v>#N/A</v>
      </c>
      <c r="BL55" s="129" t="e">
        <f>VLOOKUP(BL$2&amp;$C55&amp;$A55,集計!$D:$R,$B55,0)</f>
        <v>#N/A</v>
      </c>
      <c r="BM55" s="129" t="e">
        <f>VLOOKUP(BM$2&amp;$C55&amp;$A55,集計!$D:$R,$B55,0)</f>
        <v>#N/A</v>
      </c>
      <c r="BN55" s="129" t="e">
        <f>VLOOKUP(BN$2&amp;$C55&amp;$A55,集計!$D:$R,$B55,0)</f>
        <v>#N/A</v>
      </c>
      <c r="BO55" s="129" t="e">
        <f>VLOOKUP(BO$2&amp;$C55&amp;$A55,集計!$D:$R,$B55,0)</f>
        <v>#N/A</v>
      </c>
      <c r="BP55" s="129" t="e">
        <f>VLOOKUP(BP$2&amp;$C55&amp;$A55,集計!$D:$R,$B55,0)</f>
        <v>#N/A</v>
      </c>
      <c r="BQ55" s="130" t="e">
        <f>BK55+BL55+BM55+BN55+BO55+BP55</f>
        <v>#N/A</v>
      </c>
      <c r="BR55" s="129" t="e">
        <f>VLOOKUP(BR$2&amp;$C55&amp;$A55,集計!$D:$R,$B55,0)</f>
        <v>#N/A</v>
      </c>
      <c r="BS55" s="129" t="e">
        <f>VLOOKUP(BS$2&amp;$C55&amp;$A55,集計!$D:$R,$B55,0)</f>
        <v>#N/A</v>
      </c>
      <c r="BT55" s="129" t="e">
        <f>VLOOKUP(BT$2&amp;$C55&amp;$A55,集計!$D:$R,$B55,0)</f>
        <v>#N/A</v>
      </c>
      <c r="BU55" s="130" t="e">
        <f>BR55+BS55+BT55</f>
        <v>#N/A</v>
      </c>
      <c r="BV55" s="129" t="e">
        <f>VLOOKUP(BV$2&amp;$C55&amp;$A55,集計!$D:$R,$B55,0)</f>
        <v>#N/A</v>
      </c>
      <c r="BW55" s="130" t="e">
        <f>BV55</f>
        <v>#N/A</v>
      </c>
      <c r="BX55" s="130" t="e">
        <f>AC55+AT55+BA55+BD55+BJ55+BQ55+BU55+BW55</f>
        <v>#N/A</v>
      </c>
    </row>
    <row r="56" spans="1:76" s="124" customFormat="1">
      <c r="A56" s="120" t="s">
        <v>40</v>
      </c>
      <c r="B56" s="150">
        <v>11</v>
      </c>
      <c r="C56" s="131" t="s">
        <v>26</v>
      </c>
      <c r="D56" s="132" t="e">
        <f>IF(VLOOKUP(D$2&amp;$C56&amp;$A56,集計!$D:$R,$B56,0)&lt;&gt;SUM(D54:D55),"NG",SUM(D54:D55))</f>
        <v>#N/A</v>
      </c>
      <c r="E56" s="132" t="e">
        <f>IF(VLOOKUP(E$2&amp;$C56&amp;$A56,集計!$D:$R,$B56,0)&lt;&gt;SUM(E54:E55),"NG",SUM(E54:E55))</f>
        <v>#N/A</v>
      </c>
      <c r="F56" s="132" t="e">
        <f>IF(VLOOKUP(F$2&amp;$C56&amp;$A56,集計!$D:$R,$B56,0)&lt;&gt;SUM(F54:F55),"NG",SUM(F54:F55))</f>
        <v>#N/A</v>
      </c>
      <c r="G56" s="132" t="e">
        <f>IF(VLOOKUP(G$2&amp;$C56&amp;$A56,集計!$D:$R,$B56,0)&lt;&gt;SUM(G54:G55),"NG",SUM(G54:G55))</f>
        <v>#N/A</v>
      </c>
      <c r="H56" s="132" t="e">
        <f>IF(VLOOKUP(H$2&amp;$C56&amp;$A56,集計!$D:$R,$B56,0)&lt;&gt;SUM(H54:H55),"NG",SUM(H54:H55))</f>
        <v>#N/A</v>
      </c>
      <c r="I56" s="133" t="e">
        <f>I54+I55</f>
        <v>#N/A</v>
      </c>
      <c r="J56" s="132" t="e">
        <f>IF(VLOOKUP(J$2&amp;$C56&amp;$A56,集計!$D:$R,$B56,0)&lt;&gt;SUM(J54:J55),"NG",SUM(J54:J55))</f>
        <v>#N/A</v>
      </c>
      <c r="K56" s="132" t="e">
        <f>IF(VLOOKUP(K$2&amp;$C56&amp;$A56,集計!$D:$R,$B56,0)&lt;&gt;SUM(K54:K55),"NG",SUM(K54:K55))</f>
        <v>#N/A</v>
      </c>
      <c r="L56" s="132" t="e">
        <f>IF(VLOOKUP(L$2&amp;$C56&amp;$A56,集計!$D:$R,$B56,0)&lt;&gt;SUM(L54:L55),"NG",SUM(L54:L55))</f>
        <v>#N/A</v>
      </c>
      <c r="M56" s="132" t="e">
        <f>IF(VLOOKUP(M$2&amp;$C56&amp;$A56,集計!$D:$R,$B56,0)&lt;&gt;SUM(M54:M55),"NG",SUM(M54:M55))</f>
        <v>#N/A</v>
      </c>
      <c r="N56" s="133" t="e">
        <f>N54+N55</f>
        <v>#N/A</v>
      </c>
      <c r="O56" s="132" t="e">
        <f>IF(VLOOKUP(O$2&amp;$C56&amp;$A56,集計!$D:$R,$B56,0)&lt;&gt;SUM(O54:O55),"NG",SUM(O54:O55))</f>
        <v>#N/A</v>
      </c>
      <c r="P56" s="132" t="e">
        <f>IF(VLOOKUP(P$2&amp;$C56&amp;$A56,集計!$D:$R,$B56,0)&lt;&gt;SUM(P54:P55),"NG",SUM(P54:P55))</f>
        <v>#N/A</v>
      </c>
      <c r="Q56" s="132" t="e">
        <f>IF(VLOOKUP(Q$2&amp;$C56&amp;$A56,集計!$D:$R,$B56,0)&lt;&gt;SUM(Q54:Q55),"NG",SUM(Q54:Q55))</f>
        <v>#N/A</v>
      </c>
      <c r="R56" s="132" t="e">
        <f>IF(VLOOKUP(R$2&amp;$C56&amp;$A56,集計!$D:$R,$B56,0)&lt;&gt;SUM(R54:R55),"NG",SUM(R54:R55))</f>
        <v>#N/A</v>
      </c>
      <c r="S56" s="132" t="e">
        <f>IF(VLOOKUP(S$2&amp;$C56&amp;$A56,集計!$D:$R,$B56,0)&lt;&gt;SUM(S54:S55),"NG",SUM(S54:S55))</f>
        <v>#N/A</v>
      </c>
      <c r="T56" s="133" t="e">
        <f>T54+T55</f>
        <v>#N/A</v>
      </c>
      <c r="U56" s="132" t="e">
        <f>IF(VLOOKUP(U$2&amp;$C56&amp;$A56,集計!$D:$R,$B56,0)&lt;&gt;SUM(U54:U55),"NG",SUM(U54:U55))</f>
        <v>#N/A</v>
      </c>
      <c r="V56" s="132" t="e">
        <f>IF(VLOOKUP(V$2&amp;$C56&amp;$A56,集計!$D:$R,$B56,0)&lt;&gt;SUM(V54:V55),"NG",SUM(V54:V55))</f>
        <v>#N/A</v>
      </c>
      <c r="W56" s="132" t="e">
        <f>IF(VLOOKUP(W$2&amp;$C56&amp;$A56,集計!$D:$R,$B56,0)&lt;&gt;SUM(W54:W55),"NG",SUM(W54:W55))</f>
        <v>#N/A</v>
      </c>
      <c r="X56" s="133" t="e">
        <f>SUM(X54:X55)</f>
        <v>#N/A</v>
      </c>
      <c r="Y56" s="132" t="e">
        <f>IF(VLOOKUP(Y$2&amp;$C56&amp;$A56,集計!$D:$R,$B56,0)&lt;&gt;SUM(Y54:Y55),"NG",SUM(Y54:Y55))</f>
        <v>#N/A</v>
      </c>
      <c r="Z56" s="132" t="e">
        <f>IF(VLOOKUP(Z$2&amp;$C56&amp;$A56,集計!$D:$R,$B56,0)&lt;&gt;SUM(Z54:Z55),"NG",SUM(Z54:Z55))</f>
        <v>#N/A</v>
      </c>
      <c r="AA56" s="132" t="e">
        <f>IF(VLOOKUP(AA$2&amp;$C56&amp;$A56,集計!$D:$R,$B56,0)&lt;&gt;SUM(AA54:AA55),"NG",SUM(AA54:AA55))</f>
        <v>#N/A</v>
      </c>
      <c r="AB56" s="133" t="e">
        <f>SUM(AB54:AB55)</f>
        <v>#N/A</v>
      </c>
      <c r="AC56" s="133" t="e">
        <f>SUM(AC54:AC55)</f>
        <v>#N/A</v>
      </c>
      <c r="AD56" s="132" t="e">
        <f>IF(VLOOKUP(AD$2&amp;$C56&amp;$A56,集計!$D:$R,$B56,0)&lt;&gt;SUM(AD54:AD55),"NG",SUM(AD54:AD55))</f>
        <v>#N/A</v>
      </c>
      <c r="AE56" s="132" t="e">
        <f>IF(VLOOKUP(AE$2&amp;$C56&amp;$A56,集計!$D:$R,$B56,0)&lt;&gt;SUM(AE54:AE55),"NG",SUM(AE54:AE55))</f>
        <v>#N/A</v>
      </c>
      <c r="AF56" s="132" t="e">
        <f>IF(VLOOKUP(AF$2&amp;$C56&amp;$A56,集計!$D:$R,$B56,0)&lt;&gt;SUM(AF54:AF55),"NG",SUM(AF54:AF55))</f>
        <v>#N/A</v>
      </c>
      <c r="AG56" s="132" t="e">
        <f>IF(VLOOKUP(AG$2&amp;$C56&amp;$A56,集計!$D:$R,$B56,0)&lt;&gt;SUM(AG54:AG55),"NG",SUM(AG54:AG55))</f>
        <v>#N/A</v>
      </c>
      <c r="AH56" s="133" t="e">
        <f>SUM(AH54:AH55)</f>
        <v>#N/A</v>
      </c>
      <c r="AI56" s="132" t="e">
        <f>IF(VLOOKUP(AI$2&amp;$C56&amp;$A56,集計!$D:$R,$B56,0)&lt;&gt;SUM(AI54:AI55),"NG",SUM(AI54:AI55))</f>
        <v>#N/A</v>
      </c>
      <c r="AJ56" s="132" t="e">
        <f>IF(VLOOKUP(AJ$2&amp;$C56&amp;$A56,集計!$D:$R,$B56,0)&lt;&gt;SUM(AJ54:AJ55),"NG",SUM(AJ54:AJ55))</f>
        <v>#N/A</v>
      </c>
      <c r="AK56" s="132" t="e">
        <f>IF(VLOOKUP(AK$2&amp;$C56&amp;$A56,集計!$D:$R,$B56,0)&lt;&gt;SUM(AK54:AK55),"NG",SUM(AK54:AK55))</f>
        <v>#N/A</v>
      </c>
      <c r="AL56" s="133" t="e">
        <f>SUM(AL54:AL55)</f>
        <v>#N/A</v>
      </c>
      <c r="AM56" s="132" t="e">
        <f>IF(VLOOKUP(AM$2&amp;$C56&amp;$A56,集計!$D:$R,$B56,0)&lt;&gt;SUM(AM54:AM55),"NG",SUM(AM54:AM55))</f>
        <v>#N/A</v>
      </c>
      <c r="AN56" s="132" t="e">
        <f>IF(VLOOKUP(AN$2&amp;$C56&amp;$A56,集計!$D:$R,$B56,0)&lt;&gt;SUM(AN54:AN55),"NG",SUM(AN54:AN55))</f>
        <v>#N/A</v>
      </c>
      <c r="AO56" s="133" t="e">
        <f>SUM(AO54:AO55)</f>
        <v>#N/A</v>
      </c>
      <c r="AP56" s="132" t="e">
        <f>IF(VLOOKUP(AP$2&amp;$C56&amp;$A56,集計!$D:$R,$B56,0)&lt;&gt;SUM(AP54:AP55),"NG",SUM(AP54:AP55))</f>
        <v>#N/A</v>
      </c>
      <c r="AQ56" s="132" t="e">
        <f>IF(VLOOKUP(AQ$2&amp;$C56&amp;$A56,集計!$D:$R,$B56,0)&lt;&gt;SUM(AQ54:AQ55),"NG",SUM(AQ54:AQ55))</f>
        <v>#N/A</v>
      </c>
      <c r="AR56" s="132" t="e">
        <f>IF(VLOOKUP(AR$2&amp;$C56&amp;$A56,集計!$D:$R,$B56,0)&lt;&gt;SUM(AR54:AR55),"NG",SUM(AR54:AR55))</f>
        <v>#N/A</v>
      </c>
      <c r="AS56" s="133" t="e">
        <f>SUM(AS54:AS55)</f>
        <v>#N/A</v>
      </c>
      <c r="AT56" s="133" t="e">
        <f>SUM(AT54:AT55)</f>
        <v>#N/A</v>
      </c>
      <c r="AU56" s="132" t="e">
        <f>IF(VLOOKUP(AU$2&amp;$C56&amp;$A56,集計!$D:$R,$B56,0)&lt;&gt;SUM(AU54:AU55),"NG",SUM(AU54:AU55))</f>
        <v>#N/A</v>
      </c>
      <c r="AV56" s="132" t="e">
        <f>IF(VLOOKUP(AV$2&amp;$C56&amp;$A56,集計!$D:$R,$B56,0)&lt;&gt;SUM(AV54:AV55),"NG",SUM(AV54:AV55))</f>
        <v>#N/A</v>
      </c>
      <c r="AW56" s="132" t="e">
        <f>IF(VLOOKUP(AW$2&amp;$C56&amp;$A56,集計!$D:$R,$B56,0)&lt;&gt;SUM(AW54:AW55),"NG",SUM(AW54:AW55))</f>
        <v>#N/A</v>
      </c>
      <c r="AX56" s="132" t="e">
        <f>IF(VLOOKUP(AX$2&amp;$C56&amp;$A56,集計!$D:$R,$B56,0)&lt;&gt;SUM(AX54:AX55),"NG",SUM(AX54:AX55))</f>
        <v>#N/A</v>
      </c>
      <c r="AY56" s="132" t="e">
        <f>IF(VLOOKUP(AY$2&amp;$C56&amp;$A56,集計!$D:$R,$B56,0)&lt;&gt;SUM(AY54:AY55),"NG",SUM(AY54:AY55))</f>
        <v>#N/A</v>
      </c>
      <c r="AZ56" s="133" t="e">
        <f>AZ54+AZ55</f>
        <v>#N/A</v>
      </c>
      <c r="BA56" s="133" t="e">
        <f>BA54+BA55</f>
        <v>#N/A</v>
      </c>
      <c r="BB56" s="132" t="e">
        <f>IF(VLOOKUP(BB$2&amp;$C56&amp;$A56,集計!$D:$R,$B56,0)&lt;&gt;SUM(BB54:BB55),"NG",SUM(BB54:BB55))</f>
        <v>#N/A</v>
      </c>
      <c r="BC56" s="132" t="e">
        <f>IF(VLOOKUP(BC$2&amp;$C56&amp;$A56,集計!$D:$R,$B56,0)&lt;&gt;SUM(BC54:BC55),"NG",SUM(BC54:BC55))</f>
        <v>#N/A</v>
      </c>
      <c r="BD56" s="133" t="e">
        <f>SUM(BD54:BD55)</f>
        <v>#N/A</v>
      </c>
      <c r="BE56" s="132" t="e">
        <f>IF(VLOOKUP(BE$2&amp;$C56&amp;$A56,集計!$D:$R,$B56,0)&lt;&gt;SUM(BE54:BE55),"NG",SUM(BE54:BE55))</f>
        <v>#N/A</v>
      </c>
      <c r="BF56" s="132" t="e">
        <f>IF(VLOOKUP(BF$2&amp;$C56&amp;$A56,集計!$D:$R,$B56,0)&lt;&gt;SUM(BF54:BF55),"NG",SUM(BF54:BF55))</f>
        <v>#N/A</v>
      </c>
      <c r="BG56" s="132" t="e">
        <f>IF(VLOOKUP(BG$2&amp;$C56&amp;$A56,集計!$D:$R,$B56,0)&lt;&gt;SUM(BG54:BG55),"NG",SUM(BG54:BG55))</f>
        <v>#N/A</v>
      </c>
      <c r="BH56" s="132" t="e">
        <f>IF(VLOOKUP(BH$2&amp;$C56&amp;$A56,集計!$D:$R,$B56,0)&lt;&gt;SUM(BH54:BH55),"NG",SUM(BH54:BH55))</f>
        <v>#N/A</v>
      </c>
      <c r="BI56" s="132" t="e">
        <f>IF(VLOOKUP(BI$2&amp;$C56&amp;$A56,集計!$D:$R,$B56,0)&lt;&gt;SUM(BI54:BI55),"NG",SUM(BI54:BI55))</f>
        <v>#N/A</v>
      </c>
      <c r="BJ56" s="133" t="e">
        <f>BJ54+BJ55</f>
        <v>#N/A</v>
      </c>
      <c r="BK56" s="132" t="e">
        <f>IF(VLOOKUP(BK$2&amp;$C56&amp;$A56,集計!$D:$R,$B56,0)&lt;&gt;SUM(BK54:BK55),"NG",SUM(BK54:BK55))</f>
        <v>#N/A</v>
      </c>
      <c r="BL56" s="132" t="e">
        <f>IF(VLOOKUP(BL$2&amp;$C56&amp;$A56,集計!$D:$R,$B56,0)&lt;&gt;SUM(BL54:BL55),"NG",SUM(BL54:BL55))</f>
        <v>#N/A</v>
      </c>
      <c r="BM56" s="132" t="e">
        <f>IF(VLOOKUP(BM$2&amp;$C56&amp;$A56,集計!$D:$R,$B56,0)&lt;&gt;SUM(BM54:BM55),"NG",SUM(BM54:BM55))</f>
        <v>#N/A</v>
      </c>
      <c r="BN56" s="132" t="e">
        <f>IF(VLOOKUP(BN$2&amp;$C56&amp;$A56,集計!$D:$R,$B56,0)&lt;&gt;SUM(BN54:BN55),"NG",SUM(BN54:BN55))</f>
        <v>#N/A</v>
      </c>
      <c r="BO56" s="132" t="e">
        <f>IF(VLOOKUP(BO$2&amp;$C56&amp;$A56,集計!$D:$R,$B56,0)&lt;&gt;SUM(BO54:BO55),"NG",SUM(BO54:BO55))</f>
        <v>#N/A</v>
      </c>
      <c r="BP56" s="132" t="e">
        <f>IF(VLOOKUP(BP$2&amp;$C56&amp;$A56,集計!$D:$R,$B56,0)&lt;&gt;SUM(BP54:BP55),"NG",SUM(BP54:BP55))</f>
        <v>#N/A</v>
      </c>
      <c r="BQ56" s="133" t="e">
        <f>BQ54+BQ55</f>
        <v>#N/A</v>
      </c>
      <c r="BR56" s="132" t="e">
        <f>IF(VLOOKUP(BR$2&amp;$C56&amp;$A56,集計!$D:$R,$B56,0)&lt;&gt;SUM(BR54:BR55),"NG",SUM(BR54:BR55))</f>
        <v>#N/A</v>
      </c>
      <c r="BS56" s="132" t="e">
        <f>IF(VLOOKUP(BS$2&amp;$C56&amp;$A56,集計!$D:$R,$B56,0)&lt;&gt;SUM(BS54:BS55),"NG",SUM(BS54:BS55))</f>
        <v>#N/A</v>
      </c>
      <c r="BT56" s="132" t="e">
        <f>IF(VLOOKUP(BT$2&amp;$C56&amp;$A56,集計!$D:$R,$B56,0)&lt;&gt;SUM(BT54:BT55),"NG",SUM(BT54:BT55))</f>
        <v>#N/A</v>
      </c>
      <c r="BU56" s="133" t="e">
        <f>BU54+BU55</f>
        <v>#N/A</v>
      </c>
      <c r="BV56" s="132" t="e">
        <f>IF(VLOOKUP(BV$2&amp;$C56&amp;$A56,集計!$D:$R,$B56,0)&lt;&gt;SUM(BV54:BV55),"NG",SUM(BV54:BV55))</f>
        <v>#N/A</v>
      </c>
      <c r="BW56" s="133" t="e">
        <f>SUM(BW54:BW55)</f>
        <v>#N/A</v>
      </c>
      <c r="BX56" s="133" t="e">
        <f>SUM(BX54:BX55)</f>
        <v>#N/A</v>
      </c>
    </row>
    <row r="57" spans="1:76" s="124" customFormat="1" ht="15" thickBot="1">
      <c r="A57" s="120" t="s">
        <v>40</v>
      </c>
      <c r="B57" s="150">
        <v>11</v>
      </c>
      <c r="C57" s="135" t="s">
        <v>27</v>
      </c>
      <c r="D57" s="136" t="e">
        <f>IF(VLOOKUP(D$2&amp;$C57&amp;$A57,集計!$D:$R,$B57,0)&lt;&gt;SUM(D53,D56),"NG",SUM(D53,D56))</f>
        <v>#N/A</v>
      </c>
      <c r="E57" s="136" t="e">
        <f>IF(VLOOKUP(E$2&amp;$C57&amp;$A57,集計!$D:$R,$B57,0)&lt;&gt;SUM(E53,E56),"NG",SUM(E53,E56))</f>
        <v>#N/A</v>
      </c>
      <c r="F57" s="136" t="e">
        <f>IF(VLOOKUP(F$2&amp;$C57&amp;$A57,集計!$D:$R,$B57,0)&lt;&gt;SUM(F53,F56),"NG",SUM(F53,F56))</f>
        <v>#N/A</v>
      </c>
      <c r="G57" s="136" t="e">
        <f>IF(VLOOKUP(G$2&amp;$C57&amp;$A57,集計!$D:$R,$B57,0)&lt;&gt;SUM(G53,G56),"NG",SUM(G53,G56))</f>
        <v>#N/A</v>
      </c>
      <c r="H57" s="136" t="e">
        <f>IF(VLOOKUP(H$2&amp;$C57&amp;$A57,集計!$D:$R,$B57,0)&lt;&gt;SUM(H53,H56),"NG",SUM(H53,H56))</f>
        <v>#N/A</v>
      </c>
      <c r="I57" s="137" t="e">
        <f>I53+I56</f>
        <v>#N/A</v>
      </c>
      <c r="J57" s="136" t="e">
        <f>IF(VLOOKUP(J$2&amp;$C57&amp;$A57,集計!$D:$R,$B57,0)&lt;&gt;SUM(J53,J56),"NG",SUM(J53,J56))</f>
        <v>#N/A</v>
      </c>
      <c r="K57" s="136" t="e">
        <f>IF(VLOOKUP(K$2&amp;$C57&amp;$A57,集計!$D:$R,$B57,0)&lt;&gt;SUM(K53,K56),"NG",SUM(K53,K56))</f>
        <v>#N/A</v>
      </c>
      <c r="L57" s="136" t="e">
        <f>IF(VLOOKUP(L$2&amp;$C57&amp;$A57,集計!$D:$R,$B57,0)&lt;&gt;SUM(L53,L56),"NG",SUM(L53,L56))</f>
        <v>#N/A</v>
      </c>
      <c r="M57" s="136" t="e">
        <f>IF(VLOOKUP(M$2&amp;$C57&amp;$A57,集計!$D:$R,$B57,0)&lt;&gt;SUM(M53,M56),"NG",SUM(M53,M56))</f>
        <v>#N/A</v>
      </c>
      <c r="N57" s="137" t="e">
        <f>N53+N56</f>
        <v>#N/A</v>
      </c>
      <c r="O57" s="136" t="e">
        <f>IF(VLOOKUP(O$2&amp;$C57&amp;$A57,集計!$D:$R,$B57,0)&lt;&gt;SUM(O53,O56),"NG",SUM(O53,O56))</f>
        <v>#N/A</v>
      </c>
      <c r="P57" s="136" t="e">
        <f>IF(VLOOKUP(P$2&amp;$C57&amp;$A57,集計!$D:$R,$B57,0)&lt;&gt;SUM(P53,P56),"NG",SUM(P53,P56))</f>
        <v>#N/A</v>
      </c>
      <c r="Q57" s="136" t="e">
        <f>IF(VLOOKUP(Q$2&amp;$C57&amp;$A57,集計!$D:$R,$B57,0)&lt;&gt;SUM(Q53,Q56),"NG",SUM(Q53,Q56))</f>
        <v>#N/A</v>
      </c>
      <c r="R57" s="136" t="e">
        <f>IF(VLOOKUP(R$2&amp;$C57&amp;$A57,集計!$D:$R,$B57,0)&lt;&gt;SUM(R53,R56),"NG",SUM(R53,R56))</f>
        <v>#N/A</v>
      </c>
      <c r="S57" s="136" t="e">
        <f>IF(VLOOKUP(S$2&amp;$C57&amp;$A57,集計!$D:$R,$B57,0)&lt;&gt;SUM(S53,S56),"NG",SUM(S53,S56))</f>
        <v>#N/A</v>
      </c>
      <c r="T57" s="137" t="e">
        <f>T53+T56</f>
        <v>#N/A</v>
      </c>
      <c r="U57" s="136" t="e">
        <f>IF(VLOOKUP(U$2&amp;$C57&amp;$A57,集計!$D:$R,$B57,0)&lt;&gt;SUM(U53,U56),"NG",SUM(U53,U56))</f>
        <v>#N/A</v>
      </c>
      <c r="V57" s="136" t="e">
        <f>IF(VLOOKUP(V$2&amp;$C57&amp;$A57,集計!$D:$R,$B57,0)&lt;&gt;SUM(V53,V56),"NG",SUM(V53,V56))</f>
        <v>#N/A</v>
      </c>
      <c r="W57" s="136" t="e">
        <f>IF(VLOOKUP(W$2&amp;$C57&amp;$A57,集計!$D:$R,$B57,0)&lt;&gt;SUM(W53,W56),"NG",SUM(W53,W56))</f>
        <v>#N/A</v>
      </c>
      <c r="X57" s="137" t="e">
        <f>X53+X56</f>
        <v>#N/A</v>
      </c>
      <c r="Y57" s="136" t="e">
        <f>IF(VLOOKUP(Y$2&amp;$C57&amp;$A57,集計!$D:$R,$B57,0)&lt;&gt;SUM(Y53,Y56),"NG",SUM(Y53,Y56))</f>
        <v>#N/A</v>
      </c>
      <c r="Z57" s="136" t="e">
        <f>IF(VLOOKUP(Z$2&amp;$C57&amp;$A57,集計!$D:$R,$B57,0)&lt;&gt;SUM(Z53,Z56),"NG",SUM(Z53,Z56))</f>
        <v>#N/A</v>
      </c>
      <c r="AA57" s="136" t="e">
        <f>IF(VLOOKUP(AA$2&amp;$C57&amp;$A57,集計!$D:$R,$B57,0)&lt;&gt;SUM(AA53,AA56),"NG",SUM(AA53,AA56))</f>
        <v>#N/A</v>
      </c>
      <c r="AB57" s="137" t="e">
        <f>AB53+AB56</f>
        <v>#N/A</v>
      </c>
      <c r="AC57" s="137" t="e">
        <f>AC53+AC56</f>
        <v>#N/A</v>
      </c>
      <c r="AD57" s="136" t="e">
        <f>IF(VLOOKUP(AD$2&amp;$C57&amp;$A57,集計!$D:$R,$B57,0)&lt;&gt;SUM(AD53,AD56),"NG",SUM(AD53,AD56))</f>
        <v>#N/A</v>
      </c>
      <c r="AE57" s="136" t="e">
        <f>IF(VLOOKUP(AE$2&amp;$C57&amp;$A57,集計!$D:$R,$B57,0)&lt;&gt;SUM(AE53,AE56),"NG",SUM(AE53,AE56))</f>
        <v>#N/A</v>
      </c>
      <c r="AF57" s="136" t="e">
        <f>IF(VLOOKUP(AF$2&amp;$C57&amp;$A57,集計!$D:$R,$B57,0)&lt;&gt;SUM(AF53,AF56),"NG",SUM(AF53,AF56))</f>
        <v>#N/A</v>
      </c>
      <c r="AG57" s="136" t="e">
        <f>IF(VLOOKUP(AG$2&amp;$C57&amp;$A57,集計!$D:$R,$B57,0)&lt;&gt;SUM(AG53,AG56),"NG",SUM(AG53,AG56))</f>
        <v>#N/A</v>
      </c>
      <c r="AH57" s="137" t="e">
        <f>AH53+AH56</f>
        <v>#N/A</v>
      </c>
      <c r="AI57" s="136" t="e">
        <f>IF(VLOOKUP(AI$2&amp;$C57&amp;$A57,集計!$D:$R,$B57,0)&lt;&gt;SUM(AI53,AI56),"NG",SUM(AI53,AI56))</f>
        <v>#N/A</v>
      </c>
      <c r="AJ57" s="136" t="e">
        <f>IF(VLOOKUP(AJ$2&amp;$C57&amp;$A57,集計!$D:$R,$B57,0)&lt;&gt;SUM(AJ53,AJ56),"NG",SUM(AJ53,AJ56))</f>
        <v>#N/A</v>
      </c>
      <c r="AK57" s="136" t="e">
        <f>IF(VLOOKUP(AK$2&amp;$C57&amp;$A57,集計!$D:$R,$B57,0)&lt;&gt;SUM(AK53,AK56),"NG",SUM(AK53,AK56))</f>
        <v>#N/A</v>
      </c>
      <c r="AL57" s="137" t="e">
        <f>AL53+AL56</f>
        <v>#N/A</v>
      </c>
      <c r="AM57" s="136" t="e">
        <f>IF(VLOOKUP(AM$2&amp;$C57&amp;$A57,集計!$D:$R,$B57,0)&lt;&gt;SUM(AM53,AM56),"NG",SUM(AM53,AM56))</f>
        <v>#N/A</v>
      </c>
      <c r="AN57" s="136" t="e">
        <f>IF(VLOOKUP(AN$2&amp;$C57&amp;$A57,集計!$D:$R,$B57,0)&lt;&gt;SUM(AN53,AN56),"NG",SUM(AN53,AN56))</f>
        <v>#N/A</v>
      </c>
      <c r="AO57" s="137" t="e">
        <f>AO53+AO56</f>
        <v>#N/A</v>
      </c>
      <c r="AP57" s="136" t="e">
        <f>IF(VLOOKUP(AP$2&amp;$C57&amp;$A57,集計!$D:$R,$B57,0)&lt;&gt;SUM(AP53,AP56),"NG",SUM(AP53,AP56))</f>
        <v>#N/A</v>
      </c>
      <c r="AQ57" s="136" t="e">
        <f>IF(VLOOKUP(AQ$2&amp;$C57&amp;$A57,集計!$D:$R,$B57,0)&lt;&gt;SUM(AQ53,AQ56),"NG",SUM(AQ53,AQ56))</f>
        <v>#N/A</v>
      </c>
      <c r="AR57" s="136" t="e">
        <f>IF(VLOOKUP(AR$2&amp;$C57&amp;$A57,集計!$D:$R,$B57,0)&lt;&gt;SUM(AR53,AR56),"NG",SUM(AR53,AR56))</f>
        <v>#N/A</v>
      </c>
      <c r="AS57" s="137" t="e">
        <f>AS53+AS56</f>
        <v>#N/A</v>
      </c>
      <c r="AT57" s="137" t="e">
        <f>AT53+AT56</f>
        <v>#N/A</v>
      </c>
      <c r="AU57" s="136" t="e">
        <f>IF(VLOOKUP(AU$2&amp;$C57&amp;$A57,集計!$D:$R,$B57,0)&lt;&gt;SUM(AU53,AU56),"NG",SUM(AU53,AU56))</f>
        <v>#N/A</v>
      </c>
      <c r="AV57" s="136" t="e">
        <f>IF(VLOOKUP(AV$2&amp;$C57&amp;$A57,集計!$D:$R,$B57,0)&lt;&gt;SUM(AV53,AV56),"NG",SUM(AV53,AV56))</f>
        <v>#N/A</v>
      </c>
      <c r="AW57" s="136" t="e">
        <f>IF(VLOOKUP(AW$2&amp;$C57&amp;$A57,集計!$D:$R,$B57,0)&lt;&gt;SUM(AW53,AW56),"NG",SUM(AW53,AW56))</f>
        <v>#N/A</v>
      </c>
      <c r="AX57" s="136" t="e">
        <f>IF(VLOOKUP(AX$2&amp;$C57&amp;$A57,集計!$D:$R,$B57,0)&lt;&gt;SUM(AX53,AX56),"NG",SUM(AX53,AX56))</f>
        <v>#N/A</v>
      </c>
      <c r="AY57" s="136" t="e">
        <f>IF(VLOOKUP(AY$2&amp;$C57&amp;$A57,集計!$D:$R,$B57,0)&lt;&gt;SUM(AY53,AY56),"NG",SUM(AY53,AY56))</f>
        <v>#N/A</v>
      </c>
      <c r="AZ57" s="137" t="e">
        <f>AZ53+AZ56</f>
        <v>#N/A</v>
      </c>
      <c r="BA57" s="137" t="e">
        <f>BA53+BA56</f>
        <v>#N/A</v>
      </c>
      <c r="BB57" s="136" t="e">
        <f>IF(VLOOKUP(BB$2&amp;$C57&amp;$A57,集計!$D:$R,$B57,0)&lt;&gt;SUM(BB53,BB56),"NG",SUM(BB53,BB56))</f>
        <v>#N/A</v>
      </c>
      <c r="BC57" s="136" t="e">
        <f>IF(VLOOKUP(BC$2&amp;$C57&amp;$A57,集計!$D:$R,$B57,0)&lt;&gt;SUM(BC53,BC56),"NG",SUM(BC53,BC56))</f>
        <v>#N/A</v>
      </c>
      <c r="BD57" s="137" t="e">
        <f>BD53+BD56</f>
        <v>#N/A</v>
      </c>
      <c r="BE57" s="136" t="e">
        <f>IF(VLOOKUP(BE$2&amp;$C57&amp;$A57,集計!$D:$R,$B57,0)&lt;&gt;SUM(BE53,BE56),"NG",SUM(BE53,BE56))</f>
        <v>#N/A</v>
      </c>
      <c r="BF57" s="136" t="e">
        <f>IF(VLOOKUP(BF$2&amp;$C57&amp;$A57,集計!$D:$R,$B57,0)&lt;&gt;SUM(BF53,BF56),"NG",SUM(BF53,BF56))</f>
        <v>#N/A</v>
      </c>
      <c r="BG57" s="136" t="e">
        <f>IF(VLOOKUP(BG$2&amp;$C57&amp;$A57,集計!$D:$R,$B57,0)&lt;&gt;SUM(BG53,BG56),"NG",SUM(BG53,BG56))</f>
        <v>#N/A</v>
      </c>
      <c r="BH57" s="136" t="e">
        <f>IF(VLOOKUP(BH$2&amp;$C57&amp;$A57,集計!$D:$R,$B57,0)&lt;&gt;SUM(BH53,BH56),"NG",SUM(BH53,BH56))</f>
        <v>#N/A</v>
      </c>
      <c r="BI57" s="136" t="e">
        <f>IF(VLOOKUP(BI$2&amp;$C57&amp;$A57,集計!$D:$R,$B57,0)&lt;&gt;SUM(BI53,BI56),"NG",SUM(BI53,BI56))</f>
        <v>#N/A</v>
      </c>
      <c r="BJ57" s="137" t="e">
        <f>BJ53+BJ56</f>
        <v>#N/A</v>
      </c>
      <c r="BK57" s="136" t="e">
        <f>IF(VLOOKUP(BK$2&amp;$C57&amp;$A57,集計!$D:$R,$B57,0)&lt;&gt;SUM(BK53,BK56),"NG",SUM(BK53,BK56))</f>
        <v>#N/A</v>
      </c>
      <c r="BL57" s="136" t="e">
        <f>IF(VLOOKUP(BL$2&amp;$C57&amp;$A57,集計!$D:$R,$B57,0)&lt;&gt;SUM(BL53,BL56),"NG",SUM(BL53,BL56))</f>
        <v>#N/A</v>
      </c>
      <c r="BM57" s="136" t="e">
        <f>IF(VLOOKUP(BM$2&amp;$C57&amp;$A57,集計!$D:$R,$B57,0)&lt;&gt;SUM(BM53,BM56),"NG",SUM(BM53,BM56))</f>
        <v>#N/A</v>
      </c>
      <c r="BN57" s="136" t="e">
        <f>IF(VLOOKUP(BN$2&amp;$C57&amp;$A57,集計!$D:$R,$B57,0)&lt;&gt;SUM(BN53,BN56),"NG",SUM(BN53,BN56))</f>
        <v>#N/A</v>
      </c>
      <c r="BO57" s="136" t="e">
        <f>IF(VLOOKUP(BO$2&amp;$C57&amp;$A57,集計!$D:$R,$B57,0)&lt;&gt;SUM(BO53,BO56),"NG",SUM(BO53,BO56))</f>
        <v>#N/A</v>
      </c>
      <c r="BP57" s="136" t="e">
        <f>IF(VLOOKUP(BP$2&amp;$C57&amp;$A57,集計!$D:$R,$B57,0)&lt;&gt;SUM(BP53,BP56),"NG",SUM(BP53,BP56))</f>
        <v>#N/A</v>
      </c>
      <c r="BQ57" s="137" t="e">
        <f>BQ53+BQ56</f>
        <v>#N/A</v>
      </c>
      <c r="BR57" s="136" t="e">
        <f>IF(VLOOKUP(BR$2&amp;$C57&amp;$A57,集計!$D:$R,$B57,0)&lt;&gt;SUM(BR53,BR56),"NG",SUM(BR53,BR56))</f>
        <v>#N/A</v>
      </c>
      <c r="BS57" s="136" t="e">
        <f>IF(VLOOKUP(BS$2&amp;$C57&amp;$A57,集計!$D:$R,$B57,0)&lt;&gt;SUM(BS53,BS56),"NG",SUM(BS53,BS56))</f>
        <v>#N/A</v>
      </c>
      <c r="BT57" s="136" t="e">
        <f>IF(VLOOKUP(BT$2&amp;$C57&amp;$A57,集計!$D:$R,$B57,0)&lt;&gt;SUM(BT53,BT56),"NG",SUM(BT53,BT56))</f>
        <v>#N/A</v>
      </c>
      <c r="BU57" s="137" t="e">
        <f>BU53+BU56</f>
        <v>#N/A</v>
      </c>
      <c r="BV57" s="136" t="e">
        <f>IF(VLOOKUP(BV$2&amp;$C57&amp;$A57,集計!$D:$R,$B57,0)&lt;&gt;SUM(BV53,BV56),"NG",SUM(BV53,BV56))</f>
        <v>#N/A</v>
      </c>
      <c r="BW57" s="137" t="e">
        <f>BW53+BW56</f>
        <v>#N/A</v>
      </c>
      <c r="BX57" s="137" t="e">
        <f>BX53+BX56</f>
        <v>#N/A</v>
      </c>
    </row>
    <row r="58" spans="1:76" s="124" customFormat="1">
      <c r="A58" s="134"/>
      <c r="B58" s="151"/>
      <c r="C58" s="142"/>
      <c r="D58" s="143"/>
      <c r="E58" s="143"/>
      <c r="F58" s="143"/>
      <c r="G58" s="143"/>
      <c r="H58" s="143"/>
      <c r="I58" s="144"/>
      <c r="J58" s="143"/>
      <c r="K58" s="143"/>
      <c r="L58" s="143"/>
      <c r="M58" s="143"/>
      <c r="N58" s="144"/>
      <c r="O58" s="143"/>
      <c r="P58" s="143"/>
      <c r="Q58" s="143"/>
      <c r="R58" s="143"/>
      <c r="S58" s="143"/>
      <c r="T58" s="144"/>
      <c r="U58" s="143"/>
      <c r="V58" s="143"/>
      <c r="W58" s="143"/>
      <c r="X58" s="144"/>
      <c r="Y58" s="143"/>
      <c r="Z58" s="143"/>
      <c r="AA58" s="143"/>
      <c r="AB58" s="144"/>
      <c r="AC58" s="144"/>
      <c r="AD58" s="143"/>
      <c r="AE58" s="143"/>
      <c r="AF58" s="143"/>
      <c r="AG58" s="143"/>
      <c r="AH58" s="144"/>
      <c r="AI58" s="143"/>
      <c r="AJ58" s="143"/>
      <c r="AK58" s="143"/>
      <c r="AL58" s="144"/>
      <c r="AM58" s="143"/>
      <c r="AN58" s="143"/>
      <c r="AO58" s="144"/>
      <c r="AP58" s="143"/>
      <c r="AQ58" s="143"/>
      <c r="AR58" s="143"/>
      <c r="AS58" s="144"/>
      <c r="AT58" s="144"/>
      <c r="AU58" s="143"/>
      <c r="AV58" s="143"/>
      <c r="AW58" s="143"/>
      <c r="AX58" s="143"/>
      <c r="AY58" s="143"/>
      <c r="AZ58" s="144"/>
      <c r="BA58" s="144"/>
      <c r="BB58" s="143"/>
      <c r="BC58" s="143"/>
      <c r="BD58" s="144"/>
      <c r="BE58" s="143"/>
      <c r="BF58" s="143"/>
      <c r="BG58" s="143"/>
      <c r="BH58" s="143"/>
      <c r="BI58" s="143"/>
      <c r="BJ58" s="144"/>
      <c r="BK58" s="143"/>
      <c r="BL58" s="143"/>
      <c r="BM58" s="143"/>
      <c r="BN58" s="143"/>
      <c r="BO58" s="143"/>
      <c r="BP58" s="143"/>
      <c r="BQ58" s="144"/>
      <c r="BR58" s="143"/>
      <c r="BS58" s="143"/>
      <c r="BT58" s="143"/>
      <c r="BU58" s="144"/>
      <c r="BV58" s="143"/>
      <c r="BW58" s="144"/>
      <c r="BX58" s="144"/>
    </row>
    <row r="59" spans="1:76" s="124" customFormat="1" ht="21.5" thickBot="1">
      <c r="A59" s="134"/>
      <c r="B59" s="96">
        <v>12</v>
      </c>
      <c r="C59" s="138" t="s">
        <v>40</v>
      </c>
      <c r="D59" s="145"/>
      <c r="E59" s="145"/>
      <c r="F59" s="145"/>
      <c r="G59" s="145"/>
      <c r="H59" s="145"/>
      <c r="I59" s="146"/>
      <c r="J59" s="145"/>
      <c r="K59" s="145"/>
      <c r="L59" s="145"/>
      <c r="M59" s="145"/>
      <c r="N59" s="146"/>
      <c r="O59" s="145"/>
      <c r="P59" s="145"/>
      <c r="Q59" s="145"/>
      <c r="R59" s="145"/>
      <c r="S59" s="145"/>
      <c r="T59" s="146"/>
      <c r="U59" s="145"/>
      <c r="V59" s="145"/>
      <c r="W59" s="145"/>
      <c r="X59" s="146"/>
      <c r="Y59" s="145"/>
      <c r="Z59" s="145"/>
      <c r="AA59" s="145"/>
      <c r="AB59" s="146"/>
      <c r="AC59" s="146"/>
      <c r="AD59" s="145"/>
      <c r="AE59" s="145"/>
      <c r="AF59" s="145"/>
      <c r="AG59" s="145"/>
      <c r="AH59" s="146"/>
      <c r="AI59" s="145"/>
      <c r="AJ59" s="145"/>
      <c r="AK59" s="145"/>
      <c r="AL59" s="146"/>
      <c r="AM59" s="145"/>
      <c r="AN59" s="145"/>
      <c r="AO59" s="146"/>
      <c r="AP59" s="145"/>
      <c r="AQ59" s="145"/>
      <c r="AR59" s="145"/>
      <c r="AS59" s="146"/>
      <c r="AT59" s="146"/>
      <c r="AU59" s="145"/>
      <c r="AV59" s="145"/>
      <c r="AW59" s="145"/>
      <c r="AX59" s="145"/>
      <c r="AY59" s="145"/>
      <c r="AZ59" s="146"/>
      <c r="BA59" s="146"/>
      <c r="BB59" s="145"/>
      <c r="BC59" s="145"/>
      <c r="BD59" s="146"/>
      <c r="BE59" s="145"/>
      <c r="BF59" s="145"/>
      <c r="BG59" s="145"/>
      <c r="BH59" s="145"/>
      <c r="BI59" s="145"/>
      <c r="BJ59" s="146"/>
      <c r="BK59" s="145"/>
      <c r="BL59" s="145"/>
      <c r="BM59" s="145"/>
      <c r="BN59" s="145"/>
      <c r="BO59" s="145"/>
      <c r="BP59" s="145"/>
      <c r="BQ59" s="146"/>
      <c r="BR59" s="145"/>
      <c r="BS59" s="145"/>
      <c r="BT59" s="145"/>
      <c r="BU59" s="146"/>
      <c r="BV59" s="145"/>
      <c r="BW59" s="146"/>
      <c r="BX59" s="147"/>
    </row>
    <row r="60" spans="1:76" s="124" customFormat="1" ht="21" customHeight="1">
      <c r="A60" s="120" t="s">
        <v>40</v>
      </c>
      <c r="B60" s="150">
        <v>12</v>
      </c>
      <c r="C60" s="121" t="s">
        <v>25</v>
      </c>
      <c r="D60" s="122" t="e">
        <f>VLOOKUP(D$2&amp;$C60&amp;$A60,集計!$D:$R,$B60,0)</f>
        <v>#N/A</v>
      </c>
      <c r="E60" s="122" t="e">
        <f>VLOOKUP(E$2&amp;$C60&amp;$A60,集計!$D:$R,$B60,0)</f>
        <v>#N/A</v>
      </c>
      <c r="F60" s="122" t="e">
        <f>VLOOKUP(F$2&amp;$C60&amp;$A60,集計!$D:$R,$B60,0)</f>
        <v>#N/A</v>
      </c>
      <c r="G60" s="122" t="e">
        <f>VLOOKUP(G$2&amp;$C60&amp;$A60,集計!$D:$R,$B60,0)</f>
        <v>#N/A</v>
      </c>
      <c r="H60" s="122" t="e">
        <f>VLOOKUP(H$2&amp;$C60&amp;$A60,集計!$D:$R,$B60,0)</f>
        <v>#N/A</v>
      </c>
      <c r="I60" s="123" t="e">
        <f>D60+E60+F60+G60+H60</f>
        <v>#N/A</v>
      </c>
      <c r="J60" s="122" t="e">
        <f>VLOOKUP(J$2&amp;$C60&amp;$A60,集計!$D:$R,$B60,0)</f>
        <v>#N/A</v>
      </c>
      <c r="K60" s="122" t="e">
        <f>VLOOKUP(K$2&amp;$C60&amp;$A60,集計!$D:$R,$B60,0)</f>
        <v>#N/A</v>
      </c>
      <c r="L60" s="122" t="e">
        <f>VLOOKUP(L$2&amp;$C60&amp;$A60,集計!$D:$R,$B60,0)</f>
        <v>#N/A</v>
      </c>
      <c r="M60" s="122" t="e">
        <f>VLOOKUP(M$2&amp;$C60&amp;$A60,集計!$D:$R,$B60,0)</f>
        <v>#N/A</v>
      </c>
      <c r="N60" s="123" t="e">
        <f>J60+K60+L60+M60</f>
        <v>#N/A</v>
      </c>
      <c r="O60" s="122" t="e">
        <f>VLOOKUP(O$2&amp;$C60&amp;$A60,集計!$D:$R,$B60,0)</f>
        <v>#N/A</v>
      </c>
      <c r="P60" s="122" t="e">
        <f>VLOOKUP(P$2&amp;$C60&amp;$A60,集計!$D:$R,$B60,0)</f>
        <v>#N/A</v>
      </c>
      <c r="Q60" s="122" t="e">
        <f>VLOOKUP(Q$2&amp;$C60&amp;$A60,集計!$D:$R,$B60,0)</f>
        <v>#N/A</v>
      </c>
      <c r="R60" s="122" t="e">
        <f>VLOOKUP(R$2&amp;$C60&amp;$A60,集計!$D:$R,$B60,0)</f>
        <v>#N/A</v>
      </c>
      <c r="S60" s="122" t="e">
        <f>VLOOKUP(S$2&amp;$C60&amp;$A60,集計!$D:$R,$B60,0)</f>
        <v>#N/A</v>
      </c>
      <c r="T60" s="123" t="e">
        <f>O60+P60+Q60+R60+S60</f>
        <v>#N/A</v>
      </c>
      <c r="U60" s="122" t="e">
        <f>VLOOKUP(U$2&amp;$C60&amp;$A60,集計!$D:$R,$B60,0)</f>
        <v>#N/A</v>
      </c>
      <c r="V60" s="122" t="e">
        <f>VLOOKUP(V$2&amp;$C60&amp;$A60,集計!$D:$R,$B60,0)</f>
        <v>#N/A</v>
      </c>
      <c r="W60" s="122" t="e">
        <f>VLOOKUP(W$2&amp;$C60&amp;$A60,集計!$D:$R,$B60,0)</f>
        <v>#N/A</v>
      </c>
      <c r="X60" s="123" t="e">
        <f>U60+V60+W60</f>
        <v>#N/A</v>
      </c>
      <c r="Y60" s="122" t="e">
        <f>VLOOKUP(Y$2&amp;$C60&amp;$A60,集計!$D:$R,$B60,0)</f>
        <v>#N/A</v>
      </c>
      <c r="Z60" s="122" t="e">
        <f>VLOOKUP(Z$2&amp;$C60&amp;$A60,集計!$D:$R,$B60,0)</f>
        <v>#N/A</v>
      </c>
      <c r="AA60" s="122" t="e">
        <f>VLOOKUP(AA$2&amp;$C60&amp;$A60,集計!$D:$R,$B60,0)</f>
        <v>#N/A</v>
      </c>
      <c r="AB60" s="123" t="e">
        <f>Y60+Z60+AA60</f>
        <v>#N/A</v>
      </c>
      <c r="AC60" s="123" t="e">
        <f>I60+N60+T60+X60+AB60</f>
        <v>#N/A</v>
      </c>
      <c r="AD60" s="122" t="e">
        <f>VLOOKUP(AD$2&amp;$C60&amp;$A60,集計!$D:$R,$B60,0)</f>
        <v>#N/A</v>
      </c>
      <c r="AE60" s="122" t="e">
        <f>VLOOKUP(AE$2&amp;$C60&amp;$A60,集計!$D:$R,$B60,0)</f>
        <v>#N/A</v>
      </c>
      <c r="AF60" s="122" t="e">
        <f>VLOOKUP(AF$2&amp;$C60&amp;$A60,集計!$D:$R,$B60,0)</f>
        <v>#N/A</v>
      </c>
      <c r="AG60" s="122" t="e">
        <f>VLOOKUP(AG$2&amp;$C60&amp;$A60,集計!$D:$R,$B60,0)</f>
        <v>#N/A</v>
      </c>
      <c r="AH60" s="123" t="e">
        <f>AD60+AE60+AF60+AG60</f>
        <v>#N/A</v>
      </c>
      <c r="AI60" s="122" t="e">
        <f>VLOOKUP(AI$2&amp;$C60&amp;$A60,集計!$D:$R,$B60,0)</f>
        <v>#N/A</v>
      </c>
      <c r="AJ60" s="122" t="e">
        <f>VLOOKUP(AJ$2&amp;$C60&amp;$A60,集計!$D:$R,$B60,0)</f>
        <v>#N/A</v>
      </c>
      <c r="AK60" s="122" t="e">
        <f>VLOOKUP(AK$2&amp;$C60&amp;$A60,集計!$D:$R,$B60,0)</f>
        <v>#N/A</v>
      </c>
      <c r="AL60" s="123" t="e">
        <f>AI60+AJ60+AK60</f>
        <v>#N/A</v>
      </c>
      <c r="AM60" s="122" t="e">
        <f>VLOOKUP(AM$2&amp;$C60&amp;$A60,集計!$D:$R,$B60,0)</f>
        <v>#N/A</v>
      </c>
      <c r="AN60" s="122" t="e">
        <f>VLOOKUP(AN$2&amp;$C60&amp;$A60,集計!$D:$R,$B60,0)</f>
        <v>#N/A</v>
      </c>
      <c r="AO60" s="123" t="e">
        <f>AM60+AN60</f>
        <v>#N/A</v>
      </c>
      <c r="AP60" s="122" t="e">
        <f>VLOOKUP(AP$2&amp;$C60&amp;$A60,集計!$D:$R,$B60,0)</f>
        <v>#N/A</v>
      </c>
      <c r="AQ60" s="122" t="e">
        <f>VLOOKUP(AQ$2&amp;$C60&amp;$A60,集計!$D:$R,$B60,0)</f>
        <v>#N/A</v>
      </c>
      <c r="AR60" s="122" t="e">
        <f>VLOOKUP(AR$2&amp;$C60&amp;$A60,集計!$D:$R,$B60,0)</f>
        <v>#N/A</v>
      </c>
      <c r="AS60" s="123" t="e">
        <f>AP60+AQ60+AR60</f>
        <v>#N/A</v>
      </c>
      <c r="AT60" s="123" t="e">
        <f>AH60+AL60+AO60+AS60</f>
        <v>#N/A</v>
      </c>
      <c r="AU60" s="122" t="e">
        <f>VLOOKUP(AU$2&amp;$C60&amp;$A60,集計!$D:$R,$B60,0)</f>
        <v>#N/A</v>
      </c>
      <c r="AV60" s="122" t="e">
        <f>VLOOKUP(AV$2&amp;$C60&amp;$A60,集計!$D:$R,$B60,0)</f>
        <v>#N/A</v>
      </c>
      <c r="AW60" s="122" t="e">
        <f>VLOOKUP(AW$2&amp;$C60&amp;$A60,集計!$D:$R,$B60,0)</f>
        <v>#N/A</v>
      </c>
      <c r="AX60" s="122" t="e">
        <f>VLOOKUP(AX$2&amp;$C60&amp;$A60,集計!$D:$R,$B60,0)</f>
        <v>#N/A</v>
      </c>
      <c r="AY60" s="122" t="e">
        <f>VLOOKUP(AY$2&amp;$C60&amp;$A60,集計!$D:$R,$B60,0)</f>
        <v>#N/A</v>
      </c>
      <c r="AZ60" s="123" t="e">
        <f>AU60+AV60+AW60+AX60+AY60</f>
        <v>#N/A</v>
      </c>
      <c r="BA60" s="123" t="e">
        <f>AZ60</f>
        <v>#N/A</v>
      </c>
      <c r="BB60" s="122" t="e">
        <f>VLOOKUP(BB$2&amp;$C60&amp;$A60,集計!$D:$R,$B60,0)</f>
        <v>#N/A</v>
      </c>
      <c r="BC60" s="122" t="e">
        <f>VLOOKUP(BC$2&amp;$C60&amp;$A60,集計!$D:$R,$B60,0)</f>
        <v>#N/A</v>
      </c>
      <c r="BD60" s="123" t="e">
        <f>BB60+BC60</f>
        <v>#N/A</v>
      </c>
      <c r="BE60" s="122" t="e">
        <f>VLOOKUP(BE$2&amp;$C60&amp;$A60,集計!$D:$R,$B60,0)</f>
        <v>#N/A</v>
      </c>
      <c r="BF60" s="122" t="e">
        <f>VLOOKUP(BF$2&amp;$C60&amp;$A60,集計!$D:$R,$B60,0)</f>
        <v>#N/A</v>
      </c>
      <c r="BG60" s="122" t="e">
        <f>VLOOKUP(BG$2&amp;$C60&amp;$A60,集計!$D:$R,$B60,0)</f>
        <v>#N/A</v>
      </c>
      <c r="BH60" s="122" t="e">
        <f>VLOOKUP(BH$2&amp;$C60&amp;$A60,集計!$D:$R,$B60,0)</f>
        <v>#N/A</v>
      </c>
      <c r="BI60" s="122" t="e">
        <f>VLOOKUP(BI$2&amp;$C60&amp;$A60,集計!$D:$R,$B60,0)</f>
        <v>#N/A</v>
      </c>
      <c r="BJ60" s="123" t="e">
        <f>BE60+BF60+BG60+BH60+BI60</f>
        <v>#N/A</v>
      </c>
      <c r="BK60" s="122" t="e">
        <f>VLOOKUP(BK$2&amp;$C60&amp;$A60,集計!$D:$R,$B60,0)</f>
        <v>#N/A</v>
      </c>
      <c r="BL60" s="122" t="e">
        <f>VLOOKUP(BL$2&amp;$C60&amp;$A60,集計!$D:$R,$B60,0)</f>
        <v>#N/A</v>
      </c>
      <c r="BM60" s="122" t="e">
        <f>VLOOKUP(BM$2&amp;$C60&amp;$A60,集計!$D:$R,$B60,0)</f>
        <v>#N/A</v>
      </c>
      <c r="BN60" s="122" t="e">
        <f>VLOOKUP(BN$2&amp;$C60&amp;$A60,集計!$D:$R,$B60,0)</f>
        <v>#N/A</v>
      </c>
      <c r="BO60" s="122" t="e">
        <f>VLOOKUP(BO$2&amp;$C60&amp;$A60,集計!$D:$R,$B60,0)</f>
        <v>#N/A</v>
      </c>
      <c r="BP60" s="122" t="e">
        <f>VLOOKUP(BP$2&amp;$C60&amp;$A60,集計!$D:$R,$B60,0)</f>
        <v>#N/A</v>
      </c>
      <c r="BQ60" s="123" t="e">
        <f>BK60+BL60+BM60+BN60+BO60+BP60</f>
        <v>#N/A</v>
      </c>
      <c r="BR60" s="122" t="e">
        <f>VLOOKUP(BR$2&amp;$C60&amp;$A60,集計!$D:$R,$B60,0)</f>
        <v>#N/A</v>
      </c>
      <c r="BS60" s="122" t="e">
        <f>VLOOKUP(BS$2&amp;$C60&amp;$A60,集計!$D:$R,$B60,0)</f>
        <v>#N/A</v>
      </c>
      <c r="BT60" s="122" t="e">
        <f>VLOOKUP(BT$2&amp;$C60&amp;$A60,集計!$D:$R,$B60,0)</f>
        <v>#N/A</v>
      </c>
      <c r="BU60" s="123" t="e">
        <f>BR60+BS60+BT60</f>
        <v>#N/A</v>
      </c>
      <c r="BV60" s="122" t="e">
        <f>VLOOKUP(BV$2&amp;$C60&amp;$A60,集計!$D:$R,$B60,0)</f>
        <v>#N/A</v>
      </c>
      <c r="BW60" s="123" t="e">
        <f>BV60</f>
        <v>#N/A</v>
      </c>
      <c r="BX60" s="123" t="e">
        <f>AC60+AT60+BA60+BD60+BJ60+BQ60+BU60+BW60</f>
        <v>#N/A</v>
      </c>
    </row>
    <row r="61" spans="1:76" s="124" customFormat="1">
      <c r="A61" s="120" t="s">
        <v>40</v>
      </c>
      <c r="B61" s="150">
        <v>12</v>
      </c>
      <c r="C61" s="125" t="s">
        <v>106</v>
      </c>
      <c r="D61" s="126" t="e">
        <f>VLOOKUP(D$2&amp;$C61&amp;$A61,集計!$D:$R,$B61,0)</f>
        <v>#N/A</v>
      </c>
      <c r="E61" s="126" t="e">
        <f>VLOOKUP(E$2&amp;$C61&amp;$A61,集計!$D:$R,$B61,0)</f>
        <v>#N/A</v>
      </c>
      <c r="F61" s="126" t="e">
        <f>VLOOKUP(F$2&amp;$C61&amp;$A61,集計!$D:$R,$B61,0)</f>
        <v>#N/A</v>
      </c>
      <c r="G61" s="126" t="e">
        <f>VLOOKUP(G$2&amp;$C61&amp;$A61,集計!$D:$R,$B61,0)</f>
        <v>#N/A</v>
      </c>
      <c r="H61" s="126" t="e">
        <f>VLOOKUP(H$2&amp;$C61&amp;$A61,集計!$D:$R,$B61,0)</f>
        <v>#N/A</v>
      </c>
      <c r="I61" s="127" t="e">
        <f>D61+E61+F61+G61+H61</f>
        <v>#N/A</v>
      </c>
      <c r="J61" s="126" t="e">
        <f>VLOOKUP(J$2&amp;$C61&amp;$A61,集計!$D:$R,$B61,0)</f>
        <v>#N/A</v>
      </c>
      <c r="K61" s="126" t="e">
        <f>VLOOKUP(K$2&amp;$C61&amp;$A61,集計!$D:$R,$B61,0)</f>
        <v>#N/A</v>
      </c>
      <c r="L61" s="126" t="e">
        <f>VLOOKUP(L$2&amp;$C61&amp;$A61,集計!$D:$R,$B61,0)</f>
        <v>#N/A</v>
      </c>
      <c r="M61" s="126" t="e">
        <f>VLOOKUP(M$2&amp;$C61&amp;$A61,集計!$D:$R,$B61,0)</f>
        <v>#N/A</v>
      </c>
      <c r="N61" s="127" t="e">
        <f>J61+K61+L61+M61</f>
        <v>#N/A</v>
      </c>
      <c r="O61" s="126" t="e">
        <f>VLOOKUP(O$2&amp;$C61&amp;$A61,集計!$D:$R,$B61,0)</f>
        <v>#N/A</v>
      </c>
      <c r="P61" s="126" t="e">
        <f>VLOOKUP(P$2&amp;$C61&amp;$A61,集計!$D:$R,$B61,0)</f>
        <v>#N/A</v>
      </c>
      <c r="Q61" s="126" t="e">
        <f>VLOOKUP(Q$2&amp;$C61&amp;$A61,集計!$D:$R,$B61,0)</f>
        <v>#N/A</v>
      </c>
      <c r="R61" s="126" t="e">
        <f>VLOOKUP(R$2&amp;$C61&amp;$A61,集計!$D:$R,$B61,0)</f>
        <v>#N/A</v>
      </c>
      <c r="S61" s="126" t="e">
        <f>VLOOKUP(S$2&amp;$C61&amp;$A61,集計!$D:$R,$B61,0)</f>
        <v>#N/A</v>
      </c>
      <c r="T61" s="127" t="e">
        <f>O61+P61+Q61+R61+S61</f>
        <v>#N/A</v>
      </c>
      <c r="U61" s="126" t="e">
        <f>VLOOKUP(U$2&amp;$C61&amp;$A61,集計!$D:$R,$B61,0)</f>
        <v>#N/A</v>
      </c>
      <c r="V61" s="126" t="e">
        <f>VLOOKUP(V$2&amp;$C61&amp;$A61,集計!$D:$R,$B61,0)</f>
        <v>#N/A</v>
      </c>
      <c r="W61" s="126" t="e">
        <f>VLOOKUP(W$2&amp;$C61&amp;$A61,集計!$D:$R,$B61,0)</f>
        <v>#N/A</v>
      </c>
      <c r="X61" s="127" t="e">
        <f>U61+V61+W61</f>
        <v>#N/A</v>
      </c>
      <c r="Y61" s="126" t="e">
        <f>VLOOKUP(Y$2&amp;$C61&amp;$A61,集計!$D:$R,$B61,0)</f>
        <v>#N/A</v>
      </c>
      <c r="Z61" s="126" t="e">
        <f>VLOOKUP(Z$2&amp;$C61&amp;$A61,集計!$D:$R,$B61,0)</f>
        <v>#N/A</v>
      </c>
      <c r="AA61" s="126" t="e">
        <f>VLOOKUP(AA$2&amp;$C61&amp;$A61,集計!$D:$R,$B61,0)</f>
        <v>#N/A</v>
      </c>
      <c r="AB61" s="127" t="e">
        <f>Y61+Z61+AA61</f>
        <v>#N/A</v>
      </c>
      <c r="AC61" s="127" t="e">
        <f>I61+N61+T61+X61+AB61</f>
        <v>#N/A</v>
      </c>
      <c r="AD61" s="126" t="e">
        <f>VLOOKUP(AD$2&amp;$C61&amp;$A61,集計!$D:$R,$B61,0)</f>
        <v>#N/A</v>
      </c>
      <c r="AE61" s="126" t="e">
        <f>VLOOKUP(AE$2&amp;$C61&amp;$A61,集計!$D:$R,$B61,0)</f>
        <v>#N/A</v>
      </c>
      <c r="AF61" s="126" t="e">
        <f>VLOOKUP(AF$2&amp;$C61&amp;$A61,集計!$D:$R,$B61,0)</f>
        <v>#N/A</v>
      </c>
      <c r="AG61" s="126" t="e">
        <f>VLOOKUP(AG$2&amp;$C61&amp;$A61,集計!$D:$R,$B61,0)</f>
        <v>#N/A</v>
      </c>
      <c r="AH61" s="127" t="e">
        <f>AD61+AE61+AF61+AG61</f>
        <v>#N/A</v>
      </c>
      <c r="AI61" s="126" t="e">
        <f>VLOOKUP(AI$2&amp;$C61&amp;$A61,集計!$D:$R,$B61,0)</f>
        <v>#N/A</v>
      </c>
      <c r="AJ61" s="126" t="e">
        <f>VLOOKUP(AJ$2&amp;$C61&amp;$A61,集計!$D:$R,$B61,0)</f>
        <v>#N/A</v>
      </c>
      <c r="AK61" s="126" t="e">
        <f>VLOOKUP(AK$2&amp;$C61&amp;$A61,集計!$D:$R,$B61,0)</f>
        <v>#N/A</v>
      </c>
      <c r="AL61" s="127" t="e">
        <f>AI61+AJ61+AK61</f>
        <v>#N/A</v>
      </c>
      <c r="AM61" s="126" t="e">
        <f>VLOOKUP(AM$2&amp;$C61&amp;$A61,集計!$D:$R,$B61,0)</f>
        <v>#N/A</v>
      </c>
      <c r="AN61" s="126" t="e">
        <f>VLOOKUP(AN$2&amp;$C61&amp;$A61,集計!$D:$R,$B61,0)</f>
        <v>#N/A</v>
      </c>
      <c r="AO61" s="127" t="e">
        <f>AM61+AN61</f>
        <v>#N/A</v>
      </c>
      <c r="AP61" s="126" t="e">
        <f>VLOOKUP(AP$2&amp;$C61&amp;$A61,集計!$D:$R,$B61,0)</f>
        <v>#N/A</v>
      </c>
      <c r="AQ61" s="126" t="e">
        <f>VLOOKUP(AQ$2&amp;$C61&amp;$A61,集計!$D:$R,$B61,0)</f>
        <v>#N/A</v>
      </c>
      <c r="AR61" s="126" t="e">
        <f>VLOOKUP(AR$2&amp;$C61&amp;$A61,集計!$D:$R,$B61,0)</f>
        <v>#N/A</v>
      </c>
      <c r="AS61" s="127" t="e">
        <f>AP61+AQ61+AR61</f>
        <v>#N/A</v>
      </c>
      <c r="AT61" s="127" t="e">
        <f>AH61+AL61+AO61+AS61</f>
        <v>#N/A</v>
      </c>
      <c r="AU61" s="126" t="e">
        <f>VLOOKUP(AU$2&amp;$C61&amp;$A61,集計!$D:$R,$B61,0)</f>
        <v>#N/A</v>
      </c>
      <c r="AV61" s="126" t="e">
        <f>VLOOKUP(AV$2&amp;$C61&amp;$A61,集計!$D:$R,$B61,0)</f>
        <v>#N/A</v>
      </c>
      <c r="AW61" s="126" t="e">
        <f>VLOOKUP(AW$2&amp;$C61&amp;$A61,集計!$D:$R,$B61,0)</f>
        <v>#N/A</v>
      </c>
      <c r="AX61" s="126" t="e">
        <f>VLOOKUP(AX$2&amp;$C61&amp;$A61,集計!$D:$R,$B61,0)</f>
        <v>#N/A</v>
      </c>
      <c r="AY61" s="126" t="e">
        <f>VLOOKUP(AY$2&amp;$C61&amp;$A61,集計!$D:$R,$B61,0)</f>
        <v>#N/A</v>
      </c>
      <c r="AZ61" s="127" t="e">
        <f>AU61+AV61+AW61+AX61+AY61</f>
        <v>#N/A</v>
      </c>
      <c r="BA61" s="127" t="e">
        <f>AZ61</f>
        <v>#N/A</v>
      </c>
      <c r="BB61" s="126" t="e">
        <f>VLOOKUP(BB$2&amp;$C61&amp;$A61,集計!$D:$R,$B61,0)</f>
        <v>#N/A</v>
      </c>
      <c r="BC61" s="126" t="e">
        <f>VLOOKUP(BC$2&amp;$C61&amp;$A61,集計!$D:$R,$B61,0)</f>
        <v>#N/A</v>
      </c>
      <c r="BD61" s="127" t="e">
        <f>BB61+BC61</f>
        <v>#N/A</v>
      </c>
      <c r="BE61" s="126" t="e">
        <f>VLOOKUP(BE$2&amp;$C61&amp;$A61,集計!$D:$R,$B61,0)</f>
        <v>#N/A</v>
      </c>
      <c r="BF61" s="126" t="e">
        <f>VLOOKUP(BF$2&amp;$C61&amp;$A61,集計!$D:$R,$B61,0)</f>
        <v>#N/A</v>
      </c>
      <c r="BG61" s="126" t="e">
        <f>VLOOKUP(BG$2&amp;$C61&amp;$A61,集計!$D:$R,$B61,0)</f>
        <v>#N/A</v>
      </c>
      <c r="BH61" s="126" t="e">
        <f>VLOOKUP(BH$2&amp;$C61&amp;$A61,集計!$D:$R,$B61,0)</f>
        <v>#N/A</v>
      </c>
      <c r="BI61" s="126" t="e">
        <f>VLOOKUP(BI$2&amp;$C61&amp;$A61,集計!$D:$R,$B61,0)</f>
        <v>#N/A</v>
      </c>
      <c r="BJ61" s="127" t="e">
        <f>BE61+BF61+BG61+BH61+BI61</f>
        <v>#N/A</v>
      </c>
      <c r="BK61" s="126" t="e">
        <f>VLOOKUP(BK$2&amp;$C61&amp;$A61,集計!$D:$R,$B61,0)</f>
        <v>#N/A</v>
      </c>
      <c r="BL61" s="126" t="e">
        <f>VLOOKUP(BL$2&amp;$C61&amp;$A61,集計!$D:$R,$B61,0)</f>
        <v>#N/A</v>
      </c>
      <c r="BM61" s="126" t="e">
        <f>VLOOKUP(BM$2&amp;$C61&amp;$A61,集計!$D:$R,$B61,0)</f>
        <v>#N/A</v>
      </c>
      <c r="BN61" s="126" t="e">
        <f>VLOOKUP(BN$2&amp;$C61&amp;$A61,集計!$D:$R,$B61,0)</f>
        <v>#N/A</v>
      </c>
      <c r="BO61" s="126" t="e">
        <f>VLOOKUP(BO$2&amp;$C61&amp;$A61,集計!$D:$R,$B61,0)</f>
        <v>#N/A</v>
      </c>
      <c r="BP61" s="126" t="e">
        <f>VLOOKUP(BP$2&amp;$C61&amp;$A61,集計!$D:$R,$B61,0)</f>
        <v>#N/A</v>
      </c>
      <c r="BQ61" s="127" t="e">
        <f>BK61+BL61+BM61+BN61+BO61+BP61</f>
        <v>#N/A</v>
      </c>
      <c r="BR61" s="126" t="e">
        <f>VLOOKUP(BR$2&amp;$C61&amp;$A61,集計!$D:$R,$B61,0)</f>
        <v>#N/A</v>
      </c>
      <c r="BS61" s="126" t="e">
        <f>VLOOKUP(BS$2&amp;$C61&amp;$A61,集計!$D:$R,$B61,0)</f>
        <v>#N/A</v>
      </c>
      <c r="BT61" s="126" t="e">
        <f>VLOOKUP(BT$2&amp;$C61&amp;$A61,集計!$D:$R,$B61,0)</f>
        <v>#N/A</v>
      </c>
      <c r="BU61" s="127" t="e">
        <f>BR61+BS61+BT61</f>
        <v>#N/A</v>
      </c>
      <c r="BV61" s="126" t="e">
        <f>VLOOKUP(BV$2&amp;$C61&amp;$A61,集計!$D:$R,$B61,0)</f>
        <v>#N/A</v>
      </c>
      <c r="BW61" s="127" t="e">
        <f>BV61</f>
        <v>#N/A</v>
      </c>
      <c r="BX61" s="127" t="e">
        <f>AC61+AT61+BA61+BD61+BJ61+BQ61+BU61+BW61</f>
        <v>#N/A</v>
      </c>
    </row>
    <row r="62" spans="1:76" s="124" customFormat="1">
      <c r="A62" s="120" t="s">
        <v>40</v>
      </c>
      <c r="B62" s="150">
        <v>12</v>
      </c>
      <c r="C62" s="128" t="s">
        <v>107</v>
      </c>
      <c r="D62" s="129" t="e">
        <f>VLOOKUP(D$2&amp;$C62&amp;$A62,集計!$D:$R,$B62,0)</f>
        <v>#N/A</v>
      </c>
      <c r="E62" s="129" t="e">
        <f>VLOOKUP(E$2&amp;$C62&amp;$A62,集計!$D:$R,$B62,0)</f>
        <v>#N/A</v>
      </c>
      <c r="F62" s="129" t="e">
        <f>VLOOKUP(F$2&amp;$C62&amp;$A62,集計!$D:$R,$B62,0)</f>
        <v>#N/A</v>
      </c>
      <c r="G62" s="129" t="e">
        <f>VLOOKUP(G$2&amp;$C62&amp;$A62,集計!$D:$R,$B62,0)</f>
        <v>#N/A</v>
      </c>
      <c r="H62" s="129" t="e">
        <f>VLOOKUP(H$2&amp;$C62&amp;$A62,集計!$D:$R,$B62,0)</f>
        <v>#N/A</v>
      </c>
      <c r="I62" s="130" t="e">
        <f>D62+E62+F62+G62+H62</f>
        <v>#N/A</v>
      </c>
      <c r="J62" s="129" t="e">
        <f>VLOOKUP(J$2&amp;$C62&amp;$A62,集計!$D:$R,$B62,0)</f>
        <v>#N/A</v>
      </c>
      <c r="K62" s="129" t="e">
        <f>VLOOKUP(K$2&amp;$C62&amp;$A62,集計!$D:$R,$B62,0)</f>
        <v>#N/A</v>
      </c>
      <c r="L62" s="129" t="e">
        <f>VLOOKUP(L$2&amp;$C62&amp;$A62,集計!$D:$R,$B62,0)</f>
        <v>#N/A</v>
      </c>
      <c r="M62" s="129" t="e">
        <f>VLOOKUP(M$2&amp;$C62&amp;$A62,集計!$D:$R,$B62,0)</f>
        <v>#N/A</v>
      </c>
      <c r="N62" s="130" t="e">
        <f>J62+K62+L62+M62</f>
        <v>#N/A</v>
      </c>
      <c r="O62" s="129" t="e">
        <f>VLOOKUP(O$2&amp;$C62&amp;$A62,集計!$D:$R,$B62,0)</f>
        <v>#N/A</v>
      </c>
      <c r="P62" s="129" t="e">
        <f>VLOOKUP(P$2&amp;$C62&amp;$A62,集計!$D:$R,$B62,0)</f>
        <v>#N/A</v>
      </c>
      <c r="Q62" s="129" t="e">
        <f>VLOOKUP(Q$2&amp;$C62&amp;$A62,集計!$D:$R,$B62,0)</f>
        <v>#N/A</v>
      </c>
      <c r="R62" s="129" t="e">
        <f>VLOOKUP(R$2&amp;$C62&amp;$A62,集計!$D:$R,$B62,0)</f>
        <v>#N/A</v>
      </c>
      <c r="S62" s="129" t="e">
        <f>VLOOKUP(S$2&amp;$C62&amp;$A62,集計!$D:$R,$B62,0)</f>
        <v>#N/A</v>
      </c>
      <c r="T62" s="130" t="e">
        <f>O62+P62+Q62+R62+S62</f>
        <v>#N/A</v>
      </c>
      <c r="U62" s="129" t="e">
        <f>VLOOKUP(U$2&amp;$C62&amp;$A62,集計!$D:$R,$B62,0)</f>
        <v>#N/A</v>
      </c>
      <c r="V62" s="129" t="e">
        <f>VLOOKUP(V$2&amp;$C62&amp;$A62,集計!$D:$R,$B62,0)</f>
        <v>#N/A</v>
      </c>
      <c r="W62" s="129" t="e">
        <f>VLOOKUP(W$2&amp;$C62&amp;$A62,集計!$D:$R,$B62,0)</f>
        <v>#N/A</v>
      </c>
      <c r="X62" s="130" t="e">
        <f>U62+V62+W62</f>
        <v>#N/A</v>
      </c>
      <c r="Y62" s="129" t="e">
        <f>VLOOKUP(Y$2&amp;$C62&amp;$A62,集計!$D:$R,$B62,0)</f>
        <v>#N/A</v>
      </c>
      <c r="Z62" s="129" t="e">
        <f>VLOOKUP(Z$2&amp;$C62&amp;$A62,集計!$D:$R,$B62,0)</f>
        <v>#N/A</v>
      </c>
      <c r="AA62" s="129" t="e">
        <f>VLOOKUP(AA$2&amp;$C62&amp;$A62,集計!$D:$R,$B62,0)</f>
        <v>#N/A</v>
      </c>
      <c r="AB62" s="130" t="e">
        <f>Y62+Z62+AA62</f>
        <v>#N/A</v>
      </c>
      <c r="AC62" s="130" t="e">
        <f>I62+N62+T62+X62+AB62</f>
        <v>#N/A</v>
      </c>
      <c r="AD62" s="129" t="e">
        <f>VLOOKUP(AD$2&amp;$C62&amp;$A62,集計!$D:$R,$B62,0)</f>
        <v>#N/A</v>
      </c>
      <c r="AE62" s="129" t="e">
        <f>VLOOKUP(AE$2&amp;$C62&amp;$A62,集計!$D:$R,$B62,0)</f>
        <v>#N/A</v>
      </c>
      <c r="AF62" s="129" t="e">
        <f>VLOOKUP(AF$2&amp;$C62&amp;$A62,集計!$D:$R,$B62,0)</f>
        <v>#N/A</v>
      </c>
      <c r="AG62" s="129" t="e">
        <f>VLOOKUP(AG$2&amp;$C62&amp;$A62,集計!$D:$R,$B62,0)</f>
        <v>#N/A</v>
      </c>
      <c r="AH62" s="130" t="e">
        <f>AD62+AE62+AF62+AG62</f>
        <v>#N/A</v>
      </c>
      <c r="AI62" s="129" t="e">
        <f>VLOOKUP(AI$2&amp;$C62&amp;$A62,集計!$D:$R,$B62,0)</f>
        <v>#N/A</v>
      </c>
      <c r="AJ62" s="129" t="e">
        <f>VLOOKUP(AJ$2&amp;$C62&amp;$A62,集計!$D:$R,$B62,0)</f>
        <v>#N/A</v>
      </c>
      <c r="AK62" s="129" t="e">
        <f>VLOOKUP(AK$2&amp;$C62&amp;$A62,集計!$D:$R,$B62,0)</f>
        <v>#N/A</v>
      </c>
      <c r="AL62" s="130" t="e">
        <f>AI62+AJ62+AK62</f>
        <v>#N/A</v>
      </c>
      <c r="AM62" s="129" t="e">
        <f>VLOOKUP(AM$2&amp;$C62&amp;$A62,集計!$D:$R,$B62,0)</f>
        <v>#N/A</v>
      </c>
      <c r="AN62" s="129" t="e">
        <f>VLOOKUP(AN$2&amp;$C62&amp;$A62,集計!$D:$R,$B62,0)</f>
        <v>#N/A</v>
      </c>
      <c r="AO62" s="130" t="e">
        <f>AM62+AN62</f>
        <v>#N/A</v>
      </c>
      <c r="AP62" s="129" t="e">
        <f>VLOOKUP(AP$2&amp;$C62&amp;$A62,集計!$D:$R,$B62,0)</f>
        <v>#N/A</v>
      </c>
      <c r="AQ62" s="129" t="e">
        <f>VLOOKUP(AQ$2&amp;$C62&amp;$A62,集計!$D:$R,$B62,0)</f>
        <v>#N/A</v>
      </c>
      <c r="AR62" s="129" t="e">
        <f>VLOOKUP(AR$2&amp;$C62&amp;$A62,集計!$D:$R,$B62,0)</f>
        <v>#N/A</v>
      </c>
      <c r="AS62" s="130" t="e">
        <f>AP62+AQ62+AR62</f>
        <v>#N/A</v>
      </c>
      <c r="AT62" s="130" t="e">
        <f>AH62+AL62+AO62+AS62</f>
        <v>#N/A</v>
      </c>
      <c r="AU62" s="129" t="e">
        <f>VLOOKUP(AU$2&amp;$C62&amp;$A62,集計!$D:$R,$B62,0)</f>
        <v>#N/A</v>
      </c>
      <c r="AV62" s="129" t="e">
        <f>VLOOKUP(AV$2&amp;$C62&amp;$A62,集計!$D:$R,$B62,0)</f>
        <v>#N/A</v>
      </c>
      <c r="AW62" s="129" t="e">
        <f>VLOOKUP(AW$2&amp;$C62&amp;$A62,集計!$D:$R,$B62,0)</f>
        <v>#N/A</v>
      </c>
      <c r="AX62" s="129" t="e">
        <f>VLOOKUP(AX$2&amp;$C62&amp;$A62,集計!$D:$R,$B62,0)</f>
        <v>#N/A</v>
      </c>
      <c r="AY62" s="129" t="e">
        <f>VLOOKUP(AY$2&amp;$C62&amp;$A62,集計!$D:$R,$B62,0)</f>
        <v>#N/A</v>
      </c>
      <c r="AZ62" s="130" t="e">
        <f>AU62+AV62+AW62+AX62+AY62</f>
        <v>#N/A</v>
      </c>
      <c r="BA62" s="130" t="e">
        <f>AZ62</f>
        <v>#N/A</v>
      </c>
      <c r="BB62" s="129" t="e">
        <f>VLOOKUP(BB$2&amp;$C62&amp;$A62,集計!$D:$R,$B62,0)</f>
        <v>#N/A</v>
      </c>
      <c r="BC62" s="129" t="e">
        <f>VLOOKUP(BC$2&amp;$C62&amp;$A62,集計!$D:$R,$B62,0)</f>
        <v>#N/A</v>
      </c>
      <c r="BD62" s="130" t="e">
        <f>BB62+BC62</f>
        <v>#N/A</v>
      </c>
      <c r="BE62" s="129" t="e">
        <f>VLOOKUP(BE$2&amp;$C62&amp;$A62,集計!$D:$R,$B62,0)</f>
        <v>#N/A</v>
      </c>
      <c r="BF62" s="129" t="e">
        <f>VLOOKUP(BF$2&amp;$C62&amp;$A62,集計!$D:$R,$B62,0)</f>
        <v>#N/A</v>
      </c>
      <c r="BG62" s="129" t="e">
        <f>VLOOKUP(BG$2&amp;$C62&amp;$A62,集計!$D:$R,$B62,0)</f>
        <v>#N/A</v>
      </c>
      <c r="BH62" s="129" t="e">
        <f>VLOOKUP(BH$2&amp;$C62&amp;$A62,集計!$D:$R,$B62,0)</f>
        <v>#N/A</v>
      </c>
      <c r="BI62" s="129" t="e">
        <f>VLOOKUP(BI$2&amp;$C62&amp;$A62,集計!$D:$R,$B62,0)</f>
        <v>#N/A</v>
      </c>
      <c r="BJ62" s="130" t="e">
        <f>BE62+BF62+BG62+BH62+BI62</f>
        <v>#N/A</v>
      </c>
      <c r="BK62" s="129" t="e">
        <f>VLOOKUP(BK$2&amp;$C62&amp;$A62,集計!$D:$R,$B62,0)</f>
        <v>#N/A</v>
      </c>
      <c r="BL62" s="129" t="e">
        <f>VLOOKUP(BL$2&amp;$C62&amp;$A62,集計!$D:$R,$B62,0)</f>
        <v>#N/A</v>
      </c>
      <c r="BM62" s="129" t="e">
        <f>VLOOKUP(BM$2&amp;$C62&amp;$A62,集計!$D:$R,$B62,0)</f>
        <v>#N/A</v>
      </c>
      <c r="BN62" s="129" t="e">
        <f>VLOOKUP(BN$2&amp;$C62&amp;$A62,集計!$D:$R,$B62,0)</f>
        <v>#N/A</v>
      </c>
      <c r="BO62" s="129" t="e">
        <f>VLOOKUP(BO$2&amp;$C62&amp;$A62,集計!$D:$R,$B62,0)</f>
        <v>#N/A</v>
      </c>
      <c r="BP62" s="129" t="e">
        <f>VLOOKUP(BP$2&amp;$C62&amp;$A62,集計!$D:$R,$B62,0)</f>
        <v>#N/A</v>
      </c>
      <c r="BQ62" s="130" t="e">
        <f>BK62+BL62+BM62+BN62+BO62+BP62</f>
        <v>#N/A</v>
      </c>
      <c r="BR62" s="129" t="e">
        <f>VLOOKUP(BR$2&amp;$C62&amp;$A62,集計!$D:$R,$B62,0)</f>
        <v>#N/A</v>
      </c>
      <c r="BS62" s="129" t="e">
        <f>VLOOKUP(BS$2&amp;$C62&amp;$A62,集計!$D:$R,$B62,0)</f>
        <v>#N/A</v>
      </c>
      <c r="BT62" s="129" t="e">
        <f>VLOOKUP(BT$2&amp;$C62&amp;$A62,集計!$D:$R,$B62,0)</f>
        <v>#N/A</v>
      </c>
      <c r="BU62" s="130" t="e">
        <f>BR62+BS62+BT62</f>
        <v>#N/A</v>
      </c>
      <c r="BV62" s="129" t="e">
        <f>VLOOKUP(BV$2&amp;$C62&amp;$A62,集計!$D:$R,$B62,0)</f>
        <v>#N/A</v>
      </c>
      <c r="BW62" s="130" t="e">
        <f>BV62</f>
        <v>#N/A</v>
      </c>
      <c r="BX62" s="130" t="e">
        <f>AC62+AT62+BA62+BD62+BJ62+BQ62+BU62+BW62</f>
        <v>#N/A</v>
      </c>
    </row>
    <row r="63" spans="1:76" s="124" customFormat="1">
      <c r="A63" s="120" t="s">
        <v>40</v>
      </c>
      <c r="B63" s="150">
        <v>12</v>
      </c>
      <c r="C63" s="131" t="s">
        <v>26</v>
      </c>
      <c r="D63" s="132" t="e">
        <f>IF(VLOOKUP(D$2&amp;$C63&amp;$A63,集計!$D:$R,$B63,0)&lt;&gt;SUM(D61:D62),"NG",SUM(D61:D62))</f>
        <v>#N/A</v>
      </c>
      <c r="E63" s="132" t="e">
        <f>IF(VLOOKUP(E$2&amp;$C63&amp;$A63,集計!$D:$R,$B63,0)&lt;&gt;SUM(E61:E62),"NG",SUM(E61:E62))</f>
        <v>#N/A</v>
      </c>
      <c r="F63" s="132" t="e">
        <f>IF(VLOOKUP(F$2&amp;$C63&amp;$A63,集計!$D:$R,$B63,0)&lt;&gt;SUM(F61:F62),"NG",SUM(F61:F62))</f>
        <v>#N/A</v>
      </c>
      <c r="G63" s="132" t="e">
        <f>IF(VLOOKUP(G$2&amp;$C63&amp;$A63,集計!$D:$R,$B63,0)&lt;&gt;SUM(G61:G62),"NG",SUM(G61:G62))</f>
        <v>#N/A</v>
      </c>
      <c r="H63" s="132" t="e">
        <f>IF(VLOOKUP(H$2&amp;$C63&amp;$A63,集計!$D:$R,$B63,0)&lt;&gt;SUM(H61:H62),"NG",SUM(H61:H62))</f>
        <v>#N/A</v>
      </c>
      <c r="I63" s="133" t="e">
        <f>I61+I62</f>
        <v>#N/A</v>
      </c>
      <c r="J63" s="132" t="e">
        <f>IF(VLOOKUP(J$2&amp;$C63&amp;$A63,集計!$D:$R,$B63,0)&lt;&gt;SUM(J61:J62),"NG",SUM(J61:J62))</f>
        <v>#N/A</v>
      </c>
      <c r="K63" s="132" t="e">
        <f>IF(VLOOKUP(K$2&amp;$C63&amp;$A63,集計!$D:$R,$B63,0)&lt;&gt;SUM(K61:K62),"NG",SUM(K61:K62))</f>
        <v>#N/A</v>
      </c>
      <c r="L63" s="132" t="e">
        <f>IF(VLOOKUP(L$2&amp;$C63&amp;$A63,集計!$D:$R,$B63,0)&lt;&gt;SUM(L61:L62),"NG",SUM(L61:L62))</f>
        <v>#N/A</v>
      </c>
      <c r="M63" s="132" t="e">
        <f>IF(VLOOKUP(M$2&amp;$C63&amp;$A63,集計!$D:$R,$B63,0)&lt;&gt;SUM(M61:M62),"NG",SUM(M61:M62))</f>
        <v>#N/A</v>
      </c>
      <c r="N63" s="133" t="e">
        <f>N61+N62</f>
        <v>#N/A</v>
      </c>
      <c r="O63" s="132" t="e">
        <f>IF(VLOOKUP(O$2&amp;$C63&amp;$A63,集計!$D:$R,$B63,0)&lt;&gt;SUM(O61:O62),"NG",SUM(O61:O62))</f>
        <v>#N/A</v>
      </c>
      <c r="P63" s="132" t="e">
        <f>IF(VLOOKUP(P$2&amp;$C63&amp;$A63,集計!$D:$R,$B63,0)&lt;&gt;SUM(P61:P62),"NG",SUM(P61:P62))</f>
        <v>#N/A</v>
      </c>
      <c r="Q63" s="132" t="e">
        <f>IF(VLOOKUP(Q$2&amp;$C63&amp;$A63,集計!$D:$R,$B63,0)&lt;&gt;SUM(Q61:Q62),"NG",SUM(Q61:Q62))</f>
        <v>#N/A</v>
      </c>
      <c r="R63" s="132" t="e">
        <f>IF(VLOOKUP(R$2&amp;$C63&amp;$A63,集計!$D:$R,$B63,0)&lt;&gt;SUM(R61:R62),"NG",SUM(R61:R62))</f>
        <v>#N/A</v>
      </c>
      <c r="S63" s="132" t="e">
        <f>IF(VLOOKUP(S$2&amp;$C63&amp;$A63,集計!$D:$R,$B63,0)&lt;&gt;SUM(S61:S62),"NG",SUM(S61:S62))</f>
        <v>#N/A</v>
      </c>
      <c r="T63" s="133" t="e">
        <f>T61+T62</f>
        <v>#N/A</v>
      </c>
      <c r="U63" s="132" t="e">
        <f>IF(VLOOKUP(U$2&amp;$C63&amp;$A63,集計!$D:$R,$B63,0)&lt;&gt;SUM(U61:U62),"NG",SUM(U61:U62))</f>
        <v>#N/A</v>
      </c>
      <c r="V63" s="132" t="e">
        <f>IF(VLOOKUP(V$2&amp;$C63&amp;$A63,集計!$D:$R,$B63,0)&lt;&gt;SUM(V61:V62),"NG",SUM(V61:V62))</f>
        <v>#N/A</v>
      </c>
      <c r="W63" s="132" t="e">
        <f>IF(VLOOKUP(W$2&amp;$C63&amp;$A63,集計!$D:$R,$B63,0)&lt;&gt;SUM(W61:W62),"NG",SUM(W61:W62))</f>
        <v>#N/A</v>
      </c>
      <c r="X63" s="133" t="e">
        <f>SUM(X61:X62)</f>
        <v>#N/A</v>
      </c>
      <c r="Y63" s="132" t="e">
        <f>IF(VLOOKUP(Y$2&amp;$C63&amp;$A63,集計!$D:$R,$B63,0)&lt;&gt;SUM(Y61:Y62),"NG",SUM(Y61:Y62))</f>
        <v>#N/A</v>
      </c>
      <c r="Z63" s="132" t="e">
        <f>IF(VLOOKUP(Z$2&amp;$C63&amp;$A63,集計!$D:$R,$B63,0)&lt;&gt;SUM(Z61:Z62),"NG",SUM(Z61:Z62))</f>
        <v>#N/A</v>
      </c>
      <c r="AA63" s="132" t="e">
        <f>IF(VLOOKUP(AA$2&amp;$C63&amp;$A63,集計!$D:$R,$B63,0)&lt;&gt;SUM(AA61:AA62),"NG",SUM(AA61:AA62))</f>
        <v>#N/A</v>
      </c>
      <c r="AB63" s="133" t="e">
        <f>SUM(AB61:AB62)</f>
        <v>#N/A</v>
      </c>
      <c r="AC63" s="133" t="e">
        <f>SUM(AC61:AC62)</f>
        <v>#N/A</v>
      </c>
      <c r="AD63" s="132" t="e">
        <f>IF(VLOOKUP(AD$2&amp;$C63&amp;$A63,集計!$D:$R,$B63,0)&lt;&gt;SUM(AD61:AD62),"NG",SUM(AD61:AD62))</f>
        <v>#N/A</v>
      </c>
      <c r="AE63" s="132" t="e">
        <f>IF(VLOOKUP(AE$2&amp;$C63&amp;$A63,集計!$D:$R,$B63,0)&lt;&gt;SUM(AE61:AE62),"NG",SUM(AE61:AE62))</f>
        <v>#N/A</v>
      </c>
      <c r="AF63" s="132" t="e">
        <f>IF(VLOOKUP(AF$2&amp;$C63&amp;$A63,集計!$D:$R,$B63,0)&lt;&gt;SUM(AF61:AF62),"NG",SUM(AF61:AF62))</f>
        <v>#N/A</v>
      </c>
      <c r="AG63" s="132" t="e">
        <f>IF(VLOOKUP(AG$2&amp;$C63&amp;$A63,集計!$D:$R,$B63,0)&lt;&gt;SUM(AG61:AG62),"NG",SUM(AG61:AG62))</f>
        <v>#N/A</v>
      </c>
      <c r="AH63" s="133" t="e">
        <f>SUM(AH61:AH62)</f>
        <v>#N/A</v>
      </c>
      <c r="AI63" s="132" t="e">
        <f>IF(VLOOKUP(AI$2&amp;$C63&amp;$A63,集計!$D:$R,$B63,0)&lt;&gt;SUM(AI61:AI62),"NG",SUM(AI61:AI62))</f>
        <v>#N/A</v>
      </c>
      <c r="AJ63" s="132" t="e">
        <f>IF(VLOOKUP(AJ$2&amp;$C63&amp;$A63,集計!$D:$R,$B63,0)&lt;&gt;SUM(AJ61:AJ62),"NG",SUM(AJ61:AJ62))</f>
        <v>#N/A</v>
      </c>
      <c r="AK63" s="132" t="e">
        <f>IF(VLOOKUP(AK$2&amp;$C63&amp;$A63,集計!$D:$R,$B63,0)&lt;&gt;SUM(AK61:AK62),"NG",SUM(AK61:AK62))</f>
        <v>#N/A</v>
      </c>
      <c r="AL63" s="133" t="e">
        <f>SUM(AL61:AL62)</f>
        <v>#N/A</v>
      </c>
      <c r="AM63" s="132" t="e">
        <f>IF(VLOOKUP(AM$2&amp;$C63&amp;$A63,集計!$D:$R,$B63,0)&lt;&gt;SUM(AM61:AM62),"NG",SUM(AM61:AM62))</f>
        <v>#N/A</v>
      </c>
      <c r="AN63" s="132" t="e">
        <f>IF(VLOOKUP(AN$2&amp;$C63&amp;$A63,集計!$D:$R,$B63,0)&lt;&gt;SUM(AN61:AN62),"NG",SUM(AN61:AN62))</f>
        <v>#N/A</v>
      </c>
      <c r="AO63" s="133" t="e">
        <f>SUM(AO61:AO62)</f>
        <v>#N/A</v>
      </c>
      <c r="AP63" s="132" t="e">
        <f>IF(VLOOKUP(AP$2&amp;$C63&amp;$A63,集計!$D:$R,$B63,0)&lt;&gt;SUM(AP61:AP62),"NG",SUM(AP61:AP62))</f>
        <v>#N/A</v>
      </c>
      <c r="AQ63" s="132" t="e">
        <f>IF(VLOOKUP(AQ$2&amp;$C63&amp;$A63,集計!$D:$R,$B63,0)&lt;&gt;SUM(AQ61:AQ62),"NG",SUM(AQ61:AQ62))</f>
        <v>#N/A</v>
      </c>
      <c r="AR63" s="132" t="e">
        <f>IF(VLOOKUP(AR$2&amp;$C63&amp;$A63,集計!$D:$R,$B63,0)&lt;&gt;SUM(AR61:AR62),"NG",SUM(AR61:AR62))</f>
        <v>#N/A</v>
      </c>
      <c r="AS63" s="133" t="e">
        <f>SUM(AS61:AS62)</f>
        <v>#N/A</v>
      </c>
      <c r="AT63" s="133" t="e">
        <f>SUM(AT61:AT62)</f>
        <v>#N/A</v>
      </c>
      <c r="AU63" s="132" t="e">
        <f>IF(VLOOKUP(AU$2&amp;$C63&amp;$A63,集計!$D:$R,$B63,0)&lt;&gt;SUM(AU61:AU62),"NG",SUM(AU61:AU62))</f>
        <v>#N/A</v>
      </c>
      <c r="AV63" s="132" t="e">
        <f>IF(VLOOKUP(AV$2&amp;$C63&amp;$A63,集計!$D:$R,$B63,0)&lt;&gt;SUM(AV61:AV62),"NG",SUM(AV61:AV62))</f>
        <v>#N/A</v>
      </c>
      <c r="AW63" s="132" t="e">
        <f>IF(VLOOKUP(AW$2&amp;$C63&amp;$A63,集計!$D:$R,$B63,0)&lt;&gt;SUM(AW61:AW62),"NG",SUM(AW61:AW62))</f>
        <v>#N/A</v>
      </c>
      <c r="AX63" s="132" t="e">
        <f>IF(VLOOKUP(AX$2&amp;$C63&amp;$A63,集計!$D:$R,$B63,0)&lt;&gt;SUM(AX61:AX62),"NG",SUM(AX61:AX62))</f>
        <v>#N/A</v>
      </c>
      <c r="AY63" s="132" t="e">
        <f>IF(VLOOKUP(AY$2&amp;$C63&amp;$A63,集計!$D:$R,$B63,0)&lt;&gt;SUM(AY61:AY62),"NG",SUM(AY61:AY62))</f>
        <v>#N/A</v>
      </c>
      <c r="AZ63" s="133" t="e">
        <f>AZ61+AZ62</f>
        <v>#N/A</v>
      </c>
      <c r="BA63" s="133" t="e">
        <f>BA61+BA62</f>
        <v>#N/A</v>
      </c>
      <c r="BB63" s="132" t="e">
        <f>IF(VLOOKUP(BB$2&amp;$C63&amp;$A63,集計!$D:$R,$B63,0)&lt;&gt;SUM(BB61:BB62),"NG",SUM(BB61:BB62))</f>
        <v>#N/A</v>
      </c>
      <c r="BC63" s="132" t="e">
        <f>IF(VLOOKUP(BC$2&amp;$C63&amp;$A63,集計!$D:$R,$B63,0)&lt;&gt;SUM(BC61:BC62),"NG",SUM(BC61:BC62))</f>
        <v>#N/A</v>
      </c>
      <c r="BD63" s="133" t="e">
        <f>SUM(BD61:BD62)</f>
        <v>#N/A</v>
      </c>
      <c r="BE63" s="132" t="e">
        <f>IF(VLOOKUP(BE$2&amp;$C63&amp;$A63,集計!$D:$R,$B63,0)&lt;&gt;SUM(BE61:BE62),"NG",SUM(BE61:BE62))</f>
        <v>#N/A</v>
      </c>
      <c r="BF63" s="132" t="e">
        <f>IF(VLOOKUP(BF$2&amp;$C63&amp;$A63,集計!$D:$R,$B63,0)&lt;&gt;SUM(BF61:BF62),"NG",SUM(BF61:BF62))</f>
        <v>#N/A</v>
      </c>
      <c r="BG63" s="132" t="e">
        <f>IF(VLOOKUP(BG$2&amp;$C63&amp;$A63,集計!$D:$R,$B63,0)&lt;&gt;SUM(BG61:BG62),"NG",SUM(BG61:BG62))</f>
        <v>#N/A</v>
      </c>
      <c r="BH63" s="132" t="e">
        <f>IF(VLOOKUP(BH$2&amp;$C63&amp;$A63,集計!$D:$R,$B63,0)&lt;&gt;SUM(BH61:BH62),"NG",SUM(BH61:BH62))</f>
        <v>#N/A</v>
      </c>
      <c r="BI63" s="132" t="e">
        <f>IF(VLOOKUP(BI$2&amp;$C63&amp;$A63,集計!$D:$R,$B63,0)&lt;&gt;SUM(BI61:BI62),"NG",SUM(BI61:BI62))</f>
        <v>#N/A</v>
      </c>
      <c r="BJ63" s="133" t="e">
        <f>BJ61+BJ62</f>
        <v>#N/A</v>
      </c>
      <c r="BK63" s="132" t="e">
        <f>IF(VLOOKUP(BK$2&amp;$C63&amp;$A63,集計!$D:$R,$B63,0)&lt;&gt;SUM(BK61:BK62),"NG",SUM(BK61:BK62))</f>
        <v>#N/A</v>
      </c>
      <c r="BL63" s="132" t="e">
        <f>IF(VLOOKUP(BL$2&amp;$C63&amp;$A63,集計!$D:$R,$B63,0)&lt;&gt;SUM(BL61:BL62),"NG",SUM(BL61:BL62))</f>
        <v>#N/A</v>
      </c>
      <c r="BM63" s="132" t="e">
        <f>IF(VLOOKUP(BM$2&amp;$C63&amp;$A63,集計!$D:$R,$B63,0)&lt;&gt;SUM(BM61:BM62),"NG",SUM(BM61:BM62))</f>
        <v>#N/A</v>
      </c>
      <c r="BN63" s="132" t="e">
        <f>IF(VLOOKUP(BN$2&amp;$C63&amp;$A63,集計!$D:$R,$B63,0)&lt;&gt;SUM(BN61:BN62),"NG",SUM(BN61:BN62))</f>
        <v>#N/A</v>
      </c>
      <c r="BO63" s="132" t="e">
        <f>IF(VLOOKUP(BO$2&amp;$C63&amp;$A63,集計!$D:$R,$B63,0)&lt;&gt;SUM(BO61:BO62),"NG",SUM(BO61:BO62))</f>
        <v>#N/A</v>
      </c>
      <c r="BP63" s="132" t="e">
        <f>IF(VLOOKUP(BP$2&amp;$C63&amp;$A63,集計!$D:$R,$B63,0)&lt;&gt;SUM(BP61:BP62),"NG",SUM(BP61:BP62))</f>
        <v>#N/A</v>
      </c>
      <c r="BQ63" s="133" t="e">
        <f>BQ61+BQ62</f>
        <v>#N/A</v>
      </c>
      <c r="BR63" s="132" t="e">
        <f>IF(VLOOKUP(BR$2&amp;$C63&amp;$A63,集計!$D:$R,$B63,0)&lt;&gt;SUM(BR61:BR62),"NG",SUM(BR61:BR62))</f>
        <v>#N/A</v>
      </c>
      <c r="BS63" s="132" t="e">
        <f>IF(VLOOKUP(BS$2&amp;$C63&amp;$A63,集計!$D:$R,$B63,0)&lt;&gt;SUM(BS61:BS62),"NG",SUM(BS61:BS62))</f>
        <v>#N/A</v>
      </c>
      <c r="BT63" s="132" t="e">
        <f>IF(VLOOKUP(BT$2&amp;$C63&amp;$A63,集計!$D:$R,$B63,0)&lt;&gt;SUM(BT61:BT62),"NG",SUM(BT61:BT62))</f>
        <v>#N/A</v>
      </c>
      <c r="BU63" s="133" t="e">
        <f>BU61+BU62</f>
        <v>#N/A</v>
      </c>
      <c r="BV63" s="132" t="e">
        <f>IF(VLOOKUP(BV$2&amp;$C63&amp;$A63,集計!$D:$R,$B63,0)&lt;&gt;SUM(BV61:BV62),"NG",SUM(BV61:BV62))</f>
        <v>#N/A</v>
      </c>
      <c r="BW63" s="133" t="e">
        <f>SUM(BW61:BW62)</f>
        <v>#N/A</v>
      </c>
      <c r="BX63" s="133" t="e">
        <f>SUM(BX61:BX62)</f>
        <v>#N/A</v>
      </c>
    </row>
    <row r="64" spans="1:76" s="124" customFormat="1" ht="15" thickBot="1">
      <c r="A64" s="120" t="s">
        <v>40</v>
      </c>
      <c r="B64" s="150">
        <v>12</v>
      </c>
      <c r="C64" s="135" t="s">
        <v>27</v>
      </c>
      <c r="D64" s="136" t="e">
        <f>IF(VLOOKUP(D$2&amp;$C64&amp;$A64,集計!$D:$R,$B64,0)&lt;&gt;SUM(D60,D63),"NG",SUM(D60,D63))</f>
        <v>#N/A</v>
      </c>
      <c r="E64" s="136" t="e">
        <f>IF(VLOOKUP(E$2&amp;$C64&amp;$A64,集計!$D:$R,$B64,0)&lt;&gt;SUM(E60,E63),"NG",SUM(E60,E63))</f>
        <v>#N/A</v>
      </c>
      <c r="F64" s="136" t="e">
        <f>IF(VLOOKUP(F$2&amp;$C64&amp;$A64,集計!$D:$R,$B64,0)&lt;&gt;SUM(F60,F63),"NG",SUM(F60,F63))</f>
        <v>#N/A</v>
      </c>
      <c r="G64" s="136" t="e">
        <f>IF(VLOOKUP(G$2&amp;$C64&amp;$A64,集計!$D:$R,$B64,0)&lt;&gt;SUM(G60,G63),"NG",SUM(G60,G63))</f>
        <v>#N/A</v>
      </c>
      <c r="H64" s="136" t="e">
        <f>IF(VLOOKUP(H$2&amp;$C64&amp;$A64,集計!$D:$R,$B64,0)&lt;&gt;SUM(H60,H63),"NG",SUM(H60,H63))</f>
        <v>#N/A</v>
      </c>
      <c r="I64" s="137" t="e">
        <f>I60+I63</f>
        <v>#N/A</v>
      </c>
      <c r="J64" s="136" t="e">
        <f>IF(VLOOKUP(J$2&amp;$C64&amp;$A64,集計!$D:$R,$B64,0)&lt;&gt;SUM(J60,J63),"NG",SUM(J60,J63))</f>
        <v>#N/A</v>
      </c>
      <c r="K64" s="136" t="e">
        <f>IF(VLOOKUP(K$2&amp;$C64&amp;$A64,集計!$D:$R,$B64,0)&lt;&gt;SUM(K60,K63),"NG",SUM(K60,K63))</f>
        <v>#N/A</v>
      </c>
      <c r="L64" s="136" t="e">
        <f>IF(VLOOKUP(L$2&amp;$C64&amp;$A64,集計!$D:$R,$B64,0)&lt;&gt;SUM(L60,L63),"NG",SUM(L60,L63))</f>
        <v>#N/A</v>
      </c>
      <c r="M64" s="136" t="e">
        <f>IF(VLOOKUP(M$2&amp;$C64&amp;$A64,集計!$D:$R,$B64,0)&lt;&gt;SUM(M60,M63),"NG",SUM(M60,M63))</f>
        <v>#N/A</v>
      </c>
      <c r="N64" s="137" t="e">
        <f>N60+N63</f>
        <v>#N/A</v>
      </c>
      <c r="O64" s="136" t="e">
        <f>IF(VLOOKUP(O$2&amp;$C64&amp;$A64,集計!$D:$R,$B64,0)&lt;&gt;SUM(O60,O63),"NG",SUM(O60,O63))</f>
        <v>#N/A</v>
      </c>
      <c r="P64" s="136" t="e">
        <f>IF(VLOOKUP(P$2&amp;$C64&amp;$A64,集計!$D:$R,$B64,0)&lt;&gt;SUM(P60,P63),"NG",SUM(P60,P63))</f>
        <v>#N/A</v>
      </c>
      <c r="Q64" s="136" t="e">
        <f>IF(VLOOKUP(Q$2&amp;$C64&amp;$A64,集計!$D:$R,$B64,0)&lt;&gt;SUM(Q60,Q63),"NG",SUM(Q60,Q63))</f>
        <v>#N/A</v>
      </c>
      <c r="R64" s="136" t="e">
        <f>IF(VLOOKUP(R$2&amp;$C64&amp;$A64,集計!$D:$R,$B64,0)&lt;&gt;SUM(R60,R63),"NG",SUM(R60,R63))</f>
        <v>#N/A</v>
      </c>
      <c r="S64" s="136" t="e">
        <f>IF(VLOOKUP(S$2&amp;$C64&amp;$A64,集計!$D:$R,$B64,0)&lt;&gt;SUM(S60,S63),"NG",SUM(S60,S63))</f>
        <v>#N/A</v>
      </c>
      <c r="T64" s="137" t="e">
        <f>T60+T63</f>
        <v>#N/A</v>
      </c>
      <c r="U64" s="136" t="e">
        <f>IF(VLOOKUP(U$2&amp;$C64&amp;$A64,集計!$D:$R,$B64,0)&lt;&gt;SUM(U60,U63),"NG",SUM(U60,U63))</f>
        <v>#N/A</v>
      </c>
      <c r="V64" s="136" t="e">
        <f>IF(VLOOKUP(V$2&amp;$C64&amp;$A64,集計!$D:$R,$B64,0)&lt;&gt;SUM(V60,V63),"NG",SUM(V60,V63))</f>
        <v>#N/A</v>
      </c>
      <c r="W64" s="136" t="e">
        <f>IF(VLOOKUP(W$2&amp;$C64&amp;$A64,集計!$D:$R,$B64,0)&lt;&gt;SUM(W60,W63),"NG",SUM(W60,W63))</f>
        <v>#N/A</v>
      </c>
      <c r="X64" s="137" t="e">
        <f>X60+X63</f>
        <v>#N/A</v>
      </c>
      <c r="Y64" s="136" t="e">
        <f>IF(VLOOKUP(Y$2&amp;$C64&amp;$A64,集計!$D:$R,$B64,0)&lt;&gt;SUM(Y60,Y63),"NG",SUM(Y60,Y63))</f>
        <v>#N/A</v>
      </c>
      <c r="Z64" s="136" t="e">
        <f>IF(VLOOKUP(Z$2&amp;$C64&amp;$A64,集計!$D:$R,$B64,0)&lt;&gt;SUM(Z60,Z63),"NG",SUM(Z60,Z63))</f>
        <v>#N/A</v>
      </c>
      <c r="AA64" s="136" t="e">
        <f>IF(VLOOKUP(AA$2&amp;$C64&amp;$A64,集計!$D:$R,$B64,0)&lt;&gt;SUM(AA60,AA63),"NG",SUM(AA60,AA63))</f>
        <v>#N/A</v>
      </c>
      <c r="AB64" s="137" t="e">
        <f>AB60+AB63</f>
        <v>#N/A</v>
      </c>
      <c r="AC64" s="137" t="e">
        <f>AC60+AC63</f>
        <v>#N/A</v>
      </c>
      <c r="AD64" s="136" t="e">
        <f>IF(VLOOKUP(AD$2&amp;$C64&amp;$A64,集計!$D:$R,$B64,0)&lt;&gt;SUM(AD60,AD63),"NG",SUM(AD60,AD63))</f>
        <v>#N/A</v>
      </c>
      <c r="AE64" s="136" t="e">
        <f>IF(VLOOKUP(AE$2&amp;$C64&amp;$A64,集計!$D:$R,$B64,0)&lt;&gt;SUM(AE60,AE63),"NG",SUM(AE60,AE63))</f>
        <v>#N/A</v>
      </c>
      <c r="AF64" s="136" t="e">
        <f>IF(VLOOKUP(AF$2&amp;$C64&amp;$A64,集計!$D:$R,$B64,0)&lt;&gt;SUM(AF60,AF63),"NG",SUM(AF60,AF63))</f>
        <v>#N/A</v>
      </c>
      <c r="AG64" s="136" t="e">
        <f>IF(VLOOKUP(AG$2&amp;$C64&amp;$A64,集計!$D:$R,$B64,0)&lt;&gt;SUM(AG60,AG63),"NG",SUM(AG60,AG63))</f>
        <v>#N/A</v>
      </c>
      <c r="AH64" s="137" t="e">
        <f>AH60+AH63</f>
        <v>#N/A</v>
      </c>
      <c r="AI64" s="136" t="e">
        <f>IF(VLOOKUP(AI$2&amp;$C64&amp;$A64,集計!$D:$R,$B64,0)&lt;&gt;SUM(AI60,AI63),"NG",SUM(AI60,AI63))</f>
        <v>#N/A</v>
      </c>
      <c r="AJ64" s="136" t="e">
        <f>IF(VLOOKUP(AJ$2&amp;$C64&amp;$A64,集計!$D:$R,$B64,0)&lt;&gt;SUM(AJ60,AJ63),"NG",SUM(AJ60,AJ63))</f>
        <v>#N/A</v>
      </c>
      <c r="AK64" s="136" t="e">
        <f>IF(VLOOKUP(AK$2&amp;$C64&amp;$A64,集計!$D:$R,$B64,0)&lt;&gt;SUM(AK60,AK63),"NG",SUM(AK60,AK63))</f>
        <v>#N/A</v>
      </c>
      <c r="AL64" s="137" t="e">
        <f>AL60+AL63</f>
        <v>#N/A</v>
      </c>
      <c r="AM64" s="136" t="e">
        <f>IF(VLOOKUP(AM$2&amp;$C64&amp;$A64,集計!$D:$R,$B64,0)&lt;&gt;SUM(AM60,AM63),"NG",SUM(AM60,AM63))</f>
        <v>#N/A</v>
      </c>
      <c r="AN64" s="136" t="e">
        <f>IF(VLOOKUP(AN$2&amp;$C64&amp;$A64,集計!$D:$R,$B64,0)&lt;&gt;SUM(AN60,AN63),"NG",SUM(AN60,AN63))</f>
        <v>#N/A</v>
      </c>
      <c r="AO64" s="137" t="e">
        <f>AO60+AO63</f>
        <v>#N/A</v>
      </c>
      <c r="AP64" s="136" t="e">
        <f>IF(VLOOKUP(AP$2&amp;$C64&amp;$A64,集計!$D:$R,$B64,0)&lt;&gt;SUM(AP60,AP63),"NG",SUM(AP60,AP63))</f>
        <v>#N/A</v>
      </c>
      <c r="AQ64" s="136" t="e">
        <f>IF(VLOOKUP(AQ$2&amp;$C64&amp;$A64,集計!$D:$R,$B64,0)&lt;&gt;SUM(AQ60,AQ63),"NG",SUM(AQ60,AQ63))</f>
        <v>#N/A</v>
      </c>
      <c r="AR64" s="136" t="e">
        <f>IF(VLOOKUP(AR$2&amp;$C64&amp;$A64,集計!$D:$R,$B64,0)&lt;&gt;SUM(AR60,AR63),"NG",SUM(AR60,AR63))</f>
        <v>#N/A</v>
      </c>
      <c r="AS64" s="137" t="e">
        <f>AS60+AS63</f>
        <v>#N/A</v>
      </c>
      <c r="AT64" s="137" t="e">
        <f>AT60+AT63</f>
        <v>#N/A</v>
      </c>
      <c r="AU64" s="136" t="e">
        <f>IF(VLOOKUP(AU$2&amp;$C64&amp;$A64,集計!$D:$R,$B64,0)&lt;&gt;SUM(AU60,AU63),"NG",SUM(AU60,AU63))</f>
        <v>#N/A</v>
      </c>
      <c r="AV64" s="136" t="e">
        <f>IF(VLOOKUP(AV$2&amp;$C64&amp;$A64,集計!$D:$R,$B64,0)&lt;&gt;SUM(AV60,AV63),"NG",SUM(AV60,AV63))</f>
        <v>#N/A</v>
      </c>
      <c r="AW64" s="136" t="e">
        <f>IF(VLOOKUP(AW$2&amp;$C64&amp;$A64,集計!$D:$R,$B64,0)&lt;&gt;SUM(AW60,AW63),"NG",SUM(AW60,AW63))</f>
        <v>#N/A</v>
      </c>
      <c r="AX64" s="136" t="e">
        <f>IF(VLOOKUP(AX$2&amp;$C64&amp;$A64,集計!$D:$R,$B64,0)&lt;&gt;SUM(AX60,AX63),"NG",SUM(AX60,AX63))</f>
        <v>#N/A</v>
      </c>
      <c r="AY64" s="136" t="e">
        <f>IF(VLOOKUP(AY$2&amp;$C64&amp;$A64,集計!$D:$R,$B64,0)&lt;&gt;SUM(AY60,AY63),"NG",SUM(AY60,AY63))</f>
        <v>#N/A</v>
      </c>
      <c r="AZ64" s="137" t="e">
        <f>AZ60+AZ63</f>
        <v>#N/A</v>
      </c>
      <c r="BA64" s="137" t="e">
        <f>BA60+BA63</f>
        <v>#N/A</v>
      </c>
      <c r="BB64" s="136" t="e">
        <f>IF(VLOOKUP(BB$2&amp;$C64&amp;$A64,集計!$D:$R,$B64,0)&lt;&gt;SUM(BB60,BB63),"NG",SUM(BB60,BB63))</f>
        <v>#N/A</v>
      </c>
      <c r="BC64" s="136" t="e">
        <f>IF(VLOOKUP(BC$2&amp;$C64&amp;$A64,集計!$D:$R,$B64,0)&lt;&gt;SUM(BC60,BC63),"NG",SUM(BC60,BC63))</f>
        <v>#N/A</v>
      </c>
      <c r="BD64" s="137" t="e">
        <f>BD60+BD63</f>
        <v>#N/A</v>
      </c>
      <c r="BE64" s="136" t="e">
        <f>IF(VLOOKUP(BE$2&amp;$C64&amp;$A64,集計!$D:$R,$B64,0)&lt;&gt;SUM(BE60,BE63),"NG",SUM(BE60,BE63))</f>
        <v>#N/A</v>
      </c>
      <c r="BF64" s="136" t="e">
        <f>IF(VLOOKUP(BF$2&amp;$C64&amp;$A64,集計!$D:$R,$B64,0)&lt;&gt;SUM(BF60,BF63),"NG",SUM(BF60,BF63))</f>
        <v>#N/A</v>
      </c>
      <c r="BG64" s="136" t="e">
        <f>IF(VLOOKUP(BG$2&amp;$C64&amp;$A64,集計!$D:$R,$B64,0)&lt;&gt;SUM(BG60,BG63),"NG",SUM(BG60,BG63))</f>
        <v>#N/A</v>
      </c>
      <c r="BH64" s="136" t="e">
        <f>IF(VLOOKUP(BH$2&amp;$C64&amp;$A64,集計!$D:$R,$B64,0)&lt;&gt;SUM(BH60,BH63),"NG",SUM(BH60,BH63))</f>
        <v>#N/A</v>
      </c>
      <c r="BI64" s="136" t="e">
        <f>IF(VLOOKUP(BI$2&amp;$C64&amp;$A64,集計!$D:$R,$B64,0)&lt;&gt;SUM(BI60,BI63),"NG",SUM(BI60,BI63))</f>
        <v>#N/A</v>
      </c>
      <c r="BJ64" s="137" t="e">
        <f>BJ60+BJ63</f>
        <v>#N/A</v>
      </c>
      <c r="BK64" s="136" t="e">
        <f>IF(VLOOKUP(BK$2&amp;$C64&amp;$A64,集計!$D:$R,$B64,0)&lt;&gt;SUM(BK60,BK63),"NG",SUM(BK60,BK63))</f>
        <v>#N/A</v>
      </c>
      <c r="BL64" s="136" t="e">
        <f>IF(VLOOKUP(BL$2&amp;$C64&amp;$A64,集計!$D:$R,$B64,0)&lt;&gt;SUM(BL60,BL63),"NG",SUM(BL60,BL63))</f>
        <v>#N/A</v>
      </c>
      <c r="BM64" s="136" t="e">
        <f>IF(VLOOKUP(BM$2&amp;$C64&amp;$A64,集計!$D:$R,$B64,0)&lt;&gt;SUM(BM60,BM63),"NG",SUM(BM60,BM63))</f>
        <v>#N/A</v>
      </c>
      <c r="BN64" s="136" t="e">
        <f>IF(VLOOKUP(BN$2&amp;$C64&amp;$A64,集計!$D:$R,$B64,0)&lt;&gt;SUM(BN60,BN63),"NG",SUM(BN60,BN63))</f>
        <v>#N/A</v>
      </c>
      <c r="BO64" s="136" t="e">
        <f>IF(VLOOKUP(BO$2&amp;$C64&amp;$A64,集計!$D:$R,$B64,0)&lt;&gt;SUM(BO60,BO63),"NG",SUM(BO60,BO63))</f>
        <v>#N/A</v>
      </c>
      <c r="BP64" s="136" t="e">
        <f>IF(VLOOKUP(BP$2&amp;$C64&amp;$A64,集計!$D:$R,$B64,0)&lt;&gt;SUM(BP60,BP63),"NG",SUM(BP60,BP63))</f>
        <v>#N/A</v>
      </c>
      <c r="BQ64" s="137" t="e">
        <f>BQ60+BQ63</f>
        <v>#N/A</v>
      </c>
      <c r="BR64" s="136" t="e">
        <f>IF(VLOOKUP(BR$2&amp;$C64&amp;$A64,集計!$D:$R,$B64,0)&lt;&gt;SUM(BR60,BR63),"NG",SUM(BR60,BR63))</f>
        <v>#N/A</v>
      </c>
      <c r="BS64" s="136" t="e">
        <f>IF(VLOOKUP(BS$2&amp;$C64&amp;$A64,集計!$D:$R,$B64,0)&lt;&gt;SUM(BS60,BS63),"NG",SUM(BS60,BS63))</f>
        <v>#N/A</v>
      </c>
      <c r="BT64" s="136" t="e">
        <f>IF(VLOOKUP(BT$2&amp;$C64&amp;$A64,集計!$D:$R,$B64,0)&lt;&gt;SUM(BT60,BT63),"NG",SUM(BT60,BT63))</f>
        <v>#N/A</v>
      </c>
      <c r="BU64" s="137" t="e">
        <f>BU60+BU63</f>
        <v>#N/A</v>
      </c>
      <c r="BV64" s="136" t="e">
        <f>IF(VLOOKUP(BV$2&amp;$C64&amp;$A64,集計!$D:$R,$B64,0)&lt;&gt;SUM(BV60,BV63),"NG",SUM(BV60,BV63))</f>
        <v>#N/A</v>
      </c>
      <c r="BW64" s="137" t="e">
        <f>BW60+BW63</f>
        <v>#N/A</v>
      </c>
      <c r="BX64" s="137" t="e">
        <f>BX60+BX63</f>
        <v>#N/A</v>
      </c>
    </row>
    <row r="65" spans="1:76" s="124" customFormat="1">
      <c r="A65" s="134"/>
      <c r="B65" s="151"/>
      <c r="C65" s="142"/>
      <c r="D65" s="143"/>
      <c r="E65" s="143"/>
      <c r="F65" s="143"/>
      <c r="G65" s="143"/>
      <c r="H65" s="143"/>
      <c r="I65" s="144"/>
      <c r="J65" s="143"/>
      <c r="K65" s="143"/>
      <c r="L65" s="143"/>
      <c r="M65" s="143"/>
      <c r="N65" s="144"/>
      <c r="O65" s="143"/>
      <c r="P65" s="143"/>
      <c r="Q65" s="143"/>
      <c r="R65" s="143"/>
      <c r="S65" s="143"/>
      <c r="T65" s="144"/>
      <c r="U65" s="143"/>
      <c r="V65" s="143"/>
      <c r="W65" s="143"/>
      <c r="X65" s="144"/>
      <c r="Y65" s="143"/>
      <c r="Z65" s="143"/>
      <c r="AA65" s="143"/>
      <c r="AB65" s="144"/>
      <c r="AC65" s="144"/>
      <c r="AD65" s="143"/>
      <c r="AE65" s="143"/>
      <c r="AF65" s="143"/>
      <c r="AG65" s="143"/>
      <c r="AH65" s="144"/>
      <c r="AI65" s="143"/>
      <c r="AJ65" s="143"/>
      <c r="AK65" s="143"/>
      <c r="AL65" s="144"/>
      <c r="AM65" s="143"/>
      <c r="AN65" s="143"/>
      <c r="AO65" s="144"/>
      <c r="AP65" s="143"/>
      <c r="AQ65" s="143"/>
      <c r="AR65" s="143"/>
      <c r="AS65" s="144"/>
      <c r="AT65" s="144"/>
      <c r="AU65" s="143"/>
      <c r="AV65" s="143"/>
      <c r="AW65" s="143"/>
      <c r="AX65" s="143"/>
      <c r="AY65" s="143"/>
      <c r="AZ65" s="144"/>
      <c r="BA65" s="144"/>
      <c r="BB65" s="143"/>
      <c r="BC65" s="143"/>
      <c r="BD65" s="144"/>
      <c r="BE65" s="143"/>
      <c r="BF65" s="143"/>
      <c r="BG65" s="143"/>
      <c r="BH65" s="143"/>
      <c r="BI65" s="143"/>
      <c r="BJ65" s="144"/>
      <c r="BK65" s="143"/>
      <c r="BL65" s="143"/>
      <c r="BM65" s="143"/>
      <c r="BN65" s="143"/>
      <c r="BO65" s="143"/>
      <c r="BP65" s="143"/>
      <c r="BQ65" s="144"/>
      <c r="BR65" s="143"/>
      <c r="BS65" s="143"/>
      <c r="BT65" s="143"/>
      <c r="BU65" s="144"/>
      <c r="BV65" s="143"/>
      <c r="BW65" s="144"/>
      <c r="BX65" s="144"/>
    </row>
    <row r="66" spans="1:76" s="124" customFormat="1" ht="21.5" thickBot="1">
      <c r="A66" s="134"/>
      <c r="B66" s="96">
        <v>1</v>
      </c>
      <c r="C66" s="138" t="s">
        <v>40</v>
      </c>
      <c r="D66" s="145"/>
      <c r="E66" s="145"/>
      <c r="F66" s="145"/>
      <c r="G66" s="145"/>
      <c r="H66" s="145"/>
      <c r="I66" s="146"/>
      <c r="J66" s="145"/>
      <c r="K66" s="145"/>
      <c r="L66" s="145"/>
      <c r="M66" s="145"/>
      <c r="N66" s="146"/>
      <c r="O66" s="145"/>
      <c r="P66" s="145"/>
      <c r="Q66" s="145"/>
      <c r="R66" s="145"/>
      <c r="S66" s="145"/>
      <c r="T66" s="146"/>
      <c r="U66" s="145"/>
      <c r="V66" s="145"/>
      <c r="W66" s="145"/>
      <c r="X66" s="146"/>
      <c r="Y66" s="145"/>
      <c r="Z66" s="145"/>
      <c r="AA66" s="145"/>
      <c r="AB66" s="146"/>
      <c r="AC66" s="146"/>
      <c r="AD66" s="145"/>
      <c r="AE66" s="145"/>
      <c r="AF66" s="145"/>
      <c r="AG66" s="145"/>
      <c r="AH66" s="146"/>
      <c r="AI66" s="145"/>
      <c r="AJ66" s="145"/>
      <c r="AK66" s="145"/>
      <c r="AL66" s="146"/>
      <c r="AM66" s="145"/>
      <c r="AN66" s="145"/>
      <c r="AO66" s="146"/>
      <c r="AP66" s="145"/>
      <c r="AQ66" s="145"/>
      <c r="AR66" s="145"/>
      <c r="AS66" s="146"/>
      <c r="AT66" s="146"/>
      <c r="AU66" s="145"/>
      <c r="AV66" s="145"/>
      <c r="AW66" s="145"/>
      <c r="AX66" s="145"/>
      <c r="AY66" s="145"/>
      <c r="AZ66" s="146"/>
      <c r="BA66" s="146"/>
      <c r="BB66" s="145"/>
      <c r="BC66" s="145"/>
      <c r="BD66" s="146"/>
      <c r="BE66" s="145"/>
      <c r="BF66" s="145"/>
      <c r="BG66" s="145"/>
      <c r="BH66" s="145"/>
      <c r="BI66" s="145"/>
      <c r="BJ66" s="146"/>
      <c r="BK66" s="145"/>
      <c r="BL66" s="145"/>
      <c r="BM66" s="145"/>
      <c r="BN66" s="145"/>
      <c r="BO66" s="145"/>
      <c r="BP66" s="145"/>
      <c r="BQ66" s="146"/>
      <c r="BR66" s="145"/>
      <c r="BS66" s="145"/>
      <c r="BT66" s="145"/>
      <c r="BU66" s="146"/>
      <c r="BV66" s="145"/>
      <c r="BW66" s="146"/>
      <c r="BX66" s="147"/>
    </row>
    <row r="67" spans="1:76" s="124" customFormat="1" ht="21" customHeight="1">
      <c r="A67" s="120" t="s">
        <v>40</v>
      </c>
      <c r="B67" s="150">
        <v>13</v>
      </c>
      <c r="C67" s="121" t="s">
        <v>25</v>
      </c>
      <c r="D67" s="122" t="e">
        <f>VLOOKUP(D$2&amp;$C67&amp;$A67,集計!$D:$R,$B67,0)</f>
        <v>#N/A</v>
      </c>
      <c r="E67" s="122" t="e">
        <f>VLOOKUP(E$2&amp;$C67&amp;$A67,集計!$D:$R,$B67,0)</f>
        <v>#N/A</v>
      </c>
      <c r="F67" s="122" t="e">
        <f>VLOOKUP(F$2&amp;$C67&amp;$A67,集計!$D:$R,$B67,0)</f>
        <v>#N/A</v>
      </c>
      <c r="G67" s="122" t="e">
        <f>VLOOKUP(G$2&amp;$C67&amp;$A67,集計!$D:$R,$B67,0)</f>
        <v>#N/A</v>
      </c>
      <c r="H67" s="122" t="e">
        <f>VLOOKUP(H$2&amp;$C67&amp;$A67,集計!$D:$R,$B67,0)</f>
        <v>#N/A</v>
      </c>
      <c r="I67" s="123" t="e">
        <f>D67+E67+F67+G67+H67</f>
        <v>#N/A</v>
      </c>
      <c r="J67" s="122" t="e">
        <f>VLOOKUP(J$2&amp;$C67&amp;$A67,集計!$D:$R,$B67,0)</f>
        <v>#N/A</v>
      </c>
      <c r="K67" s="122" t="e">
        <f>VLOOKUP(K$2&amp;$C67&amp;$A67,集計!$D:$R,$B67,0)</f>
        <v>#N/A</v>
      </c>
      <c r="L67" s="122" t="e">
        <f>VLOOKUP(L$2&amp;$C67&amp;$A67,集計!$D:$R,$B67,0)</f>
        <v>#N/A</v>
      </c>
      <c r="M67" s="122" t="e">
        <f>VLOOKUP(M$2&amp;$C67&amp;$A67,集計!$D:$R,$B67,0)</f>
        <v>#N/A</v>
      </c>
      <c r="N67" s="123" t="e">
        <f>J67+K67+L67+M67</f>
        <v>#N/A</v>
      </c>
      <c r="O67" s="122" t="e">
        <f>VLOOKUP(O$2&amp;$C67&amp;$A67,集計!$D:$R,$B67,0)</f>
        <v>#N/A</v>
      </c>
      <c r="P67" s="122" t="e">
        <f>VLOOKUP(P$2&amp;$C67&amp;$A67,集計!$D:$R,$B67,0)</f>
        <v>#N/A</v>
      </c>
      <c r="Q67" s="122" t="e">
        <f>VLOOKUP(Q$2&amp;$C67&amp;$A67,集計!$D:$R,$B67,0)</f>
        <v>#N/A</v>
      </c>
      <c r="R67" s="122" t="e">
        <f>VLOOKUP(R$2&amp;$C67&amp;$A67,集計!$D:$R,$B67,0)</f>
        <v>#N/A</v>
      </c>
      <c r="S67" s="122" t="e">
        <f>VLOOKUP(S$2&amp;$C67&amp;$A67,集計!$D:$R,$B67,0)</f>
        <v>#N/A</v>
      </c>
      <c r="T67" s="123" t="e">
        <f>O67+P67+Q67+R67+S67</f>
        <v>#N/A</v>
      </c>
      <c r="U67" s="122" t="e">
        <f>VLOOKUP(U$2&amp;$C67&amp;$A67,集計!$D:$R,$B67,0)</f>
        <v>#N/A</v>
      </c>
      <c r="V67" s="122" t="e">
        <f>VLOOKUP(V$2&amp;$C67&amp;$A67,集計!$D:$R,$B67,0)</f>
        <v>#N/A</v>
      </c>
      <c r="W67" s="122" t="e">
        <f>VLOOKUP(W$2&amp;$C67&amp;$A67,集計!$D:$R,$B67,0)</f>
        <v>#N/A</v>
      </c>
      <c r="X67" s="123" t="e">
        <f>U67+V67+W67</f>
        <v>#N/A</v>
      </c>
      <c r="Y67" s="122" t="e">
        <f>VLOOKUP(Y$2&amp;$C67&amp;$A67,集計!$D:$R,$B67,0)</f>
        <v>#N/A</v>
      </c>
      <c r="Z67" s="122" t="e">
        <f>VLOOKUP(Z$2&amp;$C67&amp;$A67,集計!$D:$R,$B67,0)</f>
        <v>#N/A</v>
      </c>
      <c r="AA67" s="122" t="e">
        <f>VLOOKUP(AA$2&amp;$C67&amp;$A67,集計!$D:$R,$B67,0)</f>
        <v>#N/A</v>
      </c>
      <c r="AB67" s="123" t="e">
        <f>Y67+Z67+AA67</f>
        <v>#N/A</v>
      </c>
      <c r="AC67" s="123" t="e">
        <f>I67+N67+T67+X67+AB67</f>
        <v>#N/A</v>
      </c>
      <c r="AD67" s="122" t="e">
        <f>VLOOKUP(AD$2&amp;$C67&amp;$A67,集計!$D:$R,$B67,0)</f>
        <v>#N/A</v>
      </c>
      <c r="AE67" s="122" t="e">
        <f>VLOOKUP(AE$2&amp;$C67&amp;$A67,集計!$D:$R,$B67,0)</f>
        <v>#N/A</v>
      </c>
      <c r="AF67" s="122" t="e">
        <f>VLOOKUP(AF$2&amp;$C67&amp;$A67,集計!$D:$R,$B67,0)</f>
        <v>#N/A</v>
      </c>
      <c r="AG67" s="122" t="e">
        <f>VLOOKUP(AG$2&amp;$C67&amp;$A67,集計!$D:$R,$B67,0)</f>
        <v>#N/A</v>
      </c>
      <c r="AH67" s="123" t="e">
        <f>AD67+AE67+AF67+AG67</f>
        <v>#N/A</v>
      </c>
      <c r="AI67" s="122" t="e">
        <f>VLOOKUP(AI$2&amp;$C67&amp;$A67,集計!$D:$R,$B67,0)</f>
        <v>#N/A</v>
      </c>
      <c r="AJ67" s="122" t="e">
        <f>VLOOKUP(AJ$2&amp;$C67&amp;$A67,集計!$D:$R,$B67,0)</f>
        <v>#N/A</v>
      </c>
      <c r="AK67" s="122" t="e">
        <f>VLOOKUP(AK$2&amp;$C67&amp;$A67,集計!$D:$R,$B67,0)</f>
        <v>#N/A</v>
      </c>
      <c r="AL67" s="123" t="e">
        <f>AI67+AJ67+AK67</f>
        <v>#N/A</v>
      </c>
      <c r="AM67" s="122" t="e">
        <f>VLOOKUP(AM$2&amp;$C67&amp;$A67,集計!$D:$R,$B67,0)</f>
        <v>#N/A</v>
      </c>
      <c r="AN67" s="122" t="e">
        <f>VLOOKUP(AN$2&amp;$C67&amp;$A67,集計!$D:$R,$B67,0)</f>
        <v>#N/A</v>
      </c>
      <c r="AO67" s="123" t="e">
        <f>AM67+AN67</f>
        <v>#N/A</v>
      </c>
      <c r="AP67" s="122" t="e">
        <f>VLOOKUP(AP$2&amp;$C67&amp;$A67,集計!$D:$R,$B67,0)</f>
        <v>#N/A</v>
      </c>
      <c r="AQ67" s="122" t="e">
        <f>VLOOKUP(AQ$2&amp;$C67&amp;$A67,集計!$D:$R,$B67,0)</f>
        <v>#N/A</v>
      </c>
      <c r="AR67" s="122" t="e">
        <f>VLOOKUP(AR$2&amp;$C67&amp;$A67,集計!$D:$R,$B67,0)</f>
        <v>#N/A</v>
      </c>
      <c r="AS67" s="123" t="e">
        <f>AP67+AQ67+AR67</f>
        <v>#N/A</v>
      </c>
      <c r="AT67" s="123" t="e">
        <f>AH67+AL67+AO67+AS67</f>
        <v>#N/A</v>
      </c>
      <c r="AU67" s="122" t="e">
        <f>VLOOKUP(AU$2&amp;$C67&amp;$A67,集計!$D:$R,$B67,0)</f>
        <v>#N/A</v>
      </c>
      <c r="AV67" s="122" t="e">
        <f>VLOOKUP(AV$2&amp;$C67&amp;$A67,集計!$D:$R,$B67,0)</f>
        <v>#N/A</v>
      </c>
      <c r="AW67" s="122" t="e">
        <f>VLOOKUP(AW$2&amp;$C67&amp;$A67,集計!$D:$R,$B67,0)</f>
        <v>#N/A</v>
      </c>
      <c r="AX67" s="122" t="e">
        <f>VLOOKUP(AX$2&amp;$C67&amp;$A67,集計!$D:$R,$B67,0)</f>
        <v>#N/A</v>
      </c>
      <c r="AY67" s="122" t="e">
        <f>VLOOKUP(AY$2&amp;$C67&amp;$A67,集計!$D:$R,$B67,0)</f>
        <v>#N/A</v>
      </c>
      <c r="AZ67" s="123" t="e">
        <f>AU67+AV67+AW67+AX67+AY67</f>
        <v>#N/A</v>
      </c>
      <c r="BA67" s="123" t="e">
        <f>AZ67</f>
        <v>#N/A</v>
      </c>
      <c r="BB67" s="122" t="e">
        <f>VLOOKUP(BB$2&amp;$C67&amp;$A67,集計!$D:$R,$B67,0)</f>
        <v>#N/A</v>
      </c>
      <c r="BC67" s="122" t="e">
        <f>VLOOKUP(BC$2&amp;$C67&amp;$A67,集計!$D:$R,$B67,0)</f>
        <v>#N/A</v>
      </c>
      <c r="BD67" s="123" t="e">
        <f>BB67+BC67</f>
        <v>#N/A</v>
      </c>
      <c r="BE67" s="122" t="e">
        <f>VLOOKUP(BE$2&amp;$C67&amp;$A67,集計!$D:$R,$B67,0)</f>
        <v>#N/A</v>
      </c>
      <c r="BF67" s="122" t="e">
        <f>VLOOKUP(BF$2&amp;$C67&amp;$A67,集計!$D:$R,$B67,0)</f>
        <v>#N/A</v>
      </c>
      <c r="BG67" s="122" t="e">
        <f>VLOOKUP(BG$2&amp;$C67&amp;$A67,集計!$D:$R,$B67,0)</f>
        <v>#N/A</v>
      </c>
      <c r="BH67" s="122" t="e">
        <f>VLOOKUP(BH$2&amp;$C67&amp;$A67,集計!$D:$R,$B67,0)</f>
        <v>#N/A</v>
      </c>
      <c r="BI67" s="122" t="e">
        <f>VLOOKUP(BI$2&amp;$C67&amp;$A67,集計!$D:$R,$B67,0)</f>
        <v>#N/A</v>
      </c>
      <c r="BJ67" s="123" t="e">
        <f>BE67+BF67+BG67+BH67+BI67</f>
        <v>#N/A</v>
      </c>
      <c r="BK67" s="122" t="e">
        <f>VLOOKUP(BK$2&amp;$C67&amp;$A67,集計!$D:$R,$B67,0)</f>
        <v>#N/A</v>
      </c>
      <c r="BL67" s="122" t="e">
        <f>VLOOKUP(BL$2&amp;$C67&amp;$A67,集計!$D:$R,$B67,0)</f>
        <v>#N/A</v>
      </c>
      <c r="BM67" s="122" t="e">
        <f>VLOOKUP(BM$2&amp;$C67&amp;$A67,集計!$D:$R,$B67,0)</f>
        <v>#N/A</v>
      </c>
      <c r="BN67" s="122" t="e">
        <f>VLOOKUP(BN$2&amp;$C67&amp;$A67,集計!$D:$R,$B67,0)</f>
        <v>#N/A</v>
      </c>
      <c r="BO67" s="122" t="e">
        <f>VLOOKUP(BO$2&amp;$C67&amp;$A67,集計!$D:$R,$B67,0)</f>
        <v>#N/A</v>
      </c>
      <c r="BP67" s="122" t="e">
        <f>VLOOKUP(BP$2&amp;$C67&amp;$A67,集計!$D:$R,$B67,0)</f>
        <v>#N/A</v>
      </c>
      <c r="BQ67" s="123" t="e">
        <f>BK67+BL67+BM67+BN67+BO67+BP67</f>
        <v>#N/A</v>
      </c>
      <c r="BR67" s="122" t="e">
        <f>VLOOKUP(BR$2&amp;$C67&amp;$A67,集計!$D:$R,$B67,0)</f>
        <v>#N/A</v>
      </c>
      <c r="BS67" s="122" t="e">
        <f>VLOOKUP(BS$2&amp;$C67&amp;$A67,集計!$D:$R,$B67,0)</f>
        <v>#N/A</v>
      </c>
      <c r="BT67" s="122" t="e">
        <f>VLOOKUP(BT$2&amp;$C67&amp;$A67,集計!$D:$R,$B67,0)</f>
        <v>#N/A</v>
      </c>
      <c r="BU67" s="123" t="e">
        <f>BR67+BS67+BT67</f>
        <v>#N/A</v>
      </c>
      <c r="BV67" s="122" t="e">
        <f>VLOOKUP(BV$2&amp;$C67&amp;$A67,集計!$D:$R,$B67,0)</f>
        <v>#N/A</v>
      </c>
      <c r="BW67" s="123" t="e">
        <f>BV67</f>
        <v>#N/A</v>
      </c>
      <c r="BX67" s="123" t="e">
        <f>AC67+AT67+BA67+BD67+BJ67+BQ67+BU67+BW67</f>
        <v>#N/A</v>
      </c>
    </row>
    <row r="68" spans="1:76" s="124" customFormat="1">
      <c r="A68" s="120" t="s">
        <v>40</v>
      </c>
      <c r="B68" s="150">
        <v>13</v>
      </c>
      <c r="C68" s="125" t="s">
        <v>106</v>
      </c>
      <c r="D68" s="126" t="e">
        <f>VLOOKUP(D$2&amp;$C68&amp;$A68,集計!$D:$R,$B68,0)</f>
        <v>#N/A</v>
      </c>
      <c r="E68" s="126" t="e">
        <f>VLOOKUP(E$2&amp;$C68&amp;$A68,集計!$D:$R,$B68,0)</f>
        <v>#N/A</v>
      </c>
      <c r="F68" s="126" t="e">
        <f>VLOOKUP(F$2&amp;$C68&amp;$A68,集計!$D:$R,$B68,0)</f>
        <v>#N/A</v>
      </c>
      <c r="G68" s="126" t="e">
        <f>VLOOKUP(G$2&amp;$C68&amp;$A68,集計!$D:$R,$B68,0)</f>
        <v>#N/A</v>
      </c>
      <c r="H68" s="126" t="e">
        <f>VLOOKUP(H$2&amp;$C68&amp;$A68,集計!$D:$R,$B68,0)</f>
        <v>#N/A</v>
      </c>
      <c r="I68" s="127" t="e">
        <f>D68+E68+F68+G68+H68</f>
        <v>#N/A</v>
      </c>
      <c r="J68" s="126" t="e">
        <f>VLOOKUP(J$2&amp;$C68&amp;$A68,集計!$D:$R,$B68,0)</f>
        <v>#N/A</v>
      </c>
      <c r="K68" s="126" t="e">
        <f>VLOOKUP(K$2&amp;$C68&amp;$A68,集計!$D:$R,$B68,0)</f>
        <v>#N/A</v>
      </c>
      <c r="L68" s="126" t="e">
        <f>VLOOKUP(L$2&amp;$C68&amp;$A68,集計!$D:$R,$B68,0)</f>
        <v>#N/A</v>
      </c>
      <c r="M68" s="126" t="e">
        <f>VLOOKUP(M$2&amp;$C68&amp;$A68,集計!$D:$R,$B68,0)</f>
        <v>#N/A</v>
      </c>
      <c r="N68" s="127" t="e">
        <f>J68+K68+L68+M68</f>
        <v>#N/A</v>
      </c>
      <c r="O68" s="126" t="e">
        <f>VLOOKUP(O$2&amp;$C68&amp;$A68,集計!$D:$R,$B68,0)</f>
        <v>#N/A</v>
      </c>
      <c r="P68" s="126" t="e">
        <f>VLOOKUP(P$2&amp;$C68&amp;$A68,集計!$D:$R,$B68,0)</f>
        <v>#N/A</v>
      </c>
      <c r="Q68" s="126" t="e">
        <f>VLOOKUP(Q$2&amp;$C68&amp;$A68,集計!$D:$R,$B68,0)</f>
        <v>#N/A</v>
      </c>
      <c r="R68" s="126" t="e">
        <f>VLOOKUP(R$2&amp;$C68&amp;$A68,集計!$D:$R,$B68,0)</f>
        <v>#N/A</v>
      </c>
      <c r="S68" s="126" t="e">
        <f>VLOOKUP(S$2&amp;$C68&amp;$A68,集計!$D:$R,$B68,0)</f>
        <v>#N/A</v>
      </c>
      <c r="T68" s="127" t="e">
        <f>O68+P68+Q68+R68+S68</f>
        <v>#N/A</v>
      </c>
      <c r="U68" s="126" t="e">
        <f>VLOOKUP(U$2&amp;$C68&amp;$A68,集計!$D:$R,$B68,0)</f>
        <v>#N/A</v>
      </c>
      <c r="V68" s="126" t="e">
        <f>VLOOKUP(V$2&amp;$C68&amp;$A68,集計!$D:$R,$B68,0)</f>
        <v>#N/A</v>
      </c>
      <c r="W68" s="126" t="e">
        <f>VLOOKUP(W$2&amp;$C68&amp;$A68,集計!$D:$R,$B68,0)</f>
        <v>#N/A</v>
      </c>
      <c r="X68" s="127" t="e">
        <f>U68+V68+W68</f>
        <v>#N/A</v>
      </c>
      <c r="Y68" s="126" t="e">
        <f>VLOOKUP(Y$2&amp;$C68&amp;$A68,集計!$D:$R,$B68,0)</f>
        <v>#N/A</v>
      </c>
      <c r="Z68" s="126" t="e">
        <f>VLOOKUP(Z$2&amp;$C68&amp;$A68,集計!$D:$R,$B68,0)</f>
        <v>#N/A</v>
      </c>
      <c r="AA68" s="126" t="e">
        <f>VLOOKUP(AA$2&amp;$C68&amp;$A68,集計!$D:$R,$B68,0)</f>
        <v>#N/A</v>
      </c>
      <c r="AB68" s="127" t="e">
        <f>Y68+Z68+AA68</f>
        <v>#N/A</v>
      </c>
      <c r="AC68" s="127" t="e">
        <f>I68+N68+T68+X68+AB68</f>
        <v>#N/A</v>
      </c>
      <c r="AD68" s="126" t="e">
        <f>VLOOKUP(AD$2&amp;$C68&amp;$A68,集計!$D:$R,$B68,0)</f>
        <v>#N/A</v>
      </c>
      <c r="AE68" s="126" t="e">
        <f>VLOOKUP(AE$2&amp;$C68&amp;$A68,集計!$D:$R,$B68,0)</f>
        <v>#N/A</v>
      </c>
      <c r="AF68" s="126" t="e">
        <f>VLOOKUP(AF$2&amp;$C68&amp;$A68,集計!$D:$R,$B68,0)</f>
        <v>#N/A</v>
      </c>
      <c r="AG68" s="126" t="e">
        <f>VLOOKUP(AG$2&amp;$C68&amp;$A68,集計!$D:$R,$B68,0)</f>
        <v>#N/A</v>
      </c>
      <c r="AH68" s="127" t="e">
        <f>AD68+AE68+AF68+AG68</f>
        <v>#N/A</v>
      </c>
      <c r="AI68" s="126" t="e">
        <f>VLOOKUP(AI$2&amp;$C68&amp;$A68,集計!$D:$R,$B68,0)</f>
        <v>#N/A</v>
      </c>
      <c r="AJ68" s="126" t="e">
        <f>VLOOKUP(AJ$2&amp;$C68&amp;$A68,集計!$D:$R,$B68,0)</f>
        <v>#N/A</v>
      </c>
      <c r="AK68" s="126" t="e">
        <f>VLOOKUP(AK$2&amp;$C68&amp;$A68,集計!$D:$R,$B68,0)</f>
        <v>#N/A</v>
      </c>
      <c r="AL68" s="127" t="e">
        <f>AI68+AJ68+AK68</f>
        <v>#N/A</v>
      </c>
      <c r="AM68" s="126" t="e">
        <f>VLOOKUP(AM$2&amp;$C68&amp;$A68,集計!$D:$R,$B68,0)</f>
        <v>#N/A</v>
      </c>
      <c r="AN68" s="126" t="e">
        <f>VLOOKUP(AN$2&amp;$C68&amp;$A68,集計!$D:$R,$B68,0)</f>
        <v>#N/A</v>
      </c>
      <c r="AO68" s="127" t="e">
        <f>AM68+AN68</f>
        <v>#N/A</v>
      </c>
      <c r="AP68" s="126" t="e">
        <f>VLOOKUP(AP$2&amp;$C68&amp;$A68,集計!$D:$R,$B68,0)</f>
        <v>#N/A</v>
      </c>
      <c r="AQ68" s="126" t="e">
        <f>VLOOKUP(AQ$2&amp;$C68&amp;$A68,集計!$D:$R,$B68,0)</f>
        <v>#N/A</v>
      </c>
      <c r="AR68" s="126" t="e">
        <f>VLOOKUP(AR$2&amp;$C68&amp;$A68,集計!$D:$R,$B68,0)</f>
        <v>#N/A</v>
      </c>
      <c r="AS68" s="127" t="e">
        <f>AP68+AQ68+AR68</f>
        <v>#N/A</v>
      </c>
      <c r="AT68" s="127" t="e">
        <f>AH68+AL68+AO68+AS68</f>
        <v>#N/A</v>
      </c>
      <c r="AU68" s="126" t="e">
        <f>VLOOKUP(AU$2&amp;$C68&amp;$A68,集計!$D:$R,$B68,0)</f>
        <v>#N/A</v>
      </c>
      <c r="AV68" s="126" t="e">
        <f>VLOOKUP(AV$2&amp;$C68&amp;$A68,集計!$D:$R,$B68,0)</f>
        <v>#N/A</v>
      </c>
      <c r="AW68" s="126" t="e">
        <f>VLOOKUP(AW$2&amp;$C68&amp;$A68,集計!$D:$R,$B68,0)</f>
        <v>#N/A</v>
      </c>
      <c r="AX68" s="126" t="e">
        <f>VLOOKUP(AX$2&amp;$C68&amp;$A68,集計!$D:$R,$B68,0)</f>
        <v>#N/A</v>
      </c>
      <c r="AY68" s="126" t="e">
        <f>VLOOKUP(AY$2&amp;$C68&amp;$A68,集計!$D:$R,$B68,0)</f>
        <v>#N/A</v>
      </c>
      <c r="AZ68" s="127" t="e">
        <f>AU68+AV68+AW68+AX68+AY68</f>
        <v>#N/A</v>
      </c>
      <c r="BA68" s="127" t="e">
        <f>AZ68</f>
        <v>#N/A</v>
      </c>
      <c r="BB68" s="126" t="e">
        <f>VLOOKUP(BB$2&amp;$C68&amp;$A68,集計!$D:$R,$B68,0)</f>
        <v>#N/A</v>
      </c>
      <c r="BC68" s="126" t="e">
        <f>VLOOKUP(BC$2&amp;$C68&amp;$A68,集計!$D:$R,$B68,0)</f>
        <v>#N/A</v>
      </c>
      <c r="BD68" s="127" t="e">
        <f>BB68+BC68</f>
        <v>#N/A</v>
      </c>
      <c r="BE68" s="126" t="e">
        <f>VLOOKUP(BE$2&amp;$C68&amp;$A68,集計!$D:$R,$B68,0)</f>
        <v>#N/A</v>
      </c>
      <c r="BF68" s="126" t="e">
        <f>VLOOKUP(BF$2&amp;$C68&amp;$A68,集計!$D:$R,$B68,0)</f>
        <v>#N/A</v>
      </c>
      <c r="BG68" s="126" t="e">
        <f>VLOOKUP(BG$2&amp;$C68&amp;$A68,集計!$D:$R,$B68,0)</f>
        <v>#N/A</v>
      </c>
      <c r="BH68" s="126" t="e">
        <f>VLOOKUP(BH$2&amp;$C68&amp;$A68,集計!$D:$R,$B68,0)</f>
        <v>#N/A</v>
      </c>
      <c r="BI68" s="126" t="e">
        <f>VLOOKUP(BI$2&amp;$C68&amp;$A68,集計!$D:$R,$B68,0)</f>
        <v>#N/A</v>
      </c>
      <c r="BJ68" s="127" t="e">
        <f>BE68+BF68+BG68+BH68+BI68</f>
        <v>#N/A</v>
      </c>
      <c r="BK68" s="126" t="e">
        <f>VLOOKUP(BK$2&amp;$C68&amp;$A68,集計!$D:$R,$B68,0)</f>
        <v>#N/A</v>
      </c>
      <c r="BL68" s="126" t="e">
        <f>VLOOKUP(BL$2&amp;$C68&amp;$A68,集計!$D:$R,$B68,0)</f>
        <v>#N/A</v>
      </c>
      <c r="BM68" s="126" t="e">
        <f>VLOOKUP(BM$2&amp;$C68&amp;$A68,集計!$D:$R,$B68,0)</f>
        <v>#N/A</v>
      </c>
      <c r="BN68" s="126" t="e">
        <f>VLOOKUP(BN$2&amp;$C68&amp;$A68,集計!$D:$R,$B68,0)</f>
        <v>#N/A</v>
      </c>
      <c r="BO68" s="126" t="e">
        <f>VLOOKUP(BO$2&amp;$C68&amp;$A68,集計!$D:$R,$B68,0)</f>
        <v>#N/A</v>
      </c>
      <c r="BP68" s="126" t="e">
        <f>VLOOKUP(BP$2&amp;$C68&amp;$A68,集計!$D:$R,$B68,0)</f>
        <v>#N/A</v>
      </c>
      <c r="BQ68" s="127" t="e">
        <f>BK68+BL68+BM68+BN68+BO68+BP68</f>
        <v>#N/A</v>
      </c>
      <c r="BR68" s="126" t="e">
        <f>VLOOKUP(BR$2&amp;$C68&amp;$A68,集計!$D:$R,$B68,0)</f>
        <v>#N/A</v>
      </c>
      <c r="BS68" s="126" t="e">
        <f>VLOOKUP(BS$2&amp;$C68&amp;$A68,集計!$D:$R,$B68,0)</f>
        <v>#N/A</v>
      </c>
      <c r="BT68" s="126" t="e">
        <f>VLOOKUP(BT$2&amp;$C68&amp;$A68,集計!$D:$R,$B68,0)</f>
        <v>#N/A</v>
      </c>
      <c r="BU68" s="127" t="e">
        <f>BR68+BS68+BT68</f>
        <v>#N/A</v>
      </c>
      <c r="BV68" s="126" t="e">
        <f>VLOOKUP(BV$2&amp;$C68&amp;$A68,集計!$D:$R,$B68,0)</f>
        <v>#N/A</v>
      </c>
      <c r="BW68" s="127" t="e">
        <f>BV68</f>
        <v>#N/A</v>
      </c>
      <c r="BX68" s="127" t="e">
        <f>AC68+AT68+BA68+BD68+BJ68+BQ68+BU68+BW68</f>
        <v>#N/A</v>
      </c>
    </row>
    <row r="69" spans="1:76" s="124" customFormat="1">
      <c r="A69" s="120" t="s">
        <v>40</v>
      </c>
      <c r="B69" s="150">
        <v>13</v>
      </c>
      <c r="C69" s="128" t="s">
        <v>107</v>
      </c>
      <c r="D69" s="129" t="e">
        <f>VLOOKUP(D$2&amp;$C69&amp;$A69,集計!$D:$R,$B69,0)</f>
        <v>#N/A</v>
      </c>
      <c r="E69" s="129" t="e">
        <f>VLOOKUP(E$2&amp;$C69&amp;$A69,集計!$D:$R,$B69,0)</f>
        <v>#N/A</v>
      </c>
      <c r="F69" s="129" t="e">
        <f>VLOOKUP(F$2&amp;$C69&amp;$A69,集計!$D:$R,$B69,0)</f>
        <v>#N/A</v>
      </c>
      <c r="G69" s="129" t="e">
        <f>VLOOKUP(G$2&amp;$C69&amp;$A69,集計!$D:$R,$B69,0)</f>
        <v>#N/A</v>
      </c>
      <c r="H69" s="129" t="e">
        <f>VLOOKUP(H$2&amp;$C69&amp;$A69,集計!$D:$R,$B69,0)</f>
        <v>#N/A</v>
      </c>
      <c r="I69" s="130" t="e">
        <f>D69+E69+F69+G69+H69</f>
        <v>#N/A</v>
      </c>
      <c r="J69" s="129" t="e">
        <f>VLOOKUP(J$2&amp;$C69&amp;$A69,集計!$D:$R,$B69,0)</f>
        <v>#N/A</v>
      </c>
      <c r="K69" s="129" t="e">
        <f>VLOOKUP(K$2&amp;$C69&amp;$A69,集計!$D:$R,$B69,0)</f>
        <v>#N/A</v>
      </c>
      <c r="L69" s="129" t="e">
        <f>VLOOKUP(L$2&amp;$C69&amp;$A69,集計!$D:$R,$B69,0)</f>
        <v>#N/A</v>
      </c>
      <c r="M69" s="129" t="e">
        <f>VLOOKUP(M$2&amp;$C69&amp;$A69,集計!$D:$R,$B69,0)</f>
        <v>#N/A</v>
      </c>
      <c r="N69" s="130" t="e">
        <f>J69+K69+L69+M69</f>
        <v>#N/A</v>
      </c>
      <c r="O69" s="129" t="e">
        <f>VLOOKUP(O$2&amp;$C69&amp;$A69,集計!$D:$R,$B69,0)</f>
        <v>#N/A</v>
      </c>
      <c r="P69" s="129" t="e">
        <f>VLOOKUP(P$2&amp;$C69&amp;$A69,集計!$D:$R,$B69,0)</f>
        <v>#N/A</v>
      </c>
      <c r="Q69" s="129" t="e">
        <f>VLOOKUP(Q$2&amp;$C69&amp;$A69,集計!$D:$R,$B69,0)</f>
        <v>#N/A</v>
      </c>
      <c r="R69" s="129" t="e">
        <f>VLOOKUP(R$2&amp;$C69&amp;$A69,集計!$D:$R,$B69,0)</f>
        <v>#N/A</v>
      </c>
      <c r="S69" s="129" t="e">
        <f>VLOOKUP(S$2&amp;$C69&amp;$A69,集計!$D:$R,$B69,0)</f>
        <v>#N/A</v>
      </c>
      <c r="T69" s="130" t="e">
        <f>O69+P69+Q69+R69+S69</f>
        <v>#N/A</v>
      </c>
      <c r="U69" s="129" t="e">
        <f>VLOOKUP(U$2&amp;$C69&amp;$A69,集計!$D:$R,$B69,0)</f>
        <v>#N/A</v>
      </c>
      <c r="V69" s="129" t="e">
        <f>VLOOKUP(V$2&amp;$C69&amp;$A69,集計!$D:$R,$B69,0)</f>
        <v>#N/A</v>
      </c>
      <c r="W69" s="129" t="e">
        <f>VLOOKUP(W$2&amp;$C69&amp;$A69,集計!$D:$R,$B69,0)</f>
        <v>#N/A</v>
      </c>
      <c r="X69" s="130" t="e">
        <f>U69+V69+W69</f>
        <v>#N/A</v>
      </c>
      <c r="Y69" s="129" t="e">
        <f>VLOOKUP(Y$2&amp;$C69&amp;$A69,集計!$D:$R,$B69,0)</f>
        <v>#N/A</v>
      </c>
      <c r="Z69" s="129" t="e">
        <f>VLOOKUP(Z$2&amp;$C69&amp;$A69,集計!$D:$R,$B69,0)</f>
        <v>#N/A</v>
      </c>
      <c r="AA69" s="129" t="e">
        <f>VLOOKUP(AA$2&amp;$C69&amp;$A69,集計!$D:$R,$B69,0)</f>
        <v>#N/A</v>
      </c>
      <c r="AB69" s="130" t="e">
        <f>Y69+Z69+AA69</f>
        <v>#N/A</v>
      </c>
      <c r="AC69" s="130" t="e">
        <f>I69+N69+T69+X69+AB69</f>
        <v>#N/A</v>
      </c>
      <c r="AD69" s="129" t="e">
        <f>VLOOKUP(AD$2&amp;$C69&amp;$A69,集計!$D:$R,$B69,0)</f>
        <v>#N/A</v>
      </c>
      <c r="AE69" s="129" t="e">
        <f>VLOOKUP(AE$2&amp;$C69&amp;$A69,集計!$D:$R,$B69,0)</f>
        <v>#N/A</v>
      </c>
      <c r="AF69" s="129" t="e">
        <f>VLOOKUP(AF$2&amp;$C69&amp;$A69,集計!$D:$R,$B69,0)</f>
        <v>#N/A</v>
      </c>
      <c r="AG69" s="129" t="e">
        <f>VLOOKUP(AG$2&amp;$C69&amp;$A69,集計!$D:$R,$B69,0)</f>
        <v>#N/A</v>
      </c>
      <c r="AH69" s="130" t="e">
        <f>AD69+AE69+AF69+AG69</f>
        <v>#N/A</v>
      </c>
      <c r="AI69" s="129" t="e">
        <f>VLOOKUP(AI$2&amp;$C69&amp;$A69,集計!$D:$R,$B69,0)</f>
        <v>#N/A</v>
      </c>
      <c r="AJ69" s="129" t="e">
        <f>VLOOKUP(AJ$2&amp;$C69&amp;$A69,集計!$D:$R,$B69,0)</f>
        <v>#N/A</v>
      </c>
      <c r="AK69" s="129" t="e">
        <f>VLOOKUP(AK$2&amp;$C69&amp;$A69,集計!$D:$R,$B69,0)</f>
        <v>#N/A</v>
      </c>
      <c r="AL69" s="130" t="e">
        <f>AI69+AJ69+AK69</f>
        <v>#N/A</v>
      </c>
      <c r="AM69" s="129" t="e">
        <f>VLOOKUP(AM$2&amp;$C69&amp;$A69,集計!$D:$R,$B69,0)</f>
        <v>#N/A</v>
      </c>
      <c r="AN69" s="129" t="e">
        <f>VLOOKUP(AN$2&amp;$C69&amp;$A69,集計!$D:$R,$B69,0)</f>
        <v>#N/A</v>
      </c>
      <c r="AO69" s="130" t="e">
        <f>AM69+AN69</f>
        <v>#N/A</v>
      </c>
      <c r="AP69" s="129" t="e">
        <f>VLOOKUP(AP$2&amp;$C69&amp;$A69,集計!$D:$R,$B69,0)</f>
        <v>#N/A</v>
      </c>
      <c r="AQ69" s="129" t="e">
        <f>VLOOKUP(AQ$2&amp;$C69&amp;$A69,集計!$D:$R,$B69,0)</f>
        <v>#N/A</v>
      </c>
      <c r="AR69" s="129" t="e">
        <f>VLOOKUP(AR$2&amp;$C69&amp;$A69,集計!$D:$R,$B69,0)</f>
        <v>#N/A</v>
      </c>
      <c r="AS69" s="130" t="e">
        <f>AP69+AQ69+AR69</f>
        <v>#N/A</v>
      </c>
      <c r="AT69" s="130" t="e">
        <f>AH69+AL69+AO69+AS69</f>
        <v>#N/A</v>
      </c>
      <c r="AU69" s="129" t="e">
        <f>VLOOKUP(AU$2&amp;$C69&amp;$A69,集計!$D:$R,$B69,0)</f>
        <v>#N/A</v>
      </c>
      <c r="AV69" s="129" t="e">
        <f>VLOOKUP(AV$2&amp;$C69&amp;$A69,集計!$D:$R,$B69,0)</f>
        <v>#N/A</v>
      </c>
      <c r="AW69" s="129" t="e">
        <f>VLOOKUP(AW$2&amp;$C69&amp;$A69,集計!$D:$R,$B69,0)</f>
        <v>#N/A</v>
      </c>
      <c r="AX69" s="129" t="e">
        <f>VLOOKUP(AX$2&amp;$C69&amp;$A69,集計!$D:$R,$B69,0)</f>
        <v>#N/A</v>
      </c>
      <c r="AY69" s="129" t="e">
        <f>VLOOKUP(AY$2&amp;$C69&amp;$A69,集計!$D:$R,$B69,0)</f>
        <v>#N/A</v>
      </c>
      <c r="AZ69" s="130" t="e">
        <f>AU69+AV69+AW69+AX69+AY69</f>
        <v>#N/A</v>
      </c>
      <c r="BA69" s="130" t="e">
        <f>AZ69</f>
        <v>#N/A</v>
      </c>
      <c r="BB69" s="129" t="e">
        <f>VLOOKUP(BB$2&amp;$C69&amp;$A69,集計!$D:$R,$B69,0)</f>
        <v>#N/A</v>
      </c>
      <c r="BC69" s="129" t="e">
        <f>VLOOKUP(BC$2&amp;$C69&amp;$A69,集計!$D:$R,$B69,0)</f>
        <v>#N/A</v>
      </c>
      <c r="BD69" s="130" t="e">
        <f>BB69+BC69</f>
        <v>#N/A</v>
      </c>
      <c r="BE69" s="129" t="e">
        <f>VLOOKUP(BE$2&amp;$C69&amp;$A69,集計!$D:$R,$B69,0)</f>
        <v>#N/A</v>
      </c>
      <c r="BF69" s="129" t="e">
        <f>VLOOKUP(BF$2&amp;$C69&amp;$A69,集計!$D:$R,$B69,0)</f>
        <v>#N/A</v>
      </c>
      <c r="BG69" s="129" t="e">
        <f>VLOOKUP(BG$2&amp;$C69&amp;$A69,集計!$D:$R,$B69,0)</f>
        <v>#N/A</v>
      </c>
      <c r="BH69" s="129" t="e">
        <f>VLOOKUP(BH$2&amp;$C69&amp;$A69,集計!$D:$R,$B69,0)</f>
        <v>#N/A</v>
      </c>
      <c r="BI69" s="129" t="e">
        <f>VLOOKUP(BI$2&amp;$C69&amp;$A69,集計!$D:$R,$B69,0)</f>
        <v>#N/A</v>
      </c>
      <c r="BJ69" s="130" t="e">
        <f>BE69+BF69+BG69+BH69+BI69</f>
        <v>#N/A</v>
      </c>
      <c r="BK69" s="129" t="e">
        <f>VLOOKUP(BK$2&amp;$C69&amp;$A69,集計!$D:$R,$B69,0)</f>
        <v>#N/A</v>
      </c>
      <c r="BL69" s="129" t="e">
        <f>VLOOKUP(BL$2&amp;$C69&amp;$A69,集計!$D:$R,$B69,0)</f>
        <v>#N/A</v>
      </c>
      <c r="BM69" s="129" t="e">
        <f>VLOOKUP(BM$2&amp;$C69&amp;$A69,集計!$D:$R,$B69,0)</f>
        <v>#N/A</v>
      </c>
      <c r="BN69" s="129" t="e">
        <f>VLOOKUP(BN$2&amp;$C69&amp;$A69,集計!$D:$R,$B69,0)</f>
        <v>#N/A</v>
      </c>
      <c r="BO69" s="129" t="e">
        <f>VLOOKUP(BO$2&amp;$C69&amp;$A69,集計!$D:$R,$B69,0)</f>
        <v>#N/A</v>
      </c>
      <c r="BP69" s="129" t="e">
        <f>VLOOKUP(BP$2&amp;$C69&amp;$A69,集計!$D:$R,$B69,0)</f>
        <v>#N/A</v>
      </c>
      <c r="BQ69" s="130" t="e">
        <f>BK69+BL69+BM69+BN69+BO69+BP69</f>
        <v>#N/A</v>
      </c>
      <c r="BR69" s="129" t="e">
        <f>VLOOKUP(BR$2&amp;$C69&amp;$A69,集計!$D:$R,$B69,0)</f>
        <v>#N/A</v>
      </c>
      <c r="BS69" s="129" t="e">
        <f>VLOOKUP(BS$2&amp;$C69&amp;$A69,集計!$D:$R,$B69,0)</f>
        <v>#N/A</v>
      </c>
      <c r="BT69" s="129" t="e">
        <f>VLOOKUP(BT$2&amp;$C69&amp;$A69,集計!$D:$R,$B69,0)</f>
        <v>#N/A</v>
      </c>
      <c r="BU69" s="130" t="e">
        <f>BR69+BS69+BT69</f>
        <v>#N/A</v>
      </c>
      <c r="BV69" s="129" t="e">
        <f>VLOOKUP(BV$2&amp;$C69&amp;$A69,集計!$D:$R,$B69,0)</f>
        <v>#N/A</v>
      </c>
      <c r="BW69" s="130" t="e">
        <f>BV69</f>
        <v>#N/A</v>
      </c>
      <c r="BX69" s="130" t="e">
        <f>AC69+AT69+BA69+BD69+BJ69+BQ69+BU69+BW69</f>
        <v>#N/A</v>
      </c>
    </row>
    <row r="70" spans="1:76" s="124" customFormat="1">
      <c r="A70" s="120" t="s">
        <v>40</v>
      </c>
      <c r="B70" s="150">
        <v>13</v>
      </c>
      <c r="C70" s="131" t="s">
        <v>26</v>
      </c>
      <c r="D70" s="132" t="e">
        <f>IF(VLOOKUP(D$2&amp;$C70&amp;$A70,集計!$D:$R,$B70,0)&lt;&gt;SUM(D68:D69),"NG",SUM(D68:D69))</f>
        <v>#N/A</v>
      </c>
      <c r="E70" s="132" t="e">
        <f>IF(VLOOKUP(E$2&amp;$C70&amp;$A70,集計!$D:$R,$B70,0)&lt;&gt;SUM(E68:E69),"NG",SUM(E68:E69))</f>
        <v>#N/A</v>
      </c>
      <c r="F70" s="132" t="e">
        <f>IF(VLOOKUP(F$2&amp;$C70&amp;$A70,集計!$D:$R,$B70,0)&lt;&gt;SUM(F68:F69),"NG",SUM(F68:F69))</f>
        <v>#N/A</v>
      </c>
      <c r="G70" s="132" t="e">
        <f>IF(VLOOKUP(G$2&amp;$C70&amp;$A70,集計!$D:$R,$B70,0)&lt;&gt;SUM(G68:G69),"NG",SUM(G68:G69))</f>
        <v>#N/A</v>
      </c>
      <c r="H70" s="132" t="e">
        <f>IF(VLOOKUP(H$2&amp;$C70&amp;$A70,集計!$D:$R,$B70,0)&lt;&gt;SUM(H68:H69),"NG",SUM(H68:H69))</f>
        <v>#N/A</v>
      </c>
      <c r="I70" s="133" t="e">
        <f>I68+I69</f>
        <v>#N/A</v>
      </c>
      <c r="J70" s="132" t="e">
        <f>IF(VLOOKUP(J$2&amp;$C70&amp;$A70,集計!$D:$R,$B70,0)&lt;&gt;SUM(J68:J69),"NG",SUM(J68:J69))</f>
        <v>#N/A</v>
      </c>
      <c r="K70" s="132" t="e">
        <f>IF(VLOOKUP(K$2&amp;$C70&amp;$A70,集計!$D:$R,$B70,0)&lt;&gt;SUM(K68:K69),"NG",SUM(K68:K69))</f>
        <v>#N/A</v>
      </c>
      <c r="L70" s="132" t="e">
        <f>IF(VLOOKUP(L$2&amp;$C70&amp;$A70,集計!$D:$R,$B70,0)&lt;&gt;SUM(L68:L69),"NG",SUM(L68:L69))</f>
        <v>#N/A</v>
      </c>
      <c r="M70" s="132" t="e">
        <f>IF(VLOOKUP(M$2&amp;$C70&amp;$A70,集計!$D:$R,$B70,0)&lt;&gt;SUM(M68:M69),"NG",SUM(M68:M69))</f>
        <v>#N/A</v>
      </c>
      <c r="N70" s="133" t="e">
        <f>N68+N69</f>
        <v>#N/A</v>
      </c>
      <c r="O70" s="132" t="e">
        <f>IF(VLOOKUP(O$2&amp;$C70&amp;$A70,集計!$D:$R,$B70,0)&lt;&gt;SUM(O68:O69),"NG",SUM(O68:O69))</f>
        <v>#N/A</v>
      </c>
      <c r="P70" s="132" t="e">
        <f>IF(VLOOKUP(P$2&amp;$C70&amp;$A70,集計!$D:$R,$B70,0)&lt;&gt;SUM(P68:P69),"NG",SUM(P68:P69))</f>
        <v>#N/A</v>
      </c>
      <c r="Q70" s="132" t="e">
        <f>IF(VLOOKUP(Q$2&amp;$C70&amp;$A70,集計!$D:$R,$B70,0)&lt;&gt;SUM(Q68:Q69),"NG",SUM(Q68:Q69))</f>
        <v>#N/A</v>
      </c>
      <c r="R70" s="132" t="e">
        <f>IF(VLOOKUP(R$2&amp;$C70&amp;$A70,集計!$D:$R,$B70,0)&lt;&gt;SUM(R68:R69),"NG",SUM(R68:R69))</f>
        <v>#N/A</v>
      </c>
      <c r="S70" s="132" t="e">
        <f>IF(VLOOKUP(S$2&amp;$C70&amp;$A70,集計!$D:$R,$B70,0)&lt;&gt;SUM(S68:S69),"NG",SUM(S68:S69))</f>
        <v>#N/A</v>
      </c>
      <c r="T70" s="133" t="e">
        <f>T68+T69</f>
        <v>#N/A</v>
      </c>
      <c r="U70" s="132" t="e">
        <f>IF(VLOOKUP(U$2&amp;$C70&amp;$A70,集計!$D:$R,$B70,0)&lt;&gt;SUM(U68:U69),"NG",SUM(U68:U69))</f>
        <v>#N/A</v>
      </c>
      <c r="V70" s="132" t="e">
        <f>IF(VLOOKUP(V$2&amp;$C70&amp;$A70,集計!$D:$R,$B70,0)&lt;&gt;SUM(V68:V69),"NG",SUM(V68:V69))</f>
        <v>#N/A</v>
      </c>
      <c r="W70" s="132" t="e">
        <f>IF(VLOOKUP(W$2&amp;$C70&amp;$A70,集計!$D:$R,$B70,0)&lt;&gt;SUM(W68:W69),"NG",SUM(W68:W69))</f>
        <v>#N/A</v>
      </c>
      <c r="X70" s="133" t="e">
        <f>SUM(X68:X69)</f>
        <v>#N/A</v>
      </c>
      <c r="Y70" s="132" t="e">
        <f>IF(VLOOKUP(Y$2&amp;$C70&amp;$A70,集計!$D:$R,$B70,0)&lt;&gt;SUM(Y68:Y69),"NG",SUM(Y68:Y69))</f>
        <v>#N/A</v>
      </c>
      <c r="Z70" s="132" t="e">
        <f>IF(VLOOKUP(Z$2&amp;$C70&amp;$A70,集計!$D:$R,$B70,0)&lt;&gt;SUM(Z68:Z69),"NG",SUM(Z68:Z69))</f>
        <v>#N/A</v>
      </c>
      <c r="AA70" s="132" t="e">
        <f>IF(VLOOKUP(AA$2&amp;$C70&amp;$A70,集計!$D:$R,$B70,0)&lt;&gt;SUM(AA68:AA69),"NG",SUM(AA68:AA69))</f>
        <v>#N/A</v>
      </c>
      <c r="AB70" s="133" t="e">
        <f>SUM(AB68:AB69)</f>
        <v>#N/A</v>
      </c>
      <c r="AC70" s="133" t="e">
        <f>SUM(AC68:AC69)</f>
        <v>#N/A</v>
      </c>
      <c r="AD70" s="132" t="e">
        <f>IF(VLOOKUP(AD$2&amp;$C70&amp;$A70,集計!$D:$R,$B70,0)&lt;&gt;SUM(AD68:AD69),"NG",SUM(AD68:AD69))</f>
        <v>#N/A</v>
      </c>
      <c r="AE70" s="132" t="e">
        <f>IF(VLOOKUP(AE$2&amp;$C70&amp;$A70,集計!$D:$R,$B70,0)&lt;&gt;SUM(AE68:AE69),"NG",SUM(AE68:AE69))</f>
        <v>#N/A</v>
      </c>
      <c r="AF70" s="132" t="e">
        <f>IF(VLOOKUP(AF$2&amp;$C70&amp;$A70,集計!$D:$R,$B70,0)&lt;&gt;SUM(AF68:AF69),"NG",SUM(AF68:AF69))</f>
        <v>#N/A</v>
      </c>
      <c r="AG70" s="132" t="e">
        <f>IF(VLOOKUP(AG$2&amp;$C70&amp;$A70,集計!$D:$R,$B70,0)&lt;&gt;SUM(AG68:AG69),"NG",SUM(AG68:AG69))</f>
        <v>#N/A</v>
      </c>
      <c r="AH70" s="133" t="e">
        <f>SUM(AH68:AH69)</f>
        <v>#N/A</v>
      </c>
      <c r="AI70" s="132" t="e">
        <f>IF(VLOOKUP(AI$2&amp;$C70&amp;$A70,集計!$D:$R,$B70,0)&lt;&gt;SUM(AI68:AI69),"NG",SUM(AI68:AI69))</f>
        <v>#N/A</v>
      </c>
      <c r="AJ70" s="132" t="e">
        <f>IF(VLOOKUP(AJ$2&amp;$C70&amp;$A70,集計!$D:$R,$B70,0)&lt;&gt;SUM(AJ68:AJ69),"NG",SUM(AJ68:AJ69))</f>
        <v>#N/A</v>
      </c>
      <c r="AK70" s="132" t="e">
        <f>IF(VLOOKUP(AK$2&amp;$C70&amp;$A70,集計!$D:$R,$B70,0)&lt;&gt;SUM(AK68:AK69),"NG",SUM(AK68:AK69))</f>
        <v>#N/A</v>
      </c>
      <c r="AL70" s="133" t="e">
        <f>SUM(AL68:AL69)</f>
        <v>#N/A</v>
      </c>
      <c r="AM70" s="132" t="e">
        <f>IF(VLOOKUP(AM$2&amp;$C70&amp;$A70,集計!$D:$R,$B70,0)&lt;&gt;SUM(AM68:AM69),"NG",SUM(AM68:AM69))</f>
        <v>#N/A</v>
      </c>
      <c r="AN70" s="132" t="e">
        <f>IF(VLOOKUP(AN$2&amp;$C70&amp;$A70,集計!$D:$R,$B70,0)&lt;&gt;SUM(AN68:AN69),"NG",SUM(AN68:AN69))</f>
        <v>#N/A</v>
      </c>
      <c r="AO70" s="133" t="e">
        <f>SUM(AO68:AO69)</f>
        <v>#N/A</v>
      </c>
      <c r="AP70" s="132" t="e">
        <f>IF(VLOOKUP(AP$2&amp;$C70&amp;$A70,集計!$D:$R,$B70,0)&lt;&gt;SUM(AP68:AP69),"NG",SUM(AP68:AP69))</f>
        <v>#N/A</v>
      </c>
      <c r="AQ70" s="132" t="e">
        <f>IF(VLOOKUP(AQ$2&amp;$C70&amp;$A70,集計!$D:$R,$B70,0)&lt;&gt;SUM(AQ68:AQ69),"NG",SUM(AQ68:AQ69))</f>
        <v>#N/A</v>
      </c>
      <c r="AR70" s="132" t="e">
        <f>IF(VLOOKUP(AR$2&amp;$C70&amp;$A70,集計!$D:$R,$B70,0)&lt;&gt;SUM(AR68:AR69),"NG",SUM(AR68:AR69))</f>
        <v>#N/A</v>
      </c>
      <c r="AS70" s="133" t="e">
        <f>SUM(AS68:AS69)</f>
        <v>#N/A</v>
      </c>
      <c r="AT70" s="133" t="e">
        <f>SUM(AT68:AT69)</f>
        <v>#N/A</v>
      </c>
      <c r="AU70" s="132" t="e">
        <f>IF(VLOOKUP(AU$2&amp;$C70&amp;$A70,集計!$D:$R,$B70,0)&lt;&gt;SUM(AU68:AU69),"NG",SUM(AU68:AU69))</f>
        <v>#N/A</v>
      </c>
      <c r="AV70" s="132" t="e">
        <f>IF(VLOOKUP(AV$2&amp;$C70&amp;$A70,集計!$D:$R,$B70,0)&lt;&gt;SUM(AV68:AV69),"NG",SUM(AV68:AV69))</f>
        <v>#N/A</v>
      </c>
      <c r="AW70" s="132" t="e">
        <f>IF(VLOOKUP(AW$2&amp;$C70&amp;$A70,集計!$D:$R,$B70,0)&lt;&gt;SUM(AW68:AW69),"NG",SUM(AW68:AW69))</f>
        <v>#N/A</v>
      </c>
      <c r="AX70" s="132" t="e">
        <f>IF(VLOOKUP(AX$2&amp;$C70&amp;$A70,集計!$D:$R,$B70,0)&lt;&gt;SUM(AX68:AX69),"NG",SUM(AX68:AX69))</f>
        <v>#N/A</v>
      </c>
      <c r="AY70" s="132" t="e">
        <f>IF(VLOOKUP(AY$2&amp;$C70&amp;$A70,集計!$D:$R,$B70,0)&lt;&gt;SUM(AY68:AY69),"NG",SUM(AY68:AY69))</f>
        <v>#N/A</v>
      </c>
      <c r="AZ70" s="133" t="e">
        <f>AZ68+AZ69</f>
        <v>#N/A</v>
      </c>
      <c r="BA70" s="133" t="e">
        <f>BA68+BA69</f>
        <v>#N/A</v>
      </c>
      <c r="BB70" s="132" t="e">
        <f>IF(VLOOKUP(BB$2&amp;$C70&amp;$A70,集計!$D:$R,$B70,0)&lt;&gt;SUM(BB68:BB69),"NG",SUM(BB68:BB69))</f>
        <v>#N/A</v>
      </c>
      <c r="BC70" s="132" t="e">
        <f>IF(VLOOKUP(BC$2&amp;$C70&amp;$A70,集計!$D:$R,$B70,0)&lt;&gt;SUM(BC68:BC69),"NG",SUM(BC68:BC69))</f>
        <v>#N/A</v>
      </c>
      <c r="BD70" s="133" t="e">
        <f>SUM(BD68:BD69)</f>
        <v>#N/A</v>
      </c>
      <c r="BE70" s="132" t="e">
        <f>IF(VLOOKUP(BE$2&amp;$C70&amp;$A70,集計!$D:$R,$B70,0)&lt;&gt;SUM(BE68:BE69),"NG",SUM(BE68:BE69))</f>
        <v>#N/A</v>
      </c>
      <c r="BF70" s="132" t="e">
        <f>IF(VLOOKUP(BF$2&amp;$C70&amp;$A70,集計!$D:$R,$B70,0)&lt;&gt;SUM(BF68:BF69),"NG",SUM(BF68:BF69))</f>
        <v>#N/A</v>
      </c>
      <c r="BG70" s="132" t="e">
        <f>IF(VLOOKUP(BG$2&amp;$C70&amp;$A70,集計!$D:$R,$B70,0)&lt;&gt;SUM(BG68:BG69),"NG",SUM(BG68:BG69))</f>
        <v>#N/A</v>
      </c>
      <c r="BH70" s="132" t="e">
        <f>IF(VLOOKUP(BH$2&amp;$C70&amp;$A70,集計!$D:$R,$B70,0)&lt;&gt;SUM(BH68:BH69),"NG",SUM(BH68:BH69))</f>
        <v>#N/A</v>
      </c>
      <c r="BI70" s="132" t="e">
        <f>IF(VLOOKUP(BI$2&amp;$C70&amp;$A70,集計!$D:$R,$B70,0)&lt;&gt;SUM(BI68:BI69),"NG",SUM(BI68:BI69))</f>
        <v>#N/A</v>
      </c>
      <c r="BJ70" s="133" t="e">
        <f>BJ68+BJ69</f>
        <v>#N/A</v>
      </c>
      <c r="BK70" s="132" t="e">
        <f>IF(VLOOKUP(BK$2&amp;$C70&amp;$A70,集計!$D:$R,$B70,0)&lt;&gt;SUM(BK68:BK69),"NG",SUM(BK68:BK69))</f>
        <v>#N/A</v>
      </c>
      <c r="BL70" s="132" t="e">
        <f>IF(VLOOKUP(BL$2&amp;$C70&amp;$A70,集計!$D:$R,$B70,0)&lt;&gt;SUM(BL68:BL69),"NG",SUM(BL68:BL69))</f>
        <v>#N/A</v>
      </c>
      <c r="BM70" s="132" t="e">
        <f>IF(VLOOKUP(BM$2&amp;$C70&amp;$A70,集計!$D:$R,$B70,0)&lt;&gt;SUM(BM68:BM69),"NG",SUM(BM68:BM69))</f>
        <v>#N/A</v>
      </c>
      <c r="BN70" s="132" t="e">
        <f>IF(VLOOKUP(BN$2&amp;$C70&amp;$A70,集計!$D:$R,$B70,0)&lt;&gt;SUM(BN68:BN69),"NG",SUM(BN68:BN69))</f>
        <v>#N/A</v>
      </c>
      <c r="BO70" s="132" t="e">
        <f>IF(VLOOKUP(BO$2&amp;$C70&amp;$A70,集計!$D:$R,$B70,0)&lt;&gt;SUM(BO68:BO69),"NG",SUM(BO68:BO69))</f>
        <v>#N/A</v>
      </c>
      <c r="BP70" s="132" t="e">
        <f>IF(VLOOKUP(BP$2&amp;$C70&amp;$A70,集計!$D:$R,$B70,0)&lt;&gt;SUM(BP68:BP69),"NG",SUM(BP68:BP69))</f>
        <v>#N/A</v>
      </c>
      <c r="BQ70" s="133" t="e">
        <f>BQ68+BQ69</f>
        <v>#N/A</v>
      </c>
      <c r="BR70" s="132" t="e">
        <f>IF(VLOOKUP(BR$2&amp;$C70&amp;$A70,集計!$D:$R,$B70,0)&lt;&gt;SUM(BR68:BR69),"NG",SUM(BR68:BR69))</f>
        <v>#N/A</v>
      </c>
      <c r="BS70" s="132" t="e">
        <f>IF(VLOOKUP(BS$2&amp;$C70&amp;$A70,集計!$D:$R,$B70,0)&lt;&gt;SUM(BS68:BS69),"NG",SUM(BS68:BS69))</f>
        <v>#N/A</v>
      </c>
      <c r="BT70" s="132" t="e">
        <f>IF(VLOOKUP(BT$2&amp;$C70&amp;$A70,集計!$D:$R,$B70,0)&lt;&gt;SUM(BT68:BT69),"NG",SUM(BT68:BT69))</f>
        <v>#N/A</v>
      </c>
      <c r="BU70" s="133" t="e">
        <f>BU68+BU69</f>
        <v>#N/A</v>
      </c>
      <c r="BV70" s="132" t="e">
        <f>IF(VLOOKUP(BV$2&amp;$C70&amp;$A70,集計!$D:$R,$B70,0)&lt;&gt;SUM(BV68:BV69),"NG",SUM(BV68:BV69))</f>
        <v>#N/A</v>
      </c>
      <c r="BW70" s="133" t="e">
        <f>SUM(BW68:BW69)</f>
        <v>#N/A</v>
      </c>
      <c r="BX70" s="133" t="e">
        <f>SUM(BX68:BX69)</f>
        <v>#N/A</v>
      </c>
    </row>
    <row r="71" spans="1:76" s="124" customFormat="1" ht="15" thickBot="1">
      <c r="A71" s="120" t="s">
        <v>40</v>
      </c>
      <c r="B71" s="150">
        <v>13</v>
      </c>
      <c r="C71" s="135" t="s">
        <v>27</v>
      </c>
      <c r="D71" s="136" t="e">
        <f>IF(VLOOKUP(D$2&amp;$C71&amp;$A71,集計!$D:$R,$B71,0)&lt;&gt;SUM(D67,D70),"NG",SUM(D67,D70))</f>
        <v>#N/A</v>
      </c>
      <c r="E71" s="136" t="e">
        <f>IF(VLOOKUP(E$2&amp;$C71&amp;$A71,集計!$D:$R,$B71,0)&lt;&gt;SUM(E67,E70),"NG",SUM(E67,E70))</f>
        <v>#N/A</v>
      </c>
      <c r="F71" s="136" t="e">
        <f>IF(VLOOKUP(F$2&amp;$C71&amp;$A71,集計!$D:$R,$B71,0)&lt;&gt;SUM(F67,F70),"NG",SUM(F67,F70))</f>
        <v>#N/A</v>
      </c>
      <c r="G71" s="136" t="e">
        <f>IF(VLOOKUP(G$2&amp;$C71&amp;$A71,集計!$D:$R,$B71,0)&lt;&gt;SUM(G67,G70),"NG",SUM(G67,G70))</f>
        <v>#N/A</v>
      </c>
      <c r="H71" s="136" t="e">
        <f>IF(VLOOKUP(H$2&amp;$C71&amp;$A71,集計!$D:$R,$B71,0)&lt;&gt;SUM(H67,H70),"NG",SUM(H67,H70))</f>
        <v>#N/A</v>
      </c>
      <c r="I71" s="137" t="e">
        <f>I67+I70</f>
        <v>#N/A</v>
      </c>
      <c r="J71" s="136" t="e">
        <f>IF(VLOOKUP(J$2&amp;$C71&amp;$A71,集計!$D:$R,$B71,0)&lt;&gt;SUM(J67,J70),"NG",SUM(J67,J70))</f>
        <v>#N/A</v>
      </c>
      <c r="K71" s="136" t="e">
        <f>IF(VLOOKUP(K$2&amp;$C71&amp;$A71,集計!$D:$R,$B71,0)&lt;&gt;SUM(K67,K70),"NG",SUM(K67,K70))</f>
        <v>#N/A</v>
      </c>
      <c r="L71" s="136" t="e">
        <f>IF(VLOOKUP(L$2&amp;$C71&amp;$A71,集計!$D:$R,$B71,0)&lt;&gt;SUM(L67,L70),"NG",SUM(L67,L70))</f>
        <v>#N/A</v>
      </c>
      <c r="M71" s="136" t="e">
        <f>IF(VLOOKUP(M$2&amp;$C71&amp;$A71,集計!$D:$R,$B71,0)&lt;&gt;SUM(M67,M70),"NG",SUM(M67,M70))</f>
        <v>#N/A</v>
      </c>
      <c r="N71" s="137" t="e">
        <f>N67+N70</f>
        <v>#N/A</v>
      </c>
      <c r="O71" s="136" t="e">
        <f>IF(VLOOKUP(O$2&amp;$C71&amp;$A71,集計!$D:$R,$B71,0)&lt;&gt;SUM(O67,O70),"NG",SUM(O67,O70))</f>
        <v>#N/A</v>
      </c>
      <c r="P71" s="136" t="e">
        <f>IF(VLOOKUP(P$2&amp;$C71&amp;$A71,集計!$D:$R,$B71,0)&lt;&gt;SUM(P67,P70),"NG",SUM(P67,P70))</f>
        <v>#N/A</v>
      </c>
      <c r="Q71" s="136" t="e">
        <f>IF(VLOOKUP(Q$2&amp;$C71&amp;$A71,集計!$D:$R,$B71,0)&lt;&gt;SUM(Q67,Q70),"NG",SUM(Q67,Q70))</f>
        <v>#N/A</v>
      </c>
      <c r="R71" s="136" t="e">
        <f>IF(VLOOKUP(R$2&amp;$C71&amp;$A71,集計!$D:$R,$B71,0)&lt;&gt;SUM(R67,R70),"NG",SUM(R67,R70))</f>
        <v>#N/A</v>
      </c>
      <c r="S71" s="136" t="e">
        <f>IF(VLOOKUP(S$2&amp;$C71&amp;$A71,集計!$D:$R,$B71,0)&lt;&gt;SUM(S67,S70),"NG",SUM(S67,S70))</f>
        <v>#N/A</v>
      </c>
      <c r="T71" s="137" t="e">
        <f>T67+T70</f>
        <v>#N/A</v>
      </c>
      <c r="U71" s="136" t="e">
        <f>IF(VLOOKUP(U$2&amp;$C71&amp;$A71,集計!$D:$R,$B71,0)&lt;&gt;SUM(U67,U70),"NG",SUM(U67,U70))</f>
        <v>#N/A</v>
      </c>
      <c r="V71" s="136" t="e">
        <f>IF(VLOOKUP(V$2&amp;$C71&amp;$A71,集計!$D:$R,$B71,0)&lt;&gt;SUM(V67,V70),"NG",SUM(V67,V70))</f>
        <v>#N/A</v>
      </c>
      <c r="W71" s="136" t="e">
        <f>IF(VLOOKUP(W$2&amp;$C71&amp;$A71,集計!$D:$R,$B71,0)&lt;&gt;SUM(W67,W70),"NG",SUM(W67,W70))</f>
        <v>#N/A</v>
      </c>
      <c r="X71" s="137" t="e">
        <f>X67+X70</f>
        <v>#N/A</v>
      </c>
      <c r="Y71" s="136" t="e">
        <f>IF(VLOOKUP(Y$2&amp;$C71&amp;$A71,集計!$D:$R,$B71,0)&lt;&gt;SUM(Y67,Y70),"NG",SUM(Y67,Y70))</f>
        <v>#N/A</v>
      </c>
      <c r="Z71" s="136" t="e">
        <f>IF(VLOOKUP(Z$2&amp;$C71&amp;$A71,集計!$D:$R,$B71,0)&lt;&gt;SUM(Z67,Z70),"NG",SUM(Z67,Z70))</f>
        <v>#N/A</v>
      </c>
      <c r="AA71" s="136" t="e">
        <f>IF(VLOOKUP(AA$2&amp;$C71&amp;$A71,集計!$D:$R,$B71,0)&lt;&gt;SUM(AA67,AA70),"NG",SUM(AA67,AA70))</f>
        <v>#N/A</v>
      </c>
      <c r="AB71" s="137" t="e">
        <f>AB67+AB70</f>
        <v>#N/A</v>
      </c>
      <c r="AC71" s="137" t="e">
        <f>AC67+AC70</f>
        <v>#N/A</v>
      </c>
      <c r="AD71" s="136" t="e">
        <f>IF(VLOOKUP(AD$2&amp;$C71&amp;$A71,集計!$D:$R,$B71,0)&lt;&gt;SUM(AD67,AD70),"NG",SUM(AD67,AD70))</f>
        <v>#N/A</v>
      </c>
      <c r="AE71" s="136" t="e">
        <f>IF(VLOOKUP(AE$2&amp;$C71&amp;$A71,集計!$D:$R,$B71,0)&lt;&gt;SUM(AE67,AE70),"NG",SUM(AE67,AE70))</f>
        <v>#N/A</v>
      </c>
      <c r="AF71" s="136" t="e">
        <f>IF(VLOOKUP(AF$2&amp;$C71&amp;$A71,集計!$D:$R,$B71,0)&lt;&gt;SUM(AF67,AF70),"NG",SUM(AF67,AF70))</f>
        <v>#N/A</v>
      </c>
      <c r="AG71" s="136" t="e">
        <f>IF(VLOOKUP(AG$2&amp;$C71&amp;$A71,集計!$D:$R,$B71,0)&lt;&gt;SUM(AG67,AG70),"NG",SUM(AG67,AG70))</f>
        <v>#N/A</v>
      </c>
      <c r="AH71" s="137" t="e">
        <f>AH67+AH70</f>
        <v>#N/A</v>
      </c>
      <c r="AI71" s="136" t="e">
        <f>IF(VLOOKUP(AI$2&amp;$C71&amp;$A71,集計!$D:$R,$B71,0)&lt;&gt;SUM(AI67,AI70),"NG",SUM(AI67,AI70))</f>
        <v>#N/A</v>
      </c>
      <c r="AJ71" s="136" t="e">
        <f>IF(VLOOKUP(AJ$2&amp;$C71&amp;$A71,集計!$D:$R,$B71,0)&lt;&gt;SUM(AJ67,AJ70),"NG",SUM(AJ67,AJ70))</f>
        <v>#N/A</v>
      </c>
      <c r="AK71" s="136" t="e">
        <f>IF(VLOOKUP(AK$2&amp;$C71&amp;$A71,集計!$D:$R,$B71,0)&lt;&gt;SUM(AK67,AK70),"NG",SUM(AK67,AK70))</f>
        <v>#N/A</v>
      </c>
      <c r="AL71" s="137" t="e">
        <f>AL67+AL70</f>
        <v>#N/A</v>
      </c>
      <c r="AM71" s="136" t="e">
        <f>IF(VLOOKUP(AM$2&amp;$C71&amp;$A71,集計!$D:$R,$B71,0)&lt;&gt;SUM(AM67,AM70),"NG",SUM(AM67,AM70))</f>
        <v>#N/A</v>
      </c>
      <c r="AN71" s="136" t="e">
        <f>IF(VLOOKUP(AN$2&amp;$C71&amp;$A71,集計!$D:$R,$B71,0)&lt;&gt;SUM(AN67,AN70),"NG",SUM(AN67,AN70))</f>
        <v>#N/A</v>
      </c>
      <c r="AO71" s="137" t="e">
        <f>AO67+AO70</f>
        <v>#N/A</v>
      </c>
      <c r="AP71" s="136" t="e">
        <f>IF(VLOOKUP(AP$2&amp;$C71&amp;$A71,集計!$D:$R,$B71,0)&lt;&gt;SUM(AP67,AP70),"NG",SUM(AP67,AP70))</f>
        <v>#N/A</v>
      </c>
      <c r="AQ71" s="136" t="e">
        <f>IF(VLOOKUP(AQ$2&amp;$C71&amp;$A71,集計!$D:$R,$B71,0)&lt;&gt;SUM(AQ67,AQ70),"NG",SUM(AQ67,AQ70))</f>
        <v>#N/A</v>
      </c>
      <c r="AR71" s="136" t="e">
        <f>IF(VLOOKUP(AR$2&amp;$C71&amp;$A71,集計!$D:$R,$B71,0)&lt;&gt;SUM(AR67,AR70),"NG",SUM(AR67,AR70))</f>
        <v>#N/A</v>
      </c>
      <c r="AS71" s="137" t="e">
        <f>AS67+AS70</f>
        <v>#N/A</v>
      </c>
      <c r="AT71" s="137" t="e">
        <f>AT67+AT70</f>
        <v>#N/A</v>
      </c>
      <c r="AU71" s="136" t="e">
        <f>IF(VLOOKUP(AU$2&amp;$C71&amp;$A71,集計!$D:$R,$B71,0)&lt;&gt;SUM(AU67,AU70),"NG",SUM(AU67,AU70))</f>
        <v>#N/A</v>
      </c>
      <c r="AV71" s="136" t="e">
        <f>IF(VLOOKUP(AV$2&amp;$C71&amp;$A71,集計!$D:$R,$B71,0)&lt;&gt;SUM(AV67,AV70),"NG",SUM(AV67,AV70))</f>
        <v>#N/A</v>
      </c>
      <c r="AW71" s="136" t="e">
        <f>IF(VLOOKUP(AW$2&amp;$C71&amp;$A71,集計!$D:$R,$B71,0)&lt;&gt;SUM(AW67,AW70),"NG",SUM(AW67,AW70))</f>
        <v>#N/A</v>
      </c>
      <c r="AX71" s="136" t="e">
        <f>IF(VLOOKUP(AX$2&amp;$C71&amp;$A71,集計!$D:$R,$B71,0)&lt;&gt;SUM(AX67,AX70),"NG",SUM(AX67,AX70))</f>
        <v>#N/A</v>
      </c>
      <c r="AY71" s="136" t="e">
        <f>IF(VLOOKUP(AY$2&amp;$C71&amp;$A71,集計!$D:$R,$B71,0)&lt;&gt;SUM(AY67,AY70),"NG",SUM(AY67,AY70))</f>
        <v>#N/A</v>
      </c>
      <c r="AZ71" s="137" t="e">
        <f>AZ67+AZ70</f>
        <v>#N/A</v>
      </c>
      <c r="BA71" s="137" t="e">
        <f>BA67+BA70</f>
        <v>#N/A</v>
      </c>
      <c r="BB71" s="136" t="e">
        <f>IF(VLOOKUP(BB$2&amp;$C71&amp;$A71,集計!$D:$R,$B71,0)&lt;&gt;SUM(BB67,BB70),"NG",SUM(BB67,BB70))</f>
        <v>#N/A</v>
      </c>
      <c r="BC71" s="136" t="e">
        <f>IF(VLOOKUP(BC$2&amp;$C71&amp;$A71,集計!$D:$R,$B71,0)&lt;&gt;SUM(BC67,BC70),"NG",SUM(BC67,BC70))</f>
        <v>#N/A</v>
      </c>
      <c r="BD71" s="137" t="e">
        <f>BD67+BD70</f>
        <v>#N/A</v>
      </c>
      <c r="BE71" s="136" t="e">
        <f>IF(VLOOKUP(BE$2&amp;$C71&amp;$A71,集計!$D:$R,$B71,0)&lt;&gt;SUM(BE67,BE70),"NG",SUM(BE67,BE70))</f>
        <v>#N/A</v>
      </c>
      <c r="BF71" s="136" t="e">
        <f>IF(VLOOKUP(BF$2&amp;$C71&amp;$A71,集計!$D:$R,$B71,0)&lt;&gt;SUM(BF67,BF70),"NG",SUM(BF67,BF70))</f>
        <v>#N/A</v>
      </c>
      <c r="BG71" s="136" t="e">
        <f>IF(VLOOKUP(BG$2&amp;$C71&amp;$A71,集計!$D:$R,$B71,0)&lt;&gt;SUM(BG67,BG70),"NG",SUM(BG67,BG70))</f>
        <v>#N/A</v>
      </c>
      <c r="BH71" s="136" t="e">
        <f>IF(VLOOKUP(BH$2&amp;$C71&amp;$A71,集計!$D:$R,$B71,0)&lt;&gt;SUM(BH67,BH70),"NG",SUM(BH67,BH70))</f>
        <v>#N/A</v>
      </c>
      <c r="BI71" s="136" t="e">
        <f>IF(VLOOKUP(BI$2&amp;$C71&amp;$A71,集計!$D:$R,$B71,0)&lt;&gt;SUM(BI67,BI70),"NG",SUM(BI67,BI70))</f>
        <v>#N/A</v>
      </c>
      <c r="BJ71" s="137" t="e">
        <f>BJ67+BJ70</f>
        <v>#N/A</v>
      </c>
      <c r="BK71" s="136" t="e">
        <f>IF(VLOOKUP(BK$2&amp;$C71&amp;$A71,集計!$D:$R,$B71,0)&lt;&gt;SUM(BK67,BK70),"NG",SUM(BK67,BK70))</f>
        <v>#N/A</v>
      </c>
      <c r="BL71" s="136" t="e">
        <f>IF(VLOOKUP(BL$2&amp;$C71&amp;$A71,集計!$D:$R,$B71,0)&lt;&gt;SUM(BL67,BL70),"NG",SUM(BL67,BL70))</f>
        <v>#N/A</v>
      </c>
      <c r="BM71" s="136" t="e">
        <f>IF(VLOOKUP(BM$2&amp;$C71&amp;$A71,集計!$D:$R,$B71,0)&lt;&gt;SUM(BM67,BM70),"NG",SUM(BM67,BM70))</f>
        <v>#N/A</v>
      </c>
      <c r="BN71" s="136" t="e">
        <f>IF(VLOOKUP(BN$2&amp;$C71&amp;$A71,集計!$D:$R,$B71,0)&lt;&gt;SUM(BN67,BN70),"NG",SUM(BN67,BN70))</f>
        <v>#N/A</v>
      </c>
      <c r="BO71" s="136" t="e">
        <f>IF(VLOOKUP(BO$2&amp;$C71&amp;$A71,集計!$D:$R,$B71,0)&lt;&gt;SUM(BO67,BO70),"NG",SUM(BO67,BO70))</f>
        <v>#N/A</v>
      </c>
      <c r="BP71" s="136" t="e">
        <f>IF(VLOOKUP(BP$2&amp;$C71&amp;$A71,集計!$D:$R,$B71,0)&lt;&gt;SUM(BP67,BP70),"NG",SUM(BP67,BP70))</f>
        <v>#N/A</v>
      </c>
      <c r="BQ71" s="137" t="e">
        <f>BQ67+BQ70</f>
        <v>#N/A</v>
      </c>
      <c r="BR71" s="136" t="e">
        <f>IF(VLOOKUP(BR$2&amp;$C71&amp;$A71,集計!$D:$R,$B71,0)&lt;&gt;SUM(BR67,BR70),"NG",SUM(BR67,BR70))</f>
        <v>#N/A</v>
      </c>
      <c r="BS71" s="136" t="e">
        <f>IF(VLOOKUP(BS$2&amp;$C71&amp;$A71,集計!$D:$R,$B71,0)&lt;&gt;SUM(BS67,BS70),"NG",SUM(BS67,BS70))</f>
        <v>#N/A</v>
      </c>
      <c r="BT71" s="136" t="e">
        <f>IF(VLOOKUP(BT$2&amp;$C71&amp;$A71,集計!$D:$R,$B71,0)&lt;&gt;SUM(BT67,BT70),"NG",SUM(BT67,BT70))</f>
        <v>#N/A</v>
      </c>
      <c r="BU71" s="137" t="e">
        <f>BU67+BU70</f>
        <v>#N/A</v>
      </c>
      <c r="BV71" s="136" t="e">
        <f>IF(VLOOKUP(BV$2&amp;$C71&amp;$A71,集計!$D:$R,$B71,0)&lt;&gt;SUM(BV67,BV70),"NG",SUM(BV67,BV70))</f>
        <v>#N/A</v>
      </c>
      <c r="BW71" s="137" t="e">
        <f>BW67+BW70</f>
        <v>#N/A</v>
      </c>
      <c r="BX71" s="137" t="e">
        <f>BX67+BX70</f>
        <v>#N/A</v>
      </c>
    </row>
    <row r="72" spans="1:76" s="124" customFormat="1">
      <c r="A72" s="134"/>
      <c r="B72" s="151"/>
      <c r="C72" s="142"/>
      <c r="D72" s="143"/>
      <c r="E72" s="143"/>
      <c r="F72" s="143"/>
      <c r="G72" s="143"/>
      <c r="H72" s="143"/>
      <c r="I72" s="144"/>
      <c r="J72" s="143"/>
      <c r="K72" s="143"/>
      <c r="L72" s="143"/>
      <c r="M72" s="143"/>
      <c r="N72" s="144"/>
      <c r="O72" s="143"/>
      <c r="P72" s="143"/>
      <c r="Q72" s="143"/>
      <c r="R72" s="143"/>
      <c r="S72" s="143"/>
      <c r="T72" s="144"/>
      <c r="U72" s="143"/>
      <c r="V72" s="143"/>
      <c r="W72" s="143"/>
      <c r="X72" s="144"/>
      <c r="Y72" s="143"/>
      <c r="Z72" s="143"/>
      <c r="AA72" s="143"/>
      <c r="AB72" s="144"/>
      <c r="AC72" s="144"/>
      <c r="AD72" s="143"/>
      <c r="AE72" s="143"/>
      <c r="AF72" s="143"/>
      <c r="AG72" s="143"/>
      <c r="AH72" s="144"/>
      <c r="AI72" s="143"/>
      <c r="AJ72" s="143"/>
      <c r="AK72" s="143"/>
      <c r="AL72" s="144"/>
      <c r="AM72" s="143"/>
      <c r="AN72" s="143"/>
      <c r="AO72" s="144"/>
      <c r="AP72" s="143"/>
      <c r="AQ72" s="143"/>
      <c r="AR72" s="143"/>
      <c r="AS72" s="144"/>
      <c r="AT72" s="144"/>
      <c r="AU72" s="143"/>
      <c r="AV72" s="143"/>
      <c r="AW72" s="143"/>
      <c r="AX72" s="143"/>
      <c r="AY72" s="143"/>
      <c r="AZ72" s="144"/>
      <c r="BA72" s="144"/>
      <c r="BB72" s="143"/>
      <c r="BC72" s="143"/>
      <c r="BD72" s="144"/>
      <c r="BE72" s="143"/>
      <c r="BF72" s="143"/>
      <c r="BG72" s="143"/>
      <c r="BH72" s="143"/>
      <c r="BI72" s="143"/>
      <c r="BJ72" s="144"/>
      <c r="BK72" s="143"/>
      <c r="BL72" s="143"/>
      <c r="BM72" s="143"/>
      <c r="BN72" s="143"/>
      <c r="BO72" s="143"/>
      <c r="BP72" s="143"/>
      <c r="BQ72" s="144"/>
      <c r="BR72" s="143"/>
      <c r="BS72" s="143"/>
      <c r="BT72" s="143"/>
      <c r="BU72" s="144"/>
      <c r="BV72" s="143"/>
      <c r="BW72" s="144"/>
      <c r="BX72" s="144"/>
    </row>
    <row r="73" spans="1:76" s="124" customFormat="1" ht="21.5" thickBot="1">
      <c r="A73" s="134"/>
      <c r="B73" s="96">
        <v>2</v>
      </c>
      <c r="C73" s="138" t="s">
        <v>40</v>
      </c>
      <c r="D73" s="145"/>
      <c r="E73" s="145"/>
      <c r="F73" s="145"/>
      <c r="G73" s="145"/>
      <c r="H73" s="145"/>
      <c r="I73" s="146"/>
      <c r="J73" s="145"/>
      <c r="K73" s="145"/>
      <c r="L73" s="145"/>
      <c r="M73" s="145"/>
      <c r="N73" s="146"/>
      <c r="O73" s="145"/>
      <c r="P73" s="145"/>
      <c r="Q73" s="145"/>
      <c r="R73" s="145"/>
      <c r="S73" s="145"/>
      <c r="T73" s="146"/>
      <c r="U73" s="145"/>
      <c r="V73" s="145"/>
      <c r="W73" s="145"/>
      <c r="X73" s="146"/>
      <c r="Y73" s="145"/>
      <c r="Z73" s="145"/>
      <c r="AA73" s="145"/>
      <c r="AB73" s="146"/>
      <c r="AC73" s="146"/>
      <c r="AD73" s="145"/>
      <c r="AE73" s="145"/>
      <c r="AF73" s="145"/>
      <c r="AG73" s="145"/>
      <c r="AH73" s="146"/>
      <c r="AI73" s="145"/>
      <c r="AJ73" s="145"/>
      <c r="AK73" s="145"/>
      <c r="AL73" s="146"/>
      <c r="AM73" s="145"/>
      <c r="AN73" s="145"/>
      <c r="AO73" s="146"/>
      <c r="AP73" s="145"/>
      <c r="AQ73" s="145"/>
      <c r="AR73" s="145"/>
      <c r="AS73" s="146"/>
      <c r="AT73" s="146"/>
      <c r="AU73" s="145"/>
      <c r="AV73" s="145"/>
      <c r="AW73" s="145"/>
      <c r="AX73" s="145"/>
      <c r="AY73" s="145"/>
      <c r="AZ73" s="146"/>
      <c r="BA73" s="146"/>
      <c r="BB73" s="145"/>
      <c r="BC73" s="145"/>
      <c r="BD73" s="146"/>
      <c r="BE73" s="145"/>
      <c r="BF73" s="145"/>
      <c r="BG73" s="145"/>
      <c r="BH73" s="145"/>
      <c r="BI73" s="145"/>
      <c r="BJ73" s="146"/>
      <c r="BK73" s="145"/>
      <c r="BL73" s="145"/>
      <c r="BM73" s="145"/>
      <c r="BN73" s="145"/>
      <c r="BO73" s="145"/>
      <c r="BP73" s="145"/>
      <c r="BQ73" s="146"/>
      <c r="BR73" s="145"/>
      <c r="BS73" s="145"/>
      <c r="BT73" s="145"/>
      <c r="BU73" s="146"/>
      <c r="BV73" s="145"/>
      <c r="BW73" s="146"/>
      <c r="BX73" s="147"/>
    </row>
    <row r="74" spans="1:76" s="124" customFormat="1" ht="21" customHeight="1">
      <c r="A74" s="120" t="s">
        <v>40</v>
      </c>
      <c r="B74" s="150">
        <v>14</v>
      </c>
      <c r="C74" s="121" t="s">
        <v>25</v>
      </c>
      <c r="D74" s="122" t="e">
        <f>VLOOKUP(D$2&amp;$C74&amp;$A74,集計!$D:$R,$B74,0)</f>
        <v>#N/A</v>
      </c>
      <c r="E74" s="122" t="e">
        <f>VLOOKUP(E$2&amp;$C74&amp;$A74,集計!$D:$R,$B74,0)</f>
        <v>#N/A</v>
      </c>
      <c r="F74" s="122" t="e">
        <f>VLOOKUP(F$2&amp;$C74&amp;$A74,集計!$D:$R,$B74,0)</f>
        <v>#N/A</v>
      </c>
      <c r="G74" s="122" t="e">
        <f>VLOOKUP(G$2&amp;$C74&amp;$A74,集計!$D:$R,$B74,0)</f>
        <v>#N/A</v>
      </c>
      <c r="H74" s="122" t="e">
        <f>VLOOKUP(H$2&amp;$C74&amp;$A74,集計!$D:$R,$B74,0)</f>
        <v>#N/A</v>
      </c>
      <c r="I74" s="123" t="e">
        <f>D74+E74+F74+G74+H74</f>
        <v>#N/A</v>
      </c>
      <c r="J74" s="122" t="e">
        <f>VLOOKUP(J$2&amp;$C74&amp;$A74,集計!$D:$R,$B74,0)</f>
        <v>#N/A</v>
      </c>
      <c r="K74" s="122" t="e">
        <f>VLOOKUP(K$2&amp;$C74&amp;$A74,集計!$D:$R,$B74,0)</f>
        <v>#N/A</v>
      </c>
      <c r="L74" s="122" t="e">
        <f>VLOOKUP(L$2&amp;$C74&amp;$A74,集計!$D:$R,$B74,0)</f>
        <v>#N/A</v>
      </c>
      <c r="M74" s="122" t="e">
        <f>VLOOKUP(M$2&amp;$C74&amp;$A74,集計!$D:$R,$B74,0)</f>
        <v>#N/A</v>
      </c>
      <c r="N74" s="123" t="e">
        <f>J74+K74+L74+M74</f>
        <v>#N/A</v>
      </c>
      <c r="O74" s="122" t="e">
        <f>VLOOKUP(O$2&amp;$C74&amp;$A74,集計!$D:$R,$B74,0)</f>
        <v>#N/A</v>
      </c>
      <c r="P74" s="122" t="e">
        <f>VLOOKUP(P$2&amp;$C74&amp;$A74,集計!$D:$R,$B74,0)</f>
        <v>#N/A</v>
      </c>
      <c r="Q74" s="122" t="e">
        <f>VLOOKUP(Q$2&amp;$C74&amp;$A74,集計!$D:$R,$B74,0)</f>
        <v>#N/A</v>
      </c>
      <c r="R74" s="122" t="e">
        <f>VLOOKUP(R$2&amp;$C74&amp;$A74,集計!$D:$R,$B74,0)</f>
        <v>#N/A</v>
      </c>
      <c r="S74" s="122" t="e">
        <f>VLOOKUP(S$2&amp;$C74&amp;$A74,集計!$D:$R,$B74,0)</f>
        <v>#N/A</v>
      </c>
      <c r="T74" s="123" t="e">
        <f>O74+P74+Q74+R74+S74</f>
        <v>#N/A</v>
      </c>
      <c r="U74" s="122" t="e">
        <f>VLOOKUP(U$2&amp;$C74&amp;$A74,集計!$D:$R,$B74,0)</f>
        <v>#N/A</v>
      </c>
      <c r="V74" s="122" t="e">
        <f>VLOOKUP(V$2&amp;$C74&amp;$A74,集計!$D:$R,$B74,0)</f>
        <v>#N/A</v>
      </c>
      <c r="W74" s="122" t="e">
        <f>VLOOKUP(W$2&amp;$C74&amp;$A74,集計!$D:$R,$B74,0)</f>
        <v>#N/A</v>
      </c>
      <c r="X74" s="123" t="e">
        <f>U74+V74+W74</f>
        <v>#N/A</v>
      </c>
      <c r="Y74" s="122" t="e">
        <f>VLOOKUP(Y$2&amp;$C74&amp;$A74,集計!$D:$R,$B74,0)</f>
        <v>#N/A</v>
      </c>
      <c r="Z74" s="122" t="e">
        <f>VLOOKUP(Z$2&amp;$C74&amp;$A74,集計!$D:$R,$B74,0)</f>
        <v>#N/A</v>
      </c>
      <c r="AA74" s="122" t="e">
        <f>VLOOKUP(AA$2&amp;$C74&amp;$A74,集計!$D:$R,$B74,0)</f>
        <v>#N/A</v>
      </c>
      <c r="AB74" s="123" t="e">
        <f>Y74+Z74+AA74</f>
        <v>#N/A</v>
      </c>
      <c r="AC74" s="123" t="e">
        <f>I74+N74+T74+X74+AB74</f>
        <v>#N/A</v>
      </c>
      <c r="AD74" s="122" t="e">
        <f>VLOOKUP(AD$2&amp;$C74&amp;$A74,集計!$D:$R,$B74,0)</f>
        <v>#N/A</v>
      </c>
      <c r="AE74" s="122" t="e">
        <f>VLOOKUP(AE$2&amp;$C74&amp;$A74,集計!$D:$R,$B74,0)</f>
        <v>#N/A</v>
      </c>
      <c r="AF74" s="122" t="e">
        <f>VLOOKUP(AF$2&amp;$C74&amp;$A74,集計!$D:$R,$B74,0)</f>
        <v>#N/A</v>
      </c>
      <c r="AG74" s="122" t="e">
        <f>VLOOKUP(AG$2&amp;$C74&amp;$A74,集計!$D:$R,$B74,0)</f>
        <v>#N/A</v>
      </c>
      <c r="AH74" s="123" t="e">
        <f>AD74+AE74+AF74+AG74</f>
        <v>#N/A</v>
      </c>
      <c r="AI74" s="122" t="e">
        <f>VLOOKUP(AI$2&amp;$C74&amp;$A74,集計!$D:$R,$B74,0)</f>
        <v>#N/A</v>
      </c>
      <c r="AJ74" s="122" t="e">
        <f>VLOOKUP(AJ$2&amp;$C74&amp;$A74,集計!$D:$R,$B74,0)</f>
        <v>#N/A</v>
      </c>
      <c r="AK74" s="122" t="e">
        <f>VLOOKUP(AK$2&amp;$C74&amp;$A74,集計!$D:$R,$B74,0)</f>
        <v>#N/A</v>
      </c>
      <c r="AL74" s="123" t="e">
        <f>AI74+AJ74+AK74</f>
        <v>#N/A</v>
      </c>
      <c r="AM74" s="122" t="e">
        <f>VLOOKUP(AM$2&amp;$C74&amp;$A74,集計!$D:$R,$B74,0)</f>
        <v>#N/A</v>
      </c>
      <c r="AN74" s="122" t="e">
        <f>VLOOKUP(AN$2&amp;$C74&amp;$A74,集計!$D:$R,$B74,0)</f>
        <v>#N/A</v>
      </c>
      <c r="AO74" s="123" t="e">
        <f>AM74+AN74</f>
        <v>#N/A</v>
      </c>
      <c r="AP74" s="122" t="e">
        <f>VLOOKUP(AP$2&amp;$C74&amp;$A74,集計!$D:$R,$B74,0)</f>
        <v>#N/A</v>
      </c>
      <c r="AQ74" s="122" t="e">
        <f>VLOOKUP(AQ$2&amp;$C74&amp;$A74,集計!$D:$R,$B74,0)</f>
        <v>#N/A</v>
      </c>
      <c r="AR74" s="122" t="e">
        <f>VLOOKUP(AR$2&amp;$C74&amp;$A74,集計!$D:$R,$B74,0)</f>
        <v>#N/A</v>
      </c>
      <c r="AS74" s="123" t="e">
        <f>AP74+AQ74+AR74</f>
        <v>#N/A</v>
      </c>
      <c r="AT74" s="123" t="e">
        <f>AH74+AL74+AO74+AS74</f>
        <v>#N/A</v>
      </c>
      <c r="AU74" s="122" t="e">
        <f>VLOOKUP(AU$2&amp;$C74&amp;$A74,集計!$D:$R,$B74,0)</f>
        <v>#N/A</v>
      </c>
      <c r="AV74" s="122" t="e">
        <f>VLOOKUP(AV$2&amp;$C74&amp;$A74,集計!$D:$R,$B74,0)</f>
        <v>#N/A</v>
      </c>
      <c r="AW74" s="122" t="e">
        <f>VLOOKUP(AW$2&amp;$C74&amp;$A74,集計!$D:$R,$B74,0)</f>
        <v>#N/A</v>
      </c>
      <c r="AX74" s="122" t="e">
        <f>VLOOKUP(AX$2&amp;$C74&amp;$A74,集計!$D:$R,$B74,0)</f>
        <v>#N/A</v>
      </c>
      <c r="AY74" s="122" t="e">
        <f>VLOOKUP(AY$2&amp;$C74&amp;$A74,集計!$D:$R,$B74,0)</f>
        <v>#N/A</v>
      </c>
      <c r="AZ74" s="123" t="e">
        <f>AU74+AV74+AW74+AX74+AY74</f>
        <v>#N/A</v>
      </c>
      <c r="BA74" s="123" t="e">
        <f>AZ74</f>
        <v>#N/A</v>
      </c>
      <c r="BB74" s="122" t="e">
        <f>VLOOKUP(BB$2&amp;$C74&amp;$A74,集計!$D:$R,$B74,0)</f>
        <v>#N/A</v>
      </c>
      <c r="BC74" s="122" t="e">
        <f>VLOOKUP(BC$2&amp;$C74&amp;$A74,集計!$D:$R,$B74,0)</f>
        <v>#N/A</v>
      </c>
      <c r="BD74" s="123" t="e">
        <f>BB74+BC74</f>
        <v>#N/A</v>
      </c>
      <c r="BE74" s="122" t="e">
        <f>VLOOKUP(BE$2&amp;$C74&amp;$A74,集計!$D:$R,$B74,0)</f>
        <v>#N/A</v>
      </c>
      <c r="BF74" s="122" t="e">
        <f>VLOOKUP(BF$2&amp;$C74&amp;$A74,集計!$D:$R,$B74,0)</f>
        <v>#N/A</v>
      </c>
      <c r="BG74" s="122" t="e">
        <f>VLOOKUP(BG$2&amp;$C74&amp;$A74,集計!$D:$R,$B74,0)</f>
        <v>#N/A</v>
      </c>
      <c r="BH74" s="122" t="e">
        <f>VLOOKUP(BH$2&amp;$C74&amp;$A74,集計!$D:$R,$B74,0)</f>
        <v>#N/A</v>
      </c>
      <c r="BI74" s="122" t="e">
        <f>VLOOKUP(BI$2&amp;$C74&amp;$A74,集計!$D:$R,$B74,0)</f>
        <v>#N/A</v>
      </c>
      <c r="BJ74" s="123" t="e">
        <f>BE74+BF74+BG74+BH74+BI74</f>
        <v>#N/A</v>
      </c>
      <c r="BK74" s="122" t="e">
        <f>VLOOKUP(BK$2&amp;$C74&amp;$A74,集計!$D:$R,$B74,0)</f>
        <v>#N/A</v>
      </c>
      <c r="BL74" s="122" t="e">
        <f>VLOOKUP(BL$2&amp;$C74&amp;$A74,集計!$D:$R,$B74,0)</f>
        <v>#N/A</v>
      </c>
      <c r="BM74" s="122" t="e">
        <f>VLOOKUP(BM$2&amp;$C74&amp;$A74,集計!$D:$R,$B74,0)</f>
        <v>#N/A</v>
      </c>
      <c r="BN74" s="122" t="e">
        <f>VLOOKUP(BN$2&amp;$C74&amp;$A74,集計!$D:$R,$B74,0)</f>
        <v>#N/A</v>
      </c>
      <c r="BO74" s="122" t="e">
        <f>VLOOKUP(BO$2&amp;$C74&amp;$A74,集計!$D:$R,$B74,0)</f>
        <v>#N/A</v>
      </c>
      <c r="BP74" s="122" t="e">
        <f>VLOOKUP(BP$2&amp;$C74&amp;$A74,集計!$D:$R,$B74,0)</f>
        <v>#N/A</v>
      </c>
      <c r="BQ74" s="123" t="e">
        <f>BK74+BL74+BM74+BN74+BO74+BP74</f>
        <v>#N/A</v>
      </c>
      <c r="BR74" s="122" t="e">
        <f>VLOOKUP(BR$2&amp;$C74&amp;$A74,集計!$D:$R,$B74,0)</f>
        <v>#N/A</v>
      </c>
      <c r="BS74" s="122" t="e">
        <f>VLOOKUP(BS$2&amp;$C74&amp;$A74,集計!$D:$R,$B74,0)</f>
        <v>#N/A</v>
      </c>
      <c r="BT74" s="122" t="e">
        <f>VLOOKUP(BT$2&amp;$C74&amp;$A74,集計!$D:$R,$B74,0)</f>
        <v>#N/A</v>
      </c>
      <c r="BU74" s="123" t="e">
        <f>BR74+BS74+BT74</f>
        <v>#N/A</v>
      </c>
      <c r="BV74" s="122" t="e">
        <f>VLOOKUP(BV$2&amp;$C74&amp;$A74,集計!$D:$R,$B74,0)</f>
        <v>#N/A</v>
      </c>
      <c r="BW74" s="123" t="e">
        <f>BV74</f>
        <v>#N/A</v>
      </c>
      <c r="BX74" s="123" t="e">
        <f>AC74+AT74+BA74+BD74+BJ74+BQ74+BU74+BW74</f>
        <v>#N/A</v>
      </c>
    </row>
    <row r="75" spans="1:76" s="124" customFormat="1">
      <c r="A75" s="120" t="s">
        <v>40</v>
      </c>
      <c r="B75" s="150">
        <v>14</v>
      </c>
      <c r="C75" s="125" t="s">
        <v>106</v>
      </c>
      <c r="D75" s="126" t="e">
        <f>VLOOKUP(D$2&amp;$C75&amp;$A75,集計!$D:$R,$B75,0)</f>
        <v>#N/A</v>
      </c>
      <c r="E75" s="126" t="e">
        <f>VLOOKUP(E$2&amp;$C75&amp;$A75,集計!$D:$R,$B75,0)</f>
        <v>#N/A</v>
      </c>
      <c r="F75" s="126" t="e">
        <f>VLOOKUP(F$2&amp;$C75&amp;$A75,集計!$D:$R,$B75,0)</f>
        <v>#N/A</v>
      </c>
      <c r="G75" s="126" t="e">
        <f>VLOOKUP(G$2&amp;$C75&amp;$A75,集計!$D:$R,$B75,0)</f>
        <v>#N/A</v>
      </c>
      <c r="H75" s="126" t="e">
        <f>VLOOKUP(H$2&amp;$C75&amp;$A75,集計!$D:$R,$B75,0)</f>
        <v>#N/A</v>
      </c>
      <c r="I75" s="127" t="e">
        <f>D75+E75+F75+G75+H75</f>
        <v>#N/A</v>
      </c>
      <c r="J75" s="126" t="e">
        <f>VLOOKUP(J$2&amp;$C75&amp;$A75,集計!$D:$R,$B75,0)</f>
        <v>#N/A</v>
      </c>
      <c r="K75" s="126" t="e">
        <f>VLOOKUP(K$2&amp;$C75&amp;$A75,集計!$D:$R,$B75,0)</f>
        <v>#N/A</v>
      </c>
      <c r="L75" s="126" t="e">
        <f>VLOOKUP(L$2&amp;$C75&amp;$A75,集計!$D:$R,$B75,0)</f>
        <v>#N/A</v>
      </c>
      <c r="M75" s="126" t="e">
        <f>VLOOKUP(M$2&amp;$C75&amp;$A75,集計!$D:$R,$B75,0)</f>
        <v>#N/A</v>
      </c>
      <c r="N75" s="127" t="e">
        <f>J75+K75+L75+M75</f>
        <v>#N/A</v>
      </c>
      <c r="O75" s="126" t="e">
        <f>VLOOKUP(O$2&amp;$C75&amp;$A75,集計!$D:$R,$B75,0)</f>
        <v>#N/A</v>
      </c>
      <c r="P75" s="126" t="e">
        <f>VLOOKUP(P$2&amp;$C75&amp;$A75,集計!$D:$R,$B75,0)</f>
        <v>#N/A</v>
      </c>
      <c r="Q75" s="126" t="e">
        <f>VLOOKUP(Q$2&amp;$C75&amp;$A75,集計!$D:$R,$B75,0)</f>
        <v>#N/A</v>
      </c>
      <c r="R75" s="126" t="e">
        <f>VLOOKUP(R$2&amp;$C75&amp;$A75,集計!$D:$R,$B75,0)</f>
        <v>#N/A</v>
      </c>
      <c r="S75" s="126" t="e">
        <f>VLOOKUP(S$2&amp;$C75&amp;$A75,集計!$D:$R,$B75,0)</f>
        <v>#N/A</v>
      </c>
      <c r="T75" s="127" t="e">
        <f>O75+P75+Q75+R75+S75</f>
        <v>#N/A</v>
      </c>
      <c r="U75" s="126" t="e">
        <f>VLOOKUP(U$2&amp;$C75&amp;$A75,集計!$D:$R,$B75,0)</f>
        <v>#N/A</v>
      </c>
      <c r="V75" s="126" t="e">
        <f>VLOOKUP(V$2&amp;$C75&amp;$A75,集計!$D:$R,$B75,0)</f>
        <v>#N/A</v>
      </c>
      <c r="W75" s="126" t="e">
        <f>VLOOKUP(W$2&amp;$C75&amp;$A75,集計!$D:$R,$B75,0)</f>
        <v>#N/A</v>
      </c>
      <c r="X75" s="127" t="e">
        <f>U75+V75+W75</f>
        <v>#N/A</v>
      </c>
      <c r="Y75" s="126" t="e">
        <f>VLOOKUP(Y$2&amp;$C75&amp;$A75,集計!$D:$R,$B75,0)</f>
        <v>#N/A</v>
      </c>
      <c r="Z75" s="126" t="e">
        <f>VLOOKUP(Z$2&amp;$C75&amp;$A75,集計!$D:$R,$B75,0)</f>
        <v>#N/A</v>
      </c>
      <c r="AA75" s="126" t="e">
        <f>VLOOKUP(AA$2&amp;$C75&amp;$A75,集計!$D:$R,$B75,0)</f>
        <v>#N/A</v>
      </c>
      <c r="AB75" s="127" t="e">
        <f>Y75+Z75+AA75</f>
        <v>#N/A</v>
      </c>
      <c r="AC75" s="127" t="e">
        <f>I75+N75+T75+X75+AB75</f>
        <v>#N/A</v>
      </c>
      <c r="AD75" s="126" t="e">
        <f>VLOOKUP(AD$2&amp;$C75&amp;$A75,集計!$D:$R,$B75,0)</f>
        <v>#N/A</v>
      </c>
      <c r="AE75" s="126" t="e">
        <f>VLOOKUP(AE$2&amp;$C75&amp;$A75,集計!$D:$R,$B75,0)</f>
        <v>#N/A</v>
      </c>
      <c r="AF75" s="126" t="e">
        <f>VLOOKUP(AF$2&amp;$C75&amp;$A75,集計!$D:$R,$B75,0)</f>
        <v>#N/A</v>
      </c>
      <c r="AG75" s="126" t="e">
        <f>VLOOKUP(AG$2&amp;$C75&amp;$A75,集計!$D:$R,$B75,0)</f>
        <v>#N/A</v>
      </c>
      <c r="AH75" s="127" t="e">
        <f>AD75+AE75+AF75+AG75</f>
        <v>#N/A</v>
      </c>
      <c r="AI75" s="126" t="e">
        <f>VLOOKUP(AI$2&amp;$C75&amp;$A75,集計!$D:$R,$B75,0)</f>
        <v>#N/A</v>
      </c>
      <c r="AJ75" s="126" t="e">
        <f>VLOOKUP(AJ$2&amp;$C75&amp;$A75,集計!$D:$R,$B75,0)</f>
        <v>#N/A</v>
      </c>
      <c r="AK75" s="126" t="e">
        <f>VLOOKUP(AK$2&amp;$C75&amp;$A75,集計!$D:$R,$B75,0)</f>
        <v>#N/A</v>
      </c>
      <c r="AL75" s="127" t="e">
        <f>AI75+AJ75+AK75</f>
        <v>#N/A</v>
      </c>
      <c r="AM75" s="126" t="e">
        <f>VLOOKUP(AM$2&amp;$C75&amp;$A75,集計!$D:$R,$B75,0)</f>
        <v>#N/A</v>
      </c>
      <c r="AN75" s="126" t="e">
        <f>VLOOKUP(AN$2&amp;$C75&amp;$A75,集計!$D:$R,$B75,0)</f>
        <v>#N/A</v>
      </c>
      <c r="AO75" s="127" t="e">
        <f>AM75+AN75</f>
        <v>#N/A</v>
      </c>
      <c r="AP75" s="126" t="e">
        <f>VLOOKUP(AP$2&amp;$C75&amp;$A75,集計!$D:$R,$B75,0)</f>
        <v>#N/A</v>
      </c>
      <c r="AQ75" s="126" t="e">
        <f>VLOOKUP(AQ$2&amp;$C75&amp;$A75,集計!$D:$R,$B75,0)</f>
        <v>#N/A</v>
      </c>
      <c r="AR75" s="126" t="e">
        <f>VLOOKUP(AR$2&amp;$C75&amp;$A75,集計!$D:$R,$B75,0)</f>
        <v>#N/A</v>
      </c>
      <c r="AS75" s="127" t="e">
        <f>AP75+AQ75+AR75</f>
        <v>#N/A</v>
      </c>
      <c r="AT75" s="127" t="e">
        <f>AH75+AL75+AO75+AS75</f>
        <v>#N/A</v>
      </c>
      <c r="AU75" s="126" t="e">
        <f>VLOOKUP(AU$2&amp;$C75&amp;$A75,集計!$D:$R,$B75,0)</f>
        <v>#N/A</v>
      </c>
      <c r="AV75" s="126" t="e">
        <f>VLOOKUP(AV$2&amp;$C75&amp;$A75,集計!$D:$R,$B75,0)</f>
        <v>#N/A</v>
      </c>
      <c r="AW75" s="126" t="e">
        <f>VLOOKUP(AW$2&amp;$C75&amp;$A75,集計!$D:$R,$B75,0)</f>
        <v>#N/A</v>
      </c>
      <c r="AX75" s="126" t="e">
        <f>VLOOKUP(AX$2&amp;$C75&amp;$A75,集計!$D:$R,$B75,0)</f>
        <v>#N/A</v>
      </c>
      <c r="AY75" s="126" t="e">
        <f>VLOOKUP(AY$2&amp;$C75&amp;$A75,集計!$D:$R,$B75,0)</f>
        <v>#N/A</v>
      </c>
      <c r="AZ75" s="127" t="e">
        <f>AU75+AV75+AW75+AX75+AY75</f>
        <v>#N/A</v>
      </c>
      <c r="BA75" s="127" t="e">
        <f>AZ75</f>
        <v>#N/A</v>
      </c>
      <c r="BB75" s="126" t="e">
        <f>VLOOKUP(BB$2&amp;$C75&amp;$A75,集計!$D:$R,$B75,0)</f>
        <v>#N/A</v>
      </c>
      <c r="BC75" s="126" t="e">
        <f>VLOOKUP(BC$2&amp;$C75&amp;$A75,集計!$D:$R,$B75,0)</f>
        <v>#N/A</v>
      </c>
      <c r="BD75" s="127" t="e">
        <f>BB75+BC75</f>
        <v>#N/A</v>
      </c>
      <c r="BE75" s="126" t="e">
        <f>VLOOKUP(BE$2&amp;$C75&amp;$A75,集計!$D:$R,$B75,0)</f>
        <v>#N/A</v>
      </c>
      <c r="BF75" s="126" t="e">
        <f>VLOOKUP(BF$2&amp;$C75&amp;$A75,集計!$D:$R,$B75,0)</f>
        <v>#N/A</v>
      </c>
      <c r="BG75" s="126" t="e">
        <f>VLOOKUP(BG$2&amp;$C75&amp;$A75,集計!$D:$R,$B75,0)</f>
        <v>#N/A</v>
      </c>
      <c r="BH75" s="126" t="e">
        <f>VLOOKUP(BH$2&amp;$C75&amp;$A75,集計!$D:$R,$B75,0)</f>
        <v>#N/A</v>
      </c>
      <c r="BI75" s="126" t="e">
        <f>VLOOKUP(BI$2&amp;$C75&amp;$A75,集計!$D:$R,$B75,0)</f>
        <v>#N/A</v>
      </c>
      <c r="BJ75" s="127" t="e">
        <f>BE75+BF75+BG75+BH75+BI75</f>
        <v>#N/A</v>
      </c>
      <c r="BK75" s="126" t="e">
        <f>VLOOKUP(BK$2&amp;$C75&amp;$A75,集計!$D:$R,$B75,0)</f>
        <v>#N/A</v>
      </c>
      <c r="BL75" s="126" t="e">
        <f>VLOOKUP(BL$2&amp;$C75&amp;$A75,集計!$D:$R,$B75,0)</f>
        <v>#N/A</v>
      </c>
      <c r="BM75" s="126" t="e">
        <f>VLOOKUP(BM$2&amp;$C75&amp;$A75,集計!$D:$R,$B75,0)</f>
        <v>#N/A</v>
      </c>
      <c r="BN75" s="126" t="e">
        <f>VLOOKUP(BN$2&amp;$C75&amp;$A75,集計!$D:$R,$B75,0)</f>
        <v>#N/A</v>
      </c>
      <c r="BO75" s="126" t="e">
        <f>VLOOKUP(BO$2&amp;$C75&amp;$A75,集計!$D:$R,$B75,0)</f>
        <v>#N/A</v>
      </c>
      <c r="BP75" s="126" t="e">
        <f>VLOOKUP(BP$2&amp;$C75&amp;$A75,集計!$D:$R,$B75,0)</f>
        <v>#N/A</v>
      </c>
      <c r="BQ75" s="127" t="e">
        <f>BK75+BL75+BM75+BN75+BO75+BP75</f>
        <v>#N/A</v>
      </c>
      <c r="BR75" s="126" t="e">
        <f>VLOOKUP(BR$2&amp;$C75&amp;$A75,集計!$D:$R,$B75,0)</f>
        <v>#N/A</v>
      </c>
      <c r="BS75" s="126" t="e">
        <f>VLOOKUP(BS$2&amp;$C75&amp;$A75,集計!$D:$R,$B75,0)</f>
        <v>#N/A</v>
      </c>
      <c r="BT75" s="126" t="e">
        <f>VLOOKUP(BT$2&amp;$C75&amp;$A75,集計!$D:$R,$B75,0)</f>
        <v>#N/A</v>
      </c>
      <c r="BU75" s="127" t="e">
        <f>BR75+BS75+BT75</f>
        <v>#N/A</v>
      </c>
      <c r="BV75" s="126" t="e">
        <f>VLOOKUP(BV$2&amp;$C75&amp;$A75,集計!$D:$R,$B75,0)</f>
        <v>#N/A</v>
      </c>
      <c r="BW75" s="127" t="e">
        <f>BV75</f>
        <v>#N/A</v>
      </c>
      <c r="BX75" s="127" t="e">
        <f>AC75+AT75+BA75+BD75+BJ75+BQ75+BU75+BW75</f>
        <v>#N/A</v>
      </c>
    </row>
    <row r="76" spans="1:76" s="124" customFormat="1">
      <c r="A76" s="120" t="s">
        <v>40</v>
      </c>
      <c r="B76" s="150">
        <v>14</v>
      </c>
      <c r="C76" s="128" t="s">
        <v>107</v>
      </c>
      <c r="D76" s="129" t="e">
        <f>VLOOKUP(D$2&amp;$C76&amp;$A76,集計!$D:$R,$B76,0)</f>
        <v>#N/A</v>
      </c>
      <c r="E76" s="129" t="e">
        <f>VLOOKUP(E$2&amp;$C76&amp;$A76,集計!$D:$R,$B76,0)</f>
        <v>#N/A</v>
      </c>
      <c r="F76" s="129" t="e">
        <f>VLOOKUP(F$2&amp;$C76&amp;$A76,集計!$D:$R,$B76,0)</f>
        <v>#N/A</v>
      </c>
      <c r="G76" s="129" t="e">
        <f>VLOOKUP(G$2&amp;$C76&amp;$A76,集計!$D:$R,$B76,0)</f>
        <v>#N/A</v>
      </c>
      <c r="H76" s="129" t="e">
        <f>VLOOKUP(H$2&amp;$C76&amp;$A76,集計!$D:$R,$B76,0)</f>
        <v>#N/A</v>
      </c>
      <c r="I76" s="130" t="e">
        <f>D76+E76+F76+G76+H76</f>
        <v>#N/A</v>
      </c>
      <c r="J76" s="129" t="e">
        <f>VLOOKUP(J$2&amp;$C76&amp;$A76,集計!$D:$R,$B76,0)</f>
        <v>#N/A</v>
      </c>
      <c r="K76" s="129" t="e">
        <f>VLOOKUP(K$2&amp;$C76&amp;$A76,集計!$D:$R,$B76,0)</f>
        <v>#N/A</v>
      </c>
      <c r="L76" s="129" t="e">
        <f>VLOOKUP(L$2&amp;$C76&amp;$A76,集計!$D:$R,$B76,0)</f>
        <v>#N/A</v>
      </c>
      <c r="M76" s="129" t="e">
        <f>VLOOKUP(M$2&amp;$C76&amp;$A76,集計!$D:$R,$B76,0)</f>
        <v>#N/A</v>
      </c>
      <c r="N76" s="130" t="e">
        <f>J76+K76+L76+M76</f>
        <v>#N/A</v>
      </c>
      <c r="O76" s="129" t="e">
        <f>VLOOKUP(O$2&amp;$C76&amp;$A76,集計!$D:$R,$B76,0)</f>
        <v>#N/A</v>
      </c>
      <c r="P76" s="129" t="e">
        <f>VLOOKUP(P$2&amp;$C76&amp;$A76,集計!$D:$R,$B76,0)</f>
        <v>#N/A</v>
      </c>
      <c r="Q76" s="129" t="e">
        <f>VLOOKUP(Q$2&amp;$C76&amp;$A76,集計!$D:$R,$B76,0)</f>
        <v>#N/A</v>
      </c>
      <c r="R76" s="129" t="e">
        <f>VLOOKUP(R$2&amp;$C76&amp;$A76,集計!$D:$R,$B76,0)</f>
        <v>#N/A</v>
      </c>
      <c r="S76" s="129" t="e">
        <f>VLOOKUP(S$2&amp;$C76&amp;$A76,集計!$D:$R,$B76,0)</f>
        <v>#N/A</v>
      </c>
      <c r="T76" s="130" t="e">
        <f>O76+P76+Q76+R76+S76</f>
        <v>#N/A</v>
      </c>
      <c r="U76" s="129" t="e">
        <f>VLOOKUP(U$2&amp;$C76&amp;$A76,集計!$D:$R,$B76,0)</f>
        <v>#N/A</v>
      </c>
      <c r="V76" s="129" t="e">
        <f>VLOOKUP(V$2&amp;$C76&amp;$A76,集計!$D:$R,$B76,0)</f>
        <v>#N/A</v>
      </c>
      <c r="W76" s="129" t="e">
        <f>VLOOKUP(W$2&amp;$C76&amp;$A76,集計!$D:$R,$B76,0)</f>
        <v>#N/A</v>
      </c>
      <c r="X76" s="130" t="e">
        <f>U76+V76+W76</f>
        <v>#N/A</v>
      </c>
      <c r="Y76" s="129" t="e">
        <f>VLOOKUP(Y$2&amp;$C76&amp;$A76,集計!$D:$R,$B76,0)</f>
        <v>#N/A</v>
      </c>
      <c r="Z76" s="129" t="e">
        <f>VLOOKUP(Z$2&amp;$C76&amp;$A76,集計!$D:$R,$B76,0)</f>
        <v>#N/A</v>
      </c>
      <c r="AA76" s="129" t="e">
        <f>VLOOKUP(AA$2&amp;$C76&amp;$A76,集計!$D:$R,$B76,0)</f>
        <v>#N/A</v>
      </c>
      <c r="AB76" s="130" t="e">
        <f>Y76+Z76+AA76</f>
        <v>#N/A</v>
      </c>
      <c r="AC76" s="130" t="e">
        <f>I76+N76+T76+X76+AB76</f>
        <v>#N/A</v>
      </c>
      <c r="AD76" s="129" t="e">
        <f>VLOOKUP(AD$2&amp;$C76&amp;$A76,集計!$D:$R,$B76,0)</f>
        <v>#N/A</v>
      </c>
      <c r="AE76" s="129" t="e">
        <f>VLOOKUP(AE$2&amp;$C76&amp;$A76,集計!$D:$R,$B76,0)</f>
        <v>#N/A</v>
      </c>
      <c r="AF76" s="129" t="e">
        <f>VLOOKUP(AF$2&amp;$C76&amp;$A76,集計!$D:$R,$B76,0)</f>
        <v>#N/A</v>
      </c>
      <c r="AG76" s="129" t="e">
        <f>VLOOKUP(AG$2&amp;$C76&amp;$A76,集計!$D:$R,$B76,0)</f>
        <v>#N/A</v>
      </c>
      <c r="AH76" s="130" t="e">
        <f>AD76+AE76+AF76+AG76</f>
        <v>#N/A</v>
      </c>
      <c r="AI76" s="129" t="e">
        <f>VLOOKUP(AI$2&amp;$C76&amp;$A76,集計!$D:$R,$B76,0)</f>
        <v>#N/A</v>
      </c>
      <c r="AJ76" s="129" t="e">
        <f>VLOOKUP(AJ$2&amp;$C76&amp;$A76,集計!$D:$R,$B76,0)</f>
        <v>#N/A</v>
      </c>
      <c r="AK76" s="129" t="e">
        <f>VLOOKUP(AK$2&amp;$C76&amp;$A76,集計!$D:$R,$B76,0)</f>
        <v>#N/A</v>
      </c>
      <c r="AL76" s="130" t="e">
        <f>AI76+AJ76+AK76</f>
        <v>#N/A</v>
      </c>
      <c r="AM76" s="129" t="e">
        <f>VLOOKUP(AM$2&amp;$C76&amp;$A76,集計!$D:$R,$B76,0)</f>
        <v>#N/A</v>
      </c>
      <c r="AN76" s="129" t="e">
        <f>VLOOKUP(AN$2&amp;$C76&amp;$A76,集計!$D:$R,$B76,0)</f>
        <v>#N/A</v>
      </c>
      <c r="AO76" s="130" t="e">
        <f>AM76+AN76</f>
        <v>#N/A</v>
      </c>
      <c r="AP76" s="129" t="e">
        <f>VLOOKUP(AP$2&amp;$C76&amp;$A76,集計!$D:$R,$B76,0)</f>
        <v>#N/A</v>
      </c>
      <c r="AQ76" s="129" t="e">
        <f>VLOOKUP(AQ$2&amp;$C76&amp;$A76,集計!$D:$R,$B76,0)</f>
        <v>#N/A</v>
      </c>
      <c r="AR76" s="129" t="e">
        <f>VLOOKUP(AR$2&amp;$C76&amp;$A76,集計!$D:$R,$B76,0)</f>
        <v>#N/A</v>
      </c>
      <c r="AS76" s="130" t="e">
        <f>AP76+AQ76+AR76</f>
        <v>#N/A</v>
      </c>
      <c r="AT76" s="130" t="e">
        <f>AH76+AL76+AO76+AS76</f>
        <v>#N/A</v>
      </c>
      <c r="AU76" s="129" t="e">
        <f>VLOOKUP(AU$2&amp;$C76&amp;$A76,集計!$D:$R,$B76,0)</f>
        <v>#N/A</v>
      </c>
      <c r="AV76" s="129" t="e">
        <f>VLOOKUP(AV$2&amp;$C76&amp;$A76,集計!$D:$R,$B76,0)</f>
        <v>#N/A</v>
      </c>
      <c r="AW76" s="129" t="e">
        <f>VLOOKUP(AW$2&amp;$C76&amp;$A76,集計!$D:$R,$B76,0)</f>
        <v>#N/A</v>
      </c>
      <c r="AX76" s="129" t="e">
        <f>VLOOKUP(AX$2&amp;$C76&amp;$A76,集計!$D:$R,$B76,0)</f>
        <v>#N/A</v>
      </c>
      <c r="AY76" s="129" t="e">
        <f>VLOOKUP(AY$2&amp;$C76&amp;$A76,集計!$D:$R,$B76,0)</f>
        <v>#N/A</v>
      </c>
      <c r="AZ76" s="130" t="e">
        <f>AU76+AV76+AW76+AX76+AY76</f>
        <v>#N/A</v>
      </c>
      <c r="BA76" s="130" t="e">
        <f>AZ76</f>
        <v>#N/A</v>
      </c>
      <c r="BB76" s="129" t="e">
        <f>VLOOKUP(BB$2&amp;$C76&amp;$A76,集計!$D:$R,$B76,0)</f>
        <v>#N/A</v>
      </c>
      <c r="BC76" s="129" t="e">
        <f>VLOOKUP(BC$2&amp;$C76&amp;$A76,集計!$D:$R,$B76,0)</f>
        <v>#N/A</v>
      </c>
      <c r="BD76" s="130" t="e">
        <f>BB76+BC76</f>
        <v>#N/A</v>
      </c>
      <c r="BE76" s="129" t="e">
        <f>VLOOKUP(BE$2&amp;$C76&amp;$A76,集計!$D:$R,$B76,0)</f>
        <v>#N/A</v>
      </c>
      <c r="BF76" s="129" t="e">
        <f>VLOOKUP(BF$2&amp;$C76&amp;$A76,集計!$D:$R,$B76,0)</f>
        <v>#N/A</v>
      </c>
      <c r="BG76" s="129" t="e">
        <f>VLOOKUP(BG$2&amp;$C76&amp;$A76,集計!$D:$R,$B76,0)</f>
        <v>#N/A</v>
      </c>
      <c r="BH76" s="129" t="e">
        <f>VLOOKUP(BH$2&amp;$C76&amp;$A76,集計!$D:$R,$B76,0)</f>
        <v>#N/A</v>
      </c>
      <c r="BI76" s="129" t="e">
        <f>VLOOKUP(BI$2&amp;$C76&amp;$A76,集計!$D:$R,$B76,0)</f>
        <v>#N/A</v>
      </c>
      <c r="BJ76" s="130" t="e">
        <f>BE76+BF76+BG76+BH76+BI76</f>
        <v>#N/A</v>
      </c>
      <c r="BK76" s="129" t="e">
        <f>VLOOKUP(BK$2&amp;$C76&amp;$A76,集計!$D:$R,$B76,0)</f>
        <v>#N/A</v>
      </c>
      <c r="BL76" s="129" t="e">
        <f>VLOOKUP(BL$2&amp;$C76&amp;$A76,集計!$D:$R,$B76,0)</f>
        <v>#N/A</v>
      </c>
      <c r="BM76" s="129" t="e">
        <f>VLOOKUP(BM$2&amp;$C76&amp;$A76,集計!$D:$R,$B76,0)</f>
        <v>#N/A</v>
      </c>
      <c r="BN76" s="129" t="e">
        <f>VLOOKUP(BN$2&amp;$C76&amp;$A76,集計!$D:$R,$B76,0)</f>
        <v>#N/A</v>
      </c>
      <c r="BO76" s="129" t="e">
        <f>VLOOKUP(BO$2&amp;$C76&amp;$A76,集計!$D:$R,$B76,0)</f>
        <v>#N/A</v>
      </c>
      <c r="BP76" s="129" t="e">
        <f>VLOOKUP(BP$2&amp;$C76&amp;$A76,集計!$D:$R,$B76,0)</f>
        <v>#N/A</v>
      </c>
      <c r="BQ76" s="130" t="e">
        <f>BK76+BL76+BM76+BN76+BO76+BP76</f>
        <v>#N/A</v>
      </c>
      <c r="BR76" s="129" t="e">
        <f>VLOOKUP(BR$2&amp;$C76&amp;$A76,集計!$D:$R,$B76,0)</f>
        <v>#N/A</v>
      </c>
      <c r="BS76" s="129" t="e">
        <f>VLOOKUP(BS$2&amp;$C76&amp;$A76,集計!$D:$R,$B76,0)</f>
        <v>#N/A</v>
      </c>
      <c r="BT76" s="129" t="e">
        <f>VLOOKUP(BT$2&amp;$C76&amp;$A76,集計!$D:$R,$B76,0)</f>
        <v>#N/A</v>
      </c>
      <c r="BU76" s="130" t="e">
        <f>BR76+BS76+BT76</f>
        <v>#N/A</v>
      </c>
      <c r="BV76" s="129" t="e">
        <f>VLOOKUP(BV$2&amp;$C76&amp;$A76,集計!$D:$R,$B76,0)</f>
        <v>#N/A</v>
      </c>
      <c r="BW76" s="130" t="e">
        <f>BV76</f>
        <v>#N/A</v>
      </c>
      <c r="BX76" s="130" t="e">
        <f>AC76+AT76+BA76+BD76+BJ76+BQ76+BU76+BW76</f>
        <v>#N/A</v>
      </c>
    </row>
    <row r="77" spans="1:76" s="124" customFormat="1">
      <c r="A77" s="120" t="s">
        <v>40</v>
      </c>
      <c r="B77" s="150">
        <v>14</v>
      </c>
      <c r="C77" s="131" t="s">
        <v>26</v>
      </c>
      <c r="D77" s="132" t="e">
        <f>IF(VLOOKUP(D$2&amp;$C77&amp;$A77,集計!$D:$R,$B77,0)&lt;&gt;SUM(D75:D76),"NG",SUM(D75:D76))</f>
        <v>#N/A</v>
      </c>
      <c r="E77" s="132" t="e">
        <f>IF(VLOOKUP(E$2&amp;$C77&amp;$A77,集計!$D:$R,$B77,0)&lt;&gt;SUM(E75:E76),"NG",SUM(E75:E76))</f>
        <v>#N/A</v>
      </c>
      <c r="F77" s="132" t="e">
        <f>IF(VLOOKUP(F$2&amp;$C77&amp;$A77,集計!$D:$R,$B77,0)&lt;&gt;SUM(F75:F76),"NG",SUM(F75:F76))</f>
        <v>#N/A</v>
      </c>
      <c r="G77" s="132" t="e">
        <f>IF(VLOOKUP(G$2&amp;$C77&amp;$A77,集計!$D:$R,$B77,0)&lt;&gt;SUM(G75:G76),"NG",SUM(G75:G76))</f>
        <v>#N/A</v>
      </c>
      <c r="H77" s="132" t="e">
        <f>IF(VLOOKUP(H$2&amp;$C77&amp;$A77,集計!$D:$R,$B77,0)&lt;&gt;SUM(H75:H76),"NG",SUM(H75:H76))</f>
        <v>#N/A</v>
      </c>
      <c r="I77" s="133" t="e">
        <f>I75+I76</f>
        <v>#N/A</v>
      </c>
      <c r="J77" s="132" t="e">
        <f>IF(VLOOKUP(J$2&amp;$C77&amp;$A77,集計!$D:$R,$B77,0)&lt;&gt;SUM(J75:J76),"NG",SUM(J75:J76))</f>
        <v>#N/A</v>
      </c>
      <c r="K77" s="132" t="e">
        <f>IF(VLOOKUP(K$2&amp;$C77&amp;$A77,集計!$D:$R,$B77,0)&lt;&gt;SUM(K75:K76),"NG",SUM(K75:K76))</f>
        <v>#N/A</v>
      </c>
      <c r="L77" s="132" t="e">
        <f>IF(VLOOKUP(L$2&amp;$C77&amp;$A77,集計!$D:$R,$B77,0)&lt;&gt;SUM(L75:L76),"NG",SUM(L75:L76))</f>
        <v>#N/A</v>
      </c>
      <c r="M77" s="132" t="e">
        <f>IF(VLOOKUP(M$2&amp;$C77&amp;$A77,集計!$D:$R,$B77,0)&lt;&gt;SUM(M75:M76),"NG",SUM(M75:M76))</f>
        <v>#N/A</v>
      </c>
      <c r="N77" s="133" t="e">
        <f>N75+N76</f>
        <v>#N/A</v>
      </c>
      <c r="O77" s="132" t="e">
        <f>IF(VLOOKUP(O$2&amp;$C77&amp;$A77,集計!$D:$R,$B77,0)&lt;&gt;SUM(O75:O76),"NG",SUM(O75:O76))</f>
        <v>#N/A</v>
      </c>
      <c r="P77" s="132" t="e">
        <f>IF(VLOOKUP(P$2&amp;$C77&amp;$A77,集計!$D:$R,$B77,0)&lt;&gt;SUM(P75:P76),"NG",SUM(P75:P76))</f>
        <v>#N/A</v>
      </c>
      <c r="Q77" s="132" t="e">
        <f>IF(VLOOKUP(Q$2&amp;$C77&amp;$A77,集計!$D:$R,$B77,0)&lt;&gt;SUM(Q75:Q76),"NG",SUM(Q75:Q76))</f>
        <v>#N/A</v>
      </c>
      <c r="R77" s="132" t="e">
        <f>IF(VLOOKUP(R$2&amp;$C77&amp;$A77,集計!$D:$R,$B77,0)&lt;&gt;SUM(R75:R76),"NG",SUM(R75:R76))</f>
        <v>#N/A</v>
      </c>
      <c r="S77" s="132" t="e">
        <f>IF(VLOOKUP(S$2&amp;$C77&amp;$A77,集計!$D:$R,$B77,0)&lt;&gt;SUM(S75:S76),"NG",SUM(S75:S76))</f>
        <v>#N/A</v>
      </c>
      <c r="T77" s="133" t="e">
        <f>T75+T76</f>
        <v>#N/A</v>
      </c>
      <c r="U77" s="132" t="e">
        <f>IF(VLOOKUP(U$2&amp;$C77&amp;$A77,集計!$D:$R,$B77,0)&lt;&gt;SUM(U75:U76),"NG",SUM(U75:U76))</f>
        <v>#N/A</v>
      </c>
      <c r="V77" s="132" t="e">
        <f>IF(VLOOKUP(V$2&amp;$C77&amp;$A77,集計!$D:$R,$B77,0)&lt;&gt;SUM(V75:V76),"NG",SUM(V75:V76))</f>
        <v>#N/A</v>
      </c>
      <c r="W77" s="132" t="e">
        <f>IF(VLOOKUP(W$2&amp;$C77&amp;$A77,集計!$D:$R,$B77,0)&lt;&gt;SUM(W75:W76),"NG",SUM(W75:W76))</f>
        <v>#N/A</v>
      </c>
      <c r="X77" s="133" t="e">
        <f>SUM(X75:X76)</f>
        <v>#N/A</v>
      </c>
      <c r="Y77" s="132" t="e">
        <f>IF(VLOOKUP(Y$2&amp;$C77&amp;$A77,集計!$D:$R,$B77,0)&lt;&gt;SUM(Y75:Y76),"NG",SUM(Y75:Y76))</f>
        <v>#N/A</v>
      </c>
      <c r="Z77" s="132" t="e">
        <f>IF(VLOOKUP(Z$2&amp;$C77&amp;$A77,集計!$D:$R,$B77,0)&lt;&gt;SUM(Z75:Z76),"NG",SUM(Z75:Z76))</f>
        <v>#N/A</v>
      </c>
      <c r="AA77" s="132" t="e">
        <f>IF(VLOOKUP(AA$2&amp;$C77&amp;$A77,集計!$D:$R,$B77,0)&lt;&gt;SUM(AA75:AA76),"NG",SUM(AA75:AA76))</f>
        <v>#N/A</v>
      </c>
      <c r="AB77" s="133" t="e">
        <f>SUM(AB75:AB76)</f>
        <v>#N/A</v>
      </c>
      <c r="AC77" s="133" t="e">
        <f>SUM(AC75:AC76)</f>
        <v>#N/A</v>
      </c>
      <c r="AD77" s="132" t="e">
        <f>IF(VLOOKUP(AD$2&amp;$C77&amp;$A77,集計!$D:$R,$B77,0)&lt;&gt;SUM(AD75:AD76),"NG",SUM(AD75:AD76))</f>
        <v>#N/A</v>
      </c>
      <c r="AE77" s="132" t="e">
        <f>IF(VLOOKUP(AE$2&amp;$C77&amp;$A77,集計!$D:$R,$B77,0)&lt;&gt;SUM(AE75:AE76),"NG",SUM(AE75:AE76))</f>
        <v>#N/A</v>
      </c>
      <c r="AF77" s="132" t="e">
        <f>IF(VLOOKUP(AF$2&amp;$C77&amp;$A77,集計!$D:$R,$B77,0)&lt;&gt;SUM(AF75:AF76),"NG",SUM(AF75:AF76))</f>
        <v>#N/A</v>
      </c>
      <c r="AG77" s="132" t="e">
        <f>IF(VLOOKUP(AG$2&amp;$C77&amp;$A77,集計!$D:$R,$B77,0)&lt;&gt;SUM(AG75:AG76),"NG",SUM(AG75:AG76))</f>
        <v>#N/A</v>
      </c>
      <c r="AH77" s="133" t="e">
        <f>SUM(AH75:AH76)</f>
        <v>#N/A</v>
      </c>
      <c r="AI77" s="132" t="e">
        <f>IF(VLOOKUP(AI$2&amp;$C77&amp;$A77,集計!$D:$R,$B77,0)&lt;&gt;SUM(AI75:AI76),"NG",SUM(AI75:AI76))</f>
        <v>#N/A</v>
      </c>
      <c r="AJ77" s="132" t="e">
        <f>IF(VLOOKUP(AJ$2&amp;$C77&amp;$A77,集計!$D:$R,$B77,0)&lt;&gt;SUM(AJ75:AJ76),"NG",SUM(AJ75:AJ76))</f>
        <v>#N/A</v>
      </c>
      <c r="AK77" s="132" t="e">
        <f>IF(VLOOKUP(AK$2&amp;$C77&amp;$A77,集計!$D:$R,$B77,0)&lt;&gt;SUM(AK75:AK76),"NG",SUM(AK75:AK76))</f>
        <v>#N/A</v>
      </c>
      <c r="AL77" s="133" t="e">
        <f>SUM(AL75:AL76)</f>
        <v>#N/A</v>
      </c>
      <c r="AM77" s="132" t="e">
        <f>IF(VLOOKUP(AM$2&amp;$C77&amp;$A77,集計!$D:$R,$B77,0)&lt;&gt;SUM(AM75:AM76),"NG",SUM(AM75:AM76))</f>
        <v>#N/A</v>
      </c>
      <c r="AN77" s="132" t="e">
        <f>IF(VLOOKUP(AN$2&amp;$C77&amp;$A77,集計!$D:$R,$B77,0)&lt;&gt;SUM(AN75:AN76),"NG",SUM(AN75:AN76))</f>
        <v>#N/A</v>
      </c>
      <c r="AO77" s="133" t="e">
        <f>SUM(AO75:AO76)</f>
        <v>#N/A</v>
      </c>
      <c r="AP77" s="132" t="e">
        <f>IF(VLOOKUP(AP$2&amp;$C77&amp;$A77,集計!$D:$R,$B77,0)&lt;&gt;SUM(AP75:AP76),"NG",SUM(AP75:AP76))</f>
        <v>#N/A</v>
      </c>
      <c r="AQ77" s="132" t="e">
        <f>IF(VLOOKUP(AQ$2&amp;$C77&amp;$A77,集計!$D:$R,$B77,0)&lt;&gt;SUM(AQ75:AQ76),"NG",SUM(AQ75:AQ76))</f>
        <v>#N/A</v>
      </c>
      <c r="AR77" s="132" t="e">
        <f>IF(VLOOKUP(AR$2&amp;$C77&amp;$A77,集計!$D:$R,$B77,0)&lt;&gt;SUM(AR75:AR76),"NG",SUM(AR75:AR76))</f>
        <v>#N/A</v>
      </c>
      <c r="AS77" s="133" t="e">
        <f>SUM(AS75:AS76)</f>
        <v>#N/A</v>
      </c>
      <c r="AT77" s="133" t="e">
        <f>SUM(AT75:AT76)</f>
        <v>#N/A</v>
      </c>
      <c r="AU77" s="132" t="e">
        <f>IF(VLOOKUP(AU$2&amp;$C77&amp;$A77,集計!$D:$R,$B77,0)&lt;&gt;SUM(AU75:AU76),"NG",SUM(AU75:AU76))</f>
        <v>#N/A</v>
      </c>
      <c r="AV77" s="132" t="e">
        <f>IF(VLOOKUP(AV$2&amp;$C77&amp;$A77,集計!$D:$R,$B77,0)&lt;&gt;SUM(AV75:AV76),"NG",SUM(AV75:AV76))</f>
        <v>#N/A</v>
      </c>
      <c r="AW77" s="132" t="e">
        <f>IF(VLOOKUP(AW$2&amp;$C77&amp;$A77,集計!$D:$R,$B77,0)&lt;&gt;SUM(AW75:AW76),"NG",SUM(AW75:AW76))</f>
        <v>#N/A</v>
      </c>
      <c r="AX77" s="132" t="e">
        <f>IF(VLOOKUP(AX$2&amp;$C77&amp;$A77,集計!$D:$R,$B77,0)&lt;&gt;SUM(AX75:AX76),"NG",SUM(AX75:AX76))</f>
        <v>#N/A</v>
      </c>
      <c r="AY77" s="132" t="e">
        <f>IF(VLOOKUP(AY$2&amp;$C77&amp;$A77,集計!$D:$R,$B77,0)&lt;&gt;SUM(AY75:AY76),"NG",SUM(AY75:AY76))</f>
        <v>#N/A</v>
      </c>
      <c r="AZ77" s="133" t="e">
        <f>AZ75+AZ76</f>
        <v>#N/A</v>
      </c>
      <c r="BA77" s="133" t="e">
        <f>BA75+BA76</f>
        <v>#N/A</v>
      </c>
      <c r="BB77" s="132" t="e">
        <f>IF(VLOOKUP(BB$2&amp;$C77&amp;$A77,集計!$D:$R,$B77,0)&lt;&gt;SUM(BB75:BB76),"NG",SUM(BB75:BB76))</f>
        <v>#N/A</v>
      </c>
      <c r="BC77" s="132" t="e">
        <f>IF(VLOOKUP(BC$2&amp;$C77&amp;$A77,集計!$D:$R,$B77,0)&lt;&gt;SUM(BC75:BC76),"NG",SUM(BC75:BC76))</f>
        <v>#N/A</v>
      </c>
      <c r="BD77" s="133" t="e">
        <f>SUM(BD75:BD76)</f>
        <v>#N/A</v>
      </c>
      <c r="BE77" s="132" t="e">
        <f>IF(VLOOKUP(BE$2&amp;$C77&amp;$A77,集計!$D:$R,$B77,0)&lt;&gt;SUM(BE75:BE76),"NG",SUM(BE75:BE76))</f>
        <v>#N/A</v>
      </c>
      <c r="BF77" s="132" t="e">
        <f>IF(VLOOKUP(BF$2&amp;$C77&amp;$A77,集計!$D:$R,$B77,0)&lt;&gt;SUM(BF75:BF76),"NG",SUM(BF75:BF76))</f>
        <v>#N/A</v>
      </c>
      <c r="BG77" s="132" t="e">
        <f>IF(VLOOKUP(BG$2&amp;$C77&amp;$A77,集計!$D:$R,$B77,0)&lt;&gt;SUM(BG75:BG76),"NG",SUM(BG75:BG76))</f>
        <v>#N/A</v>
      </c>
      <c r="BH77" s="132" t="e">
        <f>IF(VLOOKUP(BH$2&amp;$C77&amp;$A77,集計!$D:$R,$B77,0)&lt;&gt;SUM(BH75:BH76),"NG",SUM(BH75:BH76))</f>
        <v>#N/A</v>
      </c>
      <c r="BI77" s="132" t="e">
        <f>IF(VLOOKUP(BI$2&amp;$C77&amp;$A77,集計!$D:$R,$B77,0)&lt;&gt;SUM(BI75:BI76),"NG",SUM(BI75:BI76))</f>
        <v>#N/A</v>
      </c>
      <c r="BJ77" s="133" t="e">
        <f>BJ75+BJ76</f>
        <v>#N/A</v>
      </c>
      <c r="BK77" s="132" t="e">
        <f>IF(VLOOKUP(BK$2&amp;$C77&amp;$A77,集計!$D:$R,$B77,0)&lt;&gt;SUM(BK75:BK76),"NG",SUM(BK75:BK76))</f>
        <v>#N/A</v>
      </c>
      <c r="BL77" s="132" t="e">
        <f>IF(VLOOKUP(BL$2&amp;$C77&amp;$A77,集計!$D:$R,$B77,0)&lt;&gt;SUM(BL75:BL76),"NG",SUM(BL75:BL76))</f>
        <v>#N/A</v>
      </c>
      <c r="BM77" s="132" t="e">
        <f>IF(VLOOKUP(BM$2&amp;$C77&amp;$A77,集計!$D:$R,$B77,0)&lt;&gt;SUM(BM75:BM76),"NG",SUM(BM75:BM76))</f>
        <v>#N/A</v>
      </c>
      <c r="BN77" s="132" t="e">
        <f>IF(VLOOKUP(BN$2&amp;$C77&amp;$A77,集計!$D:$R,$B77,0)&lt;&gt;SUM(BN75:BN76),"NG",SUM(BN75:BN76))</f>
        <v>#N/A</v>
      </c>
      <c r="BO77" s="132" t="e">
        <f>IF(VLOOKUP(BO$2&amp;$C77&amp;$A77,集計!$D:$R,$B77,0)&lt;&gt;SUM(BO75:BO76),"NG",SUM(BO75:BO76))</f>
        <v>#N/A</v>
      </c>
      <c r="BP77" s="132" t="e">
        <f>IF(VLOOKUP(BP$2&amp;$C77&amp;$A77,集計!$D:$R,$B77,0)&lt;&gt;SUM(BP75:BP76),"NG",SUM(BP75:BP76))</f>
        <v>#N/A</v>
      </c>
      <c r="BQ77" s="133" t="e">
        <f>BQ75+BQ76</f>
        <v>#N/A</v>
      </c>
      <c r="BR77" s="132" t="e">
        <f>IF(VLOOKUP(BR$2&amp;$C77&amp;$A77,集計!$D:$R,$B77,0)&lt;&gt;SUM(BR75:BR76),"NG",SUM(BR75:BR76))</f>
        <v>#N/A</v>
      </c>
      <c r="BS77" s="132" t="e">
        <f>IF(VLOOKUP(BS$2&amp;$C77&amp;$A77,集計!$D:$R,$B77,0)&lt;&gt;SUM(BS75:BS76),"NG",SUM(BS75:BS76))</f>
        <v>#N/A</v>
      </c>
      <c r="BT77" s="132" t="e">
        <f>IF(VLOOKUP(BT$2&amp;$C77&amp;$A77,集計!$D:$R,$B77,0)&lt;&gt;SUM(BT75:BT76),"NG",SUM(BT75:BT76))</f>
        <v>#N/A</v>
      </c>
      <c r="BU77" s="133" t="e">
        <f>BU75+BU76</f>
        <v>#N/A</v>
      </c>
      <c r="BV77" s="132" t="e">
        <f>IF(VLOOKUP(BV$2&amp;$C77&amp;$A77,集計!$D:$R,$B77,0)&lt;&gt;SUM(BV75:BV76),"NG",SUM(BV75:BV76))</f>
        <v>#N/A</v>
      </c>
      <c r="BW77" s="133" t="e">
        <f>SUM(BW75:BW76)</f>
        <v>#N/A</v>
      </c>
      <c r="BX77" s="133" t="e">
        <f>SUM(BX75:BX76)</f>
        <v>#N/A</v>
      </c>
    </row>
    <row r="78" spans="1:76" s="124" customFormat="1" ht="15" thickBot="1">
      <c r="A78" s="120" t="s">
        <v>40</v>
      </c>
      <c r="B78" s="150">
        <v>14</v>
      </c>
      <c r="C78" s="135" t="s">
        <v>27</v>
      </c>
      <c r="D78" s="136" t="e">
        <f>IF(VLOOKUP(D$2&amp;$C78&amp;$A78,集計!$D:$R,$B78,0)&lt;&gt;SUM(D74,D77),"NG",SUM(D74,D77))</f>
        <v>#N/A</v>
      </c>
      <c r="E78" s="136" t="e">
        <f>IF(VLOOKUP(E$2&amp;$C78&amp;$A78,集計!$D:$R,$B78,0)&lt;&gt;SUM(E74,E77),"NG",SUM(E74,E77))</f>
        <v>#N/A</v>
      </c>
      <c r="F78" s="136" t="e">
        <f>IF(VLOOKUP(F$2&amp;$C78&amp;$A78,集計!$D:$R,$B78,0)&lt;&gt;SUM(F74,F77),"NG",SUM(F74,F77))</f>
        <v>#N/A</v>
      </c>
      <c r="G78" s="136" t="e">
        <f>IF(VLOOKUP(G$2&amp;$C78&amp;$A78,集計!$D:$R,$B78,0)&lt;&gt;SUM(G74,G77),"NG",SUM(G74,G77))</f>
        <v>#N/A</v>
      </c>
      <c r="H78" s="136" t="e">
        <f>IF(VLOOKUP(H$2&amp;$C78&amp;$A78,集計!$D:$R,$B78,0)&lt;&gt;SUM(H74,H77),"NG",SUM(H74,H77))</f>
        <v>#N/A</v>
      </c>
      <c r="I78" s="137" t="e">
        <f>I74+I77</f>
        <v>#N/A</v>
      </c>
      <c r="J78" s="136" t="e">
        <f>IF(VLOOKUP(J$2&amp;$C78&amp;$A78,集計!$D:$R,$B78,0)&lt;&gt;SUM(J74,J77),"NG",SUM(J74,J77))</f>
        <v>#N/A</v>
      </c>
      <c r="K78" s="136" t="e">
        <f>IF(VLOOKUP(K$2&amp;$C78&amp;$A78,集計!$D:$R,$B78,0)&lt;&gt;SUM(K74,K77),"NG",SUM(K74,K77))</f>
        <v>#N/A</v>
      </c>
      <c r="L78" s="136" t="e">
        <f>IF(VLOOKUP(L$2&amp;$C78&amp;$A78,集計!$D:$R,$B78,0)&lt;&gt;SUM(L74,L77),"NG",SUM(L74,L77))</f>
        <v>#N/A</v>
      </c>
      <c r="M78" s="136" t="e">
        <f>IF(VLOOKUP(M$2&amp;$C78&amp;$A78,集計!$D:$R,$B78,0)&lt;&gt;SUM(M74,M77),"NG",SUM(M74,M77))</f>
        <v>#N/A</v>
      </c>
      <c r="N78" s="137" t="e">
        <f>N74+N77</f>
        <v>#N/A</v>
      </c>
      <c r="O78" s="136" t="e">
        <f>IF(VLOOKUP(O$2&amp;$C78&amp;$A78,集計!$D:$R,$B78,0)&lt;&gt;SUM(O74,O77),"NG",SUM(O74,O77))</f>
        <v>#N/A</v>
      </c>
      <c r="P78" s="136" t="e">
        <f>IF(VLOOKUP(P$2&amp;$C78&amp;$A78,集計!$D:$R,$B78,0)&lt;&gt;SUM(P74,P77),"NG",SUM(P74,P77))</f>
        <v>#N/A</v>
      </c>
      <c r="Q78" s="136" t="e">
        <f>IF(VLOOKUP(Q$2&amp;$C78&amp;$A78,集計!$D:$R,$B78,0)&lt;&gt;SUM(Q74,Q77),"NG",SUM(Q74,Q77))</f>
        <v>#N/A</v>
      </c>
      <c r="R78" s="136" t="e">
        <f>IF(VLOOKUP(R$2&amp;$C78&amp;$A78,集計!$D:$R,$B78,0)&lt;&gt;SUM(R74,R77),"NG",SUM(R74,R77))</f>
        <v>#N/A</v>
      </c>
      <c r="S78" s="136" t="e">
        <f>IF(VLOOKUP(S$2&amp;$C78&amp;$A78,集計!$D:$R,$B78,0)&lt;&gt;SUM(S74,S77),"NG",SUM(S74,S77))</f>
        <v>#N/A</v>
      </c>
      <c r="T78" s="137" t="e">
        <f>T74+T77</f>
        <v>#N/A</v>
      </c>
      <c r="U78" s="136" t="e">
        <f>IF(VLOOKUP(U$2&amp;$C78&amp;$A78,集計!$D:$R,$B78,0)&lt;&gt;SUM(U74,U77),"NG",SUM(U74,U77))</f>
        <v>#N/A</v>
      </c>
      <c r="V78" s="136" t="e">
        <f>IF(VLOOKUP(V$2&amp;$C78&amp;$A78,集計!$D:$R,$B78,0)&lt;&gt;SUM(V74,V77),"NG",SUM(V74,V77))</f>
        <v>#N/A</v>
      </c>
      <c r="W78" s="136" t="e">
        <f>IF(VLOOKUP(W$2&amp;$C78&amp;$A78,集計!$D:$R,$B78,0)&lt;&gt;SUM(W74,W77),"NG",SUM(W74,W77))</f>
        <v>#N/A</v>
      </c>
      <c r="X78" s="137" t="e">
        <f>X74+X77</f>
        <v>#N/A</v>
      </c>
      <c r="Y78" s="136" t="e">
        <f>IF(VLOOKUP(Y$2&amp;$C78&amp;$A78,集計!$D:$R,$B78,0)&lt;&gt;SUM(Y74,Y77),"NG",SUM(Y74,Y77))</f>
        <v>#N/A</v>
      </c>
      <c r="Z78" s="136" t="e">
        <f>IF(VLOOKUP(Z$2&amp;$C78&amp;$A78,集計!$D:$R,$B78,0)&lt;&gt;SUM(Z74,Z77),"NG",SUM(Z74,Z77))</f>
        <v>#N/A</v>
      </c>
      <c r="AA78" s="136" t="e">
        <f>IF(VLOOKUP(AA$2&amp;$C78&amp;$A78,集計!$D:$R,$B78,0)&lt;&gt;SUM(AA74,AA77),"NG",SUM(AA74,AA77))</f>
        <v>#N/A</v>
      </c>
      <c r="AB78" s="137" t="e">
        <f>AB74+AB77</f>
        <v>#N/A</v>
      </c>
      <c r="AC78" s="137" t="e">
        <f>AC74+AC77</f>
        <v>#N/A</v>
      </c>
      <c r="AD78" s="136" t="e">
        <f>IF(VLOOKUP(AD$2&amp;$C78&amp;$A78,集計!$D:$R,$B78,0)&lt;&gt;SUM(AD74,AD77),"NG",SUM(AD74,AD77))</f>
        <v>#N/A</v>
      </c>
      <c r="AE78" s="136" t="e">
        <f>IF(VLOOKUP(AE$2&amp;$C78&amp;$A78,集計!$D:$R,$B78,0)&lt;&gt;SUM(AE74,AE77),"NG",SUM(AE74,AE77))</f>
        <v>#N/A</v>
      </c>
      <c r="AF78" s="136" t="e">
        <f>IF(VLOOKUP(AF$2&amp;$C78&amp;$A78,集計!$D:$R,$B78,0)&lt;&gt;SUM(AF74,AF77),"NG",SUM(AF74,AF77))</f>
        <v>#N/A</v>
      </c>
      <c r="AG78" s="136" t="e">
        <f>IF(VLOOKUP(AG$2&amp;$C78&amp;$A78,集計!$D:$R,$B78,0)&lt;&gt;SUM(AG74,AG77),"NG",SUM(AG74,AG77))</f>
        <v>#N/A</v>
      </c>
      <c r="AH78" s="137" t="e">
        <f>AH74+AH77</f>
        <v>#N/A</v>
      </c>
      <c r="AI78" s="136" t="e">
        <f>IF(VLOOKUP(AI$2&amp;$C78&amp;$A78,集計!$D:$R,$B78,0)&lt;&gt;SUM(AI74,AI77),"NG",SUM(AI74,AI77))</f>
        <v>#N/A</v>
      </c>
      <c r="AJ78" s="136" t="e">
        <f>IF(VLOOKUP(AJ$2&amp;$C78&amp;$A78,集計!$D:$R,$B78,0)&lt;&gt;SUM(AJ74,AJ77),"NG",SUM(AJ74,AJ77))</f>
        <v>#N/A</v>
      </c>
      <c r="AK78" s="136" t="e">
        <f>IF(VLOOKUP(AK$2&amp;$C78&amp;$A78,集計!$D:$R,$B78,0)&lt;&gt;SUM(AK74,AK77),"NG",SUM(AK74,AK77))</f>
        <v>#N/A</v>
      </c>
      <c r="AL78" s="137" t="e">
        <f>AL74+AL77</f>
        <v>#N/A</v>
      </c>
      <c r="AM78" s="136" t="e">
        <f>IF(VLOOKUP(AM$2&amp;$C78&amp;$A78,集計!$D:$R,$B78,0)&lt;&gt;SUM(AM74,AM77),"NG",SUM(AM74,AM77))</f>
        <v>#N/A</v>
      </c>
      <c r="AN78" s="136" t="e">
        <f>IF(VLOOKUP(AN$2&amp;$C78&amp;$A78,集計!$D:$R,$B78,0)&lt;&gt;SUM(AN74,AN77),"NG",SUM(AN74,AN77))</f>
        <v>#N/A</v>
      </c>
      <c r="AO78" s="137" t="e">
        <f>AO74+AO77</f>
        <v>#N/A</v>
      </c>
      <c r="AP78" s="136" t="e">
        <f>IF(VLOOKUP(AP$2&amp;$C78&amp;$A78,集計!$D:$R,$B78,0)&lt;&gt;SUM(AP74,AP77),"NG",SUM(AP74,AP77))</f>
        <v>#N/A</v>
      </c>
      <c r="AQ78" s="136" t="e">
        <f>IF(VLOOKUP(AQ$2&amp;$C78&amp;$A78,集計!$D:$R,$B78,0)&lt;&gt;SUM(AQ74,AQ77),"NG",SUM(AQ74,AQ77))</f>
        <v>#N/A</v>
      </c>
      <c r="AR78" s="136" t="e">
        <f>IF(VLOOKUP(AR$2&amp;$C78&amp;$A78,集計!$D:$R,$B78,0)&lt;&gt;SUM(AR74,AR77),"NG",SUM(AR74,AR77))</f>
        <v>#N/A</v>
      </c>
      <c r="AS78" s="137" t="e">
        <f>AS74+AS77</f>
        <v>#N/A</v>
      </c>
      <c r="AT78" s="137" t="e">
        <f>AT74+AT77</f>
        <v>#N/A</v>
      </c>
      <c r="AU78" s="136" t="e">
        <f>IF(VLOOKUP(AU$2&amp;$C78&amp;$A78,集計!$D:$R,$B78,0)&lt;&gt;SUM(AU74,AU77),"NG",SUM(AU74,AU77))</f>
        <v>#N/A</v>
      </c>
      <c r="AV78" s="136" t="e">
        <f>IF(VLOOKUP(AV$2&amp;$C78&amp;$A78,集計!$D:$R,$B78,0)&lt;&gt;SUM(AV74,AV77),"NG",SUM(AV74,AV77))</f>
        <v>#N/A</v>
      </c>
      <c r="AW78" s="136" t="e">
        <f>IF(VLOOKUP(AW$2&amp;$C78&amp;$A78,集計!$D:$R,$B78,0)&lt;&gt;SUM(AW74,AW77),"NG",SUM(AW74,AW77))</f>
        <v>#N/A</v>
      </c>
      <c r="AX78" s="136" t="e">
        <f>IF(VLOOKUP(AX$2&amp;$C78&amp;$A78,集計!$D:$R,$B78,0)&lt;&gt;SUM(AX74,AX77),"NG",SUM(AX74,AX77))</f>
        <v>#N/A</v>
      </c>
      <c r="AY78" s="136" t="e">
        <f>IF(VLOOKUP(AY$2&amp;$C78&amp;$A78,集計!$D:$R,$B78,0)&lt;&gt;SUM(AY74,AY77),"NG",SUM(AY74,AY77))</f>
        <v>#N/A</v>
      </c>
      <c r="AZ78" s="137" t="e">
        <f>AZ74+AZ77</f>
        <v>#N/A</v>
      </c>
      <c r="BA78" s="137" t="e">
        <f>BA74+BA77</f>
        <v>#N/A</v>
      </c>
      <c r="BB78" s="136" t="e">
        <f>IF(VLOOKUP(BB$2&amp;$C78&amp;$A78,集計!$D:$R,$B78,0)&lt;&gt;SUM(BB74,BB77),"NG",SUM(BB74,BB77))</f>
        <v>#N/A</v>
      </c>
      <c r="BC78" s="136" t="e">
        <f>IF(VLOOKUP(BC$2&amp;$C78&amp;$A78,集計!$D:$R,$B78,0)&lt;&gt;SUM(BC74,BC77),"NG",SUM(BC74,BC77))</f>
        <v>#N/A</v>
      </c>
      <c r="BD78" s="137" t="e">
        <f>BD74+BD77</f>
        <v>#N/A</v>
      </c>
      <c r="BE78" s="136" t="e">
        <f>IF(VLOOKUP(BE$2&amp;$C78&amp;$A78,集計!$D:$R,$B78,0)&lt;&gt;SUM(BE74,BE77),"NG",SUM(BE74,BE77))</f>
        <v>#N/A</v>
      </c>
      <c r="BF78" s="136" t="e">
        <f>IF(VLOOKUP(BF$2&amp;$C78&amp;$A78,集計!$D:$R,$B78,0)&lt;&gt;SUM(BF74,BF77),"NG",SUM(BF74,BF77))</f>
        <v>#N/A</v>
      </c>
      <c r="BG78" s="136" t="e">
        <f>IF(VLOOKUP(BG$2&amp;$C78&amp;$A78,集計!$D:$R,$B78,0)&lt;&gt;SUM(BG74,BG77),"NG",SUM(BG74,BG77))</f>
        <v>#N/A</v>
      </c>
      <c r="BH78" s="136" t="e">
        <f>IF(VLOOKUP(BH$2&amp;$C78&amp;$A78,集計!$D:$R,$B78,0)&lt;&gt;SUM(BH74,BH77),"NG",SUM(BH74,BH77))</f>
        <v>#N/A</v>
      </c>
      <c r="BI78" s="136" t="e">
        <f>IF(VLOOKUP(BI$2&amp;$C78&amp;$A78,集計!$D:$R,$B78,0)&lt;&gt;SUM(BI74,BI77),"NG",SUM(BI74,BI77))</f>
        <v>#N/A</v>
      </c>
      <c r="BJ78" s="137" t="e">
        <f>BJ74+BJ77</f>
        <v>#N/A</v>
      </c>
      <c r="BK78" s="136" t="e">
        <f>IF(VLOOKUP(BK$2&amp;$C78&amp;$A78,集計!$D:$R,$B78,0)&lt;&gt;SUM(BK74,BK77),"NG",SUM(BK74,BK77))</f>
        <v>#N/A</v>
      </c>
      <c r="BL78" s="136" t="e">
        <f>IF(VLOOKUP(BL$2&amp;$C78&amp;$A78,集計!$D:$R,$B78,0)&lt;&gt;SUM(BL74,BL77),"NG",SUM(BL74,BL77))</f>
        <v>#N/A</v>
      </c>
      <c r="BM78" s="136" t="e">
        <f>IF(VLOOKUP(BM$2&amp;$C78&amp;$A78,集計!$D:$R,$B78,0)&lt;&gt;SUM(BM74,BM77),"NG",SUM(BM74,BM77))</f>
        <v>#N/A</v>
      </c>
      <c r="BN78" s="136" t="e">
        <f>IF(VLOOKUP(BN$2&amp;$C78&amp;$A78,集計!$D:$R,$B78,0)&lt;&gt;SUM(BN74,BN77),"NG",SUM(BN74,BN77))</f>
        <v>#N/A</v>
      </c>
      <c r="BO78" s="136" t="e">
        <f>IF(VLOOKUP(BO$2&amp;$C78&amp;$A78,集計!$D:$R,$B78,0)&lt;&gt;SUM(BO74,BO77),"NG",SUM(BO74,BO77))</f>
        <v>#N/A</v>
      </c>
      <c r="BP78" s="136" t="e">
        <f>IF(VLOOKUP(BP$2&amp;$C78&amp;$A78,集計!$D:$R,$B78,0)&lt;&gt;SUM(BP74,BP77),"NG",SUM(BP74,BP77))</f>
        <v>#N/A</v>
      </c>
      <c r="BQ78" s="137" t="e">
        <f>BQ74+BQ77</f>
        <v>#N/A</v>
      </c>
      <c r="BR78" s="136" t="e">
        <f>IF(VLOOKUP(BR$2&amp;$C78&amp;$A78,集計!$D:$R,$B78,0)&lt;&gt;SUM(BR74,BR77),"NG",SUM(BR74,BR77))</f>
        <v>#N/A</v>
      </c>
      <c r="BS78" s="136" t="e">
        <f>IF(VLOOKUP(BS$2&amp;$C78&amp;$A78,集計!$D:$R,$B78,0)&lt;&gt;SUM(BS74,BS77),"NG",SUM(BS74,BS77))</f>
        <v>#N/A</v>
      </c>
      <c r="BT78" s="136" t="e">
        <f>IF(VLOOKUP(BT$2&amp;$C78&amp;$A78,集計!$D:$R,$B78,0)&lt;&gt;SUM(BT74,BT77),"NG",SUM(BT74,BT77))</f>
        <v>#N/A</v>
      </c>
      <c r="BU78" s="137" t="e">
        <f>BU74+BU77</f>
        <v>#N/A</v>
      </c>
      <c r="BV78" s="136" t="e">
        <f>IF(VLOOKUP(BV$2&amp;$C78&amp;$A78,集計!$D:$R,$B78,0)&lt;&gt;SUM(BV74,BV77),"NG",SUM(BV74,BV77))</f>
        <v>#N/A</v>
      </c>
      <c r="BW78" s="137" t="e">
        <f>BW74+BW77</f>
        <v>#N/A</v>
      </c>
      <c r="BX78" s="137" t="e">
        <f>BX74+BX77</f>
        <v>#N/A</v>
      </c>
    </row>
    <row r="79" spans="1:76" s="124" customFormat="1">
      <c r="A79" s="134"/>
      <c r="B79" s="151"/>
      <c r="C79" s="142"/>
      <c r="D79" s="143"/>
      <c r="E79" s="143"/>
      <c r="F79" s="143"/>
      <c r="G79" s="143"/>
      <c r="H79" s="143"/>
      <c r="I79" s="144"/>
      <c r="J79" s="143"/>
      <c r="K79" s="143"/>
      <c r="L79" s="143"/>
      <c r="M79" s="143"/>
      <c r="N79" s="144"/>
      <c r="O79" s="143"/>
      <c r="P79" s="143"/>
      <c r="Q79" s="143"/>
      <c r="R79" s="143"/>
      <c r="S79" s="143"/>
      <c r="T79" s="144"/>
      <c r="U79" s="143"/>
      <c r="V79" s="143"/>
      <c r="W79" s="143"/>
      <c r="X79" s="144"/>
      <c r="Y79" s="143"/>
      <c r="Z79" s="143"/>
      <c r="AA79" s="143"/>
      <c r="AB79" s="144"/>
      <c r="AC79" s="144"/>
      <c r="AD79" s="143"/>
      <c r="AE79" s="143"/>
      <c r="AF79" s="143"/>
      <c r="AG79" s="143"/>
      <c r="AH79" s="144"/>
      <c r="AI79" s="143"/>
      <c r="AJ79" s="143"/>
      <c r="AK79" s="143"/>
      <c r="AL79" s="144"/>
      <c r="AM79" s="143"/>
      <c r="AN79" s="143"/>
      <c r="AO79" s="144"/>
      <c r="AP79" s="143"/>
      <c r="AQ79" s="143"/>
      <c r="AR79" s="143"/>
      <c r="AS79" s="144"/>
      <c r="AT79" s="144"/>
      <c r="AU79" s="143"/>
      <c r="AV79" s="143"/>
      <c r="AW79" s="143"/>
      <c r="AX79" s="143"/>
      <c r="AY79" s="143"/>
      <c r="AZ79" s="144"/>
      <c r="BA79" s="144"/>
      <c r="BB79" s="143"/>
      <c r="BC79" s="143"/>
      <c r="BD79" s="144"/>
      <c r="BE79" s="143"/>
      <c r="BF79" s="143"/>
      <c r="BG79" s="143"/>
      <c r="BH79" s="143"/>
      <c r="BI79" s="143"/>
      <c r="BJ79" s="144"/>
      <c r="BK79" s="143"/>
      <c r="BL79" s="143"/>
      <c r="BM79" s="143"/>
      <c r="BN79" s="143"/>
      <c r="BO79" s="143"/>
      <c r="BP79" s="143"/>
      <c r="BQ79" s="144"/>
      <c r="BR79" s="143"/>
      <c r="BS79" s="143"/>
      <c r="BT79" s="143"/>
      <c r="BU79" s="144"/>
      <c r="BV79" s="143"/>
      <c r="BW79" s="144"/>
      <c r="BX79" s="144"/>
    </row>
    <row r="80" spans="1:76" s="124" customFormat="1" ht="21.5" thickBot="1">
      <c r="A80" s="134"/>
      <c r="B80" s="96">
        <v>3</v>
      </c>
      <c r="C80" s="138" t="s">
        <v>40</v>
      </c>
      <c r="D80" s="145"/>
      <c r="E80" s="145"/>
      <c r="F80" s="145"/>
      <c r="G80" s="145"/>
      <c r="H80" s="145"/>
      <c r="I80" s="146"/>
      <c r="J80" s="145"/>
      <c r="K80" s="145"/>
      <c r="L80" s="145"/>
      <c r="M80" s="145"/>
      <c r="N80" s="146"/>
      <c r="O80" s="145"/>
      <c r="P80" s="145"/>
      <c r="Q80" s="145"/>
      <c r="R80" s="145"/>
      <c r="S80" s="145"/>
      <c r="T80" s="146"/>
      <c r="U80" s="145"/>
      <c r="V80" s="145"/>
      <c r="W80" s="145"/>
      <c r="X80" s="146"/>
      <c r="Y80" s="145"/>
      <c r="Z80" s="145"/>
      <c r="AA80" s="145"/>
      <c r="AB80" s="146"/>
      <c r="AC80" s="146"/>
      <c r="AD80" s="145"/>
      <c r="AE80" s="145"/>
      <c r="AF80" s="145"/>
      <c r="AG80" s="145"/>
      <c r="AH80" s="146"/>
      <c r="AI80" s="145"/>
      <c r="AJ80" s="145"/>
      <c r="AK80" s="145"/>
      <c r="AL80" s="146"/>
      <c r="AM80" s="145"/>
      <c r="AN80" s="145"/>
      <c r="AO80" s="146"/>
      <c r="AP80" s="145"/>
      <c r="AQ80" s="145"/>
      <c r="AR80" s="145"/>
      <c r="AS80" s="146"/>
      <c r="AT80" s="146"/>
      <c r="AU80" s="145"/>
      <c r="AV80" s="145"/>
      <c r="AW80" s="145"/>
      <c r="AX80" s="145"/>
      <c r="AY80" s="145"/>
      <c r="AZ80" s="146"/>
      <c r="BA80" s="146"/>
      <c r="BB80" s="145"/>
      <c r="BC80" s="145"/>
      <c r="BD80" s="146"/>
      <c r="BE80" s="145"/>
      <c r="BF80" s="145"/>
      <c r="BG80" s="145"/>
      <c r="BH80" s="145"/>
      <c r="BI80" s="145"/>
      <c r="BJ80" s="146"/>
      <c r="BK80" s="145"/>
      <c r="BL80" s="145"/>
      <c r="BM80" s="145"/>
      <c r="BN80" s="145"/>
      <c r="BO80" s="145"/>
      <c r="BP80" s="145"/>
      <c r="BQ80" s="146"/>
      <c r="BR80" s="145"/>
      <c r="BS80" s="145"/>
      <c r="BT80" s="145"/>
      <c r="BU80" s="146"/>
      <c r="BV80" s="145"/>
      <c r="BW80" s="146"/>
      <c r="BX80" s="147"/>
    </row>
    <row r="81" spans="1:76" s="124" customFormat="1" ht="21" customHeight="1">
      <c r="A81" s="120" t="s">
        <v>40</v>
      </c>
      <c r="B81" s="150">
        <v>15</v>
      </c>
      <c r="C81" s="121" t="s">
        <v>25</v>
      </c>
      <c r="D81" s="122" t="e">
        <f>VLOOKUP(D$2&amp;$C81&amp;$A81,集計!$D:$R,$B81,0)</f>
        <v>#N/A</v>
      </c>
      <c r="E81" s="122" t="e">
        <f>VLOOKUP(E$2&amp;$C81&amp;$A81,集計!$D:$R,$B81,0)</f>
        <v>#N/A</v>
      </c>
      <c r="F81" s="122" t="e">
        <f>VLOOKUP(F$2&amp;$C81&amp;$A81,集計!$D:$R,$B81,0)</f>
        <v>#N/A</v>
      </c>
      <c r="G81" s="122" t="e">
        <f>VLOOKUP(G$2&amp;$C81&amp;$A81,集計!$D:$R,$B81,0)</f>
        <v>#N/A</v>
      </c>
      <c r="H81" s="122" t="e">
        <f>VLOOKUP(H$2&amp;$C81&amp;$A81,集計!$D:$R,$B81,0)</f>
        <v>#N/A</v>
      </c>
      <c r="I81" s="123" t="e">
        <f>D81+E81+F81+G81+H81</f>
        <v>#N/A</v>
      </c>
      <c r="J81" s="122" t="e">
        <f>VLOOKUP(J$2&amp;$C81&amp;$A81,集計!$D:$R,$B81,0)</f>
        <v>#N/A</v>
      </c>
      <c r="K81" s="122" t="e">
        <f>VLOOKUP(K$2&amp;$C81&amp;$A81,集計!$D:$R,$B81,0)</f>
        <v>#N/A</v>
      </c>
      <c r="L81" s="122" t="e">
        <f>VLOOKUP(L$2&amp;$C81&amp;$A81,集計!$D:$R,$B81,0)</f>
        <v>#N/A</v>
      </c>
      <c r="M81" s="122" t="e">
        <f>VLOOKUP(M$2&amp;$C81&amp;$A81,集計!$D:$R,$B81,0)</f>
        <v>#N/A</v>
      </c>
      <c r="N81" s="123" t="e">
        <f>J81+K81+L81+M81</f>
        <v>#N/A</v>
      </c>
      <c r="O81" s="122" t="e">
        <f>VLOOKUP(O$2&amp;$C81&amp;$A81,集計!$D:$R,$B81,0)</f>
        <v>#N/A</v>
      </c>
      <c r="P81" s="122" t="e">
        <f>VLOOKUP(P$2&amp;$C81&amp;$A81,集計!$D:$R,$B81,0)</f>
        <v>#N/A</v>
      </c>
      <c r="Q81" s="122" t="e">
        <f>VLOOKUP(Q$2&amp;$C81&amp;$A81,集計!$D:$R,$B81,0)</f>
        <v>#N/A</v>
      </c>
      <c r="R81" s="122" t="e">
        <f>VLOOKUP(R$2&amp;$C81&amp;$A81,集計!$D:$R,$B81,0)</f>
        <v>#N/A</v>
      </c>
      <c r="S81" s="122" t="e">
        <f>VLOOKUP(S$2&amp;$C81&amp;$A81,集計!$D:$R,$B81,0)</f>
        <v>#N/A</v>
      </c>
      <c r="T81" s="123" t="e">
        <f>O81+P81+Q81+R81+S81</f>
        <v>#N/A</v>
      </c>
      <c r="U81" s="122" t="e">
        <f>VLOOKUP(U$2&amp;$C81&amp;$A81,集計!$D:$R,$B81,0)</f>
        <v>#N/A</v>
      </c>
      <c r="V81" s="122" t="e">
        <f>VLOOKUP(V$2&amp;$C81&amp;$A81,集計!$D:$R,$B81,0)</f>
        <v>#N/A</v>
      </c>
      <c r="W81" s="122" t="e">
        <f>VLOOKUP(W$2&amp;$C81&amp;$A81,集計!$D:$R,$B81,0)</f>
        <v>#N/A</v>
      </c>
      <c r="X81" s="123" t="e">
        <f>U81+V81+W81</f>
        <v>#N/A</v>
      </c>
      <c r="Y81" s="122" t="e">
        <f>VLOOKUP(Y$2&amp;$C81&amp;$A81,集計!$D:$R,$B81,0)</f>
        <v>#N/A</v>
      </c>
      <c r="Z81" s="122" t="e">
        <f>VLOOKUP(Z$2&amp;$C81&amp;$A81,集計!$D:$R,$B81,0)</f>
        <v>#N/A</v>
      </c>
      <c r="AA81" s="122" t="e">
        <f>VLOOKUP(AA$2&amp;$C81&amp;$A81,集計!$D:$R,$B81,0)</f>
        <v>#N/A</v>
      </c>
      <c r="AB81" s="123" t="e">
        <f>Y81+Z81+AA81</f>
        <v>#N/A</v>
      </c>
      <c r="AC81" s="123" t="e">
        <f>I81+N81+T81+X81+AB81</f>
        <v>#N/A</v>
      </c>
      <c r="AD81" s="122" t="e">
        <f>VLOOKUP(AD$2&amp;$C81&amp;$A81,集計!$D:$R,$B81,0)</f>
        <v>#N/A</v>
      </c>
      <c r="AE81" s="122" t="e">
        <f>VLOOKUP(AE$2&amp;$C81&amp;$A81,集計!$D:$R,$B81,0)</f>
        <v>#N/A</v>
      </c>
      <c r="AF81" s="122" t="e">
        <f>VLOOKUP(AF$2&amp;$C81&amp;$A81,集計!$D:$R,$B81,0)</f>
        <v>#N/A</v>
      </c>
      <c r="AG81" s="122" t="e">
        <f>VLOOKUP(AG$2&amp;$C81&amp;$A81,集計!$D:$R,$B81,0)</f>
        <v>#N/A</v>
      </c>
      <c r="AH81" s="123" t="e">
        <f>AD81+AE81+AF81+AG81</f>
        <v>#N/A</v>
      </c>
      <c r="AI81" s="122" t="e">
        <f>VLOOKUP(AI$2&amp;$C81&amp;$A81,集計!$D:$R,$B81,0)</f>
        <v>#N/A</v>
      </c>
      <c r="AJ81" s="122" t="e">
        <f>VLOOKUP(AJ$2&amp;$C81&amp;$A81,集計!$D:$R,$B81,0)</f>
        <v>#N/A</v>
      </c>
      <c r="AK81" s="122" t="e">
        <f>VLOOKUP(AK$2&amp;$C81&amp;$A81,集計!$D:$R,$B81,0)</f>
        <v>#N/A</v>
      </c>
      <c r="AL81" s="123" t="e">
        <f>AI81+AJ81+AK81</f>
        <v>#N/A</v>
      </c>
      <c r="AM81" s="122" t="e">
        <f>VLOOKUP(AM$2&amp;$C81&amp;$A81,集計!$D:$R,$B81,0)</f>
        <v>#N/A</v>
      </c>
      <c r="AN81" s="122" t="e">
        <f>VLOOKUP(AN$2&amp;$C81&amp;$A81,集計!$D:$R,$B81,0)</f>
        <v>#N/A</v>
      </c>
      <c r="AO81" s="123" t="e">
        <f>AM81+AN81</f>
        <v>#N/A</v>
      </c>
      <c r="AP81" s="122" t="e">
        <f>VLOOKUP(AP$2&amp;$C81&amp;$A81,集計!$D:$R,$B81,0)</f>
        <v>#N/A</v>
      </c>
      <c r="AQ81" s="122" t="e">
        <f>VLOOKUP(AQ$2&amp;$C81&amp;$A81,集計!$D:$R,$B81,0)</f>
        <v>#N/A</v>
      </c>
      <c r="AR81" s="122" t="e">
        <f>VLOOKUP(AR$2&amp;$C81&amp;$A81,集計!$D:$R,$B81,0)</f>
        <v>#N/A</v>
      </c>
      <c r="AS81" s="123" t="e">
        <f>AP81+AQ81+AR81</f>
        <v>#N/A</v>
      </c>
      <c r="AT81" s="123" t="e">
        <f>AH81+AL81+AO81+AS81</f>
        <v>#N/A</v>
      </c>
      <c r="AU81" s="122" t="e">
        <f>VLOOKUP(AU$2&amp;$C81&amp;$A81,集計!$D:$R,$B81,0)</f>
        <v>#N/A</v>
      </c>
      <c r="AV81" s="122" t="e">
        <f>VLOOKUP(AV$2&amp;$C81&amp;$A81,集計!$D:$R,$B81,0)</f>
        <v>#N/A</v>
      </c>
      <c r="AW81" s="122" t="e">
        <f>VLOOKUP(AW$2&amp;$C81&amp;$A81,集計!$D:$R,$B81,0)</f>
        <v>#N/A</v>
      </c>
      <c r="AX81" s="122" t="e">
        <f>VLOOKUP(AX$2&amp;$C81&amp;$A81,集計!$D:$R,$B81,0)</f>
        <v>#N/A</v>
      </c>
      <c r="AY81" s="122" t="e">
        <f>VLOOKUP(AY$2&amp;$C81&amp;$A81,集計!$D:$R,$B81,0)</f>
        <v>#N/A</v>
      </c>
      <c r="AZ81" s="123" t="e">
        <f>AU81+AV81+AW81+AX81+AY81</f>
        <v>#N/A</v>
      </c>
      <c r="BA81" s="123" t="e">
        <f>AZ81</f>
        <v>#N/A</v>
      </c>
      <c r="BB81" s="122" t="e">
        <f>VLOOKUP(BB$2&amp;$C81&amp;$A81,集計!$D:$R,$B81,0)</f>
        <v>#N/A</v>
      </c>
      <c r="BC81" s="122" t="e">
        <f>VLOOKUP(BC$2&amp;$C81&amp;$A81,集計!$D:$R,$B81,0)</f>
        <v>#N/A</v>
      </c>
      <c r="BD81" s="123" t="e">
        <f>BB81+BC81</f>
        <v>#N/A</v>
      </c>
      <c r="BE81" s="122" t="e">
        <f>VLOOKUP(BE$2&amp;$C81&amp;$A81,集計!$D:$R,$B81,0)</f>
        <v>#N/A</v>
      </c>
      <c r="BF81" s="122" t="e">
        <f>VLOOKUP(BF$2&amp;$C81&amp;$A81,集計!$D:$R,$B81,0)</f>
        <v>#N/A</v>
      </c>
      <c r="BG81" s="122" t="e">
        <f>VLOOKUP(BG$2&amp;$C81&amp;$A81,集計!$D:$R,$B81,0)</f>
        <v>#N/A</v>
      </c>
      <c r="BH81" s="122" t="e">
        <f>VLOOKUP(BH$2&amp;$C81&amp;$A81,集計!$D:$R,$B81,0)</f>
        <v>#N/A</v>
      </c>
      <c r="BI81" s="122" t="e">
        <f>VLOOKUP(BI$2&amp;$C81&amp;$A81,集計!$D:$R,$B81,0)</f>
        <v>#N/A</v>
      </c>
      <c r="BJ81" s="123" t="e">
        <f>BE81+BF81+BG81+BH81+BI81</f>
        <v>#N/A</v>
      </c>
      <c r="BK81" s="122" t="e">
        <f>VLOOKUP(BK$2&amp;$C81&amp;$A81,集計!$D:$R,$B81,0)</f>
        <v>#N/A</v>
      </c>
      <c r="BL81" s="122" t="e">
        <f>VLOOKUP(BL$2&amp;$C81&amp;$A81,集計!$D:$R,$B81,0)</f>
        <v>#N/A</v>
      </c>
      <c r="BM81" s="122" t="e">
        <f>VLOOKUP(BM$2&amp;$C81&amp;$A81,集計!$D:$R,$B81,0)</f>
        <v>#N/A</v>
      </c>
      <c r="BN81" s="122" t="e">
        <f>VLOOKUP(BN$2&amp;$C81&amp;$A81,集計!$D:$R,$B81,0)</f>
        <v>#N/A</v>
      </c>
      <c r="BO81" s="122" t="e">
        <f>VLOOKUP(BO$2&amp;$C81&amp;$A81,集計!$D:$R,$B81,0)</f>
        <v>#N/A</v>
      </c>
      <c r="BP81" s="122" t="e">
        <f>VLOOKUP(BP$2&amp;$C81&amp;$A81,集計!$D:$R,$B81,0)</f>
        <v>#N/A</v>
      </c>
      <c r="BQ81" s="123" t="e">
        <f>BK81+BL81+BM81+BN81+BO81+BP81</f>
        <v>#N/A</v>
      </c>
      <c r="BR81" s="122" t="e">
        <f>VLOOKUP(BR$2&amp;$C81&amp;$A81,集計!$D:$R,$B81,0)</f>
        <v>#N/A</v>
      </c>
      <c r="BS81" s="122" t="e">
        <f>VLOOKUP(BS$2&amp;$C81&amp;$A81,集計!$D:$R,$B81,0)</f>
        <v>#N/A</v>
      </c>
      <c r="BT81" s="122" t="e">
        <f>VLOOKUP(BT$2&amp;$C81&amp;$A81,集計!$D:$R,$B81,0)</f>
        <v>#N/A</v>
      </c>
      <c r="BU81" s="123" t="e">
        <f>BR81+BS81+BT81</f>
        <v>#N/A</v>
      </c>
      <c r="BV81" s="122" t="e">
        <f>VLOOKUP(BV$2&amp;$C81&amp;$A81,集計!$D:$R,$B81,0)</f>
        <v>#N/A</v>
      </c>
      <c r="BW81" s="123" t="e">
        <f>BV81</f>
        <v>#N/A</v>
      </c>
      <c r="BX81" s="123" t="e">
        <f>AC81+AT81+BA81+BD81+BJ81+BQ81+BU81+BW81</f>
        <v>#N/A</v>
      </c>
    </row>
    <row r="82" spans="1:76" s="124" customFormat="1">
      <c r="A82" s="120" t="s">
        <v>40</v>
      </c>
      <c r="B82" s="150">
        <v>15</v>
      </c>
      <c r="C82" s="125" t="s">
        <v>106</v>
      </c>
      <c r="D82" s="126" t="e">
        <f>VLOOKUP(D$2&amp;$C82&amp;$A82,集計!$D:$R,$B82,0)</f>
        <v>#N/A</v>
      </c>
      <c r="E82" s="126" t="e">
        <f>VLOOKUP(E$2&amp;$C82&amp;$A82,集計!$D:$R,$B82,0)</f>
        <v>#N/A</v>
      </c>
      <c r="F82" s="126" t="e">
        <f>VLOOKUP(F$2&amp;$C82&amp;$A82,集計!$D:$R,$B82,0)</f>
        <v>#N/A</v>
      </c>
      <c r="G82" s="126" t="e">
        <f>VLOOKUP(G$2&amp;$C82&amp;$A82,集計!$D:$R,$B82,0)</f>
        <v>#N/A</v>
      </c>
      <c r="H82" s="126" t="e">
        <f>VLOOKUP(H$2&amp;$C82&amp;$A82,集計!$D:$R,$B82,0)</f>
        <v>#N/A</v>
      </c>
      <c r="I82" s="127" t="e">
        <f>D82+E82+F82+G82+H82</f>
        <v>#N/A</v>
      </c>
      <c r="J82" s="126" t="e">
        <f>VLOOKUP(J$2&amp;$C82&amp;$A82,集計!$D:$R,$B82,0)</f>
        <v>#N/A</v>
      </c>
      <c r="K82" s="126" t="e">
        <f>VLOOKUP(K$2&amp;$C82&amp;$A82,集計!$D:$R,$B82,0)</f>
        <v>#N/A</v>
      </c>
      <c r="L82" s="126" t="e">
        <f>VLOOKUP(L$2&amp;$C82&amp;$A82,集計!$D:$R,$B82,0)</f>
        <v>#N/A</v>
      </c>
      <c r="M82" s="126" t="e">
        <f>VLOOKUP(M$2&amp;$C82&amp;$A82,集計!$D:$R,$B82,0)</f>
        <v>#N/A</v>
      </c>
      <c r="N82" s="127" t="e">
        <f>J82+K82+L82+M82</f>
        <v>#N/A</v>
      </c>
      <c r="O82" s="126" t="e">
        <f>VLOOKUP(O$2&amp;$C82&amp;$A82,集計!$D:$R,$B82,0)</f>
        <v>#N/A</v>
      </c>
      <c r="P82" s="126" t="e">
        <f>VLOOKUP(P$2&amp;$C82&amp;$A82,集計!$D:$R,$B82,0)</f>
        <v>#N/A</v>
      </c>
      <c r="Q82" s="126" t="e">
        <f>VLOOKUP(Q$2&amp;$C82&amp;$A82,集計!$D:$R,$B82,0)</f>
        <v>#N/A</v>
      </c>
      <c r="R82" s="126" t="e">
        <f>VLOOKUP(R$2&amp;$C82&amp;$A82,集計!$D:$R,$B82,0)</f>
        <v>#N/A</v>
      </c>
      <c r="S82" s="126" t="e">
        <f>VLOOKUP(S$2&amp;$C82&amp;$A82,集計!$D:$R,$B82,0)</f>
        <v>#N/A</v>
      </c>
      <c r="T82" s="127" t="e">
        <f>O82+P82+Q82+R82+S82</f>
        <v>#N/A</v>
      </c>
      <c r="U82" s="126" t="e">
        <f>VLOOKUP(U$2&amp;$C82&amp;$A82,集計!$D:$R,$B82,0)</f>
        <v>#N/A</v>
      </c>
      <c r="V82" s="126" t="e">
        <f>VLOOKUP(V$2&amp;$C82&amp;$A82,集計!$D:$R,$B82,0)</f>
        <v>#N/A</v>
      </c>
      <c r="W82" s="126" t="e">
        <f>VLOOKUP(W$2&amp;$C82&amp;$A82,集計!$D:$R,$B82,0)</f>
        <v>#N/A</v>
      </c>
      <c r="X82" s="127" t="e">
        <f>U82+V82+W82</f>
        <v>#N/A</v>
      </c>
      <c r="Y82" s="126" t="e">
        <f>VLOOKUP(Y$2&amp;$C82&amp;$A82,集計!$D:$R,$B82,0)</f>
        <v>#N/A</v>
      </c>
      <c r="Z82" s="126" t="e">
        <f>VLOOKUP(Z$2&amp;$C82&amp;$A82,集計!$D:$R,$B82,0)</f>
        <v>#N/A</v>
      </c>
      <c r="AA82" s="126" t="e">
        <f>VLOOKUP(AA$2&amp;$C82&amp;$A82,集計!$D:$R,$B82,0)</f>
        <v>#N/A</v>
      </c>
      <c r="AB82" s="127" t="e">
        <f>Y82+Z82+AA82</f>
        <v>#N/A</v>
      </c>
      <c r="AC82" s="127" t="e">
        <f>I82+N82+T82+X82+AB82</f>
        <v>#N/A</v>
      </c>
      <c r="AD82" s="126" t="e">
        <f>VLOOKUP(AD$2&amp;$C82&amp;$A82,集計!$D:$R,$B82,0)</f>
        <v>#N/A</v>
      </c>
      <c r="AE82" s="126" t="e">
        <f>VLOOKUP(AE$2&amp;$C82&amp;$A82,集計!$D:$R,$B82,0)</f>
        <v>#N/A</v>
      </c>
      <c r="AF82" s="126" t="e">
        <f>VLOOKUP(AF$2&amp;$C82&amp;$A82,集計!$D:$R,$B82,0)</f>
        <v>#N/A</v>
      </c>
      <c r="AG82" s="126" t="e">
        <f>VLOOKUP(AG$2&amp;$C82&amp;$A82,集計!$D:$R,$B82,0)</f>
        <v>#N/A</v>
      </c>
      <c r="AH82" s="127" t="e">
        <f>AD82+AE82+AF82+AG82</f>
        <v>#N/A</v>
      </c>
      <c r="AI82" s="126" t="e">
        <f>VLOOKUP(AI$2&amp;$C82&amp;$A82,集計!$D:$R,$B82,0)</f>
        <v>#N/A</v>
      </c>
      <c r="AJ82" s="126" t="e">
        <f>VLOOKUP(AJ$2&amp;$C82&amp;$A82,集計!$D:$R,$B82,0)</f>
        <v>#N/A</v>
      </c>
      <c r="AK82" s="126" t="e">
        <f>VLOOKUP(AK$2&amp;$C82&amp;$A82,集計!$D:$R,$B82,0)</f>
        <v>#N/A</v>
      </c>
      <c r="AL82" s="127" t="e">
        <f>AI82+AJ82+AK82</f>
        <v>#N/A</v>
      </c>
      <c r="AM82" s="126" t="e">
        <f>VLOOKUP(AM$2&amp;$C82&amp;$A82,集計!$D:$R,$B82,0)</f>
        <v>#N/A</v>
      </c>
      <c r="AN82" s="126" t="e">
        <f>VLOOKUP(AN$2&amp;$C82&amp;$A82,集計!$D:$R,$B82,0)</f>
        <v>#N/A</v>
      </c>
      <c r="AO82" s="127" t="e">
        <f>AM82+AN82</f>
        <v>#N/A</v>
      </c>
      <c r="AP82" s="126" t="e">
        <f>VLOOKUP(AP$2&amp;$C82&amp;$A82,集計!$D:$R,$B82,0)</f>
        <v>#N/A</v>
      </c>
      <c r="AQ82" s="126" t="e">
        <f>VLOOKUP(AQ$2&amp;$C82&amp;$A82,集計!$D:$R,$B82,0)</f>
        <v>#N/A</v>
      </c>
      <c r="AR82" s="126" t="e">
        <f>VLOOKUP(AR$2&amp;$C82&amp;$A82,集計!$D:$R,$B82,0)</f>
        <v>#N/A</v>
      </c>
      <c r="AS82" s="127" t="e">
        <f>AP82+AQ82+AR82</f>
        <v>#N/A</v>
      </c>
      <c r="AT82" s="127" t="e">
        <f>AH82+AL82+AO82+AS82</f>
        <v>#N/A</v>
      </c>
      <c r="AU82" s="126" t="e">
        <f>VLOOKUP(AU$2&amp;$C82&amp;$A82,集計!$D:$R,$B82,0)</f>
        <v>#N/A</v>
      </c>
      <c r="AV82" s="126" t="e">
        <f>VLOOKUP(AV$2&amp;$C82&amp;$A82,集計!$D:$R,$B82,0)</f>
        <v>#N/A</v>
      </c>
      <c r="AW82" s="126" t="e">
        <f>VLOOKUP(AW$2&amp;$C82&amp;$A82,集計!$D:$R,$B82,0)</f>
        <v>#N/A</v>
      </c>
      <c r="AX82" s="126" t="e">
        <f>VLOOKUP(AX$2&amp;$C82&amp;$A82,集計!$D:$R,$B82,0)</f>
        <v>#N/A</v>
      </c>
      <c r="AY82" s="126" t="e">
        <f>VLOOKUP(AY$2&amp;$C82&amp;$A82,集計!$D:$R,$B82,0)</f>
        <v>#N/A</v>
      </c>
      <c r="AZ82" s="127" t="e">
        <f>AU82+AV82+AW82+AX82+AY82</f>
        <v>#N/A</v>
      </c>
      <c r="BA82" s="127" t="e">
        <f>AZ82</f>
        <v>#N/A</v>
      </c>
      <c r="BB82" s="126" t="e">
        <f>VLOOKUP(BB$2&amp;$C82&amp;$A82,集計!$D:$R,$B82,0)</f>
        <v>#N/A</v>
      </c>
      <c r="BC82" s="126" t="e">
        <f>VLOOKUP(BC$2&amp;$C82&amp;$A82,集計!$D:$R,$B82,0)</f>
        <v>#N/A</v>
      </c>
      <c r="BD82" s="127" t="e">
        <f>BB82+BC82</f>
        <v>#N/A</v>
      </c>
      <c r="BE82" s="126" t="e">
        <f>VLOOKUP(BE$2&amp;$C82&amp;$A82,集計!$D:$R,$B82,0)</f>
        <v>#N/A</v>
      </c>
      <c r="BF82" s="126" t="e">
        <f>VLOOKUP(BF$2&amp;$C82&amp;$A82,集計!$D:$R,$B82,0)</f>
        <v>#N/A</v>
      </c>
      <c r="BG82" s="126" t="e">
        <f>VLOOKUP(BG$2&amp;$C82&amp;$A82,集計!$D:$R,$B82,0)</f>
        <v>#N/A</v>
      </c>
      <c r="BH82" s="126" t="e">
        <f>VLOOKUP(BH$2&amp;$C82&amp;$A82,集計!$D:$R,$B82,0)</f>
        <v>#N/A</v>
      </c>
      <c r="BI82" s="126" t="e">
        <f>VLOOKUP(BI$2&amp;$C82&amp;$A82,集計!$D:$R,$B82,0)</f>
        <v>#N/A</v>
      </c>
      <c r="BJ82" s="127" t="e">
        <f>BE82+BF82+BG82+BH82+BI82</f>
        <v>#N/A</v>
      </c>
      <c r="BK82" s="126" t="e">
        <f>VLOOKUP(BK$2&amp;$C82&amp;$A82,集計!$D:$R,$B82,0)</f>
        <v>#N/A</v>
      </c>
      <c r="BL82" s="126" t="e">
        <f>VLOOKUP(BL$2&amp;$C82&amp;$A82,集計!$D:$R,$B82,0)</f>
        <v>#N/A</v>
      </c>
      <c r="BM82" s="126" t="e">
        <f>VLOOKUP(BM$2&amp;$C82&amp;$A82,集計!$D:$R,$B82,0)</f>
        <v>#N/A</v>
      </c>
      <c r="BN82" s="126" t="e">
        <f>VLOOKUP(BN$2&amp;$C82&amp;$A82,集計!$D:$R,$B82,0)</f>
        <v>#N/A</v>
      </c>
      <c r="BO82" s="126" t="e">
        <f>VLOOKUP(BO$2&amp;$C82&amp;$A82,集計!$D:$R,$B82,0)</f>
        <v>#N/A</v>
      </c>
      <c r="BP82" s="126" t="e">
        <f>VLOOKUP(BP$2&amp;$C82&amp;$A82,集計!$D:$R,$B82,0)</f>
        <v>#N/A</v>
      </c>
      <c r="BQ82" s="127" t="e">
        <f>BK82+BL82+BM82+BN82+BO82+BP82</f>
        <v>#N/A</v>
      </c>
      <c r="BR82" s="126" t="e">
        <f>VLOOKUP(BR$2&amp;$C82&amp;$A82,集計!$D:$R,$B82,0)</f>
        <v>#N/A</v>
      </c>
      <c r="BS82" s="126" t="e">
        <f>VLOOKUP(BS$2&amp;$C82&amp;$A82,集計!$D:$R,$B82,0)</f>
        <v>#N/A</v>
      </c>
      <c r="BT82" s="126" t="e">
        <f>VLOOKUP(BT$2&amp;$C82&amp;$A82,集計!$D:$R,$B82,0)</f>
        <v>#N/A</v>
      </c>
      <c r="BU82" s="127" t="e">
        <f>BR82+BS82+BT82</f>
        <v>#N/A</v>
      </c>
      <c r="BV82" s="126" t="e">
        <f>VLOOKUP(BV$2&amp;$C82&amp;$A82,集計!$D:$R,$B82,0)</f>
        <v>#N/A</v>
      </c>
      <c r="BW82" s="127" t="e">
        <f>BV82</f>
        <v>#N/A</v>
      </c>
      <c r="BX82" s="127" t="e">
        <f>AC82+AT82+BA82+BD82+BJ82+BQ82+BU82+BW82</f>
        <v>#N/A</v>
      </c>
    </row>
    <row r="83" spans="1:76" s="124" customFormat="1">
      <c r="A83" s="120" t="s">
        <v>40</v>
      </c>
      <c r="B83" s="150">
        <v>15</v>
      </c>
      <c r="C83" s="128" t="s">
        <v>107</v>
      </c>
      <c r="D83" s="129" t="e">
        <f>VLOOKUP(D$2&amp;$C83&amp;$A83,集計!$D:$R,$B83,0)</f>
        <v>#N/A</v>
      </c>
      <c r="E83" s="129" t="e">
        <f>VLOOKUP(E$2&amp;$C83&amp;$A83,集計!$D:$R,$B83,0)</f>
        <v>#N/A</v>
      </c>
      <c r="F83" s="129" t="e">
        <f>VLOOKUP(F$2&amp;$C83&amp;$A83,集計!$D:$R,$B83,0)</f>
        <v>#N/A</v>
      </c>
      <c r="G83" s="129" t="e">
        <f>VLOOKUP(G$2&amp;$C83&amp;$A83,集計!$D:$R,$B83,0)</f>
        <v>#N/A</v>
      </c>
      <c r="H83" s="129" t="e">
        <f>VLOOKUP(H$2&amp;$C83&amp;$A83,集計!$D:$R,$B83,0)</f>
        <v>#N/A</v>
      </c>
      <c r="I83" s="130" t="e">
        <f>D83+E83+F83+G83+H83</f>
        <v>#N/A</v>
      </c>
      <c r="J83" s="129" t="e">
        <f>VLOOKUP(J$2&amp;$C83&amp;$A83,集計!$D:$R,$B83,0)</f>
        <v>#N/A</v>
      </c>
      <c r="K83" s="129" t="e">
        <f>VLOOKUP(K$2&amp;$C83&amp;$A83,集計!$D:$R,$B83,0)</f>
        <v>#N/A</v>
      </c>
      <c r="L83" s="129" t="e">
        <f>VLOOKUP(L$2&amp;$C83&amp;$A83,集計!$D:$R,$B83,0)</f>
        <v>#N/A</v>
      </c>
      <c r="M83" s="129" t="e">
        <f>VLOOKUP(M$2&amp;$C83&amp;$A83,集計!$D:$R,$B83,0)</f>
        <v>#N/A</v>
      </c>
      <c r="N83" s="130" t="e">
        <f>J83+K83+L83+M83</f>
        <v>#N/A</v>
      </c>
      <c r="O83" s="129" t="e">
        <f>VLOOKUP(O$2&amp;$C83&amp;$A83,集計!$D:$R,$B83,0)</f>
        <v>#N/A</v>
      </c>
      <c r="P83" s="129" t="e">
        <f>VLOOKUP(P$2&amp;$C83&amp;$A83,集計!$D:$R,$B83,0)</f>
        <v>#N/A</v>
      </c>
      <c r="Q83" s="129" t="e">
        <f>VLOOKUP(Q$2&amp;$C83&amp;$A83,集計!$D:$R,$B83,0)</f>
        <v>#N/A</v>
      </c>
      <c r="R83" s="129" t="e">
        <f>VLOOKUP(R$2&amp;$C83&amp;$A83,集計!$D:$R,$B83,0)</f>
        <v>#N/A</v>
      </c>
      <c r="S83" s="129" t="e">
        <f>VLOOKUP(S$2&amp;$C83&amp;$A83,集計!$D:$R,$B83,0)</f>
        <v>#N/A</v>
      </c>
      <c r="T83" s="130" t="e">
        <f>O83+P83+Q83+R83+S83</f>
        <v>#N/A</v>
      </c>
      <c r="U83" s="129" t="e">
        <f>VLOOKUP(U$2&amp;$C83&amp;$A83,集計!$D:$R,$B83,0)</f>
        <v>#N/A</v>
      </c>
      <c r="V83" s="129" t="e">
        <f>VLOOKUP(V$2&amp;$C83&amp;$A83,集計!$D:$R,$B83,0)</f>
        <v>#N/A</v>
      </c>
      <c r="W83" s="129" t="e">
        <f>VLOOKUP(W$2&amp;$C83&amp;$A83,集計!$D:$R,$B83,0)</f>
        <v>#N/A</v>
      </c>
      <c r="X83" s="130" t="e">
        <f>U83+V83+W83</f>
        <v>#N/A</v>
      </c>
      <c r="Y83" s="129" t="e">
        <f>VLOOKUP(Y$2&amp;$C83&amp;$A83,集計!$D:$R,$B83,0)</f>
        <v>#N/A</v>
      </c>
      <c r="Z83" s="129" t="e">
        <f>VLOOKUP(Z$2&amp;$C83&amp;$A83,集計!$D:$R,$B83,0)</f>
        <v>#N/A</v>
      </c>
      <c r="AA83" s="129" t="e">
        <f>VLOOKUP(AA$2&amp;$C83&amp;$A83,集計!$D:$R,$B83,0)</f>
        <v>#N/A</v>
      </c>
      <c r="AB83" s="130" t="e">
        <f>Y83+Z83+AA83</f>
        <v>#N/A</v>
      </c>
      <c r="AC83" s="130" t="e">
        <f>I83+N83+T83+X83+AB83</f>
        <v>#N/A</v>
      </c>
      <c r="AD83" s="129" t="e">
        <f>VLOOKUP(AD$2&amp;$C83&amp;$A83,集計!$D:$R,$B83,0)</f>
        <v>#N/A</v>
      </c>
      <c r="AE83" s="129" t="e">
        <f>VLOOKUP(AE$2&amp;$C83&amp;$A83,集計!$D:$R,$B83,0)</f>
        <v>#N/A</v>
      </c>
      <c r="AF83" s="129" t="e">
        <f>VLOOKUP(AF$2&amp;$C83&amp;$A83,集計!$D:$R,$B83,0)</f>
        <v>#N/A</v>
      </c>
      <c r="AG83" s="129" t="e">
        <f>VLOOKUP(AG$2&amp;$C83&amp;$A83,集計!$D:$R,$B83,0)</f>
        <v>#N/A</v>
      </c>
      <c r="AH83" s="130" t="e">
        <f>AD83+AE83+AF83+AG83</f>
        <v>#N/A</v>
      </c>
      <c r="AI83" s="129" t="e">
        <f>VLOOKUP(AI$2&amp;$C83&amp;$A83,集計!$D:$R,$B83,0)</f>
        <v>#N/A</v>
      </c>
      <c r="AJ83" s="129" t="e">
        <f>VLOOKUP(AJ$2&amp;$C83&amp;$A83,集計!$D:$R,$B83,0)</f>
        <v>#N/A</v>
      </c>
      <c r="AK83" s="129" t="e">
        <f>VLOOKUP(AK$2&amp;$C83&amp;$A83,集計!$D:$R,$B83,0)</f>
        <v>#N/A</v>
      </c>
      <c r="AL83" s="130" t="e">
        <f>AI83+AJ83+AK83</f>
        <v>#N/A</v>
      </c>
      <c r="AM83" s="129" t="e">
        <f>VLOOKUP(AM$2&amp;$C83&amp;$A83,集計!$D:$R,$B83,0)</f>
        <v>#N/A</v>
      </c>
      <c r="AN83" s="129" t="e">
        <f>VLOOKUP(AN$2&amp;$C83&amp;$A83,集計!$D:$R,$B83,0)</f>
        <v>#N/A</v>
      </c>
      <c r="AO83" s="130" t="e">
        <f>AM83+AN83</f>
        <v>#N/A</v>
      </c>
      <c r="AP83" s="129" t="e">
        <f>VLOOKUP(AP$2&amp;$C83&amp;$A83,集計!$D:$R,$B83,0)</f>
        <v>#N/A</v>
      </c>
      <c r="AQ83" s="129" t="e">
        <f>VLOOKUP(AQ$2&amp;$C83&amp;$A83,集計!$D:$R,$B83,0)</f>
        <v>#N/A</v>
      </c>
      <c r="AR83" s="129" t="e">
        <f>VLOOKUP(AR$2&amp;$C83&amp;$A83,集計!$D:$R,$B83,0)</f>
        <v>#N/A</v>
      </c>
      <c r="AS83" s="130" t="e">
        <f>AP83+AQ83+AR83</f>
        <v>#N/A</v>
      </c>
      <c r="AT83" s="130" t="e">
        <f>AH83+AL83+AO83+AS83</f>
        <v>#N/A</v>
      </c>
      <c r="AU83" s="129" t="e">
        <f>VLOOKUP(AU$2&amp;$C83&amp;$A83,集計!$D:$R,$B83,0)</f>
        <v>#N/A</v>
      </c>
      <c r="AV83" s="129" t="e">
        <f>VLOOKUP(AV$2&amp;$C83&amp;$A83,集計!$D:$R,$B83,0)</f>
        <v>#N/A</v>
      </c>
      <c r="AW83" s="129" t="e">
        <f>VLOOKUP(AW$2&amp;$C83&amp;$A83,集計!$D:$R,$B83,0)</f>
        <v>#N/A</v>
      </c>
      <c r="AX83" s="129" t="e">
        <f>VLOOKUP(AX$2&amp;$C83&amp;$A83,集計!$D:$R,$B83,0)</f>
        <v>#N/A</v>
      </c>
      <c r="AY83" s="129" t="e">
        <f>VLOOKUP(AY$2&amp;$C83&amp;$A83,集計!$D:$R,$B83,0)</f>
        <v>#N/A</v>
      </c>
      <c r="AZ83" s="130" t="e">
        <f>AU83+AV83+AW83+AX83+AY83</f>
        <v>#N/A</v>
      </c>
      <c r="BA83" s="130" t="e">
        <f>AZ83</f>
        <v>#N/A</v>
      </c>
      <c r="BB83" s="129" t="e">
        <f>VLOOKUP(BB$2&amp;$C83&amp;$A83,集計!$D:$R,$B83,0)</f>
        <v>#N/A</v>
      </c>
      <c r="BC83" s="129" t="e">
        <f>VLOOKUP(BC$2&amp;$C83&amp;$A83,集計!$D:$R,$B83,0)</f>
        <v>#N/A</v>
      </c>
      <c r="BD83" s="130" t="e">
        <f>BB83+BC83</f>
        <v>#N/A</v>
      </c>
      <c r="BE83" s="129" t="e">
        <f>VLOOKUP(BE$2&amp;$C83&amp;$A83,集計!$D:$R,$B83,0)</f>
        <v>#N/A</v>
      </c>
      <c r="BF83" s="129" t="e">
        <f>VLOOKUP(BF$2&amp;$C83&amp;$A83,集計!$D:$R,$B83,0)</f>
        <v>#N/A</v>
      </c>
      <c r="BG83" s="129" t="e">
        <f>VLOOKUP(BG$2&amp;$C83&amp;$A83,集計!$D:$R,$B83,0)</f>
        <v>#N/A</v>
      </c>
      <c r="BH83" s="129" t="e">
        <f>VLOOKUP(BH$2&amp;$C83&amp;$A83,集計!$D:$R,$B83,0)</f>
        <v>#N/A</v>
      </c>
      <c r="BI83" s="129" t="e">
        <f>VLOOKUP(BI$2&amp;$C83&amp;$A83,集計!$D:$R,$B83,0)</f>
        <v>#N/A</v>
      </c>
      <c r="BJ83" s="130" t="e">
        <f>BE83+BF83+BG83+BH83+BI83</f>
        <v>#N/A</v>
      </c>
      <c r="BK83" s="129" t="e">
        <f>VLOOKUP(BK$2&amp;$C83&amp;$A83,集計!$D:$R,$B83,0)</f>
        <v>#N/A</v>
      </c>
      <c r="BL83" s="129" t="e">
        <f>VLOOKUP(BL$2&amp;$C83&amp;$A83,集計!$D:$R,$B83,0)</f>
        <v>#N/A</v>
      </c>
      <c r="BM83" s="129" t="e">
        <f>VLOOKUP(BM$2&amp;$C83&amp;$A83,集計!$D:$R,$B83,0)</f>
        <v>#N/A</v>
      </c>
      <c r="BN83" s="129" t="e">
        <f>VLOOKUP(BN$2&amp;$C83&amp;$A83,集計!$D:$R,$B83,0)</f>
        <v>#N/A</v>
      </c>
      <c r="BO83" s="129" t="e">
        <f>VLOOKUP(BO$2&amp;$C83&amp;$A83,集計!$D:$R,$B83,0)</f>
        <v>#N/A</v>
      </c>
      <c r="BP83" s="129" t="e">
        <f>VLOOKUP(BP$2&amp;$C83&amp;$A83,集計!$D:$R,$B83,0)</f>
        <v>#N/A</v>
      </c>
      <c r="BQ83" s="130" t="e">
        <f>BK83+BL83+BM83+BN83+BO83+BP83</f>
        <v>#N/A</v>
      </c>
      <c r="BR83" s="129" t="e">
        <f>VLOOKUP(BR$2&amp;$C83&amp;$A83,集計!$D:$R,$B83,0)</f>
        <v>#N/A</v>
      </c>
      <c r="BS83" s="129" t="e">
        <f>VLOOKUP(BS$2&amp;$C83&amp;$A83,集計!$D:$R,$B83,0)</f>
        <v>#N/A</v>
      </c>
      <c r="BT83" s="129" t="e">
        <f>VLOOKUP(BT$2&amp;$C83&amp;$A83,集計!$D:$R,$B83,0)</f>
        <v>#N/A</v>
      </c>
      <c r="BU83" s="130" t="e">
        <f>BR83+BS83+BT83</f>
        <v>#N/A</v>
      </c>
      <c r="BV83" s="129" t="e">
        <f>VLOOKUP(BV$2&amp;$C83&amp;$A83,集計!$D:$R,$B83,0)</f>
        <v>#N/A</v>
      </c>
      <c r="BW83" s="130" t="e">
        <f>BV83</f>
        <v>#N/A</v>
      </c>
      <c r="BX83" s="130" t="e">
        <f>AC83+AT83+BA83+BD83+BJ83+BQ83+BU83+BW83</f>
        <v>#N/A</v>
      </c>
    </row>
    <row r="84" spans="1:76" s="124" customFormat="1">
      <c r="A84" s="120" t="s">
        <v>40</v>
      </c>
      <c r="B84" s="150">
        <v>15</v>
      </c>
      <c r="C84" s="131" t="s">
        <v>26</v>
      </c>
      <c r="D84" s="132" t="e">
        <f>IF(VLOOKUP(D$2&amp;$C84&amp;$A84,集計!$D:$R,$B84,0)&lt;&gt;SUM(D82:D83),"NG",SUM(D82:D83))</f>
        <v>#N/A</v>
      </c>
      <c r="E84" s="132" t="e">
        <f>IF(VLOOKUP(E$2&amp;$C84&amp;$A84,集計!$D:$R,$B84,0)&lt;&gt;SUM(E82:E83),"NG",SUM(E82:E83))</f>
        <v>#N/A</v>
      </c>
      <c r="F84" s="132" t="e">
        <f>IF(VLOOKUP(F$2&amp;$C84&amp;$A84,集計!$D:$R,$B84,0)&lt;&gt;SUM(F82:F83),"NG",SUM(F82:F83))</f>
        <v>#N/A</v>
      </c>
      <c r="G84" s="132" t="e">
        <f>IF(VLOOKUP(G$2&amp;$C84&amp;$A84,集計!$D:$R,$B84,0)&lt;&gt;SUM(G82:G83),"NG",SUM(G82:G83))</f>
        <v>#N/A</v>
      </c>
      <c r="H84" s="132" t="e">
        <f>IF(VLOOKUP(H$2&amp;$C84&amp;$A84,集計!$D:$R,$B84,0)&lt;&gt;SUM(H82:H83),"NG",SUM(H82:H83))</f>
        <v>#N/A</v>
      </c>
      <c r="I84" s="133" t="e">
        <f>I82+I83</f>
        <v>#N/A</v>
      </c>
      <c r="J84" s="132" t="e">
        <f>IF(VLOOKUP(J$2&amp;$C84&amp;$A84,集計!$D:$R,$B84,0)&lt;&gt;SUM(J82:J83),"NG",SUM(J82:J83))</f>
        <v>#N/A</v>
      </c>
      <c r="K84" s="132" t="e">
        <f>IF(VLOOKUP(K$2&amp;$C84&amp;$A84,集計!$D:$R,$B84,0)&lt;&gt;SUM(K82:K83),"NG",SUM(K82:K83))</f>
        <v>#N/A</v>
      </c>
      <c r="L84" s="132" t="e">
        <f>IF(VLOOKUP(L$2&amp;$C84&amp;$A84,集計!$D:$R,$B84,0)&lt;&gt;SUM(L82:L83),"NG",SUM(L82:L83))</f>
        <v>#N/A</v>
      </c>
      <c r="M84" s="132" t="e">
        <f>IF(VLOOKUP(M$2&amp;$C84&amp;$A84,集計!$D:$R,$B84,0)&lt;&gt;SUM(M82:M83),"NG",SUM(M82:M83))</f>
        <v>#N/A</v>
      </c>
      <c r="N84" s="133" t="e">
        <f>N82+N83</f>
        <v>#N/A</v>
      </c>
      <c r="O84" s="132" t="e">
        <f>IF(VLOOKUP(O$2&amp;$C84&amp;$A84,集計!$D:$R,$B84,0)&lt;&gt;SUM(O82:O83),"NG",SUM(O82:O83))</f>
        <v>#N/A</v>
      </c>
      <c r="P84" s="132" t="e">
        <f>IF(VLOOKUP(P$2&amp;$C84&amp;$A84,集計!$D:$R,$B84,0)&lt;&gt;SUM(P82:P83),"NG",SUM(P82:P83))</f>
        <v>#N/A</v>
      </c>
      <c r="Q84" s="132" t="e">
        <f>IF(VLOOKUP(Q$2&amp;$C84&amp;$A84,集計!$D:$R,$B84,0)&lt;&gt;SUM(Q82:Q83),"NG",SUM(Q82:Q83))</f>
        <v>#N/A</v>
      </c>
      <c r="R84" s="132" t="e">
        <f>IF(VLOOKUP(R$2&amp;$C84&amp;$A84,集計!$D:$R,$B84,0)&lt;&gt;SUM(R82:R83),"NG",SUM(R82:R83))</f>
        <v>#N/A</v>
      </c>
      <c r="S84" s="132" t="e">
        <f>IF(VLOOKUP(S$2&amp;$C84&amp;$A84,集計!$D:$R,$B84,0)&lt;&gt;SUM(S82:S83),"NG",SUM(S82:S83))</f>
        <v>#N/A</v>
      </c>
      <c r="T84" s="133" t="e">
        <f>T82+T83</f>
        <v>#N/A</v>
      </c>
      <c r="U84" s="132" t="e">
        <f>IF(VLOOKUP(U$2&amp;$C84&amp;$A84,集計!$D:$R,$B84,0)&lt;&gt;SUM(U82:U83),"NG",SUM(U82:U83))</f>
        <v>#N/A</v>
      </c>
      <c r="V84" s="132" t="e">
        <f>IF(VLOOKUP(V$2&amp;$C84&amp;$A84,集計!$D:$R,$B84,0)&lt;&gt;SUM(V82:V83),"NG",SUM(V82:V83))</f>
        <v>#N/A</v>
      </c>
      <c r="W84" s="132" t="e">
        <f>IF(VLOOKUP(W$2&amp;$C84&amp;$A84,集計!$D:$R,$B84,0)&lt;&gt;SUM(W82:W83),"NG",SUM(W82:W83))</f>
        <v>#N/A</v>
      </c>
      <c r="X84" s="133" t="e">
        <f>SUM(X82:X83)</f>
        <v>#N/A</v>
      </c>
      <c r="Y84" s="132" t="e">
        <f>IF(VLOOKUP(Y$2&amp;$C84&amp;$A84,集計!$D:$R,$B84,0)&lt;&gt;SUM(Y82:Y83),"NG",SUM(Y82:Y83))</f>
        <v>#N/A</v>
      </c>
      <c r="Z84" s="132" t="e">
        <f>IF(VLOOKUP(Z$2&amp;$C84&amp;$A84,集計!$D:$R,$B84,0)&lt;&gt;SUM(Z82:Z83),"NG",SUM(Z82:Z83))</f>
        <v>#N/A</v>
      </c>
      <c r="AA84" s="132" t="e">
        <f>IF(VLOOKUP(AA$2&amp;$C84&amp;$A84,集計!$D:$R,$B84,0)&lt;&gt;SUM(AA82:AA83),"NG",SUM(AA82:AA83))</f>
        <v>#N/A</v>
      </c>
      <c r="AB84" s="133" t="e">
        <f>SUM(AB82:AB83)</f>
        <v>#N/A</v>
      </c>
      <c r="AC84" s="133" t="e">
        <f>SUM(AC82:AC83)</f>
        <v>#N/A</v>
      </c>
      <c r="AD84" s="132" t="e">
        <f>IF(VLOOKUP(AD$2&amp;$C84&amp;$A84,集計!$D:$R,$B84,0)&lt;&gt;SUM(AD82:AD83),"NG",SUM(AD82:AD83))</f>
        <v>#N/A</v>
      </c>
      <c r="AE84" s="132" t="e">
        <f>IF(VLOOKUP(AE$2&amp;$C84&amp;$A84,集計!$D:$R,$B84,0)&lt;&gt;SUM(AE82:AE83),"NG",SUM(AE82:AE83))</f>
        <v>#N/A</v>
      </c>
      <c r="AF84" s="132" t="e">
        <f>IF(VLOOKUP(AF$2&amp;$C84&amp;$A84,集計!$D:$R,$B84,0)&lt;&gt;SUM(AF82:AF83),"NG",SUM(AF82:AF83))</f>
        <v>#N/A</v>
      </c>
      <c r="AG84" s="132" t="e">
        <f>IF(VLOOKUP(AG$2&amp;$C84&amp;$A84,集計!$D:$R,$B84,0)&lt;&gt;SUM(AG82:AG83),"NG",SUM(AG82:AG83))</f>
        <v>#N/A</v>
      </c>
      <c r="AH84" s="133" t="e">
        <f>SUM(AH82:AH83)</f>
        <v>#N/A</v>
      </c>
      <c r="AI84" s="132" t="e">
        <f>IF(VLOOKUP(AI$2&amp;$C84&amp;$A84,集計!$D:$R,$B84,0)&lt;&gt;SUM(AI82:AI83),"NG",SUM(AI82:AI83))</f>
        <v>#N/A</v>
      </c>
      <c r="AJ84" s="132" t="e">
        <f>IF(VLOOKUP(AJ$2&amp;$C84&amp;$A84,集計!$D:$R,$B84,0)&lt;&gt;SUM(AJ82:AJ83),"NG",SUM(AJ82:AJ83))</f>
        <v>#N/A</v>
      </c>
      <c r="AK84" s="132" t="e">
        <f>IF(VLOOKUP(AK$2&amp;$C84&amp;$A84,集計!$D:$R,$B84,0)&lt;&gt;SUM(AK82:AK83),"NG",SUM(AK82:AK83))</f>
        <v>#N/A</v>
      </c>
      <c r="AL84" s="133" t="e">
        <f>SUM(AL82:AL83)</f>
        <v>#N/A</v>
      </c>
      <c r="AM84" s="132" t="e">
        <f>IF(VLOOKUP(AM$2&amp;$C84&amp;$A84,集計!$D:$R,$B84,0)&lt;&gt;SUM(AM82:AM83),"NG",SUM(AM82:AM83))</f>
        <v>#N/A</v>
      </c>
      <c r="AN84" s="132" t="e">
        <f>IF(VLOOKUP(AN$2&amp;$C84&amp;$A84,集計!$D:$R,$B84,0)&lt;&gt;SUM(AN82:AN83),"NG",SUM(AN82:AN83))</f>
        <v>#N/A</v>
      </c>
      <c r="AO84" s="133" t="e">
        <f>SUM(AO82:AO83)</f>
        <v>#N/A</v>
      </c>
      <c r="AP84" s="132" t="e">
        <f>IF(VLOOKUP(AP$2&amp;$C84&amp;$A84,集計!$D:$R,$B84,0)&lt;&gt;SUM(AP82:AP83),"NG",SUM(AP82:AP83))</f>
        <v>#N/A</v>
      </c>
      <c r="AQ84" s="132" t="e">
        <f>IF(VLOOKUP(AQ$2&amp;$C84&amp;$A84,集計!$D:$R,$B84,0)&lt;&gt;SUM(AQ82:AQ83),"NG",SUM(AQ82:AQ83))</f>
        <v>#N/A</v>
      </c>
      <c r="AR84" s="132" t="e">
        <f>IF(VLOOKUP(AR$2&amp;$C84&amp;$A84,集計!$D:$R,$B84,0)&lt;&gt;SUM(AR82:AR83),"NG",SUM(AR82:AR83))</f>
        <v>#N/A</v>
      </c>
      <c r="AS84" s="133" t="e">
        <f>SUM(AS82:AS83)</f>
        <v>#N/A</v>
      </c>
      <c r="AT84" s="133" t="e">
        <f>SUM(AT82:AT83)</f>
        <v>#N/A</v>
      </c>
      <c r="AU84" s="132" t="e">
        <f>IF(VLOOKUP(AU$2&amp;$C84&amp;$A84,集計!$D:$R,$B84,0)&lt;&gt;SUM(AU82:AU83),"NG",SUM(AU82:AU83))</f>
        <v>#N/A</v>
      </c>
      <c r="AV84" s="132" t="e">
        <f>IF(VLOOKUP(AV$2&amp;$C84&amp;$A84,集計!$D:$R,$B84,0)&lt;&gt;SUM(AV82:AV83),"NG",SUM(AV82:AV83))</f>
        <v>#N/A</v>
      </c>
      <c r="AW84" s="132" t="e">
        <f>IF(VLOOKUP(AW$2&amp;$C84&amp;$A84,集計!$D:$R,$B84,0)&lt;&gt;SUM(AW82:AW83),"NG",SUM(AW82:AW83))</f>
        <v>#N/A</v>
      </c>
      <c r="AX84" s="132" t="e">
        <f>IF(VLOOKUP(AX$2&amp;$C84&amp;$A84,集計!$D:$R,$B84,0)&lt;&gt;SUM(AX82:AX83),"NG",SUM(AX82:AX83))</f>
        <v>#N/A</v>
      </c>
      <c r="AY84" s="132" t="e">
        <f>IF(VLOOKUP(AY$2&amp;$C84&amp;$A84,集計!$D:$R,$B84,0)&lt;&gt;SUM(AY82:AY83),"NG",SUM(AY82:AY83))</f>
        <v>#N/A</v>
      </c>
      <c r="AZ84" s="133" t="e">
        <f>AZ82+AZ83</f>
        <v>#N/A</v>
      </c>
      <c r="BA84" s="133" t="e">
        <f>BA82+BA83</f>
        <v>#N/A</v>
      </c>
      <c r="BB84" s="132" t="e">
        <f>IF(VLOOKUP(BB$2&amp;$C84&amp;$A84,集計!$D:$R,$B84,0)&lt;&gt;SUM(BB82:BB83),"NG",SUM(BB82:BB83))</f>
        <v>#N/A</v>
      </c>
      <c r="BC84" s="132" t="e">
        <f>IF(VLOOKUP(BC$2&amp;$C84&amp;$A84,集計!$D:$R,$B84,0)&lt;&gt;SUM(BC82:BC83),"NG",SUM(BC82:BC83))</f>
        <v>#N/A</v>
      </c>
      <c r="BD84" s="133" t="e">
        <f>SUM(BD82:BD83)</f>
        <v>#N/A</v>
      </c>
      <c r="BE84" s="132" t="e">
        <f>IF(VLOOKUP(BE$2&amp;$C84&amp;$A84,集計!$D:$R,$B84,0)&lt;&gt;SUM(BE82:BE83),"NG",SUM(BE82:BE83))</f>
        <v>#N/A</v>
      </c>
      <c r="BF84" s="132" t="e">
        <f>IF(VLOOKUP(BF$2&amp;$C84&amp;$A84,集計!$D:$R,$B84,0)&lt;&gt;SUM(BF82:BF83),"NG",SUM(BF82:BF83))</f>
        <v>#N/A</v>
      </c>
      <c r="BG84" s="132" t="e">
        <f>IF(VLOOKUP(BG$2&amp;$C84&amp;$A84,集計!$D:$R,$B84,0)&lt;&gt;SUM(BG82:BG83),"NG",SUM(BG82:BG83))</f>
        <v>#N/A</v>
      </c>
      <c r="BH84" s="132" t="e">
        <f>IF(VLOOKUP(BH$2&amp;$C84&amp;$A84,集計!$D:$R,$B84,0)&lt;&gt;SUM(BH82:BH83),"NG",SUM(BH82:BH83))</f>
        <v>#N/A</v>
      </c>
      <c r="BI84" s="132" t="e">
        <f>IF(VLOOKUP(BI$2&amp;$C84&amp;$A84,集計!$D:$R,$B84,0)&lt;&gt;SUM(BI82:BI83),"NG",SUM(BI82:BI83))</f>
        <v>#N/A</v>
      </c>
      <c r="BJ84" s="133" t="e">
        <f>BJ82+BJ83</f>
        <v>#N/A</v>
      </c>
      <c r="BK84" s="132" t="e">
        <f>IF(VLOOKUP(BK$2&amp;$C84&amp;$A84,集計!$D:$R,$B84,0)&lt;&gt;SUM(BK82:BK83),"NG",SUM(BK82:BK83))</f>
        <v>#N/A</v>
      </c>
      <c r="BL84" s="132" t="e">
        <f>IF(VLOOKUP(BL$2&amp;$C84&amp;$A84,集計!$D:$R,$B84,0)&lt;&gt;SUM(BL82:BL83),"NG",SUM(BL82:BL83))</f>
        <v>#N/A</v>
      </c>
      <c r="BM84" s="132" t="e">
        <f>IF(VLOOKUP(BM$2&amp;$C84&amp;$A84,集計!$D:$R,$B84,0)&lt;&gt;SUM(BM82:BM83),"NG",SUM(BM82:BM83))</f>
        <v>#N/A</v>
      </c>
      <c r="BN84" s="132" t="e">
        <f>IF(VLOOKUP(BN$2&amp;$C84&amp;$A84,集計!$D:$R,$B84,0)&lt;&gt;SUM(BN82:BN83),"NG",SUM(BN82:BN83))</f>
        <v>#N/A</v>
      </c>
      <c r="BO84" s="132" t="e">
        <f>IF(VLOOKUP(BO$2&amp;$C84&amp;$A84,集計!$D:$R,$B84,0)&lt;&gt;SUM(BO82:BO83),"NG",SUM(BO82:BO83))</f>
        <v>#N/A</v>
      </c>
      <c r="BP84" s="132" t="e">
        <f>IF(VLOOKUP(BP$2&amp;$C84&amp;$A84,集計!$D:$R,$B84,0)&lt;&gt;SUM(BP82:BP83),"NG",SUM(BP82:BP83))</f>
        <v>#N/A</v>
      </c>
      <c r="BQ84" s="133" t="e">
        <f>BQ82+BQ83</f>
        <v>#N/A</v>
      </c>
      <c r="BR84" s="132" t="e">
        <f>IF(VLOOKUP(BR$2&amp;$C84&amp;$A84,集計!$D:$R,$B84,0)&lt;&gt;SUM(BR82:BR83),"NG",SUM(BR82:BR83))</f>
        <v>#N/A</v>
      </c>
      <c r="BS84" s="132" t="e">
        <f>IF(VLOOKUP(BS$2&amp;$C84&amp;$A84,集計!$D:$R,$B84,0)&lt;&gt;SUM(BS82:BS83),"NG",SUM(BS82:BS83))</f>
        <v>#N/A</v>
      </c>
      <c r="BT84" s="132" t="e">
        <f>IF(VLOOKUP(BT$2&amp;$C84&amp;$A84,集計!$D:$R,$B84,0)&lt;&gt;SUM(BT82:BT83),"NG",SUM(BT82:BT83))</f>
        <v>#N/A</v>
      </c>
      <c r="BU84" s="133" t="e">
        <f>BU82+BU83</f>
        <v>#N/A</v>
      </c>
      <c r="BV84" s="132" t="e">
        <f>IF(VLOOKUP(BV$2&amp;$C84&amp;$A84,集計!$D:$R,$B84,0)&lt;&gt;SUM(BV82:BV83),"NG",SUM(BV82:BV83))</f>
        <v>#N/A</v>
      </c>
      <c r="BW84" s="133" t="e">
        <f>SUM(BW82:BW83)</f>
        <v>#N/A</v>
      </c>
      <c r="BX84" s="133" t="e">
        <f>SUM(BX82:BX83)</f>
        <v>#N/A</v>
      </c>
    </row>
    <row r="85" spans="1:76" s="124" customFormat="1" ht="15" thickBot="1">
      <c r="A85" s="120" t="s">
        <v>40</v>
      </c>
      <c r="B85" s="150">
        <v>15</v>
      </c>
      <c r="C85" s="135" t="s">
        <v>27</v>
      </c>
      <c r="D85" s="136" t="e">
        <f>IF(VLOOKUP(D$2&amp;$C85&amp;$A85,集計!$D:$R,$B85,0)&lt;&gt;SUM(D81,D84),"NG",SUM(D81,D84))</f>
        <v>#N/A</v>
      </c>
      <c r="E85" s="136" t="e">
        <f>IF(VLOOKUP(E$2&amp;$C85&amp;$A85,集計!$D:$R,$B85,0)&lt;&gt;SUM(E81,E84),"NG",SUM(E81,E84))</f>
        <v>#N/A</v>
      </c>
      <c r="F85" s="136" t="e">
        <f>IF(VLOOKUP(F$2&amp;$C85&amp;$A85,集計!$D:$R,$B85,0)&lt;&gt;SUM(F81,F84),"NG",SUM(F81,F84))</f>
        <v>#N/A</v>
      </c>
      <c r="G85" s="136" t="e">
        <f>IF(VLOOKUP(G$2&amp;$C85&amp;$A85,集計!$D:$R,$B85,0)&lt;&gt;SUM(G81,G84),"NG",SUM(G81,G84))</f>
        <v>#N/A</v>
      </c>
      <c r="H85" s="136" t="e">
        <f>IF(VLOOKUP(H$2&amp;$C85&amp;$A85,集計!$D:$R,$B85,0)&lt;&gt;SUM(H81,H84),"NG",SUM(H81,H84))</f>
        <v>#N/A</v>
      </c>
      <c r="I85" s="137" t="e">
        <f>I81+I84</f>
        <v>#N/A</v>
      </c>
      <c r="J85" s="136" t="e">
        <f>IF(VLOOKUP(J$2&amp;$C85&amp;$A85,集計!$D:$R,$B85,0)&lt;&gt;SUM(J81,J84),"NG",SUM(J81,J84))</f>
        <v>#N/A</v>
      </c>
      <c r="K85" s="136" t="e">
        <f>IF(VLOOKUP(K$2&amp;$C85&amp;$A85,集計!$D:$R,$B85,0)&lt;&gt;SUM(K81,K84),"NG",SUM(K81,K84))</f>
        <v>#N/A</v>
      </c>
      <c r="L85" s="136" t="e">
        <f>IF(VLOOKUP(L$2&amp;$C85&amp;$A85,集計!$D:$R,$B85,0)&lt;&gt;SUM(L81,L84),"NG",SUM(L81,L84))</f>
        <v>#N/A</v>
      </c>
      <c r="M85" s="136" t="e">
        <f>IF(VLOOKUP(M$2&amp;$C85&amp;$A85,集計!$D:$R,$B85,0)&lt;&gt;SUM(M81,M84),"NG",SUM(M81,M84))</f>
        <v>#N/A</v>
      </c>
      <c r="N85" s="137" t="e">
        <f>N81+N84</f>
        <v>#N/A</v>
      </c>
      <c r="O85" s="136" t="e">
        <f>IF(VLOOKUP(O$2&amp;$C85&amp;$A85,集計!$D:$R,$B85,0)&lt;&gt;SUM(O81,O84),"NG",SUM(O81,O84))</f>
        <v>#N/A</v>
      </c>
      <c r="P85" s="136" t="e">
        <f>IF(VLOOKUP(P$2&amp;$C85&amp;$A85,集計!$D:$R,$B85,0)&lt;&gt;SUM(P81,P84),"NG",SUM(P81,P84))</f>
        <v>#N/A</v>
      </c>
      <c r="Q85" s="136" t="e">
        <f>IF(VLOOKUP(Q$2&amp;$C85&amp;$A85,集計!$D:$R,$B85,0)&lt;&gt;SUM(Q81,Q84),"NG",SUM(Q81,Q84))</f>
        <v>#N/A</v>
      </c>
      <c r="R85" s="136" t="e">
        <f>IF(VLOOKUP(R$2&amp;$C85&amp;$A85,集計!$D:$R,$B85,0)&lt;&gt;SUM(R81,R84),"NG",SUM(R81,R84))</f>
        <v>#N/A</v>
      </c>
      <c r="S85" s="136" t="e">
        <f>IF(VLOOKUP(S$2&amp;$C85&amp;$A85,集計!$D:$R,$B85,0)&lt;&gt;SUM(S81,S84),"NG",SUM(S81,S84))</f>
        <v>#N/A</v>
      </c>
      <c r="T85" s="137" t="e">
        <f>T81+T84</f>
        <v>#N/A</v>
      </c>
      <c r="U85" s="136" t="e">
        <f>IF(VLOOKUP(U$2&amp;$C85&amp;$A85,集計!$D:$R,$B85,0)&lt;&gt;SUM(U81,U84),"NG",SUM(U81,U84))</f>
        <v>#N/A</v>
      </c>
      <c r="V85" s="136" t="e">
        <f>IF(VLOOKUP(V$2&amp;$C85&amp;$A85,集計!$D:$R,$B85,0)&lt;&gt;SUM(V81,V84),"NG",SUM(V81,V84))</f>
        <v>#N/A</v>
      </c>
      <c r="W85" s="136" t="e">
        <f>IF(VLOOKUP(W$2&amp;$C85&amp;$A85,集計!$D:$R,$B85,0)&lt;&gt;SUM(W81,W84),"NG",SUM(W81,W84))</f>
        <v>#N/A</v>
      </c>
      <c r="X85" s="137" t="e">
        <f>X81+X84</f>
        <v>#N/A</v>
      </c>
      <c r="Y85" s="136" t="e">
        <f>IF(VLOOKUP(Y$2&amp;$C85&amp;$A85,集計!$D:$R,$B85,0)&lt;&gt;SUM(Y81,Y84),"NG",SUM(Y81,Y84))</f>
        <v>#N/A</v>
      </c>
      <c r="Z85" s="136" t="e">
        <f>IF(VLOOKUP(Z$2&amp;$C85&amp;$A85,集計!$D:$R,$B85,0)&lt;&gt;SUM(Z81,Z84),"NG",SUM(Z81,Z84))</f>
        <v>#N/A</v>
      </c>
      <c r="AA85" s="136" t="e">
        <f>IF(VLOOKUP(AA$2&amp;$C85&amp;$A85,集計!$D:$R,$B85,0)&lt;&gt;SUM(AA81,AA84),"NG",SUM(AA81,AA84))</f>
        <v>#N/A</v>
      </c>
      <c r="AB85" s="137" t="e">
        <f>AB81+AB84</f>
        <v>#N/A</v>
      </c>
      <c r="AC85" s="137" t="e">
        <f>AC81+AC84</f>
        <v>#N/A</v>
      </c>
      <c r="AD85" s="136" t="e">
        <f>IF(VLOOKUP(AD$2&amp;$C85&amp;$A85,集計!$D:$R,$B85,0)&lt;&gt;SUM(AD81,AD84),"NG",SUM(AD81,AD84))</f>
        <v>#N/A</v>
      </c>
      <c r="AE85" s="136" t="e">
        <f>IF(VLOOKUP(AE$2&amp;$C85&amp;$A85,集計!$D:$R,$B85,0)&lt;&gt;SUM(AE81,AE84),"NG",SUM(AE81,AE84))</f>
        <v>#N/A</v>
      </c>
      <c r="AF85" s="136" t="e">
        <f>IF(VLOOKUP(AF$2&amp;$C85&amp;$A85,集計!$D:$R,$B85,0)&lt;&gt;SUM(AF81,AF84),"NG",SUM(AF81,AF84))</f>
        <v>#N/A</v>
      </c>
      <c r="AG85" s="136" t="e">
        <f>IF(VLOOKUP(AG$2&amp;$C85&amp;$A85,集計!$D:$R,$B85,0)&lt;&gt;SUM(AG81,AG84),"NG",SUM(AG81,AG84))</f>
        <v>#N/A</v>
      </c>
      <c r="AH85" s="137" t="e">
        <f>AH81+AH84</f>
        <v>#N/A</v>
      </c>
      <c r="AI85" s="136" t="e">
        <f>IF(VLOOKUP(AI$2&amp;$C85&amp;$A85,集計!$D:$R,$B85,0)&lt;&gt;SUM(AI81,AI84),"NG",SUM(AI81,AI84))</f>
        <v>#N/A</v>
      </c>
      <c r="AJ85" s="136" t="e">
        <f>IF(VLOOKUP(AJ$2&amp;$C85&amp;$A85,集計!$D:$R,$B85,0)&lt;&gt;SUM(AJ81,AJ84),"NG",SUM(AJ81,AJ84))</f>
        <v>#N/A</v>
      </c>
      <c r="AK85" s="136" t="e">
        <f>IF(VLOOKUP(AK$2&amp;$C85&amp;$A85,集計!$D:$R,$B85,0)&lt;&gt;SUM(AK81,AK84),"NG",SUM(AK81,AK84))</f>
        <v>#N/A</v>
      </c>
      <c r="AL85" s="137" t="e">
        <f>AL81+AL84</f>
        <v>#N/A</v>
      </c>
      <c r="AM85" s="136" t="e">
        <f>IF(VLOOKUP(AM$2&amp;$C85&amp;$A85,集計!$D:$R,$B85,0)&lt;&gt;SUM(AM81,AM84),"NG",SUM(AM81,AM84))</f>
        <v>#N/A</v>
      </c>
      <c r="AN85" s="136" t="e">
        <f>IF(VLOOKUP(AN$2&amp;$C85&amp;$A85,集計!$D:$R,$B85,0)&lt;&gt;SUM(AN81,AN84),"NG",SUM(AN81,AN84))</f>
        <v>#N/A</v>
      </c>
      <c r="AO85" s="137" t="e">
        <f>AO81+AO84</f>
        <v>#N/A</v>
      </c>
      <c r="AP85" s="136" t="e">
        <f>IF(VLOOKUP(AP$2&amp;$C85&amp;$A85,集計!$D:$R,$B85,0)&lt;&gt;SUM(AP81,AP84),"NG",SUM(AP81,AP84))</f>
        <v>#N/A</v>
      </c>
      <c r="AQ85" s="136" t="e">
        <f>IF(VLOOKUP(AQ$2&amp;$C85&amp;$A85,集計!$D:$R,$B85,0)&lt;&gt;SUM(AQ81,AQ84),"NG",SUM(AQ81,AQ84))</f>
        <v>#N/A</v>
      </c>
      <c r="AR85" s="136" t="e">
        <f>IF(VLOOKUP(AR$2&amp;$C85&amp;$A85,集計!$D:$R,$B85,0)&lt;&gt;SUM(AR81,AR84),"NG",SUM(AR81,AR84))</f>
        <v>#N/A</v>
      </c>
      <c r="AS85" s="137" t="e">
        <f>AS81+AS84</f>
        <v>#N/A</v>
      </c>
      <c r="AT85" s="137" t="e">
        <f>AT81+AT84</f>
        <v>#N/A</v>
      </c>
      <c r="AU85" s="136" t="e">
        <f>IF(VLOOKUP(AU$2&amp;$C85&amp;$A85,集計!$D:$R,$B85,0)&lt;&gt;SUM(AU81,AU84),"NG",SUM(AU81,AU84))</f>
        <v>#N/A</v>
      </c>
      <c r="AV85" s="136" t="e">
        <f>IF(VLOOKUP(AV$2&amp;$C85&amp;$A85,集計!$D:$R,$B85,0)&lt;&gt;SUM(AV81,AV84),"NG",SUM(AV81,AV84))</f>
        <v>#N/A</v>
      </c>
      <c r="AW85" s="136" t="e">
        <f>IF(VLOOKUP(AW$2&amp;$C85&amp;$A85,集計!$D:$R,$B85,0)&lt;&gt;SUM(AW81,AW84),"NG",SUM(AW81,AW84))</f>
        <v>#N/A</v>
      </c>
      <c r="AX85" s="136" t="e">
        <f>IF(VLOOKUP(AX$2&amp;$C85&amp;$A85,集計!$D:$R,$B85,0)&lt;&gt;SUM(AX81,AX84),"NG",SUM(AX81,AX84))</f>
        <v>#N/A</v>
      </c>
      <c r="AY85" s="136" t="e">
        <f>IF(VLOOKUP(AY$2&amp;$C85&amp;$A85,集計!$D:$R,$B85,0)&lt;&gt;SUM(AY81,AY84),"NG",SUM(AY81,AY84))</f>
        <v>#N/A</v>
      </c>
      <c r="AZ85" s="137" t="e">
        <f>AZ81+AZ84</f>
        <v>#N/A</v>
      </c>
      <c r="BA85" s="137" t="e">
        <f>BA81+BA84</f>
        <v>#N/A</v>
      </c>
      <c r="BB85" s="136" t="e">
        <f>IF(VLOOKUP(BB$2&amp;$C85&amp;$A85,集計!$D:$R,$B85,0)&lt;&gt;SUM(BB81,BB84),"NG",SUM(BB81,BB84))</f>
        <v>#N/A</v>
      </c>
      <c r="BC85" s="136" t="e">
        <f>IF(VLOOKUP(BC$2&amp;$C85&amp;$A85,集計!$D:$R,$B85,0)&lt;&gt;SUM(BC81,BC84),"NG",SUM(BC81,BC84))</f>
        <v>#N/A</v>
      </c>
      <c r="BD85" s="137" t="e">
        <f>BD81+BD84</f>
        <v>#N/A</v>
      </c>
      <c r="BE85" s="136" t="e">
        <f>IF(VLOOKUP(BE$2&amp;$C85&amp;$A85,集計!$D:$R,$B85,0)&lt;&gt;SUM(BE81,BE84),"NG",SUM(BE81,BE84))</f>
        <v>#N/A</v>
      </c>
      <c r="BF85" s="136" t="e">
        <f>IF(VLOOKUP(BF$2&amp;$C85&amp;$A85,集計!$D:$R,$B85,0)&lt;&gt;SUM(BF81,BF84),"NG",SUM(BF81,BF84))</f>
        <v>#N/A</v>
      </c>
      <c r="BG85" s="136" t="e">
        <f>IF(VLOOKUP(BG$2&amp;$C85&amp;$A85,集計!$D:$R,$B85,0)&lt;&gt;SUM(BG81,BG84),"NG",SUM(BG81,BG84))</f>
        <v>#N/A</v>
      </c>
      <c r="BH85" s="136" t="e">
        <f>IF(VLOOKUP(BH$2&amp;$C85&amp;$A85,集計!$D:$R,$B85,0)&lt;&gt;SUM(BH81,BH84),"NG",SUM(BH81,BH84))</f>
        <v>#N/A</v>
      </c>
      <c r="BI85" s="136" t="e">
        <f>IF(VLOOKUP(BI$2&amp;$C85&amp;$A85,集計!$D:$R,$B85,0)&lt;&gt;SUM(BI81,BI84),"NG",SUM(BI81,BI84))</f>
        <v>#N/A</v>
      </c>
      <c r="BJ85" s="137" t="e">
        <f>BJ81+BJ84</f>
        <v>#N/A</v>
      </c>
      <c r="BK85" s="136" t="e">
        <f>IF(VLOOKUP(BK$2&amp;$C85&amp;$A85,集計!$D:$R,$B85,0)&lt;&gt;SUM(BK81,BK84),"NG",SUM(BK81,BK84))</f>
        <v>#N/A</v>
      </c>
      <c r="BL85" s="136" t="e">
        <f>IF(VLOOKUP(BL$2&amp;$C85&amp;$A85,集計!$D:$R,$B85,0)&lt;&gt;SUM(BL81,BL84),"NG",SUM(BL81,BL84))</f>
        <v>#N/A</v>
      </c>
      <c r="BM85" s="136" t="e">
        <f>IF(VLOOKUP(BM$2&amp;$C85&amp;$A85,集計!$D:$R,$B85,0)&lt;&gt;SUM(BM81,BM84),"NG",SUM(BM81,BM84))</f>
        <v>#N/A</v>
      </c>
      <c r="BN85" s="136" t="e">
        <f>IF(VLOOKUP(BN$2&amp;$C85&amp;$A85,集計!$D:$R,$B85,0)&lt;&gt;SUM(BN81,BN84),"NG",SUM(BN81,BN84))</f>
        <v>#N/A</v>
      </c>
      <c r="BO85" s="136" t="e">
        <f>IF(VLOOKUP(BO$2&amp;$C85&amp;$A85,集計!$D:$R,$B85,0)&lt;&gt;SUM(BO81,BO84),"NG",SUM(BO81,BO84))</f>
        <v>#N/A</v>
      </c>
      <c r="BP85" s="136" t="e">
        <f>IF(VLOOKUP(BP$2&amp;$C85&amp;$A85,集計!$D:$R,$B85,0)&lt;&gt;SUM(BP81,BP84),"NG",SUM(BP81,BP84))</f>
        <v>#N/A</v>
      </c>
      <c r="BQ85" s="137" t="e">
        <f>BQ81+BQ84</f>
        <v>#N/A</v>
      </c>
      <c r="BR85" s="136" t="e">
        <f>IF(VLOOKUP(BR$2&amp;$C85&amp;$A85,集計!$D:$R,$B85,0)&lt;&gt;SUM(BR81,BR84),"NG",SUM(BR81,BR84))</f>
        <v>#N/A</v>
      </c>
      <c r="BS85" s="136" t="e">
        <f>IF(VLOOKUP(BS$2&amp;$C85&amp;$A85,集計!$D:$R,$B85,0)&lt;&gt;SUM(BS81,BS84),"NG",SUM(BS81,BS84))</f>
        <v>#N/A</v>
      </c>
      <c r="BT85" s="136" t="e">
        <f>IF(VLOOKUP(BT$2&amp;$C85&amp;$A85,集計!$D:$R,$B85,0)&lt;&gt;SUM(BT81,BT84),"NG",SUM(BT81,BT84))</f>
        <v>#N/A</v>
      </c>
      <c r="BU85" s="137" t="e">
        <f>BU81+BU84</f>
        <v>#N/A</v>
      </c>
      <c r="BV85" s="136" t="e">
        <f>IF(VLOOKUP(BV$2&amp;$C85&amp;$A85,集計!$D:$R,$B85,0)&lt;&gt;SUM(BV81,BV84),"NG",SUM(BV81,BV84))</f>
        <v>#N/A</v>
      </c>
      <c r="BW85" s="137" t="e">
        <f>BW81+BW84</f>
        <v>#N/A</v>
      </c>
      <c r="BX85" s="137" t="e">
        <f>BX81+BX84</f>
        <v>#N/A</v>
      </c>
    </row>
    <row r="86" spans="1:76">
      <c r="A86" s="94"/>
      <c r="B86" s="151"/>
      <c r="C86" s="1"/>
      <c r="D86" s="2"/>
      <c r="E86" s="2"/>
      <c r="F86" s="2"/>
      <c r="G86" s="3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2"/>
      <c r="AJ86" s="2"/>
      <c r="AK86" s="2"/>
      <c r="AL86" s="3"/>
      <c r="AM86" s="3"/>
      <c r="AN86" s="3"/>
      <c r="AO86" s="3"/>
      <c r="AP86" s="3"/>
      <c r="AQ86" s="3"/>
      <c r="AR86" s="3"/>
      <c r="AS86" s="3"/>
      <c r="AT86" s="3"/>
      <c r="AU86" s="2"/>
      <c r="AV86" s="2"/>
      <c r="AW86" s="2"/>
      <c r="AX86" s="2"/>
      <c r="AY86" s="2"/>
      <c r="AZ86" s="3"/>
      <c r="BA86" s="3"/>
      <c r="BB86" s="2"/>
      <c r="BC86" s="2"/>
      <c r="BD86" s="3"/>
      <c r="BE86" s="3"/>
      <c r="BF86" s="2"/>
      <c r="BG86" s="2"/>
      <c r="BH86" s="2"/>
      <c r="BI86" s="2"/>
      <c r="BJ86" s="3"/>
      <c r="BK86" s="3"/>
      <c r="BL86" s="3"/>
      <c r="BM86" s="3"/>
      <c r="BN86" s="3"/>
      <c r="BO86" s="3"/>
      <c r="BP86" s="3"/>
      <c r="BQ86" s="3"/>
      <c r="BR86" s="2"/>
      <c r="BS86" s="3"/>
      <c r="BU86" s="3"/>
      <c r="BW86" s="3"/>
      <c r="BX86" s="3"/>
    </row>
    <row r="87" spans="1:76">
      <c r="A87" s="94"/>
      <c r="B87" s="149"/>
    </row>
    <row r="88" spans="1:76">
      <c r="A88" s="94"/>
      <c r="B88" s="154" t="s">
        <v>41</v>
      </c>
      <c r="C88" s="97" t="s">
        <v>27</v>
      </c>
      <c r="D88" s="4" t="e">
        <f>SUMIFS(集計!$R:$R,集計!$B:$B,D$2,集計!#REF!,$C88)-SUMIF($C$4:$C$85,$C88,D$4:D$85)</f>
        <v>#REF!</v>
      </c>
      <c r="E88" s="4" t="e">
        <f>SUMIFS(集計!$R:$R,集計!$B:$B,E$2,集計!#REF!,$C88)-SUMIF($C$4:$C$85,$C88,E$4:E$85)</f>
        <v>#REF!</v>
      </c>
      <c r="F88" s="4" t="e">
        <f>SUMIFS(集計!$R:$R,集計!$B:$B,F$2,集計!#REF!,$C88)-SUMIF($C$4:$C$85,$C88,F$4:F$85)</f>
        <v>#REF!</v>
      </c>
      <c r="G88" s="4" t="e">
        <f>SUMIFS(集計!$R:$R,集計!$B:$B,G$2,集計!#REF!,$C88)-SUMIF($C$4:$C$85,$C88,G$4:G$85)</f>
        <v>#REF!</v>
      </c>
      <c r="H88" s="4" t="e">
        <f>SUMIFS(集計!$R:$R,集計!$B:$B,H$2,集計!#REF!,$C88)-SUMIF($C$4:$C$85,$C88,H$4:H$85)</f>
        <v>#REF!</v>
      </c>
      <c r="I88" s="4"/>
      <c r="J88" s="4" t="e">
        <f>SUMIFS(集計!$R:$R,集計!$B:$B,J$2,集計!#REF!,$C88)-SUMIF($C$4:$C$85,$C88,J$4:J$85)</f>
        <v>#REF!</v>
      </c>
      <c r="K88" s="4" t="e">
        <f>SUMIFS(集計!$R:$R,集計!$B:$B,K$2,集計!#REF!,$C88)-SUMIF($C$4:$C$85,$C88,K$4:K$85)</f>
        <v>#REF!</v>
      </c>
      <c r="L88" s="4" t="e">
        <f>SUMIFS(集計!$R:$R,集計!$B:$B,L$2,集計!#REF!,$C88)-SUMIF($C$4:$C$85,$C88,L$4:L$85)</f>
        <v>#REF!</v>
      </c>
      <c r="M88" s="4" t="e">
        <f>SUMIFS(集計!$R:$R,集計!$B:$B,M$2,集計!#REF!,$C88)-SUMIF($C$4:$C$85,$C88,M$4:M$85)</f>
        <v>#REF!</v>
      </c>
      <c r="N88" s="4"/>
      <c r="O88" s="4" t="e">
        <f>SUMIFS(集計!$R:$R,集計!$B:$B,O$2,集計!#REF!,$C88)-SUMIF($C$4:$C$85,$C88,O$4:O$85)</f>
        <v>#REF!</v>
      </c>
      <c r="P88" s="4" t="e">
        <f>SUMIFS(集計!$R:$R,集計!$B:$B,P$2,集計!#REF!,$C88)-SUMIF($C$4:$C$85,$C88,P$4:P$85)</f>
        <v>#REF!</v>
      </c>
      <c r="Q88" s="4" t="e">
        <f>SUMIFS(集計!$R:$R,集計!$B:$B,Q$2,集計!#REF!,$C88)-SUMIF($C$4:$C$85,$C88,Q$4:Q$85)</f>
        <v>#REF!</v>
      </c>
      <c r="R88" s="4" t="e">
        <f>SUMIFS(集計!$R:$R,集計!$B:$B,R$2,集計!#REF!,$C88)-SUMIF($C$4:$C$85,$C88,R$4:R$85)</f>
        <v>#REF!</v>
      </c>
      <c r="S88" s="4" t="e">
        <f>SUMIFS(集計!$R:$R,集計!$B:$B,S$2,集計!#REF!,$C88)-SUMIF($C$4:$C$85,$C88,S$4:S$85)</f>
        <v>#REF!</v>
      </c>
      <c r="T88" s="4"/>
      <c r="U88" s="4" t="e">
        <f>SUMIFS(集計!$R:$R,集計!$B:$B,U$2,集計!#REF!,$C88)-SUMIF($C$4:$C$85,$C88,U$4:U$85)</f>
        <v>#REF!</v>
      </c>
      <c r="V88" s="4" t="e">
        <f>SUMIFS(集計!$R:$R,集計!$B:$B,V$2,集計!#REF!,$C88)-SUMIF($C$4:$C$85,$C88,V$4:V$85)</f>
        <v>#REF!</v>
      </c>
      <c r="W88" s="4" t="e">
        <f>SUMIFS(集計!$R:$R,集計!$B:$B,W$2,集計!#REF!,$C88)-SUMIF($C$4:$C$85,$C88,W$4:W$85)</f>
        <v>#REF!</v>
      </c>
      <c r="X88" s="4"/>
      <c r="Y88" s="4" t="e">
        <f>SUMIFS(集計!$R:$R,集計!$B:$B,Y$2,集計!#REF!,$C88)-SUMIF($C$4:$C$85,$C88,Y$4:Y$85)</f>
        <v>#REF!</v>
      </c>
      <c r="Z88" s="4" t="e">
        <f>SUMIFS(集計!$R:$R,集計!$B:$B,Z$2,集計!#REF!,$C88)-SUMIF($C$4:$C$85,$C88,Z$4:Z$85)</f>
        <v>#REF!</v>
      </c>
      <c r="AA88" s="4" t="e">
        <f>SUMIFS(集計!$R:$R,集計!$B:$B,AA$2,集計!#REF!,$C88)-SUMIF($C$4:$C$85,$C88,AA$4:AA$85)</f>
        <v>#REF!</v>
      </c>
      <c r="AB88" s="4"/>
      <c r="AC88" s="4"/>
      <c r="AD88" s="4" t="e">
        <f>SUMIFS(集計!$R:$R,集計!$B:$B,AD$2,集計!#REF!,$C88)-SUMIF($C$4:$C$85,$C88,AD$4:AD$85)</f>
        <v>#REF!</v>
      </c>
      <c r="AE88" s="4" t="e">
        <f>SUMIFS(集計!$R:$R,集計!$B:$B,AE$2,集計!#REF!,$C88)-SUMIF($C$4:$C$85,$C88,AE$4:AE$85)</f>
        <v>#REF!</v>
      </c>
      <c r="AF88" s="4" t="e">
        <f>SUMIFS(集計!$R:$R,集計!$B:$B,AF$2,集計!#REF!,$C88)-SUMIF($C$4:$C$85,$C88,AF$4:AF$85)</f>
        <v>#REF!</v>
      </c>
      <c r="AG88" s="4" t="e">
        <f>SUMIFS(集計!$R:$R,集計!$B:$B,AG$2,集計!#REF!,$C88)-SUMIF($C$4:$C$85,$C88,AG$4:AG$85)</f>
        <v>#REF!</v>
      </c>
      <c r="AH88" s="4"/>
      <c r="AI88" s="4" t="e">
        <f>SUMIFS(集計!$R:$R,集計!$B:$B,AI$2,集計!#REF!,$C88)-SUMIF($C$4:$C$85,$C88,AI$4:AI$85)</f>
        <v>#REF!</v>
      </c>
      <c r="AJ88" s="4" t="e">
        <f>SUMIFS(集計!$R:$R,集計!$B:$B,AJ$2,集計!#REF!,$C88)-SUMIF($C$4:$C$85,$C88,AJ$4:AJ$85)</f>
        <v>#REF!</v>
      </c>
      <c r="AK88" s="4" t="e">
        <f>SUMIFS(集計!$R:$R,集計!$B:$B,AK$2,集計!#REF!,$C88)-SUMIF($C$4:$C$85,$C88,AK$4:AK$85)</f>
        <v>#REF!</v>
      </c>
      <c r="AL88" s="4"/>
      <c r="AM88" s="4" t="e">
        <f>SUMIFS(集計!$R:$R,集計!$B:$B,AM$2,集計!#REF!,$C88)-SUMIF($C$4:$C$85,$C88,AM$4:AM$85)</f>
        <v>#REF!</v>
      </c>
      <c r="AN88" s="4" t="e">
        <f>SUMIFS(集計!$R:$R,集計!$B:$B,AN$2,集計!#REF!,$C88)-SUMIF($C$4:$C$85,$C88,AN$4:AN$85)</f>
        <v>#REF!</v>
      </c>
      <c r="AO88" s="4"/>
      <c r="AP88" s="4" t="e">
        <f>SUMIFS(集計!$R:$R,集計!$B:$B,AP$2,集計!#REF!,$C88)-SUMIF($C$4:$C$85,$C88,AP$4:AP$85)</f>
        <v>#REF!</v>
      </c>
      <c r="AQ88" s="4" t="e">
        <f>SUMIFS(集計!$R:$R,集計!$B:$B,AQ$2,集計!#REF!,$C88)-SUMIF($C$4:$C$85,$C88,AQ$4:AQ$85)</f>
        <v>#REF!</v>
      </c>
      <c r="AR88" s="4" t="e">
        <f>SUMIFS(集計!$R:$R,集計!$B:$B,AR$2,集計!#REF!,$C88)-SUMIF($C$4:$C$85,$C88,AR$4:AR$85)</f>
        <v>#REF!</v>
      </c>
      <c r="AS88" s="4"/>
      <c r="AT88" s="4"/>
      <c r="AU88" s="4" t="e">
        <f>SUMIFS(集計!$R:$R,集計!$B:$B,AU$2,集計!#REF!,$C88)-SUMIF($C$4:$C$85,$C88,AU$4:AU$85)</f>
        <v>#REF!</v>
      </c>
      <c r="AV88" s="4" t="e">
        <f>SUMIFS(集計!$R:$R,集計!$B:$B,AV$2,集計!#REF!,$C88)-SUMIF($C$4:$C$85,$C88,AV$4:AV$85)</f>
        <v>#REF!</v>
      </c>
      <c r="AW88" s="4" t="e">
        <f>SUMIFS(集計!$R:$R,集計!$B:$B,AW$2,集計!#REF!,$C88)-SUMIF($C$4:$C$85,$C88,AW$4:AW$85)</f>
        <v>#REF!</v>
      </c>
      <c r="AX88" s="4" t="e">
        <f>SUMIFS(集計!$R:$R,集計!$B:$B,AX$2,集計!#REF!,$C88)-SUMIF($C$4:$C$85,$C88,AX$4:AX$85)</f>
        <v>#REF!</v>
      </c>
      <c r="AY88" s="4" t="e">
        <f>SUMIFS(集計!$R:$R,集計!$B:$B,AY$2,集計!#REF!,$C88)-SUMIF($C$4:$C$85,$C88,AY$4:AY$85)</f>
        <v>#REF!</v>
      </c>
      <c r="AZ88" s="4"/>
      <c r="BA88" s="4"/>
      <c r="BB88" s="4" t="e">
        <f>SUMIFS(集計!$R:$R,集計!$B:$B,BB$2,集計!#REF!,$C88)-SUMIF($C$4:$C$85,$C88,BB$4:BB$85)</f>
        <v>#REF!</v>
      </c>
      <c r="BC88" s="4" t="e">
        <f>SUMIFS(集計!$R:$R,集計!$B:$B,BC$2,集計!#REF!,$C88)-SUMIF($C$4:$C$85,$C88,BC$4:BC$85)</f>
        <v>#REF!</v>
      </c>
      <c r="BD88" s="4"/>
      <c r="BE88" s="4" t="e">
        <f>SUMIFS(集計!$R:$R,集計!$B:$B,BE$2,集計!#REF!,$C88)-SUMIF($C$4:$C$85,$C88,BE$4:BE$85)</f>
        <v>#REF!</v>
      </c>
      <c r="BF88" s="4" t="e">
        <f>SUMIFS(集計!$R:$R,集計!$B:$B,BF$2,集計!#REF!,$C88)-SUMIF($C$4:$C$85,$C88,BF$4:BF$85)</f>
        <v>#REF!</v>
      </c>
      <c r="BG88" s="4" t="e">
        <f>SUMIFS(集計!$R:$R,集計!$B:$B,BG$2,集計!#REF!,$C88)-SUMIF($C$4:$C$85,$C88,BG$4:BG$85)</f>
        <v>#REF!</v>
      </c>
      <c r="BH88" s="4" t="e">
        <f>SUMIFS(集計!$R:$R,集計!$B:$B,BH$2,集計!#REF!,$C88)-SUMIF($C$4:$C$85,$C88,BH$4:BH$85)</f>
        <v>#REF!</v>
      </c>
      <c r="BI88" s="4" t="e">
        <f>SUMIFS(集計!$R:$R,集計!$B:$B,BI$2,集計!#REF!,$C88)-SUMIF($C$4:$C$85,$C88,BI$4:BI$85)</f>
        <v>#REF!</v>
      </c>
      <c r="BJ88" s="4"/>
      <c r="BK88" s="4" t="e">
        <f>SUMIFS(集計!$R:$R,集計!$B:$B,BK$2,集計!#REF!,$C88)-SUMIF($C$4:$C$85,$C88,BK$4:BK$85)</f>
        <v>#REF!</v>
      </c>
      <c r="BL88" s="4" t="e">
        <f>SUMIFS(集計!$R:$R,集計!$B:$B,BL$2,集計!#REF!,$C88)-SUMIF($C$4:$C$85,$C88,BL$4:BL$85)</f>
        <v>#REF!</v>
      </c>
      <c r="BM88" s="4" t="e">
        <f>SUMIFS(集計!$R:$R,集計!$B:$B,BM$2,集計!#REF!,$C88)-SUMIF($C$4:$C$85,$C88,BM$4:BM$85)</f>
        <v>#REF!</v>
      </c>
      <c r="BN88" s="4" t="e">
        <f>SUMIFS(集計!$R:$R,集計!$B:$B,BN$2,集計!#REF!,$C88)-SUMIF($C$4:$C$85,$C88,BN$4:BN$85)</f>
        <v>#REF!</v>
      </c>
      <c r="BO88" s="4" t="e">
        <f>SUMIFS(集計!$R:$R,集計!$B:$B,BO$2,集計!#REF!,$C88)-SUMIF($C$4:$C$85,$C88,BO$4:BO$85)</f>
        <v>#REF!</v>
      </c>
      <c r="BP88" s="4" t="e">
        <f>SUMIFS(集計!$R:$R,集計!$B:$B,BP$2,集計!#REF!,$C88)-SUMIF($C$4:$C$85,$C88,BP$4:BP$85)</f>
        <v>#REF!</v>
      </c>
      <c r="BQ88" s="4"/>
      <c r="BR88" s="4" t="e">
        <f>SUMIFS(集計!$R:$R,集計!$B:$B,BR$2,集計!#REF!,$C88)-SUMIF($C$4:$C$85,$C88,BR$4:BR$85)</f>
        <v>#REF!</v>
      </c>
      <c r="BS88" s="4" t="e">
        <f>SUMIFS(集計!$R:$R,集計!$B:$B,BS$2,集計!#REF!,$C88)-SUMIF($C$4:$C$85,$C88,BS$4:BS$85)</f>
        <v>#REF!</v>
      </c>
      <c r="BT88" s="4" t="e">
        <f>SUMIFS(集計!$R:$R,集計!$B:$B,BT$2,集計!#REF!,$C88)-SUMIF($C$4:$C$85,$C88,BT$4:BT$85)</f>
        <v>#REF!</v>
      </c>
      <c r="BU88" s="4"/>
      <c r="BV88" s="4" t="e">
        <f>SUMIFS(集計!$R:$R,集計!$B:$B,BV$2,集計!#REF!,$C88)-SUMIF($C$4:$C$85,$C88,BV$4:BV$85)</f>
        <v>#REF!</v>
      </c>
      <c r="BW88" s="4"/>
      <c r="BX88" s="4" t="e">
        <f>SUMIF($C$3:$C$85,C88,BX3:BX85)-SUM(KDTVN!C7:N7)</f>
        <v>#N/A</v>
      </c>
    </row>
    <row r="89" spans="1:76">
      <c r="A89" s="94"/>
      <c r="B89" s="149"/>
    </row>
  </sheetData>
  <sheetCalcPr fullCalcOnLoad="1"/>
  <autoFilter ref="A2:BX88" xr:uid="{17F0838F-5E53-4EC9-A3D6-783424FBDD40}"/>
  <phoneticPr fontId="5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2A4F-13C1-49AD-891C-DAFACD48266E}">
  <sheetPr codeName="Sheet5">
    <tabColor theme="5" tint="0.59999389629810485"/>
  </sheetPr>
  <dimension ref="A1:N21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4.90625" style="222" bestFit="1" customWidth="1"/>
    <col min="2" max="2" width="17.26953125" customWidth="1"/>
    <col min="3" max="14" width="14.08984375" customWidth="1"/>
  </cols>
  <sheetData>
    <row r="1" spans="1:14">
      <c r="A1" s="221" t="s">
        <v>46</v>
      </c>
      <c r="B1" s="97"/>
      <c r="C1" s="10">
        <v>4</v>
      </c>
      <c r="D1" s="10">
        <f>C1+1</f>
        <v>5</v>
      </c>
      <c r="E1" s="10">
        <f t="shared" ref="E1:N1" si="0">D1+1</f>
        <v>6</v>
      </c>
      <c r="F1" s="10">
        <f t="shared" si="0"/>
        <v>7</v>
      </c>
      <c r="G1" s="10">
        <f t="shared" si="0"/>
        <v>8</v>
      </c>
      <c r="H1" s="10">
        <f t="shared" si="0"/>
        <v>9</v>
      </c>
      <c r="I1" s="10">
        <f t="shared" si="0"/>
        <v>10</v>
      </c>
      <c r="J1" s="10">
        <f t="shared" si="0"/>
        <v>11</v>
      </c>
      <c r="K1" s="10">
        <f t="shared" si="0"/>
        <v>12</v>
      </c>
      <c r="L1" s="10">
        <v>1</v>
      </c>
      <c r="M1" s="10">
        <f t="shared" si="0"/>
        <v>2</v>
      </c>
      <c r="N1" s="10">
        <f t="shared" si="0"/>
        <v>3</v>
      </c>
    </row>
    <row r="2" spans="1:14">
      <c r="A2" s="17"/>
      <c r="B2" s="12" t="s">
        <v>40</v>
      </c>
    </row>
    <row r="3" spans="1:14">
      <c r="A3" s="17" t="s">
        <v>40</v>
      </c>
      <c r="B3" s="5" t="s">
        <v>25</v>
      </c>
      <c r="C3" s="5">
        <f>SUMIFS(集計!F:F,集計!$C:$C,$A3,集計!$E:$E,$B3)</f>
        <v>0</v>
      </c>
      <c r="D3" s="5">
        <f>SUMIFS(集計!G:G,集計!$C:$C,$A3,集計!$E:$E,$B3)</f>
        <v>0</v>
      </c>
      <c r="E3" s="5">
        <f>SUMIFS(集計!H:H,集計!$C:$C,$A3,集計!$E:$E,$B3)</f>
        <v>0</v>
      </c>
      <c r="F3" s="5">
        <f>SUMIFS(集計!I:I,集計!$C:$C,$A3,集計!$E:$E,$B3)</f>
        <v>0</v>
      </c>
      <c r="G3" s="5">
        <f>SUMIFS(集計!J:J,集計!$C:$C,$A3,集計!$E:$E,$B3)</f>
        <v>0</v>
      </c>
      <c r="H3" s="5">
        <f>SUMIFS(集計!K:K,集計!$C:$C,$A3,集計!$E:$E,$B3)</f>
        <v>0</v>
      </c>
      <c r="I3" s="5">
        <f>SUMIFS(集計!L:L,集計!$C:$C,$A3,集計!$E:$E,$B3)</f>
        <v>0</v>
      </c>
      <c r="J3" s="5">
        <f>SUMIFS(集計!M:M,集計!$C:$C,$A3,集計!$E:$E,$B3)</f>
        <v>0</v>
      </c>
      <c r="K3" s="5">
        <f>SUMIFS(集計!N:N,集計!$C:$C,$A3,集計!$E:$E,$B3)</f>
        <v>0</v>
      </c>
      <c r="L3" s="5">
        <f>SUMIFS(集計!O:O,集計!$C:$C,$A3,集計!$E:$E,$B3)</f>
        <v>0</v>
      </c>
      <c r="M3" s="5">
        <f>SUMIFS(集計!P:P,集計!$C:$C,$A3,集計!$E:$E,$B3)</f>
        <v>0</v>
      </c>
      <c r="N3" s="5">
        <f>SUMIFS(集計!Q:Q,集計!$C:$C,$A3,集計!$E:$E,$B3)</f>
        <v>0</v>
      </c>
    </row>
    <row r="4" spans="1:14">
      <c r="A4" s="17" t="s">
        <v>40</v>
      </c>
      <c r="B4" s="14" t="s">
        <v>106</v>
      </c>
      <c r="C4" s="6">
        <f>SUMIFS(集計!F:F,集計!$C:$C,$A4,集計!$E:$E,$B4)</f>
        <v>0</v>
      </c>
      <c r="D4" s="6">
        <f>SUMIFS(集計!G:G,集計!$C:$C,$A4,集計!$E:$E,$B4)</f>
        <v>0</v>
      </c>
      <c r="E4" s="6">
        <f>SUMIFS(集計!H:H,集計!$C:$C,$A4,集計!$E:$E,$B4)</f>
        <v>0</v>
      </c>
      <c r="F4" s="6">
        <f>SUMIFS(集計!I:I,集計!$C:$C,$A4,集計!$E:$E,$B4)</f>
        <v>0</v>
      </c>
      <c r="G4" s="6">
        <f>SUMIFS(集計!J:J,集計!$C:$C,$A4,集計!$E:$E,$B4)</f>
        <v>0</v>
      </c>
      <c r="H4" s="6">
        <f>SUMIFS(集計!K:K,集計!$C:$C,$A4,集計!$E:$E,$B4)</f>
        <v>0</v>
      </c>
      <c r="I4" s="6">
        <f>SUMIFS(集計!L:L,集計!$C:$C,$A4,集計!$E:$E,$B4)</f>
        <v>0</v>
      </c>
      <c r="J4" s="6">
        <f>SUMIFS(集計!M:M,集計!$C:$C,$A4,集計!$E:$E,$B4)</f>
        <v>0</v>
      </c>
      <c r="K4" s="6">
        <f>SUMIFS(集計!N:N,集計!$C:$C,$A4,集計!$E:$E,$B4)</f>
        <v>0</v>
      </c>
      <c r="L4" s="6">
        <f>SUMIFS(集計!O:O,集計!$C:$C,$A4,集計!$E:$E,$B4)</f>
        <v>0</v>
      </c>
      <c r="M4" s="6">
        <f>SUMIFS(集計!P:P,集計!$C:$C,$A4,集計!$E:$E,$B4)</f>
        <v>0</v>
      </c>
      <c r="N4" s="6">
        <f>SUMIFS(集計!Q:Q,集計!$C:$C,$A4,集計!$E:$E,$B4)</f>
        <v>0</v>
      </c>
    </row>
    <row r="5" spans="1:14">
      <c r="A5" s="17" t="s">
        <v>40</v>
      </c>
      <c r="B5" s="15" t="s">
        <v>107</v>
      </c>
      <c r="C5" s="7">
        <f>SUMIFS(集計!F:F,集計!$C:$C,$A5,集計!$E:$E,$B5)</f>
        <v>0</v>
      </c>
      <c r="D5" s="7">
        <f>SUMIFS(集計!G:G,集計!$C:$C,$A5,集計!$E:$E,$B5)</f>
        <v>0</v>
      </c>
      <c r="E5" s="7">
        <f>SUMIFS(集計!H:H,集計!$C:$C,$A5,集計!$E:$E,$B5)</f>
        <v>0</v>
      </c>
      <c r="F5" s="7">
        <f>SUMIFS(集計!I:I,集計!$C:$C,$A5,集計!$E:$E,$B5)</f>
        <v>0</v>
      </c>
      <c r="G5" s="7">
        <f>SUMIFS(集計!J:J,集計!$C:$C,$A5,集計!$E:$E,$B5)</f>
        <v>0</v>
      </c>
      <c r="H5" s="7">
        <f>SUMIFS(集計!K:K,集計!$C:$C,$A5,集計!$E:$E,$B5)</f>
        <v>0</v>
      </c>
      <c r="I5" s="7">
        <f>SUMIFS(集計!L:L,集計!$C:$C,$A5,集計!$E:$E,$B5)</f>
        <v>0</v>
      </c>
      <c r="J5" s="7">
        <f>SUMIFS(集計!M:M,集計!$C:$C,$A5,集計!$E:$E,$B5)</f>
        <v>0</v>
      </c>
      <c r="K5" s="7">
        <f>SUMIFS(集計!N:N,集計!$C:$C,$A5,集計!$E:$E,$B5)</f>
        <v>0</v>
      </c>
      <c r="L5" s="7">
        <f>SUMIFS(集計!O:O,集計!$C:$C,$A5,集計!$E:$E,$B5)</f>
        <v>0</v>
      </c>
      <c r="M5" s="7">
        <f>SUMIFS(集計!P:P,集計!$C:$C,$A5,集計!$E:$E,$B5)</f>
        <v>0</v>
      </c>
      <c r="N5" s="7">
        <f>SUMIFS(集計!Q:Q,集計!$C:$C,$A5,集計!$E:$E,$B5)</f>
        <v>0</v>
      </c>
    </row>
    <row r="6" spans="1:14">
      <c r="A6" s="17" t="s">
        <v>40</v>
      </c>
      <c r="B6" s="8" t="s">
        <v>26</v>
      </c>
      <c r="C6" s="8">
        <f t="shared" ref="C6:N6" si="1">SUM(C4:C5)</f>
        <v>0</v>
      </c>
      <c r="D6" s="8">
        <f t="shared" si="1"/>
        <v>0</v>
      </c>
      <c r="E6" s="8">
        <f t="shared" si="1"/>
        <v>0</v>
      </c>
      <c r="F6" s="8">
        <f t="shared" si="1"/>
        <v>0</v>
      </c>
      <c r="G6" s="8">
        <f t="shared" si="1"/>
        <v>0</v>
      </c>
      <c r="H6" s="8">
        <f t="shared" si="1"/>
        <v>0</v>
      </c>
      <c r="I6" s="8">
        <f t="shared" si="1"/>
        <v>0</v>
      </c>
      <c r="J6" s="8">
        <f t="shared" si="1"/>
        <v>0</v>
      </c>
      <c r="K6" s="8">
        <f t="shared" si="1"/>
        <v>0</v>
      </c>
      <c r="L6" s="8">
        <f t="shared" si="1"/>
        <v>0</v>
      </c>
      <c r="M6" s="8">
        <f t="shared" si="1"/>
        <v>0</v>
      </c>
      <c r="N6" s="8">
        <f t="shared" si="1"/>
        <v>0</v>
      </c>
    </row>
    <row r="7" spans="1:14" s="11" customFormat="1" ht="15" thickBot="1">
      <c r="A7" s="17"/>
      <c r="B7" s="9" t="s">
        <v>43</v>
      </c>
      <c r="C7" s="9">
        <f t="shared" ref="C7:N7" si="2">C3+C6</f>
        <v>0</v>
      </c>
      <c r="D7" s="9">
        <f t="shared" si="2"/>
        <v>0</v>
      </c>
      <c r="E7" s="9">
        <f t="shared" si="2"/>
        <v>0</v>
      </c>
      <c r="F7" s="9">
        <f t="shared" si="2"/>
        <v>0</v>
      </c>
      <c r="G7" s="9">
        <f t="shared" si="2"/>
        <v>0</v>
      </c>
      <c r="H7" s="9">
        <f t="shared" si="2"/>
        <v>0</v>
      </c>
      <c r="I7" s="9">
        <f t="shared" si="2"/>
        <v>0</v>
      </c>
      <c r="J7" s="9">
        <f t="shared" si="2"/>
        <v>0</v>
      </c>
      <c r="K7" s="9">
        <f t="shared" si="2"/>
        <v>0</v>
      </c>
      <c r="L7" s="9">
        <f t="shared" si="2"/>
        <v>0</v>
      </c>
      <c r="M7" s="9">
        <f t="shared" si="2"/>
        <v>0</v>
      </c>
      <c r="N7" s="9">
        <f t="shared" si="2"/>
        <v>0</v>
      </c>
    </row>
    <row r="8" spans="1:14">
      <c r="A8" s="17"/>
    </row>
    <row r="9" spans="1:14">
      <c r="A9" s="16"/>
      <c r="B9" s="12" t="s">
        <v>28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>
      <c r="A10" s="17" t="s">
        <v>28</v>
      </c>
      <c r="B10" s="5" t="s">
        <v>25</v>
      </c>
      <c r="C10" s="253">
        <f>SUMIFS(集計!F:F,集計!$C:$C,$A10,集計!$E:$E,$B10)</f>
        <v>0</v>
      </c>
      <c r="D10" s="253">
        <f>SUMIFS(集計!G:G,集計!$C:$C,$A10,集計!$E:$E,$B10)</f>
        <v>0</v>
      </c>
      <c r="E10" s="253">
        <f>SUMIFS(集計!H:H,集計!$C:$C,$A10,集計!$E:$E,$B10)</f>
        <v>0</v>
      </c>
      <c r="F10" s="253">
        <f>SUMIFS(集計!I:I,集計!$C:$C,$A10,集計!$E:$E,$B10)</f>
        <v>0</v>
      </c>
      <c r="G10" s="253">
        <f>SUMIFS(集計!J:J,集計!$C:$C,$A10,集計!$E:$E,$B10)</f>
        <v>0</v>
      </c>
      <c r="H10" s="253">
        <f>SUMIFS(集計!K:K,集計!$C:$C,$A10,集計!$E:$E,$B10)</f>
        <v>0</v>
      </c>
      <c r="I10" s="253">
        <f>SUMIFS(集計!L:L,集計!$C:$C,$A10,集計!$E:$E,$B10)</f>
        <v>0</v>
      </c>
      <c r="J10" s="253">
        <f>SUMIFS(集計!M:M,集計!$C:$C,$A10,集計!$E:$E,$B10)</f>
        <v>0</v>
      </c>
      <c r="K10" s="253">
        <f>SUMIFS(集計!N:N,集計!$C:$C,$A10,集計!$E:$E,$B10)</f>
        <v>0</v>
      </c>
      <c r="L10" s="253">
        <f>SUMIFS(集計!O:O,集計!$C:$C,$A10,集計!$E:$E,$B10)</f>
        <v>0</v>
      </c>
      <c r="M10" s="253">
        <f>SUMIFS(集計!P:P,集計!$C:$C,$A10,集計!$E:$E,$B10)</f>
        <v>0</v>
      </c>
      <c r="N10" s="253">
        <f>SUMIFS(集計!Q:Q,集計!$C:$C,$A10,集計!$E:$E,$B10)</f>
        <v>0</v>
      </c>
    </row>
    <row r="11" spans="1:14">
      <c r="A11" s="17" t="s">
        <v>28</v>
      </c>
      <c r="B11" s="14" t="s">
        <v>106</v>
      </c>
      <c r="C11" s="315">
        <f>SUMIFS(集計!F:F,集計!$C:$C,$A11,集計!$E:$E,$B11)</f>
        <v>0</v>
      </c>
      <c r="D11" s="315">
        <f>SUMIFS(集計!G:G,集計!$C:$C,$A11,集計!$E:$E,$B11)</f>
        <v>0</v>
      </c>
      <c r="E11" s="315">
        <f>SUMIFS(集計!H:H,集計!$C:$C,$A11,集計!$E:$E,$B11)</f>
        <v>0</v>
      </c>
      <c r="F11" s="315">
        <f>SUMIFS(集計!I:I,集計!$C:$C,$A11,集計!$E:$E,$B11)</f>
        <v>0</v>
      </c>
      <c r="G11" s="315">
        <f>SUMIFS(集計!J:J,集計!$C:$C,$A11,集計!$E:$E,$B11)</f>
        <v>0</v>
      </c>
      <c r="H11" s="315">
        <f>SUMIFS(集計!K:K,集計!$C:$C,$A11,集計!$E:$E,$B11)</f>
        <v>0</v>
      </c>
      <c r="I11" s="315">
        <f>SUMIFS(集計!L:L,集計!$C:$C,$A11,集計!$E:$E,$B11)</f>
        <v>0</v>
      </c>
      <c r="J11" s="315">
        <f>SUMIFS(集計!M:M,集計!$C:$C,$A11,集計!$E:$E,$B11)</f>
        <v>0</v>
      </c>
      <c r="K11" s="315">
        <f>SUMIFS(集計!N:N,集計!$C:$C,$A11,集計!$E:$E,$B11)</f>
        <v>0</v>
      </c>
      <c r="L11" s="315">
        <f>SUMIFS(集計!O:O,集計!$C:$C,$A11,集計!$E:$E,$B11)</f>
        <v>0</v>
      </c>
      <c r="M11" s="315">
        <f>SUMIFS(集計!P:P,集計!$C:$C,$A11,集計!$E:$E,$B11)</f>
        <v>0</v>
      </c>
      <c r="N11" s="315">
        <f>SUMIFS(集計!Q:Q,集計!$C:$C,$A11,集計!$E:$E,$B11)</f>
        <v>0</v>
      </c>
    </row>
    <row r="12" spans="1:14">
      <c r="A12" s="17" t="s">
        <v>28</v>
      </c>
      <c r="B12" s="15" t="s">
        <v>107</v>
      </c>
      <c r="C12" s="254">
        <f>SUMIFS(集計!F:F,集計!$C:$C,$A12,集計!$E:$E,$B12)</f>
        <v>0</v>
      </c>
      <c r="D12" s="254">
        <f>SUMIFS(集計!G:G,集計!$C:$C,$A12,集計!$E:$E,$B12)</f>
        <v>0</v>
      </c>
      <c r="E12" s="254">
        <f>SUMIFS(集計!H:H,集計!$C:$C,$A12,集計!$E:$E,$B12)</f>
        <v>0</v>
      </c>
      <c r="F12" s="254">
        <f>SUMIFS(集計!I:I,集計!$C:$C,$A12,集計!$E:$E,$B12)</f>
        <v>0</v>
      </c>
      <c r="G12" s="254">
        <f>SUMIFS(集計!J:J,集計!$C:$C,$A12,集計!$E:$E,$B12)</f>
        <v>0</v>
      </c>
      <c r="H12" s="254">
        <f>SUMIFS(集計!K:K,集計!$C:$C,$A12,集計!$E:$E,$B12)</f>
        <v>0</v>
      </c>
      <c r="I12" s="254">
        <f>SUMIFS(集計!L:L,集計!$C:$C,$A12,集計!$E:$E,$B12)</f>
        <v>0</v>
      </c>
      <c r="J12" s="254">
        <f>SUMIFS(集計!M:M,集計!$C:$C,$A12,集計!$E:$E,$B12)</f>
        <v>0</v>
      </c>
      <c r="K12" s="254">
        <f>SUMIFS(集計!N:N,集計!$C:$C,$A12,集計!$E:$E,$B12)</f>
        <v>0</v>
      </c>
      <c r="L12" s="254">
        <f>SUMIFS(集計!O:O,集計!$C:$C,$A12,集計!$E:$E,$B12)</f>
        <v>0</v>
      </c>
      <c r="M12" s="254">
        <f>SUMIFS(集計!P:P,集計!$C:$C,$A12,集計!$E:$E,$B12)</f>
        <v>0</v>
      </c>
      <c r="N12" s="254">
        <f>SUMIFS(集計!Q:Q,集計!$C:$C,$A12,集計!$E:$E,$B12)</f>
        <v>0</v>
      </c>
    </row>
    <row r="13" spans="1:14">
      <c r="A13" s="17" t="s">
        <v>28</v>
      </c>
      <c r="B13" s="8" t="s">
        <v>26</v>
      </c>
      <c r="C13" s="255">
        <f t="shared" ref="C13:N13" si="3">SUM(C11:C12)</f>
        <v>0</v>
      </c>
      <c r="D13" s="255">
        <f t="shared" si="3"/>
        <v>0</v>
      </c>
      <c r="E13" s="255">
        <f t="shared" si="3"/>
        <v>0</v>
      </c>
      <c r="F13" s="255">
        <f t="shared" si="3"/>
        <v>0</v>
      </c>
      <c r="G13" s="255">
        <f t="shared" si="3"/>
        <v>0</v>
      </c>
      <c r="H13" s="255">
        <f t="shared" si="3"/>
        <v>0</v>
      </c>
      <c r="I13" s="255">
        <f t="shared" si="3"/>
        <v>0</v>
      </c>
      <c r="J13" s="255">
        <f t="shared" si="3"/>
        <v>0</v>
      </c>
      <c r="K13" s="255">
        <f t="shared" si="3"/>
        <v>0</v>
      </c>
      <c r="L13" s="255">
        <f t="shared" si="3"/>
        <v>0</v>
      </c>
      <c r="M13" s="255">
        <f t="shared" si="3"/>
        <v>0</v>
      </c>
      <c r="N13" s="255">
        <f t="shared" si="3"/>
        <v>0</v>
      </c>
    </row>
    <row r="14" spans="1:14" ht="15" thickBot="1">
      <c r="A14" s="17"/>
      <c r="B14" s="9" t="s">
        <v>43</v>
      </c>
      <c r="C14" s="256">
        <f t="shared" ref="C14:N14" si="4">C10+C13</f>
        <v>0</v>
      </c>
      <c r="D14" s="256">
        <f t="shared" si="4"/>
        <v>0</v>
      </c>
      <c r="E14" s="256">
        <f t="shared" si="4"/>
        <v>0</v>
      </c>
      <c r="F14" s="256">
        <f t="shared" si="4"/>
        <v>0</v>
      </c>
      <c r="G14" s="256">
        <f t="shared" si="4"/>
        <v>0</v>
      </c>
      <c r="H14" s="256">
        <f t="shared" si="4"/>
        <v>0</v>
      </c>
      <c r="I14" s="256">
        <f t="shared" si="4"/>
        <v>0</v>
      </c>
      <c r="J14" s="256">
        <f t="shared" si="4"/>
        <v>0</v>
      </c>
      <c r="K14" s="256">
        <f t="shared" si="4"/>
        <v>0</v>
      </c>
      <c r="L14" s="256">
        <f t="shared" si="4"/>
        <v>0</v>
      </c>
      <c r="M14" s="256">
        <f t="shared" si="4"/>
        <v>0</v>
      </c>
      <c r="N14" s="256">
        <f t="shared" si="4"/>
        <v>0</v>
      </c>
    </row>
    <row r="15" spans="1:14">
      <c r="A15" s="17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</row>
    <row r="16" spans="1:14">
      <c r="A16" s="17"/>
      <c r="B16" s="12" t="s">
        <v>29</v>
      </c>
      <c r="C16" s="316"/>
      <c r="D16" s="316"/>
      <c r="E16" s="316"/>
      <c r="F16" s="316"/>
      <c r="G16" s="316"/>
      <c r="H16" s="316"/>
      <c r="I16" s="316"/>
      <c r="J16" s="316"/>
      <c r="K16" s="316"/>
      <c r="L16" s="316"/>
      <c r="M16" s="316"/>
      <c r="N16" s="316"/>
    </row>
    <row r="17" spans="1:14">
      <c r="A17" s="17" t="s">
        <v>29</v>
      </c>
      <c r="B17" s="5" t="s">
        <v>25</v>
      </c>
      <c r="C17" s="253">
        <f>SUMIFS(集計!F:F,集計!$C:$C,$A17,集計!$E:$E,$B17)</f>
        <v>0</v>
      </c>
      <c r="D17" s="253">
        <f>SUMIFS(集計!G:G,集計!$C:$C,$A17,集計!$E:$E,$B17)</f>
        <v>0</v>
      </c>
      <c r="E17" s="253">
        <f>SUMIFS(集計!H:H,集計!$C:$C,$A17,集計!$E:$E,$B17)</f>
        <v>0</v>
      </c>
      <c r="F17" s="253">
        <f>SUMIFS(集計!I:I,集計!$C:$C,$A17,集計!$E:$E,$B17)</f>
        <v>0</v>
      </c>
      <c r="G17" s="253">
        <f>SUMIFS(集計!J:J,集計!$C:$C,$A17,集計!$E:$E,$B17)</f>
        <v>0</v>
      </c>
      <c r="H17" s="253">
        <f>SUMIFS(集計!K:K,集計!$C:$C,$A17,集計!$E:$E,$B17)</f>
        <v>0</v>
      </c>
      <c r="I17" s="253">
        <f>SUMIFS(集計!L:L,集計!$C:$C,$A17,集計!$E:$E,$B17)</f>
        <v>0</v>
      </c>
      <c r="J17" s="253">
        <f>SUMIFS(集計!M:M,集計!$C:$C,$A17,集計!$E:$E,$B17)</f>
        <v>0</v>
      </c>
      <c r="K17" s="253">
        <f>SUMIFS(集計!N:N,集計!$C:$C,$A17,集計!$E:$E,$B17)</f>
        <v>0</v>
      </c>
      <c r="L17" s="253">
        <f>SUMIFS(集計!O:O,集計!$C:$C,$A17,集計!$E:$E,$B17)</f>
        <v>0</v>
      </c>
      <c r="M17" s="253">
        <f>SUMIFS(集計!P:P,集計!$C:$C,$A17,集計!$E:$E,$B17)</f>
        <v>0</v>
      </c>
      <c r="N17" s="253">
        <f>SUMIFS(集計!Q:Q,集計!$C:$C,$A17,集計!$E:$E,$B17)</f>
        <v>0</v>
      </c>
    </row>
    <row r="18" spans="1:14">
      <c r="A18" s="17" t="s">
        <v>29</v>
      </c>
      <c r="B18" s="14" t="s">
        <v>106</v>
      </c>
      <c r="C18" s="315">
        <f>SUMIFS(集計!F:F,集計!$C:$C,$A18,集計!$E:$E,$B18)</f>
        <v>0</v>
      </c>
      <c r="D18" s="315">
        <f>SUMIFS(集計!G:G,集計!$C:$C,$A18,集計!$E:$E,$B18)</f>
        <v>0</v>
      </c>
      <c r="E18" s="315">
        <f>SUMIFS(集計!H:H,集計!$C:$C,$A18,集計!$E:$E,$B18)</f>
        <v>0</v>
      </c>
      <c r="F18" s="315">
        <f>SUMIFS(集計!I:I,集計!$C:$C,$A18,集計!$E:$E,$B18)</f>
        <v>0</v>
      </c>
      <c r="G18" s="315">
        <f>SUMIFS(集計!J:J,集計!$C:$C,$A18,集計!$E:$E,$B18)</f>
        <v>0</v>
      </c>
      <c r="H18" s="315">
        <f>SUMIFS(集計!K:K,集計!$C:$C,$A18,集計!$E:$E,$B18)</f>
        <v>0</v>
      </c>
      <c r="I18" s="315">
        <f>SUMIFS(集計!L:L,集計!$C:$C,$A18,集計!$E:$E,$B18)</f>
        <v>0</v>
      </c>
      <c r="J18" s="315">
        <f>SUMIFS(集計!M:M,集計!$C:$C,$A18,集計!$E:$E,$B18)</f>
        <v>0</v>
      </c>
      <c r="K18" s="315">
        <f>SUMIFS(集計!N:N,集計!$C:$C,$A18,集計!$E:$E,$B18)</f>
        <v>0</v>
      </c>
      <c r="L18" s="315">
        <f>SUMIFS(集計!O:O,集計!$C:$C,$A18,集計!$E:$E,$B18)</f>
        <v>0</v>
      </c>
      <c r="M18" s="315">
        <f>SUMIFS(集計!P:P,集計!$C:$C,$A18,集計!$E:$E,$B18)</f>
        <v>0</v>
      </c>
      <c r="N18" s="315">
        <f>SUMIFS(集計!Q:Q,集計!$C:$C,$A18,集計!$E:$E,$B18)</f>
        <v>0</v>
      </c>
    </row>
    <row r="19" spans="1:14">
      <c r="A19" s="17" t="s">
        <v>29</v>
      </c>
      <c r="B19" s="15" t="s">
        <v>107</v>
      </c>
      <c r="C19" s="254">
        <f>SUMIFS(集計!F:F,集計!$C:$C,$A19,集計!$E:$E,$B19)</f>
        <v>0</v>
      </c>
      <c r="D19" s="254">
        <f>SUMIFS(集計!G:G,集計!$C:$C,$A19,集計!$E:$E,$B19)</f>
        <v>0</v>
      </c>
      <c r="E19" s="254">
        <f>SUMIFS(集計!H:H,集計!$C:$C,$A19,集計!$E:$E,$B19)</f>
        <v>0</v>
      </c>
      <c r="F19" s="254">
        <f>SUMIFS(集計!I:I,集計!$C:$C,$A19,集計!$E:$E,$B19)</f>
        <v>0</v>
      </c>
      <c r="G19" s="254">
        <f>SUMIFS(集計!J:J,集計!$C:$C,$A19,集計!$E:$E,$B19)</f>
        <v>0</v>
      </c>
      <c r="H19" s="254">
        <f>SUMIFS(集計!K:K,集計!$C:$C,$A19,集計!$E:$E,$B19)</f>
        <v>0</v>
      </c>
      <c r="I19" s="254">
        <f>SUMIFS(集計!L:L,集計!$C:$C,$A19,集計!$E:$E,$B19)</f>
        <v>0</v>
      </c>
      <c r="J19" s="254">
        <f>SUMIFS(集計!M:M,集計!$C:$C,$A19,集計!$E:$E,$B19)</f>
        <v>0</v>
      </c>
      <c r="K19" s="254">
        <f>SUMIFS(集計!N:N,集計!$C:$C,$A19,集計!$E:$E,$B19)</f>
        <v>0</v>
      </c>
      <c r="L19" s="254">
        <f>SUMIFS(集計!O:O,集計!$C:$C,$A19,集計!$E:$E,$B19)</f>
        <v>0</v>
      </c>
      <c r="M19" s="254">
        <f>SUMIFS(集計!P:P,集計!$C:$C,$A19,集計!$E:$E,$B19)</f>
        <v>0</v>
      </c>
      <c r="N19" s="254">
        <f>SUMIFS(集計!Q:Q,集計!$C:$C,$A19,集計!$E:$E,$B19)</f>
        <v>0</v>
      </c>
    </row>
    <row r="20" spans="1:14">
      <c r="A20" s="17" t="s">
        <v>29</v>
      </c>
      <c r="B20" s="8" t="s">
        <v>26</v>
      </c>
      <c r="C20" s="255">
        <f t="shared" ref="C20:N20" si="5">SUM(C18:C19)</f>
        <v>0</v>
      </c>
      <c r="D20" s="255">
        <f t="shared" si="5"/>
        <v>0</v>
      </c>
      <c r="E20" s="255">
        <f t="shared" si="5"/>
        <v>0</v>
      </c>
      <c r="F20" s="255">
        <f t="shared" si="5"/>
        <v>0</v>
      </c>
      <c r="G20" s="255">
        <f t="shared" si="5"/>
        <v>0</v>
      </c>
      <c r="H20" s="255">
        <f t="shared" si="5"/>
        <v>0</v>
      </c>
      <c r="I20" s="255">
        <f t="shared" si="5"/>
        <v>0</v>
      </c>
      <c r="J20" s="255">
        <f t="shared" si="5"/>
        <v>0</v>
      </c>
      <c r="K20" s="255">
        <f t="shared" si="5"/>
        <v>0</v>
      </c>
      <c r="L20" s="255">
        <f t="shared" si="5"/>
        <v>0</v>
      </c>
      <c r="M20" s="255">
        <f t="shared" si="5"/>
        <v>0</v>
      </c>
      <c r="N20" s="255">
        <f t="shared" si="5"/>
        <v>0</v>
      </c>
    </row>
    <row r="21" spans="1:14" ht="15" thickBot="1">
      <c r="A21" s="17"/>
      <c r="B21" s="9" t="s">
        <v>43</v>
      </c>
      <c r="C21" s="256">
        <f t="shared" ref="C21:N21" si="6">C17+C20</f>
        <v>0</v>
      </c>
      <c r="D21" s="256">
        <f t="shared" si="6"/>
        <v>0</v>
      </c>
      <c r="E21" s="256">
        <f t="shared" si="6"/>
        <v>0</v>
      </c>
      <c r="F21" s="256">
        <f t="shared" si="6"/>
        <v>0</v>
      </c>
      <c r="G21" s="256">
        <f t="shared" si="6"/>
        <v>0</v>
      </c>
      <c r="H21" s="256">
        <f t="shared" si="6"/>
        <v>0</v>
      </c>
      <c r="I21" s="256">
        <f t="shared" si="6"/>
        <v>0</v>
      </c>
      <c r="J21" s="256">
        <f t="shared" si="6"/>
        <v>0</v>
      </c>
      <c r="K21" s="256">
        <f t="shared" si="6"/>
        <v>0</v>
      </c>
      <c r="L21" s="256">
        <f t="shared" si="6"/>
        <v>0</v>
      </c>
      <c r="M21" s="256">
        <f t="shared" si="6"/>
        <v>0</v>
      </c>
      <c r="N21" s="256">
        <f t="shared" si="6"/>
        <v>0</v>
      </c>
    </row>
  </sheetData>
  <sheetCalcPr fullCalcOnLoad="1"/>
  <phoneticPr fontId="53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336E-BFFA-40C8-BE11-25892F2B3E7C}">
  <sheetPr codeName="Sheet6"/>
  <dimension ref="A1:BA30"/>
  <sheetViews>
    <sheetView workbookViewId="0">
      <pane ySplit="7" topLeftCell="A8" activePane="bottomLeft" state="frozen"/>
      <selection pane="bottomLeft" activeCell="F9" sqref="F9"/>
    </sheetView>
  </sheetViews>
  <sheetFormatPr defaultColWidth="9.08984375" defaultRowHeight="14.5"/>
  <cols>
    <col min="1" max="1" width="5.26953125" style="94" customWidth="1"/>
    <col min="2" max="2" width="7.36328125" style="94" bestFit="1" customWidth="1"/>
    <col min="3" max="3" width="23.08984375" style="94" bestFit="1" customWidth="1"/>
    <col min="4" max="4" width="30.26953125" style="94" bestFit="1" customWidth="1"/>
    <col min="5" max="5" width="14" style="252" bestFit="1" customWidth="1"/>
    <col min="6" max="7" width="13.26953125" style="245" customWidth="1"/>
    <col min="8" max="53" width="13.26953125" style="94" customWidth="1"/>
    <col min="54" max="16384" width="9.08984375" style="94"/>
  </cols>
  <sheetData>
    <row r="1" spans="1:53" ht="15" thickTop="1">
      <c r="A1" s="223"/>
      <c r="B1" s="224"/>
      <c r="C1" s="20"/>
      <c r="D1" s="20"/>
      <c r="E1" s="247"/>
      <c r="F1" s="317" t="s">
        <v>62</v>
      </c>
      <c r="G1" s="318"/>
      <c r="H1" s="318"/>
      <c r="I1" s="319"/>
      <c r="J1" s="317" t="s">
        <v>63</v>
      </c>
      <c r="K1" s="318"/>
      <c r="L1" s="318"/>
      <c r="M1" s="319"/>
      <c r="N1" s="317" t="s">
        <v>52</v>
      </c>
      <c r="O1" s="318"/>
      <c r="P1" s="318"/>
      <c r="Q1" s="319"/>
      <c r="R1" s="317" t="s">
        <v>53</v>
      </c>
      <c r="S1" s="318"/>
      <c r="T1" s="318"/>
      <c r="U1" s="319"/>
      <c r="V1" s="317" t="s">
        <v>54</v>
      </c>
      <c r="W1" s="318"/>
      <c r="X1" s="318"/>
      <c r="Y1" s="319"/>
      <c r="Z1" s="317" t="s">
        <v>55</v>
      </c>
      <c r="AA1" s="318"/>
      <c r="AB1" s="318"/>
      <c r="AC1" s="319"/>
      <c r="AD1" s="317" t="s">
        <v>56</v>
      </c>
      <c r="AE1" s="318"/>
      <c r="AF1" s="318"/>
      <c r="AG1" s="319"/>
      <c r="AH1" s="317" t="s">
        <v>57</v>
      </c>
      <c r="AI1" s="318"/>
      <c r="AJ1" s="318"/>
      <c r="AK1" s="319"/>
      <c r="AL1" s="317" t="s">
        <v>58</v>
      </c>
      <c r="AM1" s="318"/>
      <c r="AN1" s="318"/>
      <c r="AO1" s="319"/>
      <c r="AP1" s="317" t="s">
        <v>59</v>
      </c>
      <c r="AQ1" s="318"/>
      <c r="AR1" s="318"/>
      <c r="AS1" s="319"/>
      <c r="AT1" s="317" t="s">
        <v>60</v>
      </c>
      <c r="AU1" s="318"/>
      <c r="AV1" s="318"/>
      <c r="AW1" s="319"/>
      <c r="AX1" s="317" t="s">
        <v>61</v>
      </c>
      <c r="AY1" s="318"/>
      <c r="AZ1" s="318"/>
      <c r="BA1" s="319"/>
    </row>
    <row r="2" spans="1:53">
      <c r="A2" s="223"/>
      <c r="B2" s="224"/>
      <c r="C2" s="20"/>
      <c r="D2" s="20"/>
      <c r="E2" s="247"/>
      <c r="F2" s="320">
        <v>4</v>
      </c>
      <c r="G2" s="321"/>
      <c r="H2" s="321"/>
      <c r="I2" s="322"/>
      <c r="J2" s="320">
        <f>F2+1</f>
        <v>5</v>
      </c>
      <c r="K2" s="321"/>
      <c r="L2" s="321"/>
      <c r="M2" s="322"/>
      <c r="N2" s="320">
        <f>J2+1</f>
        <v>6</v>
      </c>
      <c r="O2" s="321"/>
      <c r="P2" s="321"/>
      <c r="Q2" s="322"/>
      <c r="R2" s="320">
        <f>N2+1</f>
        <v>7</v>
      </c>
      <c r="S2" s="321"/>
      <c r="T2" s="321"/>
      <c r="U2" s="322"/>
      <c r="V2" s="320">
        <f>R2+1</f>
        <v>8</v>
      </c>
      <c r="W2" s="321"/>
      <c r="X2" s="321"/>
      <c r="Y2" s="322"/>
      <c r="Z2" s="320">
        <f>V2+1</f>
        <v>9</v>
      </c>
      <c r="AA2" s="321"/>
      <c r="AB2" s="321"/>
      <c r="AC2" s="322"/>
      <c r="AD2" s="320">
        <f>Z2+1</f>
        <v>10</v>
      </c>
      <c r="AE2" s="321"/>
      <c r="AF2" s="321"/>
      <c r="AG2" s="322"/>
      <c r="AH2" s="320">
        <f>AD2+1</f>
        <v>11</v>
      </c>
      <c r="AI2" s="321"/>
      <c r="AJ2" s="321"/>
      <c r="AK2" s="322"/>
      <c r="AL2" s="320">
        <f>AH2+1</f>
        <v>12</v>
      </c>
      <c r="AM2" s="321"/>
      <c r="AN2" s="321"/>
      <c r="AO2" s="322"/>
      <c r="AP2" s="320">
        <v>1</v>
      </c>
      <c r="AQ2" s="321"/>
      <c r="AR2" s="321"/>
      <c r="AS2" s="322"/>
      <c r="AT2" s="320">
        <f>AP2+1</f>
        <v>2</v>
      </c>
      <c r="AU2" s="321"/>
      <c r="AV2" s="321"/>
      <c r="AW2" s="322"/>
      <c r="AX2" s="320">
        <f>AT2+1</f>
        <v>3</v>
      </c>
      <c r="AY2" s="321"/>
      <c r="AZ2" s="321"/>
      <c r="BA2" s="322"/>
    </row>
    <row r="3" spans="1:53">
      <c r="A3" s="223"/>
      <c r="B3" s="224"/>
      <c r="C3" s="20"/>
      <c r="D3" s="20"/>
      <c r="E3" s="247"/>
      <c r="F3" s="67">
        <v>4</v>
      </c>
      <c r="G3" s="65">
        <f>F3</f>
        <v>4</v>
      </c>
      <c r="H3" s="65">
        <f>F3</f>
        <v>4</v>
      </c>
      <c r="I3" s="68">
        <f>F3</f>
        <v>4</v>
      </c>
      <c r="J3" s="67">
        <f>I3+1</f>
        <v>5</v>
      </c>
      <c r="K3" s="65">
        <f>J3</f>
        <v>5</v>
      </c>
      <c r="L3" s="65">
        <f>J3</f>
        <v>5</v>
      </c>
      <c r="M3" s="68">
        <f>J3</f>
        <v>5</v>
      </c>
      <c r="N3" s="67">
        <f>M3+1</f>
        <v>6</v>
      </c>
      <c r="O3" s="65">
        <f>N3</f>
        <v>6</v>
      </c>
      <c r="P3" s="65">
        <f>N3</f>
        <v>6</v>
      </c>
      <c r="Q3" s="68">
        <f>N3</f>
        <v>6</v>
      </c>
      <c r="R3" s="67">
        <f>Q3+1</f>
        <v>7</v>
      </c>
      <c r="S3" s="65">
        <f>R3</f>
        <v>7</v>
      </c>
      <c r="T3" s="65">
        <f>R3</f>
        <v>7</v>
      </c>
      <c r="U3" s="68">
        <f>R3</f>
        <v>7</v>
      </c>
      <c r="V3" s="67">
        <f>U3+1</f>
        <v>8</v>
      </c>
      <c r="W3" s="65">
        <f>V3</f>
        <v>8</v>
      </c>
      <c r="X3" s="65">
        <f>V3</f>
        <v>8</v>
      </c>
      <c r="Y3" s="68">
        <f>V3</f>
        <v>8</v>
      </c>
      <c r="Z3" s="67">
        <f>Y3+1</f>
        <v>9</v>
      </c>
      <c r="AA3" s="65">
        <f>Z3</f>
        <v>9</v>
      </c>
      <c r="AB3" s="65">
        <f>Z3</f>
        <v>9</v>
      </c>
      <c r="AC3" s="68">
        <f>Z3</f>
        <v>9</v>
      </c>
      <c r="AD3" s="67">
        <f>AC3+1</f>
        <v>10</v>
      </c>
      <c r="AE3" s="65">
        <f>AD3</f>
        <v>10</v>
      </c>
      <c r="AF3" s="65">
        <f>AD3</f>
        <v>10</v>
      </c>
      <c r="AG3" s="68">
        <f>AD3</f>
        <v>10</v>
      </c>
      <c r="AH3" s="67">
        <f>AG3+1</f>
        <v>11</v>
      </c>
      <c r="AI3" s="65">
        <f>AH3</f>
        <v>11</v>
      </c>
      <c r="AJ3" s="65">
        <f>AH3</f>
        <v>11</v>
      </c>
      <c r="AK3" s="68">
        <f>AH3</f>
        <v>11</v>
      </c>
      <c r="AL3" s="67">
        <f>AK3+1</f>
        <v>12</v>
      </c>
      <c r="AM3" s="65">
        <f>AL3</f>
        <v>12</v>
      </c>
      <c r="AN3" s="65">
        <f>AL3</f>
        <v>12</v>
      </c>
      <c r="AO3" s="68">
        <f>AL3</f>
        <v>12</v>
      </c>
      <c r="AP3" s="67">
        <f>AO3+1</f>
        <v>13</v>
      </c>
      <c r="AQ3" s="65">
        <f>AP3</f>
        <v>13</v>
      </c>
      <c r="AR3" s="65">
        <f>AP3</f>
        <v>13</v>
      </c>
      <c r="AS3" s="68">
        <f>AP3</f>
        <v>13</v>
      </c>
      <c r="AT3" s="67">
        <f>AS3+1</f>
        <v>14</v>
      </c>
      <c r="AU3" s="65">
        <f>AT3</f>
        <v>14</v>
      </c>
      <c r="AV3" s="65">
        <f>AT3</f>
        <v>14</v>
      </c>
      <c r="AW3" s="68">
        <f>AT3</f>
        <v>14</v>
      </c>
      <c r="AX3" s="67">
        <f>AW3+1</f>
        <v>15</v>
      </c>
      <c r="AY3" s="65">
        <f>AX3</f>
        <v>15</v>
      </c>
      <c r="AZ3" s="65">
        <f>AX3</f>
        <v>15</v>
      </c>
      <c r="BA3" s="68">
        <f>AX3</f>
        <v>15</v>
      </c>
    </row>
    <row r="4" spans="1:53">
      <c r="A4" t="s">
        <v>67</v>
      </c>
      <c r="B4" s="114" t="s">
        <v>47</v>
      </c>
      <c r="C4" s="110"/>
      <c r="D4" s="110"/>
      <c r="E4" s="248"/>
      <c r="F4" s="69" t="s">
        <v>29</v>
      </c>
      <c r="G4" s="66" t="s">
        <v>29</v>
      </c>
      <c r="H4" s="70" t="s">
        <v>40</v>
      </c>
      <c r="I4" s="71" t="s">
        <v>40</v>
      </c>
      <c r="J4" s="69" t="s">
        <v>29</v>
      </c>
      <c r="K4" s="66" t="s">
        <v>29</v>
      </c>
      <c r="L4" s="70" t="s">
        <v>40</v>
      </c>
      <c r="M4" s="71" t="s">
        <v>40</v>
      </c>
      <c r="N4" s="69" t="s">
        <v>29</v>
      </c>
      <c r="O4" s="66" t="s">
        <v>29</v>
      </c>
      <c r="P4" s="70" t="s">
        <v>40</v>
      </c>
      <c r="Q4" s="71" t="s">
        <v>40</v>
      </c>
      <c r="R4" s="69" t="s">
        <v>29</v>
      </c>
      <c r="S4" s="66" t="s">
        <v>29</v>
      </c>
      <c r="T4" s="70" t="s">
        <v>40</v>
      </c>
      <c r="U4" s="71" t="s">
        <v>40</v>
      </c>
      <c r="V4" s="69" t="s">
        <v>29</v>
      </c>
      <c r="W4" s="66" t="s">
        <v>29</v>
      </c>
      <c r="X4" s="70" t="s">
        <v>40</v>
      </c>
      <c r="Y4" s="71" t="s">
        <v>40</v>
      </c>
      <c r="Z4" s="69" t="s">
        <v>29</v>
      </c>
      <c r="AA4" s="66" t="s">
        <v>29</v>
      </c>
      <c r="AB4" s="70" t="s">
        <v>40</v>
      </c>
      <c r="AC4" s="71" t="s">
        <v>40</v>
      </c>
      <c r="AD4" s="69" t="s">
        <v>29</v>
      </c>
      <c r="AE4" s="66" t="s">
        <v>29</v>
      </c>
      <c r="AF4" s="70" t="s">
        <v>40</v>
      </c>
      <c r="AG4" s="71" t="s">
        <v>40</v>
      </c>
      <c r="AH4" s="69" t="s">
        <v>29</v>
      </c>
      <c r="AI4" s="66" t="s">
        <v>29</v>
      </c>
      <c r="AJ4" s="70" t="s">
        <v>40</v>
      </c>
      <c r="AK4" s="71" t="s">
        <v>40</v>
      </c>
      <c r="AL4" s="69" t="s">
        <v>29</v>
      </c>
      <c r="AM4" s="66" t="s">
        <v>29</v>
      </c>
      <c r="AN4" s="70" t="s">
        <v>40</v>
      </c>
      <c r="AO4" s="71" t="s">
        <v>40</v>
      </c>
      <c r="AP4" s="69" t="s">
        <v>29</v>
      </c>
      <c r="AQ4" s="66" t="s">
        <v>29</v>
      </c>
      <c r="AR4" s="70" t="s">
        <v>40</v>
      </c>
      <c r="AS4" s="71" t="s">
        <v>40</v>
      </c>
      <c r="AT4" s="69" t="s">
        <v>29</v>
      </c>
      <c r="AU4" s="66" t="s">
        <v>29</v>
      </c>
      <c r="AV4" s="70" t="s">
        <v>40</v>
      </c>
      <c r="AW4" s="71" t="s">
        <v>40</v>
      </c>
      <c r="AX4" s="69" t="s">
        <v>29</v>
      </c>
      <c r="AY4" s="66" t="s">
        <v>29</v>
      </c>
      <c r="AZ4" s="70" t="s">
        <v>40</v>
      </c>
      <c r="BA4" s="71" t="s">
        <v>40</v>
      </c>
    </row>
    <row r="5" spans="1:53" ht="15" thickBot="1">
      <c r="B5" s="225"/>
      <c r="C5" s="20"/>
      <c r="D5" s="20"/>
      <c r="E5" s="247"/>
      <c r="F5" s="72" t="s">
        <v>106</v>
      </c>
      <c r="G5" s="73" t="s">
        <v>107</v>
      </c>
      <c r="H5" s="72" t="s">
        <v>106</v>
      </c>
      <c r="I5" s="73" t="s">
        <v>107</v>
      </c>
      <c r="J5" s="72" t="s">
        <v>106</v>
      </c>
      <c r="K5" s="73" t="s">
        <v>107</v>
      </c>
      <c r="L5" s="73" t="s">
        <v>106</v>
      </c>
      <c r="M5" s="74" t="s">
        <v>107</v>
      </c>
      <c r="N5" s="72" t="s">
        <v>106</v>
      </c>
      <c r="O5" s="73" t="s">
        <v>107</v>
      </c>
      <c r="P5" s="73" t="s">
        <v>106</v>
      </c>
      <c r="Q5" s="74" t="s">
        <v>107</v>
      </c>
      <c r="R5" s="72" t="s">
        <v>106</v>
      </c>
      <c r="S5" s="73" t="s">
        <v>107</v>
      </c>
      <c r="T5" s="73" t="s">
        <v>106</v>
      </c>
      <c r="U5" s="74" t="s">
        <v>107</v>
      </c>
      <c r="V5" s="72" t="s">
        <v>106</v>
      </c>
      <c r="W5" s="73" t="s">
        <v>107</v>
      </c>
      <c r="X5" s="73" t="s">
        <v>106</v>
      </c>
      <c r="Y5" s="74" t="s">
        <v>107</v>
      </c>
      <c r="Z5" s="72" t="s">
        <v>106</v>
      </c>
      <c r="AA5" s="73" t="s">
        <v>107</v>
      </c>
      <c r="AB5" s="73" t="s">
        <v>106</v>
      </c>
      <c r="AC5" s="74" t="s">
        <v>107</v>
      </c>
      <c r="AD5" s="72" t="s">
        <v>106</v>
      </c>
      <c r="AE5" s="73" t="s">
        <v>107</v>
      </c>
      <c r="AF5" s="73" t="s">
        <v>106</v>
      </c>
      <c r="AG5" s="74" t="s">
        <v>107</v>
      </c>
      <c r="AH5" s="72" t="s">
        <v>106</v>
      </c>
      <c r="AI5" s="73" t="s">
        <v>107</v>
      </c>
      <c r="AJ5" s="73" t="s">
        <v>106</v>
      </c>
      <c r="AK5" s="74" t="s">
        <v>107</v>
      </c>
      <c r="AL5" s="72" t="s">
        <v>106</v>
      </c>
      <c r="AM5" s="73" t="s">
        <v>107</v>
      </c>
      <c r="AN5" s="73" t="s">
        <v>106</v>
      </c>
      <c r="AO5" s="74" t="s">
        <v>107</v>
      </c>
      <c r="AP5" s="72" t="s">
        <v>106</v>
      </c>
      <c r="AQ5" s="73" t="s">
        <v>107</v>
      </c>
      <c r="AR5" s="73" t="s">
        <v>106</v>
      </c>
      <c r="AS5" s="74" t="s">
        <v>107</v>
      </c>
      <c r="AT5" s="72" t="s">
        <v>106</v>
      </c>
      <c r="AU5" s="73" t="s">
        <v>107</v>
      </c>
      <c r="AV5" s="73" t="s">
        <v>106</v>
      </c>
      <c r="AW5" s="74" t="s">
        <v>107</v>
      </c>
      <c r="AX5" s="72" t="s">
        <v>106</v>
      </c>
      <c r="AY5" s="73" t="s">
        <v>107</v>
      </c>
      <c r="AZ5" s="73" t="s">
        <v>106</v>
      </c>
      <c r="BA5" s="74" t="s">
        <v>107</v>
      </c>
    </row>
    <row r="6" spans="1:53" ht="39.75" customHeight="1">
      <c r="A6" s="226"/>
      <c r="B6" s="227" t="s">
        <v>48</v>
      </c>
      <c r="C6" s="227" t="s">
        <v>88</v>
      </c>
      <c r="D6" s="227" t="s">
        <v>89</v>
      </c>
      <c r="E6" s="227" t="s">
        <v>72</v>
      </c>
      <c r="F6" s="325" t="s">
        <v>49</v>
      </c>
      <c r="G6" s="326"/>
      <c r="H6" s="323" t="s">
        <v>50</v>
      </c>
      <c r="I6" s="324"/>
      <c r="J6" s="325" t="s">
        <v>49</v>
      </c>
      <c r="K6" s="326"/>
      <c r="L6" s="323" t="s">
        <v>50</v>
      </c>
      <c r="M6" s="324"/>
      <c r="N6" s="325" t="s">
        <v>49</v>
      </c>
      <c r="O6" s="326"/>
      <c r="P6" s="323" t="s">
        <v>50</v>
      </c>
      <c r="Q6" s="324"/>
      <c r="R6" s="325" t="s">
        <v>49</v>
      </c>
      <c r="S6" s="326"/>
      <c r="T6" s="323" t="s">
        <v>50</v>
      </c>
      <c r="U6" s="324"/>
      <c r="V6" s="325" t="s">
        <v>49</v>
      </c>
      <c r="W6" s="326"/>
      <c r="X6" s="323" t="s">
        <v>50</v>
      </c>
      <c r="Y6" s="324"/>
      <c r="Z6" s="325" t="s">
        <v>49</v>
      </c>
      <c r="AA6" s="326"/>
      <c r="AB6" s="323" t="s">
        <v>50</v>
      </c>
      <c r="AC6" s="324"/>
      <c r="AD6" s="325" t="s">
        <v>49</v>
      </c>
      <c r="AE6" s="326"/>
      <c r="AF6" s="323" t="s">
        <v>50</v>
      </c>
      <c r="AG6" s="324"/>
      <c r="AH6" s="325" t="s">
        <v>49</v>
      </c>
      <c r="AI6" s="326"/>
      <c r="AJ6" s="323" t="s">
        <v>50</v>
      </c>
      <c r="AK6" s="324"/>
      <c r="AL6" s="325" t="s">
        <v>49</v>
      </c>
      <c r="AM6" s="326"/>
      <c r="AN6" s="323" t="s">
        <v>50</v>
      </c>
      <c r="AO6" s="324"/>
      <c r="AP6" s="325" t="s">
        <v>49</v>
      </c>
      <c r="AQ6" s="326"/>
      <c r="AR6" s="323" t="s">
        <v>50</v>
      </c>
      <c r="AS6" s="324"/>
      <c r="AT6" s="325" t="s">
        <v>49</v>
      </c>
      <c r="AU6" s="326"/>
      <c r="AV6" s="323" t="s">
        <v>50</v>
      </c>
      <c r="AW6" s="324"/>
      <c r="AX6" s="325" t="s">
        <v>49</v>
      </c>
      <c r="AY6" s="326"/>
      <c r="AZ6" s="323" t="s">
        <v>50</v>
      </c>
      <c r="BA6" s="324"/>
    </row>
    <row r="7" spans="1:53" ht="26">
      <c r="A7" s="228"/>
      <c r="B7" s="229"/>
      <c r="C7" s="229"/>
      <c r="D7" s="229"/>
      <c r="E7" s="230"/>
      <c r="F7" s="231" t="s">
        <v>64</v>
      </c>
      <c r="G7" s="232" t="s">
        <v>65</v>
      </c>
      <c r="H7" s="232" t="s">
        <v>64</v>
      </c>
      <c r="I7" s="233" t="s">
        <v>65</v>
      </c>
      <c r="J7" s="231" t="s">
        <v>64</v>
      </c>
      <c r="K7" s="232" t="s">
        <v>65</v>
      </c>
      <c r="L7" s="232" t="s">
        <v>64</v>
      </c>
      <c r="M7" s="233" t="s">
        <v>65</v>
      </c>
      <c r="N7" s="231" t="s">
        <v>64</v>
      </c>
      <c r="O7" s="232" t="s">
        <v>65</v>
      </c>
      <c r="P7" s="232" t="s">
        <v>64</v>
      </c>
      <c r="Q7" s="233" t="s">
        <v>65</v>
      </c>
      <c r="R7" s="231" t="s">
        <v>64</v>
      </c>
      <c r="S7" s="232" t="s">
        <v>65</v>
      </c>
      <c r="T7" s="232" t="s">
        <v>64</v>
      </c>
      <c r="U7" s="233" t="s">
        <v>65</v>
      </c>
      <c r="V7" s="231" t="s">
        <v>64</v>
      </c>
      <c r="W7" s="232" t="s">
        <v>65</v>
      </c>
      <c r="X7" s="232" t="s">
        <v>64</v>
      </c>
      <c r="Y7" s="233" t="s">
        <v>65</v>
      </c>
      <c r="Z7" s="231" t="s">
        <v>64</v>
      </c>
      <c r="AA7" s="232" t="s">
        <v>65</v>
      </c>
      <c r="AB7" s="232" t="s">
        <v>64</v>
      </c>
      <c r="AC7" s="233" t="s">
        <v>65</v>
      </c>
      <c r="AD7" s="231" t="s">
        <v>64</v>
      </c>
      <c r="AE7" s="232" t="s">
        <v>65</v>
      </c>
      <c r="AF7" s="232" t="s">
        <v>64</v>
      </c>
      <c r="AG7" s="233" t="s">
        <v>65</v>
      </c>
      <c r="AH7" s="231" t="s">
        <v>64</v>
      </c>
      <c r="AI7" s="232" t="s">
        <v>65</v>
      </c>
      <c r="AJ7" s="232" t="s">
        <v>64</v>
      </c>
      <c r="AK7" s="233" t="s">
        <v>65</v>
      </c>
      <c r="AL7" s="231" t="s">
        <v>64</v>
      </c>
      <c r="AM7" s="232" t="s">
        <v>65</v>
      </c>
      <c r="AN7" s="232" t="s">
        <v>64</v>
      </c>
      <c r="AO7" s="233" t="s">
        <v>65</v>
      </c>
      <c r="AP7" s="231" t="s">
        <v>64</v>
      </c>
      <c r="AQ7" s="232" t="s">
        <v>65</v>
      </c>
      <c r="AR7" s="232" t="s">
        <v>64</v>
      </c>
      <c r="AS7" s="233" t="s">
        <v>65</v>
      </c>
      <c r="AT7" s="231" t="s">
        <v>64</v>
      </c>
      <c r="AU7" s="232" t="s">
        <v>65</v>
      </c>
      <c r="AV7" s="232" t="s">
        <v>64</v>
      </c>
      <c r="AW7" s="233" t="s">
        <v>65</v>
      </c>
      <c r="AX7" s="231" t="s">
        <v>64</v>
      </c>
      <c r="AY7" s="232" t="s">
        <v>65</v>
      </c>
      <c r="AZ7" s="232" t="s">
        <v>64</v>
      </c>
      <c r="BA7" s="233" t="s">
        <v>65</v>
      </c>
    </row>
    <row r="8" spans="1:53">
      <c r="A8" s="234" t="s">
        <v>73</v>
      </c>
      <c r="B8" s="234">
        <v>6221</v>
      </c>
      <c r="C8" s="27" t="s">
        <v>114</v>
      </c>
      <c r="D8" s="27"/>
      <c r="E8" s="249">
        <v>1412000003</v>
      </c>
      <c r="F8" s="77"/>
      <c r="G8" s="37"/>
      <c r="H8" s="39"/>
      <c r="I8" s="78"/>
      <c r="J8" s="77"/>
      <c r="K8" s="37"/>
      <c r="L8" s="39"/>
      <c r="M8" s="78"/>
      <c r="N8" s="77"/>
      <c r="O8" s="37"/>
      <c r="P8" s="39"/>
      <c r="Q8" s="78"/>
      <c r="R8" s="77"/>
      <c r="S8" s="37"/>
      <c r="T8" s="39"/>
      <c r="U8" s="78"/>
      <c r="V8" s="77"/>
      <c r="W8" s="37"/>
      <c r="X8" s="39"/>
      <c r="Y8" s="78"/>
      <c r="Z8" s="77"/>
      <c r="AA8" s="37"/>
      <c r="AB8" s="39"/>
      <c r="AC8" s="78"/>
      <c r="AD8" s="77"/>
      <c r="AE8" s="37"/>
      <c r="AF8" s="39"/>
      <c r="AG8" s="78"/>
      <c r="AH8" s="77"/>
      <c r="AI8" s="37"/>
      <c r="AJ8" s="39"/>
      <c r="AK8" s="78"/>
      <c r="AL8" s="77"/>
      <c r="AM8" s="37"/>
      <c r="AN8" s="39"/>
      <c r="AO8" s="78"/>
      <c r="AP8" s="77"/>
      <c r="AQ8" s="37"/>
      <c r="AR8" s="39"/>
      <c r="AS8" s="78"/>
      <c r="AT8" s="77"/>
      <c r="AU8" s="37"/>
      <c r="AV8" s="39"/>
      <c r="AW8" s="78"/>
      <c r="AX8" s="77"/>
      <c r="AY8" s="37"/>
      <c r="AZ8" s="39"/>
      <c r="BA8" s="78"/>
    </row>
    <row r="9" spans="1:53">
      <c r="A9" s="235"/>
      <c r="B9" s="236"/>
      <c r="C9" s="31"/>
      <c r="D9" s="31" t="s">
        <v>115</v>
      </c>
      <c r="E9" s="243">
        <v>1412000004</v>
      </c>
      <c r="F9" s="155" t="e">
        <f>VLOOKUP($D9&amp;F$5&amp;F$4,集計!$D:$R,F$3,0)</f>
        <v>#N/A</v>
      </c>
      <c r="G9" s="156" t="e">
        <f>VLOOKUP($D9&amp;G$5&amp;G$4,集計!$D:$R,G$3,0)</f>
        <v>#N/A</v>
      </c>
      <c r="H9" s="36" t="e">
        <f>VLOOKUP($D9&amp;H$5&amp;H$4,集計!$D:$R,H$3,0)</f>
        <v>#N/A</v>
      </c>
      <c r="I9" s="80" t="e">
        <f>VLOOKUP($D9&amp;I$5&amp;I$4,集計!$D:$R,I$3,0)</f>
        <v>#N/A</v>
      </c>
      <c r="J9" s="155" t="e">
        <f>VLOOKUP($D9&amp;J$5&amp;J$4,集計!$D:$R,J$3,0)</f>
        <v>#N/A</v>
      </c>
      <c r="K9" s="156" t="e">
        <f>VLOOKUP($D9&amp;K$5&amp;K$4,集計!$D:$R,K$3,0)</f>
        <v>#N/A</v>
      </c>
      <c r="L9" s="36" t="e">
        <f>VLOOKUP($D9&amp;L$5&amp;L$4,集計!$D:$R,L$3,0)</f>
        <v>#N/A</v>
      </c>
      <c r="M9" s="80" t="e">
        <f>VLOOKUP($D9&amp;M$5&amp;M$4,集計!$D:$R,M$3,0)</f>
        <v>#N/A</v>
      </c>
      <c r="N9" s="155" t="e">
        <f>VLOOKUP($D9&amp;N$5&amp;N$4,集計!$D:$R,N$3,0)</f>
        <v>#N/A</v>
      </c>
      <c r="O9" s="156" t="e">
        <f>VLOOKUP($D9&amp;O$5&amp;O$4,集計!$D:$R,O$3,0)</f>
        <v>#N/A</v>
      </c>
      <c r="P9" s="36" t="e">
        <f>VLOOKUP($D9&amp;P$5&amp;P$4,集計!$D:$R,P$3,0)</f>
        <v>#N/A</v>
      </c>
      <c r="Q9" s="80" t="e">
        <f>VLOOKUP($D9&amp;Q$5&amp;Q$4,集計!$D:$R,Q$3,0)</f>
        <v>#N/A</v>
      </c>
      <c r="R9" s="155" t="e">
        <f>VLOOKUP($D9&amp;R$5&amp;R$4,集計!$D:$R,R$3,0)</f>
        <v>#N/A</v>
      </c>
      <c r="S9" s="156" t="e">
        <f>VLOOKUP($D9&amp;S$5&amp;S$4,集計!$D:$R,S$3,0)</f>
        <v>#N/A</v>
      </c>
      <c r="T9" s="36" t="e">
        <f>VLOOKUP($D9&amp;T$5&amp;T$4,集計!$D:$R,T$3,0)</f>
        <v>#N/A</v>
      </c>
      <c r="U9" s="80" t="e">
        <f>VLOOKUP($D9&amp;U$5&amp;U$4,集計!$D:$R,U$3,0)</f>
        <v>#N/A</v>
      </c>
      <c r="V9" s="155" t="e">
        <f>VLOOKUP($D9&amp;V$5&amp;V$4,集計!$D:$R,V$3,0)</f>
        <v>#N/A</v>
      </c>
      <c r="W9" s="156" t="e">
        <f>VLOOKUP($D9&amp;W$5&amp;W$4,集計!$D:$R,W$3,0)</f>
        <v>#N/A</v>
      </c>
      <c r="X9" s="36" t="e">
        <f>VLOOKUP($D9&amp;X$5&amp;X$4,集計!$D:$R,X$3,0)</f>
        <v>#N/A</v>
      </c>
      <c r="Y9" s="80" t="e">
        <f>VLOOKUP($D9&amp;Y$5&amp;Y$4,集計!$D:$R,Y$3,0)</f>
        <v>#N/A</v>
      </c>
      <c r="Z9" s="155" t="e">
        <f>VLOOKUP($D9&amp;Z$5&amp;Z$4,集計!$D:$R,Z$3,0)</f>
        <v>#N/A</v>
      </c>
      <c r="AA9" s="156" t="e">
        <f>VLOOKUP($D9&amp;AA$5&amp;AA$4,集計!$D:$R,AA$3,0)</f>
        <v>#N/A</v>
      </c>
      <c r="AB9" s="36" t="e">
        <f>VLOOKUP($D9&amp;AB$5&amp;AB$4,集計!$D:$R,AB$3,0)</f>
        <v>#N/A</v>
      </c>
      <c r="AC9" s="80" t="e">
        <f>VLOOKUP($D9&amp;AC$5&amp;AC$4,集計!$D:$R,AC$3,0)</f>
        <v>#N/A</v>
      </c>
      <c r="AD9" s="155" t="e">
        <f>VLOOKUP($D9&amp;AD$5&amp;AD$4,集計!$D:$R,AD$3,0)</f>
        <v>#N/A</v>
      </c>
      <c r="AE9" s="156" t="e">
        <f>VLOOKUP($D9&amp;AE$5&amp;AE$4,集計!$D:$R,AE$3,0)</f>
        <v>#N/A</v>
      </c>
      <c r="AF9" s="36" t="e">
        <f>VLOOKUP($D9&amp;AF$5&amp;AF$4,集計!$D:$R,AF$3,0)</f>
        <v>#N/A</v>
      </c>
      <c r="AG9" s="80" t="e">
        <f>VLOOKUP($D9&amp;AG$5&amp;AG$4,集計!$D:$R,AG$3,0)</f>
        <v>#N/A</v>
      </c>
      <c r="AH9" s="155" t="e">
        <f>VLOOKUP($D9&amp;AH$5&amp;AH$4,集計!$D:$R,AH$3,0)</f>
        <v>#N/A</v>
      </c>
      <c r="AI9" s="156" t="e">
        <f>VLOOKUP($D9&amp;AI$5&amp;AI$4,集計!$D:$R,AI$3,0)</f>
        <v>#N/A</v>
      </c>
      <c r="AJ9" s="36" t="e">
        <f>VLOOKUP($D9&amp;AJ$5&amp;AJ$4,集計!$D:$R,AJ$3,0)</f>
        <v>#N/A</v>
      </c>
      <c r="AK9" s="80" t="e">
        <f>VLOOKUP($D9&amp;AK$5&amp;AK$4,集計!$D:$R,AK$3,0)</f>
        <v>#N/A</v>
      </c>
      <c r="AL9" s="155" t="e">
        <f>VLOOKUP($D9&amp;AL$5&amp;AL$4,集計!$D:$R,AL$3,0)</f>
        <v>#N/A</v>
      </c>
      <c r="AM9" s="156" t="e">
        <f>VLOOKUP($D9&amp;AM$5&amp;AM$4,集計!$D:$R,AM$3,0)</f>
        <v>#N/A</v>
      </c>
      <c r="AN9" s="36" t="e">
        <f>VLOOKUP($D9&amp;AN$5&amp;AN$4,集計!$D:$R,AN$3,0)</f>
        <v>#N/A</v>
      </c>
      <c r="AO9" s="80" t="e">
        <f>VLOOKUP($D9&amp;AO$5&amp;AO$4,集計!$D:$R,AO$3,0)</f>
        <v>#N/A</v>
      </c>
      <c r="AP9" s="155" t="e">
        <f>VLOOKUP($D9&amp;AP$5&amp;AP$4,集計!$D:$R,AP$3,0)</f>
        <v>#N/A</v>
      </c>
      <c r="AQ9" s="156" t="e">
        <f>VLOOKUP($D9&amp;AQ$5&amp;AQ$4,集計!$D:$R,AQ$3,0)</f>
        <v>#N/A</v>
      </c>
      <c r="AR9" s="36" t="e">
        <f>VLOOKUP($D9&amp;AR$5&amp;AR$4,集計!$D:$R,AR$3,0)</f>
        <v>#N/A</v>
      </c>
      <c r="AS9" s="80" t="e">
        <f>VLOOKUP($D9&amp;AS$5&amp;AS$4,集計!$D:$R,AS$3,0)</f>
        <v>#N/A</v>
      </c>
      <c r="AT9" s="155" t="e">
        <f>VLOOKUP($D9&amp;AT$5&amp;AT$4,集計!$D:$R,AT$3,0)</f>
        <v>#N/A</v>
      </c>
      <c r="AU9" s="156" t="e">
        <f>VLOOKUP($D9&amp;AU$5&amp;AU$4,集計!$D:$R,AU$3,0)</f>
        <v>#N/A</v>
      </c>
      <c r="AV9" s="36" t="e">
        <f>VLOOKUP($D9&amp;AV$5&amp;AV$4,集計!$D:$R,AV$3,0)</f>
        <v>#N/A</v>
      </c>
      <c r="AW9" s="80" t="e">
        <f>VLOOKUP($D9&amp;AW$5&amp;AW$4,集計!$D:$R,AW$3,0)</f>
        <v>#N/A</v>
      </c>
      <c r="AX9" s="155" t="e">
        <f>VLOOKUP($D9&amp;AX$5&amp;AX$4,集計!$D:$R,AX$3,0)</f>
        <v>#N/A</v>
      </c>
      <c r="AY9" s="156" t="e">
        <f>VLOOKUP($D9&amp;AY$5&amp;AY$4,集計!$D:$R,AY$3,0)</f>
        <v>#N/A</v>
      </c>
      <c r="AZ9" s="36" t="e">
        <f>VLOOKUP($D9&amp;AZ$5&amp;AZ$4,集計!$D:$R,AZ$3,0)</f>
        <v>#N/A</v>
      </c>
      <c r="BA9" s="80" t="e">
        <f>VLOOKUP($D9&amp;BA$5&amp;BA$4,集計!$D:$R,BA$3,0)</f>
        <v>#N/A</v>
      </c>
    </row>
    <row r="10" spans="1:53">
      <c r="A10" s="235"/>
      <c r="B10" s="236"/>
      <c r="C10" s="31"/>
      <c r="D10" s="31" t="s">
        <v>111</v>
      </c>
      <c r="E10" s="243">
        <v>1412000005</v>
      </c>
      <c r="F10" s="155" t="e">
        <f>VLOOKUP($D10&amp;F$5&amp;F$4,集計!$D:$R,F$3,0)</f>
        <v>#N/A</v>
      </c>
      <c r="G10" s="156" t="e">
        <f>VLOOKUP($D10&amp;G$5&amp;G$4,集計!$D:$R,G$3,0)</f>
        <v>#N/A</v>
      </c>
      <c r="H10" s="36" t="e">
        <f>VLOOKUP($D10&amp;H$5&amp;H$4,集計!$D:$R,H$3,0)</f>
        <v>#N/A</v>
      </c>
      <c r="I10" s="80" t="e">
        <f>VLOOKUP($D10&amp;I$5&amp;I$4,集計!$D:$R,I$3,0)</f>
        <v>#N/A</v>
      </c>
      <c r="J10" s="155" t="e">
        <f>VLOOKUP($D10&amp;J$5&amp;J$4,集計!$D:$R,J$3,0)</f>
        <v>#N/A</v>
      </c>
      <c r="K10" s="156" t="e">
        <f>VLOOKUP($D10&amp;K$5&amp;K$4,集計!$D:$R,K$3,0)</f>
        <v>#N/A</v>
      </c>
      <c r="L10" s="36" t="e">
        <f>VLOOKUP($D10&amp;L$5&amp;L$4,集計!$D:$R,L$3,0)</f>
        <v>#N/A</v>
      </c>
      <c r="M10" s="80" t="e">
        <f>VLOOKUP($D10&amp;M$5&amp;M$4,集計!$D:$R,M$3,0)</f>
        <v>#N/A</v>
      </c>
      <c r="N10" s="155" t="e">
        <f>VLOOKUP($D10&amp;N$5&amp;N$4,集計!$D:$R,N$3,0)</f>
        <v>#N/A</v>
      </c>
      <c r="O10" s="156" t="e">
        <f>VLOOKUP($D10&amp;O$5&amp;O$4,集計!$D:$R,O$3,0)</f>
        <v>#N/A</v>
      </c>
      <c r="P10" s="36" t="e">
        <f>VLOOKUP($D10&amp;P$5&amp;P$4,集計!$D:$R,P$3,0)</f>
        <v>#N/A</v>
      </c>
      <c r="Q10" s="80" t="e">
        <f>VLOOKUP($D10&amp;Q$5&amp;Q$4,集計!$D:$R,Q$3,0)</f>
        <v>#N/A</v>
      </c>
      <c r="R10" s="155" t="e">
        <f>VLOOKUP($D10&amp;R$5&amp;R$4,集計!$D:$R,R$3,0)</f>
        <v>#N/A</v>
      </c>
      <c r="S10" s="156" t="e">
        <f>VLOOKUP($D10&amp;S$5&amp;S$4,集計!$D:$R,S$3,0)</f>
        <v>#N/A</v>
      </c>
      <c r="T10" s="36" t="e">
        <f>VLOOKUP($D10&amp;T$5&amp;T$4,集計!$D:$R,T$3,0)</f>
        <v>#N/A</v>
      </c>
      <c r="U10" s="80" t="e">
        <f>VLOOKUP($D10&amp;U$5&amp;U$4,集計!$D:$R,U$3,0)</f>
        <v>#N/A</v>
      </c>
      <c r="V10" s="155" t="e">
        <f>VLOOKUP($D10&amp;V$5&amp;V$4,集計!$D:$R,V$3,0)</f>
        <v>#N/A</v>
      </c>
      <c r="W10" s="156" t="e">
        <f>VLOOKUP($D10&amp;W$5&amp;W$4,集計!$D:$R,W$3,0)</f>
        <v>#N/A</v>
      </c>
      <c r="X10" s="36" t="e">
        <f>VLOOKUP($D10&amp;X$5&amp;X$4,集計!$D:$R,X$3,0)</f>
        <v>#N/A</v>
      </c>
      <c r="Y10" s="80" t="e">
        <f>VLOOKUP($D10&amp;Y$5&amp;Y$4,集計!$D:$R,Y$3,0)</f>
        <v>#N/A</v>
      </c>
      <c r="Z10" s="155" t="e">
        <f>VLOOKUP($D10&amp;Z$5&amp;Z$4,集計!$D:$R,Z$3,0)</f>
        <v>#N/A</v>
      </c>
      <c r="AA10" s="156" t="e">
        <f>VLOOKUP($D10&amp;AA$5&amp;AA$4,集計!$D:$R,AA$3,0)</f>
        <v>#N/A</v>
      </c>
      <c r="AB10" s="36" t="e">
        <f>VLOOKUP($D10&amp;AB$5&amp;AB$4,集計!$D:$R,AB$3,0)</f>
        <v>#N/A</v>
      </c>
      <c r="AC10" s="80" t="e">
        <f>VLOOKUP($D10&amp;AC$5&amp;AC$4,集計!$D:$R,AC$3,0)</f>
        <v>#N/A</v>
      </c>
      <c r="AD10" s="155" t="e">
        <f>VLOOKUP($D10&amp;AD$5&amp;AD$4,集計!$D:$R,AD$3,0)</f>
        <v>#N/A</v>
      </c>
      <c r="AE10" s="156" t="e">
        <f>VLOOKUP($D10&amp;AE$5&amp;AE$4,集計!$D:$R,AE$3,0)</f>
        <v>#N/A</v>
      </c>
      <c r="AF10" s="36" t="e">
        <f>VLOOKUP($D10&amp;AF$5&amp;AF$4,集計!$D:$R,AF$3,0)</f>
        <v>#N/A</v>
      </c>
      <c r="AG10" s="80" t="e">
        <f>VLOOKUP($D10&amp;AG$5&amp;AG$4,集計!$D:$R,AG$3,0)</f>
        <v>#N/A</v>
      </c>
      <c r="AH10" s="155" t="e">
        <f>VLOOKUP($D10&amp;AH$5&amp;AH$4,集計!$D:$R,AH$3,0)</f>
        <v>#N/A</v>
      </c>
      <c r="AI10" s="156" t="e">
        <f>VLOOKUP($D10&amp;AI$5&amp;AI$4,集計!$D:$R,AI$3,0)</f>
        <v>#N/A</v>
      </c>
      <c r="AJ10" s="36" t="e">
        <f>VLOOKUP($D10&amp;AJ$5&amp;AJ$4,集計!$D:$R,AJ$3,0)</f>
        <v>#N/A</v>
      </c>
      <c r="AK10" s="80" t="e">
        <f>VLOOKUP($D10&amp;AK$5&amp;AK$4,集計!$D:$R,AK$3,0)</f>
        <v>#N/A</v>
      </c>
      <c r="AL10" s="155" t="e">
        <f>VLOOKUP($D10&amp;AL$5&amp;AL$4,集計!$D:$R,AL$3,0)</f>
        <v>#N/A</v>
      </c>
      <c r="AM10" s="156" t="e">
        <f>VLOOKUP($D10&amp;AM$5&amp;AM$4,集計!$D:$R,AM$3,0)</f>
        <v>#N/A</v>
      </c>
      <c r="AN10" s="36" t="e">
        <f>VLOOKUP($D10&amp;AN$5&amp;AN$4,集計!$D:$R,AN$3,0)</f>
        <v>#N/A</v>
      </c>
      <c r="AO10" s="80" t="e">
        <f>VLOOKUP($D10&amp;AO$5&amp;AO$4,集計!$D:$R,AO$3,0)</f>
        <v>#N/A</v>
      </c>
      <c r="AP10" s="155" t="e">
        <f>VLOOKUP($D10&amp;AP$5&amp;AP$4,集計!$D:$R,AP$3,0)</f>
        <v>#N/A</v>
      </c>
      <c r="AQ10" s="156" t="e">
        <f>VLOOKUP($D10&amp;AQ$5&amp;AQ$4,集計!$D:$R,AQ$3,0)</f>
        <v>#N/A</v>
      </c>
      <c r="AR10" s="36" t="e">
        <f>VLOOKUP($D10&amp;AR$5&amp;AR$4,集計!$D:$R,AR$3,0)</f>
        <v>#N/A</v>
      </c>
      <c r="AS10" s="80" t="e">
        <f>VLOOKUP($D10&amp;AS$5&amp;AS$4,集計!$D:$R,AS$3,0)</f>
        <v>#N/A</v>
      </c>
      <c r="AT10" s="155" t="e">
        <f>VLOOKUP($D10&amp;AT$5&amp;AT$4,集計!$D:$R,AT$3,0)</f>
        <v>#N/A</v>
      </c>
      <c r="AU10" s="156" t="e">
        <f>VLOOKUP($D10&amp;AU$5&amp;AU$4,集計!$D:$R,AU$3,0)</f>
        <v>#N/A</v>
      </c>
      <c r="AV10" s="36" t="e">
        <f>VLOOKUP($D10&amp;AV$5&amp;AV$4,集計!$D:$R,AV$3,0)</f>
        <v>#N/A</v>
      </c>
      <c r="AW10" s="80" t="e">
        <f>VLOOKUP($D10&amp;AW$5&amp;AW$4,集計!$D:$R,AW$3,0)</f>
        <v>#N/A</v>
      </c>
      <c r="AX10" s="155" t="e">
        <f>VLOOKUP($D10&amp;AX$5&amp;AX$4,集計!$D:$R,AX$3,0)</f>
        <v>#N/A</v>
      </c>
      <c r="AY10" s="156" t="e">
        <f>VLOOKUP($D10&amp;AY$5&amp;AY$4,集計!$D:$R,AY$3,0)</f>
        <v>#N/A</v>
      </c>
      <c r="AZ10" s="36" t="e">
        <f>VLOOKUP($D10&amp;AZ$5&amp;AZ$4,集計!$D:$R,AZ$3,0)</f>
        <v>#N/A</v>
      </c>
      <c r="BA10" s="80" t="e">
        <f>VLOOKUP($D10&amp;BA$5&amp;BA$4,集計!$D:$R,BA$3,0)</f>
        <v>#N/A</v>
      </c>
    </row>
    <row r="11" spans="1:53">
      <c r="A11" s="237"/>
      <c r="B11" s="238"/>
      <c r="C11" s="118"/>
      <c r="D11" s="118" t="s">
        <v>66</v>
      </c>
      <c r="E11" s="250">
        <v>1412000066</v>
      </c>
      <c r="F11" s="155" t="e">
        <f>VLOOKUP($D11&amp;F$5&amp;F$4,集計!$D:$R,F$3,0)</f>
        <v>#N/A</v>
      </c>
      <c r="G11" s="156" t="e">
        <f>VLOOKUP($D11&amp;G$5&amp;G$4,集計!$D:$R,G$3,0)</f>
        <v>#N/A</v>
      </c>
      <c r="H11" s="36" t="e">
        <f>VLOOKUP($D11&amp;H$5&amp;H$4,集計!$D:$R,H$3,0)</f>
        <v>#N/A</v>
      </c>
      <c r="I11" s="80" t="e">
        <f>VLOOKUP($D11&amp;I$5&amp;I$4,集計!$D:$R,I$3,0)</f>
        <v>#N/A</v>
      </c>
      <c r="J11" s="155" t="e">
        <f>VLOOKUP($D11&amp;J$5&amp;J$4,集計!$D:$R,J$3,0)</f>
        <v>#N/A</v>
      </c>
      <c r="K11" s="156" t="e">
        <f>VLOOKUP($D11&amp;K$5&amp;K$4,集計!$D:$R,K$3,0)</f>
        <v>#N/A</v>
      </c>
      <c r="L11" s="36" t="e">
        <f>VLOOKUP($D11&amp;L$5&amp;L$4,集計!$D:$R,L$3,0)</f>
        <v>#N/A</v>
      </c>
      <c r="M11" s="80" t="e">
        <f>VLOOKUP($D11&amp;M$5&amp;M$4,集計!$D:$R,M$3,0)</f>
        <v>#N/A</v>
      </c>
      <c r="N11" s="155" t="e">
        <f>VLOOKUP($D11&amp;N$5&amp;N$4,集計!$D:$R,N$3,0)</f>
        <v>#N/A</v>
      </c>
      <c r="O11" s="156" t="e">
        <f>VLOOKUP($D11&amp;O$5&amp;O$4,集計!$D:$R,O$3,0)</f>
        <v>#N/A</v>
      </c>
      <c r="P11" s="36" t="e">
        <f>VLOOKUP($D11&amp;P$5&amp;P$4,集計!$D:$R,P$3,0)</f>
        <v>#N/A</v>
      </c>
      <c r="Q11" s="80" t="e">
        <f>VLOOKUP($D11&amp;Q$5&amp;Q$4,集計!$D:$R,Q$3,0)</f>
        <v>#N/A</v>
      </c>
      <c r="R11" s="155" t="e">
        <f>VLOOKUP($D11&amp;R$5&amp;R$4,集計!$D:$R,R$3,0)</f>
        <v>#N/A</v>
      </c>
      <c r="S11" s="156" t="e">
        <f>VLOOKUP($D11&amp;S$5&amp;S$4,集計!$D:$R,S$3,0)</f>
        <v>#N/A</v>
      </c>
      <c r="T11" s="36" t="e">
        <f>VLOOKUP($D11&amp;T$5&amp;T$4,集計!$D:$R,T$3,0)</f>
        <v>#N/A</v>
      </c>
      <c r="U11" s="80" t="e">
        <f>VLOOKUP($D11&amp;U$5&amp;U$4,集計!$D:$R,U$3,0)</f>
        <v>#N/A</v>
      </c>
      <c r="V11" s="155" t="e">
        <f>VLOOKUP($D11&amp;V$5&amp;V$4,集計!$D:$R,V$3,0)</f>
        <v>#N/A</v>
      </c>
      <c r="W11" s="156" t="e">
        <f>VLOOKUP($D11&amp;W$5&amp;W$4,集計!$D:$R,W$3,0)</f>
        <v>#N/A</v>
      </c>
      <c r="X11" s="36" t="e">
        <f>VLOOKUP($D11&amp;X$5&amp;X$4,集計!$D:$R,X$3,0)</f>
        <v>#N/A</v>
      </c>
      <c r="Y11" s="80" t="e">
        <f>VLOOKUP($D11&amp;Y$5&amp;Y$4,集計!$D:$R,Y$3,0)</f>
        <v>#N/A</v>
      </c>
      <c r="Z11" s="155" t="e">
        <f>VLOOKUP($D11&amp;Z$5&amp;Z$4,集計!$D:$R,Z$3,0)</f>
        <v>#N/A</v>
      </c>
      <c r="AA11" s="156" t="e">
        <f>VLOOKUP($D11&amp;AA$5&amp;AA$4,集計!$D:$R,AA$3,0)</f>
        <v>#N/A</v>
      </c>
      <c r="AB11" s="36" t="e">
        <f>VLOOKUP($D11&amp;AB$5&amp;AB$4,集計!$D:$R,AB$3,0)</f>
        <v>#N/A</v>
      </c>
      <c r="AC11" s="80" t="e">
        <f>VLOOKUP($D11&amp;AC$5&amp;AC$4,集計!$D:$R,AC$3,0)</f>
        <v>#N/A</v>
      </c>
      <c r="AD11" s="155" t="e">
        <f>VLOOKUP($D11&amp;AD$5&amp;AD$4,集計!$D:$R,AD$3,0)</f>
        <v>#N/A</v>
      </c>
      <c r="AE11" s="156" t="e">
        <f>VLOOKUP($D11&amp;AE$5&amp;AE$4,集計!$D:$R,AE$3,0)</f>
        <v>#N/A</v>
      </c>
      <c r="AF11" s="36" t="e">
        <f>VLOOKUP($D11&amp;AF$5&amp;AF$4,集計!$D:$R,AF$3,0)</f>
        <v>#N/A</v>
      </c>
      <c r="AG11" s="80" t="e">
        <f>VLOOKUP($D11&amp;AG$5&amp;AG$4,集計!$D:$R,AG$3,0)</f>
        <v>#N/A</v>
      </c>
      <c r="AH11" s="155" t="e">
        <f>VLOOKUP($D11&amp;AH$5&amp;AH$4,集計!$D:$R,AH$3,0)</f>
        <v>#N/A</v>
      </c>
      <c r="AI11" s="156" t="e">
        <f>VLOOKUP($D11&amp;AI$5&amp;AI$4,集計!$D:$R,AI$3,0)</f>
        <v>#N/A</v>
      </c>
      <c r="AJ11" s="36" t="e">
        <f>VLOOKUP($D11&amp;AJ$5&amp;AJ$4,集計!$D:$R,AJ$3,0)</f>
        <v>#N/A</v>
      </c>
      <c r="AK11" s="80" t="e">
        <f>VLOOKUP($D11&amp;AK$5&amp;AK$4,集計!$D:$R,AK$3,0)</f>
        <v>#N/A</v>
      </c>
      <c r="AL11" s="155" t="e">
        <f>VLOOKUP($D11&amp;AL$5&amp;AL$4,集計!$D:$R,AL$3,0)</f>
        <v>#N/A</v>
      </c>
      <c r="AM11" s="156" t="e">
        <f>VLOOKUP($D11&amp;AM$5&amp;AM$4,集計!$D:$R,AM$3,0)</f>
        <v>#N/A</v>
      </c>
      <c r="AN11" s="36" t="e">
        <f>VLOOKUP($D11&amp;AN$5&amp;AN$4,集計!$D:$R,AN$3,0)</f>
        <v>#N/A</v>
      </c>
      <c r="AO11" s="80" t="e">
        <f>VLOOKUP($D11&amp;AO$5&amp;AO$4,集計!$D:$R,AO$3,0)</f>
        <v>#N/A</v>
      </c>
      <c r="AP11" s="155" t="e">
        <f>VLOOKUP($D11&amp;AP$5&amp;AP$4,集計!$D:$R,AP$3,0)</f>
        <v>#N/A</v>
      </c>
      <c r="AQ11" s="156" t="e">
        <f>VLOOKUP($D11&amp;AQ$5&amp;AQ$4,集計!$D:$R,AQ$3,0)</f>
        <v>#N/A</v>
      </c>
      <c r="AR11" s="36" t="e">
        <f>VLOOKUP($D11&amp;AR$5&amp;AR$4,集計!$D:$R,AR$3,0)</f>
        <v>#N/A</v>
      </c>
      <c r="AS11" s="80" t="e">
        <f>VLOOKUP($D11&amp;AS$5&amp;AS$4,集計!$D:$R,AS$3,0)</f>
        <v>#N/A</v>
      </c>
      <c r="AT11" s="155" t="e">
        <f>VLOOKUP($D11&amp;AT$5&amp;AT$4,集計!$D:$R,AT$3,0)</f>
        <v>#N/A</v>
      </c>
      <c r="AU11" s="156" t="e">
        <f>VLOOKUP($D11&amp;AU$5&amp;AU$4,集計!$D:$R,AU$3,0)</f>
        <v>#N/A</v>
      </c>
      <c r="AV11" s="36" t="e">
        <f>VLOOKUP($D11&amp;AV$5&amp;AV$4,集計!$D:$R,AV$3,0)</f>
        <v>#N/A</v>
      </c>
      <c r="AW11" s="80" t="e">
        <f>VLOOKUP($D11&amp;AW$5&amp;AW$4,集計!$D:$R,AW$3,0)</f>
        <v>#N/A</v>
      </c>
      <c r="AX11" s="155" t="e">
        <f>VLOOKUP($D11&amp;AX$5&amp;AX$4,集計!$D:$R,AX$3,0)</f>
        <v>#N/A</v>
      </c>
      <c r="AY11" s="156" t="e">
        <f>VLOOKUP($D11&amp;AY$5&amp;AY$4,集計!$D:$R,AY$3,0)</f>
        <v>#N/A</v>
      </c>
      <c r="AZ11" s="36" t="e">
        <f>VLOOKUP($D11&amp;AZ$5&amp;AZ$4,集計!$D:$R,AZ$3,0)</f>
        <v>#N/A</v>
      </c>
      <c r="BA11" s="80" t="e">
        <f>VLOOKUP($D11&amp;BA$5&amp;BA$4,集計!$D:$R,BA$3,0)</f>
        <v>#N/A</v>
      </c>
    </row>
    <row r="12" spans="1:53">
      <c r="A12" s="237"/>
      <c r="B12" s="238"/>
      <c r="C12" s="118"/>
      <c r="D12" s="118" t="s">
        <v>118</v>
      </c>
      <c r="E12" s="250">
        <v>1412000081</v>
      </c>
      <c r="F12" s="155" t="e">
        <f>VLOOKUP($D12&amp;F$5&amp;F$4,集計!$D:$R,F$3,0)</f>
        <v>#N/A</v>
      </c>
      <c r="G12" s="156" t="e">
        <f>VLOOKUP($D12&amp;G$5&amp;G$4,集計!$D:$R,G$3,0)</f>
        <v>#N/A</v>
      </c>
      <c r="H12" s="36" t="e">
        <f>VLOOKUP($D12&amp;H$5&amp;H$4,集計!$D:$R,H$3,0)</f>
        <v>#N/A</v>
      </c>
      <c r="I12" s="80" t="e">
        <f>VLOOKUP($D12&amp;I$5&amp;I$4,集計!$D:$R,I$3,0)</f>
        <v>#N/A</v>
      </c>
      <c r="J12" s="155" t="e">
        <f>VLOOKUP($D12&amp;J$5&amp;J$4,集計!$D:$R,J$3,0)</f>
        <v>#N/A</v>
      </c>
      <c r="K12" s="156" t="e">
        <f>VLOOKUP($D12&amp;K$5&amp;K$4,集計!$D:$R,K$3,0)</f>
        <v>#N/A</v>
      </c>
      <c r="L12" s="36" t="e">
        <f>VLOOKUP($D12&amp;L$5&amp;L$4,集計!$D:$R,L$3,0)</f>
        <v>#N/A</v>
      </c>
      <c r="M12" s="80" t="e">
        <f>VLOOKUP($D12&amp;M$5&amp;M$4,集計!$D:$R,M$3,0)</f>
        <v>#N/A</v>
      </c>
      <c r="N12" s="155" t="e">
        <f>VLOOKUP($D12&amp;N$5&amp;N$4,集計!$D:$R,N$3,0)</f>
        <v>#N/A</v>
      </c>
      <c r="O12" s="156" t="e">
        <f>VLOOKUP($D12&amp;O$5&amp;O$4,集計!$D:$R,O$3,0)</f>
        <v>#N/A</v>
      </c>
      <c r="P12" s="36" t="e">
        <f>VLOOKUP($D12&amp;P$5&amp;P$4,集計!$D:$R,P$3,0)</f>
        <v>#N/A</v>
      </c>
      <c r="Q12" s="80" t="e">
        <f>VLOOKUP($D12&amp;Q$5&amp;Q$4,集計!$D:$R,Q$3,0)</f>
        <v>#N/A</v>
      </c>
      <c r="R12" s="155" t="e">
        <f>VLOOKUP($D12&amp;R$5&amp;R$4,集計!$D:$R,R$3,0)</f>
        <v>#N/A</v>
      </c>
      <c r="S12" s="156" t="e">
        <f>VLOOKUP($D12&amp;S$5&amp;S$4,集計!$D:$R,S$3,0)</f>
        <v>#N/A</v>
      </c>
      <c r="T12" s="36" t="e">
        <f>VLOOKUP($D12&amp;T$5&amp;T$4,集計!$D:$R,T$3,0)</f>
        <v>#N/A</v>
      </c>
      <c r="U12" s="80" t="e">
        <f>VLOOKUP($D12&amp;U$5&amp;U$4,集計!$D:$R,U$3,0)</f>
        <v>#N/A</v>
      </c>
      <c r="V12" s="155" t="e">
        <f>VLOOKUP($D12&amp;V$5&amp;V$4,集計!$D:$R,V$3,0)</f>
        <v>#N/A</v>
      </c>
      <c r="W12" s="156" t="e">
        <f>VLOOKUP($D12&amp;W$5&amp;W$4,集計!$D:$R,W$3,0)</f>
        <v>#N/A</v>
      </c>
      <c r="X12" s="36" t="e">
        <f>VLOOKUP($D12&amp;X$5&amp;X$4,集計!$D:$R,X$3,0)</f>
        <v>#N/A</v>
      </c>
      <c r="Y12" s="80" t="e">
        <f>VLOOKUP($D12&amp;Y$5&amp;Y$4,集計!$D:$R,Y$3,0)</f>
        <v>#N/A</v>
      </c>
      <c r="Z12" s="155" t="e">
        <f>VLOOKUP($D12&amp;Z$5&amp;Z$4,集計!$D:$R,Z$3,0)</f>
        <v>#N/A</v>
      </c>
      <c r="AA12" s="156" t="e">
        <f>VLOOKUP($D12&amp;AA$5&amp;AA$4,集計!$D:$R,AA$3,0)</f>
        <v>#N/A</v>
      </c>
      <c r="AB12" s="36" t="e">
        <f>VLOOKUP($D12&amp;AB$5&amp;AB$4,集計!$D:$R,AB$3,0)</f>
        <v>#N/A</v>
      </c>
      <c r="AC12" s="80" t="e">
        <f>VLOOKUP($D12&amp;AC$5&amp;AC$4,集計!$D:$R,AC$3,0)</f>
        <v>#N/A</v>
      </c>
      <c r="AD12" s="155" t="e">
        <f>VLOOKUP($D12&amp;AD$5&amp;AD$4,集計!$D:$R,AD$3,0)</f>
        <v>#N/A</v>
      </c>
      <c r="AE12" s="156" t="e">
        <f>VLOOKUP($D12&amp;AE$5&amp;AE$4,集計!$D:$R,AE$3,0)</f>
        <v>#N/A</v>
      </c>
      <c r="AF12" s="36" t="e">
        <f>VLOOKUP($D12&amp;AF$5&amp;AF$4,集計!$D:$R,AF$3,0)</f>
        <v>#N/A</v>
      </c>
      <c r="AG12" s="80" t="e">
        <f>VLOOKUP($D12&amp;AG$5&amp;AG$4,集計!$D:$R,AG$3,0)</f>
        <v>#N/A</v>
      </c>
      <c r="AH12" s="155" t="e">
        <f>VLOOKUP($D12&amp;AH$5&amp;AH$4,集計!$D:$R,AH$3,0)</f>
        <v>#N/A</v>
      </c>
      <c r="AI12" s="156" t="e">
        <f>VLOOKUP($D12&amp;AI$5&amp;AI$4,集計!$D:$R,AI$3,0)</f>
        <v>#N/A</v>
      </c>
      <c r="AJ12" s="36" t="e">
        <f>VLOOKUP($D12&amp;AJ$5&amp;AJ$4,集計!$D:$R,AJ$3,0)</f>
        <v>#N/A</v>
      </c>
      <c r="AK12" s="80" t="e">
        <f>VLOOKUP($D12&amp;AK$5&amp;AK$4,集計!$D:$R,AK$3,0)</f>
        <v>#N/A</v>
      </c>
      <c r="AL12" s="155" t="e">
        <f>VLOOKUP($D12&amp;AL$5&amp;AL$4,集計!$D:$R,AL$3,0)</f>
        <v>#N/A</v>
      </c>
      <c r="AM12" s="156" t="e">
        <f>VLOOKUP($D12&amp;AM$5&amp;AM$4,集計!$D:$R,AM$3,0)</f>
        <v>#N/A</v>
      </c>
      <c r="AN12" s="36" t="e">
        <f>VLOOKUP($D12&amp;AN$5&amp;AN$4,集計!$D:$R,AN$3,0)</f>
        <v>#N/A</v>
      </c>
      <c r="AO12" s="80" t="e">
        <f>VLOOKUP($D12&amp;AO$5&amp;AO$4,集計!$D:$R,AO$3,0)</f>
        <v>#N/A</v>
      </c>
      <c r="AP12" s="155" t="e">
        <f>VLOOKUP($D12&amp;AP$5&amp;AP$4,集計!$D:$R,AP$3,0)</f>
        <v>#N/A</v>
      </c>
      <c r="AQ12" s="156" t="e">
        <f>VLOOKUP($D12&amp;AQ$5&amp;AQ$4,集計!$D:$R,AQ$3,0)</f>
        <v>#N/A</v>
      </c>
      <c r="AR12" s="36" t="e">
        <f>VLOOKUP($D12&amp;AR$5&amp;AR$4,集計!$D:$R,AR$3,0)</f>
        <v>#N/A</v>
      </c>
      <c r="AS12" s="80" t="e">
        <f>VLOOKUP($D12&amp;AS$5&amp;AS$4,集計!$D:$R,AS$3,0)</f>
        <v>#N/A</v>
      </c>
      <c r="AT12" s="155" t="e">
        <f>VLOOKUP($D12&amp;AT$5&amp;AT$4,集計!$D:$R,AT$3,0)</f>
        <v>#N/A</v>
      </c>
      <c r="AU12" s="156" t="e">
        <f>VLOOKUP($D12&amp;AU$5&amp;AU$4,集計!$D:$R,AU$3,0)</f>
        <v>#N/A</v>
      </c>
      <c r="AV12" s="36" t="e">
        <f>VLOOKUP($D12&amp;AV$5&amp;AV$4,集計!$D:$R,AV$3,0)</f>
        <v>#N/A</v>
      </c>
      <c r="AW12" s="80" t="e">
        <f>VLOOKUP($D12&amp;AW$5&amp;AW$4,集計!$D:$R,AW$3,0)</f>
        <v>#N/A</v>
      </c>
      <c r="AX12" s="155" t="e">
        <f>VLOOKUP($D12&amp;AX$5&amp;AX$4,集計!$D:$R,AX$3,0)</f>
        <v>#N/A</v>
      </c>
      <c r="AY12" s="156" t="e">
        <f>VLOOKUP($D12&amp;AY$5&amp;AY$4,集計!$D:$R,AY$3,0)</f>
        <v>#N/A</v>
      </c>
      <c r="AZ12" s="36" t="e">
        <f>VLOOKUP($D12&amp;AZ$5&amp;AZ$4,集計!$D:$R,AZ$3,0)</f>
        <v>#N/A</v>
      </c>
      <c r="BA12" s="80" t="e">
        <f>VLOOKUP($D12&amp;BA$5&amp;BA$4,集計!$D:$R,BA$3,0)</f>
        <v>#N/A</v>
      </c>
    </row>
    <row r="13" spans="1:53">
      <c r="A13" s="239"/>
      <c r="B13" s="240"/>
      <c r="C13" s="47"/>
      <c r="D13" s="47" t="s">
        <v>112</v>
      </c>
      <c r="E13" s="244">
        <v>1412000062</v>
      </c>
      <c r="F13" s="155" t="e">
        <f>VLOOKUP($D13&amp;F$5&amp;F$4,集計!$D:$R,F$3,0)</f>
        <v>#N/A</v>
      </c>
      <c r="G13" s="156" t="e">
        <f>VLOOKUP($D13&amp;G$5&amp;G$4,集計!$D:$R,G$3,0)</f>
        <v>#N/A</v>
      </c>
      <c r="H13" s="36" t="e">
        <f>VLOOKUP($D13&amp;H$5&amp;H$4,集計!$D:$R,H$3,0)</f>
        <v>#N/A</v>
      </c>
      <c r="I13" s="80" t="e">
        <f>VLOOKUP($D13&amp;I$5&amp;I$4,集計!$D:$R,I$3,0)</f>
        <v>#N/A</v>
      </c>
      <c r="J13" s="155" t="e">
        <f>VLOOKUP($D13&amp;J$5&amp;J$4,集計!$D:$R,J$3,0)</f>
        <v>#N/A</v>
      </c>
      <c r="K13" s="156" t="e">
        <f>VLOOKUP($D13&amp;K$5&amp;K$4,集計!$D:$R,K$3,0)</f>
        <v>#N/A</v>
      </c>
      <c r="L13" s="36" t="e">
        <f>VLOOKUP($D13&amp;L$5&amp;L$4,集計!$D:$R,L$3,0)</f>
        <v>#N/A</v>
      </c>
      <c r="M13" s="80" t="e">
        <f>VLOOKUP($D13&amp;M$5&amp;M$4,集計!$D:$R,M$3,0)</f>
        <v>#N/A</v>
      </c>
      <c r="N13" s="155" t="e">
        <f>VLOOKUP($D13&amp;N$5&amp;N$4,集計!$D:$R,N$3,0)</f>
        <v>#N/A</v>
      </c>
      <c r="O13" s="156" t="e">
        <f>VLOOKUP($D13&amp;O$5&amp;O$4,集計!$D:$R,O$3,0)</f>
        <v>#N/A</v>
      </c>
      <c r="P13" s="36" t="e">
        <f>VLOOKUP($D13&amp;P$5&amp;P$4,集計!$D:$R,P$3,0)</f>
        <v>#N/A</v>
      </c>
      <c r="Q13" s="80" t="e">
        <f>VLOOKUP($D13&amp;Q$5&amp;Q$4,集計!$D:$R,Q$3,0)</f>
        <v>#N/A</v>
      </c>
      <c r="R13" s="155" t="e">
        <f>VLOOKUP($D13&amp;R$5&amp;R$4,集計!$D:$R,R$3,0)</f>
        <v>#N/A</v>
      </c>
      <c r="S13" s="156" t="e">
        <f>VLOOKUP($D13&amp;S$5&amp;S$4,集計!$D:$R,S$3,0)</f>
        <v>#N/A</v>
      </c>
      <c r="T13" s="36" t="e">
        <f>VLOOKUP($D13&amp;T$5&amp;T$4,集計!$D:$R,T$3,0)</f>
        <v>#N/A</v>
      </c>
      <c r="U13" s="80" t="e">
        <f>VLOOKUP($D13&amp;U$5&amp;U$4,集計!$D:$R,U$3,0)</f>
        <v>#N/A</v>
      </c>
      <c r="V13" s="155" t="e">
        <f>VLOOKUP($D13&amp;V$5&amp;V$4,集計!$D:$R,V$3,0)</f>
        <v>#N/A</v>
      </c>
      <c r="W13" s="156" t="e">
        <f>VLOOKUP($D13&amp;W$5&amp;W$4,集計!$D:$R,W$3,0)</f>
        <v>#N/A</v>
      </c>
      <c r="X13" s="36" t="e">
        <f>VLOOKUP($D13&amp;X$5&amp;X$4,集計!$D:$R,X$3,0)</f>
        <v>#N/A</v>
      </c>
      <c r="Y13" s="80" t="e">
        <f>VLOOKUP($D13&amp;Y$5&amp;Y$4,集計!$D:$R,Y$3,0)</f>
        <v>#N/A</v>
      </c>
      <c r="Z13" s="155" t="e">
        <f>VLOOKUP($D13&amp;Z$5&amp;Z$4,集計!$D:$R,Z$3,0)</f>
        <v>#N/A</v>
      </c>
      <c r="AA13" s="156" t="e">
        <f>VLOOKUP($D13&amp;AA$5&amp;AA$4,集計!$D:$R,AA$3,0)</f>
        <v>#N/A</v>
      </c>
      <c r="AB13" s="36" t="e">
        <f>VLOOKUP($D13&amp;AB$5&amp;AB$4,集計!$D:$R,AB$3,0)</f>
        <v>#N/A</v>
      </c>
      <c r="AC13" s="80" t="e">
        <f>VLOOKUP($D13&amp;AC$5&amp;AC$4,集計!$D:$R,AC$3,0)</f>
        <v>#N/A</v>
      </c>
      <c r="AD13" s="155" t="e">
        <f>VLOOKUP($D13&amp;AD$5&amp;AD$4,集計!$D:$R,AD$3,0)</f>
        <v>#N/A</v>
      </c>
      <c r="AE13" s="156" t="e">
        <f>VLOOKUP($D13&amp;AE$5&amp;AE$4,集計!$D:$R,AE$3,0)</f>
        <v>#N/A</v>
      </c>
      <c r="AF13" s="36" t="e">
        <f>VLOOKUP($D13&amp;AF$5&amp;AF$4,集計!$D:$R,AF$3,0)</f>
        <v>#N/A</v>
      </c>
      <c r="AG13" s="80" t="e">
        <f>VLOOKUP($D13&amp;AG$5&amp;AG$4,集計!$D:$R,AG$3,0)</f>
        <v>#N/A</v>
      </c>
      <c r="AH13" s="155" t="e">
        <f>VLOOKUP($D13&amp;AH$5&amp;AH$4,集計!$D:$R,AH$3,0)</f>
        <v>#N/A</v>
      </c>
      <c r="AI13" s="156" t="e">
        <f>VLOOKUP($D13&amp;AI$5&amp;AI$4,集計!$D:$R,AI$3,0)</f>
        <v>#N/A</v>
      </c>
      <c r="AJ13" s="36" t="e">
        <f>VLOOKUP($D13&amp;AJ$5&amp;AJ$4,集計!$D:$R,AJ$3,0)</f>
        <v>#N/A</v>
      </c>
      <c r="AK13" s="80" t="e">
        <f>VLOOKUP($D13&amp;AK$5&amp;AK$4,集計!$D:$R,AK$3,0)</f>
        <v>#N/A</v>
      </c>
      <c r="AL13" s="155" t="e">
        <f>VLOOKUP($D13&amp;AL$5&amp;AL$4,集計!$D:$R,AL$3,0)</f>
        <v>#N/A</v>
      </c>
      <c r="AM13" s="156" t="e">
        <f>VLOOKUP($D13&amp;AM$5&amp;AM$4,集計!$D:$R,AM$3,0)</f>
        <v>#N/A</v>
      </c>
      <c r="AN13" s="36" t="e">
        <f>VLOOKUP($D13&amp;AN$5&amp;AN$4,集計!$D:$R,AN$3,0)</f>
        <v>#N/A</v>
      </c>
      <c r="AO13" s="80" t="e">
        <f>VLOOKUP($D13&amp;AO$5&amp;AO$4,集計!$D:$R,AO$3,0)</f>
        <v>#N/A</v>
      </c>
      <c r="AP13" s="155" t="e">
        <f>VLOOKUP($D13&amp;AP$5&amp;AP$4,集計!$D:$R,AP$3,0)</f>
        <v>#N/A</v>
      </c>
      <c r="AQ13" s="156" t="e">
        <f>VLOOKUP($D13&amp;AQ$5&amp;AQ$4,集計!$D:$R,AQ$3,0)</f>
        <v>#N/A</v>
      </c>
      <c r="AR13" s="36" t="e">
        <f>VLOOKUP($D13&amp;AR$5&amp;AR$4,集計!$D:$R,AR$3,0)</f>
        <v>#N/A</v>
      </c>
      <c r="AS13" s="80" t="e">
        <f>VLOOKUP($D13&amp;AS$5&amp;AS$4,集計!$D:$R,AS$3,0)</f>
        <v>#N/A</v>
      </c>
      <c r="AT13" s="155" t="e">
        <f>VLOOKUP($D13&amp;AT$5&amp;AT$4,集計!$D:$R,AT$3,0)</f>
        <v>#N/A</v>
      </c>
      <c r="AU13" s="156" t="e">
        <f>VLOOKUP($D13&amp;AU$5&amp;AU$4,集計!$D:$R,AU$3,0)</f>
        <v>#N/A</v>
      </c>
      <c r="AV13" s="36" t="e">
        <f>VLOOKUP($D13&amp;AV$5&amp;AV$4,集計!$D:$R,AV$3,0)</f>
        <v>#N/A</v>
      </c>
      <c r="AW13" s="80" t="e">
        <f>VLOOKUP($D13&amp;AW$5&amp;AW$4,集計!$D:$R,AW$3,0)</f>
        <v>#N/A</v>
      </c>
      <c r="AX13" s="155" t="e">
        <f>VLOOKUP($D13&amp;AX$5&amp;AX$4,集計!$D:$R,AX$3,0)</f>
        <v>#N/A</v>
      </c>
      <c r="AY13" s="156" t="e">
        <f>VLOOKUP($D13&amp;AY$5&amp;AY$4,集計!$D:$R,AY$3,0)</f>
        <v>#N/A</v>
      </c>
      <c r="AZ13" s="36" t="e">
        <f>VLOOKUP($D13&amp;AZ$5&amp;AZ$4,集計!$D:$R,AZ$3,0)</f>
        <v>#N/A</v>
      </c>
      <c r="BA13" s="80" t="e">
        <f>VLOOKUP($D13&amp;BA$5&amp;BA$4,集計!$D:$R,BA$3,0)</f>
        <v>#N/A</v>
      </c>
    </row>
    <row r="14" spans="1:53" s="242" customFormat="1">
      <c r="A14" s="241" t="s">
        <v>74</v>
      </c>
      <c r="B14" s="241">
        <v>6221</v>
      </c>
      <c r="C14" s="55" t="s">
        <v>51</v>
      </c>
      <c r="D14" s="55"/>
      <c r="E14" s="251">
        <v>1412000033</v>
      </c>
      <c r="F14" s="157"/>
      <c r="G14" s="158"/>
      <c r="H14" s="39"/>
      <c r="I14" s="78"/>
      <c r="J14" s="157"/>
      <c r="K14" s="158"/>
      <c r="L14" s="39"/>
      <c r="M14" s="78"/>
      <c r="N14" s="157"/>
      <c r="O14" s="158"/>
      <c r="P14" s="39"/>
      <c r="Q14" s="78"/>
      <c r="R14" s="157"/>
      <c r="S14" s="158"/>
      <c r="T14" s="39"/>
      <c r="U14" s="78"/>
      <c r="V14" s="157"/>
      <c r="W14" s="158"/>
      <c r="X14" s="39"/>
      <c r="Y14" s="78"/>
      <c r="Z14" s="157"/>
      <c r="AA14" s="158"/>
      <c r="AB14" s="39"/>
      <c r="AC14" s="78"/>
      <c r="AD14" s="157"/>
      <c r="AE14" s="158"/>
      <c r="AF14" s="39"/>
      <c r="AG14" s="78"/>
      <c r="AH14" s="157"/>
      <c r="AI14" s="158"/>
      <c r="AJ14" s="39"/>
      <c r="AK14" s="78"/>
      <c r="AL14" s="157"/>
      <c r="AM14" s="158"/>
      <c r="AN14" s="39"/>
      <c r="AO14" s="78"/>
      <c r="AP14" s="157"/>
      <c r="AQ14" s="158"/>
      <c r="AR14" s="39"/>
      <c r="AS14" s="78"/>
      <c r="AT14" s="157"/>
      <c r="AU14" s="158"/>
      <c r="AV14" s="39"/>
      <c r="AW14" s="78"/>
      <c r="AX14" s="157"/>
      <c r="AY14" s="158"/>
      <c r="AZ14" s="39"/>
      <c r="BA14" s="78"/>
    </row>
    <row r="15" spans="1:53">
      <c r="A15" s="243"/>
      <c r="B15" s="236"/>
      <c r="C15" s="31"/>
      <c r="D15" s="31" t="s">
        <v>30</v>
      </c>
      <c r="E15" s="243">
        <v>1412000034</v>
      </c>
      <c r="F15" s="155" t="e">
        <f>VLOOKUP($D15&amp;F$5&amp;F$4,集計!$D:$R,F$3,0)</f>
        <v>#N/A</v>
      </c>
      <c r="G15" s="156" t="e">
        <f>VLOOKUP($D15&amp;G$5&amp;G$4,集計!$D:$R,G$3,0)</f>
        <v>#N/A</v>
      </c>
      <c r="H15" s="36" t="e">
        <f>VLOOKUP($D15&amp;H$5&amp;H$4,集計!$D:$R,H$3,0)</f>
        <v>#N/A</v>
      </c>
      <c r="I15" s="80" t="e">
        <f>VLOOKUP($D15&amp;I$5&amp;I$4,集計!$D:$R,I$3,0)</f>
        <v>#N/A</v>
      </c>
      <c r="J15" s="155" t="e">
        <f>VLOOKUP($D15&amp;J$5&amp;J$4,集計!$D:$R,J$3,0)</f>
        <v>#N/A</v>
      </c>
      <c r="K15" s="156" t="e">
        <f>VLOOKUP($D15&amp;K$5&amp;K$4,集計!$D:$R,K$3,0)</f>
        <v>#N/A</v>
      </c>
      <c r="L15" s="36" t="e">
        <f>VLOOKUP($D15&amp;L$5&amp;L$4,集計!$D:$R,L$3,0)</f>
        <v>#N/A</v>
      </c>
      <c r="M15" s="80" t="e">
        <f>VLOOKUP($D15&amp;M$5&amp;M$4,集計!$D:$R,M$3,0)</f>
        <v>#N/A</v>
      </c>
      <c r="N15" s="155" t="e">
        <f>VLOOKUP($D15&amp;N$5&amp;N$4,集計!$D:$R,N$3,0)</f>
        <v>#N/A</v>
      </c>
      <c r="O15" s="156" t="e">
        <f>VLOOKUP($D15&amp;O$5&amp;O$4,集計!$D:$R,O$3,0)</f>
        <v>#N/A</v>
      </c>
      <c r="P15" s="36" t="e">
        <f>VLOOKUP($D15&amp;P$5&amp;P$4,集計!$D:$R,P$3,0)</f>
        <v>#N/A</v>
      </c>
      <c r="Q15" s="80" t="e">
        <f>VLOOKUP($D15&amp;Q$5&amp;Q$4,集計!$D:$R,Q$3,0)</f>
        <v>#N/A</v>
      </c>
      <c r="R15" s="155" t="e">
        <f>VLOOKUP($D15&amp;R$5&amp;R$4,集計!$D:$R,R$3,0)</f>
        <v>#N/A</v>
      </c>
      <c r="S15" s="156" t="e">
        <f>VLOOKUP($D15&amp;S$5&amp;S$4,集計!$D:$R,S$3,0)</f>
        <v>#N/A</v>
      </c>
      <c r="T15" s="36" t="e">
        <f>VLOOKUP($D15&amp;T$5&amp;T$4,集計!$D:$R,T$3,0)</f>
        <v>#N/A</v>
      </c>
      <c r="U15" s="80" t="e">
        <f>VLOOKUP($D15&amp;U$5&amp;U$4,集計!$D:$R,U$3,0)</f>
        <v>#N/A</v>
      </c>
      <c r="V15" s="155" t="e">
        <f>VLOOKUP($D15&amp;V$5&amp;V$4,集計!$D:$R,V$3,0)</f>
        <v>#N/A</v>
      </c>
      <c r="W15" s="156" t="e">
        <f>VLOOKUP($D15&amp;W$5&amp;W$4,集計!$D:$R,W$3,0)</f>
        <v>#N/A</v>
      </c>
      <c r="X15" s="36" t="e">
        <f>VLOOKUP($D15&amp;X$5&amp;X$4,集計!$D:$R,X$3,0)</f>
        <v>#N/A</v>
      </c>
      <c r="Y15" s="80" t="e">
        <f>VLOOKUP($D15&amp;Y$5&amp;Y$4,集計!$D:$R,Y$3,0)</f>
        <v>#N/A</v>
      </c>
      <c r="Z15" s="155" t="e">
        <f>VLOOKUP($D15&amp;Z$5&amp;Z$4,集計!$D:$R,Z$3,0)</f>
        <v>#N/A</v>
      </c>
      <c r="AA15" s="156" t="e">
        <f>VLOOKUP($D15&amp;AA$5&amp;AA$4,集計!$D:$R,AA$3,0)</f>
        <v>#N/A</v>
      </c>
      <c r="AB15" s="36" t="e">
        <f>VLOOKUP($D15&amp;AB$5&amp;AB$4,集計!$D:$R,AB$3,0)</f>
        <v>#N/A</v>
      </c>
      <c r="AC15" s="80" t="e">
        <f>VLOOKUP($D15&amp;AC$5&amp;AC$4,集計!$D:$R,AC$3,0)</f>
        <v>#N/A</v>
      </c>
      <c r="AD15" s="155" t="e">
        <f>VLOOKUP($D15&amp;AD$5&amp;AD$4,集計!$D:$R,AD$3,0)</f>
        <v>#N/A</v>
      </c>
      <c r="AE15" s="156" t="e">
        <f>VLOOKUP($D15&amp;AE$5&amp;AE$4,集計!$D:$R,AE$3,0)</f>
        <v>#N/A</v>
      </c>
      <c r="AF15" s="36" t="e">
        <f>VLOOKUP($D15&amp;AF$5&amp;AF$4,集計!$D:$R,AF$3,0)</f>
        <v>#N/A</v>
      </c>
      <c r="AG15" s="80" t="e">
        <f>VLOOKUP($D15&amp;AG$5&amp;AG$4,集計!$D:$R,AG$3,0)</f>
        <v>#N/A</v>
      </c>
      <c r="AH15" s="155" t="e">
        <f>VLOOKUP($D15&amp;AH$5&amp;AH$4,集計!$D:$R,AH$3,0)</f>
        <v>#N/A</v>
      </c>
      <c r="AI15" s="156" t="e">
        <f>VLOOKUP($D15&amp;AI$5&amp;AI$4,集計!$D:$R,AI$3,0)</f>
        <v>#N/A</v>
      </c>
      <c r="AJ15" s="36" t="e">
        <f>VLOOKUP($D15&amp;AJ$5&amp;AJ$4,集計!$D:$R,AJ$3,0)</f>
        <v>#N/A</v>
      </c>
      <c r="AK15" s="80" t="e">
        <f>VLOOKUP($D15&amp;AK$5&amp;AK$4,集計!$D:$R,AK$3,0)</f>
        <v>#N/A</v>
      </c>
      <c r="AL15" s="155" t="e">
        <f>VLOOKUP($D15&amp;AL$5&amp;AL$4,集計!$D:$R,AL$3,0)</f>
        <v>#N/A</v>
      </c>
      <c r="AM15" s="156" t="e">
        <f>VLOOKUP($D15&amp;AM$5&amp;AM$4,集計!$D:$R,AM$3,0)</f>
        <v>#N/A</v>
      </c>
      <c r="AN15" s="36" t="e">
        <f>VLOOKUP($D15&amp;AN$5&amp;AN$4,集計!$D:$R,AN$3,0)</f>
        <v>#N/A</v>
      </c>
      <c r="AO15" s="80" t="e">
        <f>VLOOKUP($D15&amp;AO$5&amp;AO$4,集計!$D:$R,AO$3,0)</f>
        <v>#N/A</v>
      </c>
      <c r="AP15" s="155" t="e">
        <f>VLOOKUP($D15&amp;AP$5&amp;AP$4,集計!$D:$R,AP$3,0)</f>
        <v>#N/A</v>
      </c>
      <c r="AQ15" s="156" t="e">
        <f>VLOOKUP($D15&amp;AQ$5&amp;AQ$4,集計!$D:$R,AQ$3,0)</f>
        <v>#N/A</v>
      </c>
      <c r="AR15" s="36" t="e">
        <f>VLOOKUP($D15&amp;AR$5&amp;AR$4,集計!$D:$R,AR$3,0)</f>
        <v>#N/A</v>
      </c>
      <c r="AS15" s="80" t="e">
        <f>VLOOKUP($D15&amp;AS$5&amp;AS$4,集計!$D:$R,AS$3,0)</f>
        <v>#N/A</v>
      </c>
      <c r="AT15" s="155" t="e">
        <f>VLOOKUP($D15&amp;AT$5&amp;AT$4,集計!$D:$R,AT$3,0)</f>
        <v>#N/A</v>
      </c>
      <c r="AU15" s="156" t="e">
        <f>VLOOKUP($D15&amp;AU$5&amp;AU$4,集計!$D:$R,AU$3,0)</f>
        <v>#N/A</v>
      </c>
      <c r="AV15" s="36" t="e">
        <f>VLOOKUP($D15&amp;AV$5&amp;AV$4,集計!$D:$R,AV$3,0)</f>
        <v>#N/A</v>
      </c>
      <c r="AW15" s="80" t="e">
        <f>VLOOKUP($D15&amp;AW$5&amp;AW$4,集計!$D:$R,AW$3,0)</f>
        <v>#N/A</v>
      </c>
      <c r="AX15" s="155" t="e">
        <f>VLOOKUP($D15&amp;AX$5&amp;AX$4,集計!$D:$R,AX$3,0)</f>
        <v>#N/A</v>
      </c>
      <c r="AY15" s="156" t="e">
        <f>VLOOKUP($D15&amp;AY$5&amp;AY$4,集計!$D:$R,AY$3,0)</f>
        <v>#N/A</v>
      </c>
      <c r="AZ15" s="36" t="e">
        <f>VLOOKUP($D15&amp;AZ$5&amp;AZ$4,集計!$D:$R,AZ$3,0)</f>
        <v>#N/A</v>
      </c>
      <c r="BA15" s="80" t="e">
        <f>VLOOKUP($D15&amp;BA$5&amp;BA$4,集計!$D:$R,BA$3,0)</f>
        <v>#N/A</v>
      </c>
    </row>
    <row r="16" spans="1:53">
      <c r="A16" s="243"/>
      <c r="B16" s="236"/>
      <c r="C16" s="31"/>
      <c r="D16" s="31" t="s">
        <v>31</v>
      </c>
      <c r="E16" s="243">
        <v>1412000048</v>
      </c>
      <c r="F16" s="155" t="e">
        <f>VLOOKUP($D16&amp;F$5&amp;F$4,集計!$D:$R,F$3,0)</f>
        <v>#N/A</v>
      </c>
      <c r="G16" s="156" t="e">
        <f>VLOOKUP($D16&amp;G$5&amp;G$4,集計!$D:$R,G$3,0)</f>
        <v>#N/A</v>
      </c>
      <c r="H16" s="36" t="e">
        <f>VLOOKUP($D16&amp;H$5&amp;H$4,集計!$D:$R,H$3,0)</f>
        <v>#N/A</v>
      </c>
      <c r="I16" s="80" t="e">
        <f>VLOOKUP($D16&amp;I$5&amp;I$4,集計!$D:$R,I$3,0)</f>
        <v>#N/A</v>
      </c>
      <c r="J16" s="155" t="e">
        <f>VLOOKUP($D16&amp;J$5&amp;J$4,集計!$D:$R,J$3,0)</f>
        <v>#N/A</v>
      </c>
      <c r="K16" s="156" t="e">
        <f>VLOOKUP($D16&amp;K$5&amp;K$4,集計!$D:$R,K$3,0)</f>
        <v>#N/A</v>
      </c>
      <c r="L16" s="36" t="e">
        <f>VLOOKUP($D16&amp;L$5&amp;L$4,集計!$D:$R,L$3,0)</f>
        <v>#N/A</v>
      </c>
      <c r="M16" s="80" t="e">
        <f>VLOOKUP($D16&amp;M$5&amp;M$4,集計!$D:$R,M$3,0)</f>
        <v>#N/A</v>
      </c>
      <c r="N16" s="155" t="e">
        <f>VLOOKUP($D16&amp;N$5&amp;N$4,集計!$D:$R,N$3,0)</f>
        <v>#N/A</v>
      </c>
      <c r="O16" s="156" t="e">
        <f>VLOOKUP($D16&amp;O$5&amp;O$4,集計!$D:$R,O$3,0)</f>
        <v>#N/A</v>
      </c>
      <c r="P16" s="36" t="e">
        <f>VLOOKUP($D16&amp;P$5&amp;P$4,集計!$D:$R,P$3,0)</f>
        <v>#N/A</v>
      </c>
      <c r="Q16" s="80" t="e">
        <f>VLOOKUP($D16&amp;Q$5&amp;Q$4,集計!$D:$R,Q$3,0)</f>
        <v>#N/A</v>
      </c>
      <c r="R16" s="155" t="e">
        <f>VLOOKUP($D16&amp;R$5&amp;R$4,集計!$D:$R,R$3,0)</f>
        <v>#N/A</v>
      </c>
      <c r="S16" s="156" t="e">
        <f>VLOOKUP($D16&amp;S$5&amp;S$4,集計!$D:$R,S$3,0)</f>
        <v>#N/A</v>
      </c>
      <c r="T16" s="36" t="e">
        <f>VLOOKUP($D16&amp;T$5&amp;T$4,集計!$D:$R,T$3,0)</f>
        <v>#N/A</v>
      </c>
      <c r="U16" s="80" t="e">
        <f>VLOOKUP($D16&amp;U$5&amp;U$4,集計!$D:$R,U$3,0)</f>
        <v>#N/A</v>
      </c>
      <c r="V16" s="155" t="e">
        <f>VLOOKUP($D16&amp;V$5&amp;V$4,集計!$D:$R,V$3,0)</f>
        <v>#N/A</v>
      </c>
      <c r="W16" s="156" t="e">
        <f>VLOOKUP($D16&amp;W$5&amp;W$4,集計!$D:$R,W$3,0)</f>
        <v>#N/A</v>
      </c>
      <c r="X16" s="36" t="e">
        <f>VLOOKUP($D16&amp;X$5&amp;X$4,集計!$D:$R,X$3,0)</f>
        <v>#N/A</v>
      </c>
      <c r="Y16" s="80" t="e">
        <f>VLOOKUP($D16&amp;Y$5&amp;Y$4,集計!$D:$R,Y$3,0)</f>
        <v>#N/A</v>
      </c>
      <c r="Z16" s="155" t="e">
        <f>VLOOKUP($D16&amp;Z$5&amp;Z$4,集計!$D:$R,Z$3,0)</f>
        <v>#N/A</v>
      </c>
      <c r="AA16" s="156" t="e">
        <f>VLOOKUP($D16&amp;AA$5&amp;AA$4,集計!$D:$R,AA$3,0)</f>
        <v>#N/A</v>
      </c>
      <c r="AB16" s="36" t="e">
        <f>VLOOKUP($D16&amp;AB$5&amp;AB$4,集計!$D:$R,AB$3,0)</f>
        <v>#N/A</v>
      </c>
      <c r="AC16" s="80" t="e">
        <f>VLOOKUP($D16&amp;AC$5&amp;AC$4,集計!$D:$R,AC$3,0)</f>
        <v>#N/A</v>
      </c>
      <c r="AD16" s="155" t="e">
        <f>VLOOKUP($D16&amp;AD$5&amp;AD$4,集計!$D:$R,AD$3,0)</f>
        <v>#N/A</v>
      </c>
      <c r="AE16" s="156" t="e">
        <f>VLOOKUP($D16&amp;AE$5&amp;AE$4,集計!$D:$R,AE$3,0)</f>
        <v>#N/A</v>
      </c>
      <c r="AF16" s="36" t="e">
        <f>VLOOKUP($D16&amp;AF$5&amp;AF$4,集計!$D:$R,AF$3,0)</f>
        <v>#N/A</v>
      </c>
      <c r="AG16" s="80" t="e">
        <f>VLOOKUP($D16&amp;AG$5&amp;AG$4,集計!$D:$R,AG$3,0)</f>
        <v>#N/A</v>
      </c>
      <c r="AH16" s="155" t="e">
        <f>VLOOKUP($D16&amp;AH$5&amp;AH$4,集計!$D:$R,AH$3,0)</f>
        <v>#N/A</v>
      </c>
      <c r="AI16" s="156" t="e">
        <f>VLOOKUP($D16&amp;AI$5&amp;AI$4,集計!$D:$R,AI$3,0)</f>
        <v>#N/A</v>
      </c>
      <c r="AJ16" s="36" t="e">
        <f>VLOOKUP($D16&amp;AJ$5&amp;AJ$4,集計!$D:$R,AJ$3,0)</f>
        <v>#N/A</v>
      </c>
      <c r="AK16" s="80" t="e">
        <f>VLOOKUP($D16&amp;AK$5&amp;AK$4,集計!$D:$R,AK$3,0)</f>
        <v>#N/A</v>
      </c>
      <c r="AL16" s="155" t="e">
        <f>VLOOKUP($D16&amp;AL$5&amp;AL$4,集計!$D:$R,AL$3,0)</f>
        <v>#N/A</v>
      </c>
      <c r="AM16" s="156" t="e">
        <f>VLOOKUP($D16&amp;AM$5&amp;AM$4,集計!$D:$R,AM$3,0)</f>
        <v>#N/A</v>
      </c>
      <c r="AN16" s="36" t="e">
        <f>VLOOKUP($D16&amp;AN$5&amp;AN$4,集計!$D:$R,AN$3,0)</f>
        <v>#N/A</v>
      </c>
      <c r="AO16" s="80" t="e">
        <f>VLOOKUP($D16&amp;AO$5&amp;AO$4,集計!$D:$R,AO$3,0)</f>
        <v>#N/A</v>
      </c>
      <c r="AP16" s="155" t="e">
        <f>VLOOKUP($D16&amp;AP$5&amp;AP$4,集計!$D:$R,AP$3,0)</f>
        <v>#N/A</v>
      </c>
      <c r="AQ16" s="156" t="e">
        <f>VLOOKUP($D16&amp;AQ$5&amp;AQ$4,集計!$D:$R,AQ$3,0)</f>
        <v>#N/A</v>
      </c>
      <c r="AR16" s="36" t="e">
        <f>VLOOKUP($D16&amp;AR$5&amp;AR$4,集計!$D:$R,AR$3,0)</f>
        <v>#N/A</v>
      </c>
      <c r="AS16" s="80" t="e">
        <f>VLOOKUP($D16&amp;AS$5&amp;AS$4,集計!$D:$R,AS$3,0)</f>
        <v>#N/A</v>
      </c>
      <c r="AT16" s="155" t="e">
        <f>VLOOKUP($D16&amp;AT$5&amp;AT$4,集計!$D:$R,AT$3,0)</f>
        <v>#N/A</v>
      </c>
      <c r="AU16" s="156" t="e">
        <f>VLOOKUP($D16&amp;AU$5&amp;AU$4,集計!$D:$R,AU$3,0)</f>
        <v>#N/A</v>
      </c>
      <c r="AV16" s="36" t="e">
        <f>VLOOKUP($D16&amp;AV$5&amp;AV$4,集計!$D:$R,AV$3,0)</f>
        <v>#N/A</v>
      </c>
      <c r="AW16" s="80" t="e">
        <f>VLOOKUP($D16&amp;AW$5&amp;AW$4,集計!$D:$R,AW$3,0)</f>
        <v>#N/A</v>
      </c>
      <c r="AX16" s="155" t="e">
        <f>VLOOKUP($D16&amp;AX$5&amp;AX$4,集計!$D:$R,AX$3,0)</f>
        <v>#N/A</v>
      </c>
      <c r="AY16" s="156" t="e">
        <f>VLOOKUP($D16&amp;AY$5&amp;AY$4,集計!$D:$R,AY$3,0)</f>
        <v>#N/A</v>
      </c>
      <c r="AZ16" s="36" t="e">
        <f>VLOOKUP($D16&amp;AZ$5&amp;AZ$4,集計!$D:$R,AZ$3,0)</f>
        <v>#N/A</v>
      </c>
      <c r="BA16" s="80" t="e">
        <f>VLOOKUP($D16&amp;BA$5&amp;BA$4,集計!$D:$R,BA$3,0)</f>
        <v>#N/A</v>
      </c>
    </row>
    <row r="17" spans="1:53">
      <c r="A17" s="250"/>
      <c r="B17" s="238"/>
      <c r="C17" s="118"/>
      <c r="D17" s="118"/>
      <c r="E17" s="250">
        <v>1412000063</v>
      </c>
      <c r="F17" s="155"/>
      <c r="G17" s="156"/>
      <c r="H17" s="36"/>
      <c r="I17" s="80"/>
      <c r="J17" s="155"/>
      <c r="K17" s="156"/>
      <c r="L17" s="36"/>
      <c r="M17" s="80"/>
      <c r="N17" s="155"/>
      <c r="O17" s="156"/>
      <c r="P17" s="36"/>
      <c r="Q17" s="80"/>
      <c r="R17" s="155"/>
      <c r="S17" s="156"/>
      <c r="T17" s="36"/>
      <c r="U17" s="80"/>
      <c r="V17" s="155"/>
      <c r="W17" s="156"/>
      <c r="X17" s="36"/>
      <c r="Y17" s="80"/>
      <c r="Z17" s="155"/>
      <c r="AA17" s="156"/>
      <c r="AB17" s="36"/>
      <c r="AC17" s="80"/>
      <c r="AD17" s="155"/>
      <c r="AE17" s="156"/>
      <c r="AF17" s="36"/>
      <c r="AG17" s="80"/>
      <c r="AH17" s="155"/>
      <c r="AI17" s="156"/>
      <c r="AJ17" s="36"/>
      <c r="AK17" s="80"/>
      <c r="AL17" s="155"/>
      <c r="AM17" s="156"/>
      <c r="AN17" s="36"/>
      <c r="AO17" s="80"/>
      <c r="AP17" s="155"/>
      <c r="AQ17" s="156"/>
      <c r="AR17" s="36"/>
      <c r="AS17" s="80"/>
      <c r="AT17" s="155"/>
      <c r="AU17" s="156"/>
      <c r="AV17" s="36"/>
      <c r="AW17" s="80"/>
      <c r="AX17" s="155"/>
      <c r="AY17" s="156"/>
      <c r="AZ17" s="36"/>
      <c r="BA17" s="80"/>
    </row>
    <row r="18" spans="1:53">
      <c r="A18" s="244"/>
      <c r="B18" s="240"/>
      <c r="C18" s="47"/>
      <c r="D18" s="47" t="s">
        <v>117</v>
      </c>
      <c r="E18" s="244">
        <v>1412000055</v>
      </c>
      <c r="F18" s="155" t="e">
        <f>VLOOKUP($D18&amp;F$5&amp;F$4,集計!$D:$R,F$3,0)</f>
        <v>#N/A</v>
      </c>
      <c r="G18" s="156" t="e">
        <f>VLOOKUP($D18&amp;G$5&amp;G$4,集計!$D:$R,G$3,0)</f>
        <v>#N/A</v>
      </c>
      <c r="H18" s="36" t="e">
        <f>VLOOKUP($D18&amp;H$5&amp;H$4,集計!$D:$R,H$3,0)</f>
        <v>#N/A</v>
      </c>
      <c r="I18" s="80" t="e">
        <f>VLOOKUP($D18&amp;I$5&amp;I$4,集計!$D:$R,I$3,0)</f>
        <v>#N/A</v>
      </c>
      <c r="J18" s="155" t="e">
        <f>VLOOKUP($D18&amp;J$5&amp;J$4,集計!$D:$R,J$3,0)</f>
        <v>#N/A</v>
      </c>
      <c r="K18" s="156" t="e">
        <f>VLOOKUP($D18&amp;K$5&amp;K$4,集計!$D:$R,K$3,0)</f>
        <v>#N/A</v>
      </c>
      <c r="L18" s="36" t="e">
        <f>VLOOKUP($D18&amp;L$5&amp;L$4,集計!$D:$R,L$3,0)</f>
        <v>#N/A</v>
      </c>
      <c r="M18" s="80" t="e">
        <f>VLOOKUP($D18&amp;M$5&amp;M$4,集計!$D:$R,M$3,0)</f>
        <v>#N/A</v>
      </c>
      <c r="N18" s="155" t="e">
        <f>VLOOKUP($D18&amp;N$5&amp;N$4,集計!$D:$R,N$3,0)</f>
        <v>#N/A</v>
      </c>
      <c r="O18" s="156" t="e">
        <f>VLOOKUP($D18&amp;O$5&amp;O$4,集計!$D:$R,O$3,0)</f>
        <v>#N/A</v>
      </c>
      <c r="P18" s="36" t="e">
        <f>VLOOKUP($D18&amp;P$5&amp;P$4,集計!$D:$R,P$3,0)</f>
        <v>#N/A</v>
      </c>
      <c r="Q18" s="80" t="e">
        <f>VLOOKUP($D18&amp;Q$5&amp;Q$4,集計!$D:$R,Q$3,0)</f>
        <v>#N/A</v>
      </c>
      <c r="R18" s="155" t="e">
        <f>VLOOKUP($D18&amp;R$5&amp;R$4,集計!$D:$R,R$3,0)</f>
        <v>#N/A</v>
      </c>
      <c r="S18" s="156" t="e">
        <f>VLOOKUP($D18&amp;S$5&amp;S$4,集計!$D:$R,S$3,0)</f>
        <v>#N/A</v>
      </c>
      <c r="T18" s="36" t="e">
        <f>VLOOKUP($D18&amp;T$5&amp;T$4,集計!$D:$R,T$3,0)</f>
        <v>#N/A</v>
      </c>
      <c r="U18" s="80" t="e">
        <f>VLOOKUP($D18&amp;U$5&amp;U$4,集計!$D:$R,U$3,0)</f>
        <v>#N/A</v>
      </c>
      <c r="V18" s="155" t="e">
        <f>VLOOKUP($D18&amp;V$5&amp;V$4,集計!$D:$R,V$3,0)</f>
        <v>#N/A</v>
      </c>
      <c r="W18" s="156" t="e">
        <f>VLOOKUP($D18&amp;W$5&amp;W$4,集計!$D:$R,W$3,0)</f>
        <v>#N/A</v>
      </c>
      <c r="X18" s="36" t="e">
        <f>VLOOKUP($D18&amp;X$5&amp;X$4,集計!$D:$R,X$3,0)</f>
        <v>#N/A</v>
      </c>
      <c r="Y18" s="80" t="e">
        <f>VLOOKUP($D18&amp;Y$5&amp;Y$4,集計!$D:$R,Y$3,0)</f>
        <v>#N/A</v>
      </c>
      <c r="Z18" s="155" t="e">
        <f>VLOOKUP($D18&amp;Z$5&amp;Z$4,集計!$D:$R,Z$3,0)</f>
        <v>#N/A</v>
      </c>
      <c r="AA18" s="156" t="e">
        <f>VLOOKUP($D18&amp;AA$5&amp;AA$4,集計!$D:$R,AA$3,0)</f>
        <v>#N/A</v>
      </c>
      <c r="AB18" s="36" t="e">
        <f>VLOOKUP($D18&amp;AB$5&amp;AB$4,集計!$D:$R,AB$3,0)</f>
        <v>#N/A</v>
      </c>
      <c r="AC18" s="80" t="e">
        <f>VLOOKUP($D18&amp;AC$5&amp;AC$4,集計!$D:$R,AC$3,0)</f>
        <v>#N/A</v>
      </c>
      <c r="AD18" s="155" t="e">
        <f>VLOOKUP($D18&amp;AD$5&amp;AD$4,集計!$D:$R,AD$3,0)</f>
        <v>#N/A</v>
      </c>
      <c r="AE18" s="156" t="e">
        <f>VLOOKUP($D18&amp;AE$5&amp;AE$4,集計!$D:$R,AE$3,0)</f>
        <v>#N/A</v>
      </c>
      <c r="AF18" s="36" t="e">
        <f>VLOOKUP($D18&amp;AF$5&amp;AF$4,集計!$D:$R,AF$3,0)</f>
        <v>#N/A</v>
      </c>
      <c r="AG18" s="80" t="e">
        <f>VLOOKUP($D18&amp;AG$5&amp;AG$4,集計!$D:$R,AG$3,0)</f>
        <v>#N/A</v>
      </c>
      <c r="AH18" s="155" t="e">
        <f>VLOOKUP($D18&amp;AH$5&amp;AH$4,集計!$D:$R,AH$3,0)</f>
        <v>#N/A</v>
      </c>
      <c r="AI18" s="156" t="e">
        <f>VLOOKUP($D18&amp;AI$5&amp;AI$4,集計!$D:$R,AI$3,0)</f>
        <v>#N/A</v>
      </c>
      <c r="AJ18" s="36" t="e">
        <f>VLOOKUP($D18&amp;AJ$5&amp;AJ$4,集計!$D:$R,AJ$3,0)</f>
        <v>#N/A</v>
      </c>
      <c r="AK18" s="80" t="e">
        <f>VLOOKUP($D18&amp;AK$5&amp;AK$4,集計!$D:$R,AK$3,0)</f>
        <v>#N/A</v>
      </c>
      <c r="AL18" s="155" t="e">
        <f>VLOOKUP($D18&amp;AL$5&amp;AL$4,集計!$D:$R,AL$3,0)</f>
        <v>#N/A</v>
      </c>
      <c r="AM18" s="156" t="e">
        <f>VLOOKUP($D18&amp;AM$5&amp;AM$4,集計!$D:$R,AM$3,0)</f>
        <v>#N/A</v>
      </c>
      <c r="AN18" s="36" t="e">
        <f>VLOOKUP($D18&amp;AN$5&amp;AN$4,集計!$D:$R,AN$3,0)</f>
        <v>#N/A</v>
      </c>
      <c r="AO18" s="80" t="e">
        <f>VLOOKUP($D18&amp;AO$5&amp;AO$4,集計!$D:$R,AO$3,0)</f>
        <v>#N/A</v>
      </c>
      <c r="AP18" s="155" t="e">
        <f>VLOOKUP($D18&amp;AP$5&amp;AP$4,集計!$D:$R,AP$3,0)</f>
        <v>#N/A</v>
      </c>
      <c r="AQ18" s="156" t="e">
        <f>VLOOKUP($D18&amp;AQ$5&amp;AQ$4,集計!$D:$R,AQ$3,0)</f>
        <v>#N/A</v>
      </c>
      <c r="AR18" s="36" t="e">
        <f>VLOOKUP($D18&amp;AR$5&amp;AR$4,集計!$D:$R,AR$3,0)</f>
        <v>#N/A</v>
      </c>
      <c r="AS18" s="80" t="e">
        <f>VLOOKUP($D18&amp;AS$5&amp;AS$4,集計!$D:$R,AS$3,0)</f>
        <v>#N/A</v>
      </c>
      <c r="AT18" s="155" t="e">
        <f>VLOOKUP($D18&amp;AT$5&amp;AT$4,集計!$D:$R,AT$3,0)</f>
        <v>#N/A</v>
      </c>
      <c r="AU18" s="156" t="e">
        <f>VLOOKUP($D18&amp;AU$5&amp;AU$4,集計!$D:$R,AU$3,0)</f>
        <v>#N/A</v>
      </c>
      <c r="AV18" s="36" t="e">
        <f>VLOOKUP($D18&amp;AV$5&amp;AV$4,集計!$D:$R,AV$3,0)</f>
        <v>#N/A</v>
      </c>
      <c r="AW18" s="80" t="e">
        <f>VLOOKUP($D18&amp;AW$5&amp;AW$4,集計!$D:$R,AW$3,0)</f>
        <v>#N/A</v>
      </c>
      <c r="AX18" s="155" t="e">
        <f>VLOOKUP($D18&amp;AX$5&amp;AX$4,集計!$D:$R,AX$3,0)</f>
        <v>#N/A</v>
      </c>
      <c r="AY18" s="156" t="e">
        <f>VLOOKUP($D18&amp;AY$5&amp;AY$4,集計!$D:$R,AY$3,0)</f>
        <v>#N/A</v>
      </c>
      <c r="AZ18" s="36" t="e">
        <f>VLOOKUP($D18&amp;AZ$5&amp;AZ$4,集計!$D:$R,AZ$3,0)</f>
        <v>#N/A</v>
      </c>
      <c r="BA18" s="80" t="e">
        <f>VLOOKUP($D18&amp;BA$5&amp;BA$4,集計!$D:$R,BA$3,0)</f>
        <v>#N/A</v>
      </c>
    </row>
    <row r="19" spans="1:53" s="242" customFormat="1">
      <c r="A19" s="241" t="s">
        <v>75</v>
      </c>
      <c r="B19" s="241">
        <v>6221</v>
      </c>
      <c r="C19" s="55" t="s">
        <v>37</v>
      </c>
      <c r="D19" s="55"/>
      <c r="E19" s="251">
        <v>1412000043</v>
      </c>
      <c r="F19" s="157"/>
      <c r="G19" s="158"/>
      <c r="H19" s="39"/>
      <c r="I19" s="78"/>
      <c r="J19" s="157"/>
      <c r="K19" s="158"/>
      <c r="L19" s="39"/>
      <c r="M19" s="78"/>
      <c r="N19" s="157"/>
      <c r="O19" s="158"/>
      <c r="P19" s="39"/>
      <c r="Q19" s="78"/>
      <c r="R19" s="157"/>
      <c r="S19" s="158"/>
      <c r="T19" s="39"/>
      <c r="U19" s="78"/>
      <c r="V19" s="157"/>
      <c r="W19" s="158"/>
      <c r="X19" s="39"/>
      <c r="Y19" s="78"/>
      <c r="Z19" s="157"/>
      <c r="AA19" s="158"/>
      <c r="AB19" s="39"/>
      <c r="AC19" s="78"/>
      <c r="AD19" s="157"/>
      <c r="AE19" s="158"/>
      <c r="AF19" s="39"/>
      <c r="AG19" s="78"/>
      <c r="AH19" s="157"/>
      <c r="AI19" s="158"/>
      <c r="AJ19" s="39"/>
      <c r="AK19" s="78"/>
      <c r="AL19" s="157"/>
      <c r="AM19" s="158"/>
      <c r="AN19" s="39"/>
      <c r="AO19" s="78"/>
      <c r="AP19" s="157"/>
      <c r="AQ19" s="158"/>
      <c r="AR19" s="39"/>
      <c r="AS19" s="78"/>
      <c r="AT19" s="157"/>
      <c r="AU19" s="158"/>
      <c r="AV19" s="39"/>
      <c r="AW19" s="78"/>
      <c r="AX19" s="157"/>
      <c r="AY19" s="158"/>
      <c r="AZ19" s="39"/>
      <c r="BA19" s="78"/>
    </row>
    <row r="20" spans="1:53">
      <c r="A20" s="243"/>
      <c r="B20" s="236"/>
      <c r="C20" s="31"/>
      <c r="D20" s="31" t="s">
        <v>36</v>
      </c>
      <c r="E20" s="243">
        <v>1412000056</v>
      </c>
      <c r="F20" s="155" t="e">
        <f>VLOOKUP($D20&amp;F$5&amp;F$4,集計!$D:$R,F$3,0)</f>
        <v>#N/A</v>
      </c>
      <c r="G20" s="156" t="e">
        <f>VLOOKUP($D20&amp;G$5&amp;G$4,集計!$D:$R,G$3,0)</f>
        <v>#N/A</v>
      </c>
      <c r="H20" s="36" t="e">
        <f>VLOOKUP($D20&amp;H$5&amp;H$4,集計!$D:$R,H$3,0)</f>
        <v>#N/A</v>
      </c>
      <c r="I20" s="80" t="e">
        <f>VLOOKUP($D20&amp;I$5&amp;I$4,集計!$D:$R,I$3,0)</f>
        <v>#N/A</v>
      </c>
      <c r="J20" s="155" t="e">
        <f>VLOOKUP($D20&amp;J$5&amp;J$4,集計!$D:$R,J$3,0)</f>
        <v>#N/A</v>
      </c>
      <c r="K20" s="156" t="e">
        <f>VLOOKUP($D20&amp;K$5&amp;K$4,集計!$D:$R,K$3,0)</f>
        <v>#N/A</v>
      </c>
      <c r="L20" s="36" t="e">
        <f>VLOOKUP($D20&amp;L$5&amp;L$4,集計!$D:$R,L$3,0)</f>
        <v>#N/A</v>
      </c>
      <c r="M20" s="80" t="e">
        <f>VLOOKUP($D20&amp;M$5&amp;M$4,集計!$D:$R,M$3,0)</f>
        <v>#N/A</v>
      </c>
      <c r="N20" s="155" t="e">
        <f>VLOOKUP($D20&amp;N$5&amp;N$4,集計!$D:$R,N$3,0)</f>
        <v>#N/A</v>
      </c>
      <c r="O20" s="156" t="e">
        <f>VLOOKUP($D20&amp;O$5&amp;O$4,集計!$D:$R,O$3,0)</f>
        <v>#N/A</v>
      </c>
      <c r="P20" s="36" t="e">
        <f>VLOOKUP($D20&amp;P$5&amp;P$4,集計!$D:$R,P$3,0)</f>
        <v>#N/A</v>
      </c>
      <c r="Q20" s="80" t="e">
        <f>VLOOKUP($D20&amp;Q$5&amp;Q$4,集計!$D:$R,Q$3,0)</f>
        <v>#N/A</v>
      </c>
      <c r="R20" s="155" t="e">
        <f>VLOOKUP($D20&amp;R$5&amp;R$4,集計!$D:$R,R$3,0)</f>
        <v>#N/A</v>
      </c>
      <c r="S20" s="156" t="e">
        <f>VLOOKUP($D20&amp;S$5&amp;S$4,集計!$D:$R,S$3,0)</f>
        <v>#N/A</v>
      </c>
      <c r="T20" s="36" t="e">
        <f>VLOOKUP($D20&amp;T$5&amp;T$4,集計!$D:$R,T$3,0)</f>
        <v>#N/A</v>
      </c>
      <c r="U20" s="80" t="e">
        <f>VLOOKUP($D20&amp;U$5&amp;U$4,集計!$D:$R,U$3,0)</f>
        <v>#N/A</v>
      </c>
      <c r="V20" s="155" t="e">
        <f>VLOOKUP($D20&amp;V$5&amp;V$4,集計!$D:$R,V$3,0)</f>
        <v>#N/A</v>
      </c>
      <c r="W20" s="156" t="e">
        <f>VLOOKUP($D20&amp;W$5&amp;W$4,集計!$D:$R,W$3,0)</f>
        <v>#N/A</v>
      </c>
      <c r="X20" s="36" t="e">
        <f>VLOOKUP($D20&amp;X$5&amp;X$4,集計!$D:$R,X$3,0)</f>
        <v>#N/A</v>
      </c>
      <c r="Y20" s="80" t="e">
        <f>VLOOKUP($D20&amp;Y$5&amp;Y$4,集計!$D:$R,Y$3,0)</f>
        <v>#N/A</v>
      </c>
      <c r="Z20" s="155" t="e">
        <f>VLOOKUP($D20&amp;Z$5&amp;Z$4,集計!$D:$R,Z$3,0)</f>
        <v>#N/A</v>
      </c>
      <c r="AA20" s="156" t="e">
        <f>VLOOKUP($D20&amp;AA$5&amp;AA$4,集計!$D:$R,AA$3,0)</f>
        <v>#N/A</v>
      </c>
      <c r="AB20" s="36" t="e">
        <f>VLOOKUP($D20&amp;AB$5&amp;AB$4,集計!$D:$R,AB$3,0)</f>
        <v>#N/A</v>
      </c>
      <c r="AC20" s="80" t="e">
        <f>VLOOKUP($D20&amp;AC$5&amp;AC$4,集計!$D:$R,AC$3,0)</f>
        <v>#N/A</v>
      </c>
      <c r="AD20" s="155" t="e">
        <f>VLOOKUP($D20&amp;AD$5&amp;AD$4,集計!$D:$R,AD$3,0)</f>
        <v>#N/A</v>
      </c>
      <c r="AE20" s="156" t="e">
        <f>VLOOKUP($D20&amp;AE$5&amp;AE$4,集計!$D:$R,AE$3,0)</f>
        <v>#N/A</v>
      </c>
      <c r="AF20" s="36" t="e">
        <f>VLOOKUP($D20&amp;AF$5&amp;AF$4,集計!$D:$R,AF$3,0)</f>
        <v>#N/A</v>
      </c>
      <c r="AG20" s="80" t="e">
        <f>VLOOKUP($D20&amp;AG$5&amp;AG$4,集計!$D:$R,AG$3,0)</f>
        <v>#N/A</v>
      </c>
      <c r="AH20" s="155" t="e">
        <f>VLOOKUP($D20&amp;AH$5&amp;AH$4,集計!$D:$R,AH$3,0)</f>
        <v>#N/A</v>
      </c>
      <c r="AI20" s="156" t="e">
        <f>VLOOKUP($D20&amp;AI$5&amp;AI$4,集計!$D:$R,AI$3,0)</f>
        <v>#N/A</v>
      </c>
      <c r="AJ20" s="36" t="e">
        <f>VLOOKUP($D20&amp;AJ$5&amp;AJ$4,集計!$D:$R,AJ$3,0)</f>
        <v>#N/A</v>
      </c>
      <c r="AK20" s="80" t="e">
        <f>VLOOKUP($D20&amp;AK$5&amp;AK$4,集計!$D:$R,AK$3,0)</f>
        <v>#N/A</v>
      </c>
      <c r="AL20" s="155" t="e">
        <f>VLOOKUP($D20&amp;AL$5&amp;AL$4,集計!$D:$R,AL$3,0)</f>
        <v>#N/A</v>
      </c>
      <c r="AM20" s="156" t="e">
        <f>VLOOKUP($D20&amp;AM$5&amp;AM$4,集計!$D:$R,AM$3,0)</f>
        <v>#N/A</v>
      </c>
      <c r="AN20" s="36" t="e">
        <f>VLOOKUP($D20&amp;AN$5&amp;AN$4,集計!$D:$R,AN$3,0)</f>
        <v>#N/A</v>
      </c>
      <c r="AO20" s="80" t="e">
        <f>VLOOKUP($D20&amp;AO$5&amp;AO$4,集計!$D:$R,AO$3,0)</f>
        <v>#N/A</v>
      </c>
      <c r="AP20" s="155" t="e">
        <f>VLOOKUP($D20&amp;AP$5&amp;AP$4,集計!$D:$R,AP$3,0)</f>
        <v>#N/A</v>
      </c>
      <c r="AQ20" s="156" t="e">
        <f>VLOOKUP($D20&amp;AQ$5&amp;AQ$4,集計!$D:$R,AQ$3,0)</f>
        <v>#N/A</v>
      </c>
      <c r="AR20" s="36" t="e">
        <f>VLOOKUP($D20&amp;AR$5&amp;AR$4,集計!$D:$R,AR$3,0)</f>
        <v>#N/A</v>
      </c>
      <c r="AS20" s="80" t="e">
        <f>VLOOKUP($D20&amp;AS$5&amp;AS$4,集計!$D:$R,AS$3,0)</f>
        <v>#N/A</v>
      </c>
      <c r="AT20" s="155" t="e">
        <f>VLOOKUP($D20&amp;AT$5&amp;AT$4,集計!$D:$R,AT$3,0)</f>
        <v>#N/A</v>
      </c>
      <c r="AU20" s="156" t="e">
        <f>VLOOKUP($D20&amp;AU$5&amp;AU$4,集計!$D:$R,AU$3,0)</f>
        <v>#N/A</v>
      </c>
      <c r="AV20" s="36" t="e">
        <f>VLOOKUP($D20&amp;AV$5&amp;AV$4,集計!$D:$R,AV$3,0)</f>
        <v>#N/A</v>
      </c>
      <c r="AW20" s="80" t="e">
        <f>VLOOKUP($D20&amp;AW$5&amp;AW$4,集計!$D:$R,AW$3,0)</f>
        <v>#N/A</v>
      </c>
      <c r="AX20" s="155" t="e">
        <f>VLOOKUP($D20&amp;AX$5&amp;AX$4,集計!$D:$R,AX$3,0)</f>
        <v>#N/A</v>
      </c>
      <c r="AY20" s="156" t="e">
        <f>VLOOKUP($D20&amp;AY$5&amp;AY$4,集計!$D:$R,AY$3,0)</f>
        <v>#N/A</v>
      </c>
      <c r="AZ20" s="36" t="e">
        <f>VLOOKUP($D20&amp;AZ$5&amp;AZ$4,集計!$D:$R,AZ$3,0)</f>
        <v>#N/A</v>
      </c>
      <c r="BA20" s="80" t="e">
        <f>VLOOKUP($D20&amp;BA$5&amp;BA$4,集計!$D:$R,BA$3,0)</f>
        <v>#N/A</v>
      </c>
    </row>
    <row r="21" spans="1:53">
      <c r="A21" s="250"/>
      <c r="B21" s="238"/>
      <c r="C21" s="118"/>
      <c r="D21" s="118"/>
      <c r="E21" s="250">
        <v>1412000044</v>
      </c>
      <c r="F21" s="257"/>
      <c r="G21" s="258"/>
      <c r="H21" s="259"/>
      <c r="I21" s="260"/>
      <c r="J21" s="257"/>
      <c r="K21" s="258"/>
      <c r="L21" s="259"/>
      <c r="M21" s="260"/>
      <c r="N21" s="257"/>
      <c r="O21" s="258"/>
      <c r="P21" s="259"/>
      <c r="Q21" s="260"/>
      <c r="R21" s="257"/>
      <c r="S21" s="258"/>
      <c r="T21" s="259"/>
      <c r="U21" s="260"/>
      <c r="V21" s="257"/>
      <c r="W21" s="258"/>
      <c r="X21" s="259"/>
      <c r="Y21" s="260"/>
      <c r="Z21" s="257"/>
      <c r="AA21" s="258"/>
      <c r="AB21" s="259"/>
      <c r="AC21" s="260"/>
      <c r="AD21" s="257"/>
      <c r="AE21" s="258"/>
      <c r="AF21" s="259"/>
      <c r="AG21" s="260"/>
      <c r="AH21" s="257"/>
      <c r="AI21" s="258"/>
      <c r="AJ21" s="259"/>
      <c r="AK21" s="260"/>
      <c r="AL21" s="257"/>
      <c r="AM21" s="258"/>
      <c r="AN21" s="259"/>
      <c r="AO21" s="260"/>
      <c r="AP21" s="257"/>
      <c r="AQ21" s="258"/>
      <c r="AR21" s="259"/>
      <c r="AS21" s="260"/>
      <c r="AT21" s="257"/>
      <c r="AU21" s="258"/>
      <c r="AV21" s="259"/>
      <c r="AW21" s="260"/>
      <c r="AX21" s="257"/>
      <c r="AY21" s="258"/>
      <c r="AZ21" s="259"/>
      <c r="BA21" s="260"/>
    </row>
    <row r="22" spans="1:53">
      <c r="A22" s="250"/>
      <c r="B22" s="238"/>
      <c r="C22" s="118"/>
      <c r="D22" s="118"/>
      <c r="E22" s="250">
        <v>1412000087</v>
      </c>
      <c r="F22" s="257"/>
      <c r="G22" s="258"/>
      <c r="H22" s="259"/>
      <c r="I22" s="260"/>
      <c r="J22" s="257"/>
      <c r="K22" s="258"/>
      <c r="L22" s="259"/>
      <c r="M22" s="260"/>
      <c r="N22" s="257"/>
      <c r="O22" s="258"/>
      <c r="P22" s="259"/>
      <c r="Q22" s="260"/>
      <c r="R22" s="257"/>
      <c r="S22" s="258"/>
      <c r="T22" s="259"/>
      <c r="U22" s="260"/>
      <c r="V22" s="257"/>
      <c r="W22" s="258"/>
      <c r="X22" s="259"/>
      <c r="Y22" s="260"/>
      <c r="Z22" s="257"/>
      <c r="AA22" s="258"/>
      <c r="AB22" s="259"/>
      <c r="AC22" s="260"/>
      <c r="AD22" s="257"/>
      <c r="AE22" s="258"/>
      <c r="AF22" s="259"/>
      <c r="AG22" s="260"/>
      <c r="AH22" s="257"/>
      <c r="AI22" s="258"/>
      <c r="AJ22" s="259"/>
      <c r="AK22" s="260"/>
      <c r="AL22" s="257"/>
      <c r="AM22" s="258"/>
      <c r="AN22" s="259"/>
      <c r="AO22" s="260"/>
      <c r="AP22" s="257"/>
      <c r="AQ22" s="258"/>
      <c r="AR22" s="259"/>
      <c r="AS22" s="260"/>
      <c r="AT22" s="257"/>
      <c r="AU22" s="258"/>
      <c r="AV22" s="259"/>
      <c r="AW22" s="260"/>
      <c r="AX22" s="257"/>
      <c r="AY22" s="258"/>
      <c r="AZ22" s="259"/>
      <c r="BA22" s="260"/>
    </row>
    <row r="23" spans="1:53">
      <c r="A23" s="250"/>
      <c r="B23" s="238"/>
      <c r="C23" s="118"/>
      <c r="D23" s="118"/>
      <c r="E23" s="250">
        <v>1412000088</v>
      </c>
      <c r="F23" s="257"/>
      <c r="G23" s="258"/>
      <c r="H23" s="259"/>
      <c r="I23" s="260"/>
      <c r="J23" s="257"/>
      <c r="K23" s="258"/>
      <c r="L23" s="259"/>
      <c r="M23" s="260"/>
      <c r="N23" s="257"/>
      <c r="O23" s="258"/>
      <c r="P23" s="259"/>
      <c r="Q23" s="260"/>
      <c r="R23" s="257"/>
      <c r="S23" s="258"/>
      <c r="T23" s="259"/>
      <c r="U23" s="260"/>
      <c r="V23" s="257"/>
      <c r="W23" s="258"/>
      <c r="X23" s="259"/>
      <c r="Y23" s="260"/>
      <c r="Z23" s="257"/>
      <c r="AA23" s="258"/>
      <c r="AB23" s="259"/>
      <c r="AC23" s="260"/>
      <c r="AD23" s="257"/>
      <c r="AE23" s="258"/>
      <c r="AF23" s="259"/>
      <c r="AG23" s="260"/>
      <c r="AH23" s="257"/>
      <c r="AI23" s="258"/>
      <c r="AJ23" s="259"/>
      <c r="AK23" s="260"/>
      <c r="AL23" s="257"/>
      <c r="AM23" s="258"/>
      <c r="AN23" s="259"/>
      <c r="AO23" s="260"/>
      <c r="AP23" s="257"/>
      <c r="AQ23" s="258"/>
      <c r="AR23" s="259"/>
      <c r="AS23" s="260"/>
      <c r="AT23" s="257"/>
      <c r="AU23" s="258"/>
      <c r="AV23" s="259"/>
      <c r="AW23" s="260"/>
      <c r="AX23" s="257"/>
      <c r="AY23" s="258"/>
      <c r="AZ23" s="259"/>
      <c r="BA23" s="260"/>
    </row>
    <row r="24" spans="1:53">
      <c r="A24" s="244"/>
      <c r="B24" s="240"/>
      <c r="C24" s="47"/>
      <c r="D24" s="47" t="s">
        <v>32</v>
      </c>
      <c r="E24" s="244">
        <v>1412000067</v>
      </c>
      <c r="F24" s="159" t="e">
        <f>VLOOKUP($D24&amp;F$5&amp;F$4,集計!$D:$R,F$3,0)</f>
        <v>#N/A</v>
      </c>
      <c r="G24" s="160" t="e">
        <f>VLOOKUP($D24&amp;G$5&amp;G$4,集計!$D:$R,G$3,0)</f>
        <v>#N/A</v>
      </c>
      <c r="H24" s="50" t="e">
        <f>VLOOKUP($D24&amp;H$5&amp;H$4,集計!$D:$R,H$3,0)</f>
        <v>#N/A</v>
      </c>
      <c r="I24" s="82" t="e">
        <f>VLOOKUP($D24&amp;I$5&amp;I$4,集計!$D:$R,I$3,0)</f>
        <v>#N/A</v>
      </c>
      <c r="J24" s="159" t="e">
        <f>VLOOKUP($D24&amp;J$5&amp;J$4,集計!$D:$R,J$3,0)</f>
        <v>#N/A</v>
      </c>
      <c r="K24" s="160" t="e">
        <f>VLOOKUP($D24&amp;K$5&amp;K$4,集計!$D:$R,K$3,0)</f>
        <v>#N/A</v>
      </c>
      <c r="L24" s="50" t="e">
        <f>VLOOKUP($D24&amp;L$5&amp;L$4,集計!$D:$R,L$3,0)</f>
        <v>#N/A</v>
      </c>
      <c r="M24" s="82" t="e">
        <f>VLOOKUP($D24&amp;M$5&amp;M$4,集計!$D:$R,M$3,0)</f>
        <v>#N/A</v>
      </c>
      <c r="N24" s="159" t="e">
        <f>VLOOKUP($D24&amp;N$5&amp;N$4,集計!$D:$R,N$3,0)</f>
        <v>#N/A</v>
      </c>
      <c r="O24" s="160" t="e">
        <f>VLOOKUP($D24&amp;O$5&amp;O$4,集計!$D:$R,O$3,0)</f>
        <v>#N/A</v>
      </c>
      <c r="P24" s="50" t="e">
        <f>VLOOKUP($D24&amp;P$5&amp;P$4,集計!$D:$R,P$3,0)</f>
        <v>#N/A</v>
      </c>
      <c r="Q24" s="82" t="e">
        <f>VLOOKUP($D24&amp;Q$5&amp;Q$4,集計!$D:$R,Q$3,0)</f>
        <v>#N/A</v>
      </c>
      <c r="R24" s="159" t="e">
        <f>VLOOKUP($D24&amp;R$5&amp;R$4,集計!$D:$R,R$3,0)</f>
        <v>#N/A</v>
      </c>
      <c r="S24" s="160" t="e">
        <f>VLOOKUP($D24&amp;S$5&amp;S$4,集計!$D:$R,S$3,0)</f>
        <v>#N/A</v>
      </c>
      <c r="T24" s="50" t="e">
        <f>VLOOKUP($D24&amp;T$5&amp;T$4,集計!$D:$R,T$3,0)</f>
        <v>#N/A</v>
      </c>
      <c r="U24" s="82" t="e">
        <f>VLOOKUP($D24&amp;U$5&amp;U$4,集計!$D:$R,U$3,0)</f>
        <v>#N/A</v>
      </c>
      <c r="V24" s="159" t="e">
        <f>VLOOKUP($D24&amp;V$5&amp;V$4,集計!$D:$R,V$3,0)</f>
        <v>#N/A</v>
      </c>
      <c r="W24" s="160" t="e">
        <f>VLOOKUP($D24&amp;W$5&amp;W$4,集計!$D:$R,W$3,0)</f>
        <v>#N/A</v>
      </c>
      <c r="X24" s="50" t="e">
        <f>VLOOKUP($D24&amp;X$5&amp;X$4,集計!$D:$R,X$3,0)</f>
        <v>#N/A</v>
      </c>
      <c r="Y24" s="82" t="e">
        <f>VLOOKUP($D24&amp;Y$5&amp;Y$4,集計!$D:$R,Y$3,0)</f>
        <v>#N/A</v>
      </c>
      <c r="Z24" s="159" t="e">
        <f>VLOOKUP($D24&amp;Z$5&amp;Z$4,集計!$D:$R,Z$3,0)</f>
        <v>#N/A</v>
      </c>
      <c r="AA24" s="160" t="e">
        <f>VLOOKUP($D24&amp;AA$5&amp;AA$4,集計!$D:$R,AA$3,0)</f>
        <v>#N/A</v>
      </c>
      <c r="AB24" s="50" t="e">
        <f>VLOOKUP($D24&amp;AB$5&amp;AB$4,集計!$D:$R,AB$3,0)</f>
        <v>#N/A</v>
      </c>
      <c r="AC24" s="82" t="e">
        <f>VLOOKUP($D24&amp;AC$5&amp;AC$4,集計!$D:$R,AC$3,0)</f>
        <v>#N/A</v>
      </c>
      <c r="AD24" s="159" t="e">
        <f>VLOOKUP($D24&amp;AD$5&amp;AD$4,集計!$D:$R,AD$3,0)</f>
        <v>#N/A</v>
      </c>
      <c r="AE24" s="160" t="e">
        <f>VLOOKUP($D24&amp;AE$5&amp;AE$4,集計!$D:$R,AE$3,0)</f>
        <v>#N/A</v>
      </c>
      <c r="AF24" s="50" t="e">
        <f>VLOOKUP($D24&amp;AF$5&amp;AF$4,集計!$D:$R,AF$3,0)</f>
        <v>#N/A</v>
      </c>
      <c r="AG24" s="82" t="e">
        <f>VLOOKUP($D24&amp;AG$5&amp;AG$4,集計!$D:$R,AG$3,0)</f>
        <v>#N/A</v>
      </c>
      <c r="AH24" s="159" t="e">
        <f>VLOOKUP($D24&amp;AH$5&amp;AH$4,集計!$D:$R,AH$3,0)</f>
        <v>#N/A</v>
      </c>
      <c r="AI24" s="160" t="e">
        <f>VLOOKUP($D24&amp;AI$5&amp;AI$4,集計!$D:$R,AI$3,0)</f>
        <v>#N/A</v>
      </c>
      <c r="AJ24" s="50" t="e">
        <f>VLOOKUP($D24&amp;AJ$5&amp;AJ$4,集計!$D:$R,AJ$3,0)</f>
        <v>#N/A</v>
      </c>
      <c r="AK24" s="82" t="e">
        <f>VLOOKUP($D24&amp;AK$5&amp;AK$4,集計!$D:$R,AK$3,0)</f>
        <v>#N/A</v>
      </c>
      <c r="AL24" s="159" t="e">
        <f>VLOOKUP($D24&amp;AL$5&amp;AL$4,集計!$D:$R,AL$3,0)</f>
        <v>#N/A</v>
      </c>
      <c r="AM24" s="160" t="e">
        <f>VLOOKUP($D24&amp;AM$5&amp;AM$4,集計!$D:$R,AM$3,0)</f>
        <v>#N/A</v>
      </c>
      <c r="AN24" s="50" t="e">
        <f>VLOOKUP($D24&amp;AN$5&amp;AN$4,集計!$D:$R,AN$3,0)</f>
        <v>#N/A</v>
      </c>
      <c r="AO24" s="82" t="e">
        <f>VLOOKUP($D24&amp;AO$5&amp;AO$4,集計!$D:$R,AO$3,0)</f>
        <v>#N/A</v>
      </c>
      <c r="AP24" s="159" t="e">
        <f>VLOOKUP($D24&amp;AP$5&amp;AP$4,集計!$D:$R,AP$3,0)</f>
        <v>#N/A</v>
      </c>
      <c r="AQ24" s="160" t="e">
        <f>VLOOKUP($D24&amp;AQ$5&amp;AQ$4,集計!$D:$R,AQ$3,0)</f>
        <v>#N/A</v>
      </c>
      <c r="AR24" s="50" t="e">
        <f>VLOOKUP($D24&amp;AR$5&amp;AR$4,集計!$D:$R,AR$3,0)</f>
        <v>#N/A</v>
      </c>
      <c r="AS24" s="82" t="e">
        <f>VLOOKUP($D24&amp;AS$5&amp;AS$4,集計!$D:$R,AS$3,0)</f>
        <v>#N/A</v>
      </c>
      <c r="AT24" s="159" t="e">
        <f>VLOOKUP($D24&amp;AT$5&amp;AT$4,集計!$D:$R,AT$3,0)</f>
        <v>#N/A</v>
      </c>
      <c r="AU24" s="160" t="e">
        <f>VLOOKUP($D24&amp;AU$5&amp;AU$4,集計!$D:$R,AU$3,0)</f>
        <v>#N/A</v>
      </c>
      <c r="AV24" s="50" t="e">
        <f>VLOOKUP($D24&amp;AV$5&amp;AV$4,集計!$D:$R,AV$3,0)</f>
        <v>#N/A</v>
      </c>
      <c r="AW24" s="82" t="e">
        <f>VLOOKUP($D24&amp;AW$5&amp;AW$4,集計!$D:$R,AW$3,0)</f>
        <v>#N/A</v>
      </c>
      <c r="AX24" s="159" t="e">
        <f>VLOOKUP($D24&amp;AX$5&amp;AX$4,集計!$D:$R,AX$3,0)</f>
        <v>#N/A</v>
      </c>
      <c r="AY24" s="160" t="e">
        <f>VLOOKUP($D24&amp;AY$5&amp;AY$4,集計!$D:$R,AY$3,0)</f>
        <v>#N/A</v>
      </c>
      <c r="AZ24" s="50" t="e">
        <f>VLOOKUP($D24&amp;AZ$5&amp;AZ$4,集計!$D:$R,AZ$3,0)</f>
        <v>#N/A</v>
      </c>
      <c r="BA24" s="82" t="e">
        <f>VLOOKUP($D24&amp;BA$5&amp;BA$4,集計!$D:$R,BA$3,0)</f>
        <v>#N/A</v>
      </c>
    </row>
    <row r="25" spans="1:53" s="242" customFormat="1">
      <c r="A25" s="241" t="s">
        <v>76</v>
      </c>
      <c r="B25" s="241">
        <v>6221</v>
      </c>
      <c r="C25" s="55" t="s">
        <v>34</v>
      </c>
      <c r="D25" s="55"/>
      <c r="E25" s="251">
        <v>1412000049</v>
      </c>
      <c r="F25" s="157"/>
      <c r="G25" s="158"/>
      <c r="H25" s="39"/>
      <c r="I25" s="78"/>
      <c r="J25" s="157"/>
      <c r="K25" s="158"/>
      <c r="L25" s="39"/>
      <c r="M25" s="78"/>
      <c r="N25" s="157"/>
      <c r="O25" s="158"/>
      <c r="P25" s="39"/>
      <c r="Q25" s="78"/>
      <c r="R25" s="157"/>
      <c r="S25" s="158"/>
      <c r="T25" s="39"/>
      <c r="U25" s="78"/>
      <c r="V25" s="157"/>
      <c r="W25" s="158"/>
      <c r="X25" s="39"/>
      <c r="Y25" s="78"/>
      <c r="Z25" s="157"/>
      <c r="AA25" s="158"/>
      <c r="AB25" s="39"/>
      <c r="AC25" s="78"/>
      <c r="AD25" s="157"/>
      <c r="AE25" s="158"/>
      <c r="AF25" s="39"/>
      <c r="AG25" s="78"/>
      <c r="AH25" s="157"/>
      <c r="AI25" s="158"/>
      <c r="AJ25" s="39"/>
      <c r="AK25" s="78"/>
      <c r="AL25" s="157"/>
      <c r="AM25" s="158"/>
      <c r="AN25" s="39"/>
      <c r="AO25" s="78"/>
      <c r="AP25" s="157"/>
      <c r="AQ25" s="158"/>
      <c r="AR25" s="39"/>
      <c r="AS25" s="78"/>
      <c r="AT25" s="157"/>
      <c r="AU25" s="158"/>
      <c r="AV25" s="39"/>
      <c r="AW25" s="78"/>
      <c r="AX25" s="157"/>
      <c r="AY25" s="158"/>
      <c r="AZ25" s="39"/>
      <c r="BA25" s="78"/>
    </row>
    <row r="26" spans="1:53" s="242" customFormat="1">
      <c r="A26" s="241"/>
      <c r="B26" s="241"/>
      <c r="C26" s="55"/>
      <c r="D26" s="43" t="s">
        <v>100</v>
      </c>
      <c r="E26" s="251">
        <v>1412000050</v>
      </c>
      <c r="F26" s="155" t="e">
        <f>VLOOKUP($D26&amp;F$5&amp;F$4,集計!$D:$R,F$3,0)</f>
        <v>#N/A</v>
      </c>
      <c r="G26" s="156" t="e">
        <f>VLOOKUP($D26&amp;G$5&amp;G$4,集計!$D:$R,G$3,0)</f>
        <v>#N/A</v>
      </c>
      <c r="H26" s="36" t="e">
        <f>VLOOKUP($D26&amp;H$5&amp;H$4,集計!$D:$R,H$3,0)</f>
        <v>#N/A</v>
      </c>
      <c r="I26" s="80" t="e">
        <f>VLOOKUP($D26&amp;I$5&amp;I$4,集計!$D:$R,I$3,0)</f>
        <v>#N/A</v>
      </c>
      <c r="J26" s="155" t="e">
        <f>VLOOKUP($D26&amp;J$5&amp;J$4,集計!$D:$R,J$3,0)</f>
        <v>#N/A</v>
      </c>
      <c r="K26" s="156" t="e">
        <f>VLOOKUP($D26&amp;K$5&amp;K$4,集計!$D:$R,K$3,0)</f>
        <v>#N/A</v>
      </c>
      <c r="L26" s="36" t="e">
        <f>VLOOKUP($D26&amp;L$5&amp;L$4,集計!$D:$R,L$3,0)</f>
        <v>#N/A</v>
      </c>
      <c r="M26" s="80" t="e">
        <f>VLOOKUP($D26&amp;M$5&amp;M$4,集計!$D:$R,M$3,0)</f>
        <v>#N/A</v>
      </c>
      <c r="N26" s="155" t="e">
        <f>VLOOKUP($D26&amp;N$5&amp;N$4,集計!$D:$R,N$3,0)</f>
        <v>#N/A</v>
      </c>
      <c r="O26" s="156" t="e">
        <f>VLOOKUP($D26&amp;O$5&amp;O$4,集計!$D:$R,O$3,0)</f>
        <v>#N/A</v>
      </c>
      <c r="P26" s="36" t="e">
        <f>VLOOKUP($D26&amp;P$5&amp;P$4,集計!$D:$R,P$3,0)</f>
        <v>#N/A</v>
      </c>
      <c r="Q26" s="80" t="e">
        <f>VLOOKUP($D26&amp;Q$5&amp;Q$4,集計!$D:$R,Q$3,0)</f>
        <v>#N/A</v>
      </c>
      <c r="R26" s="155" t="e">
        <f>VLOOKUP($D26&amp;R$5&amp;R$4,集計!$D:$R,R$3,0)</f>
        <v>#N/A</v>
      </c>
      <c r="S26" s="156" t="e">
        <f>VLOOKUP($D26&amp;S$5&amp;S$4,集計!$D:$R,S$3,0)</f>
        <v>#N/A</v>
      </c>
      <c r="T26" s="36" t="e">
        <f>VLOOKUP($D26&amp;T$5&amp;T$4,集計!$D:$R,T$3,0)</f>
        <v>#N/A</v>
      </c>
      <c r="U26" s="80" t="e">
        <f>VLOOKUP($D26&amp;U$5&amp;U$4,集計!$D:$R,U$3,0)</f>
        <v>#N/A</v>
      </c>
      <c r="V26" s="155" t="e">
        <f>VLOOKUP($D26&amp;V$5&amp;V$4,集計!$D:$R,V$3,0)</f>
        <v>#N/A</v>
      </c>
      <c r="W26" s="156" t="e">
        <f>VLOOKUP($D26&amp;W$5&amp;W$4,集計!$D:$R,W$3,0)</f>
        <v>#N/A</v>
      </c>
      <c r="X26" s="36" t="e">
        <f>VLOOKUP($D26&amp;X$5&amp;X$4,集計!$D:$R,X$3,0)</f>
        <v>#N/A</v>
      </c>
      <c r="Y26" s="80" t="e">
        <f>VLOOKUP($D26&amp;Y$5&amp;Y$4,集計!$D:$R,Y$3,0)</f>
        <v>#N/A</v>
      </c>
      <c r="Z26" s="155" t="e">
        <f>VLOOKUP($D26&amp;Z$5&amp;Z$4,集計!$D:$R,Z$3,0)</f>
        <v>#N/A</v>
      </c>
      <c r="AA26" s="156" t="e">
        <f>VLOOKUP($D26&amp;AA$5&amp;AA$4,集計!$D:$R,AA$3,0)</f>
        <v>#N/A</v>
      </c>
      <c r="AB26" s="36" t="e">
        <f>VLOOKUP($D26&amp;AB$5&amp;AB$4,集計!$D:$R,AB$3,0)</f>
        <v>#N/A</v>
      </c>
      <c r="AC26" s="80" t="e">
        <f>VLOOKUP($D26&amp;AC$5&amp;AC$4,集計!$D:$R,AC$3,0)</f>
        <v>#N/A</v>
      </c>
      <c r="AD26" s="155" t="e">
        <f>VLOOKUP($D26&amp;AD$5&amp;AD$4,集計!$D:$R,AD$3,0)</f>
        <v>#N/A</v>
      </c>
      <c r="AE26" s="156" t="e">
        <f>VLOOKUP($D26&amp;AE$5&amp;AE$4,集計!$D:$R,AE$3,0)</f>
        <v>#N/A</v>
      </c>
      <c r="AF26" s="36" t="e">
        <f>VLOOKUP($D26&amp;AF$5&amp;AF$4,集計!$D:$R,AF$3,0)</f>
        <v>#N/A</v>
      </c>
      <c r="AG26" s="80" t="e">
        <f>VLOOKUP($D26&amp;AG$5&amp;AG$4,集計!$D:$R,AG$3,0)</f>
        <v>#N/A</v>
      </c>
      <c r="AH26" s="155" t="e">
        <f>VLOOKUP($D26&amp;AH$5&amp;AH$4,集計!$D:$R,AH$3,0)</f>
        <v>#N/A</v>
      </c>
      <c r="AI26" s="156" t="e">
        <f>VLOOKUP($D26&amp;AI$5&amp;AI$4,集計!$D:$R,AI$3,0)</f>
        <v>#N/A</v>
      </c>
      <c r="AJ26" s="36" t="e">
        <f>VLOOKUP($D26&amp;AJ$5&amp;AJ$4,集計!$D:$R,AJ$3,0)</f>
        <v>#N/A</v>
      </c>
      <c r="AK26" s="80" t="e">
        <f>VLOOKUP($D26&amp;AK$5&amp;AK$4,集計!$D:$R,AK$3,0)</f>
        <v>#N/A</v>
      </c>
      <c r="AL26" s="155" t="e">
        <f>VLOOKUP($D26&amp;AL$5&amp;AL$4,集計!$D:$R,AL$3,0)</f>
        <v>#N/A</v>
      </c>
      <c r="AM26" s="156" t="e">
        <f>VLOOKUP($D26&amp;AM$5&amp;AM$4,集計!$D:$R,AM$3,0)</f>
        <v>#N/A</v>
      </c>
      <c r="AN26" s="36" t="e">
        <f>VLOOKUP($D26&amp;AN$5&amp;AN$4,集計!$D:$R,AN$3,0)</f>
        <v>#N/A</v>
      </c>
      <c r="AO26" s="80" t="e">
        <f>VLOOKUP($D26&amp;AO$5&amp;AO$4,集計!$D:$R,AO$3,0)</f>
        <v>#N/A</v>
      </c>
      <c r="AP26" s="155" t="e">
        <f>VLOOKUP($D26&amp;AP$5&amp;AP$4,集計!$D:$R,AP$3,0)</f>
        <v>#N/A</v>
      </c>
      <c r="AQ26" s="156" t="e">
        <f>VLOOKUP($D26&amp;AQ$5&amp;AQ$4,集計!$D:$R,AQ$3,0)</f>
        <v>#N/A</v>
      </c>
      <c r="AR26" s="36" t="e">
        <f>VLOOKUP($D26&amp;AR$5&amp;AR$4,集計!$D:$R,AR$3,0)</f>
        <v>#N/A</v>
      </c>
      <c r="AS26" s="80" t="e">
        <f>VLOOKUP($D26&amp;AS$5&amp;AS$4,集計!$D:$R,AS$3,0)</f>
        <v>#N/A</v>
      </c>
      <c r="AT26" s="155" t="e">
        <f>VLOOKUP($D26&amp;AT$5&amp;AT$4,集計!$D:$R,AT$3,0)</f>
        <v>#N/A</v>
      </c>
      <c r="AU26" s="156" t="e">
        <f>VLOOKUP($D26&amp;AU$5&amp;AU$4,集計!$D:$R,AU$3,0)</f>
        <v>#N/A</v>
      </c>
      <c r="AV26" s="36" t="e">
        <f>VLOOKUP($D26&amp;AV$5&amp;AV$4,集計!$D:$R,AV$3,0)</f>
        <v>#N/A</v>
      </c>
      <c r="AW26" s="80" t="e">
        <f>VLOOKUP($D26&amp;AW$5&amp;AW$4,集計!$D:$R,AW$3,0)</f>
        <v>#N/A</v>
      </c>
      <c r="AX26" s="155" t="e">
        <f>VLOOKUP($D26&amp;AX$5&amp;AX$4,集計!$D:$R,AX$3,0)</f>
        <v>#N/A</v>
      </c>
      <c r="AY26" s="156" t="e">
        <f>VLOOKUP($D26&amp;AY$5&amp;AY$4,集計!$D:$R,AY$3,0)</f>
        <v>#N/A</v>
      </c>
      <c r="AZ26" s="36" t="e">
        <f>VLOOKUP($D26&amp;AZ$5&amp;AZ$4,集計!$D:$R,AZ$3,0)</f>
        <v>#N/A</v>
      </c>
      <c r="BA26" s="80" t="e">
        <f>VLOOKUP($D26&amp;BA$5&amp;BA$4,集計!$D:$R,BA$3,0)</f>
        <v>#N/A</v>
      </c>
    </row>
    <row r="27" spans="1:53" s="242" customFormat="1">
      <c r="A27" s="241"/>
      <c r="B27" s="241"/>
      <c r="C27" s="55"/>
      <c r="D27" s="43" t="s">
        <v>101</v>
      </c>
      <c r="E27" s="251">
        <v>1412000077</v>
      </c>
      <c r="F27" s="155" t="e">
        <f>VLOOKUP($D27&amp;F$5&amp;F$4,集計!$D:$R,F$3,0)</f>
        <v>#N/A</v>
      </c>
      <c r="G27" s="156" t="e">
        <f>VLOOKUP($D27&amp;G$5&amp;G$4,集計!$D:$R,G$3,0)</f>
        <v>#N/A</v>
      </c>
      <c r="H27" s="36" t="e">
        <f>VLOOKUP($D27&amp;H$5&amp;H$4,集計!$D:$R,H$3,0)</f>
        <v>#N/A</v>
      </c>
      <c r="I27" s="80" t="e">
        <f>VLOOKUP($D27&amp;I$5&amp;I$4,集計!$D:$R,I$3,0)</f>
        <v>#N/A</v>
      </c>
      <c r="J27" s="155" t="e">
        <f>VLOOKUP($D27&amp;J$5&amp;J$4,集計!$D:$R,J$3,0)</f>
        <v>#N/A</v>
      </c>
      <c r="K27" s="156" t="e">
        <f>VLOOKUP($D27&amp;K$5&amp;K$4,集計!$D:$R,K$3,0)</f>
        <v>#N/A</v>
      </c>
      <c r="L27" s="36" t="e">
        <f>VLOOKUP($D27&amp;L$5&amp;L$4,集計!$D:$R,L$3,0)</f>
        <v>#N/A</v>
      </c>
      <c r="M27" s="80" t="e">
        <f>VLOOKUP($D27&amp;M$5&amp;M$4,集計!$D:$R,M$3,0)</f>
        <v>#N/A</v>
      </c>
      <c r="N27" s="155" t="e">
        <f>VLOOKUP($D27&amp;N$5&amp;N$4,集計!$D:$R,N$3,0)</f>
        <v>#N/A</v>
      </c>
      <c r="O27" s="156" t="e">
        <f>VLOOKUP($D27&amp;O$5&amp;O$4,集計!$D:$R,O$3,0)</f>
        <v>#N/A</v>
      </c>
      <c r="P27" s="36" t="e">
        <f>VLOOKUP($D27&amp;P$5&amp;P$4,集計!$D:$R,P$3,0)</f>
        <v>#N/A</v>
      </c>
      <c r="Q27" s="80" t="e">
        <f>VLOOKUP($D27&amp;Q$5&amp;Q$4,集計!$D:$R,Q$3,0)</f>
        <v>#N/A</v>
      </c>
      <c r="R27" s="155" t="e">
        <f>VLOOKUP($D27&amp;R$5&amp;R$4,集計!$D:$R,R$3,0)</f>
        <v>#N/A</v>
      </c>
      <c r="S27" s="156" t="e">
        <f>VLOOKUP($D27&amp;S$5&amp;S$4,集計!$D:$R,S$3,0)</f>
        <v>#N/A</v>
      </c>
      <c r="T27" s="36" t="e">
        <f>VLOOKUP($D27&amp;T$5&amp;T$4,集計!$D:$R,T$3,0)</f>
        <v>#N/A</v>
      </c>
      <c r="U27" s="80" t="e">
        <f>VLOOKUP($D27&amp;U$5&amp;U$4,集計!$D:$R,U$3,0)</f>
        <v>#N/A</v>
      </c>
      <c r="V27" s="155" t="e">
        <f>VLOOKUP($D27&amp;V$5&amp;V$4,集計!$D:$R,V$3,0)</f>
        <v>#N/A</v>
      </c>
      <c r="W27" s="156" t="e">
        <f>VLOOKUP($D27&amp;W$5&amp;W$4,集計!$D:$R,W$3,0)</f>
        <v>#N/A</v>
      </c>
      <c r="X27" s="36" t="e">
        <f>VLOOKUP($D27&amp;X$5&amp;X$4,集計!$D:$R,X$3,0)</f>
        <v>#N/A</v>
      </c>
      <c r="Y27" s="80" t="e">
        <f>VLOOKUP($D27&amp;Y$5&amp;Y$4,集計!$D:$R,Y$3,0)</f>
        <v>#N/A</v>
      </c>
      <c r="Z27" s="155" t="e">
        <f>VLOOKUP($D27&amp;Z$5&amp;Z$4,集計!$D:$R,Z$3,0)</f>
        <v>#N/A</v>
      </c>
      <c r="AA27" s="156" t="e">
        <f>VLOOKUP($D27&amp;AA$5&amp;AA$4,集計!$D:$R,AA$3,0)</f>
        <v>#N/A</v>
      </c>
      <c r="AB27" s="36" t="e">
        <f>VLOOKUP($D27&amp;AB$5&amp;AB$4,集計!$D:$R,AB$3,0)</f>
        <v>#N/A</v>
      </c>
      <c r="AC27" s="80" t="e">
        <f>VLOOKUP($D27&amp;AC$5&amp;AC$4,集計!$D:$R,AC$3,0)</f>
        <v>#N/A</v>
      </c>
      <c r="AD27" s="155" t="e">
        <f>VLOOKUP($D27&amp;AD$5&amp;AD$4,集計!$D:$R,AD$3,0)</f>
        <v>#N/A</v>
      </c>
      <c r="AE27" s="156" t="e">
        <f>VLOOKUP($D27&amp;AE$5&amp;AE$4,集計!$D:$R,AE$3,0)</f>
        <v>#N/A</v>
      </c>
      <c r="AF27" s="36" t="e">
        <f>VLOOKUP($D27&amp;AF$5&amp;AF$4,集計!$D:$R,AF$3,0)</f>
        <v>#N/A</v>
      </c>
      <c r="AG27" s="80" t="e">
        <f>VLOOKUP($D27&amp;AG$5&amp;AG$4,集計!$D:$R,AG$3,0)</f>
        <v>#N/A</v>
      </c>
      <c r="AH27" s="155" t="e">
        <f>VLOOKUP($D27&amp;AH$5&amp;AH$4,集計!$D:$R,AH$3,0)</f>
        <v>#N/A</v>
      </c>
      <c r="AI27" s="156" t="e">
        <f>VLOOKUP($D27&amp;AI$5&amp;AI$4,集計!$D:$R,AI$3,0)</f>
        <v>#N/A</v>
      </c>
      <c r="AJ27" s="36" t="e">
        <f>VLOOKUP($D27&amp;AJ$5&amp;AJ$4,集計!$D:$R,AJ$3,0)</f>
        <v>#N/A</v>
      </c>
      <c r="AK27" s="80" t="e">
        <f>VLOOKUP($D27&amp;AK$5&amp;AK$4,集計!$D:$R,AK$3,0)</f>
        <v>#N/A</v>
      </c>
      <c r="AL27" s="155" t="e">
        <f>VLOOKUP($D27&amp;AL$5&amp;AL$4,集計!$D:$R,AL$3,0)</f>
        <v>#N/A</v>
      </c>
      <c r="AM27" s="156" t="e">
        <f>VLOOKUP($D27&amp;AM$5&amp;AM$4,集計!$D:$R,AM$3,0)</f>
        <v>#N/A</v>
      </c>
      <c r="AN27" s="36" t="e">
        <f>VLOOKUP($D27&amp;AN$5&amp;AN$4,集計!$D:$R,AN$3,0)</f>
        <v>#N/A</v>
      </c>
      <c r="AO27" s="80" t="e">
        <f>VLOOKUP($D27&amp;AO$5&amp;AO$4,集計!$D:$R,AO$3,0)</f>
        <v>#N/A</v>
      </c>
      <c r="AP27" s="155" t="e">
        <f>VLOOKUP($D27&amp;AP$5&amp;AP$4,集計!$D:$R,AP$3,0)</f>
        <v>#N/A</v>
      </c>
      <c r="AQ27" s="156" t="e">
        <f>VLOOKUP($D27&amp;AQ$5&amp;AQ$4,集計!$D:$R,AQ$3,0)</f>
        <v>#N/A</v>
      </c>
      <c r="AR27" s="36" t="e">
        <f>VLOOKUP($D27&amp;AR$5&amp;AR$4,集計!$D:$R,AR$3,0)</f>
        <v>#N/A</v>
      </c>
      <c r="AS27" s="80" t="e">
        <f>VLOOKUP($D27&amp;AS$5&amp;AS$4,集計!$D:$R,AS$3,0)</f>
        <v>#N/A</v>
      </c>
      <c r="AT27" s="155" t="e">
        <f>VLOOKUP($D27&amp;AT$5&amp;AT$4,集計!$D:$R,AT$3,0)</f>
        <v>#N/A</v>
      </c>
      <c r="AU27" s="156" t="e">
        <f>VLOOKUP($D27&amp;AU$5&amp;AU$4,集計!$D:$R,AU$3,0)</f>
        <v>#N/A</v>
      </c>
      <c r="AV27" s="36" t="e">
        <f>VLOOKUP($D27&amp;AV$5&amp;AV$4,集計!$D:$R,AV$3,0)</f>
        <v>#N/A</v>
      </c>
      <c r="AW27" s="80" t="e">
        <f>VLOOKUP($D27&amp;AW$5&amp;AW$4,集計!$D:$R,AW$3,0)</f>
        <v>#N/A</v>
      </c>
      <c r="AX27" s="155" t="e">
        <f>VLOOKUP($D27&amp;AX$5&amp;AX$4,集計!$D:$R,AX$3,0)</f>
        <v>#N/A</v>
      </c>
      <c r="AY27" s="156" t="e">
        <f>VLOOKUP($D27&amp;AY$5&amp;AY$4,集計!$D:$R,AY$3,0)</f>
        <v>#N/A</v>
      </c>
      <c r="AZ27" s="36" t="e">
        <f>VLOOKUP($D27&amp;AZ$5&amp;AZ$4,集計!$D:$R,AZ$3,0)</f>
        <v>#N/A</v>
      </c>
      <c r="BA27" s="80" t="e">
        <f>VLOOKUP($D27&amp;BA$5&amp;BA$4,集計!$D:$R,BA$3,0)</f>
        <v>#N/A</v>
      </c>
    </row>
    <row r="28" spans="1:53" s="242" customFormat="1">
      <c r="A28" s="241"/>
      <c r="B28" s="241"/>
      <c r="C28" s="55"/>
      <c r="D28" s="43" t="s">
        <v>119</v>
      </c>
      <c r="E28" s="251">
        <v>1412000083</v>
      </c>
      <c r="F28" s="155" t="e">
        <f>VLOOKUP($D28&amp;F$5&amp;F$4,集計!$D:$R,F$3,0)</f>
        <v>#N/A</v>
      </c>
      <c r="G28" s="156" t="e">
        <f>VLOOKUP($D28&amp;G$5&amp;G$4,集計!$D:$R,G$3,0)</f>
        <v>#N/A</v>
      </c>
      <c r="H28" s="36" t="e">
        <f>VLOOKUP($D28&amp;H$5&amp;H$4,集計!$D:$R,H$3,0)</f>
        <v>#N/A</v>
      </c>
      <c r="I28" s="80" t="e">
        <f>VLOOKUP($D28&amp;I$5&amp;I$4,集計!$D:$R,I$3,0)</f>
        <v>#N/A</v>
      </c>
      <c r="J28" s="155" t="e">
        <f>VLOOKUP($D28&amp;J$5&amp;J$4,集計!$D:$R,J$3,0)</f>
        <v>#N/A</v>
      </c>
      <c r="K28" s="156" t="e">
        <f>VLOOKUP($D28&amp;K$5&amp;K$4,集計!$D:$R,K$3,0)</f>
        <v>#N/A</v>
      </c>
      <c r="L28" s="36" t="e">
        <f>VLOOKUP($D28&amp;L$5&amp;L$4,集計!$D:$R,L$3,0)</f>
        <v>#N/A</v>
      </c>
      <c r="M28" s="80" t="e">
        <f>VLOOKUP($D28&amp;M$5&amp;M$4,集計!$D:$R,M$3,0)</f>
        <v>#N/A</v>
      </c>
      <c r="N28" s="155" t="e">
        <f>VLOOKUP($D28&amp;N$5&amp;N$4,集計!$D:$R,N$3,0)</f>
        <v>#N/A</v>
      </c>
      <c r="O28" s="156" t="e">
        <f>VLOOKUP($D28&amp;O$5&amp;O$4,集計!$D:$R,O$3,0)</f>
        <v>#N/A</v>
      </c>
      <c r="P28" s="36" t="e">
        <f>VLOOKUP($D28&amp;P$5&amp;P$4,集計!$D:$R,P$3,0)</f>
        <v>#N/A</v>
      </c>
      <c r="Q28" s="80" t="e">
        <f>VLOOKUP($D28&amp;Q$5&amp;Q$4,集計!$D:$R,Q$3,0)</f>
        <v>#N/A</v>
      </c>
      <c r="R28" s="155" t="e">
        <f>VLOOKUP($D28&amp;R$5&amp;R$4,集計!$D:$R,R$3,0)</f>
        <v>#N/A</v>
      </c>
      <c r="S28" s="156" t="e">
        <f>VLOOKUP($D28&amp;S$5&amp;S$4,集計!$D:$R,S$3,0)</f>
        <v>#N/A</v>
      </c>
      <c r="T28" s="36" t="e">
        <f>VLOOKUP($D28&amp;T$5&amp;T$4,集計!$D:$R,T$3,0)</f>
        <v>#N/A</v>
      </c>
      <c r="U28" s="80" t="e">
        <f>VLOOKUP($D28&amp;U$5&amp;U$4,集計!$D:$R,U$3,0)</f>
        <v>#N/A</v>
      </c>
      <c r="V28" s="155" t="e">
        <f>VLOOKUP($D28&amp;V$5&amp;V$4,集計!$D:$R,V$3,0)</f>
        <v>#N/A</v>
      </c>
      <c r="W28" s="156" t="e">
        <f>VLOOKUP($D28&amp;W$5&amp;W$4,集計!$D:$R,W$3,0)</f>
        <v>#N/A</v>
      </c>
      <c r="X28" s="36" t="e">
        <f>VLOOKUP($D28&amp;X$5&amp;X$4,集計!$D:$R,X$3,0)</f>
        <v>#N/A</v>
      </c>
      <c r="Y28" s="80" t="e">
        <f>VLOOKUP($D28&amp;Y$5&amp;Y$4,集計!$D:$R,Y$3,0)</f>
        <v>#N/A</v>
      </c>
      <c r="Z28" s="155" t="e">
        <f>VLOOKUP($D28&amp;Z$5&amp;Z$4,集計!$D:$R,Z$3,0)</f>
        <v>#N/A</v>
      </c>
      <c r="AA28" s="156" t="e">
        <f>VLOOKUP($D28&amp;AA$5&amp;AA$4,集計!$D:$R,AA$3,0)</f>
        <v>#N/A</v>
      </c>
      <c r="AB28" s="36" t="e">
        <f>VLOOKUP($D28&amp;AB$5&amp;AB$4,集計!$D:$R,AB$3,0)</f>
        <v>#N/A</v>
      </c>
      <c r="AC28" s="80" t="e">
        <f>VLOOKUP($D28&amp;AC$5&amp;AC$4,集計!$D:$R,AC$3,0)</f>
        <v>#N/A</v>
      </c>
      <c r="AD28" s="155" t="e">
        <f>VLOOKUP($D28&amp;AD$5&amp;AD$4,集計!$D:$R,AD$3,0)</f>
        <v>#N/A</v>
      </c>
      <c r="AE28" s="156" t="e">
        <f>VLOOKUP($D28&amp;AE$5&amp;AE$4,集計!$D:$R,AE$3,0)</f>
        <v>#N/A</v>
      </c>
      <c r="AF28" s="36" t="e">
        <f>VLOOKUP($D28&amp;AF$5&amp;AF$4,集計!$D:$R,AF$3,0)</f>
        <v>#N/A</v>
      </c>
      <c r="AG28" s="80" t="e">
        <f>VLOOKUP($D28&amp;AG$5&amp;AG$4,集計!$D:$R,AG$3,0)</f>
        <v>#N/A</v>
      </c>
      <c r="AH28" s="155" t="e">
        <f>VLOOKUP($D28&amp;AH$5&amp;AH$4,集計!$D:$R,AH$3,0)</f>
        <v>#N/A</v>
      </c>
      <c r="AI28" s="156" t="e">
        <f>VLOOKUP($D28&amp;AI$5&amp;AI$4,集計!$D:$R,AI$3,0)</f>
        <v>#N/A</v>
      </c>
      <c r="AJ28" s="36" t="e">
        <f>VLOOKUP($D28&amp;AJ$5&amp;AJ$4,集計!$D:$R,AJ$3,0)</f>
        <v>#N/A</v>
      </c>
      <c r="AK28" s="80" t="e">
        <f>VLOOKUP($D28&amp;AK$5&amp;AK$4,集計!$D:$R,AK$3,0)</f>
        <v>#N/A</v>
      </c>
      <c r="AL28" s="155" t="e">
        <f>VLOOKUP($D28&amp;AL$5&amp;AL$4,集計!$D:$R,AL$3,0)</f>
        <v>#N/A</v>
      </c>
      <c r="AM28" s="156" t="e">
        <f>VLOOKUP($D28&amp;AM$5&amp;AM$4,集計!$D:$R,AM$3,0)</f>
        <v>#N/A</v>
      </c>
      <c r="AN28" s="36" t="e">
        <f>VLOOKUP($D28&amp;AN$5&amp;AN$4,集計!$D:$R,AN$3,0)</f>
        <v>#N/A</v>
      </c>
      <c r="AO28" s="80" t="e">
        <f>VLOOKUP($D28&amp;AO$5&amp;AO$4,集計!$D:$R,AO$3,0)</f>
        <v>#N/A</v>
      </c>
      <c r="AP28" s="155" t="e">
        <f>VLOOKUP($D28&amp;AP$5&amp;AP$4,集計!$D:$R,AP$3,0)</f>
        <v>#N/A</v>
      </c>
      <c r="AQ28" s="156" t="e">
        <f>VLOOKUP($D28&amp;AQ$5&amp;AQ$4,集計!$D:$R,AQ$3,0)</f>
        <v>#N/A</v>
      </c>
      <c r="AR28" s="36" t="e">
        <f>VLOOKUP($D28&amp;AR$5&amp;AR$4,集計!$D:$R,AR$3,0)</f>
        <v>#N/A</v>
      </c>
      <c r="AS28" s="80" t="e">
        <f>VLOOKUP($D28&amp;AS$5&amp;AS$4,集計!$D:$R,AS$3,0)</f>
        <v>#N/A</v>
      </c>
      <c r="AT28" s="155" t="e">
        <f>VLOOKUP($D28&amp;AT$5&amp;AT$4,集計!$D:$R,AT$3,0)</f>
        <v>#N/A</v>
      </c>
      <c r="AU28" s="156" t="e">
        <f>VLOOKUP($D28&amp;AU$5&amp;AU$4,集計!$D:$R,AU$3,0)</f>
        <v>#N/A</v>
      </c>
      <c r="AV28" s="36" t="e">
        <f>VLOOKUP($D28&amp;AV$5&amp;AV$4,集計!$D:$R,AV$3,0)</f>
        <v>#N/A</v>
      </c>
      <c r="AW28" s="80" t="e">
        <f>VLOOKUP($D28&amp;AW$5&amp;AW$4,集計!$D:$R,AW$3,0)</f>
        <v>#N/A</v>
      </c>
      <c r="AX28" s="155" t="e">
        <f>VLOOKUP($D28&amp;AX$5&amp;AX$4,集計!$D:$R,AX$3,0)</f>
        <v>#N/A</v>
      </c>
      <c r="AY28" s="156" t="e">
        <f>VLOOKUP($D28&amp;AY$5&amp;AY$4,集計!$D:$R,AY$3,0)</f>
        <v>#N/A</v>
      </c>
      <c r="AZ28" s="36" t="e">
        <f>VLOOKUP($D28&amp;AZ$5&amp;AZ$4,集計!$D:$R,AZ$3,0)</f>
        <v>#N/A</v>
      </c>
      <c r="BA28" s="80" t="e">
        <f>VLOOKUP($D28&amp;BA$5&amp;BA$4,集計!$D:$R,BA$3,0)</f>
        <v>#N/A</v>
      </c>
    </row>
    <row r="29" spans="1:53">
      <c r="A29" s="243"/>
      <c r="B29" s="236"/>
      <c r="C29" s="31"/>
      <c r="D29" s="31" t="s">
        <v>102</v>
      </c>
      <c r="E29" s="243">
        <v>1412000057</v>
      </c>
      <c r="F29" s="155" t="e">
        <f>VLOOKUP($D29&amp;F$5&amp;F$4,集計!$D:$R,F$3,0)</f>
        <v>#N/A</v>
      </c>
      <c r="G29" s="156" t="e">
        <f>VLOOKUP($D29&amp;G$5&amp;G$4,集計!$D:$R,G$3,0)</f>
        <v>#N/A</v>
      </c>
      <c r="H29" s="36" t="e">
        <f>VLOOKUP($D29&amp;H$5&amp;H$4,集計!$D:$R,H$3,0)</f>
        <v>#N/A</v>
      </c>
      <c r="I29" s="80" t="e">
        <f>VLOOKUP($D29&amp;I$5&amp;I$4,集計!$D:$R,I$3,0)</f>
        <v>#N/A</v>
      </c>
      <c r="J29" s="155" t="e">
        <f>VLOOKUP($D29&amp;J$5&amp;J$4,集計!$D:$R,J$3,0)</f>
        <v>#N/A</v>
      </c>
      <c r="K29" s="156" t="e">
        <f>VLOOKUP($D29&amp;K$5&amp;K$4,集計!$D:$R,K$3,0)</f>
        <v>#N/A</v>
      </c>
      <c r="L29" s="36" t="e">
        <f>VLOOKUP($D29&amp;L$5&amp;L$4,集計!$D:$R,L$3,0)</f>
        <v>#N/A</v>
      </c>
      <c r="M29" s="80" t="e">
        <f>VLOOKUP($D29&amp;M$5&amp;M$4,集計!$D:$R,M$3,0)</f>
        <v>#N/A</v>
      </c>
      <c r="N29" s="155" t="e">
        <f>VLOOKUP($D29&amp;N$5&amp;N$4,集計!$D:$R,N$3,0)</f>
        <v>#N/A</v>
      </c>
      <c r="O29" s="156" t="e">
        <f>VLOOKUP($D29&amp;O$5&amp;O$4,集計!$D:$R,O$3,0)</f>
        <v>#N/A</v>
      </c>
      <c r="P29" s="36" t="e">
        <f>VLOOKUP($D29&amp;P$5&amp;P$4,集計!$D:$R,P$3,0)</f>
        <v>#N/A</v>
      </c>
      <c r="Q29" s="80" t="e">
        <f>VLOOKUP($D29&amp;Q$5&amp;Q$4,集計!$D:$R,Q$3,0)</f>
        <v>#N/A</v>
      </c>
      <c r="R29" s="155" t="e">
        <f>VLOOKUP($D29&amp;R$5&amp;R$4,集計!$D:$R,R$3,0)</f>
        <v>#N/A</v>
      </c>
      <c r="S29" s="156" t="e">
        <f>VLOOKUP($D29&amp;S$5&amp;S$4,集計!$D:$R,S$3,0)</f>
        <v>#N/A</v>
      </c>
      <c r="T29" s="36" t="e">
        <f>VLOOKUP($D29&amp;T$5&amp;T$4,集計!$D:$R,T$3,0)</f>
        <v>#N/A</v>
      </c>
      <c r="U29" s="80" t="e">
        <f>VLOOKUP($D29&amp;U$5&amp;U$4,集計!$D:$R,U$3,0)</f>
        <v>#N/A</v>
      </c>
      <c r="V29" s="155" t="e">
        <f>VLOOKUP($D29&amp;V$5&amp;V$4,集計!$D:$R,V$3,0)</f>
        <v>#N/A</v>
      </c>
      <c r="W29" s="156" t="e">
        <f>VLOOKUP($D29&amp;W$5&amp;W$4,集計!$D:$R,W$3,0)</f>
        <v>#N/A</v>
      </c>
      <c r="X29" s="36" t="e">
        <f>VLOOKUP($D29&amp;X$5&amp;X$4,集計!$D:$R,X$3,0)</f>
        <v>#N/A</v>
      </c>
      <c r="Y29" s="80" t="e">
        <f>VLOOKUP($D29&amp;Y$5&amp;Y$4,集計!$D:$R,Y$3,0)</f>
        <v>#N/A</v>
      </c>
      <c r="Z29" s="155" t="e">
        <f>VLOOKUP($D29&amp;Z$5&amp;Z$4,集計!$D:$R,Z$3,0)</f>
        <v>#N/A</v>
      </c>
      <c r="AA29" s="156" t="e">
        <f>VLOOKUP($D29&amp;AA$5&amp;AA$4,集計!$D:$R,AA$3,0)</f>
        <v>#N/A</v>
      </c>
      <c r="AB29" s="36" t="e">
        <f>VLOOKUP($D29&amp;AB$5&amp;AB$4,集計!$D:$R,AB$3,0)</f>
        <v>#N/A</v>
      </c>
      <c r="AC29" s="80" t="e">
        <f>VLOOKUP($D29&amp;AC$5&amp;AC$4,集計!$D:$R,AC$3,0)</f>
        <v>#N/A</v>
      </c>
      <c r="AD29" s="155" t="e">
        <f>VLOOKUP($D29&amp;AD$5&amp;AD$4,集計!$D:$R,AD$3,0)</f>
        <v>#N/A</v>
      </c>
      <c r="AE29" s="156" t="e">
        <f>VLOOKUP($D29&amp;AE$5&amp;AE$4,集計!$D:$R,AE$3,0)</f>
        <v>#N/A</v>
      </c>
      <c r="AF29" s="36" t="e">
        <f>VLOOKUP($D29&amp;AF$5&amp;AF$4,集計!$D:$R,AF$3,0)</f>
        <v>#N/A</v>
      </c>
      <c r="AG29" s="80" t="e">
        <f>VLOOKUP($D29&amp;AG$5&amp;AG$4,集計!$D:$R,AG$3,0)</f>
        <v>#N/A</v>
      </c>
      <c r="AH29" s="155" t="e">
        <f>VLOOKUP($D29&amp;AH$5&amp;AH$4,集計!$D:$R,AH$3,0)</f>
        <v>#N/A</v>
      </c>
      <c r="AI29" s="156" t="e">
        <f>VLOOKUP($D29&amp;AI$5&amp;AI$4,集計!$D:$R,AI$3,0)</f>
        <v>#N/A</v>
      </c>
      <c r="AJ29" s="36" t="e">
        <f>VLOOKUP($D29&amp;AJ$5&amp;AJ$4,集計!$D:$R,AJ$3,0)</f>
        <v>#N/A</v>
      </c>
      <c r="AK29" s="80" t="e">
        <f>VLOOKUP($D29&amp;AK$5&amp;AK$4,集計!$D:$R,AK$3,0)</f>
        <v>#N/A</v>
      </c>
      <c r="AL29" s="155" t="e">
        <f>VLOOKUP($D29&amp;AL$5&amp;AL$4,集計!$D:$R,AL$3,0)</f>
        <v>#N/A</v>
      </c>
      <c r="AM29" s="156" t="e">
        <f>VLOOKUP($D29&amp;AM$5&amp;AM$4,集計!$D:$R,AM$3,0)</f>
        <v>#N/A</v>
      </c>
      <c r="AN29" s="36" t="e">
        <f>VLOOKUP($D29&amp;AN$5&amp;AN$4,集計!$D:$R,AN$3,0)</f>
        <v>#N/A</v>
      </c>
      <c r="AO29" s="80" t="e">
        <f>VLOOKUP($D29&amp;AO$5&amp;AO$4,集計!$D:$R,AO$3,0)</f>
        <v>#N/A</v>
      </c>
      <c r="AP29" s="155" t="e">
        <f>VLOOKUP($D29&amp;AP$5&amp;AP$4,集計!$D:$R,AP$3,0)</f>
        <v>#N/A</v>
      </c>
      <c r="AQ29" s="156" t="e">
        <f>VLOOKUP($D29&amp;AQ$5&amp;AQ$4,集計!$D:$R,AQ$3,0)</f>
        <v>#N/A</v>
      </c>
      <c r="AR29" s="36" t="e">
        <f>VLOOKUP($D29&amp;AR$5&amp;AR$4,集計!$D:$R,AR$3,0)</f>
        <v>#N/A</v>
      </c>
      <c r="AS29" s="80" t="e">
        <f>VLOOKUP($D29&amp;AS$5&amp;AS$4,集計!$D:$R,AS$3,0)</f>
        <v>#N/A</v>
      </c>
      <c r="AT29" s="155" t="e">
        <f>VLOOKUP($D29&amp;AT$5&amp;AT$4,集計!$D:$R,AT$3,0)</f>
        <v>#N/A</v>
      </c>
      <c r="AU29" s="156" t="e">
        <f>VLOOKUP($D29&amp;AU$5&amp;AU$4,集計!$D:$R,AU$3,0)</f>
        <v>#N/A</v>
      </c>
      <c r="AV29" s="36" t="e">
        <f>VLOOKUP($D29&amp;AV$5&amp;AV$4,集計!$D:$R,AV$3,0)</f>
        <v>#N/A</v>
      </c>
      <c r="AW29" s="80" t="e">
        <f>VLOOKUP($D29&amp;AW$5&amp;AW$4,集計!$D:$R,AW$3,0)</f>
        <v>#N/A</v>
      </c>
      <c r="AX29" s="155" t="e">
        <f>VLOOKUP($D29&amp;AX$5&amp;AX$4,集計!$D:$R,AX$3,0)</f>
        <v>#N/A</v>
      </c>
      <c r="AY29" s="156" t="e">
        <f>VLOOKUP($D29&amp;AY$5&amp;AY$4,集計!$D:$R,AY$3,0)</f>
        <v>#N/A</v>
      </c>
      <c r="AZ29" s="36" t="e">
        <f>VLOOKUP($D29&amp;AZ$5&amp;AZ$4,集計!$D:$R,AZ$3,0)</f>
        <v>#N/A</v>
      </c>
      <c r="BA29" s="80" t="e">
        <f>VLOOKUP($D29&amp;BA$5&amp;BA$4,集計!$D:$R,BA$3,0)</f>
        <v>#N/A</v>
      </c>
    </row>
    <row r="30" spans="1:53">
      <c r="A30" s="244"/>
      <c r="B30" s="240"/>
      <c r="C30" s="47"/>
      <c r="D30" s="47" t="s">
        <v>103</v>
      </c>
      <c r="E30" s="244">
        <v>1412000078</v>
      </c>
      <c r="F30" s="159" t="e">
        <f>VLOOKUP($D30&amp;F$5&amp;F$4,集計!$D:$R,F$3,0)</f>
        <v>#N/A</v>
      </c>
      <c r="G30" s="160" t="e">
        <f>VLOOKUP($D30&amp;G$5&amp;G$4,集計!$D:$R,G$3,0)</f>
        <v>#N/A</v>
      </c>
      <c r="H30" s="50" t="e">
        <f>VLOOKUP($D30&amp;H$5&amp;H$4,集計!$D:$R,H$3,0)</f>
        <v>#N/A</v>
      </c>
      <c r="I30" s="82" t="e">
        <f>VLOOKUP($D30&amp;I$5&amp;I$4,集計!$D:$R,I$3,0)</f>
        <v>#N/A</v>
      </c>
      <c r="J30" s="159" t="e">
        <f>VLOOKUP($D30&amp;J$5&amp;J$4,集計!$D:$R,J$3,0)</f>
        <v>#N/A</v>
      </c>
      <c r="K30" s="160" t="e">
        <f>VLOOKUP($D30&amp;K$5&amp;K$4,集計!$D:$R,K$3,0)</f>
        <v>#N/A</v>
      </c>
      <c r="L30" s="50" t="e">
        <f>VLOOKUP($D30&amp;L$5&amp;L$4,集計!$D:$R,L$3,0)</f>
        <v>#N/A</v>
      </c>
      <c r="M30" s="82" t="e">
        <f>VLOOKUP($D30&amp;M$5&amp;M$4,集計!$D:$R,M$3,0)</f>
        <v>#N/A</v>
      </c>
      <c r="N30" s="159" t="e">
        <f>VLOOKUP($D30&amp;N$5&amp;N$4,集計!$D:$R,N$3,0)</f>
        <v>#N/A</v>
      </c>
      <c r="O30" s="160" t="e">
        <f>VLOOKUP($D30&amp;O$5&amp;O$4,集計!$D:$R,O$3,0)</f>
        <v>#N/A</v>
      </c>
      <c r="P30" s="50" t="e">
        <f>VLOOKUP($D30&amp;P$5&amp;P$4,集計!$D:$R,P$3,0)</f>
        <v>#N/A</v>
      </c>
      <c r="Q30" s="82" t="e">
        <f>VLOOKUP($D30&amp;Q$5&amp;Q$4,集計!$D:$R,Q$3,0)</f>
        <v>#N/A</v>
      </c>
      <c r="R30" s="159" t="e">
        <f>VLOOKUP($D30&amp;R$5&amp;R$4,集計!$D:$R,R$3,0)</f>
        <v>#N/A</v>
      </c>
      <c r="S30" s="160" t="e">
        <f>VLOOKUP($D30&amp;S$5&amp;S$4,集計!$D:$R,S$3,0)</f>
        <v>#N/A</v>
      </c>
      <c r="T30" s="50" t="e">
        <f>VLOOKUP($D30&amp;T$5&amp;T$4,集計!$D:$R,T$3,0)</f>
        <v>#N/A</v>
      </c>
      <c r="U30" s="82" t="e">
        <f>VLOOKUP($D30&amp;U$5&amp;U$4,集計!$D:$R,U$3,0)</f>
        <v>#N/A</v>
      </c>
      <c r="V30" s="159" t="e">
        <f>VLOOKUP($D30&amp;V$5&amp;V$4,集計!$D:$R,V$3,0)</f>
        <v>#N/A</v>
      </c>
      <c r="W30" s="160" t="e">
        <f>VLOOKUP($D30&amp;W$5&amp;W$4,集計!$D:$R,W$3,0)</f>
        <v>#N/A</v>
      </c>
      <c r="X30" s="50" t="e">
        <f>VLOOKUP($D30&amp;X$5&amp;X$4,集計!$D:$R,X$3,0)</f>
        <v>#N/A</v>
      </c>
      <c r="Y30" s="82" t="e">
        <f>VLOOKUP($D30&amp;Y$5&amp;Y$4,集計!$D:$R,Y$3,0)</f>
        <v>#N/A</v>
      </c>
      <c r="Z30" s="159" t="e">
        <f>VLOOKUP($D30&amp;Z$5&amp;Z$4,集計!$D:$R,Z$3,0)</f>
        <v>#N/A</v>
      </c>
      <c r="AA30" s="160" t="e">
        <f>VLOOKUP($D30&amp;AA$5&amp;AA$4,集計!$D:$R,AA$3,0)</f>
        <v>#N/A</v>
      </c>
      <c r="AB30" s="50" t="e">
        <f>VLOOKUP($D30&amp;AB$5&amp;AB$4,集計!$D:$R,AB$3,0)</f>
        <v>#N/A</v>
      </c>
      <c r="AC30" s="82" t="e">
        <f>VLOOKUP($D30&amp;AC$5&amp;AC$4,集計!$D:$R,AC$3,0)</f>
        <v>#N/A</v>
      </c>
      <c r="AD30" s="159" t="e">
        <f>VLOOKUP($D30&amp;AD$5&amp;AD$4,集計!$D:$R,AD$3,0)</f>
        <v>#N/A</v>
      </c>
      <c r="AE30" s="160" t="e">
        <f>VLOOKUP($D30&amp;AE$5&amp;AE$4,集計!$D:$R,AE$3,0)</f>
        <v>#N/A</v>
      </c>
      <c r="AF30" s="50" t="e">
        <f>VLOOKUP($D30&amp;AF$5&amp;AF$4,集計!$D:$R,AF$3,0)</f>
        <v>#N/A</v>
      </c>
      <c r="AG30" s="82" t="e">
        <f>VLOOKUP($D30&amp;AG$5&amp;AG$4,集計!$D:$R,AG$3,0)</f>
        <v>#N/A</v>
      </c>
      <c r="AH30" s="159" t="e">
        <f>VLOOKUP($D30&amp;AH$5&amp;AH$4,集計!$D:$R,AH$3,0)</f>
        <v>#N/A</v>
      </c>
      <c r="AI30" s="160" t="e">
        <f>VLOOKUP($D30&amp;AI$5&amp;AI$4,集計!$D:$R,AI$3,0)</f>
        <v>#N/A</v>
      </c>
      <c r="AJ30" s="50" t="e">
        <f>VLOOKUP($D30&amp;AJ$5&amp;AJ$4,集計!$D:$R,AJ$3,0)</f>
        <v>#N/A</v>
      </c>
      <c r="AK30" s="82" t="e">
        <f>VLOOKUP($D30&amp;AK$5&amp;AK$4,集計!$D:$R,AK$3,0)</f>
        <v>#N/A</v>
      </c>
      <c r="AL30" s="159" t="e">
        <f>VLOOKUP($D30&amp;AL$5&amp;AL$4,集計!$D:$R,AL$3,0)</f>
        <v>#N/A</v>
      </c>
      <c r="AM30" s="160" t="e">
        <f>VLOOKUP($D30&amp;AM$5&amp;AM$4,集計!$D:$R,AM$3,0)</f>
        <v>#N/A</v>
      </c>
      <c r="AN30" s="50" t="e">
        <f>VLOOKUP($D30&amp;AN$5&amp;AN$4,集計!$D:$R,AN$3,0)</f>
        <v>#N/A</v>
      </c>
      <c r="AO30" s="82" t="e">
        <f>VLOOKUP($D30&amp;AO$5&amp;AO$4,集計!$D:$R,AO$3,0)</f>
        <v>#N/A</v>
      </c>
      <c r="AP30" s="159" t="e">
        <f>VLOOKUP($D30&amp;AP$5&amp;AP$4,集計!$D:$R,AP$3,0)</f>
        <v>#N/A</v>
      </c>
      <c r="AQ30" s="160" t="e">
        <f>VLOOKUP($D30&amp;AQ$5&amp;AQ$4,集計!$D:$R,AQ$3,0)</f>
        <v>#N/A</v>
      </c>
      <c r="AR30" s="50" t="e">
        <f>VLOOKUP($D30&amp;AR$5&amp;AR$4,集計!$D:$R,AR$3,0)</f>
        <v>#N/A</v>
      </c>
      <c r="AS30" s="82" t="e">
        <f>VLOOKUP($D30&amp;AS$5&amp;AS$4,集計!$D:$R,AS$3,0)</f>
        <v>#N/A</v>
      </c>
      <c r="AT30" s="159" t="e">
        <f>VLOOKUP($D30&amp;AT$5&amp;AT$4,集計!$D:$R,AT$3,0)</f>
        <v>#N/A</v>
      </c>
      <c r="AU30" s="160" t="e">
        <f>VLOOKUP($D30&amp;AU$5&amp;AU$4,集計!$D:$R,AU$3,0)</f>
        <v>#N/A</v>
      </c>
      <c r="AV30" s="50" t="e">
        <f>VLOOKUP($D30&amp;AV$5&amp;AV$4,集計!$D:$R,AV$3,0)</f>
        <v>#N/A</v>
      </c>
      <c r="AW30" s="82" t="e">
        <f>VLOOKUP($D30&amp;AW$5&amp;AW$4,集計!$D:$R,AW$3,0)</f>
        <v>#N/A</v>
      </c>
      <c r="AX30" s="159" t="e">
        <f>VLOOKUP($D30&amp;AX$5&amp;AX$4,集計!$D:$R,AX$3,0)</f>
        <v>#N/A</v>
      </c>
      <c r="AY30" s="160" t="e">
        <f>VLOOKUP($D30&amp;AY$5&amp;AY$4,集計!$D:$R,AY$3,0)</f>
        <v>#N/A</v>
      </c>
      <c r="AZ30" s="50" t="e">
        <f>VLOOKUP($D30&amp;AZ$5&amp;AZ$4,集計!$D:$R,AZ$3,0)</f>
        <v>#N/A</v>
      </c>
      <c r="BA30" s="82" t="e">
        <f>VLOOKUP($D30&amp;BA$5&amp;BA$4,集計!$D:$R,BA$3,0)</f>
        <v>#N/A</v>
      </c>
    </row>
  </sheetData>
  <sheetCalcPr fullCalcOnLoad="1"/>
  <autoFilter ref="A7:BA30" xr:uid="{3D0257EA-3E14-492A-BBE9-35848A57439B}"/>
  <mergeCells count="48">
    <mergeCell ref="Z6:AA6"/>
    <mergeCell ref="X6:Y6"/>
    <mergeCell ref="V6:W6"/>
    <mergeCell ref="T6:U6"/>
    <mergeCell ref="AZ6:BA6"/>
    <mergeCell ref="AV6:AW6"/>
    <mergeCell ref="AT6:AU6"/>
    <mergeCell ref="AR6:AS6"/>
    <mergeCell ref="AP6:AQ6"/>
    <mergeCell ref="AX6:AY6"/>
    <mergeCell ref="AL6:AM6"/>
    <mergeCell ref="AJ6:AK6"/>
    <mergeCell ref="AH6:AI6"/>
    <mergeCell ref="AF6:AG6"/>
    <mergeCell ref="AB6:AC6"/>
    <mergeCell ref="F6:G6"/>
    <mergeCell ref="R6:S6"/>
    <mergeCell ref="P6:Q6"/>
    <mergeCell ref="N6:O6"/>
    <mergeCell ref="L6:M6"/>
    <mergeCell ref="H6:I6"/>
    <mergeCell ref="J6:K6"/>
    <mergeCell ref="AH2:AK2"/>
    <mergeCell ref="AN6:AO6"/>
    <mergeCell ref="N2:Q2"/>
    <mergeCell ref="R1:U1"/>
    <mergeCell ref="V1:Y1"/>
    <mergeCell ref="Z1:AC1"/>
    <mergeCell ref="AD1:AG1"/>
    <mergeCell ref="AD6:AE6"/>
    <mergeCell ref="AH1:AK1"/>
    <mergeCell ref="AL2:AO2"/>
    <mergeCell ref="AP1:AS1"/>
    <mergeCell ref="AT1:AW1"/>
    <mergeCell ref="AX1:BA1"/>
    <mergeCell ref="AX2:BA2"/>
    <mergeCell ref="AT2:AW2"/>
    <mergeCell ref="AP2:AS2"/>
    <mergeCell ref="F1:I1"/>
    <mergeCell ref="F2:I2"/>
    <mergeCell ref="J1:M1"/>
    <mergeCell ref="J2:M2"/>
    <mergeCell ref="N1:Q1"/>
    <mergeCell ref="AL1:AO1"/>
    <mergeCell ref="AD2:AG2"/>
    <mergeCell ref="Z2:AC2"/>
    <mergeCell ref="V2:Y2"/>
    <mergeCell ref="R2:U2"/>
  </mergeCells>
  <phoneticPr fontId="53"/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47" r:id="rId4" name="TextBox1">
          <controlPr defaultSize="0" autoLine="0" r:id="rId5">
            <anchor moveWithCells="1">
              <from>
                <xdr:col>0</xdr:col>
                <xdr:colOff>44450</xdr:colOff>
                <xdr:row>2</xdr:row>
                <xdr:rowOff>146050</xdr:rowOff>
              </from>
              <to>
                <xdr:col>1</xdr:col>
                <xdr:colOff>0</xdr:colOff>
                <xdr:row>4</xdr:row>
                <xdr:rowOff>69850</xdr:rowOff>
              </to>
            </anchor>
          </controlPr>
        </control>
      </mc:Choice>
      <mc:Fallback>
        <control shapeId="1047" r:id="rId4" name="TextBox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CD61-E9C1-4A98-955C-C1CCFBF09F4E}">
  <sheetPr codeName="Sheet7"/>
  <dimension ref="A1:BA40"/>
  <sheetViews>
    <sheetView workbookViewId="0">
      <pane ySplit="7" topLeftCell="A13" activePane="bottomLeft" state="frozen"/>
      <selection pane="bottomLeft" activeCell="A16" sqref="A16"/>
    </sheetView>
  </sheetViews>
  <sheetFormatPr defaultColWidth="9.08984375" defaultRowHeight="14.5"/>
  <cols>
    <col min="1" max="1" width="4.6328125" customWidth="1"/>
    <col min="2" max="2" width="7.36328125" bestFit="1" customWidth="1"/>
    <col min="3" max="3" width="35.26953125" bestFit="1" customWidth="1"/>
    <col min="4" max="4" width="35.6328125" customWidth="1"/>
    <col min="5" max="5" width="14" style="109" bestFit="1" customWidth="1"/>
    <col min="6" max="53" width="13.36328125" customWidth="1"/>
    <col min="54" max="16384" width="9.08984375" style="97"/>
  </cols>
  <sheetData>
    <row r="1" spans="1:53" ht="15" thickTop="1">
      <c r="A1" s="18"/>
      <c r="B1" s="19"/>
      <c r="C1" s="20"/>
      <c r="D1" s="20"/>
      <c r="E1" s="103"/>
      <c r="F1" s="330" t="s">
        <v>62</v>
      </c>
      <c r="G1" s="331"/>
      <c r="H1" s="331"/>
      <c r="I1" s="332"/>
      <c r="J1" s="330" t="s">
        <v>63</v>
      </c>
      <c r="K1" s="331"/>
      <c r="L1" s="331"/>
      <c r="M1" s="332"/>
      <c r="N1" s="330" t="s">
        <v>52</v>
      </c>
      <c r="O1" s="331"/>
      <c r="P1" s="331"/>
      <c r="Q1" s="332"/>
      <c r="R1" s="330" t="s">
        <v>53</v>
      </c>
      <c r="S1" s="331"/>
      <c r="T1" s="331"/>
      <c r="U1" s="332"/>
      <c r="V1" s="330" t="s">
        <v>54</v>
      </c>
      <c r="W1" s="331"/>
      <c r="X1" s="331"/>
      <c r="Y1" s="332"/>
      <c r="Z1" s="330" t="s">
        <v>55</v>
      </c>
      <c r="AA1" s="331"/>
      <c r="AB1" s="331"/>
      <c r="AC1" s="332"/>
      <c r="AD1" s="330" t="s">
        <v>56</v>
      </c>
      <c r="AE1" s="331"/>
      <c r="AF1" s="331"/>
      <c r="AG1" s="332"/>
      <c r="AH1" s="330" t="s">
        <v>57</v>
      </c>
      <c r="AI1" s="331"/>
      <c r="AJ1" s="331"/>
      <c r="AK1" s="332"/>
      <c r="AL1" s="330" t="s">
        <v>58</v>
      </c>
      <c r="AM1" s="331"/>
      <c r="AN1" s="331"/>
      <c r="AO1" s="332"/>
      <c r="AP1" s="330" t="s">
        <v>59</v>
      </c>
      <c r="AQ1" s="331"/>
      <c r="AR1" s="331"/>
      <c r="AS1" s="332"/>
      <c r="AT1" s="330" t="s">
        <v>60</v>
      </c>
      <c r="AU1" s="331"/>
      <c r="AV1" s="331"/>
      <c r="AW1" s="332"/>
      <c r="AX1" s="330" t="s">
        <v>61</v>
      </c>
      <c r="AY1" s="331"/>
      <c r="AZ1" s="331"/>
      <c r="BA1" s="332"/>
    </row>
    <row r="2" spans="1:53">
      <c r="A2" s="18"/>
      <c r="B2" s="19"/>
      <c r="C2" s="20"/>
      <c r="D2" s="20"/>
      <c r="E2" s="103"/>
      <c r="F2" s="327">
        <v>4</v>
      </c>
      <c r="G2" s="328"/>
      <c r="H2" s="328"/>
      <c r="I2" s="329"/>
      <c r="J2" s="327">
        <f>F2+1</f>
        <v>5</v>
      </c>
      <c r="K2" s="328"/>
      <c r="L2" s="328"/>
      <c r="M2" s="329"/>
      <c r="N2" s="327">
        <f>J2+1</f>
        <v>6</v>
      </c>
      <c r="O2" s="328"/>
      <c r="P2" s="328"/>
      <c r="Q2" s="329"/>
      <c r="R2" s="327">
        <f>N2+1</f>
        <v>7</v>
      </c>
      <c r="S2" s="328"/>
      <c r="T2" s="328"/>
      <c r="U2" s="329"/>
      <c r="V2" s="327">
        <f>R2+1</f>
        <v>8</v>
      </c>
      <c r="W2" s="328"/>
      <c r="X2" s="328"/>
      <c r="Y2" s="329"/>
      <c r="Z2" s="327">
        <f>V2+1</f>
        <v>9</v>
      </c>
      <c r="AA2" s="328"/>
      <c r="AB2" s="328"/>
      <c r="AC2" s="329"/>
      <c r="AD2" s="327">
        <f>Z2+1</f>
        <v>10</v>
      </c>
      <c r="AE2" s="328"/>
      <c r="AF2" s="328"/>
      <c r="AG2" s="329"/>
      <c r="AH2" s="327">
        <f>AD2+1</f>
        <v>11</v>
      </c>
      <c r="AI2" s="328"/>
      <c r="AJ2" s="328"/>
      <c r="AK2" s="329"/>
      <c r="AL2" s="327">
        <f>AH2+1</f>
        <v>12</v>
      </c>
      <c r="AM2" s="328"/>
      <c r="AN2" s="328"/>
      <c r="AO2" s="329"/>
      <c r="AP2" s="327">
        <v>1</v>
      </c>
      <c r="AQ2" s="328"/>
      <c r="AR2" s="328"/>
      <c r="AS2" s="329"/>
      <c r="AT2" s="327">
        <f>AP2+1</f>
        <v>2</v>
      </c>
      <c r="AU2" s="328"/>
      <c r="AV2" s="328"/>
      <c r="AW2" s="329"/>
      <c r="AX2" s="327">
        <f>AT2+1</f>
        <v>3</v>
      </c>
      <c r="AY2" s="328"/>
      <c r="AZ2" s="328"/>
      <c r="BA2" s="329"/>
    </row>
    <row r="3" spans="1:53">
      <c r="A3" s="18"/>
      <c r="B3" s="19"/>
      <c r="C3" s="20"/>
      <c r="D3" s="20"/>
      <c r="E3" s="103"/>
      <c r="F3" s="67">
        <v>4</v>
      </c>
      <c r="G3" s="65">
        <f>F3</f>
        <v>4</v>
      </c>
      <c r="H3" s="65">
        <f>F3</f>
        <v>4</v>
      </c>
      <c r="I3" s="68">
        <f>F3</f>
        <v>4</v>
      </c>
      <c r="J3" s="67">
        <f>I3+1</f>
        <v>5</v>
      </c>
      <c r="K3" s="65">
        <f>J3</f>
        <v>5</v>
      </c>
      <c r="L3" s="65">
        <f>J3</f>
        <v>5</v>
      </c>
      <c r="M3" s="68">
        <f>J3</f>
        <v>5</v>
      </c>
      <c r="N3" s="67">
        <f>M3+1</f>
        <v>6</v>
      </c>
      <c r="O3" s="65">
        <f>N3</f>
        <v>6</v>
      </c>
      <c r="P3" s="65">
        <f>N3</f>
        <v>6</v>
      </c>
      <c r="Q3" s="68">
        <f>N3</f>
        <v>6</v>
      </c>
      <c r="R3" s="67">
        <f>Q3+1</f>
        <v>7</v>
      </c>
      <c r="S3" s="65">
        <f>R3</f>
        <v>7</v>
      </c>
      <c r="T3" s="65">
        <f>R3</f>
        <v>7</v>
      </c>
      <c r="U3" s="68">
        <f>R3</f>
        <v>7</v>
      </c>
      <c r="V3" s="67">
        <f>U3+1</f>
        <v>8</v>
      </c>
      <c r="W3" s="65">
        <f>V3</f>
        <v>8</v>
      </c>
      <c r="X3" s="65">
        <f>V3</f>
        <v>8</v>
      </c>
      <c r="Y3" s="68">
        <f>V3</f>
        <v>8</v>
      </c>
      <c r="Z3" s="67">
        <f>Y3+1</f>
        <v>9</v>
      </c>
      <c r="AA3" s="65">
        <f>Z3</f>
        <v>9</v>
      </c>
      <c r="AB3" s="65">
        <f>Z3</f>
        <v>9</v>
      </c>
      <c r="AC3" s="68">
        <f>Z3</f>
        <v>9</v>
      </c>
      <c r="AD3" s="67">
        <f>AC3+1</f>
        <v>10</v>
      </c>
      <c r="AE3" s="65">
        <f>AD3</f>
        <v>10</v>
      </c>
      <c r="AF3" s="65">
        <f>AD3</f>
        <v>10</v>
      </c>
      <c r="AG3" s="68">
        <f>AD3</f>
        <v>10</v>
      </c>
      <c r="AH3" s="67">
        <f>AG3+1</f>
        <v>11</v>
      </c>
      <c r="AI3" s="65">
        <f>AH3</f>
        <v>11</v>
      </c>
      <c r="AJ3" s="65">
        <f>AH3</f>
        <v>11</v>
      </c>
      <c r="AK3" s="68">
        <f>AH3</f>
        <v>11</v>
      </c>
      <c r="AL3" s="67">
        <f>AK3+1</f>
        <v>12</v>
      </c>
      <c r="AM3" s="65">
        <f>AL3</f>
        <v>12</v>
      </c>
      <c r="AN3" s="65">
        <f>AL3</f>
        <v>12</v>
      </c>
      <c r="AO3" s="68">
        <f>AL3</f>
        <v>12</v>
      </c>
      <c r="AP3" s="67">
        <f>AO3+1</f>
        <v>13</v>
      </c>
      <c r="AQ3" s="65">
        <f>AP3</f>
        <v>13</v>
      </c>
      <c r="AR3" s="65">
        <f>AP3</f>
        <v>13</v>
      </c>
      <c r="AS3" s="68">
        <f>AP3</f>
        <v>13</v>
      </c>
      <c r="AT3" s="67">
        <f>AS3+1</f>
        <v>14</v>
      </c>
      <c r="AU3" s="65">
        <f>AT3</f>
        <v>14</v>
      </c>
      <c r="AV3" s="65">
        <f>AT3</f>
        <v>14</v>
      </c>
      <c r="AW3" s="68">
        <f>AT3</f>
        <v>14</v>
      </c>
      <c r="AX3" s="67">
        <f>AW3+1</f>
        <v>15</v>
      </c>
      <c r="AY3" s="65">
        <f>AX3</f>
        <v>15</v>
      </c>
      <c r="AZ3" s="65">
        <f>AX3</f>
        <v>15</v>
      </c>
      <c r="BA3" s="68">
        <f>AX3</f>
        <v>15</v>
      </c>
    </row>
    <row r="4" spans="1:53">
      <c r="A4" t="s">
        <v>67</v>
      </c>
      <c r="B4" s="111" t="s">
        <v>47</v>
      </c>
      <c r="C4" s="112"/>
      <c r="D4" s="112"/>
      <c r="E4" s="103"/>
      <c r="F4" s="69" t="s">
        <v>29</v>
      </c>
      <c r="G4" s="66" t="s">
        <v>29</v>
      </c>
      <c r="H4" s="70" t="s">
        <v>40</v>
      </c>
      <c r="I4" s="71" t="s">
        <v>40</v>
      </c>
      <c r="J4" s="69" t="s">
        <v>29</v>
      </c>
      <c r="K4" s="66" t="s">
        <v>29</v>
      </c>
      <c r="L4" s="70" t="s">
        <v>40</v>
      </c>
      <c r="M4" s="71" t="s">
        <v>40</v>
      </c>
      <c r="N4" s="69" t="s">
        <v>29</v>
      </c>
      <c r="O4" s="66" t="s">
        <v>29</v>
      </c>
      <c r="P4" s="70" t="s">
        <v>40</v>
      </c>
      <c r="Q4" s="71" t="s">
        <v>40</v>
      </c>
      <c r="R4" s="69" t="s">
        <v>29</v>
      </c>
      <c r="S4" s="66" t="s">
        <v>29</v>
      </c>
      <c r="T4" s="70" t="s">
        <v>40</v>
      </c>
      <c r="U4" s="71" t="s">
        <v>40</v>
      </c>
      <c r="V4" s="69" t="s">
        <v>29</v>
      </c>
      <c r="W4" s="66" t="s">
        <v>29</v>
      </c>
      <c r="X4" s="70" t="s">
        <v>40</v>
      </c>
      <c r="Y4" s="71" t="s">
        <v>40</v>
      </c>
      <c r="Z4" s="69" t="s">
        <v>29</v>
      </c>
      <c r="AA4" s="66" t="s">
        <v>29</v>
      </c>
      <c r="AB4" s="70" t="s">
        <v>40</v>
      </c>
      <c r="AC4" s="71" t="s">
        <v>40</v>
      </c>
      <c r="AD4" s="69" t="s">
        <v>29</v>
      </c>
      <c r="AE4" s="66" t="s">
        <v>29</v>
      </c>
      <c r="AF4" s="70" t="s">
        <v>40</v>
      </c>
      <c r="AG4" s="71" t="s">
        <v>40</v>
      </c>
      <c r="AH4" s="69" t="s">
        <v>29</v>
      </c>
      <c r="AI4" s="66" t="s">
        <v>29</v>
      </c>
      <c r="AJ4" s="70" t="s">
        <v>40</v>
      </c>
      <c r="AK4" s="71" t="s">
        <v>40</v>
      </c>
      <c r="AL4" s="69" t="s">
        <v>29</v>
      </c>
      <c r="AM4" s="66" t="s">
        <v>29</v>
      </c>
      <c r="AN4" s="70" t="s">
        <v>40</v>
      </c>
      <c r="AO4" s="71" t="s">
        <v>40</v>
      </c>
      <c r="AP4" s="69" t="s">
        <v>29</v>
      </c>
      <c r="AQ4" s="66" t="s">
        <v>29</v>
      </c>
      <c r="AR4" s="70" t="s">
        <v>40</v>
      </c>
      <c r="AS4" s="71" t="s">
        <v>40</v>
      </c>
      <c r="AT4" s="69" t="s">
        <v>29</v>
      </c>
      <c r="AU4" s="66" t="s">
        <v>29</v>
      </c>
      <c r="AV4" s="70" t="s">
        <v>40</v>
      </c>
      <c r="AW4" s="71" t="s">
        <v>40</v>
      </c>
      <c r="AX4" s="69" t="s">
        <v>29</v>
      </c>
      <c r="AY4" s="66" t="s">
        <v>29</v>
      </c>
      <c r="AZ4" s="70" t="s">
        <v>40</v>
      </c>
      <c r="BA4" s="71" t="s">
        <v>40</v>
      </c>
    </row>
    <row r="5" spans="1:53" ht="15" thickBot="1">
      <c r="A5" s="18"/>
      <c r="B5" s="19"/>
      <c r="C5" s="20"/>
      <c r="D5" s="20"/>
      <c r="E5" s="103"/>
      <c r="F5" s="72" t="s">
        <v>106</v>
      </c>
      <c r="G5" s="73" t="s">
        <v>107</v>
      </c>
      <c r="H5" s="73" t="s">
        <v>106</v>
      </c>
      <c r="I5" s="74" t="s">
        <v>107</v>
      </c>
      <c r="J5" s="72" t="s">
        <v>106</v>
      </c>
      <c r="K5" s="73" t="s">
        <v>107</v>
      </c>
      <c r="L5" s="73" t="s">
        <v>106</v>
      </c>
      <c r="M5" s="74" t="s">
        <v>107</v>
      </c>
      <c r="N5" s="72" t="s">
        <v>106</v>
      </c>
      <c r="O5" s="73" t="s">
        <v>107</v>
      </c>
      <c r="P5" s="73" t="s">
        <v>106</v>
      </c>
      <c r="Q5" s="74" t="s">
        <v>107</v>
      </c>
      <c r="R5" s="72" t="s">
        <v>106</v>
      </c>
      <c r="S5" s="73" t="s">
        <v>107</v>
      </c>
      <c r="T5" s="73" t="s">
        <v>106</v>
      </c>
      <c r="U5" s="74" t="s">
        <v>107</v>
      </c>
      <c r="V5" s="72" t="s">
        <v>106</v>
      </c>
      <c r="W5" s="73" t="s">
        <v>107</v>
      </c>
      <c r="X5" s="73" t="s">
        <v>106</v>
      </c>
      <c r="Y5" s="74" t="s">
        <v>107</v>
      </c>
      <c r="Z5" s="72" t="s">
        <v>106</v>
      </c>
      <c r="AA5" s="73" t="s">
        <v>107</v>
      </c>
      <c r="AB5" s="73" t="s">
        <v>106</v>
      </c>
      <c r="AC5" s="74" t="s">
        <v>107</v>
      </c>
      <c r="AD5" s="72" t="s">
        <v>106</v>
      </c>
      <c r="AE5" s="73" t="s">
        <v>107</v>
      </c>
      <c r="AF5" s="73" t="s">
        <v>106</v>
      </c>
      <c r="AG5" s="74" t="s">
        <v>107</v>
      </c>
      <c r="AH5" s="72" t="s">
        <v>106</v>
      </c>
      <c r="AI5" s="73" t="s">
        <v>107</v>
      </c>
      <c r="AJ5" s="73" t="s">
        <v>106</v>
      </c>
      <c r="AK5" s="74" t="s">
        <v>107</v>
      </c>
      <c r="AL5" s="72" t="s">
        <v>106</v>
      </c>
      <c r="AM5" s="73" t="s">
        <v>107</v>
      </c>
      <c r="AN5" s="73" t="s">
        <v>106</v>
      </c>
      <c r="AO5" s="74" t="s">
        <v>107</v>
      </c>
      <c r="AP5" s="72" t="s">
        <v>106</v>
      </c>
      <c r="AQ5" s="73" t="s">
        <v>107</v>
      </c>
      <c r="AR5" s="73" t="s">
        <v>106</v>
      </c>
      <c r="AS5" s="74" t="s">
        <v>107</v>
      </c>
      <c r="AT5" s="72" t="s">
        <v>106</v>
      </c>
      <c r="AU5" s="73" t="s">
        <v>107</v>
      </c>
      <c r="AV5" s="73" t="s">
        <v>106</v>
      </c>
      <c r="AW5" s="74" t="s">
        <v>107</v>
      </c>
      <c r="AX5" s="72" t="s">
        <v>106</v>
      </c>
      <c r="AY5" s="73" t="s">
        <v>107</v>
      </c>
      <c r="AZ5" s="73" t="s">
        <v>106</v>
      </c>
      <c r="BA5" s="74" t="s">
        <v>107</v>
      </c>
    </row>
    <row r="6" spans="1:53" ht="45.75" customHeight="1">
      <c r="A6" s="23"/>
      <c r="B6" s="24" t="s">
        <v>48</v>
      </c>
      <c r="C6" s="24" t="s">
        <v>88</v>
      </c>
      <c r="D6" s="24" t="s">
        <v>89</v>
      </c>
      <c r="E6" s="32" t="s">
        <v>72</v>
      </c>
      <c r="F6" s="333" t="s">
        <v>49</v>
      </c>
      <c r="G6" s="334"/>
      <c r="H6" s="335" t="s">
        <v>50</v>
      </c>
      <c r="I6" s="336"/>
      <c r="J6" s="333" t="s">
        <v>49</v>
      </c>
      <c r="K6" s="334"/>
      <c r="L6" s="335" t="s">
        <v>50</v>
      </c>
      <c r="M6" s="336"/>
      <c r="N6" s="333" t="s">
        <v>49</v>
      </c>
      <c r="O6" s="334"/>
      <c r="P6" s="335" t="s">
        <v>50</v>
      </c>
      <c r="Q6" s="336"/>
      <c r="R6" s="333" t="s">
        <v>49</v>
      </c>
      <c r="S6" s="334"/>
      <c r="T6" s="335" t="s">
        <v>50</v>
      </c>
      <c r="U6" s="336"/>
      <c r="V6" s="333" t="s">
        <v>49</v>
      </c>
      <c r="W6" s="334"/>
      <c r="X6" s="335" t="s">
        <v>50</v>
      </c>
      <c r="Y6" s="336"/>
      <c r="Z6" s="333" t="s">
        <v>49</v>
      </c>
      <c r="AA6" s="334"/>
      <c r="AB6" s="335" t="s">
        <v>50</v>
      </c>
      <c r="AC6" s="336"/>
      <c r="AD6" s="333" t="s">
        <v>49</v>
      </c>
      <c r="AE6" s="334"/>
      <c r="AF6" s="335" t="s">
        <v>50</v>
      </c>
      <c r="AG6" s="336"/>
      <c r="AH6" s="333" t="s">
        <v>49</v>
      </c>
      <c r="AI6" s="334"/>
      <c r="AJ6" s="335" t="s">
        <v>50</v>
      </c>
      <c r="AK6" s="336"/>
      <c r="AL6" s="333" t="s">
        <v>49</v>
      </c>
      <c r="AM6" s="334"/>
      <c r="AN6" s="335" t="s">
        <v>50</v>
      </c>
      <c r="AO6" s="336"/>
      <c r="AP6" s="333" t="s">
        <v>49</v>
      </c>
      <c r="AQ6" s="334"/>
      <c r="AR6" s="335" t="s">
        <v>50</v>
      </c>
      <c r="AS6" s="336"/>
      <c r="AT6" s="333" t="s">
        <v>49</v>
      </c>
      <c r="AU6" s="334"/>
      <c r="AV6" s="335" t="s">
        <v>50</v>
      </c>
      <c r="AW6" s="336"/>
      <c r="AX6" s="333" t="s">
        <v>49</v>
      </c>
      <c r="AY6" s="334"/>
      <c r="AZ6" s="335" t="s">
        <v>50</v>
      </c>
      <c r="BA6" s="336"/>
    </row>
    <row r="7" spans="1:53" ht="26">
      <c r="A7" s="33"/>
      <c r="B7" s="34"/>
      <c r="C7" s="34"/>
      <c r="D7" s="34"/>
      <c r="E7" s="107"/>
      <c r="F7" s="75" t="s">
        <v>64</v>
      </c>
      <c r="G7" s="35" t="s">
        <v>65</v>
      </c>
      <c r="H7" s="35" t="s">
        <v>64</v>
      </c>
      <c r="I7" s="76" t="s">
        <v>65</v>
      </c>
      <c r="J7" s="75" t="s">
        <v>64</v>
      </c>
      <c r="K7" s="35" t="s">
        <v>65</v>
      </c>
      <c r="L7" s="35" t="s">
        <v>64</v>
      </c>
      <c r="M7" s="76" t="s">
        <v>65</v>
      </c>
      <c r="N7" s="75" t="s">
        <v>64</v>
      </c>
      <c r="O7" s="35" t="s">
        <v>65</v>
      </c>
      <c r="P7" s="35" t="s">
        <v>64</v>
      </c>
      <c r="Q7" s="76" t="s">
        <v>65</v>
      </c>
      <c r="R7" s="75" t="s">
        <v>64</v>
      </c>
      <c r="S7" s="35" t="s">
        <v>65</v>
      </c>
      <c r="T7" s="35" t="s">
        <v>64</v>
      </c>
      <c r="U7" s="76" t="s">
        <v>65</v>
      </c>
      <c r="V7" s="75" t="s">
        <v>64</v>
      </c>
      <c r="W7" s="35" t="s">
        <v>65</v>
      </c>
      <c r="X7" s="35" t="s">
        <v>64</v>
      </c>
      <c r="Y7" s="76" t="s">
        <v>65</v>
      </c>
      <c r="Z7" s="75" t="s">
        <v>64</v>
      </c>
      <c r="AA7" s="35" t="s">
        <v>65</v>
      </c>
      <c r="AB7" s="35" t="s">
        <v>64</v>
      </c>
      <c r="AC7" s="76" t="s">
        <v>65</v>
      </c>
      <c r="AD7" s="75" t="s">
        <v>64</v>
      </c>
      <c r="AE7" s="35" t="s">
        <v>65</v>
      </c>
      <c r="AF7" s="35" t="s">
        <v>64</v>
      </c>
      <c r="AG7" s="76" t="s">
        <v>65</v>
      </c>
      <c r="AH7" s="75" t="s">
        <v>64</v>
      </c>
      <c r="AI7" s="35" t="s">
        <v>65</v>
      </c>
      <c r="AJ7" s="35" t="s">
        <v>64</v>
      </c>
      <c r="AK7" s="76" t="s">
        <v>65</v>
      </c>
      <c r="AL7" s="75" t="s">
        <v>64</v>
      </c>
      <c r="AM7" s="35" t="s">
        <v>65</v>
      </c>
      <c r="AN7" s="35" t="s">
        <v>64</v>
      </c>
      <c r="AO7" s="76" t="s">
        <v>65</v>
      </c>
      <c r="AP7" s="75" t="s">
        <v>64</v>
      </c>
      <c r="AQ7" s="35" t="s">
        <v>65</v>
      </c>
      <c r="AR7" s="35" t="s">
        <v>64</v>
      </c>
      <c r="AS7" s="76" t="s">
        <v>65</v>
      </c>
      <c r="AT7" s="75" t="s">
        <v>64</v>
      </c>
      <c r="AU7" s="35" t="s">
        <v>65</v>
      </c>
      <c r="AV7" s="35" t="s">
        <v>64</v>
      </c>
      <c r="AW7" s="76" t="s">
        <v>65</v>
      </c>
      <c r="AX7" s="75" t="s">
        <v>64</v>
      </c>
      <c r="AY7" s="35" t="s">
        <v>65</v>
      </c>
      <c r="AZ7" s="35" t="s">
        <v>64</v>
      </c>
      <c r="BA7" s="76" t="s">
        <v>65</v>
      </c>
    </row>
    <row r="8" spans="1:53" customFormat="1">
      <c r="A8" s="25" t="s">
        <v>97</v>
      </c>
      <c r="B8" s="25">
        <v>6371</v>
      </c>
      <c r="C8" s="26" t="s">
        <v>116</v>
      </c>
      <c r="D8" s="27"/>
      <c r="E8" s="108">
        <v>1412000052</v>
      </c>
      <c r="F8" s="77"/>
      <c r="G8" s="37"/>
      <c r="H8" s="39"/>
      <c r="I8" s="78"/>
      <c r="J8" s="77"/>
      <c r="K8" s="37"/>
      <c r="L8" s="39"/>
      <c r="M8" s="78"/>
      <c r="N8" s="77"/>
      <c r="O8" s="37"/>
      <c r="P8" s="39"/>
      <c r="Q8" s="78"/>
      <c r="R8" s="77"/>
      <c r="S8" s="37"/>
      <c r="T8" s="39"/>
      <c r="U8" s="78"/>
      <c r="V8" s="77"/>
      <c r="W8" s="37"/>
      <c r="X8" s="39"/>
      <c r="Y8" s="78"/>
      <c r="Z8" s="77"/>
      <c r="AA8" s="37"/>
      <c r="AB8" s="39"/>
      <c r="AC8" s="78"/>
      <c r="AD8" s="77"/>
      <c r="AE8" s="37"/>
      <c r="AF8" s="39"/>
      <c r="AG8" s="78"/>
      <c r="AH8" s="77"/>
      <c r="AI8" s="37"/>
      <c r="AJ8" s="39"/>
      <c r="AK8" s="78"/>
      <c r="AL8" s="77"/>
      <c r="AM8" s="37"/>
      <c r="AN8" s="39"/>
      <c r="AO8" s="78"/>
      <c r="AP8" s="77"/>
      <c r="AQ8" s="37"/>
      <c r="AR8" s="39"/>
      <c r="AS8" s="78"/>
      <c r="AT8" s="77"/>
      <c r="AU8" s="37"/>
      <c r="AV8" s="39"/>
      <c r="AW8" s="78"/>
      <c r="AX8" s="77"/>
      <c r="AY8" s="37"/>
      <c r="AZ8" s="39"/>
      <c r="BA8" s="78"/>
    </row>
    <row r="9" spans="1:53">
      <c r="A9" s="62"/>
      <c r="B9" s="28"/>
      <c r="C9" s="30"/>
      <c r="D9" s="31" t="s">
        <v>90</v>
      </c>
      <c r="E9" s="105">
        <v>1412000053</v>
      </c>
      <c r="F9" s="79" t="e">
        <f>VLOOKUP($D9&amp;F$5&amp;F$4,集計!$D:$R,F$3,0)</f>
        <v>#N/A</v>
      </c>
      <c r="G9" s="38" t="e">
        <f>VLOOKUP($D9&amp;G$5&amp;G$4,集計!$D:$R,G$3,0)</f>
        <v>#N/A</v>
      </c>
      <c r="H9" s="53" t="e">
        <f>VLOOKUP($D9&amp;H$5&amp;H$4,集計!$D:$R,H$3,0)</f>
        <v>#N/A</v>
      </c>
      <c r="I9" s="87" t="e">
        <f>VLOOKUP($D9&amp;I$5&amp;I$4,集計!$D:$R,I$3,0)</f>
        <v>#N/A</v>
      </c>
      <c r="J9" s="79" t="e">
        <f>VLOOKUP($D9&amp;J$5&amp;J$4,集計!$D:$R,J$3,0)</f>
        <v>#N/A</v>
      </c>
      <c r="K9" s="38" t="e">
        <f>VLOOKUP($D9&amp;K$5&amp;K$4,集計!$D:$R,K$3,0)</f>
        <v>#N/A</v>
      </c>
      <c r="L9" s="53" t="e">
        <f>VLOOKUP($D9&amp;L$5&amp;L$4,集計!$D:$R,L$3,0)</f>
        <v>#N/A</v>
      </c>
      <c r="M9" s="87" t="e">
        <f>VLOOKUP($D9&amp;M$5&amp;M$4,集計!$D:$R,M$3,0)</f>
        <v>#N/A</v>
      </c>
      <c r="N9" s="79" t="e">
        <f>VLOOKUP($D9&amp;N$5&amp;N$4,集計!$D:$R,N$3,0)</f>
        <v>#N/A</v>
      </c>
      <c r="O9" s="38" t="e">
        <f>VLOOKUP($D9&amp;O$5&amp;O$4,集計!$D:$R,O$3,0)</f>
        <v>#N/A</v>
      </c>
      <c r="P9" s="53" t="e">
        <f>VLOOKUP($D9&amp;P$5&amp;P$4,集計!$D:$R,P$3,0)</f>
        <v>#N/A</v>
      </c>
      <c r="Q9" s="87" t="e">
        <f>VLOOKUP($D9&amp;Q$5&amp;Q$4,集計!$D:$R,Q$3,0)</f>
        <v>#N/A</v>
      </c>
      <c r="R9" s="79" t="e">
        <f>VLOOKUP($D9&amp;R$5&amp;R$4,集計!$D:$R,R$3,0)</f>
        <v>#N/A</v>
      </c>
      <c r="S9" s="38" t="e">
        <f>VLOOKUP($D9&amp;S$5&amp;S$4,集計!$D:$R,S$3,0)</f>
        <v>#N/A</v>
      </c>
      <c r="T9" s="53" t="e">
        <f>VLOOKUP($D9&amp;T$5&amp;T$4,集計!$D:$R,T$3,0)</f>
        <v>#N/A</v>
      </c>
      <c r="U9" s="87" t="e">
        <f>VLOOKUP($D9&amp;U$5&amp;U$4,集計!$D:$R,U$3,0)</f>
        <v>#N/A</v>
      </c>
      <c r="V9" s="79" t="e">
        <f>VLOOKUP($D9&amp;V$5&amp;V$4,集計!$D:$R,V$3,0)</f>
        <v>#N/A</v>
      </c>
      <c r="W9" s="38" t="e">
        <f>VLOOKUP($D9&amp;W$5&amp;W$4,集計!$D:$R,W$3,0)</f>
        <v>#N/A</v>
      </c>
      <c r="X9" s="53" t="e">
        <f>VLOOKUP($D9&amp;X$5&amp;X$4,集計!$D:$R,X$3,0)</f>
        <v>#N/A</v>
      </c>
      <c r="Y9" s="87" t="e">
        <f>VLOOKUP($D9&amp;Y$5&amp;Y$4,集計!$D:$R,Y$3,0)</f>
        <v>#N/A</v>
      </c>
      <c r="Z9" s="79" t="e">
        <f>VLOOKUP($D9&amp;Z$5&amp;Z$4,集計!$D:$R,Z$3,0)</f>
        <v>#N/A</v>
      </c>
      <c r="AA9" s="38" t="e">
        <f>VLOOKUP($D9&amp;AA$5&amp;AA$4,集計!$D:$R,AA$3,0)</f>
        <v>#N/A</v>
      </c>
      <c r="AB9" s="53" t="e">
        <f>VLOOKUP($D9&amp;AB$5&amp;AB$4,集計!$D:$R,AB$3,0)</f>
        <v>#N/A</v>
      </c>
      <c r="AC9" s="87" t="e">
        <f>VLOOKUP($D9&amp;AC$5&amp;AC$4,集計!$D:$R,AC$3,0)</f>
        <v>#N/A</v>
      </c>
      <c r="AD9" s="79" t="e">
        <f>VLOOKUP($D9&amp;AD$5&amp;AD$4,集計!$D:$R,AD$3,0)</f>
        <v>#N/A</v>
      </c>
      <c r="AE9" s="38" t="e">
        <f>VLOOKUP($D9&amp;AE$5&amp;AE$4,集計!$D:$R,AE$3,0)</f>
        <v>#N/A</v>
      </c>
      <c r="AF9" s="53" t="e">
        <f>VLOOKUP($D9&amp;AF$5&amp;AF$4,集計!$D:$R,AF$3,0)</f>
        <v>#N/A</v>
      </c>
      <c r="AG9" s="87" t="e">
        <f>VLOOKUP($D9&amp;AG$5&amp;AG$4,集計!$D:$R,AG$3,0)</f>
        <v>#N/A</v>
      </c>
      <c r="AH9" s="79" t="e">
        <f>VLOOKUP($D9&amp;AH$5&amp;AH$4,集計!$D:$R,AH$3,0)</f>
        <v>#N/A</v>
      </c>
      <c r="AI9" s="38" t="e">
        <f>VLOOKUP($D9&amp;AI$5&amp;AI$4,集計!$D:$R,AI$3,0)</f>
        <v>#N/A</v>
      </c>
      <c r="AJ9" s="53" t="e">
        <f>VLOOKUP($D9&amp;AJ$5&amp;AJ$4,集計!$D:$R,AJ$3,0)</f>
        <v>#N/A</v>
      </c>
      <c r="AK9" s="87" t="e">
        <f>VLOOKUP($D9&amp;AK$5&amp;AK$4,集計!$D:$R,AK$3,0)</f>
        <v>#N/A</v>
      </c>
      <c r="AL9" s="79" t="e">
        <f>VLOOKUP($D9&amp;AL$5&amp;AL$4,集計!$D:$R,AL$3,0)</f>
        <v>#N/A</v>
      </c>
      <c r="AM9" s="38" t="e">
        <f>VLOOKUP($D9&amp;AM$5&amp;AM$4,集計!$D:$R,AM$3,0)</f>
        <v>#N/A</v>
      </c>
      <c r="AN9" s="53" t="e">
        <f>VLOOKUP($D9&amp;AN$5&amp;AN$4,集計!$D:$R,AN$3,0)</f>
        <v>#N/A</v>
      </c>
      <c r="AO9" s="87" t="e">
        <f>VLOOKUP($D9&amp;AO$5&amp;AO$4,集計!$D:$R,AO$3,0)</f>
        <v>#N/A</v>
      </c>
      <c r="AP9" s="79" t="e">
        <f>VLOOKUP($D9&amp;AP$5&amp;AP$4,集計!$D:$R,AP$3,0)</f>
        <v>#N/A</v>
      </c>
      <c r="AQ9" s="38" t="e">
        <f>VLOOKUP($D9&amp;AQ$5&amp;AQ$4,集計!$D:$R,AQ$3,0)</f>
        <v>#N/A</v>
      </c>
      <c r="AR9" s="53" t="e">
        <f>VLOOKUP($D9&amp;AR$5&amp;AR$4,集計!$D:$R,AR$3,0)</f>
        <v>#N/A</v>
      </c>
      <c r="AS9" s="87" t="e">
        <f>VLOOKUP($D9&amp;AS$5&amp;AS$4,集計!$D:$R,AS$3,0)</f>
        <v>#N/A</v>
      </c>
      <c r="AT9" s="79" t="e">
        <f>VLOOKUP($D9&amp;AT$5&amp;AT$4,集計!$D:$R,AT$3,0)</f>
        <v>#N/A</v>
      </c>
      <c r="AU9" s="38" t="e">
        <f>VLOOKUP($D9&amp;AU$5&amp;AU$4,集計!$D:$R,AU$3,0)</f>
        <v>#N/A</v>
      </c>
      <c r="AV9" s="53" t="e">
        <f>VLOOKUP($D9&amp;AV$5&amp;AV$4,集計!$D:$R,AV$3,0)</f>
        <v>#N/A</v>
      </c>
      <c r="AW9" s="87" t="e">
        <f>VLOOKUP($D9&amp;AW$5&amp;AW$4,集計!$D:$R,AW$3,0)</f>
        <v>#N/A</v>
      </c>
      <c r="AX9" s="79" t="e">
        <f>VLOOKUP($D9&amp;AX$5&amp;AX$4,集計!$D:$R,AX$3,0)</f>
        <v>#N/A</v>
      </c>
      <c r="AY9" s="38" t="e">
        <f>VLOOKUP($D9&amp;AY$5&amp;AY$4,集計!$D:$R,AY$3,0)</f>
        <v>#N/A</v>
      </c>
      <c r="AZ9" s="53" t="e">
        <f>VLOOKUP($D9&amp;AZ$5&amp;AZ$4,集計!$D:$R,AZ$3,0)</f>
        <v>#N/A</v>
      </c>
      <c r="BA9" s="87" t="e">
        <f>VLOOKUP($D9&amp;BA$5&amp;BA$4,集計!$D:$R,BA$3,0)</f>
        <v>#N/A</v>
      </c>
    </row>
    <row r="10" spans="1:53">
      <c r="A10" s="63"/>
      <c r="B10" s="44"/>
      <c r="C10" s="46"/>
      <c r="D10" s="47" t="s">
        <v>91</v>
      </c>
      <c r="E10" s="104">
        <v>1412000075</v>
      </c>
      <c r="F10" s="81" t="e">
        <f>VLOOKUP($D10&amp;F$5&amp;F$4,集計!$D:$R,F$3,0)</f>
        <v>#N/A</v>
      </c>
      <c r="G10" s="49" t="e">
        <f>VLOOKUP($D10&amp;G$5&amp;G$4,集計!$D:$R,G$3,0)</f>
        <v>#N/A</v>
      </c>
      <c r="H10" s="58" t="e">
        <f>VLOOKUP($D10&amp;H$5&amp;H$4,集計!$D:$R,H$3,0)</f>
        <v>#N/A</v>
      </c>
      <c r="I10" s="84" t="e">
        <f>VLOOKUP($D10&amp;I$5&amp;I$4,集計!$D:$R,I$3,0)</f>
        <v>#N/A</v>
      </c>
      <c r="J10" s="81" t="e">
        <f>VLOOKUP($D10&amp;J$5&amp;J$4,集計!$D:$R,J$3,0)</f>
        <v>#N/A</v>
      </c>
      <c r="K10" s="49" t="e">
        <f>VLOOKUP($D10&amp;K$5&amp;K$4,集計!$D:$R,K$3,0)</f>
        <v>#N/A</v>
      </c>
      <c r="L10" s="58" t="e">
        <f>VLOOKUP($D10&amp;L$5&amp;L$4,集計!$D:$R,L$3,0)</f>
        <v>#N/A</v>
      </c>
      <c r="M10" s="84" t="e">
        <f>VLOOKUP($D10&amp;M$5&amp;M$4,集計!$D:$R,M$3,0)</f>
        <v>#N/A</v>
      </c>
      <c r="N10" s="81" t="e">
        <f>VLOOKUP($D10&amp;N$5&amp;N$4,集計!$D:$R,N$3,0)</f>
        <v>#N/A</v>
      </c>
      <c r="O10" s="49" t="e">
        <f>VLOOKUP($D10&amp;O$5&amp;O$4,集計!$D:$R,O$3,0)</f>
        <v>#N/A</v>
      </c>
      <c r="P10" s="58" t="e">
        <f>VLOOKUP($D10&amp;P$5&amp;P$4,集計!$D:$R,P$3,0)</f>
        <v>#N/A</v>
      </c>
      <c r="Q10" s="84" t="e">
        <f>VLOOKUP($D10&amp;Q$5&amp;Q$4,集計!$D:$R,Q$3,0)</f>
        <v>#N/A</v>
      </c>
      <c r="R10" s="81" t="e">
        <f>VLOOKUP($D10&amp;R$5&amp;R$4,集計!$D:$R,R$3,0)</f>
        <v>#N/A</v>
      </c>
      <c r="S10" s="49" t="e">
        <f>VLOOKUP($D10&amp;S$5&amp;S$4,集計!$D:$R,S$3,0)</f>
        <v>#N/A</v>
      </c>
      <c r="T10" s="58" t="e">
        <f>VLOOKUP($D10&amp;T$5&amp;T$4,集計!$D:$R,T$3,0)</f>
        <v>#N/A</v>
      </c>
      <c r="U10" s="84" t="e">
        <f>VLOOKUP($D10&amp;U$5&amp;U$4,集計!$D:$R,U$3,0)</f>
        <v>#N/A</v>
      </c>
      <c r="V10" s="81" t="e">
        <f>VLOOKUP($D10&amp;V$5&amp;V$4,集計!$D:$R,V$3,0)</f>
        <v>#N/A</v>
      </c>
      <c r="W10" s="49" t="e">
        <f>VLOOKUP($D10&amp;W$5&amp;W$4,集計!$D:$R,W$3,0)</f>
        <v>#N/A</v>
      </c>
      <c r="X10" s="58" t="e">
        <f>VLOOKUP($D10&amp;X$5&amp;X$4,集計!$D:$R,X$3,0)</f>
        <v>#N/A</v>
      </c>
      <c r="Y10" s="84" t="e">
        <f>VLOOKUP($D10&amp;Y$5&amp;Y$4,集計!$D:$R,Y$3,0)</f>
        <v>#N/A</v>
      </c>
      <c r="Z10" s="81" t="e">
        <f>VLOOKUP($D10&amp;Z$5&amp;Z$4,集計!$D:$R,Z$3,0)</f>
        <v>#N/A</v>
      </c>
      <c r="AA10" s="49" t="e">
        <f>VLOOKUP($D10&amp;AA$5&amp;AA$4,集計!$D:$R,AA$3,0)</f>
        <v>#N/A</v>
      </c>
      <c r="AB10" s="58" t="e">
        <f>VLOOKUP($D10&amp;AB$5&amp;AB$4,集計!$D:$R,AB$3,0)</f>
        <v>#N/A</v>
      </c>
      <c r="AC10" s="84" t="e">
        <f>VLOOKUP($D10&amp;AC$5&amp;AC$4,集計!$D:$R,AC$3,0)</f>
        <v>#N/A</v>
      </c>
      <c r="AD10" s="81" t="e">
        <f>VLOOKUP($D10&amp;AD$5&amp;AD$4,集計!$D:$R,AD$3,0)</f>
        <v>#N/A</v>
      </c>
      <c r="AE10" s="49" t="e">
        <f>VLOOKUP($D10&amp;AE$5&amp;AE$4,集計!$D:$R,AE$3,0)</f>
        <v>#N/A</v>
      </c>
      <c r="AF10" s="58" t="e">
        <f>VLOOKUP($D10&amp;AF$5&amp;AF$4,集計!$D:$R,AF$3,0)</f>
        <v>#N/A</v>
      </c>
      <c r="AG10" s="84" t="e">
        <f>VLOOKUP($D10&amp;AG$5&amp;AG$4,集計!$D:$R,AG$3,0)</f>
        <v>#N/A</v>
      </c>
      <c r="AH10" s="81" t="e">
        <f>VLOOKUP($D10&amp;AH$5&amp;AH$4,集計!$D:$R,AH$3,0)</f>
        <v>#N/A</v>
      </c>
      <c r="AI10" s="49" t="e">
        <f>VLOOKUP($D10&amp;AI$5&amp;AI$4,集計!$D:$R,AI$3,0)</f>
        <v>#N/A</v>
      </c>
      <c r="AJ10" s="58" t="e">
        <f>VLOOKUP($D10&amp;AJ$5&amp;AJ$4,集計!$D:$R,AJ$3,0)</f>
        <v>#N/A</v>
      </c>
      <c r="AK10" s="84" t="e">
        <f>VLOOKUP($D10&amp;AK$5&amp;AK$4,集計!$D:$R,AK$3,0)</f>
        <v>#N/A</v>
      </c>
      <c r="AL10" s="81" t="e">
        <f>VLOOKUP($D10&amp;AL$5&amp;AL$4,集計!$D:$R,AL$3,0)</f>
        <v>#N/A</v>
      </c>
      <c r="AM10" s="49" t="e">
        <f>VLOOKUP($D10&amp;AM$5&amp;AM$4,集計!$D:$R,AM$3,0)</f>
        <v>#N/A</v>
      </c>
      <c r="AN10" s="58" t="e">
        <f>VLOOKUP($D10&amp;AN$5&amp;AN$4,集計!$D:$R,AN$3,0)</f>
        <v>#N/A</v>
      </c>
      <c r="AO10" s="84" t="e">
        <f>VLOOKUP($D10&amp;AO$5&amp;AO$4,集計!$D:$R,AO$3,0)</f>
        <v>#N/A</v>
      </c>
      <c r="AP10" s="81" t="e">
        <f>VLOOKUP($D10&amp;AP$5&amp;AP$4,集計!$D:$R,AP$3,0)</f>
        <v>#N/A</v>
      </c>
      <c r="AQ10" s="49" t="e">
        <f>VLOOKUP($D10&amp;AQ$5&amp;AQ$4,集計!$D:$R,AQ$3,0)</f>
        <v>#N/A</v>
      </c>
      <c r="AR10" s="58" t="e">
        <f>VLOOKUP($D10&amp;AR$5&amp;AR$4,集計!$D:$R,AR$3,0)</f>
        <v>#N/A</v>
      </c>
      <c r="AS10" s="84" t="e">
        <f>VLOOKUP($D10&amp;AS$5&amp;AS$4,集計!$D:$R,AS$3,0)</f>
        <v>#N/A</v>
      </c>
      <c r="AT10" s="81" t="e">
        <f>VLOOKUP($D10&amp;AT$5&amp;AT$4,集計!$D:$R,AT$3,0)</f>
        <v>#N/A</v>
      </c>
      <c r="AU10" s="49" t="e">
        <f>VLOOKUP($D10&amp;AU$5&amp;AU$4,集計!$D:$R,AU$3,0)</f>
        <v>#N/A</v>
      </c>
      <c r="AV10" s="58" t="e">
        <f>VLOOKUP($D10&amp;AV$5&amp;AV$4,集計!$D:$R,AV$3,0)</f>
        <v>#N/A</v>
      </c>
      <c r="AW10" s="84" t="e">
        <f>VLOOKUP($D10&amp;AW$5&amp;AW$4,集計!$D:$R,AW$3,0)</f>
        <v>#N/A</v>
      </c>
      <c r="AX10" s="81" t="e">
        <f>VLOOKUP($D10&amp;AX$5&amp;AX$4,集計!$D:$R,AX$3,0)</f>
        <v>#N/A</v>
      </c>
      <c r="AY10" s="49" t="e">
        <f>VLOOKUP($D10&amp;AY$5&amp;AY$4,集計!$D:$R,AY$3,0)</f>
        <v>#N/A</v>
      </c>
      <c r="AZ10" s="58" t="e">
        <f>VLOOKUP($D10&amp;AZ$5&amp;AZ$4,集計!$D:$R,AZ$3,0)</f>
        <v>#N/A</v>
      </c>
      <c r="BA10" s="84" t="e">
        <f>VLOOKUP($D10&amp;BA$5&amp;BA$4,集計!$D:$R,BA$3,0)</f>
        <v>#N/A</v>
      </c>
    </row>
    <row r="11" spans="1:53">
      <c r="A11" s="64"/>
      <c r="B11" s="40"/>
      <c r="C11" s="42"/>
      <c r="D11" s="43"/>
      <c r="E11" s="106"/>
      <c r="F11" s="88"/>
      <c r="G11" s="48"/>
      <c r="H11" s="59"/>
      <c r="I11" s="89"/>
      <c r="J11" s="88"/>
      <c r="K11" s="48"/>
      <c r="L11" s="59"/>
      <c r="M11" s="89"/>
      <c r="N11" s="88"/>
      <c r="O11" s="48"/>
      <c r="P11" s="59"/>
      <c r="Q11" s="89"/>
      <c r="R11" s="88"/>
      <c r="S11" s="48"/>
      <c r="T11" s="59"/>
      <c r="U11" s="89"/>
      <c r="V11" s="88"/>
      <c r="W11" s="48"/>
      <c r="X11" s="59"/>
      <c r="Y11" s="89"/>
      <c r="Z11" s="88"/>
      <c r="AA11" s="48"/>
      <c r="AB11" s="59"/>
      <c r="AC11" s="89"/>
      <c r="AD11" s="88"/>
      <c r="AE11" s="48"/>
      <c r="AF11" s="59"/>
      <c r="AG11" s="89"/>
      <c r="AH11" s="88"/>
      <c r="AI11" s="48"/>
      <c r="AJ11" s="59"/>
      <c r="AK11" s="89"/>
      <c r="AL11" s="88"/>
      <c r="AM11" s="48"/>
      <c r="AN11" s="59"/>
      <c r="AO11" s="89"/>
      <c r="AP11" s="88"/>
      <c r="AQ11" s="48"/>
      <c r="AR11" s="59"/>
      <c r="AS11" s="89"/>
      <c r="AT11" s="88"/>
      <c r="AU11" s="48"/>
      <c r="AV11" s="59"/>
      <c r="AW11" s="89"/>
      <c r="AX11" s="88"/>
      <c r="AY11" s="48"/>
      <c r="AZ11" s="59"/>
      <c r="BA11" s="89"/>
    </row>
    <row r="12" spans="1:53" customFormat="1">
      <c r="A12" s="41" t="s">
        <v>77</v>
      </c>
      <c r="B12" s="41">
        <v>6371</v>
      </c>
      <c r="C12" s="54" t="s">
        <v>8</v>
      </c>
      <c r="D12" s="55"/>
      <c r="E12" s="106">
        <v>1412000007</v>
      </c>
      <c r="F12" s="85"/>
      <c r="G12" s="56"/>
      <c r="H12" s="57"/>
      <c r="I12" s="86"/>
      <c r="J12" s="85"/>
      <c r="K12" s="56"/>
      <c r="L12" s="57"/>
      <c r="M12" s="86"/>
      <c r="N12" s="85"/>
      <c r="O12" s="56"/>
      <c r="P12" s="57"/>
      <c r="Q12" s="86"/>
      <c r="R12" s="85"/>
      <c r="S12" s="56"/>
      <c r="T12" s="57"/>
      <c r="U12" s="86"/>
      <c r="V12" s="85"/>
      <c r="W12" s="56"/>
      <c r="X12" s="57"/>
      <c r="Y12" s="86"/>
      <c r="Z12" s="85"/>
      <c r="AA12" s="56"/>
      <c r="AB12" s="57"/>
      <c r="AC12" s="86"/>
      <c r="AD12" s="85"/>
      <c r="AE12" s="56"/>
      <c r="AF12" s="57"/>
      <c r="AG12" s="86"/>
      <c r="AH12" s="85"/>
      <c r="AI12" s="56"/>
      <c r="AJ12" s="57"/>
      <c r="AK12" s="86"/>
      <c r="AL12" s="85"/>
      <c r="AM12" s="56"/>
      <c r="AN12" s="57"/>
      <c r="AO12" s="86"/>
      <c r="AP12" s="85"/>
      <c r="AQ12" s="56"/>
      <c r="AR12" s="57"/>
      <c r="AS12" s="86"/>
      <c r="AT12" s="85"/>
      <c r="AU12" s="56"/>
      <c r="AV12" s="57"/>
      <c r="AW12" s="86"/>
      <c r="AX12" s="85"/>
      <c r="AY12" s="56"/>
      <c r="AZ12" s="57"/>
      <c r="BA12" s="86"/>
    </row>
    <row r="13" spans="1:53">
      <c r="A13" s="62"/>
      <c r="B13" s="28"/>
      <c r="C13" s="30"/>
      <c r="D13" s="31" t="s">
        <v>5</v>
      </c>
      <c r="E13" s="105">
        <v>1412000008</v>
      </c>
      <c r="F13" s="79" t="e">
        <f>VLOOKUP($D13&amp;F$5&amp;F$4,集計!$D:$R,F$3,0)</f>
        <v>#N/A</v>
      </c>
      <c r="G13" s="38" t="e">
        <f>VLOOKUP($D13&amp;G$5&amp;G$4,集計!$D:$R,G$3,0)</f>
        <v>#N/A</v>
      </c>
      <c r="H13" s="53" t="e">
        <f>VLOOKUP($D13&amp;H$5&amp;H$4,集計!$D:$R,H$3,0)</f>
        <v>#N/A</v>
      </c>
      <c r="I13" s="87" t="e">
        <f>VLOOKUP($D13&amp;I$5&amp;I$4,集計!$D:$R,I$3,0)</f>
        <v>#N/A</v>
      </c>
      <c r="J13" s="79" t="e">
        <f>VLOOKUP($D13&amp;J$5&amp;J$4,集計!$D:$R,J$3,0)</f>
        <v>#N/A</v>
      </c>
      <c r="K13" s="38" t="e">
        <f>VLOOKUP($D13&amp;K$5&amp;K$4,集計!$D:$R,K$3,0)</f>
        <v>#N/A</v>
      </c>
      <c r="L13" s="53" t="e">
        <f>VLOOKUP($D13&amp;L$5&amp;L$4,集計!$D:$R,L$3,0)</f>
        <v>#N/A</v>
      </c>
      <c r="M13" s="87" t="e">
        <f>VLOOKUP($D13&amp;M$5&amp;M$4,集計!$D:$R,M$3,0)</f>
        <v>#N/A</v>
      </c>
      <c r="N13" s="79" t="e">
        <f>VLOOKUP($D13&amp;N$5&amp;N$4,集計!$D:$R,N$3,0)</f>
        <v>#N/A</v>
      </c>
      <c r="O13" s="38" t="e">
        <f>VLOOKUP($D13&amp;O$5&amp;O$4,集計!$D:$R,O$3,0)</f>
        <v>#N/A</v>
      </c>
      <c r="P13" s="53" t="e">
        <f>VLOOKUP($D13&amp;P$5&amp;P$4,集計!$D:$R,P$3,0)</f>
        <v>#N/A</v>
      </c>
      <c r="Q13" s="87" t="e">
        <f>VLOOKUP($D13&amp;Q$5&amp;Q$4,集計!$D:$R,Q$3,0)</f>
        <v>#N/A</v>
      </c>
      <c r="R13" s="79" t="e">
        <f>VLOOKUP($D13&amp;R$5&amp;R$4,集計!$D:$R,R$3,0)</f>
        <v>#N/A</v>
      </c>
      <c r="S13" s="38" t="e">
        <f>VLOOKUP($D13&amp;S$5&amp;S$4,集計!$D:$R,S$3,0)</f>
        <v>#N/A</v>
      </c>
      <c r="T13" s="53" t="e">
        <f>VLOOKUP($D13&amp;T$5&amp;T$4,集計!$D:$R,T$3,0)</f>
        <v>#N/A</v>
      </c>
      <c r="U13" s="87" t="e">
        <f>VLOOKUP($D13&amp;U$5&amp;U$4,集計!$D:$R,U$3,0)</f>
        <v>#N/A</v>
      </c>
      <c r="V13" s="79" t="e">
        <f>VLOOKUP($D13&amp;V$5&amp;V$4,集計!$D:$R,V$3,0)</f>
        <v>#N/A</v>
      </c>
      <c r="W13" s="38" t="e">
        <f>VLOOKUP($D13&amp;W$5&amp;W$4,集計!$D:$R,W$3,0)</f>
        <v>#N/A</v>
      </c>
      <c r="X13" s="53" t="e">
        <f>VLOOKUP($D13&amp;X$5&amp;X$4,集計!$D:$R,X$3,0)</f>
        <v>#N/A</v>
      </c>
      <c r="Y13" s="87" t="e">
        <f>VLOOKUP($D13&amp;Y$5&amp;Y$4,集計!$D:$R,Y$3,0)</f>
        <v>#N/A</v>
      </c>
      <c r="Z13" s="79" t="e">
        <f>VLOOKUP($D13&amp;Z$5&amp;Z$4,集計!$D:$R,Z$3,0)</f>
        <v>#N/A</v>
      </c>
      <c r="AA13" s="38" t="e">
        <f>VLOOKUP($D13&amp;AA$5&amp;AA$4,集計!$D:$R,AA$3,0)</f>
        <v>#N/A</v>
      </c>
      <c r="AB13" s="53" t="e">
        <f>VLOOKUP($D13&amp;AB$5&amp;AB$4,集計!$D:$R,AB$3,0)</f>
        <v>#N/A</v>
      </c>
      <c r="AC13" s="87" t="e">
        <f>VLOOKUP($D13&amp;AC$5&amp;AC$4,集計!$D:$R,AC$3,0)</f>
        <v>#N/A</v>
      </c>
      <c r="AD13" s="79" t="e">
        <f>VLOOKUP($D13&amp;AD$5&amp;AD$4,集計!$D:$R,AD$3,0)</f>
        <v>#N/A</v>
      </c>
      <c r="AE13" s="38" t="e">
        <f>VLOOKUP($D13&amp;AE$5&amp;AE$4,集計!$D:$R,AE$3,0)</f>
        <v>#N/A</v>
      </c>
      <c r="AF13" s="53" t="e">
        <f>VLOOKUP($D13&amp;AF$5&amp;AF$4,集計!$D:$R,AF$3,0)</f>
        <v>#N/A</v>
      </c>
      <c r="AG13" s="87" t="e">
        <f>VLOOKUP($D13&amp;AG$5&amp;AG$4,集計!$D:$R,AG$3,0)</f>
        <v>#N/A</v>
      </c>
      <c r="AH13" s="79" t="e">
        <f>VLOOKUP($D13&amp;AH$5&amp;AH$4,集計!$D:$R,AH$3,0)</f>
        <v>#N/A</v>
      </c>
      <c r="AI13" s="38" t="e">
        <f>VLOOKUP($D13&amp;AI$5&amp;AI$4,集計!$D:$R,AI$3,0)</f>
        <v>#N/A</v>
      </c>
      <c r="AJ13" s="53" t="e">
        <f>VLOOKUP($D13&amp;AJ$5&amp;AJ$4,集計!$D:$R,AJ$3,0)</f>
        <v>#N/A</v>
      </c>
      <c r="AK13" s="87" t="e">
        <f>VLOOKUP($D13&amp;AK$5&amp;AK$4,集計!$D:$R,AK$3,0)</f>
        <v>#N/A</v>
      </c>
      <c r="AL13" s="79" t="e">
        <f>VLOOKUP($D13&amp;AL$5&amp;AL$4,集計!$D:$R,AL$3,0)</f>
        <v>#N/A</v>
      </c>
      <c r="AM13" s="38" t="e">
        <f>VLOOKUP($D13&amp;AM$5&amp;AM$4,集計!$D:$R,AM$3,0)</f>
        <v>#N/A</v>
      </c>
      <c r="AN13" s="53" t="e">
        <f>VLOOKUP($D13&amp;AN$5&amp;AN$4,集計!$D:$R,AN$3,0)</f>
        <v>#N/A</v>
      </c>
      <c r="AO13" s="87" t="e">
        <f>VLOOKUP($D13&amp;AO$5&amp;AO$4,集計!$D:$R,AO$3,0)</f>
        <v>#N/A</v>
      </c>
      <c r="AP13" s="79" t="e">
        <f>VLOOKUP($D13&amp;AP$5&amp;AP$4,集計!$D:$R,AP$3,0)</f>
        <v>#N/A</v>
      </c>
      <c r="AQ13" s="38" t="e">
        <f>VLOOKUP($D13&amp;AQ$5&amp;AQ$4,集計!$D:$R,AQ$3,0)</f>
        <v>#N/A</v>
      </c>
      <c r="AR13" s="53" t="e">
        <f>VLOOKUP($D13&amp;AR$5&amp;AR$4,集計!$D:$R,AR$3,0)</f>
        <v>#N/A</v>
      </c>
      <c r="AS13" s="87" t="e">
        <f>VLOOKUP($D13&amp;AS$5&amp;AS$4,集計!$D:$R,AS$3,0)</f>
        <v>#N/A</v>
      </c>
      <c r="AT13" s="79" t="e">
        <f>VLOOKUP($D13&amp;AT$5&amp;AT$4,集計!$D:$R,AT$3,0)</f>
        <v>#N/A</v>
      </c>
      <c r="AU13" s="38" t="e">
        <f>VLOOKUP($D13&amp;AU$5&amp;AU$4,集計!$D:$R,AU$3,0)</f>
        <v>#N/A</v>
      </c>
      <c r="AV13" s="53" t="e">
        <f>VLOOKUP($D13&amp;AV$5&amp;AV$4,集計!$D:$R,AV$3,0)</f>
        <v>#N/A</v>
      </c>
      <c r="AW13" s="87" t="e">
        <f>VLOOKUP($D13&amp;AW$5&amp;AW$4,集計!$D:$R,AW$3,0)</f>
        <v>#N/A</v>
      </c>
      <c r="AX13" s="79" t="e">
        <f>VLOOKUP($D13&amp;AX$5&amp;AX$4,集計!$D:$R,AX$3,0)</f>
        <v>#N/A</v>
      </c>
      <c r="AY13" s="38" t="e">
        <f>VLOOKUP($D13&amp;AY$5&amp;AY$4,集計!$D:$R,AY$3,0)</f>
        <v>#N/A</v>
      </c>
      <c r="AZ13" s="53" t="e">
        <f>VLOOKUP($D13&amp;AZ$5&amp;AZ$4,集計!$D:$R,AZ$3,0)</f>
        <v>#N/A</v>
      </c>
      <c r="BA13" s="87" t="e">
        <f>VLOOKUP($D13&amp;BA$5&amp;BA$4,集計!$D:$R,BA$3,0)</f>
        <v>#N/A</v>
      </c>
    </row>
    <row r="14" spans="1:53">
      <c r="A14" s="62"/>
      <c r="B14" s="28"/>
      <c r="C14" s="30"/>
      <c r="D14" s="31" t="s">
        <v>7</v>
      </c>
      <c r="E14" s="105">
        <v>1412000010</v>
      </c>
      <c r="F14" s="79" t="e">
        <f>VLOOKUP($D14&amp;F$5&amp;F$4,集計!$D:$R,F$3,0)</f>
        <v>#N/A</v>
      </c>
      <c r="G14" s="38" t="e">
        <f>VLOOKUP($D14&amp;G$5&amp;G$4,集計!$D:$R,G$3,0)</f>
        <v>#N/A</v>
      </c>
      <c r="H14" s="53" t="e">
        <f>VLOOKUP($D14&amp;H$5&amp;H$4,集計!$D:$R,H$3,0)</f>
        <v>#N/A</v>
      </c>
      <c r="I14" s="87" t="e">
        <f>VLOOKUP($D14&amp;I$5&amp;I$4,集計!$D:$R,I$3,0)</f>
        <v>#N/A</v>
      </c>
      <c r="J14" s="79" t="e">
        <f>VLOOKUP($D14&amp;J$5&amp;J$4,集計!$D:$R,J$3,0)</f>
        <v>#N/A</v>
      </c>
      <c r="K14" s="38" t="e">
        <f>VLOOKUP($D14&amp;K$5&amp;K$4,集計!$D:$R,K$3,0)</f>
        <v>#N/A</v>
      </c>
      <c r="L14" s="53" t="e">
        <f>VLOOKUP($D14&amp;L$5&amp;L$4,集計!$D:$R,L$3,0)</f>
        <v>#N/A</v>
      </c>
      <c r="M14" s="87" t="e">
        <f>VLOOKUP($D14&amp;M$5&amp;M$4,集計!$D:$R,M$3,0)</f>
        <v>#N/A</v>
      </c>
      <c r="N14" s="79" t="e">
        <f>VLOOKUP($D14&amp;N$5&amp;N$4,集計!$D:$R,N$3,0)</f>
        <v>#N/A</v>
      </c>
      <c r="O14" s="38" t="e">
        <f>VLOOKUP($D14&amp;O$5&amp;O$4,集計!$D:$R,O$3,0)</f>
        <v>#N/A</v>
      </c>
      <c r="P14" s="53" t="e">
        <f>VLOOKUP($D14&amp;P$5&amp;P$4,集計!$D:$R,P$3,0)</f>
        <v>#N/A</v>
      </c>
      <c r="Q14" s="87" t="e">
        <f>VLOOKUP($D14&amp;Q$5&amp;Q$4,集計!$D:$R,Q$3,0)</f>
        <v>#N/A</v>
      </c>
      <c r="R14" s="79" t="e">
        <f>VLOOKUP($D14&amp;R$5&amp;R$4,集計!$D:$R,R$3,0)</f>
        <v>#N/A</v>
      </c>
      <c r="S14" s="38" t="e">
        <f>VLOOKUP($D14&amp;S$5&amp;S$4,集計!$D:$R,S$3,0)</f>
        <v>#N/A</v>
      </c>
      <c r="T14" s="53" t="e">
        <f>VLOOKUP($D14&amp;T$5&amp;T$4,集計!$D:$R,T$3,0)</f>
        <v>#N/A</v>
      </c>
      <c r="U14" s="87" t="e">
        <f>VLOOKUP($D14&amp;U$5&amp;U$4,集計!$D:$R,U$3,0)</f>
        <v>#N/A</v>
      </c>
      <c r="V14" s="79" t="e">
        <f>VLOOKUP($D14&amp;V$5&amp;V$4,集計!$D:$R,V$3,0)</f>
        <v>#N/A</v>
      </c>
      <c r="W14" s="38" t="e">
        <f>VLOOKUP($D14&amp;W$5&amp;W$4,集計!$D:$R,W$3,0)</f>
        <v>#N/A</v>
      </c>
      <c r="X14" s="53" t="e">
        <f>VLOOKUP($D14&amp;X$5&amp;X$4,集計!$D:$R,X$3,0)</f>
        <v>#N/A</v>
      </c>
      <c r="Y14" s="87" t="e">
        <f>VLOOKUP($D14&amp;Y$5&amp;Y$4,集計!$D:$R,Y$3,0)</f>
        <v>#N/A</v>
      </c>
      <c r="Z14" s="79" t="e">
        <f>VLOOKUP($D14&amp;Z$5&amp;Z$4,集計!$D:$R,Z$3,0)</f>
        <v>#N/A</v>
      </c>
      <c r="AA14" s="38" t="e">
        <f>VLOOKUP($D14&amp;AA$5&amp;AA$4,集計!$D:$R,AA$3,0)</f>
        <v>#N/A</v>
      </c>
      <c r="AB14" s="53" t="e">
        <f>VLOOKUP($D14&amp;AB$5&amp;AB$4,集計!$D:$R,AB$3,0)</f>
        <v>#N/A</v>
      </c>
      <c r="AC14" s="87" t="e">
        <f>VLOOKUP($D14&amp;AC$5&amp;AC$4,集計!$D:$R,AC$3,0)</f>
        <v>#N/A</v>
      </c>
      <c r="AD14" s="79" t="e">
        <f>VLOOKUP($D14&amp;AD$5&amp;AD$4,集計!$D:$R,AD$3,0)</f>
        <v>#N/A</v>
      </c>
      <c r="AE14" s="38" t="e">
        <f>VLOOKUP($D14&amp;AE$5&amp;AE$4,集計!$D:$R,AE$3,0)</f>
        <v>#N/A</v>
      </c>
      <c r="AF14" s="53" t="e">
        <f>VLOOKUP($D14&amp;AF$5&amp;AF$4,集計!$D:$R,AF$3,0)</f>
        <v>#N/A</v>
      </c>
      <c r="AG14" s="87" t="e">
        <f>VLOOKUP($D14&amp;AG$5&amp;AG$4,集計!$D:$R,AG$3,0)</f>
        <v>#N/A</v>
      </c>
      <c r="AH14" s="79" t="e">
        <f>VLOOKUP($D14&amp;AH$5&amp;AH$4,集計!$D:$R,AH$3,0)</f>
        <v>#N/A</v>
      </c>
      <c r="AI14" s="38" t="e">
        <f>VLOOKUP($D14&amp;AI$5&amp;AI$4,集計!$D:$R,AI$3,0)</f>
        <v>#N/A</v>
      </c>
      <c r="AJ14" s="53" t="e">
        <f>VLOOKUP($D14&amp;AJ$5&amp;AJ$4,集計!$D:$R,AJ$3,0)</f>
        <v>#N/A</v>
      </c>
      <c r="AK14" s="87" t="e">
        <f>VLOOKUP($D14&amp;AK$5&amp;AK$4,集計!$D:$R,AK$3,0)</f>
        <v>#N/A</v>
      </c>
      <c r="AL14" s="79" t="e">
        <f>VLOOKUP($D14&amp;AL$5&amp;AL$4,集計!$D:$R,AL$3,0)</f>
        <v>#N/A</v>
      </c>
      <c r="AM14" s="38" t="e">
        <f>VLOOKUP($D14&amp;AM$5&amp;AM$4,集計!$D:$R,AM$3,0)</f>
        <v>#N/A</v>
      </c>
      <c r="AN14" s="53" t="e">
        <f>VLOOKUP($D14&amp;AN$5&amp;AN$4,集計!$D:$R,AN$3,0)</f>
        <v>#N/A</v>
      </c>
      <c r="AO14" s="87" t="e">
        <f>VLOOKUP($D14&amp;AO$5&amp;AO$4,集計!$D:$R,AO$3,0)</f>
        <v>#N/A</v>
      </c>
      <c r="AP14" s="79" t="e">
        <f>VLOOKUP($D14&amp;AP$5&amp;AP$4,集計!$D:$R,AP$3,0)</f>
        <v>#N/A</v>
      </c>
      <c r="AQ14" s="38" t="e">
        <f>VLOOKUP($D14&amp;AQ$5&amp;AQ$4,集計!$D:$R,AQ$3,0)</f>
        <v>#N/A</v>
      </c>
      <c r="AR14" s="53" t="e">
        <f>VLOOKUP($D14&amp;AR$5&amp;AR$4,集計!$D:$R,AR$3,0)</f>
        <v>#N/A</v>
      </c>
      <c r="AS14" s="87" t="e">
        <f>VLOOKUP($D14&amp;AS$5&amp;AS$4,集計!$D:$R,AS$3,0)</f>
        <v>#N/A</v>
      </c>
      <c r="AT14" s="79" t="e">
        <f>VLOOKUP($D14&amp;AT$5&amp;AT$4,集計!$D:$R,AT$3,0)</f>
        <v>#N/A</v>
      </c>
      <c r="AU14" s="38" t="e">
        <f>VLOOKUP($D14&amp;AU$5&amp;AU$4,集計!$D:$R,AU$3,0)</f>
        <v>#N/A</v>
      </c>
      <c r="AV14" s="53" t="e">
        <f>VLOOKUP($D14&amp;AV$5&amp;AV$4,集計!$D:$R,AV$3,0)</f>
        <v>#N/A</v>
      </c>
      <c r="AW14" s="87" t="e">
        <f>VLOOKUP($D14&amp;AW$5&amp;AW$4,集計!$D:$R,AW$3,0)</f>
        <v>#N/A</v>
      </c>
      <c r="AX14" s="79" t="e">
        <f>VLOOKUP($D14&amp;AX$5&amp;AX$4,集計!$D:$R,AX$3,0)</f>
        <v>#N/A</v>
      </c>
      <c r="AY14" s="38" t="e">
        <f>VLOOKUP($D14&amp;AY$5&amp;AY$4,集計!$D:$R,AY$3,0)</f>
        <v>#N/A</v>
      </c>
      <c r="AZ14" s="53" t="e">
        <f>VLOOKUP($D14&amp;AZ$5&amp;AZ$4,集計!$D:$R,AZ$3,0)</f>
        <v>#N/A</v>
      </c>
      <c r="BA14" s="87" t="e">
        <f>VLOOKUP($D14&amp;BA$5&amp;BA$4,集計!$D:$R,BA$3,0)</f>
        <v>#N/A</v>
      </c>
    </row>
    <row r="15" spans="1:53">
      <c r="A15" s="63"/>
      <c r="B15" s="44"/>
      <c r="C15" s="46"/>
      <c r="D15" s="47" t="s">
        <v>6</v>
      </c>
      <c r="E15" s="104">
        <v>1412000054</v>
      </c>
      <c r="F15" s="81" t="e">
        <f>VLOOKUP($D15&amp;F$5&amp;F$4,集計!$D:$R,F$3,0)</f>
        <v>#N/A</v>
      </c>
      <c r="G15" s="49" t="e">
        <f>VLOOKUP($D15&amp;G$5&amp;G$4,集計!$D:$R,G$3,0)</f>
        <v>#N/A</v>
      </c>
      <c r="H15" s="58" t="e">
        <f>VLOOKUP($D15&amp;H$5&amp;H$4,集計!$D:$R,H$3,0)</f>
        <v>#N/A</v>
      </c>
      <c r="I15" s="84" t="e">
        <f>VLOOKUP($D15&amp;I$5&amp;I$4,集計!$D:$R,I$3,0)</f>
        <v>#N/A</v>
      </c>
      <c r="J15" s="81" t="e">
        <f>VLOOKUP($D15&amp;J$5&amp;J$4,集計!$D:$R,J$3,0)</f>
        <v>#N/A</v>
      </c>
      <c r="K15" s="49" t="e">
        <f>VLOOKUP($D15&amp;K$5&amp;K$4,集計!$D:$R,K$3,0)</f>
        <v>#N/A</v>
      </c>
      <c r="L15" s="58" t="e">
        <f>VLOOKUP($D15&amp;L$5&amp;L$4,集計!$D:$R,L$3,0)</f>
        <v>#N/A</v>
      </c>
      <c r="M15" s="84" t="e">
        <f>VLOOKUP($D15&amp;M$5&amp;M$4,集計!$D:$R,M$3,0)</f>
        <v>#N/A</v>
      </c>
      <c r="N15" s="81" t="e">
        <f>VLOOKUP($D15&amp;N$5&amp;N$4,集計!$D:$R,N$3,0)</f>
        <v>#N/A</v>
      </c>
      <c r="O15" s="49" t="e">
        <f>VLOOKUP($D15&amp;O$5&amp;O$4,集計!$D:$R,O$3,0)</f>
        <v>#N/A</v>
      </c>
      <c r="P15" s="58" t="e">
        <f>VLOOKUP($D15&amp;P$5&amp;P$4,集計!$D:$R,P$3,0)</f>
        <v>#N/A</v>
      </c>
      <c r="Q15" s="84" t="e">
        <f>VLOOKUP($D15&amp;Q$5&amp;Q$4,集計!$D:$R,Q$3,0)</f>
        <v>#N/A</v>
      </c>
      <c r="R15" s="81" t="e">
        <f>VLOOKUP($D15&amp;R$5&amp;R$4,集計!$D:$R,R$3,0)</f>
        <v>#N/A</v>
      </c>
      <c r="S15" s="49" t="e">
        <f>VLOOKUP($D15&amp;S$5&amp;S$4,集計!$D:$R,S$3,0)</f>
        <v>#N/A</v>
      </c>
      <c r="T15" s="58" t="e">
        <f>VLOOKUP($D15&amp;T$5&amp;T$4,集計!$D:$R,T$3,0)</f>
        <v>#N/A</v>
      </c>
      <c r="U15" s="84" t="e">
        <f>VLOOKUP($D15&amp;U$5&amp;U$4,集計!$D:$R,U$3,0)</f>
        <v>#N/A</v>
      </c>
      <c r="V15" s="81" t="e">
        <f>VLOOKUP($D15&amp;V$5&amp;V$4,集計!$D:$R,V$3,0)</f>
        <v>#N/A</v>
      </c>
      <c r="W15" s="49" t="e">
        <f>VLOOKUP($D15&amp;W$5&amp;W$4,集計!$D:$R,W$3,0)</f>
        <v>#N/A</v>
      </c>
      <c r="X15" s="58" t="e">
        <f>VLOOKUP($D15&amp;X$5&amp;X$4,集計!$D:$R,X$3,0)</f>
        <v>#N/A</v>
      </c>
      <c r="Y15" s="84" t="e">
        <f>VLOOKUP($D15&amp;Y$5&amp;Y$4,集計!$D:$R,Y$3,0)</f>
        <v>#N/A</v>
      </c>
      <c r="Z15" s="81" t="e">
        <f>VLOOKUP($D15&amp;Z$5&amp;Z$4,集計!$D:$R,Z$3,0)</f>
        <v>#N/A</v>
      </c>
      <c r="AA15" s="49" t="e">
        <f>VLOOKUP($D15&amp;AA$5&amp;AA$4,集計!$D:$R,AA$3,0)</f>
        <v>#N/A</v>
      </c>
      <c r="AB15" s="58" t="e">
        <f>VLOOKUP($D15&amp;AB$5&amp;AB$4,集計!$D:$R,AB$3,0)</f>
        <v>#N/A</v>
      </c>
      <c r="AC15" s="84" t="e">
        <f>VLOOKUP($D15&amp;AC$5&amp;AC$4,集計!$D:$R,AC$3,0)</f>
        <v>#N/A</v>
      </c>
      <c r="AD15" s="81" t="e">
        <f>VLOOKUP($D15&amp;AD$5&amp;AD$4,集計!$D:$R,AD$3,0)</f>
        <v>#N/A</v>
      </c>
      <c r="AE15" s="49" t="e">
        <f>VLOOKUP($D15&amp;AE$5&amp;AE$4,集計!$D:$R,AE$3,0)</f>
        <v>#N/A</v>
      </c>
      <c r="AF15" s="58" t="e">
        <f>VLOOKUP($D15&amp;AF$5&amp;AF$4,集計!$D:$R,AF$3,0)</f>
        <v>#N/A</v>
      </c>
      <c r="AG15" s="84" t="e">
        <f>VLOOKUP($D15&amp;AG$5&amp;AG$4,集計!$D:$R,AG$3,0)</f>
        <v>#N/A</v>
      </c>
      <c r="AH15" s="81" t="e">
        <f>VLOOKUP($D15&amp;AH$5&amp;AH$4,集計!$D:$R,AH$3,0)</f>
        <v>#N/A</v>
      </c>
      <c r="AI15" s="49" t="e">
        <f>VLOOKUP($D15&amp;AI$5&amp;AI$4,集計!$D:$R,AI$3,0)</f>
        <v>#N/A</v>
      </c>
      <c r="AJ15" s="58" t="e">
        <f>VLOOKUP($D15&amp;AJ$5&amp;AJ$4,集計!$D:$R,AJ$3,0)</f>
        <v>#N/A</v>
      </c>
      <c r="AK15" s="84" t="e">
        <f>VLOOKUP($D15&amp;AK$5&amp;AK$4,集計!$D:$R,AK$3,0)</f>
        <v>#N/A</v>
      </c>
      <c r="AL15" s="81" t="e">
        <f>VLOOKUP($D15&amp;AL$5&amp;AL$4,集計!$D:$R,AL$3,0)</f>
        <v>#N/A</v>
      </c>
      <c r="AM15" s="49" t="e">
        <f>VLOOKUP($D15&amp;AM$5&amp;AM$4,集計!$D:$R,AM$3,0)</f>
        <v>#N/A</v>
      </c>
      <c r="AN15" s="58" t="e">
        <f>VLOOKUP($D15&amp;AN$5&amp;AN$4,集計!$D:$R,AN$3,0)</f>
        <v>#N/A</v>
      </c>
      <c r="AO15" s="84" t="e">
        <f>VLOOKUP($D15&amp;AO$5&amp;AO$4,集計!$D:$R,AO$3,0)</f>
        <v>#N/A</v>
      </c>
      <c r="AP15" s="81" t="e">
        <f>VLOOKUP($D15&amp;AP$5&amp;AP$4,集計!$D:$R,AP$3,0)</f>
        <v>#N/A</v>
      </c>
      <c r="AQ15" s="49" t="e">
        <f>VLOOKUP($D15&amp;AQ$5&amp;AQ$4,集計!$D:$R,AQ$3,0)</f>
        <v>#N/A</v>
      </c>
      <c r="AR15" s="58" t="e">
        <f>VLOOKUP($D15&amp;AR$5&amp;AR$4,集計!$D:$R,AR$3,0)</f>
        <v>#N/A</v>
      </c>
      <c r="AS15" s="84" t="e">
        <f>VLOOKUP($D15&amp;AS$5&amp;AS$4,集計!$D:$R,AS$3,0)</f>
        <v>#N/A</v>
      </c>
      <c r="AT15" s="81" t="e">
        <f>VLOOKUP($D15&amp;AT$5&amp;AT$4,集計!$D:$R,AT$3,0)</f>
        <v>#N/A</v>
      </c>
      <c r="AU15" s="49" t="e">
        <f>VLOOKUP($D15&amp;AU$5&amp;AU$4,集計!$D:$R,AU$3,0)</f>
        <v>#N/A</v>
      </c>
      <c r="AV15" s="58" t="e">
        <f>VLOOKUP($D15&amp;AV$5&amp;AV$4,集計!$D:$R,AV$3,0)</f>
        <v>#N/A</v>
      </c>
      <c r="AW15" s="84" t="e">
        <f>VLOOKUP($D15&amp;AW$5&amp;AW$4,集計!$D:$R,AW$3,0)</f>
        <v>#N/A</v>
      </c>
      <c r="AX15" s="81" t="e">
        <f>VLOOKUP($D15&amp;AX$5&amp;AX$4,集計!$D:$R,AX$3,0)</f>
        <v>#N/A</v>
      </c>
      <c r="AY15" s="49" t="e">
        <f>VLOOKUP($D15&amp;AY$5&amp;AY$4,集計!$D:$R,AY$3,0)</f>
        <v>#N/A</v>
      </c>
      <c r="AZ15" s="58" t="e">
        <f>VLOOKUP($D15&amp;AZ$5&amp;AZ$4,集計!$D:$R,AZ$3,0)</f>
        <v>#N/A</v>
      </c>
      <c r="BA15" s="84" t="e">
        <f>VLOOKUP($D15&amp;BA$5&amp;BA$4,集計!$D:$R,BA$3,0)</f>
        <v>#N/A</v>
      </c>
    </row>
    <row r="16" spans="1:53" s="187" customFormat="1">
      <c r="A16" s="25" t="s">
        <v>78</v>
      </c>
      <c r="B16" s="25">
        <v>6371</v>
      </c>
      <c r="C16" s="26" t="s">
        <v>92</v>
      </c>
      <c r="D16" s="95"/>
      <c r="E16" s="108">
        <v>1412000071</v>
      </c>
      <c r="F16" s="171"/>
      <c r="G16" s="172"/>
      <c r="H16" s="173"/>
      <c r="I16" s="174"/>
      <c r="J16" s="171"/>
      <c r="K16" s="172"/>
      <c r="L16" s="173"/>
      <c r="M16" s="174"/>
      <c r="N16" s="171"/>
      <c r="O16" s="172"/>
      <c r="P16" s="173"/>
      <c r="Q16" s="174"/>
      <c r="R16" s="171"/>
      <c r="S16" s="172"/>
      <c r="T16" s="173"/>
      <c r="U16" s="174"/>
      <c r="V16" s="171"/>
      <c r="W16" s="172"/>
      <c r="X16" s="173"/>
      <c r="Y16" s="174"/>
      <c r="Z16" s="171"/>
      <c r="AA16" s="172"/>
      <c r="AB16" s="173"/>
      <c r="AC16" s="174"/>
      <c r="AD16" s="171"/>
      <c r="AE16" s="172"/>
      <c r="AF16" s="173"/>
      <c r="AG16" s="174"/>
      <c r="AH16" s="171"/>
      <c r="AI16" s="172"/>
      <c r="AJ16" s="173"/>
      <c r="AK16" s="174"/>
      <c r="AL16" s="171"/>
      <c r="AM16" s="172"/>
      <c r="AN16" s="173"/>
      <c r="AO16" s="174"/>
      <c r="AP16" s="171"/>
      <c r="AQ16" s="172"/>
      <c r="AR16" s="173"/>
      <c r="AS16" s="174"/>
      <c r="AT16" s="171"/>
      <c r="AU16" s="172"/>
      <c r="AV16" s="173"/>
      <c r="AW16" s="174"/>
      <c r="AX16" s="171"/>
      <c r="AY16" s="172"/>
      <c r="AZ16" s="173"/>
      <c r="BA16" s="174"/>
    </row>
    <row r="17" spans="1:53" s="190" customFormat="1">
      <c r="A17" s="29"/>
      <c r="B17" s="29"/>
      <c r="C17" s="188"/>
      <c r="D17" s="31" t="s">
        <v>109</v>
      </c>
      <c r="E17" s="105">
        <v>1412000036</v>
      </c>
      <c r="F17" s="79" t="e">
        <f>VLOOKUP($D17&amp;F$5&amp;F$4,集計!$D:$R,F$3,0)</f>
        <v>#N/A</v>
      </c>
      <c r="G17" s="38" t="e">
        <f>VLOOKUP($D17&amp;G$5&amp;G$4,集計!$D:$R,G$3,0)</f>
        <v>#N/A</v>
      </c>
      <c r="H17" s="53" t="e">
        <f>VLOOKUP($D17&amp;H$5&amp;H$4,集計!$D:$R,H$3,0)</f>
        <v>#N/A</v>
      </c>
      <c r="I17" s="87" t="e">
        <f>VLOOKUP($D17&amp;I$5&amp;I$4,集計!$D:$R,I$3,0)</f>
        <v>#N/A</v>
      </c>
      <c r="J17" s="79" t="e">
        <f>VLOOKUP($D17&amp;J$5&amp;J$4,集計!$D:$R,J$3,0)</f>
        <v>#N/A</v>
      </c>
      <c r="K17" s="38" t="e">
        <f>VLOOKUP($D17&amp;K$5&amp;K$4,集計!$D:$R,K$3,0)</f>
        <v>#N/A</v>
      </c>
      <c r="L17" s="53" t="e">
        <f>VLOOKUP($D17&amp;L$5&amp;L$4,集計!$D:$R,L$3,0)</f>
        <v>#N/A</v>
      </c>
      <c r="M17" s="87" t="e">
        <f>VLOOKUP($D17&amp;M$5&amp;M$4,集計!$D:$R,M$3,0)</f>
        <v>#N/A</v>
      </c>
      <c r="N17" s="79" t="e">
        <f>VLOOKUP($D17&amp;N$5&amp;N$4,集計!$D:$R,N$3,0)</f>
        <v>#N/A</v>
      </c>
      <c r="O17" s="38" t="e">
        <f>VLOOKUP($D17&amp;O$5&amp;O$4,集計!$D:$R,O$3,0)</f>
        <v>#N/A</v>
      </c>
      <c r="P17" s="53" t="e">
        <f>VLOOKUP($D17&amp;P$5&amp;P$4,集計!$D:$R,P$3,0)</f>
        <v>#N/A</v>
      </c>
      <c r="Q17" s="87" t="e">
        <f>VLOOKUP($D17&amp;Q$5&amp;Q$4,集計!$D:$R,Q$3,0)</f>
        <v>#N/A</v>
      </c>
      <c r="R17" s="79" t="e">
        <f>VLOOKUP($D17&amp;R$5&amp;R$4,集計!$D:$R,R$3,0)</f>
        <v>#N/A</v>
      </c>
      <c r="S17" s="38" t="e">
        <f>VLOOKUP($D17&amp;S$5&amp;S$4,集計!$D:$R,S$3,0)</f>
        <v>#N/A</v>
      </c>
      <c r="T17" s="53" t="e">
        <f>VLOOKUP($D17&amp;T$5&amp;T$4,集計!$D:$R,T$3,0)</f>
        <v>#N/A</v>
      </c>
      <c r="U17" s="87" t="e">
        <f>VLOOKUP($D17&amp;U$5&amp;U$4,集計!$D:$R,U$3,0)</f>
        <v>#N/A</v>
      </c>
      <c r="V17" s="79" t="e">
        <f>VLOOKUP($D17&amp;V$5&amp;V$4,集計!$D:$R,V$3,0)</f>
        <v>#N/A</v>
      </c>
      <c r="W17" s="38" t="e">
        <f>VLOOKUP($D17&amp;W$5&amp;W$4,集計!$D:$R,W$3,0)</f>
        <v>#N/A</v>
      </c>
      <c r="X17" s="53" t="e">
        <f>VLOOKUP($D17&amp;X$5&amp;X$4,集計!$D:$R,X$3,0)</f>
        <v>#N/A</v>
      </c>
      <c r="Y17" s="87" t="e">
        <f>VLOOKUP($D17&amp;Y$5&amp;Y$4,集計!$D:$R,Y$3,0)</f>
        <v>#N/A</v>
      </c>
      <c r="Z17" s="79" t="e">
        <f>VLOOKUP($D17&amp;Z$5&amp;Z$4,集計!$D:$R,Z$3,0)</f>
        <v>#N/A</v>
      </c>
      <c r="AA17" s="38" t="e">
        <f>VLOOKUP($D17&amp;AA$5&amp;AA$4,集計!$D:$R,AA$3,0)</f>
        <v>#N/A</v>
      </c>
      <c r="AB17" s="53" t="e">
        <f>VLOOKUP($D17&amp;AB$5&amp;AB$4,集計!$D:$R,AB$3,0)</f>
        <v>#N/A</v>
      </c>
      <c r="AC17" s="87" t="e">
        <f>VLOOKUP($D17&amp;AC$5&amp;AC$4,集計!$D:$R,AC$3,0)</f>
        <v>#N/A</v>
      </c>
      <c r="AD17" s="79" t="e">
        <f>VLOOKUP($D17&amp;AD$5&amp;AD$4,集計!$D:$R,AD$3,0)</f>
        <v>#N/A</v>
      </c>
      <c r="AE17" s="38" t="e">
        <f>VLOOKUP($D17&amp;AE$5&amp;AE$4,集計!$D:$R,AE$3,0)</f>
        <v>#N/A</v>
      </c>
      <c r="AF17" s="53" t="e">
        <f>VLOOKUP($D17&amp;AF$5&amp;AF$4,集計!$D:$R,AF$3,0)</f>
        <v>#N/A</v>
      </c>
      <c r="AG17" s="87" t="e">
        <f>VLOOKUP($D17&amp;AG$5&amp;AG$4,集計!$D:$R,AG$3,0)</f>
        <v>#N/A</v>
      </c>
      <c r="AH17" s="79" t="e">
        <f>VLOOKUP($D17&amp;AH$5&amp;AH$4,集計!$D:$R,AH$3,0)</f>
        <v>#N/A</v>
      </c>
      <c r="AI17" s="38" t="e">
        <f>VLOOKUP($D17&amp;AI$5&amp;AI$4,集計!$D:$R,AI$3,0)</f>
        <v>#N/A</v>
      </c>
      <c r="AJ17" s="53" t="e">
        <f>VLOOKUP($D17&amp;AJ$5&amp;AJ$4,集計!$D:$R,AJ$3,0)</f>
        <v>#N/A</v>
      </c>
      <c r="AK17" s="87" t="e">
        <f>VLOOKUP($D17&amp;AK$5&amp;AK$4,集計!$D:$R,AK$3,0)</f>
        <v>#N/A</v>
      </c>
      <c r="AL17" s="79" t="e">
        <f>VLOOKUP($D17&amp;AL$5&amp;AL$4,集計!$D:$R,AL$3,0)</f>
        <v>#N/A</v>
      </c>
      <c r="AM17" s="38" t="e">
        <f>VLOOKUP($D17&amp;AM$5&amp;AM$4,集計!$D:$R,AM$3,0)</f>
        <v>#N/A</v>
      </c>
      <c r="AN17" s="53" t="e">
        <f>VLOOKUP($D17&amp;AN$5&amp;AN$4,集計!$D:$R,AN$3,0)</f>
        <v>#N/A</v>
      </c>
      <c r="AO17" s="87" t="e">
        <f>VLOOKUP($D17&amp;AO$5&amp;AO$4,集計!$D:$R,AO$3,0)</f>
        <v>#N/A</v>
      </c>
      <c r="AP17" s="79" t="e">
        <f>VLOOKUP($D17&amp;AP$5&amp;AP$4,集計!$D:$R,AP$3,0)</f>
        <v>#N/A</v>
      </c>
      <c r="AQ17" s="38" t="e">
        <f>VLOOKUP($D17&amp;AQ$5&amp;AQ$4,集計!$D:$R,AQ$3,0)</f>
        <v>#N/A</v>
      </c>
      <c r="AR17" s="53" t="e">
        <f>VLOOKUP($D17&amp;AR$5&amp;AR$4,集計!$D:$R,AR$3,0)</f>
        <v>#N/A</v>
      </c>
      <c r="AS17" s="87" t="e">
        <f>VLOOKUP($D17&amp;AS$5&amp;AS$4,集計!$D:$R,AS$3,0)</f>
        <v>#N/A</v>
      </c>
      <c r="AT17" s="79" t="e">
        <f>VLOOKUP($D17&amp;AT$5&amp;AT$4,集計!$D:$R,AT$3,0)</f>
        <v>#N/A</v>
      </c>
      <c r="AU17" s="38" t="e">
        <f>VLOOKUP($D17&amp;AU$5&amp;AU$4,集計!$D:$R,AU$3,0)</f>
        <v>#N/A</v>
      </c>
      <c r="AV17" s="53" t="e">
        <f>VLOOKUP($D17&amp;AV$5&amp;AV$4,集計!$D:$R,AV$3,0)</f>
        <v>#N/A</v>
      </c>
      <c r="AW17" s="87" t="e">
        <f>VLOOKUP($D17&amp;AW$5&amp;AW$4,集計!$D:$R,AW$3,0)</f>
        <v>#N/A</v>
      </c>
      <c r="AX17" s="79" t="e">
        <f>VLOOKUP($D17&amp;AX$5&amp;AX$4,集計!$D:$R,AX$3,0)</f>
        <v>#N/A</v>
      </c>
      <c r="AY17" s="38" t="e">
        <f>VLOOKUP($D17&amp;AY$5&amp;AY$4,集計!$D:$R,AY$3,0)</f>
        <v>#N/A</v>
      </c>
      <c r="AZ17" s="53" t="e">
        <f>VLOOKUP($D17&amp;AZ$5&amp;AZ$4,集計!$D:$R,AZ$3,0)</f>
        <v>#N/A</v>
      </c>
      <c r="BA17" s="87" t="e">
        <f>VLOOKUP($D17&amp;BA$5&amp;BA$4,集計!$D:$R,BA$3,0)</f>
        <v>#N/A</v>
      </c>
    </row>
    <row r="18" spans="1:53" s="190" customFormat="1">
      <c r="A18" s="45"/>
      <c r="B18" s="45"/>
      <c r="C18" s="204"/>
      <c r="D18" s="47" t="s">
        <v>93</v>
      </c>
      <c r="E18" s="104">
        <v>1412000073</v>
      </c>
      <c r="F18" s="81" t="e">
        <f>VLOOKUP($D18&amp;F$5&amp;F$4,集計!$D:$R,F$3,0)</f>
        <v>#N/A</v>
      </c>
      <c r="G18" s="49" t="e">
        <f>VLOOKUP($D18&amp;G$5&amp;G$4,集計!$D:$R,G$3,0)</f>
        <v>#N/A</v>
      </c>
      <c r="H18" s="58" t="e">
        <f>VLOOKUP($D18&amp;H$5&amp;H$4,集計!$D:$R,H$3,0)</f>
        <v>#N/A</v>
      </c>
      <c r="I18" s="84" t="e">
        <f>VLOOKUP($D18&amp;I$5&amp;I$4,集計!$D:$R,I$3,0)</f>
        <v>#N/A</v>
      </c>
      <c r="J18" s="81" t="e">
        <f>VLOOKUP($D18&amp;J$5&amp;J$4,集計!$D:$R,J$3,0)</f>
        <v>#N/A</v>
      </c>
      <c r="K18" s="49" t="e">
        <f>VLOOKUP($D18&amp;K$5&amp;K$4,集計!$D:$R,K$3,0)</f>
        <v>#N/A</v>
      </c>
      <c r="L18" s="58" t="e">
        <f>VLOOKUP($D18&amp;L$5&amp;L$4,集計!$D:$R,L$3,0)</f>
        <v>#N/A</v>
      </c>
      <c r="M18" s="84" t="e">
        <f>VLOOKUP($D18&amp;M$5&amp;M$4,集計!$D:$R,M$3,0)</f>
        <v>#N/A</v>
      </c>
      <c r="N18" s="81" t="e">
        <f>VLOOKUP($D18&amp;N$5&amp;N$4,集計!$D:$R,N$3,0)</f>
        <v>#N/A</v>
      </c>
      <c r="O18" s="49" t="e">
        <f>VLOOKUP($D18&amp;O$5&amp;O$4,集計!$D:$R,O$3,0)</f>
        <v>#N/A</v>
      </c>
      <c r="P18" s="58" t="e">
        <f>VLOOKUP($D18&amp;P$5&amp;P$4,集計!$D:$R,P$3,0)</f>
        <v>#N/A</v>
      </c>
      <c r="Q18" s="84" t="e">
        <f>VLOOKUP($D18&amp;Q$5&amp;Q$4,集計!$D:$R,Q$3,0)</f>
        <v>#N/A</v>
      </c>
      <c r="R18" s="81" t="e">
        <f>VLOOKUP($D18&amp;R$5&amp;R$4,集計!$D:$R,R$3,0)</f>
        <v>#N/A</v>
      </c>
      <c r="S18" s="49" t="e">
        <f>VLOOKUP($D18&amp;S$5&amp;S$4,集計!$D:$R,S$3,0)</f>
        <v>#N/A</v>
      </c>
      <c r="T18" s="58" t="e">
        <f>VLOOKUP($D18&amp;T$5&amp;T$4,集計!$D:$R,T$3,0)</f>
        <v>#N/A</v>
      </c>
      <c r="U18" s="84" t="e">
        <f>VLOOKUP($D18&amp;U$5&amp;U$4,集計!$D:$R,U$3,0)</f>
        <v>#N/A</v>
      </c>
      <c r="V18" s="81" t="e">
        <f>VLOOKUP($D18&amp;V$5&amp;V$4,集計!$D:$R,V$3,0)</f>
        <v>#N/A</v>
      </c>
      <c r="W18" s="49" t="e">
        <f>VLOOKUP($D18&amp;W$5&amp;W$4,集計!$D:$R,W$3,0)</f>
        <v>#N/A</v>
      </c>
      <c r="X18" s="58" t="e">
        <f>VLOOKUP($D18&amp;X$5&amp;X$4,集計!$D:$R,X$3,0)</f>
        <v>#N/A</v>
      </c>
      <c r="Y18" s="84" t="e">
        <f>VLOOKUP($D18&amp;Y$5&amp;Y$4,集計!$D:$R,Y$3,0)</f>
        <v>#N/A</v>
      </c>
      <c r="Z18" s="81" t="e">
        <f>VLOOKUP($D18&amp;Z$5&amp;Z$4,集計!$D:$R,Z$3,0)</f>
        <v>#N/A</v>
      </c>
      <c r="AA18" s="49" t="e">
        <f>VLOOKUP($D18&amp;AA$5&amp;AA$4,集計!$D:$R,AA$3,0)</f>
        <v>#N/A</v>
      </c>
      <c r="AB18" s="58" t="e">
        <f>VLOOKUP($D18&amp;AB$5&amp;AB$4,集計!$D:$R,AB$3,0)</f>
        <v>#N/A</v>
      </c>
      <c r="AC18" s="84" t="e">
        <f>VLOOKUP($D18&amp;AC$5&amp;AC$4,集計!$D:$R,AC$3,0)</f>
        <v>#N/A</v>
      </c>
      <c r="AD18" s="81" t="e">
        <f>VLOOKUP($D18&amp;AD$5&amp;AD$4,集計!$D:$R,AD$3,0)</f>
        <v>#N/A</v>
      </c>
      <c r="AE18" s="49" t="e">
        <f>VLOOKUP($D18&amp;AE$5&amp;AE$4,集計!$D:$R,AE$3,0)</f>
        <v>#N/A</v>
      </c>
      <c r="AF18" s="58" t="e">
        <f>VLOOKUP($D18&amp;AF$5&amp;AF$4,集計!$D:$R,AF$3,0)</f>
        <v>#N/A</v>
      </c>
      <c r="AG18" s="84" t="e">
        <f>VLOOKUP($D18&amp;AG$5&amp;AG$4,集計!$D:$R,AG$3,0)</f>
        <v>#N/A</v>
      </c>
      <c r="AH18" s="81" t="e">
        <f>VLOOKUP($D18&amp;AH$5&amp;AH$4,集計!$D:$R,AH$3,0)</f>
        <v>#N/A</v>
      </c>
      <c r="AI18" s="49" t="e">
        <f>VLOOKUP($D18&amp;AI$5&amp;AI$4,集計!$D:$R,AI$3,0)</f>
        <v>#N/A</v>
      </c>
      <c r="AJ18" s="58" t="e">
        <f>VLOOKUP($D18&amp;AJ$5&amp;AJ$4,集計!$D:$R,AJ$3,0)</f>
        <v>#N/A</v>
      </c>
      <c r="AK18" s="84" t="e">
        <f>VLOOKUP($D18&amp;AK$5&amp;AK$4,集計!$D:$R,AK$3,0)</f>
        <v>#N/A</v>
      </c>
      <c r="AL18" s="81" t="e">
        <f>VLOOKUP($D18&amp;AL$5&amp;AL$4,集計!$D:$R,AL$3,0)</f>
        <v>#N/A</v>
      </c>
      <c r="AM18" s="49" t="e">
        <f>VLOOKUP($D18&amp;AM$5&amp;AM$4,集計!$D:$R,AM$3,0)</f>
        <v>#N/A</v>
      </c>
      <c r="AN18" s="58" t="e">
        <f>VLOOKUP($D18&amp;AN$5&amp;AN$4,集計!$D:$R,AN$3,0)</f>
        <v>#N/A</v>
      </c>
      <c r="AO18" s="84" t="e">
        <f>VLOOKUP($D18&amp;AO$5&amp;AO$4,集計!$D:$R,AO$3,0)</f>
        <v>#N/A</v>
      </c>
      <c r="AP18" s="81" t="e">
        <f>VLOOKUP($D18&amp;AP$5&amp;AP$4,集計!$D:$R,AP$3,0)</f>
        <v>#N/A</v>
      </c>
      <c r="AQ18" s="49" t="e">
        <f>VLOOKUP($D18&amp;AQ$5&amp;AQ$4,集計!$D:$R,AQ$3,0)</f>
        <v>#N/A</v>
      </c>
      <c r="AR18" s="58" t="e">
        <f>VLOOKUP($D18&amp;AR$5&amp;AR$4,集計!$D:$R,AR$3,0)</f>
        <v>#N/A</v>
      </c>
      <c r="AS18" s="84" t="e">
        <f>VLOOKUP($D18&amp;AS$5&amp;AS$4,集計!$D:$R,AS$3,0)</f>
        <v>#N/A</v>
      </c>
      <c r="AT18" s="81" t="e">
        <f>VLOOKUP($D18&amp;AT$5&amp;AT$4,集計!$D:$R,AT$3,0)</f>
        <v>#N/A</v>
      </c>
      <c r="AU18" s="49" t="e">
        <f>VLOOKUP($D18&amp;AU$5&amp;AU$4,集計!$D:$R,AU$3,0)</f>
        <v>#N/A</v>
      </c>
      <c r="AV18" s="58" t="e">
        <f>VLOOKUP($D18&amp;AV$5&amp;AV$4,集計!$D:$R,AV$3,0)</f>
        <v>#N/A</v>
      </c>
      <c r="AW18" s="84" t="e">
        <f>VLOOKUP($D18&amp;AW$5&amp;AW$4,集計!$D:$R,AW$3,0)</f>
        <v>#N/A</v>
      </c>
      <c r="AX18" s="81" t="e">
        <f>VLOOKUP($D18&amp;AX$5&amp;AX$4,集計!$D:$R,AX$3,0)</f>
        <v>#N/A</v>
      </c>
      <c r="AY18" s="49" t="e">
        <f>VLOOKUP($D18&amp;AY$5&amp;AY$4,集計!$D:$R,AY$3,0)</f>
        <v>#N/A</v>
      </c>
      <c r="AZ18" s="58" t="e">
        <f>VLOOKUP($D18&amp;AZ$5&amp;AZ$4,集計!$D:$R,AZ$3,0)</f>
        <v>#N/A</v>
      </c>
      <c r="BA18" s="84" t="e">
        <f>VLOOKUP($D18&amp;BA$5&amp;BA$4,集計!$D:$R,BA$3,0)</f>
        <v>#N/A</v>
      </c>
    </row>
    <row r="19" spans="1:53" s="52" customFormat="1">
      <c r="A19" s="41" t="s">
        <v>79</v>
      </c>
      <c r="B19" s="41">
        <v>6371</v>
      </c>
      <c r="C19" s="54" t="s">
        <v>4</v>
      </c>
      <c r="D19" s="55"/>
      <c r="E19" s="106">
        <v>1412000038</v>
      </c>
      <c r="F19" s="85"/>
      <c r="G19" s="56"/>
      <c r="H19" s="57"/>
      <c r="I19" s="86"/>
      <c r="J19" s="85"/>
      <c r="K19" s="56"/>
      <c r="L19" s="57"/>
      <c r="M19" s="86"/>
      <c r="N19" s="85"/>
      <c r="O19" s="56"/>
      <c r="P19" s="57"/>
      <c r="Q19" s="86"/>
      <c r="R19" s="85"/>
      <c r="S19" s="56"/>
      <c r="T19" s="57"/>
      <c r="U19" s="86"/>
      <c r="V19" s="85"/>
      <c r="W19" s="56"/>
      <c r="X19" s="57"/>
      <c r="Y19" s="86"/>
      <c r="Z19" s="85"/>
      <c r="AA19" s="56"/>
      <c r="AB19" s="57"/>
      <c r="AC19" s="86"/>
      <c r="AD19" s="85"/>
      <c r="AE19" s="56"/>
      <c r="AF19" s="57"/>
      <c r="AG19" s="86"/>
      <c r="AH19" s="85"/>
      <c r="AI19" s="56"/>
      <c r="AJ19" s="57"/>
      <c r="AK19" s="86"/>
      <c r="AL19" s="85"/>
      <c r="AM19" s="56"/>
      <c r="AN19" s="57"/>
      <c r="AO19" s="86"/>
      <c r="AP19" s="85"/>
      <c r="AQ19" s="56"/>
      <c r="AR19" s="57"/>
      <c r="AS19" s="86"/>
      <c r="AT19" s="85"/>
      <c r="AU19" s="56"/>
      <c r="AV19" s="57"/>
      <c r="AW19" s="86"/>
      <c r="AX19" s="85"/>
      <c r="AY19" s="56"/>
      <c r="AZ19" s="57"/>
      <c r="BA19" s="86"/>
    </row>
    <row r="20" spans="1:53">
      <c r="A20" s="64"/>
      <c r="B20" s="40"/>
      <c r="C20" s="42"/>
      <c r="D20" s="43" t="s">
        <v>1</v>
      </c>
      <c r="E20" s="106">
        <v>1412000006</v>
      </c>
      <c r="F20" s="88" t="e">
        <f>VLOOKUP($D20&amp;F$5&amp;F$4,集計!$D:$R,F$3,0)</f>
        <v>#N/A</v>
      </c>
      <c r="G20" s="48" t="e">
        <f>VLOOKUP($D20&amp;G$5&amp;G$4,集計!$D:$R,G$3,0)</f>
        <v>#N/A</v>
      </c>
      <c r="H20" s="59" t="e">
        <f>VLOOKUP($D20&amp;H$5&amp;H$4,集計!$D:$R,H$3,0)</f>
        <v>#N/A</v>
      </c>
      <c r="I20" s="89" t="e">
        <f>VLOOKUP($D20&amp;I$5&amp;I$4,集計!$D:$R,I$3,0)</f>
        <v>#N/A</v>
      </c>
      <c r="J20" s="88" t="e">
        <f>VLOOKUP($D20&amp;J$5&amp;J$4,集計!$D:$R,J$3,0)</f>
        <v>#N/A</v>
      </c>
      <c r="K20" s="48" t="e">
        <f>VLOOKUP($D20&amp;K$5&amp;K$4,集計!$D:$R,K$3,0)</f>
        <v>#N/A</v>
      </c>
      <c r="L20" s="59" t="e">
        <f>VLOOKUP($D20&amp;L$5&amp;L$4,集計!$D:$R,L$3,0)</f>
        <v>#N/A</v>
      </c>
      <c r="M20" s="89" t="e">
        <f>VLOOKUP($D20&amp;M$5&amp;M$4,集計!$D:$R,M$3,0)</f>
        <v>#N/A</v>
      </c>
      <c r="N20" s="88" t="e">
        <f>VLOOKUP($D20&amp;N$5&amp;N$4,集計!$D:$R,N$3,0)</f>
        <v>#N/A</v>
      </c>
      <c r="O20" s="48" t="e">
        <f>VLOOKUP($D20&amp;O$5&amp;O$4,集計!$D:$R,O$3,0)</f>
        <v>#N/A</v>
      </c>
      <c r="P20" s="59" t="e">
        <f>VLOOKUP($D20&amp;P$5&amp;P$4,集計!$D:$R,P$3,0)</f>
        <v>#N/A</v>
      </c>
      <c r="Q20" s="89" t="e">
        <f>VLOOKUP($D20&amp;Q$5&amp;Q$4,集計!$D:$R,Q$3,0)</f>
        <v>#N/A</v>
      </c>
      <c r="R20" s="88" t="e">
        <f>VLOOKUP($D20&amp;R$5&amp;R$4,集計!$D:$R,R$3,0)</f>
        <v>#N/A</v>
      </c>
      <c r="S20" s="48" t="e">
        <f>VLOOKUP($D20&amp;S$5&amp;S$4,集計!$D:$R,S$3,0)</f>
        <v>#N/A</v>
      </c>
      <c r="T20" s="59" t="e">
        <f>VLOOKUP($D20&amp;T$5&amp;T$4,集計!$D:$R,T$3,0)</f>
        <v>#N/A</v>
      </c>
      <c r="U20" s="89" t="e">
        <f>VLOOKUP($D20&amp;U$5&amp;U$4,集計!$D:$R,U$3,0)</f>
        <v>#N/A</v>
      </c>
      <c r="V20" s="88" t="e">
        <f>VLOOKUP($D20&amp;V$5&amp;V$4,集計!$D:$R,V$3,0)</f>
        <v>#N/A</v>
      </c>
      <c r="W20" s="48" t="e">
        <f>VLOOKUP($D20&amp;W$5&amp;W$4,集計!$D:$R,W$3,0)</f>
        <v>#N/A</v>
      </c>
      <c r="X20" s="59" t="e">
        <f>VLOOKUP($D20&amp;X$5&amp;X$4,集計!$D:$R,X$3,0)</f>
        <v>#N/A</v>
      </c>
      <c r="Y20" s="89" t="e">
        <f>VLOOKUP($D20&amp;Y$5&amp;Y$4,集計!$D:$R,Y$3,0)</f>
        <v>#N/A</v>
      </c>
      <c r="Z20" s="88" t="e">
        <f>VLOOKUP($D20&amp;Z$5&amp;Z$4,集計!$D:$R,Z$3,0)</f>
        <v>#N/A</v>
      </c>
      <c r="AA20" s="48" t="e">
        <f>VLOOKUP($D20&amp;AA$5&amp;AA$4,集計!$D:$R,AA$3,0)</f>
        <v>#N/A</v>
      </c>
      <c r="AB20" s="59" t="e">
        <f>VLOOKUP($D20&amp;AB$5&amp;AB$4,集計!$D:$R,AB$3,0)</f>
        <v>#N/A</v>
      </c>
      <c r="AC20" s="89" t="e">
        <f>VLOOKUP($D20&amp;AC$5&amp;AC$4,集計!$D:$R,AC$3,0)</f>
        <v>#N/A</v>
      </c>
      <c r="AD20" s="88" t="e">
        <f>VLOOKUP($D20&amp;AD$5&amp;AD$4,集計!$D:$R,AD$3,0)</f>
        <v>#N/A</v>
      </c>
      <c r="AE20" s="48" t="e">
        <f>VLOOKUP($D20&amp;AE$5&amp;AE$4,集計!$D:$R,AE$3,0)</f>
        <v>#N/A</v>
      </c>
      <c r="AF20" s="59" t="e">
        <f>VLOOKUP($D20&amp;AF$5&amp;AF$4,集計!$D:$R,AF$3,0)</f>
        <v>#N/A</v>
      </c>
      <c r="AG20" s="89" t="e">
        <f>VLOOKUP($D20&amp;AG$5&amp;AG$4,集計!$D:$R,AG$3,0)</f>
        <v>#N/A</v>
      </c>
      <c r="AH20" s="88" t="e">
        <f>VLOOKUP($D20&amp;AH$5&amp;AH$4,集計!$D:$R,AH$3,0)</f>
        <v>#N/A</v>
      </c>
      <c r="AI20" s="48" t="e">
        <f>VLOOKUP($D20&amp;AI$5&amp;AI$4,集計!$D:$R,AI$3,0)</f>
        <v>#N/A</v>
      </c>
      <c r="AJ20" s="59" t="e">
        <f>VLOOKUP($D20&amp;AJ$5&amp;AJ$4,集計!$D:$R,AJ$3,0)</f>
        <v>#N/A</v>
      </c>
      <c r="AK20" s="89" t="e">
        <f>VLOOKUP($D20&amp;AK$5&amp;AK$4,集計!$D:$R,AK$3,0)</f>
        <v>#N/A</v>
      </c>
      <c r="AL20" s="88" t="e">
        <f>VLOOKUP($D20&amp;AL$5&amp;AL$4,集計!$D:$R,AL$3,0)</f>
        <v>#N/A</v>
      </c>
      <c r="AM20" s="48" t="e">
        <f>VLOOKUP($D20&amp;AM$5&amp;AM$4,集計!$D:$R,AM$3,0)</f>
        <v>#N/A</v>
      </c>
      <c r="AN20" s="59" t="e">
        <f>VLOOKUP($D20&amp;AN$5&amp;AN$4,集計!$D:$R,AN$3,0)</f>
        <v>#N/A</v>
      </c>
      <c r="AO20" s="89" t="e">
        <f>VLOOKUP($D20&amp;AO$5&amp;AO$4,集計!$D:$R,AO$3,0)</f>
        <v>#N/A</v>
      </c>
      <c r="AP20" s="88" t="e">
        <f>VLOOKUP($D20&amp;AP$5&amp;AP$4,集計!$D:$R,AP$3,0)</f>
        <v>#N/A</v>
      </c>
      <c r="AQ20" s="48" t="e">
        <f>VLOOKUP($D20&amp;AQ$5&amp;AQ$4,集計!$D:$R,AQ$3,0)</f>
        <v>#N/A</v>
      </c>
      <c r="AR20" s="59" t="e">
        <f>VLOOKUP($D20&amp;AR$5&amp;AR$4,集計!$D:$R,AR$3,0)</f>
        <v>#N/A</v>
      </c>
      <c r="AS20" s="89" t="e">
        <f>VLOOKUP($D20&amp;AS$5&amp;AS$4,集計!$D:$R,AS$3,0)</f>
        <v>#N/A</v>
      </c>
      <c r="AT20" s="88" t="e">
        <f>VLOOKUP($D20&amp;AT$5&amp;AT$4,集計!$D:$R,AT$3,0)</f>
        <v>#N/A</v>
      </c>
      <c r="AU20" s="48" t="e">
        <f>VLOOKUP($D20&amp;AU$5&amp;AU$4,集計!$D:$R,AU$3,0)</f>
        <v>#N/A</v>
      </c>
      <c r="AV20" s="59" t="e">
        <f>VLOOKUP($D20&amp;AV$5&amp;AV$4,集計!$D:$R,AV$3,0)</f>
        <v>#N/A</v>
      </c>
      <c r="AW20" s="89" t="e">
        <f>VLOOKUP($D20&amp;AW$5&amp;AW$4,集計!$D:$R,AW$3,0)</f>
        <v>#N/A</v>
      </c>
      <c r="AX20" s="88" t="e">
        <f>VLOOKUP($D20&amp;AX$5&amp;AX$4,集計!$D:$R,AX$3,0)</f>
        <v>#N/A</v>
      </c>
      <c r="AY20" s="48" t="e">
        <f>VLOOKUP($D20&amp;AY$5&amp;AY$4,集計!$D:$R,AY$3,0)</f>
        <v>#N/A</v>
      </c>
      <c r="AZ20" s="59" t="e">
        <f>VLOOKUP($D20&amp;AZ$5&amp;AZ$4,集計!$D:$R,AZ$3,0)</f>
        <v>#N/A</v>
      </c>
      <c r="BA20" s="89" t="e">
        <f>VLOOKUP($D20&amp;BA$5&amp;BA$4,集計!$D:$R,BA$3,0)</f>
        <v>#N/A</v>
      </c>
    </row>
    <row r="21" spans="1:53">
      <c r="A21" s="64"/>
      <c r="B21" s="40"/>
      <c r="C21" s="42"/>
      <c r="D21" s="43"/>
      <c r="E21" s="106">
        <v>1412000039</v>
      </c>
      <c r="F21" s="88"/>
      <c r="G21" s="48"/>
      <c r="H21" s="59"/>
      <c r="I21" s="89"/>
      <c r="J21" s="88"/>
      <c r="K21" s="48"/>
      <c r="L21" s="59"/>
      <c r="M21" s="89"/>
      <c r="N21" s="88"/>
      <c r="O21" s="48"/>
      <c r="P21" s="59"/>
      <c r="Q21" s="89"/>
      <c r="R21" s="88"/>
      <c r="S21" s="48"/>
      <c r="T21" s="59"/>
      <c r="U21" s="89"/>
      <c r="V21" s="88"/>
      <c r="W21" s="48"/>
      <c r="X21" s="59"/>
      <c r="Y21" s="89"/>
      <c r="Z21" s="88"/>
      <c r="AA21" s="48"/>
      <c r="AB21" s="59"/>
      <c r="AC21" s="89"/>
      <c r="AD21" s="88"/>
      <c r="AE21" s="48"/>
      <c r="AF21" s="59"/>
      <c r="AG21" s="89"/>
      <c r="AH21" s="88"/>
      <c r="AI21" s="48"/>
      <c r="AJ21" s="59"/>
      <c r="AK21" s="89"/>
      <c r="AL21" s="88"/>
      <c r="AM21" s="48"/>
      <c r="AN21" s="59"/>
      <c r="AO21" s="89"/>
      <c r="AP21" s="88"/>
      <c r="AQ21" s="48"/>
      <c r="AR21" s="59"/>
      <c r="AS21" s="89"/>
      <c r="AT21" s="88"/>
      <c r="AU21" s="48"/>
      <c r="AV21" s="59"/>
      <c r="AW21" s="89"/>
      <c r="AX21" s="88"/>
      <c r="AY21" s="48"/>
      <c r="AZ21" s="59"/>
      <c r="BA21" s="89"/>
    </row>
    <row r="22" spans="1:53">
      <c r="A22" s="62"/>
      <c r="B22" s="28"/>
      <c r="C22" s="30"/>
      <c r="D22" s="31" t="s">
        <v>2</v>
      </c>
      <c r="E22" s="105">
        <v>1412000089</v>
      </c>
      <c r="F22" s="79" t="e">
        <f>VLOOKUP($D22&amp;F$5&amp;F$4,集計!$D:$R,F$3,0)</f>
        <v>#N/A</v>
      </c>
      <c r="G22" s="38" t="e">
        <f>VLOOKUP($D22&amp;G$5&amp;G$4,集計!$D:$R,G$3,0)</f>
        <v>#N/A</v>
      </c>
      <c r="H22" s="53" t="e">
        <f>VLOOKUP($D22&amp;H$5&amp;H$4,集計!$D:$R,H$3,0)</f>
        <v>#N/A</v>
      </c>
      <c r="I22" s="87" t="e">
        <f>VLOOKUP($D22&amp;I$5&amp;I$4,集計!$D:$R,I$3,0)</f>
        <v>#N/A</v>
      </c>
      <c r="J22" s="79" t="e">
        <f>VLOOKUP($D22&amp;J$5&amp;J$4,集計!$D:$R,J$3,0)</f>
        <v>#N/A</v>
      </c>
      <c r="K22" s="38" t="e">
        <f>VLOOKUP($D22&amp;K$5&amp;K$4,集計!$D:$R,K$3,0)</f>
        <v>#N/A</v>
      </c>
      <c r="L22" s="53" t="e">
        <f>VLOOKUP($D22&amp;L$5&amp;L$4,集計!$D:$R,L$3,0)</f>
        <v>#N/A</v>
      </c>
      <c r="M22" s="87" t="e">
        <f>VLOOKUP($D22&amp;M$5&amp;M$4,集計!$D:$R,M$3,0)</f>
        <v>#N/A</v>
      </c>
      <c r="N22" s="79" t="e">
        <f>VLOOKUP($D22&amp;N$5&amp;N$4,集計!$D:$R,N$3,0)</f>
        <v>#N/A</v>
      </c>
      <c r="O22" s="38" t="e">
        <f>VLOOKUP($D22&amp;O$5&amp;O$4,集計!$D:$R,O$3,0)</f>
        <v>#N/A</v>
      </c>
      <c r="P22" s="53" t="e">
        <f>VLOOKUP($D22&amp;P$5&amp;P$4,集計!$D:$R,P$3,0)</f>
        <v>#N/A</v>
      </c>
      <c r="Q22" s="87" t="e">
        <f>VLOOKUP($D22&amp;Q$5&amp;Q$4,集計!$D:$R,Q$3,0)</f>
        <v>#N/A</v>
      </c>
      <c r="R22" s="79" t="e">
        <f>VLOOKUP($D22&amp;R$5&amp;R$4,集計!$D:$R,R$3,0)</f>
        <v>#N/A</v>
      </c>
      <c r="S22" s="38" t="e">
        <f>VLOOKUP($D22&amp;S$5&amp;S$4,集計!$D:$R,S$3,0)</f>
        <v>#N/A</v>
      </c>
      <c r="T22" s="53" t="e">
        <f>VLOOKUP($D22&amp;T$5&amp;T$4,集計!$D:$R,T$3,0)</f>
        <v>#N/A</v>
      </c>
      <c r="U22" s="87" t="e">
        <f>VLOOKUP($D22&amp;U$5&amp;U$4,集計!$D:$R,U$3,0)</f>
        <v>#N/A</v>
      </c>
      <c r="V22" s="79" t="e">
        <f>VLOOKUP($D22&amp;V$5&amp;V$4,集計!$D:$R,V$3,0)</f>
        <v>#N/A</v>
      </c>
      <c r="W22" s="38" t="e">
        <f>VLOOKUP($D22&amp;W$5&amp;W$4,集計!$D:$R,W$3,0)</f>
        <v>#N/A</v>
      </c>
      <c r="X22" s="53" t="e">
        <f>VLOOKUP($D22&amp;X$5&amp;X$4,集計!$D:$R,X$3,0)</f>
        <v>#N/A</v>
      </c>
      <c r="Y22" s="87" t="e">
        <f>VLOOKUP($D22&amp;Y$5&amp;Y$4,集計!$D:$R,Y$3,0)</f>
        <v>#N/A</v>
      </c>
      <c r="Z22" s="79" t="e">
        <f>VLOOKUP($D22&amp;Z$5&amp;Z$4,集計!$D:$R,Z$3,0)</f>
        <v>#N/A</v>
      </c>
      <c r="AA22" s="38" t="e">
        <f>VLOOKUP($D22&amp;AA$5&amp;AA$4,集計!$D:$R,AA$3,0)</f>
        <v>#N/A</v>
      </c>
      <c r="AB22" s="53" t="e">
        <f>VLOOKUP($D22&amp;AB$5&amp;AB$4,集計!$D:$R,AB$3,0)</f>
        <v>#N/A</v>
      </c>
      <c r="AC22" s="87" t="e">
        <f>VLOOKUP($D22&amp;AC$5&amp;AC$4,集計!$D:$R,AC$3,0)</f>
        <v>#N/A</v>
      </c>
      <c r="AD22" s="79" t="e">
        <f>VLOOKUP($D22&amp;AD$5&amp;AD$4,集計!$D:$R,AD$3,0)</f>
        <v>#N/A</v>
      </c>
      <c r="AE22" s="38" t="e">
        <f>VLOOKUP($D22&amp;AE$5&amp;AE$4,集計!$D:$R,AE$3,0)</f>
        <v>#N/A</v>
      </c>
      <c r="AF22" s="53" t="e">
        <f>VLOOKUP($D22&amp;AF$5&amp;AF$4,集計!$D:$R,AF$3,0)</f>
        <v>#N/A</v>
      </c>
      <c r="AG22" s="87" t="e">
        <f>VLOOKUP($D22&amp;AG$5&amp;AG$4,集計!$D:$R,AG$3,0)</f>
        <v>#N/A</v>
      </c>
      <c r="AH22" s="79" t="e">
        <f>VLOOKUP($D22&amp;AH$5&amp;AH$4,集計!$D:$R,AH$3,0)</f>
        <v>#N/A</v>
      </c>
      <c r="AI22" s="38" t="e">
        <f>VLOOKUP($D22&amp;AI$5&amp;AI$4,集計!$D:$R,AI$3,0)</f>
        <v>#N/A</v>
      </c>
      <c r="AJ22" s="53" t="e">
        <f>VLOOKUP($D22&amp;AJ$5&amp;AJ$4,集計!$D:$R,AJ$3,0)</f>
        <v>#N/A</v>
      </c>
      <c r="AK22" s="87" t="e">
        <f>VLOOKUP($D22&amp;AK$5&amp;AK$4,集計!$D:$R,AK$3,0)</f>
        <v>#N/A</v>
      </c>
      <c r="AL22" s="79" t="e">
        <f>VLOOKUP($D22&amp;AL$5&amp;AL$4,集計!$D:$R,AL$3,0)</f>
        <v>#N/A</v>
      </c>
      <c r="AM22" s="38" t="e">
        <f>VLOOKUP($D22&amp;AM$5&amp;AM$4,集計!$D:$R,AM$3,0)</f>
        <v>#N/A</v>
      </c>
      <c r="AN22" s="53" t="e">
        <f>VLOOKUP($D22&amp;AN$5&amp;AN$4,集計!$D:$R,AN$3,0)</f>
        <v>#N/A</v>
      </c>
      <c r="AO22" s="87" t="e">
        <f>VLOOKUP($D22&amp;AO$5&amp;AO$4,集計!$D:$R,AO$3,0)</f>
        <v>#N/A</v>
      </c>
      <c r="AP22" s="79" t="e">
        <f>VLOOKUP($D22&amp;AP$5&amp;AP$4,集計!$D:$R,AP$3,0)</f>
        <v>#N/A</v>
      </c>
      <c r="AQ22" s="38" t="e">
        <f>VLOOKUP($D22&amp;AQ$5&amp;AQ$4,集計!$D:$R,AQ$3,0)</f>
        <v>#N/A</v>
      </c>
      <c r="AR22" s="53" t="e">
        <f>VLOOKUP($D22&amp;AR$5&amp;AR$4,集計!$D:$R,AR$3,0)</f>
        <v>#N/A</v>
      </c>
      <c r="AS22" s="87" t="e">
        <f>VLOOKUP($D22&amp;AS$5&amp;AS$4,集計!$D:$R,AS$3,0)</f>
        <v>#N/A</v>
      </c>
      <c r="AT22" s="79" t="e">
        <f>VLOOKUP($D22&amp;AT$5&amp;AT$4,集計!$D:$R,AT$3,0)</f>
        <v>#N/A</v>
      </c>
      <c r="AU22" s="38" t="e">
        <f>VLOOKUP($D22&amp;AU$5&amp;AU$4,集計!$D:$R,AU$3,0)</f>
        <v>#N/A</v>
      </c>
      <c r="AV22" s="53" t="e">
        <f>VLOOKUP($D22&amp;AV$5&amp;AV$4,集計!$D:$R,AV$3,0)</f>
        <v>#N/A</v>
      </c>
      <c r="AW22" s="87" t="e">
        <f>VLOOKUP($D22&amp;AW$5&amp;AW$4,集計!$D:$R,AW$3,0)</f>
        <v>#N/A</v>
      </c>
      <c r="AX22" s="79" t="e">
        <f>VLOOKUP($D22&amp;AX$5&amp;AX$4,集計!$D:$R,AX$3,0)</f>
        <v>#N/A</v>
      </c>
      <c r="AY22" s="38" t="e">
        <f>VLOOKUP($D22&amp;AY$5&amp;AY$4,集計!$D:$R,AY$3,0)</f>
        <v>#N/A</v>
      </c>
      <c r="AZ22" s="53" t="e">
        <f>VLOOKUP($D22&amp;AZ$5&amp;AZ$4,集計!$D:$R,AZ$3,0)</f>
        <v>#N/A</v>
      </c>
      <c r="BA22" s="87" t="e">
        <f>VLOOKUP($D22&amp;BA$5&amp;BA$4,集計!$D:$R,BA$3,0)</f>
        <v>#N/A</v>
      </c>
    </row>
    <row r="23" spans="1:53">
      <c r="A23" s="63"/>
      <c r="B23" s="44"/>
      <c r="C23" s="46"/>
      <c r="D23" s="47" t="s">
        <v>3</v>
      </c>
      <c r="E23" s="104">
        <v>1412000040</v>
      </c>
      <c r="F23" s="81" t="e">
        <f>VLOOKUP($D23&amp;F$5&amp;F$4,集計!$D:$R,F$3,0)</f>
        <v>#N/A</v>
      </c>
      <c r="G23" s="49" t="e">
        <f>VLOOKUP($D23&amp;G$5&amp;G$4,集計!$D:$R,G$3,0)</f>
        <v>#N/A</v>
      </c>
      <c r="H23" s="58" t="e">
        <f>VLOOKUP($D23&amp;H$5&amp;H$4,集計!$D:$R,H$3,0)</f>
        <v>#N/A</v>
      </c>
      <c r="I23" s="84" t="e">
        <f>VLOOKUP($D23&amp;I$5&amp;I$4,集計!$D:$R,I$3,0)</f>
        <v>#N/A</v>
      </c>
      <c r="J23" s="81" t="e">
        <f>VLOOKUP($D23&amp;J$5&amp;J$4,集計!$D:$R,J$3,0)</f>
        <v>#N/A</v>
      </c>
      <c r="K23" s="49" t="e">
        <f>VLOOKUP($D23&amp;K$5&amp;K$4,集計!$D:$R,K$3,0)</f>
        <v>#N/A</v>
      </c>
      <c r="L23" s="58" t="e">
        <f>VLOOKUP($D23&amp;L$5&amp;L$4,集計!$D:$R,L$3,0)</f>
        <v>#N/A</v>
      </c>
      <c r="M23" s="84" t="e">
        <f>VLOOKUP($D23&amp;M$5&amp;M$4,集計!$D:$R,M$3,0)</f>
        <v>#N/A</v>
      </c>
      <c r="N23" s="81" t="e">
        <f>VLOOKUP($D23&amp;N$5&amp;N$4,集計!$D:$R,N$3,0)</f>
        <v>#N/A</v>
      </c>
      <c r="O23" s="49" t="e">
        <f>VLOOKUP($D23&amp;O$5&amp;O$4,集計!$D:$R,O$3,0)</f>
        <v>#N/A</v>
      </c>
      <c r="P23" s="58" t="e">
        <f>VLOOKUP($D23&amp;P$5&amp;P$4,集計!$D:$R,P$3,0)</f>
        <v>#N/A</v>
      </c>
      <c r="Q23" s="84" t="e">
        <f>VLOOKUP($D23&amp;Q$5&amp;Q$4,集計!$D:$R,Q$3,0)</f>
        <v>#N/A</v>
      </c>
      <c r="R23" s="81" t="e">
        <f>VLOOKUP($D23&amp;R$5&amp;R$4,集計!$D:$R,R$3,0)</f>
        <v>#N/A</v>
      </c>
      <c r="S23" s="49" t="e">
        <f>VLOOKUP($D23&amp;S$5&amp;S$4,集計!$D:$R,S$3,0)</f>
        <v>#N/A</v>
      </c>
      <c r="T23" s="58" t="e">
        <f>VLOOKUP($D23&amp;T$5&amp;T$4,集計!$D:$R,T$3,0)</f>
        <v>#N/A</v>
      </c>
      <c r="U23" s="84" t="e">
        <f>VLOOKUP($D23&amp;U$5&amp;U$4,集計!$D:$R,U$3,0)</f>
        <v>#N/A</v>
      </c>
      <c r="V23" s="81" t="e">
        <f>VLOOKUP($D23&amp;V$5&amp;V$4,集計!$D:$R,V$3,0)</f>
        <v>#N/A</v>
      </c>
      <c r="W23" s="49" t="e">
        <f>VLOOKUP($D23&amp;W$5&amp;W$4,集計!$D:$R,W$3,0)</f>
        <v>#N/A</v>
      </c>
      <c r="X23" s="58" t="e">
        <f>VLOOKUP($D23&amp;X$5&amp;X$4,集計!$D:$R,X$3,0)</f>
        <v>#N/A</v>
      </c>
      <c r="Y23" s="84" t="e">
        <f>VLOOKUP($D23&amp;Y$5&amp;Y$4,集計!$D:$R,Y$3,0)</f>
        <v>#N/A</v>
      </c>
      <c r="Z23" s="81" t="e">
        <f>VLOOKUP($D23&amp;Z$5&amp;Z$4,集計!$D:$R,Z$3,0)</f>
        <v>#N/A</v>
      </c>
      <c r="AA23" s="49" t="e">
        <f>VLOOKUP($D23&amp;AA$5&amp;AA$4,集計!$D:$R,AA$3,0)</f>
        <v>#N/A</v>
      </c>
      <c r="AB23" s="58" t="e">
        <f>VLOOKUP($D23&amp;AB$5&amp;AB$4,集計!$D:$R,AB$3,0)</f>
        <v>#N/A</v>
      </c>
      <c r="AC23" s="84" t="e">
        <f>VLOOKUP($D23&amp;AC$5&amp;AC$4,集計!$D:$R,AC$3,0)</f>
        <v>#N/A</v>
      </c>
      <c r="AD23" s="81" t="e">
        <f>VLOOKUP($D23&amp;AD$5&amp;AD$4,集計!$D:$R,AD$3,0)</f>
        <v>#N/A</v>
      </c>
      <c r="AE23" s="49" t="e">
        <f>VLOOKUP($D23&amp;AE$5&amp;AE$4,集計!$D:$R,AE$3,0)</f>
        <v>#N/A</v>
      </c>
      <c r="AF23" s="58" t="e">
        <f>VLOOKUP($D23&amp;AF$5&amp;AF$4,集計!$D:$R,AF$3,0)</f>
        <v>#N/A</v>
      </c>
      <c r="AG23" s="84" t="e">
        <f>VLOOKUP($D23&amp;AG$5&amp;AG$4,集計!$D:$R,AG$3,0)</f>
        <v>#N/A</v>
      </c>
      <c r="AH23" s="81" t="e">
        <f>VLOOKUP($D23&amp;AH$5&amp;AH$4,集計!$D:$R,AH$3,0)</f>
        <v>#N/A</v>
      </c>
      <c r="AI23" s="49" t="e">
        <f>VLOOKUP($D23&amp;AI$5&amp;AI$4,集計!$D:$R,AI$3,0)</f>
        <v>#N/A</v>
      </c>
      <c r="AJ23" s="58" t="e">
        <f>VLOOKUP($D23&amp;AJ$5&amp;AJ$4,集計!$D:$R,AJ$3,0)</f>
        <v>#N/A</v>
      </c>
      <c r="AK23" s="84" t="e">
        <f>VLOOKUP($D23&amp;AK$5&amp;AK$4,集計!$D:$R,AK$3,0)</f>
        <v>#N/A</v>
      </c>
      <c r="AL23" s="81" t="e">
        <f>VLOOKUP($D23&amp;AL$5&amp;AL$4,集計!$D:$R,AL$3,0)</f>
        <v>#N/A</v>
      </c>
      <c r="AM23" s="49" t="e">
        <f>VLOOKUP($D23&amp;AM$5&amp;AM$4,集計!$D:$R,AM$3,0)</f>
        <v>#N/A</v>
      </c>
      <c r="AN23" s="58" t="e">
        <f>VLOOKUP($D23&amp;AN$5&amp;AN$4,集計!$D:$R,AN$3,0)</f>
        <v>#N/A</v>
      </c>
      <c r="AO23" s="84" t="e">
        <f>VLOOKUP($D23&amp;AO$5&amp;AO$4,集計!$D:$R,AO$3,0)</f>
        <v>#N/A</v>
      </c>
      <c r="AP23" s="81" t="e">
        <f>VLOOKUP($D23&amp;AP$5&amp;AP$4,集計!$D:$R,AP$3,0)</f>
        <v>#N/A</v>
      </c>
      <c r="AQ23" s="49" t="e">
        <f>VLOOKUP($D23&amp;AQ$5&amp;AQ$4,集計!$D:$R,AQ$3,0)</f>
        <v>#N/A</v>
      </c>
      <c r="AR23" s="58" t="e">
        <f>VLOOKUP($D23&amp;AR$5&amp;AR$4,集計!$D:$R,AR$3,0)</f>
        <v>#N/A</v>
      </c>
      <c r="AS23" s="84" t="e">
        <f>VLOOKUP($D23&amp;AS$5&amp;AS$4,集計!$D:$R,AS$3,0)</f>
        <v>#N/A</v>
      </c>
      <c r="AT23" s="81" t="e">
        <f>VLOOKUP($D23&amp;AT$5&amp;AT$4,集計!$D:$R,AT$3,0)</f>
        <v>#N/A</v>
      </c>
      <c r="AU23" s="49" t="e">
        <f>VLOOKUP($D23&amp;AU$5&amp;AU$4,集計!$D:$R,AU$3,0)</f>
        <v>#N/A</v>
      </c>
      <c r="AV23" s="58" t="e">
        <f>VLOOKUP($D23&amp;AV$5&amp;AV$4,集計!$D:$R,AV$3,0)</f>
        <v>#N/A</v>
      </c>
      <c r="AW23" s="84" t="e">
        <f>VLOOKUP($D23&amp;AW$5&amp;AW$4,集計!$D:$R,AW$3,0)</f>
        <v>#N/A</v>
      </c>
      <c r="AX23" s="81" t="e">
        <f>VLOOKUP($D23&amp;AX$5&amp;AX$4,集計!$D:$R,AX$3,0)</f>
        <v>#N/A</v>
      </c>
      <c r="AY23" s="49" t="e">
        <f>VLOOKUP($D23&amp;AY$5&amp;AY$4,集計!$D:$R,AY$3,0)</f>
        <v>#N/A</v>
      </c>
      <c r="AZ23" s="58" t="e">
        <f>VLOOKUP($D23&amp;AZ$5&amp;AZ$4,集計!$D:$R,AZ$3,0)</f>
        <v>#N/A</v>
      </c>
      <c r="BA23" s="84" t="e">
        <f>VLOOKUP($D23&amp;BA$5&amp;BA$4,集計!$D:$R,BA$3,0)</f>
        <v>#N/A</v>
      </c>
    </row>
    <row r="24" spans="1:53" customFormat="1">
      <c r="A24" s="41" t="s">
        <v>80</v>
      </c>
      <c r="B24" s="41">
        <v>6371</v>
      </c>
      <c r="C24" s="54" t="s">
        <v>70</v>
      </c>
      <c r="D24" s="55"/>
      <c r="E24" s="106">
        <v>1412000012</v>
      </c>
      <c r="F24" s="85"/>
      <c r="G24" s="56"/>
      <c r="H24" s="57"/>
      <c r="I24" s="86"/>
      <c r="J24" s="85"/>
      <c r="K24" s="56"/>
      <c r="L24" s="57"/>
      <c r="M24" s="86"/>
      <c r="N24" s="85"/>
      <c r="O24" s="56"/>
      <c r="P24" s="57"/>
      <c r="Q24" s="86"/>
      <c r="R24" s="85"/>
      <c r="S24" s="56"/>
      <c r="T24" s="57"/>
      <c r="U24" s="86"/>
      <c r="V24" s="85"/>
      <c r="W24" s="56"/>
      <c r="X24" s="57"/>
      <c r="Y24" s="86"/>
      <c r="Z24" s="85"/>
      <c r="AA24" s="56"/>
      <c r="AB24" s="57"/>
      <c r="AC24" s="86"/>
      <c r="AD24" s="85"/>
      <c r="AE24" s="56"/>
      <c r="AF24" s="57"/>
      <c r="AG24" s="86"/>
      <c r="AH24" s="85"/>
      <c r="AI24" s="56"/>
      <c r="AJ24" s="57"/>
      <c r="AK24" s="86"/>
      <c r="AL24" s="85"/>
      <c r="AM24" s="56"/>
      <c r="AN24" s="57"/>
      <c r="AO24" s="86"/>
      <c r="AP24" s="85"/>
      <c r="AQ24" s="56"/>
      <c r="AR24" s="57"/>
      <c r="AS24" s="86"/>
      <c r="AT24" s="85"/>
      <c r="AU24" s="56"/>
      <c r="AV24" s="57"/>
      <c r="AW24" s="86"/>
      <c r="AX24" s="85"/>
      <c r="AY24" s="56"/>
      <c r="AZ24" s="57"/>
      <c r="BA24" s="86"/>
    </row>
    <row r="25" spans="1:53">
      <c r="A25" s="62"/>
      <c r="B25" s="28"/>
      <c r="C25" s="30"/>
      <c r="D25" s="31" t="s">
        <v>9</v>
      </c>
      <c r="E25" s="105">
        <v>1412000013</v>
      </c>
      <c r="F25" s="79" t="e">
        <f>VLOOKUP($D25&amp;F$5&amp;F$4,集計!$D:$R,F$3,0)</f>
        <v>#N/A</v>
      </c>
      <c r="G25" s="38" t="e">
        <f>VLOOKUP($D25&amp;G$5&amp;G$4,集計!$D:$R,G$3,0)</f>
        <v>#N/A</v>
      </c>
      <c r="H25" s="53" t="e">
        <f>VLOOKUP($D25&amp;H$5&amp;H$4,集計!$D:$R,H$3,0)</f>
        <v>#N/A</v>
      </c>
      <c r="I25" s="87" t="e">
        <f>VLOOKUP($D25&amp;I$5&amp;I$4,集計!$D:$R,I$3,0)</f>
        <v>#N/A</v>
      </c>
      <c r="J25" s="79" t="e">
        <f>VLOOKUP($D25&amp;J$5&amp;J$4,集計!$D:$R,J$3,0)</f>
        <v>#N/A</v>
      </c>
      <c r="K25" s="38" t="e">
        <f>VLOOKUP($D25&amp;K$5&amp;K$4,集計!$D:$R,K$3,0)</f>
        <v>#N/A</v>
      </c>
      <c r="L25" s="53" t="e">
        <f>VLOOKUP($D25&amp;L$5&amp;L$4,集計!$D:$R,L$3,0)</f>
        <v>#N/A</v>
      </c>
      <c r="M25" s="87" t="e">
        <f>VLOOKUP($D25&amp;M$5&amp;M$4,集計!$D:$R,M$3,0)</f>
        <v>#N/A</v>
      </c>
      <c r="N25" s="79" t="e">
        <f>VLOOKUP($D25&amp;N$5&amp;N$4,集計!$D:$R,N$3,0)</f>
        <v>#N/A</v>
      </c>
      <c r="O25" s="38" t="e">
        <f>VLOOKUP($D25&amp;O$5&amp;O$4,集計!$D:$R,O$3,0)</f>
        <v>#N/A</v>
      </c>
      <c r="P25" s="53" t="e">
        <f>VLOOKUP($D25&amp;P$5&amp;P$4,集計!$D:$R,P$3,0)</f>
        <v>#N/A</v>
      </c>
      <c r="Q25" s="87" t="e">
        <f>VLOOKUP($D25&amp;Q$5&amp;Q$4,集計!$D:$R,Q$3,0)</f>
        <v>#N/A</v>
      </c>
      <c r="R25" s="79" t="e">
        <f>VLOOKUP($D25&amp;R$5&amp;R$4,集計!$D:$R,R$3,0)</f>
        <v>#N/A</v>
      </c>
      <c r="S25" s="38" t="e">
        <f>VLOOKUP($D25&amp;S$5&amp;S$4,集計!$D:$R,S$3,0)</f>
        <v>#N/A</v>
      </c>
      <c r="T25" s="53" t="e">
        <f>VLOOKUP($D25&amp;T$5&amp;T$4,集計!$D:$R,T$3,0)</f>
        <v>#N/A</v>
      </c>
      <c r="U25" s="87" t="e">
        <f>VLOOKUP($D25&amp;U$5&amp;U$4,集計!$D:$R,U$3,0)</f>
        <v>#N/A</v>
      </c>
      <c r="V25" s="79" t="e">
        <f>VLOOKUP($D25&amp;V$5&amp;V$4,集計!$D:$R,V$3,0)</f>
        <v>#N/A</v>
      </c>
      <c r="W25" s="38" t="e">
        <f>VLOOKUP($D25&amp;W$5&amp;W$4,集計!$D:$R,W$3,0)</f>
        <v>#N/A</v>
      </c>
      <c r="X25" s="53" t="e">
        <f>VLOOKUP($D25&amp;X$5&amp;X$4,集計!$D:$R,X$3,0)</f>
        <v>#N/A</v>
      </c>
      <c r="Y25" s="87" t="e">
        <f>VLOOKUP($D25&amp;Y$5&amp;Y$4,集計!$D:$R,Y$3,0)</f>
        <v>#N/A</v>
      </c>
      <c r="Z25" s="79" t="e">
        <f>VLOOKUP($D25&amp;Z$5&amp;Z$4,集計!$D:$R,Z$3,0)</f>
        <v>#N/A</v>
      </c>
      <c r="AA25" s="38" t="e">
        <f>VLOOKUP($D25&amp;AA$5&amp;AA$4,集計!$D:$R,AA$3,0)</f>
        <v>#N/A</v>
      </c>
      <c r="AB25" s="53" t="e">
        <f>VLOOKUP($D25&amp;AB$5&amp;AB$4,集計!$D:$R,AB$3,0)</f>
        <v>#N/A</v>
      </c>
      <c r="AC25" s="87" t="e">
        <f>VLOOKUP($D25&amp;AC$5&amp;AC$4,集計!$D:$R,AC$3,0)</f>
        <v>#N/A</v>
      </c>
      <c r="AD25" s="79" t="e">
        <f>VLOOKUP($D25&amp;AD$5&amp;AD$4,集計!$D:$R,AD$3,0)</f>
        <v>#N/A</v>
      </c>
      <c r="AE25" s="38" t="e">
        <f>VLOOKUP($D25&amp;AE$5&amp;AE$4,集計!$D:$R,AE$3,0)</f>
        <v>#N/A</v>
      </c>
      <c r="AF25" s="53" t="e">
        <f>VLOOKUP($D25&amp;AF$5&amp;AF$4,集計!$D:$R,AF$3,0)</f>
        <v>#N/A</v>
      </c>
      <c r="AG25" s="87" t="e">
        <f>VLOOKUP($D25&amp;AG$5&amp;AG$4,集計!$D:$R,AG$3,0)</f>
        <v>#N/A</v>
      </c>
      <c r="AH25" s="79" t="e">
        <f>VLOOKUP($D25&amp;AH$5&amp;AH$4,集計!$D:$R,AH$3,0)</f>
        <v>#N/A</v>
      </c>
      <c r="AI25" s="38" t="e">
        <f>VLOOKUP($D25&amp;AI$5&amp;AI$4,集計!$D:$R,AI$3,0)</f>
        <v>#N/A</v>
      </c>
      <c r="AJ25" s="53" t="e">
        <f>VLOOKUP($D25&amp;AJ$5&amp;AJ$4,集計!$D:$R,AJ$3,0)</f>
        <v>#N/A</v>
      </c>
      <c r="AK25" s="87" t="e">
        <f>VLOOKUP($D25&amp;AK$5&amp;AK$4,集計!$D:$R,AK$3,0)</f>
        <v>#N/A</v>
      </c>
      <c r="AL25" s="79" t="e">
        <f>VLOOKUP($D25&amp;AL$5&amp;AL$4,集計!$D:$R,AL$3,0)</f>
        <v>#N/A</v>
      </c>
      <c r="AM25" s="38" t="e">
        <f>VLOOKUP($D25&amp;AM$5&amp;AM$4,集計!$D:$R,AM$3,0)</f>
        <v>#N/A</v>
      </c>
      <c r="AN25" s="53" t="e">
        <f>VLOOKUP($D25&amp;AN$5&amp;AN$4,集計!$D:$R,AN$3,0)</f>
        <v>#N/A</v>
      </c>
      <c r="AO25" s="87" t="e">
        <f>VLOOKUP($D25&amp;AO$5&amp;AO$4,集計!$D:$R,AO$3,0)</f>
        <v>#N/A</v>
      </c>
      <c r="AP25" s="79" t="e">
        <f>VLOOKUP($D25&amp;AP$5&amp;AP$4,集計!$D:$R,AP$3,0)</f>
        <v>#N/A</v>
      </c>
      <c r="AQ25" s="38" t="e">
        <f>VLOOKUP($D25&amp;AQ$5&amp;AQ$4,集計!$D:$R,AQ$3,0)</f>
        <v>#N/A</v>
      </c>
      <c r="AR25" s="53" t="e">
        <f>VLOOKUP($D25&amp;AR$5&amp;AR$4,集計!$D:$R,AR$3,0)</f>
        <v>#N/A</v>
      </c>
      <c r="AS25" s="87" t="e">
        <f>VLOOKUP($D25&amp;AS$5&amp;AS$4,集計!$D:$R,AS$3,0)</f>
        <v>#N/A</v>
      </c>
      <c r="AT25" s="79" t="e">
        <f>VLOOKUP($D25&amp;AT$5&amp;AT$4,集計!$D:$R,AT$3,0)</f>
        <v>#N/A</v>
      </c>
      <c r="AU25" s="38" t="e">
        <f>VLOOKUP($D25&amp;AU$5&amp;AU$4,集計!$D:$R,AU$3,0)</f>
        <v>#N/A</v>
      </c>
      <c r="AV25" s="53" t="e">
        <f>VLOOKUP($D25&amp;AV$5&amp;AV$4,集計!$D:$R,AV$3,0)</f>
        <v>#N/A</v>
      </c>
      <c r="AW25" s="87" t="e">
        <f>VLOOKUP($D25&amp;AW$5&amp;AW$4,集計!$D:$R,AW$3,0)</f>
        <v>#N/A</v>
      </c>
      <c r="AX25" s="79" t="e">
        <f>VLOOKUP($D25&amp;AX$5&amp;AX$4,集計!$D:$R,AX$3,0)</f>
        <v>#N/A</v>
      </c>
      <c r="AY25" s="38" t="e">
        <f>VLOOKUP($D25&amp;AY$5&amp;AY$4,集計!$D:$R,AY$3,0)</f>
        <v>#N/A</v>
      </c>
      <c r="AZ25" s="53" t="e">
        <f>VLOOKUP($D25&amp;AZ$5&amp;AZ$4,集計!$D:$R,AZ$3,0)</f>
        <v>#N/A</v>
      </c>
      <c r="BA25" s="87" t="e">
        <f>VLOOKUP($D25&amp;BA$5&amp;BA$4,集計!$D:$R,BA$3,0)</f>
        <v>#N/A</v>
      </c>
    </row>
    <row r="26" spans="1:53">
      <c r="A26" s="116"/>
      <c r="B26" s="205"/>
      <c r="C26" s="117"/>
      <c r="D26" s="118"/>
      <c r="E26" s="206">
        <v>1412000092</v>
      </c>
      <c r="F26" s="207"/>
      <c r="G26" s="208"/>
      <c r="H26" s="209"/>
      <c r="I26" s="210"/>
      <c r="J26" s="207"/>
      <c r="K26" s="208"/>
      <c r="L26" s="209"/>
      <c r="M26" s="210"/>
      <c r="N26" s="207"/>
      <c r="O26" s="208"/>
      <c r="P26" s="209"/>
      <c r="Q26" s="210"/>
      <c r="R26" s="207"/>
      <c r="S26" s="208"/>
      <c r="T26" s="209"/>
      <c r="U26" s="210"/>
      <c r="V26" s="207"/>
      <c r="W26" s="208"/>
      <c r="X26" s="209"/>
      <c r="Y26" s="210"/>
      <c r="Z26" s="207"/>
      <c r="AA26" s="208"/>
      <c r="AB26" s="209"/>
      <c r="AC26" s="210"/>
      <c r="AD26" s="207"/>
      <c r="AE26" s="208"/>
      <c r="AF26" s="209"/>
      <c r="AG26" s="210"/>
      <c r="AH26" s="207"/>
      <c r="AI26" s="208"/>
      <c r="AJ26" s="209"/>
      <c r="AK26" s="210"/>
      <c r="AL26" s="207"/>
      <c r="AM26" s="208"/>
      <c r="AN26" s="209"/>
      <c r="AO26" s="210"/>
      <c r="AP26" s="207"/>
      <c r="AQ26" s="208"/>
      <c r="AR26" s="209"/>
      <c r="AS26" s="210"/>
      <c r="AT26" s="207"/>
      <c r="AU26" s="208"/>
      <c r="AV26" s="209"/>
      <c r="AW26" s="210"/>
      <c r="AX26" s="207"/>
      <c r="AY26" s="208"/>
      <c r="AZ26" s="209"/>
      <c r="BA26" s="210"/>
    </row>
    <row r="27" spans="1:53">
      <c r="A27" s="63"/>
      <c r="B27" s="44"/>
      <c r="C27" s="46"/>
      <c r="D27" s="47" t="s">
        <v>94</v>
      </c>
      <c r="E27" s="104">
        <v>1412000035</v>
      </c>
      <c r="F27" s="81" t="e">
        <f>VLOOKUP($D27&amp;F$5&amp;F$4,集計!$D:$R,F$3,0)</f>
        <v>#N/A</v>
      </c>
      <c r="G27" s="49" t="e">
        <f>VLOOKUP($D27&amp;G$5&amp;G$4,集計!$D:$R,G$3,0)</f>
        <v>#N/A</v>
      </c>
      <c r="H27" s="58" t="e">
        <f>VLOOKUP($D27&amp;H$5&amp;H$4,集計!$D:$R,H$3,0)</f>
        <v>#N/A</v>
      </c>
      <c r="I27" s="84" t="e">
        <f>VLOOKUP($D27&amp;I$5&amp;I$4,集計!$D:$R,I$3,0)</f>
        <v>#N/A</v>
      </c>
      <c r="J27" s="81" t="e">
        <f>VLOOKUP($D27&amp;J$5&amp;J$4,集計!$D:$R,J$3,0)</f>
        <v>#N/A</v>
      </c>
      <c r="K27" s="49" t="e">
        <f>VLOOKUP($D27&amp;K$5&amp;K$4,集計!$D:$R,K$3,0)</f>
        <v>#N/A</v>
      </c>
      <c r="L27" s="58" t="e">
        <f>VLOOKUP($D27&amp;L$5&amp;L$4,集計!$D:$R,L$3,0)</f>
        <v>#N/A</v>
      </c>
      <c r="M27" s="84" t="e">
        <f>VLOOKUP($D27&amp;M$5&amp;M$4,集計!$D:$R,M$3,0)</f>
        <v>#N/A</v>
      </c>
      <c r="N27" s="81" t="e">
        <f>VLOOKUP($D27&amp;N$5&amp;N$4,集計!$D:$R,N$3,0)</f>
        <v>#N/A</v>
      </c>
      <c r="O27" s="49" t="e">
        <f>VLOOKUP($D27&amp;O$5&amp;O$4,集計!$D:$R,O$3,0)</f>
        <v>#N/A</v>
      </c>
      <c r="P27" s="58" t="e">
        <f>VLOOKUP($D27&amp;P$5&amp;P$4,集計!$D:$R,P$3,0)</f>
        <v>#N/A</v>
      </c>
      <c r="Q27" s="84" t="e">
        <f>VLOOKUP($D27&amp;Q$5&amp;Q$4,集計!$D:$R,Q$3,0)</f>
        <v>#N/A</v>
      </c>
      <c r="R27" s="81" t="e">
        <f>VLOOKUP($D27&amp;R$5&amp;R$4,集計!$D:$R,R$3,0)</f>
        <v>#N/A</v>
      </c>
      <c r="S27" s="49" t="e">
        <f>VLOOKUP($D27&amp;S$5&amp;S$4,集計!$D:$R,S$3,0)</f>
        <v>#N/A</v>
      </c>
      <c r="T27" s="58" t="e">
        <f>VLOOKUP($D27&amp;T$5&amp;T$4,集計!$D:$R,T$3,0)</f>
        <v>#N/A</v>
      </c>
      <c r="U27" s="84" t="e">
        <f>VLOOKUP($D27&amp;U$5&amp;U$4,集計!$D:$R,U$3,0)</f>
        <v>#N/A</v>
      </c>
      <c r="V27" s="81" t="e">
        <f>VLOOKUP($D27&amp;V$5&amp;V$4,集計!$D:$R,V$3,0)</f>
        <v>#N/A</v>
      </c>
      <c r="W27" s="49" t="e">
        <f>VLOOKUP($D27&amp;W$5&amp;W$4,集計!$D:$R,W$3,0)</f>
        <v>#N/A</v>
      </c>
      <c r="X27" s="58" t="e">
        <f>VLOOKUP($D27&amp;X$5&amp;X$4,集計!$D:$R,X$3,0)</f>
        <v>#N/A</v>
      </c>
      <c r="Y27" s="84" t="e">
        <f>VLOOKUP($D27&amp;Y$5&amp;Y$4,集計!$D:$R,Y$3,0)</f>
        <v>#N/A</v>
      </c>
      <c r="Z27" s="81" t="e">
        <f>VLOOKUP($D27&amp;Z$5&amp;Z$4,集計!$D:$R,Z$3,0)</f>
        <v>#N/A</v>
      </c>
      <c r="AA27" s="49" t="e">
        <f>VLOOKUP($D27&amp;AA$5&amp;AA$4,集計!$D:$R,AA$3,0)</f>
        <v>#N/A</v>
      </c>
      <c r="AB27" s="58" t="e">
        <f>VLOOKUP($D27&amp;AB$5&amp;AB$4,集計!$D:$R,AB$3,0)</f>
        <v>#N/A</v>
      </c>
      <c r="AC27" s="84" t="e">
        <f>VLOOKUP($D27&amp;AC$5&amp;AC$4,集計!$D:$R,AC$3,0)</f>
        <v>#N/A</v>
      </c>
      <c r="AD27" s="81" t="e">
        <f>VLOOKUP($D27&amp;AD$5&amp;AD$4,集計!$D:$R,AD$3,0)</f>
        <v>#N/A</v>
      </c>
      <c r="AE27" s="49" t="e">
        <f>VLOOKUP($D27&amp;AE$5&amp;AE$4,集計!$D:$R,AE$3,0)</f>
        <v>#N/A</v>
      </c>
      <c r="AF27" s="58" t="e">
        <f>VLOOKUP($D27&amp;AF$5&amp;AF$4,集計!$D:$R,AF$3,0)</f>
        <v>#N/A</v>
      </c>
      <c r="AG27" s="84" t="e">
        <f>VLOOKUP($D27&amp;AG$5&amp;AG$4,集計!$D:$R,AG$3,0)</f>
        <v>#N/A</v>
      </c>
      <c r="AH27" s="81" t="e">
        <f>VLOOKUP($D27&amp;AH$5&amp;AH$4,集計!$D:$R,AH$3,0)</f>
        <v>#N/A</v>
      </c>
      <c r="AI27" s="49" t="e">
        <f>VLOOKUP($D27&amp;AI$5&amp;AI$4,集計!$D:$R,AI$3,0)</f>
        <v>#N/A</v>
      </c>
      <c r="AJ27" s="58" t="e">
        <f>VLOOKUP($D27&amp;AJ$5&amp;AJ$4,集計!$D:$R,AJ$3,0)</f>
        <v>#N/A</v>
      </c>
      <c r="AK27" s="84" t="e">
        <f>VLOOKUP($D27&amp;AK$5&amp;AK$4,集計!$D:$R,AK$3,0)</f>
        <v>#N/A</v>
      </c>
      <c r="AL27" s="81" t="e">
        <f>VLOOKUP($D27&amp;AL$5&amp;AL$4,集計!$D:$R,AL$3,0)</f>
        <v>#N/A</v>
      </c>
      <c r="AM27" s="49" t="e">
        <f>VLOOKUP($D27&amp;AM$5&amp;AM$4,集計!$D:$R,AM$3,0)</f>
        <v>#N/A</v>
      </c>
      <c r="AN27" s="58" t="e">
        <f>VLOOKUP($D27&amp;AN$5&amp;AN$4,集計!$D:$R,AN$3,0)</f>
        <v>#N/A</v>
      </c>
      <c r="AO27" s="84" t="e">
        <f>VLOOKUP($D27&amp;AO$5&amp;AO$4,集計!$D:$R,AO$3,0)</f>
        <v>#N/A</v>
      </c>
      <c r="AP27" s="81" t="e">
        <f>VLOOKUP($D27&amp;AP$5&amp;AP$4,集計!$D:$R,AP$3,0)</f>
        <v>#N/A</v>
      </c>
      <c r="AQ27" s="49" t="e">
        <f>VLOOKUP($D27&amp;AQ$5&amp;AQ$4,集計!$D:$R,AQ$3,0)</f>
        <v>#N/A</v>
      </c>
      <c r="AR27" s="58" t="e">
        <f>VLOOKUP($D27&amp;AR$5&amp;AR$4,集計!$D:$R,AR$3,0)</f>
        <v>#N/A</v>
      </c>
      <c r="AS27" s="84" t="e">
        <f>VLOOKUP($D27&amp;AS$5&amp;AS$4,集計!$D:$R,AS$3,0)</f>
        <v>#N/A</v>
      </c>
      <c r="AT27" s="81" t="e">
        <f>VLOOKUP($D27&amp;AT$5&amp;AT$4,集計!$D:$R,AT$3,0)</f>
        <v>#N/A</v>
      </c>
      <c r="AU27" s="49" t="e">
        <f>VLOOKUP($D27&amp;AU$5&amp;AU$4,集計!$D:$R,AU$3,0)</f>
        <v>#N/A</v>
      </c>
      <c r="AV27" s="58" t="e">
        <f>VLOOKUP($D27&amp;AV$5&amp;AV$4,集計!$D:$R,AV$3,0)</f>
        <v>#N/A</v>
      </c>
      <c r="AW27" s="84" t="e">
        <f>VLOOKUP($D27&amp;AW$5&amp;AW$4,集計!$D:$R,AW$3,0)</f>
        <v>#N/A</v>
      </c>
      <c r="AX27" s="81" t="e">
        <f>VLOOKUP($D27&amp;AX$5&amp;AX$4,集計!$D:$R,AX$3,0)</f>
        <v>#N/A</v>
      </c>
      <c r="AY27" s="49" t="e">
        <f>VLOOKUP($D27&amp;AY$5&amp;AY$4,集計!$D:$R,AY$3,0)</f>
        <v>#N/A</v>
      </c>
      <c r="AZ27" s="58" t="e">
        <f>VLOOKUP($D27&amp;AZ$5&amp;AZ$4,集計!$D:$R,AZ$3,0)</f>
        <v>#N/A</v>
      </c>
      <c r="BA27" s="84" t="e">
        <f>VLOOKUP($D27&amp;BA$5&amp;BA$4,集計!$D:$R,BA$3,0)</f>
        <v>#N/A</v>
      </c>
    </row>
    <row r="28" spans="1:53" customFormat="1">
      <c r="A28" s="41" t="s">
        <v>81</v>
      </c>
      <c r="B28" s="41">
        <v>6371</v>
      </c>
      <c r="C28" s="54" t="s">
        <v>10</v>
      </c>
      <c r="D28" s="55"/>
      <c r="E28" s="106">
        <v>1412000015</v>
      </c>
      <c r="F28" s="85"/>
      <c r="G28" s="56"/>
      <c r="H28" s="57"/>
      <c r="I28" s="86"/>
      <c r="J28" s="85"/>
      <c r="K28" s="56"/>
      <c r="L28" s="57"/>
      <c r="M28" s="86"/>
      <c r="N28" s="85"/>
      <c r="O28" s="56"/>
      <c r="P28" s="57"/>
      <c r="Q28" s="86"/>
      <c r="R28" s="85"/>
      <c r="S28" s="56"/>
      <c r="T28" s="57"/>
      <c r="U28" s="86"/>
      <c r="V28" s="85"/>
      <c r="W28" s="56"/>
      <c r="X28" s="57"/>
      <c r="Y28" s="86"/>
      <c r="Z28" s="85"/>
      <c r="AA28" s="56"/>
      <c r="AB28" s="57"/>
      <c r="AC28" s="86"/>
      <c r="AD28" s="85"/>
      <c r="AE28" s="56"/>
      <c r="AF28" s="57"/>
      <c r="AG28" s="86"/>
      <c r="AH28" s="85"/>
      <c r="AI28" s="56"/>
      <c r="AJ28" s="57"/>
      <c r="AK28" s="86"/>
      <c r="AL28" s="85"/>
      <c r="AM28" s="56"/>
      <c r="AN28" s="57"/>
      <c r="AO28" s="86"/>
      <c r="AP28" s="85"/>
      <c r="AQ28" s="56"/>
      <c r="AR28" s="57"/>
      <c r="AS28" s="86"/>
      <c r="AT28" s="85"/>
      <c r="AU28" s="56"/>
      <c r="AV28" s="57"/>
      <c r="AW28" s="86"/>
      <c r="AX28" s="85"/>
      <c r="AY28" s="56"/>
      <c r="AZ28" s="57"/>
      <c r="BA28" s="86"/>
    </row>
    <row r="29" spans="1:53">
      <c r="A29" s="179"/>
      <c r="B29" s="179"/>
      <c r="C29" s="180"/>
      <c r="D29" s="182" t="s">
        <v>86</v>
      </c>
      <c r="E29" s="181">
        <v>1412000016</v>
      </c>
      <c r="F29" s="183" t="e">
        <f>VLOOKUP($D29&amp;F$5&amp;F$4,集計!$D:$R,F$3,0)</f>
        <v>#N/A</v>
      </c>
      <c r="G29" s="184" t="e">
        <f>VLOOKUP($D29&amp;G$5&amp;G$4,集計!$D:$R,G$3,0)</f>
        <v>#N/A</v>
      </c>
      <c r="H29" s="185" t="e">
        <f>VLOOKUP($D29&amp;H$5&amp;H$4,集計!$D:$R,H$3,0)</f>
        <v>#N/A</v>
      </c>
      <c r="I29" s="186" t="e">
        <f>VLOOKUP($D29&amp;I$5&amp;I$4,集計!$D:$R,I$3,0)</f>
        <v>#N/A</v>
      </c>
      <c r="J29" s="183" t="e">
        <f>VLOOKUP($D29&amp;J$5&amp;J$4,集計!$D:$R,J$3,0)</f>
        <v>#N/A</v>
      </c>
      <c r="K29" s="184" t="e">
        <f>VLOOKUP($D29&amp;K$5&amp;K$4,集計!$D:$R,K$3,0)</f>
        <v>#N/A</v>
      </c>
      <c r="L29" s="185" t="e">
        <f>VLOOKUP($D29&amp;L$5&amp;L$4,集計!$D:$R,L$3,0)</f>
        <v>#N/A</v>
      </c>
      <c r="M29" s="186" t="e">
        <f>VLOOKUP($D29&amp;M$5&amp;M$4,集計!$D:$R,M$3,0)</f>
        <v>#N/A</v>
      </c>
      <c r="N29" s="183" t="e">
        <f>VLOOKUP($D29&amp;N$5&amp;N$4,集計!$D:$R,N$3,0)</f>
        <v>#N/A</v>
      </c>
      <c r="O29" s="184" t="e">
        <f>VLOOKUP($D29&amp;O$5&amp;O$4,集計!$D:$R,O$3,0)</f>
        <v>#N/A</v>
      </c>
      <c r="P29" s="185" t="e">
        <f>VLOOKUP($D29&amp;P$5&amp;P$4,集計!$D:$R,P$3,0)</f>
        <v>#N/A</v>
      </c>
      <c r="Q29" s="186" t="e">
        <f>VLOOKUP($D29&amp;Q$5&amp;Q$4,集計!$D:$R,Q$3,0)</f>
        <v>#N/A</v>
      </c>
      <c r="R29" s="183" t="e">
        <f>VLOOKUP($D29&amp;R$5&amp;R$4,集計!$D:$R,R$3,0)</f>
        <v>#N/A</v>
      </c>
      <c r="S29" s="184" t="e">
        <f>VLOOKUP($D29&amp;S$5&amp;S$4,集計!$D:$R,S$3,0)</f>
        <v>#N/A</v>
      </c>
      <c r="T29" s="185" t="e">
        <f>VLOOKUP($D29&amp;T$5&amp;T$4,集計!$D:$R,T$3,0)</f>
        <v>#N/A</v>
      </c>
      <c r="U29" s="186" t="e">
        <f>VLOOKUP($D29&amp;U$5&amp;U$4,集計!$D:$R,U$3,0)</f>
        <v>#N/A</v>
      </c>
      <c r="V29" s="183" t="e">
        <f>VLOOKUP($D29&amp;V$5&amp;V$4,集計!$D:$R,V$3,0)</f>
        <v>#N/A</v>
      </c>
      <c r="W29" s="184" t="e">
        <f>VLOOKUP($D29&amp;W$5&amp;W$4,集計!$D:$R,W$3,0)</f>
        <v>#N/A</v>
      </c>
      <c r="X29" s="185" t="e">
        <f>VLOOKUP($D29&amp;X$5&amp;X$4,集計!$D:$R,X$3,0)</f>
        <v>#N/A</v>
      </c>
      <c r="Y29" s="186" t="e">
        <f>VLOOKUP($D29&amp;Y$5&amp;Y$4,集計!$D:$R,Y$3,0)</f>
        <v>#N/A</v>
      </c>
      <c r="Z29" s="183" t="e">
        <f>VLOOKUP($D29&amp;Z$5&amp;Z$4,集計!$D:$R,Z$3,0)</f>
        <v>#N/A</v>
      </c>
      <c r="AA29" s="184" t="e">
        <f>VLOOKUP($D29&amp;AA$5&amp;AA$4,集計!$D:$R,AA$3,0)</f>
        <v>#N/A</v>
      </c>
      <c r="AB29" s="185" t="e">
        <f>VLOOKUP($D29&amp;AB$5&amp;AB$4,集計!$D:$R,AB$3,0)</f>
        <v>#N/A</v>
      </c>
      <c r="AC29" s="186" t="e">
        <f>VLOOKUP($D29&amp;AC$5&amp;AC$4,集計!$D:$R,AC$3,0)</f>
        <v>#N/A</v>
      </c>
      <c r="AD29" s="183" t="e">
        <f>VLOOKUP($D29&amp;AD$5&amp;AD$4,集計!$D:$R,AD$3,0)</f>
        <v>#N/A</v>
      </c>
      <c r="AE29" s="184" t="e">
        <f>VLOOKUP($D29&amp;AE$5&amp;AE$4,集計!$D:$R,AE$3,0)</f>
        <v>#N/A</v>
      </c>
      <c r="AF29" s="185" t="e">
        <f>VLOOKUP($D29&amp;AF$5&amp;AF$4,集計!$D:$R,AF$3,0)</f>
        <v>#N/A</v>
      </c>
      <c r="AG29" s="186" t="e">
        <f>VLOOKUP($D29&amp;AG$5&amp;AG$4,集計!$D:$R,AG$3,0)</f>
        <v>#N/A</v>
      </c>
      <c r="AH29" s="183" t="e">
        <f>VLOOKUP($D29&amp;AH$5&amp;AH$4,集計!$D:$R,AH$3,0)</f>
        <v>#N/A</v>
      </c>
      <c r="AI29" s="184" t="e">
        <f>VLOOKUP($D29&amp;AI$5&amp;AI$4,集計!$D:$R,AI$3,0)</f>
        <v>#N/A</v>
      </c>
      <c r="AJ29" s="185" t="e">
        <f>VLOOKUP($D29&amp;AJ$5&amp;AJ$4,集計!$D:$R,AJ$3,0)</f>
        <v>#N/A</v>
      </c>
      <c r="AK29" s="186" t="e">
        <f>VLOOKUP($D29&amp;AK$5&amp;AK$4,集計!$D:$R,AK$3,0)</f>
        <v>#N/A</v>
      </c>
      <c r="AL29" s="183" t="e">
        <f>VLOOKUP($D29&amp;AL$5&amp;AL$4,集計!$D:$R,AL$3,0)</f>
        <v>#N/A</v>
      </c>
      <c r="AM29" s="184" t="e">
        <f>VLOOKUP($D29&amp;AM$5&amp;AM$4,集計!$D:$R,AM$3,0)</f>
        <v>#N/A</v>
      </c>
      <c r="AN29" s="185" t="e">
        <f>VLOOKUP($D29&amp;AN$5&amp;AN$4,集計!$D:$R,AN$3,0)</f>
        <v>#N/A</v>
      </c>
      <c r="AO29" s="186" t="e">
        <f>VLOOKUP($D29&amp;AO$5&amp;AO$4,集計!$D:$R,AO$3,0)</f>
        <v>#N/A</v>
      </c>
      <c r="AP29" s="183" t="e">
        <f>VLOOKUP($D29&amp;AP$5&amp;AP$4,集計!$D:$R,AP$3,0)</f>
        <v>#N/A</v>
      </c>
      <c r="AQ29" s="184" t="e">
        <f>VLOOKUP($D29&amp;AQ$5&amp;AQ$4,集計!$D:$R,AQ$3,0)</f>
        <v>#N/A</v>
      </c>
      <c r="AR29" s="185" t="e">
        <f>VLOOKUP($D29&amp;AR$5&amp;AR$4,集計!$D:$R,AR$3,0)</f>
        <v>#N/A</v>
      </c>
      <c r="AS29" s="186" t="e">
        <f>VLOOKUP($D29&amp;AS$5&amp;AS$4,集計!$D:$R,AS$3,0)</f>
        <v>#N/A</v>
      </c>
      <c r="AT29" s="183" t="e">
        <f>VLOOKUP($D29&amp;AT$5&amp;AT$4,集計!$D:$R,AT$3,0)</f>
        <v>#N/A</v>
      </c>
      <c r="AU29" s="184" t="e">
        <f>VLOOKUP($D29&amp;AU$5&amp;AU$4,集計!$D:$R,AU$3,0)</f>
        <v>#N/A</v>
      </c>
      <c r="AV29" s="185" t="e">
        <f>VLOOKUP($D29&amp;AV$5&amp;AV$4,集計!$D:$R,AV$3,0)</f>
        <v>#N/A</v>
      </c>
      <c r="AW29" s="186" t="e">
        <f>VLOOKUP($D29&amp;AW$5&amp;AW$4,集計!$D:$R,AW$3,0)</f>
        <v>#N/A</v>
      </c>
      <c r="AX29" s="183" t="e">
        <f>VLOOKUP($D29&amp;AX$5&amp;AX$4,集計!$D:$R,AX$3,0)</f>
        <v>#N/A</v>
      </c>
      <c r="AY29" s="184" t="e">
        <f>VLOOKUP($D29&amp;AY$5&amp;AY$4,集計!$D:$R,AY$3,0)</f>
        <v>#N/A</v>
      </c>
      <c r="AZ29" s="185" t="e">
        <f>VLOOKUP($D29&amp;AZ$5&amp;AZ$4,集計!$D:$R,AZ$3,0)</f>
        <v>#N/A</v>
      </c>
      <c r="BA29" s="186" t="e">
        <f>VLOOKUP($D29&amp;BA$5&amp;BA$4,集計!$D:$R,BA$3,0)</f>
        <v>#N/A</v>
      </c>
    </row>
    <row r="30" spans="1:53">
      <c r="A30" s="62"/>
      <c r="B30" s="28"/>
      <c r="C30" s="30"/>
      <c r="D30" s="31" t="s">
        <v>87</v>
      </c>
      <c r="E30" s="105">
        <v>1412000069</v>
      </c>
      <c r="F30" s="79" t="e">
        <f>VLOOKUP($D30&amp;F$5&amp;F$4,集計!$D:$R,F$3,0)</f>
        <v>#N/A</v>
      </c>
      <c r="G30" s="38" t="e">
        <f>VLOOKUP($D30&amp;G$5&amp;G$4,集計!$D:$R,G$3,0)</f>
        <v>#N/A</v>
      </c>
      <c r="H30" s="53" t="e">
        <f>VLOOKUP($D30&amp;H$5&amp;H$4,集計!$D:$R,H$3,0)</f>
        <v>#N/A</v>
      </c>
      <c r="I30" s="87" t="e">
        <f>VLOOKUP($D30&amp;I$5&amp;I$4,集計!$D:$R,I$3,0)</f>
        <v>#N/A</v>
      </c>
      <c r="J30" s="79" t="e">
        <f>VLOOKUP($D30&amp;J$5&amp;J$4,集計!$D:$R,J$3,0)</f>
        <v>#N/A</v>
      </c>
      <c r="K30" s="38" t="e">
        <f>VLOOKUP($D30&amp;K$5&amp;K$4,集計!$D:$R,K$3,0)</f>
        <v>#N/A</v>
      </c>
      <c r="L30" s="53" t="e">
        <f>VLOOKUP($D30&amp;L$5&amp;L$4,集計!$D:$R,L$3,0)</f>
        <v>#N/A</v>
      </c>
      <c r="M30" s="87" t="e">
        <f>VLOOKUP($D30&amp;M$5&amp;M$4,集計!$D:$R,M$3,0)</f>
        <v>#N/A</v>
      </c>
      <c r="N30" s="79" t="e">
        <f>VLOOKUP($D30&amp;N$5&amp;N$4,集計!$D:$R,N$3,0)</f>
        <v>#N/A</v>
      </c>
      <c r="O30" s="38" t="e">
        <f>VLOOKUP($D30&amp;O$5&amp;O$4,集計!$D:$R,O$3,0)</f>
        <v>#N/A</v>
      </c>
      <c r="P30" s="53" t="e">
        <f>VLOOKUP($D30&amp;P$5&amp;P$4,集計!$D:$R,P$3,0)</f>
        <v>#N/A</v>
      </c>
      <c r="Q30" s="87" t="e">
        <f>VLOOKUP($D30&amp;Q$5&amp;Q$4,集計!$D:$R,Q$3,0)</f>
        <v>#N/A</v>
      </c>
      <c r="R30" s="79" t="e">
        <f>VLOOKUP($D30&amp;R$5&amp;R$4,集計!$D:$R,R$3,0)</f>
        <v>#N/A</v>
      </c>
      <c r="S30" s="38" t="e">
        <f>VLOOKUP($D30&amp;S$5&amp;S$4,集計!$D:$R,S$3,0)</f>
        <v>#N/A</v>
      </c>
      <c r="T30" s="53" t="e">
        <f>VLOOKUP($D30&amp;T$5&amp;T$4,集計!$D:$R,T$3,0)</f>
        <v>#N/A</v>
      </c>
      <c r="U30" s="87" t="e">
        <f>VLOOKUP($D30&amp;U$5&amp;U$4,集計!$D:$R,U$3,0)</f>
        <v>#N/A</v>
      </c>
      <c r="V30" s="79" t="e">
        <f>VLOOKUP($D30&amp;V$5&amp;V$4,集計!$D:$R,V$3,0)</f>
        <v>#N/A</v>
      </c>
      <c r="W30" s="38" t="e">
        <f>VLOOKUP($D30&amp;W$5&amp;W$4,集計!$D:$R,W$3,0)</f>
        <v>#N/A</v>
      </c>
      <c r="X30" s="53" t="e">
        <f>VLOOKUP($D30&amp;X$5&amp;X$4,集計!$D:$R,X$3,0)</f>
        <v>#N/A</v>
      </c>
      <c r="Y30" s="87" t="e">
        <f>VLOOKUP($D30&amp;Y$5&amp;Y$4,集計!$D:$R,Y$3,0)</f>
        <v>#N/A</v>
      </c>
      <c r="Z30" s="79" t="e">
        <f>VLOOKUP($D30&amp;Z$5&amp;Z$4,集計!$D:$R,Z$3,0)</f>
        <v>#N/A</v>
      </c>
      <c r="AA30" s="38" t="e">
        <f>VLOOKUP($D30&amp;AA$5&amp;AA$4,集計!$D:$R,AA$3,0)</f>
        <v>#N/A</v>
      </c>
      <c r="AB30" s="53" t="e">
        <f>VLOOKUP($D30&amp;AB$5&amp;AB$4,集計!$D:$R,AB$3,0)</f>
        <v>#N/A</v>
      </c>
      <c r="AC30" s="87" t="e">
        <f>VLOOKUP($D30&amp;AC$5&amp;AC$4,集計!$D:$R,AC$3,0)</f>
        <v>#N/A</v>
      </c>
      <c r="AD30" s="79" t="e">
        <f>VLOOKUP($D30&amp;AD$5&amp;AD$4,集計!$D:$R,AD$3,0)</f>
        <v>#N/A</v>
      </c>
      <c r="AE30" s="38" t="e">
        <f>VLOOKUP($D30&amp;AE$5&amp;AE$4,集計!$D:$R,AE$3,0)</f>
        <v>#N/A</v>
      </c>
      <c r="AF30" s="53" t="e">
        <f>VLOOKUP($D30&amp;AF$5&amp;AF$4,集計!$D:$R,AF$3,0)</f>
        <v>#N/A</v>
      </c>
      <c r="AG30" s="87" t="e">
        <f>VLOOKUP($D30&amp;AG$5&amp;AG$4,集計!$D:$R,AG$3,0)</f>
        <v>#N/A</v>
      </c>
      <c r="AH30" s="79" t="e">
        <f>VLOOKUP($D30&amp;AH$5&amp;AH$4,集計!$D:$R,AH$3,0)</f>
        <v>#N/A</v>
      </c>
      <c r="AI30" s="38" t="e">
        <f>VLOOKUP($D30&amp;AI$5&amp;AI$4,集計!$D:$R,AI$3,0)</f>
        <v>#N/A</v>
      </c>
      <c r="AJ30" s="53" t="e">
        <f>VLOOKUP($D30&amp;AJ$5&amp;AJ$4,集計!$D:$R,AJ$3,0)</f>
        <v>#N/A</v>
      </c>
      <c r="AK30" s="87" t="e">
        <f>VLOOKUP($D30&amp;AK$5&amp;AK$4,集計!$D:$R,AK$3,0)</f>
        <v>#N/A</v>
      </c>
      <c r="AL30" s="79" t="e">
        <f>VLOOKUP($D30&amp;AL$5&amp;AL$4,集計!$D:$R,AL$3,0)</f>
        <v>#N/A</v>
      </c>
      <c r="AM30" s="38" t="e">
        <f>VLOOKUP($D30&amp;AM$5&amp;AM$4,集計!$D:$R,AM$3,0)</f>
        <v>#N/A</v>
      </c>
      <c r="AN30" s="53" t="e">
        <f>VLOOKUP($D30&amp;AN$5&amp;AN$4,集計!$D:$R,AN$3,0)</f>
        <v>#N/A</v>
      </c>
      <c r="AO30" s="87" t="e">
        <f>VLOOKUP($D30&amp;AO$5&amp;AO$4,集計!$D:$R,AO$3,0)</f>
        <v>#N/A</v>
      </c>
      <c r="AP30" s="79" t="e">
        <f>VLOOKUP($D30&amp;AP$5&amp;AP$4,集計!$D:$R,AP$3,0)</f>
        <v>#N/A</v>
      </c>
      <c r="AQ30" s="38" t="e">
        <f>VLOOKUP($D30&amp;AQ$5&amp;AQ$4,集計!$D:$R,AQ$3,0)</f>
        <v>#N/A</v>
      </c>
      <c r="AR30" s="53" t="e">
        <f>VLOOKUP($D30&amp;AR$5&amp;AR$4,集計!$D:$R,AR$3,0)</f>
        <v>#N/A</v>
      </c>
      <c r="AS30" s="87" t="e">
        <f>VLOOKUP($D30&amp;AS$5&amp;AS$4,集計!$D:$R,AS$3,0)</f>
        <v>#N/A</v>
      </c>
      <c r="AT30" s="79" t="e">
        <f>VLOOKUP($D30&amp;AT$5&amp;AT$4,集計!$D:$R,AT$3,0)</f>
        <v>#N/A</v>
      </c>
      <c r="AU30" s="38" t="e">
        <f>VLOOKUP($D30&amp;AU$5&amp;AU$4,集計!$D:$R,AU$3,0)</f>
        <v>#N/A</v>
      </c>
      <c r="AV30" s="53" t="e">
        <f>VLOOKUP($D30&amp;AV$5&amp;AV$4,集計!$D:$R,AV$3,0)</f>
        <v>#N/A</v>
      </c>
      <c r="AW30" s="87" t="e">
        <f>VLOOKUP($D30&amp;AW$5&amp;AW$4,集計!$D:$R,AW$3,0)</f>
        <v>#N/A</v>
      </c>
      <c r="AX30" s="79" t="e">
        <f>VLOOKUP($D30&amp;AX$5&amp;AX$4,集計!$D:$R,AX$3,0)</f>
        <v>#N/A</v>
      </c>
      <c r="AY30" s="38" t="e">
        <f>VLOOKUP($D30&amp;AY$5&amp;AY$4,集計!$D:$R,AY$3,0)</f>
        <v>#N/A</v>
      </c>
      <c r="AZ30" s="53" t="e">
        <f>VLOOKUP($D30&amp;AZ$5&amp;AZ$4,集計!$D:$R,AZ$3,0)</f>
        <v>#N/A</v>
      </c>
      <c r="BA30" s="87" t="e">
        <f>VLOOKUP($D30&amp;BA$5&amp;BA$4,集計!$D:$R,BA$3,0)</f>
        <v>#N/A</v>
      </c>
    </row>
    <row r="31" spans="1:53">
      <c r="A31" s="63"/>
      <c r="B31" s="44"/>
      <c r="C31" s="46"/>
      <c r="D31" s="47" t="s">
        <v>120</v>
      </c>
      <c r="E31" s="104">
        <v>1412000084</v>
      </c>
      <c r="F31" s="81" t="e">
        <f>VLOOKUP($D31&amp;F$5&amp;F$4,集計!$D:$R,F$3,0)</f>
        <v>#N/A</v>
      </c>
      <c r="G31" s="49" t="e">
        <f>VLOOKUP($D31&amp;G$5&amp;G$4,集計!$D:$R,G$3,0)</f>
        <v>#N/A</v>
      </c>
      <c r="H31" s="58" t="e">
        <f>VLOOKUP($D31&amp;H$5&amp;H$4,集計!$D:$R,H$3,0)</f>
        <v>#N/A</v>
      </c>
      <c r="I31" s="84" t="e">
        <f>VLOOKUP($D31&amp;I$5&amp;I$4,集計!$D:$R,I$3,0)</f>
        <v>#N/A</v>
      </c>
      <c r="J31" s="81" t="e">
        <f>VLOOKUP($D31&amp;J$5&amp;J$4,集計!$D:$R,J$3,0)</f>
        <v>#N/A</v>
      </c>
      <c r="K31" s="49" t="e">
        <f>VLOOKUP($D31&amp;K$5&amp;K$4,集計!$D:$R,K$3,0)</f>
        <v>#N/A</v>
      </c>
      <c r="L31" s="58" t="e">
        <f>VLOOKUP($D31&amp;L$5&amp;L$4,集計!$D:$R,L$3,0)</f>
        <v>#N/A</v>
      </c>
      <c r="M31" s="84" t="e">
        <f>VLOOKUP($D31&amp;M$5&amp;M$4,集計!$D:$R,M$3,0)</f>
        <v>#N/A</v>
      </c>
      <c r="N31" s="81" t="e">
        <f>VLOOKUP($D31&amp;N$5&amp;N$4,集計!$D:$R,N$3,0)</f>
        <v>#N/A</v>
      </c>
      <c r="O31" s="49" t="e">
        <f>VLOOKUP($D31&amp;O$5&amp;O$4,集計!$D:$R,O$3,0)</f>
        <v>#N/A</v>
      </c>
      <c r="P31" s="58" t="e">
        <f>VLOOKUP($D31&amp;P$5&amp;P$4,集計!$D:$R,P$3,0)</f>
        <v>#N/A</v>
      </c>
      <c r="Q31" s="84" t="e">
        <f>VLOOKUP($D31&amp;Q$5&amp;Q$4,集計!$D:$R,Q$3,0)</f>
        <v>#N/A</v>
      </c>
      <c r="R31" s="81" t="e">
        <f>VLOOKUP($D31&amp;R$5&amp;R$4,集計!$D:$R,R$3,0)</f>
        <v>#N/A</v>
      </c>
      <c r="S31" s="49" t="e">
        <f>VLOOKUP($D31&amp;S$5&amp;S$4,集計!$D:$R,S$3,0)</f>
        <v>#N/A</v>
      </c>
      <c r="T31" s="58" t="e">
        <f>VLOOKUP($D31&amp;T$5&amp;T$4,集計!$D:$R,T$3,0)</f>
        <v>#N/A</v>
      </c>
      <c r="U31" s="84" t="e">
        <f>VLOOKUP($D31&amp;U$5&amp;U$4,集計!$D:$R,U$3,0)</f>
        <v>#N/A</v>
      </c>
      <c r="V31" s="81" t="e">
        <f>VLOOKUP($D31&amp;V$5&amp;V$4,集計!$D:$R,V$3,0)</f>
        <v>#N/A</v>
      </c>
      <c r="W31" s="49" t="e">
        <f>VLOOKUP($D31&amp;W$5&amp;W$4,集計!$D:$R,W$3,0)</f>
        <v>#N/A</v>
      </c>
      <c r="X31" s="58" t="e">
        <f>VLOOKUP($D31&amp;X$5&amp;X$4,集計!$D:$R,X$3,0)</f>
        <v>#N/A</v>
      </c>
      <c r="Y31" s="84" t="e">
        <f>VLOOKUP($D31&amp;Y$5&amp;Y$4,集計!$D:$R,Y$3,0)</f>
        <v>#N/A</v>
      </c>
      <c r="Z31" s="81" t="e">
        <f>VLOOKUP($D31&amp;Z$5&amp;Z$4,集計!$D:$R,Z$3,0)</f>
        <v>#N/A</v>
      </c>
      <c r="AA31" s="49" t="e">
        <f>VLOOKUP($D31&amp;AA$5&amp;AA$4,集計!$D:$R,AA$3,0)</f>
        <v>#N/A</v>
      </c>
      <c r="AB31" s="58" t="e">
        <f>VLOOKUP($D31&amp;AB$5&amp;AB$4,集計!$D:$R,AB$3,0)</f>
        <v>#N/A</v>
      </c>
      <c r="AC31" s="84" t="e">
        <f>VLOOKUP($D31&amp;AC$5&amp;AC$4,集計!$D:$R,AC$3,0)</f>
        <v>#N/A</v>
      </c>
      <c r="AD31" s="81" t="e">
        <f>VLOOKUP($D31&amp;AD$5&amp;AD$4,集計!$D:$R,AD$3,0)</f>
        <v>#N/A</v>
      </c>
      <c r="AE31" s="49" t="e">
        <f>VLOOKUP($D31&amp;AE$5&amp;AE$4,集計!$D:$R,AE$3,0)</f>
        <v>#N/A</v>
      </c>
      <c r="AF31" s="58" t="e">
        <f>VLOOKUP($D31&amp;AF$5&amp;AF$4,集計!$D:$R,AF$3,0)</f>
        <v>#N/A</v>
      </c>
      <c r="AG31" s="84" t="e">
        <f>VLOOKUP($D31&amp;AG$5&amp;AG$4,集計!$D:$R,AG$3,0)</f>
        <v>#N/A</v>
      </c>
      <c r="AH31" s="81" t="e">
        <f>VLOOKUP($D31&amp;AH$5&amp;AH$4,集計!$D:$R,AH$3,0)</f>
        <v>#N/A</v>
      </c>
      <c r="AI31" s="49" t="e">
        <f>VLOOKUP($D31&amp;AI$5&amp;AI$4,集計!$D:$R,AI$3,0)</f>
        <v>#N/A</v>
      </c>
      <c r="AJ31" s="58" t="e">
        <f>VLOOKUP($D31&amp;AJ$5&amp;AJ$4,集計!$D:$R,AJ$3,0)</f>
        <v>#N/A</v>
      </c>
      <c r="AK31" s="84" t="e">
        <f>VLOOKUP($D31&amp;AK$5&amp;AK$4,集計!$D:$R,AK$3,0)</f>
        <v>#N/A</v>
      </c>
      <c r="AL31" s="81" t="e">
        <f>VLOOKUP($D31&amp;AL$5&amp;AL$4,集計!$D:$R,AL$3,0)</f>
        <v>#N/A</v>
      </c>
      <c r="AM31" s="49" t="e">
        <f>VLOOKUP($D31&amp;AM$5&amp;AM$4,集計!$D:$R,AM$3,0)</f>
        <v>#N/A</v>
      </c>
      <c r="AN31" s="58" t="e">
        <f>VLOOKUP($D31&amp;AN$5&amp;AN$4,集計!$D:$R,AN$3,0)</f>
        <v>#N/A</v>
      </c>
      <c r="AO31" s="84" t="e">
        <f>VLOOKUP($D31&amp;AO$5&amp;AO$4,集計!$D:$R,AO$3,0)</f>
        <v>#N/A</v>
      </c>
      <c r="AP31" s="81" t="e">
        <f>VLOOKUP($D31&amp;AP$5&amp;AP$4,集計!$D:$R,AP$3,0)</f>
        <v>#N/A</v>
      </c>
      <c r="AQ31" s="49" t="e">
        <f>VLOOKUP($D31&amp;AQ$5&amp;AQ$4,集計!$D:$R,AQ$3,0)</f>
        <v>#N/A</v>
      </c>
      <c r="AR31" s="58" t="e">
        <f>VLOOKUP($D31&amp;AR$5&amp;AR$4,集計!$D:$R,AR$3,0)</f>
        <v>#N/A</v>
      </c>
      <c r="AS31" s="84" t="e">
        <f>VLOOKUP($D31&amp;AS$5&amp;AS$4,集計!$D:$R,AS$3,0)</f>
        <v>#N/A</v>
      </c>
      <c r="AT31" s="81" t="e">
        <f>VLOOKUP($D31&amp;AT$5&amp;AT$4,集計!$D:$R,AT$3,0)</f>
        <v>#N/A</v>
      </c>
      <c r="AU31" s="49" t="e">
        <f>VLOOKUP($D31&amp;AU$5&amp;AU$4,集計!$D:$R,AU$3,0)</f>
        <v>#N/A</v>
      </c>
      <c r="AV31" s="58" t="e">
        <f>VLOOKUP($D31&amp;AV$5&amp;AV$4,集計!$D:$R,AV$3,0)</f>
        <v>#N/A</v>
      </c>
      <c r="AW31" s="84" t="e">
        <f>VLOOKUP($D31&amp;AW$5&amp;AW$4,集計!$D:$R,AW$3,0)</f>
        <v>#N/A</v>
      </c>
      <c r="AX31" s="81" t="e">
        <f>VLOOKUP($D31&amp;AX$5&amp;AX$4,集計!$D:$R,AX$3,0)</f>
        <v>#N/A</v>
      </c>
      <c r="AY31" s="49" t="e">
        <f>VLOOKUP($D31&amp;AY$5&amp;AY$4,集計!$D:$R,AY$3,0)</f>
        <v>#N/A</v>
      </c>
      <c r="AZ31" s="58" t="e">
        <f>VLOOKUP($D31&amp;AZ$5&amp;AZ$4,集計!$D:$R,AZ$3,0)</f>
        <v>#N/A</v>
      </c>
      <c r="BA31" s="84" t="e">
        <f>VLOOKUP($D31&amp;BA$5&amp;BA$4,集計!$D:$R,BA$3,0)</f>
        <v>#N/A</v>
      </c>
    </row>
    <row r="32" spans="1:53" customFormat="1">
      <c r="A32" s="41" t="s">
        <v>82</v>
      </c>
      <c r="B32" s="41">
        <v>6371</v>
      </c>
      <c r="C32" s="54" t="s">
        <v>12</v>
      </c>
      <c r="D32" s="55"/>
      <c r="E32" s="106">
        <v>1412000017</v>
      </c>
      <c r="F32" s="85"/>
      <c r="G32" s="56"/>
      <c r="H32" s="57"/>
      <c r="I32" s="86"/>
      <c r="J32" s="85"/>
      <c r="K32" s="56"/>
      <c r="L32" s="57"/>
      <c r="M32" s="86"/>
      <c r="N32" s="85"/>
      <c r="O32" s="56"/>
      <c r="P32" s="57"/>
      <c r="Q32" s="86"/>
      <c r="R32" s="85"/>
      <c r="S32" s="56"/>
      <c r="T32" s="57"/>
      <c r="U32" s="86"/>
      <c r="V32" s="85"/>
      <c r="W32" s="56"/>
      <c r="X32" s="57"/>
      <c r="Y32" s="86"/>
      <c r="Z32" s="85"/>
      <c r="AA32" s="56"/>
      <c r="AB32" s="57"/>
      <c r="AC32" s="86"/>
      <c r="AD32" s="85"/>
      <c r="AE32" s="56"/>
      <c r="AF32" s="57"/>
      <c r="AG32" s="86"/>
      <c r="AH32" s="85"/>
      <c r="AI32" s="56"/>
      <c r="AJ32" s="57"/>
      <c r="AK32" s="86"/>
      <c r="AL32" s="85"/>
      <c r="AM32" s="56"/>
      <c r="AN32" s="57"/>
      <c r="AO32" s="86"/>
      <c r="AP32" s="85"/>
      <c r="AQ32" s="56"/>
      <c r="AR32" s="57"/>
      <c r="AS32" s="86"/>
      <c r="AT32" s="85"/>
      <c r="AU32" s="56"/>
      <c r="AV32" s="57"/>
      <c r="AW32" s="86"/>
      <c r="AX32" s="85"/>
      <c r="AY32" s="56"/>
      <c r="AZ32" s="57"/>
      <c r="BA32" s="86"/>
    </row>
    <row r="33" spans="1:53">
      <c r="A33" s="62"/>
      <c r="B33" s="28"/>
      <c r="C33" s="30"/>
      <c r="D33" s="31" t="s">
        <v>11</v>
      </c>
      <c r="E33" s="105">
        <v>1412000018</v>
      </c>
      <c r="F33" s="79" t="e">
        <f>VLOOKUP($D33&amp;F$5&amp;F$4,集計!$D:$R,F$3,0)</f>
        <v>#N/A</v>
      </c>
      <c r="G33" s="38" t="e">
        <f>VLOOKUP($D33&amp;G$5&amp;G$4,集計!$D:$R,G$3,0)</f>
        <v>#N/A</v>
      </c>
      <c r="H33" s="53" t="e">
        <f>VLOOKUP($D33&amp;H$5&amp;H$4,集計!$D:$R,H$3,0)</f>
        <v>#N/A</v>
      </c>
      <c r="I33" s="87" t="e">
        <f>VLOOKUP($D33&amp;I$5&amp;I$4,集計!$D:$R,I$3,0)</f>
        <v>#N/A</v>
      </c>
      <c r="J33" s="79" t="e">
        <f>VLOOKUP($D33&amp;J$5&amp;J$4,集計!$D:$R,J$3,0)</f>
        <v>#N/A</v>
      </c>
      <c r="K33" s="38" t="e">
        <f>VLOOKUP($D33&amp;K$5&amp;K$4,集計!$D:$R,K$3,0)</f>
        <v>#N/A</v>
      </c>
      <c r="L33" s="53" t="e">
        <f>VLOOKUP($D33&amp;L$5&amp;L$4,集計!$D:$R,L$3,0)</f>
        <v>#N/A</v>
      </c>
      <c r="M33" s="87" t="e">
        <f>VLOOKUP($D33&amp;M$5&amp;M$4,集計!$D:$R,M$3,0)</f>
        <v>#N/A</v>
      </c>
      <c r="N33" s="79" t="e">
        <f>VLOOKUP($D33&amp;N$5&amp;N$4,集計!$D:$R,N$3,0)</f>
        <v>#N/A</v>
      </c>
      <c r="O33" s="38" t="e">
        <f>VLOOKUP($D33&amp;O$5&amp;O$4,集計!$D:$R,O$3,0)</f>
        <v>#N/A</v>
      </c>
      <c r="P33" s="53" t="e">
        <f>VLOOKUP($D33&amp;P$5&amp;P$4,集計!$D:$R,P$3,0)</f>
        <v>#N/A</v>
      </c>
      <c r="Q33" s="87" t="e">
        <f>VLOOKUP($D33&amp;Q$5&amp;Q$4,集計!$D:$R,Q$3,0)</f>
        <v>#N/A</v>
      </c>
      <c r="R33" s="79" t="e">
        <f>VLOOKUP($D33&amp;R$5&amp;R$4,集計!$D:$R,R$3,0)</f>
        <v>#N/A</v>
      </c>
      <c r="S33" s="38" t="e">
        <f>VLOOKUP($D33&amp;S$5&amp;S$4,集計!$D:$R,S$3,0)</f>
        <v>#N/A</v>
      </c>
      <c r="T33" s="53" t="e">
        <f>VLOOKUP($D33&amp;T$5&amp;T$4,集計!$D:$R,T$3,0)</f>
        <v>#N/A</v>
      </c>
      <c r="U33" s="87" t="e">
        <f>VLOOKUP($D33&amp;U$5&amp;U$4,集計!$D:$R,U$3,0)</f>
        <v>#N/A</v>
      </c>
      <c r="V33" s="79" t="e">
        <f>VLOOKUP($D33&amp;V$5&amp;V$4,集計!$D:$R,V$3,0)</f>
        <v>#N/A</v>
      </c>
      <c r="W33" s="38" t="e">
        <f>VLOOKUP($D33&amp;W$5&amp;W$4,集計!$D:$R,W$3,0)</f>
        <v>#N/A</v>
      </c>
      <c r="X33" s="53" t="e">
        <f>VLOOKUP($D33&amp;X$5&amp;X$4,集計!$D:$R,X$3,0)</f>
        <v>#N/A</v>
      </c>
      <c r="Y33" s="87" t="e">
        <f>VLOOKUP($D33&amp;Y$5&amp;Y$4,集計!$D:$R,Y$3,0)</f>
        <v>#N/A</v>
      </c>
      <c r="Z33" s="79" t="e">
        <f>VLOOKUP($D33&amp;Z$5&amp;Z$4,集計!$D:$R,Z$3,0)</f>
        <v>#N/A</v>
      </c>
      <c r="AA33" s="38" t="e">
        <f>VLOOKUP($D33&amp;AA$5&amp;AA$4,集計!$D:$R,AA$3,0)</f>
        <v>#N/A</v>
      </c>
      <c r="AB33" s="53" t="e">
        <f>VLOOKUP($D33&amp;AB$5&amp;AB$4,集計!$D:$R,AB$3,0)</f>
        <v>#N/A</v>
      </c>
      <c r="AC33" s="87" t="e">
        <f>VLOOKUP($D33&amp;AC$5&amp;AC$4,集計!$D:$R,AC$3,0)</f>
        <v>#N/A</v>
      </c>
      <c r="AD33" s="79" t="e">
        <f>VLOOKUP($D33&amp;AD$5&amp;AD$4,集計!$D:$R,AD$3,0)</f>
        <v>#N/A</v>
      </c>
      <c r="AE33" s="38" t="e">
        <f>VLOOKUP($D33&amp;AE$5&amp;AE$4,集計!$D:$R,AE$3,0)</f>
        <v>#N/A</v>
      </c>
      <c r="AF33" s="53" t="e">
        <f>VLOOKUP($D33&amp;AF$5&amp;AF$4,集計!$D:$R,AF$3,0)</f>
        <v>#N/A</v>
      </c>
      <c r="AG33" s="87" t="e">
        <f>VLOOKUP($D33&amp;AG$5&amp;AG$4,集計!$D:$R,AG$3,0)</f>
        <v>#N/A</v>
      </c>
      <c r="AH33" s="79" t="e">
        <f>VLOOKUP($D33&amp;AH$5&amp;AH$4,集計!$D:$R,AH$3,0)</f>
        <v>#N/A</v>
      </c>
      <c r="AI33" s="38" t="e">
        <f>VLOOKUP($D33&amp;AI$5&amp;AI$4,集計!$D:$R,AI$3,0)</f>
        <v>#N/A</v>
      </c>
      <c r="AJ33" s="53" t="e">
        <f>VLOOKUP($D33&amp;AJ$5&amp;AJ$4,集計!$D:$R,AJ$3,0)</f>
        <v>#N/A</v>
      </c>
      <c r="AK33" s="87" t="e">
        <f>VLOOKUP($D33&amp;AK$5&amp;AK$4,集計!$D:$R,AK$3,0)</f>
        <v>#N/A</v>
      </c>
      <c r="AL33" s="79" t="e">
        <f>VLOOKUP($D33&amp;AL$5&amp;AL$4,集計!$D:$R,AL$3,0)</f>
        <v>#N/A</v>
      </c>
      <c r="AM33" s="38" t="e">
        <f>VLOOKUP($D33&amp;AM$5&amp;AM$4,集計!$D:$R,AM$3,0)</f>
        <v>#N/A</v>
      </c>
      <c r="AN33" s="53" t="e">
        <f>VLOOKUP($D33&amp;AN$5&amp;AN$4,集計!$D:$R,AN$3,0)</f>
        <v>#N/A</v>
      </c>
      <c r="AO33" s="87" t="e">
        <f>VLOOKUP($D33&amp;AO$5&amp;AO$4,集計!$D:$R,AO$3,0)</f>
        <v>#N/A</v>
      </c>
      <c r="AP33" s="79" t="e">
        <f>VLOOKUP($D33&amp;AP$5&amp;AP$4,集計!$D:$R,AP$3,0)</f>
        <v>#N/A</v>
      </c>
      <c r="AQ33" s="38" t="e">
        <f>VLOOKUP($D33&amp;AQ$5&amp;AQ$4,集計!$D:$R,AQ$3,0)</f>
        <v>#N/A</v>
      </c>
      <c r="AR33" s="53" t="e">
        <f>VLOOKUP($D33&amp;AR$5&amp;AR$4,集計!$D:$R,AR$3,0)</f>
        <v>#N/A</v>
      </c>
      <c r="AS33" s="87" t="e">
        <f>VLOOKUP($D33&amp;AS$5&amp;AS$4,集計!$D:$R,AS$3,0)</f>
        <v>#N/A</v>
      </c>
      <c r="AT33" s="79" t="e">
        <f>VLOOKUP($D33&amp;AT$5&amp;AT$4,集計!$D:$R,AT$3,0)</f>
        <v>#N/A</v>
      </c>
      <c r="AU33" s="38" t="e">
        <f>VLOOKUP($D33&amp;AU$5&amp;AU$4,集計!$D:$R,AU$3,0)</f>
        <v>#N/A</v>
      </c>
      <c r="AV33" s="53" t="e">
        <f>VLOOKUP($D33&amp;AV$5&amp;AV$4,集計!$D:$R,AV$3,0)</f>
        <v>#N/A</v>
      </c>
      <c r="AW33" s="87" t="e">
        <f>VLOOKUP($D33&amp;AW$5&amp;AW$4,集計!$D:$R,AW$3,0)</f>
        <v>#N/A</v>
      </c>
      <c r="AX33" s="79" t="e">
        <f>VLOOKUP($D33&amp;AX$5&amp;AX$4,集計!$D:$R,AX$3,0)</f>
        <v>#N/A</v>
      </c>
      <c r="AY33" s="38" t="e">
        <f>VLOOKUP($D33&amp;AY$5&amp;AY$4,集計!$D:$R,AY$3,0)</f>
        <v>#N/A</v>
      </c>
      <c r="AZ33" s="53" t="e">
        <f>VLOOKUP($D33&amp;AZ$5&amp;AZ$4,集計!$D:$R,AZ$3,0)</f>
        <v>#N/A</v>
      </c>
      <c r="BA33" s="87" t="e">
        <f>VLOOKUP($D33&amp;BA$5&amp;BA$4,集計!$D:$R,BA$3,0)</f>
        <v>#N/A</v>
      </c>
    </row>
    <row r="34" spans="1:53">
      <c r="A34" s="63"/>
      <c r="B34" s="44"/>
      <c r="C34" s="46"/>
      <c r="D34" s="47" t="s">
        <v>95</v>
      </c>
      <c r="E34" s="104">
        <v>1412000019</v>
      </c>
      <c r="F34" s="81" t="e">
        <f>VLOOKUP($D34&amp;F$5&amp;F$4,集計!$D:$R,F$3,0)</f>
        <v>#N/A</v>
      </c>
      <c r="G34" s="49" t="e">
        <f>VLOOKUP($D34&amp;G$5&amp;G$4,集計!$D:$R,G$3,0)</f>
        <v>#N/A</v>
      </c>
      <c r="H34" s="58" t="e">
        <f>VLOOKUP($D34&amp;H$5&amp;H$4,集計!$D:$R,H$3,0)</f>
        <v>#N/A</v>
      </c>
      <c r="I34" s="84" t="e">
        <f>VLOOKUP($D34&amp;I$5&amp;I$4,集計!$D:$R,I$3,0)</f>
        <v>#N/A</v>
      </c>
      <c r="J34" s="81" t="e">
        <f>VLOOKUP($D34&amp;J$5&amp;J$4,集計!$D:$R,J$3,0)</f>
        <v>#N/A</v>
      </c>
      <c r="K34" s="49" t="e">
        <f>VLOOKUP($D34&amp;K$5&amp;K$4,集計!$D:$R,K$3,0)</f>
        <v>#N/A</v>
      </c>
      <c r="L34" s="58" t="e">
        <f>VLOOKUP($D34&amp;L$5&amp;L$4,集計!$D:$R,L$3,0)</f>
        <v>#N/A</v>
      </c>
      <c r="M34" s="84" t="e">
        <f>VLOOKUP($D34&amp;M$5&amp;M$4,集計!$D:$R,M$3,0)</f>
        <v>#N/A</v>
      </c>
      <c r="N34" s="81" t="e">
        <f>VLOOKUP($D34&amp;N$5&amp;N$4,集計!$D:$R,N$3,0)</f>
        <v>#N/A</v>
      </c>
      <c r="O34" s="49" t="e">
        <f>VLOOKUP($D34&amp;O$5&amp;O$4,集計!$D:$R,O$3,0)</f>
        <v>#N/A</v>
      </c>
      <c r="P34" s="58" t="e">
        <f>VLOOKUP($D34&amp;P$5&amp;P$4,集計!$D:$R,P$3,0)</f>
        <v>#N/A</v>
      </c>
      <c r="Q34" s="84" t="e">
        <f>VLOOKUP($D34&amp;Q$5&amp;Q$4,集計!$D:$R,Q$3,0)</f>
        <v>#N/A</v>
      </c>
      <c r="R34" s="81" t="e">
        <f>VLOOKUP($D34&amp;R$5&amp;R$4,集計!$D:$R,R$3,0)</f>
        <v>#N/A</v>
      </c>
      <c r="S34" s="49" t="e">
        <f>VLOOKUP($D34&amp;S$5&amp;S$4,集計!$D:$R,S$3,0)</f>
        <v>#N/A</v>
      </c>
      <c r="T34" s="58" t="e">
        <f>VLOOKUP($D34&amp;T$5&amp;T$4,集計!$D:$R,T$3,0)</f>
        <v>#N/A</v>
      </c>
      <c r="U34" s="84" t="e">
        <f>VLOOKUP($D34&amp;U$5&amp;U$4,集計!$D:$R,U$3,0)</f>
        <v>#N/A</v>
      </c>
      <c r="V34" s="81" t="e">
        <f>VLOOKUP($D34&amp;V$5&amp;V$4,集計!$D:$R,V$3,0)</f>
        <v>#N/A</v>
      </c>
      <c r="W34" s="49" t="e">
        <f>VLOOKUP($D34&amp;W$5&amp;W$4,集計!$D:$R,W$3,0)</f>
        <v>#N/A</v>
      </c>
      <c r="X34" s="58" t="e">
        <f>VLOOKUP($D34&amp;X$5&amp;X$4,集計!$D:$R,X$3,0)</f>
        <v>#N/A</v>
      </c>
      <c r="Y34" s="84" t="e">
        <f>VLOOKUP($D34&amp;Y$5&amp;Y$4,集計!$D:$R,Y$3,0)</f>
        <v>#N/A</v>
      </c>
      <c r="Z34" s="81" t="e">
        <f>VLOOKUP($D34&amp;Z$5&amp;Z$4,集計!$D:$R,Z$3,0)</f>
        <v>#N/A</v>
      </c>
      <c r="AA34" s="49" t="e">
        <f>VLOOKUP($D34&amp;AA$5&amp;AA$4,集計!$D:$R,AA$3,0)</f>
        <v>#N/A</v>
      </c>
      <c r="AB34" s="58" t="e">
        <f>VLOOKUP($D34&amp;AB$5&amp;AB$4,集計!$D:$R,AB$3,0)</f>
        <v>#N/A</v>
      </c>
      <c r="AC34" s="84" t="e">
        <f>VLOOKUP($D34&amp;AC$5&amp;AC$4,集計!$D:$R,AC$3,0)</f>
        <v>#N/A</v>
      </c>
      <c r="AD34" s="81" t="e">
        <f>VLOOKUP($D34&amp;AD$5&amp;AD$4,集計!$D:$R,AD$3,0)</f>
        <v>#N/A</v>
      </c>
      <c r="AE34" s="49" t="e">
        <f>VLOOKUP($D34&amp;AE$5&amp;AE$4,集計!$D:$R,AE$3,0)</f>
        <v>#N/A</v>
      </c>
      <c r="AF34" s="58" t="e">
        <f>VLOOKUP($D34&amp;AF$5&amp;AF$4,集計!$D:$R,AF$3,0)</f>
        <v>#N/A</v>
      </c>
      <c r="AG34" s="84" t="e">
        <f>VLOOKUP($D34&amp;AG$5&amp;AG$4,集計!$D:$R,AG$3,0)</f>
        <v>#N/A</v>
      </c>
      <c r="AH34" s="81" t="e">
        <f>VLOOKUP($D34&amp;AH$5&amp;AH$4,集計!$D:$R,AH$3,0)</f>
        <v>#N/A</v>
      </c>
      <c r="AI34" s="49" t="e">
        <f>VLOOKUP($D34&amp;AI$5&amp;AI$4,集計!$D:$R,AI$3,0)</f>
        <v>#N/A</v>
      </c>
      <c r="AJ34" s="58" t="e">
        <f>VLOOKUP($D34&amp;AJ$5&amp;AJ$4,集計!$D:$R,AJ$3,0)</f>
        <v>#N/A</v>
      </c>
      <c r="AK34" s="84" t="e">
        <f>VLOOKUP($D34&amp;AK$5&amp;AK$4,集計!$D:$R,AK$3,0)</f>
        <v>#N/A</v>
      </c>
      <c r="AL34" s="81" t="e">
        <f>VLOOKUP($D34&amp;AL$5&amp;AL$4,集計!$D:$R,AL$3,0)</f>
        <v>#N/A</v>
      </c>
      <c r="AM34" s="49" t="e">
        <f>VLOOKUP($D34&amp;AM$5&amp;AM$4,集計!$D:$R,AM$3,0)</f>
        <v>#N/A</v>
      </c>
      <c r="AN34" s="58" t="e">
        <f>VLOOKUP($D34&amp;AN$5&amp;AN$4,集計!$D:$R,AN$3,0)</f>
        <v>#N/A</v>
      </c>
      <c r="AO34" s="84" t="e">
        <f>VLOOKUP($D34&amp;AO$5&amp;AO$4,集計!$D:$R,AO$3,0)</f>
        <v>#N/A</v>
      </c>
      <c r="AP34" s="81" t="e">
        <f>VLOOKUP($D34&amp;AP$5&amp;AP$4,集計!$D:$R,AP$3,0)</f>
        <v>#N/A</v>
      </c>
      <c r="AQ34" s="49" t="e">
        <f>VLOOKUP($D34&amp;AQ$5&amp;AQ$4,集計!$D:$R,AQ$3,0)</f>
        <v>#N/A</v>
      </c>
      <c r="AR34" s="58" t="e">
        <f>VLOOKUP($D34&amp;AR$5&amp;AR$4,集計!$D:$R,AR$3,0)</f>
        <v>#N/A</v>
      </c>
      <c r="AS34" s="84" t="e">
        <f>VLOOKUP($D34&amp;AS$5&amp;AS$4,集計!$D:$R,AS$3,0)</f>
        <v>#N/A</v>
      </c>
      <c r="AT34" s="81" t="e">
        <f>VLOOKUP($D34&amp;AT$5&amp;AT$4,集計!$D:$R,AT$3,0)</f>
        <v>#N/A</v>
      </c>
      <c r="AU34" s="49" t="e">
        <f>VLOOKUP($D34&amp;AU$5&amp;AU$4,集計!$D:$R,AU$3,0)</f>
        <v>#N/A</v>
      </c>
      <c r="AV34" s="58" t="e">
        <f>VLOOKUP($D34&amp;AV$5&amp;AV$4,集計!$D:$R,AV$3,0)</f>
        <v>#N/A</v>
      </c>
      <c r="AW34" s="84" t="e">
        <f>VLOOKUP($D34&amp;AW$5&amp;AW$4,集計!$D:$R,AW$3,0)</f>
        <v>#N/A</v>
      </c>
      <c r="AX34" s="81" t="e">
        <f>VLOOKUP($D34&amp;AX$5&amp;AX$4,集計!$D:$R,AX$3,0)</f>
        <v>#N/A</v>
      </c>
      <c r="AY34" s="49" t="e">
        <f>VLOOKUP($D34&amp;AY$5&amp;AY$4,集計!$D:$R,AY$3,0)</f>
        <v>#N/A</v>
      </c>
      <c r="AZ34" s="58" t="e">
        <f>VLOOKUP($D34&amp;AZ$5&amp;AZ$4,集計!$D:$R,AZ$3,0)</f>
        <v>#N/A</v>
      </c>
      <c r="BA34" s="84" t="e">
        <f>VLOOKUP($D34&amp;BA$5&amp;BA$4,集計!$D:$R,BA$3,0)</f>
        <v>#N/A</v>
      </c>
    </row>
    <row r="35" spans="1:53" customFormat="1">
      <c r="A35" s="41" t="s">
        <v>83</v>
      </c>
      <c r="B35" s="41">
        <v>6371</v>
      </c>
      <c r="C35" s="54" t="s">
        <v>69</v>
      </c>
      <c r="D35" s="55"/>
      <c r="E35" s="106">
        <v>1412000020</v>
      </c>
      <c r="F35" s="85"/>
      <c r="G35" s="56"/>
      <c r="H35" s="57"/>
      <c r="I35" s="86"/>
      <c r="J35" s="85"/>
      <c r="K35" s="56"/>
      <c r="L35" s="57"/>
      <c r="M35" s="86"/>
      <c r="N35" s="85"/>
      <c r="O35" s="56"/>
      <c r="P35" s="57"/>
      <c r="Q35" s="86"/>
      <c r="R35" s="85"/>
      <c r="S35" s="56"/>
      <c r="T35" s="57"/>
      <c r="U35" s="86"/>
      <c r="V35" s="85"/>
      <c r="W35" s="56"/>
      <c r="X35" s="57"/>
      <c r="Y35" s="86"/>
      <c r="Z35" s="85"/>
      <c r="AA35" s="56"/>
      <c r="AB35" s="57"/>
      <c r="AC35" s="86"/>
      <c r="AD35" s="85"/>
      <c r="AE35" s="56"/>
      <c r="AF35" s="57"/>
      <c r="AG35" s="86"/>
      <c r="AH35" s="85"/>
      <c r="AI35" s="56"/>
      <c r="AJ35" s="57"/>
      <c r="AK35" s="86"/>
      <c r="AL35" s="85"/>
      <c r="AM35" s="56"/>
      <c r="AN35" s="57"/>
      <c r="AO35" s="86"/>
      <c r="AP35" s="85"/>
      <c r="AQ35" s="56"/>
      <c r="AR35" s="57"/>
      <c r="AS35" s="86"/>
      <c r="AT35" s="85"/>
      <c r="AU35" s="56"/>
      <c r="AV35" s="57"/>
      <c r="AW35" s="86"/>
      <c r="AX35" s="85"/>
      <c r="AY35" s="56"/>
      <c r="AZ35" s="57"/>
      <c r="BA35" s="86"/>
    </row>
    <row r="36" spans="1:53">
      <c r="A36" s="62"/>
      <c r="B36" s="28"/>
      <c r="C36" s="30"/>
      <c r="D36" s="31" t="s">
        <v>13</v>
      </c>
      <c r="E36" s="105">
        <v>1412000058</v>
      </c>
      <c r="F36" s="79" t="e">
        <f>VLOOKUP($D36&amp;F$5&amp;F$4,集計!$D:$R,F$3,0)</f>
        <v>#N/A</v>
      </c>
      <c r="G36" s="38" t="e">
        <f>VLOOKUP($D36&amp;G$5&amp;G$4,集計!$D:$R,G$3,0)</f>
        <v>#N/A</v>
      </c>
      <c r="H36" s="53" t="e">
        <f>VLOOKUP($D36&amp;H$5&amp;H$4,集計!$D:$R,H$3,0)</f>
        <v>#N/A</v>
      </c>
      <c r="I36" s="87" t="e">
        <f>VLOOKUP($D36&amp;I$5&amp;I$4,集計!$D:$R,I$3,0)</f>
        <v>#N/A</v>
      </c>
      <c r="J36" s="79" t="e">
        <f>VLOOKUP($D36&amp;J$5&amp;J$4,集計!$D:$R,J$3,0)</f>
        <v>#N/A</v>
      </c>
      <c r="K36" s="38" t="e">
        <f>VLOOKUP($D36&amp;K$5&amp;K$4,集計!$D:$R,K$3,0)</f>
        <v>#N/A</v>
      </c>
      <c r="L36" s="53" t="e">
        <f>VLOOKUP($D36&amp;L$5&amp;L$4,集計!$D:$R,L$3,0)</f>
        <v>#N/A</v>
      </c>
      <c r="M36" s="87" t="e">
        <f>VLOOKUP($D36&amp;M$5&amp;M$4,集計!$D:$R,M$3,0)</f>
        <v>#N/A</v>
      </c>
      <c r="N36" s="79" t="e">
        <f>VLOOKUP($D36&amp;N$5&amp;N$4,集計!$D:$R,N$3,0)</f>
        <v>#N/A</v>
      </c>
      <c r="O36" s="38" t="e">
        <f>VLOOKUP($D36&amp;O$5&amp;O$4,集計!$D:$R,O$3,0)</f>
        <v>#N/A</v>
      </c>
      <c r="P36" s="53" t="e">
        <f>VLOOKUP($D36&amp;P$5&amp;P$4,集計!$D:$R,P$3,0)</f>
        <v>#N/A</v>
      </c>
      <c r="Q36" s="87" t="e">
        <f>VLOOKUP($D36&amp;Q$5&amp;Q$4,集計!$D:$R,Q$3,0)</f>
        <v>#N/A</v>
      </c>
      <c r="R36" s="79" t="e">
        <f>VLOOKUP($D36&amp;R$5&amp;R$4,集計!$D:$R,R$3,0)</f>
        <v>#N/A</v>
      </c>
      <c r="S36" s="38" t="e">
        <f>VLOOKUP($D36&amp;S$5&amp;S$4,集計!$D:$R,S$3,0)</f>
        <v>#N/A</v>
      </c>
      <c r="T36" s="53" t="e">
        <f>VLOOKUP($D36&amp;T$5&amp;T$4,集計!$D:$R,T$3,0)</f>
        <v>#N/A</v>
      </c>
      <c r="U36" s="87" t="e">
        <f>VLOOKUP($D36&amp;U$5&amp;U$4,集計!$D:$R,U$3,0)</f>
        <v>#N/A</v>
      </c>
      <c r="V36" s="79" t="e">
        <f>VLOOKUP($D36&amp;V$5&amp;V$4,集計!$D:$R,V$3,0)</f>
        <v>#N/A</v>
      </c>
      <c r="W36" s="38" t="e">
        <f>VLOOKUP($D36&amp;W$5&amp;W$4,集計!$D:$R,W$3,0)</f>
        <v>#N/A</v>
      </c>
      <c r="X36" s="53" t="e">
        <f>VLOOKUP($D36&amp;X$5&amp;X$4,集計!$D:$R,X$3,0)</f>
        <v>#N/A</v>
      </c>
      <c r="Y36" s="87" t="e">
        <f>VLOOKUP($D36&amp;Y$5&amp;Y$4,集計!$D:$R,Y$3,0)</f>
        <v>#N/A</v>
      </c>
      <c r="Z36" s="79" t="e">
        <f>VLOOKUP($D36&amp;Z$5&amp;Z$4,集計!$D:$R,Z$3,0)</f>
        <v>#N/A</v>
      </c>
      <c r="AA36" s="38" t="e">
        <f>VLOOKUP($D36&amp;AA$5&amp;AA$4,集計!$D:$R,AA$3,0)</f>
        <v>#N/A</v>
      </c>
      <c r="AB36" s="53" t="e">
        <f>VLOOKUP($D36&amp;AB$5&amp;AB$4,集計!$D:$R,AB$3,0)</f>
        <v>#N/A</v>
      </c>
      <c r="AC36" s="87" t="e">
        <f>VLOOKUP($D36&amp;AC$5&amp;AC$4,集計!$D:$R,AC$3,0)</f>
        <v>#N/A</v>
      </c>
      <c r="AD36" s="79" t="e">
        <f>VLOOKUP($D36&amp;AD$5&amp;AD$4,集計!$D:$R,AD$3,0)</f>
        <v>#N/A</v>
      </c>
      <c r="AE36" s="38" t="e">
        <f>VLOOKUP($D36&amp;AE$5&amp;AE$4,集計!$D:$R,AE$3,0)</f>
        <v>#N/A</v>
      </c>
      <c r="AF36" s="53" t="e">
        <f>VLOOKUP($D36&amp;AF$5&amp;AF$4,集計!$D:$R,AF$3,0)</f>
        <v>#N/A</v>
      </c>
      <c r="AG36" s="87" t="e">
        <f>VLOOKUP($D36&amp;AG$5&amp;AG$4,集計!$D:$R,AG$3,0)</f>
        <v>#N/A</v>
      </c>
      <c r="AH36" s="79" t="e">
        <f>VLOOKUP($D36&amp;AH$5&amp;AH$4,集計!$D:$R,AH$3,0)</f>
        <v>#N/A</v>
      </c>
      <c r="AI36" s="38" t="e">
        <f>VLOOKUP($D36&amp;AI$5&amp;AI$4,集計!$D:$R,AI$3,0)</f>
        <v>#N/A</v>
      </c>
      <c r="AJ36" s="53" t="e">
        <f>VLOOKUP($D36&amp;AJ$5&amp;AJ$4,集計!$D:$R,AJ$3,0)</f>
        <v>#N/A</v>
      </c>
      <c r="AK36" s="87" t="e">
        <f>VLOOKUP($D36&amp;AK$5&amp;AK$4,集計!$D:$R,AK$3,0)</f>
        <v>#N/A</v>
      </c>
      <c r="AL36" s="79" t="e">
        <f>VLOOKUP($D36&amp;AL$5&amp;AL$4,集計!$D:$R,AL$3,0)</f>
        <v>#N/A</v>
      </c>
      <c r="AM36" s="38" t="e">
        <f>VLOOKUP($D36&amp;AM$5&amp;AM$4,集計!$D:$R,AM$3,0)</f>
        <v>#N/A</v>
      </c>
      <c r="AN36" s="53" t="e">
        <f>VLOOKUP($D36&amp;AN$5&amp;AN$4,集計!$D:$R,AN$3,0)</f>
        <v>#N/A</v>
      </c>
      <c r="AO36" s="87" t="e">
        <f>VLOOKUP($D36&amp;AO$5&amp;AO$4,集計!$D:$R,AO$3,0)</f>
        <v>#N/A</v>
      </c>
      <c r="AP36" s="79" t="e">
        <f>VLOOKUP($D36&amp;AP$5&amp;AP$4,集計!$D:$R,AP$3,0)</f>
        <v>#N/A</v>
      </c>
      <c r="AQ36" s="38" t="e">
        <f>VLOOKUP($D36&amp;AQ$5&amp;AQ$4,集計!$D:$R,AQ$3,0)</f>
        <v>#N/A</v>
      </c>
      <c r="AR36" s="53" t="e">
        <f>VLOOKUP($D36&amp;AR$5&amp;AR$4,集計!$D:$R,AR$3,0)</f>
        <v>#N/A</v>
      </c>
      <c r="AS36" s="87" t="e">
        <f>VLOOKUP($D36&amp;AS$5&amp;AS$4,集計!$D:$R,AS$3,0)</f>
        <v>#N/A</v>
      </c>
      <c r="AT36" s="79" t="e">
        <f>VLOOKUP($D36&amp;AT$5&amp;AT$4,集計!$D:$R,AT$3,0)</f>
        <v>#N/A</v>
      </c>
      <c r="AU36" s="38" t="e">
        <f>VLOOKUP($D36&amp;AU$5&amp;AU$4,集計!$D:$R,AU$3,0)</f>
        <v>#N/A</v>
      </c>
      <c r="AV36" s="53" t="e">
        <f>VLOOKUP($D36&amp;AV$5&amp;AV$4,集計!$D:$R,AV$3,0)</f>
        <v>#N/A</v>
      </c>
      <c r="AW36" s="87" t="e">
        <f>VLOOKUP($D36&amp;AW$5&amp;AW$4,集計!$D:$R,AW$3,0)</f>
        <v>#N/A</v>
      </c>
      <c r="AX36" s="79" t="e">
        <f>VLOOKUP($D36&amp;AX$5&amp;AX$4,集計!$D:$R,AX$3,0)</f>
        <v>#N/A</v>
      </c>
      <c r="AY36" s="38" t="e">
        <f>VLOOKUP($D36&amp;AY$5&amp;AY$4,集計!$D:$R,AY$3,0)</f>
        <v>#N/A</v>
      </c>
      <c r="AZ36" s="53" t="e">
        <f>VLOOKUP($D36&amp;AZ$5&amp;AZ$4,集計!$D:$R,AZ$3,0)</f>
        <v>#N/A</v>
      </c>
      <c r="BA36" s="87" t="e">
        <f>VLOOKUP($D36&amp;BA$5&amp;BA$4,集計!$D:$R,BA$3,0)</f>
        <v>#N/A</v>
      </c>
    </row>
    <row r="37" spans="1:53">
      <c r="A37" s="62"/>
      <c r="B37" s="28"/>
      <c r="C37" s="30"/>
      <c r="D37" s="31" t="s">
        <v>14</v>
      </c>
      <c r="E37" s="105">
        <v>1412000042</v>
      </c>
      <c r="F37" s="79" t="e">
        <f>VLOOKUP($D37&amp;F$5&amp;F$4,集計!$D:$R,F$3,0)</f>
        <v>#N/A</v>
      </c>
      <c r="G37" s="38" t="e">
        <f>VLOOKUP($D37&amp;G$5&amp;G$4,集計!$D:$R,G$3,0)</f>
        <v>#N/A</v>
      </c>
      <c r="H37" s="53" t="e">
        <f>VLOOKUP($D37&amp;H$5&amp;H$4,集計!$D:$R,H$3,0)</f>
        <v>#N/A</v>
      </c>
      <c r="I37" s="87" t="e">
        <f>VLOOKUP($D37&amp;I$5&amp;I$4,集計!$D:$R,I$3,0)</f>
        <v>#N/A</v>
      </c>
      <c r="J37" s="79" t="e">
        <f>VLOOKUP($D37&amp;J$5&amp;J$4,集計!$D:$R,J$3,0)</f>
        <v>#N/A</v>
      </c>
      <c r="K37" s="38" t="e">
        <f>VLOOKUP($D37&amp;K$5&amp;K$4,集計!$D:$R,K$3,0)</f>
        <v>#N/A</v>
      </c>
      <c r="L37" s="53" t="e">
        <f>VLOOKUP($D37&amp;L$5&amp;L$4,集計!$D:$R,L$3,0)</f>
        <v>#N/A</v>
      </c>
      <c r="M37" s="87" t="e">
        <f>VLOOKUP($D37&amp;M$5&amp;M$4,集計!$D:$R,M$3,0)</f>
        <v>#N/A</v>
      </c>
      <c r="N37" s="79" t="e">
        <f>VLOOKUP($D37&amp;N$5&amp;N$4,集計!$D:$R,N$3,0)</f>
        <v>#N/A</v>
      </c>
      <c r="O37" s="38" t="e">
        <f>VLOOKUP($D37&amp;O$5&amp;O$4,集計!$D:$R,O$3,0)</f>
        <v>#N/A</v>
      </c>
      <c r="P37" s="53" t="e">
        <f>VLOOKUP($D37&amp;P$5&amp;P$4,集計!$D:$R,P$3,0)</f>
        <v>#N/A</v>
      </c>
      <c r="Q37" s="87" t="e">
        <f>VLOOKUP($D37&amp;Q$5&amp;Q$4,集計!$D:$R,Q$3,0)</f>
        <v>#N/A</v>
      </c>
      <c r="R37" s="79" t="e">
        <f>VLOOKUP($D37&amp;R$5&amp;R$4,集計!$D:$R,R$3,0)</f>
        <v>#N/A</v>
      </c>
      <c r="S37" s="38" t="e">
        <f>VLOOKUP($D37&amp;S$5&amp;S$4,集計!$D:$R,S$3,0)</f>
        <v>#N/A</v>
      </c>
      <c r="T37" s="53" t="e">
        <f>VLOOKUP($D37&amp;T$5&amp;T$4,集計!$D:$R,T$3,0)</f>
        <v>#N/A</v>
      </c>
      <c r="U37" s="87" t="e">
        <f>VLOOKUP($D37&amp;U$5&amp;U$4,集計!$D:$R,U$3,0)</f>
        <v>#N/A</v>
      </c>
      <c r="V37" s="79" t="e">
        <f>VLOOKUP($D37&amp;V$5&amp;V$4,集計!$D:$R,V$3,0)</f>
        <v>#N/A</v>
      </c>
      <c r="W37" s="38" t="e">
        <f>VLOOKUP($D37&amp;W$5&amp;W$4,集計!$D:$R,W$3,0)</f>
        <v>#N/A</v>
      </c>
      <c r="X37" s="53" t="e">
        <f>VLOOKUP($D37&amp;X$5&amp;X$4,集計!$D:$R,X$3,0)</f>
        <v>#N/A</v>
      </c>
      <c r="Y37" s="87" t="e">
        <f>VLOOKUP($D37&amp;Y$5&amp;Y$4,集計!$D:$R,Y$3,0)</f>
        <v>#N/A</v>
      </c>
      <c r="Z37" s="79" t="e">
        <f>VLOOKUP($D37&amp;Z$5&amp;Z$4,集計!$D:$R,Z$3,0)</f>
        <v>#N/A</v>
      </c>
      <c r="AA37" s="38" t="e">
        <f>VLOOKUP($D37&amp;AA$5&amp;AA$4,集計!$D:$R,AA$3,0)</f>
        <v>#N/A</v>
      </c>
      <c r="AB37" s="53" t="e">
        <f>VLOOKUP($D37&amp;AB$5&amp;AB$4,集計!$D:$R,AB$3,0)</f>
        <v>#N/A</v>
      </c>
      <c r="AC37" s="87" t="e">
        <f>VLOOKUP($D37&amp;AC$5&amp;AC$4,集計!$D:$R,AC$3,0)</f>
        <v>#N/A</v>
      </c>
      <c r="AD37" s="79" t="e">
        <f>VLOOKUP($D37&amp;AD$5&amp;AD$4,集計!$D:$R,AD$3,0)</f>
        <v>#N/A</v>
      </c>
      <c r="AE37" s="38" t="e">
        <f>VLOOKUP($D37&amp;AE$5&amp;AE$4,集計!$D:$R,AE$3,0)</f>
        <v>#N/A</v>
      </c>
      <c r="AF37" s="53" t="e">
        <f>VLOOKUP($D37&amp;AF$5&amp;AF$4,集計!$D:$R,AF$3,0)</f>
        <v>#N/A</v>
      </c>
      <c r="AG37" s="87" t="e">
        <f>VLOOKUP($D37&amp;AG$5&amp;AG$4,集計!$D:$R,AG$3,0)</f>
        <v>#N/A</v>
      </c>
      <c r="AH37" s="79" t="e">
        <f>VLOOKUP($D37&amp;AH$5&amp;AH$4,集計!$D:$R,AH$3,0)</f>
        <v>#N/A</v>
      </c>
      <c r="AI37" s="38" t="e">
        <f>VLOOKUP($D37&amp;AI$5&amp;AI$4,集計!$D:$R,AI$3,0)</f>
        <v>#N/A</v>
      </c>
      <c r="AJ37" s="53" t="e">
        <f>VLOOKUP($D37&amp;AJ$5&amp;AJ$4,集計!$D:$R,AJ$3,0)</f>
        <v>#N/A</v>
      </c>
      <c r="AK37" s="87" t="e">
        <f>VLOOKUP($D37&amp;AK$5&amp;AK$4,集計!$D:$R,AK$3,0)</f>
        <v>#N/A</v>
      </c>
      <c r="AL37" s="79" t="e">
        <f>VLOOKUP($D37&amp;AL$5&amp;AL$4,集計!$D:$R,AL$3,0)</f>
        <v>#N/A</v>
      </c>
      <c r="AM37" s="38" t="e">
        <f>VLOOKUP($D37&amp;AM$5&amp;AM$4,集計!$D:$R,AM$3,0)</f>
        <v>#N/A</v>
      </c>
      <c r="AN37" s="53" t="e">
        <f>VLOOKUP($D37&amp;AN$5&amp;AN$4,集計!$D:$R,AN$3,0)</f>
        <v>#N/A</v>
      </c>
      <c r="AO37" s="87" t="e">
        <f>VLOOKUP($D37&amp;AO$5&amp;AO$4,集計!$D:$R,AO$3,0)</f>
        <v>#N/A</v>
      </c>
      <c r="AP37" s="79" t="e">
        <f>VLOOKUP($D37&amp;AP$5&amp;AP$4,集計!$D:$R,AP$3,0)</f>
        <v>#N/A</v>
      </c>
      <c r="AQ37" s="38" t="e">
        <f>VLOOKUP($D37&amp;AQ$5&amp;AQ$4,集計!$D:$R,AQ$3,0)</f>
        <v>#N/A</v>
      </c>
      <c r="AR37" s="53" t="e">
        <f>VLOOKUP($D37&amp;AR$5&amp;AR$4,集計!$D:$R,AR$3,0)</f>
        <v>#N/A</v>
      </c>
      <c r="AS37" s="87" t="e">
        <f>VLOOKUP($D37&amp;AS$5&amp;AS$4,集計!$D:$R,AS$3,0)</f>
        <v>#N/A</v>
      </c>
      <c r="AT37" s="79" t="e">
        <f>VLOOKUP($D37&amp;AT$5&amp;AT$4,集計!$D:$R,AT$3,0)</f>
        <v>#N/A</v>
      </c>
      <c r="AU37" s="38" t="e">
        <f>VLOOKUP($D37&amp;AU$5&amp;AU$4,集計!$D:$R,AU$3,0)</f>
        <v>#N/A</v>
      </c>
      <c r="AV37" s="53" t="e">
        <f>VLOOKUP($D37&amp;AV$5&amp;AV$4,集計!$D:$R,AV$3,0)</f>
        <v>#N/A</v>
      </c>
      <c r="AW37" s="87" t="e">
        <f>VLOOKUP($D37&amp;AW$5&amp;AW$4,集計!$D:$R,AW$3,0)</f>
        <v>#N/A</v>
      </c>
      <c r="AX37" s="79" t="e">
        <f>VLOOKUP($D37&amp;AX$5&amp;AX$4,集計!$D:$R,AX$3,0)</f>
        <v>#N/A</v>
      </c>
      <c r="AY37" s="38" t="e">
        <f>VLOOKUP($D37&amp;AY$5&amp;AY$4,集計!$D:$R,AY$3,0)</f>
        <v>#N/A</v>
      </c>
      <c r="AZ37" s="53" t="e">
        <f>VLOOKUP($D37&amp;AZ$5&amp;AZ$4,集計!$D:$R,AZ$3,0)</f>
        <v>#N/A</v>
      </c>
      <c r="BA37" s="87" t="e">
        <f>VLOOKUP($D37&amp;BA$5&amp;BA$4,集計!$D:$R,BA$3,0)</f>
        <v>#N/A</v>
      </c>
    </row>
    <row r="38" spans="1:53">
      <c r="A38" s="62"/>
      <c r="B38" s="28"/>
      <c r="C38" s="30"/>
      <c r="D38" s="31" t="s">
        <v>39</v>
      </c>
      <c r="E38" s="105">
        <v>1412000021</v>
      </c>
      <c r="F38" s="79" t="e">
        <f>VLOOKUP($D38&amp;F$5&amp;F$4,集計!$D:$R,F$3,0)</f>
        <v>#N/A</v>
      </c>
      <c r="G38" s="38" t="e">
        <f>VLOOKUP($D38&amp;G$5&amp;G$4,集計!$D:$R,G$3,0)</f>
        <v>#N/A</v>
      </c>
      <c r="H38" s="53" t="e">
        <f>VLOOKUP($D38&amp;H$5&amp;H$4,集計!$D:$R,H$3,0)</f>
        <v>#N/A</v>
      </c>
      <c r="I38" s="87" t="e">
        <f>VLOOKUP($D38&amp;I$5&amp;I$4,集計!$D:$R,I$3,0)</f>
        <v>#N/A</v>
      </c>
      <c r="J38" s="79" t="e">
        <f>VLOOKUP($D38&amp;J$5&amp;J$4,集計!$D:$R,J$3,0)</f>
        <v>#N/A</v>
      </c>
      <c r="K38" s="38" t="e">
        <f>VLOOKUP($D38&amp;K$5&amp;K$4,集計!$D:$R,K$3,0)</f>
        <v>#N/A</v>
      </c>
      <c r="L38" s="53" t="e">
        <f>VLOOKUP($D38&amp;L$5&amp;L$4,集計!$D:$R,L$3,0)</f>
        <v>#N/A</v>
      </c>
      <c r="M38" s="87" t="e">
        <f>VLOOKUP($D38&amp;M$5&amp;M$4,集計!$D:$R,M$3,0)</f>
        <v>#N/A</v>
      </c>
      <c r="N38" s="79" t="e">
        <f>VLOOKUP($D38&amp;N$5&amp;N$4,集計!$D:$R,N$3,0)</f>
        <v>#N/A</v>
      </c>
      <c r="O38" s="38" t="e">
        <f>VLOOKUP($D38&amp;O$5&amp;O$4,集計!$D:$R,O$3,0)</f>
        <v>#N/A</v>
      </c>
      <c r="P38" s="53" t="e">
        <f>VLOOKUP($D38&amp;P$5&amp;P$4,集計!$D:$R,P$3,0)</f>
        <v>#N/A</v>
      </c>
      <c r="Q38" s="87" t="e">
        <f>VLOOKUP($D38&amp;Q$5&amp;Q$4,集計!$D:$R,Q$3,0)</f>
        <v>#N/A</v>
      </c>
      <c r="R38" s="79" t="e">
        <f>VLOOKUP($D38&amp;R$5&amp;R$4,集計!$D:$R,R$3,0)</f>
        <v>#N/A</v>
      </c>
      <c r="S38" s="38" t="e">
        <f>VLOOKUP($D38&amp;S$5&amp;S$4,集計!$D:$R,S$3,0)</f>
        <v>#N/A</v>
      </c>
      <c r="T38" s="53" t="e">
        <f>VLOOKUP($D38&amp;T$5&amp;T$4,集計!$D:$R,T$3,0)</f>
        <v>#N/A</v>
      </c>
      <c r="U38" s="87" t="e">
        <f>VLOOKUP($D38&amp;U$5&amp;U$4,集計!$D:$R,U$3,0)</f>
        <v>#N/A</v>
      </c>
      <c r="V38" s="79" t="e">
        <f>VLOOKUP($D38&amp;V$5&amp;V$4,集計!$D:$R,V$3,0)</f>
        <v>#N/A</v>
      </c>
      <c r="W38" s="38" t="e">
        <f>VLOOKUP($D38&amp;W$5&amp;W$4,集計!$D:$R,W$3,0)</f>
        <v>#N/A</v>
      </c>
      <c r="X38" s="53" t="e">
        <f>VLOOKUP($D38&amp;X$5&amp;X$4,集計!$D:$R,X$3,0)</f>
        <v>#N/A</v>
      </c>
      <c r="Y38" s="87" t="e">
        <f>VLOOKUP($D38&amp;Y$5&amp;Y$4,集計!$D:$R,Y$3,0)</f>
        <v>#N/A</v>
      </c>
      <c r="Z38" s="79" t="e">
        <f>VLOOKUP($D38&amp;Z$5&amp;Z$4,集計!$D:$R,Z$3,0)</f>
        <v>#N/A</v>
      </c>
      <c r="AA38" s="38" t="e">
        <f>VLOOKUP($D38&amp;AA$5&amp;AA$4,集計!$D:$R,AA$3,0)</f>
        <v>#N/A</v>
      </c>
      <c r="AB38" s="53" t="e">
        <f>VLOOKUP($D38&amp;AB$5&amp;AB$4,集計!$D:$R,AB$3,0)</f>
        <v>#N/A</v>
      </c>
      <c r="AC38" s="87" t="e">
        <f>VLOOKUP($D38&amp;AC$5&amp;AC$4,集計!$D:$R,AC$3,0)</f>
        <v>#N/A</v>
      </c>
      <c r="AD38" s="79" t="e">
        <f>VLOOKUP($D38&amp;AD$5&amp;AD$4,集計!$D:$R,AD$3,0)</f>
        <v>#N/A</v>
      </c>
      <c r="AE38" s="38" t="e">
        <f>VLOOKUP($D38&amp;AE$5&amp;AE$4,集計!$D:$R,AE$3,0)</f>
        <v>#N/A</v>
      </c>
      <c r="AF38" s="53" t="e">
        <f>VLOOKUP($D38&amp;AF$5&amp;AF$4,集計!$D:$R,AF$3,0)</f>
        <v>#N/A</v>
      </c>
      <c r="AG38" s="87" t="e">
        <f>VLOOKUP($D38&amp;AG$5&amp;AG$4,集計!$D:$R,AG$3,0)</f>
        <v>#N/A</v>
      </c>
      <c r="AH38" s="79" t="e">
        <f>VLOOKUP($D38&amp;AH$5&amp;AH$4,集計!$D:$R,AH$3,0)</f>
        <v>#N/A</v>
      </c>
      <c r="AI38" s="38" t="e">
        <f>VLOOKUP($D38&amp;AI$5&amp;AI$4,集計!$D:$R,AI$3,0)</f>
        <v>#N/A</v>
      </c>
      <c r="AJ38" s="53" t="e">
        <f>VLOOKUP($D38&amp;AJ$5&amp;AJ$4,集計!$D:$R,AJ$3,0)</f>
        <v>#N/A</v>
      </c>
      <c r="AK38" s="87" t="e">
        <f>VLOOKUP($D38&amp;AK$5&amp;AK$4,集計!$D:$R,AK$3,0)</f>
        <v>#N/A</v>
      </c>
      <c r="AL38" s="79" t="e">
        <f>VLOOKUP($D38&amp;AL$5&amp;AL$4,集計!$D:$R,AL$3,0)</f>
        <v>#N/A</v>
      </c>
      <c r="AM38" s="38" t="e">
        <f>VLOOKUP($D38&amp;AM$5&amp;AM$4,集計!$D:$R,AM$3,0)</f>
        <v>#N/A</v>
      </c>
      <c r="AN38" s="53" t="e">
        <f>VLOOKUP($D38&amp;AN$5&amp;AN$4,集計!$D:$R,AN$3,0)</f>
        <v>#N/A</v>
      </c>
      <c r="AO38" s="87" t="e">
        <f>VLOOKUP($D38&amp;AO$5&amp;AO$4,集計!$D:$R,AO$3,0)</f>
        <v>#N/A</v>
      </c>
      <c r="AP38" s="79" t="e">
        <f>VLOOKUP($D38&amp;AP$5&amp;AP$4,集計!$D:$R,AP$3,0)</f>
        <v>#N/A</v>
      </c>
      <c r="AQ38" s="38" t="e">
        <f>VLOOKUP($D38&amp;AQ$5&amp;AQ$4,集計!$D:$R,AQ$3,0)</f>
        <v>#N/A</v>
      </c>
      <c r="AR38" s="53" t="e">
        <f>VLOOKUP($D38&amp;AR$5&amp;AR$4,集計!$D:$R,AR$3,0)</f>
        <v>#N/A</v>
      </c>
      <c r="AS38" s="87" t="e">
        <f>VLOOKUP($D38&amp;AS$5&amp;AS$4,集計!$D:$R,AS$3,0)</f>
        <v>#N/A</v>
      </c>
      <c r="AT38" s="79" t="e">
        <f>VLOOKUP($D38&amp;AT$5&amp;AT$4,集計!$D:$R,AT$3,0)</f>
        <v>#N/A</v>
      </c>
      <c r="AU38" s="38" t="e">
        <f>VLOOKUP($D38&amp;AU$5&amp;AU$4,集計!$D:$R,AU$3,0)</f>
        <v>#N/A</v>
      </c>
      <c r="AV38" s="53" t="e">
        <f>VLOOKUP($D38&amp;AV$5&amp;AV$4,集計!$D:$R,AV$3,0)</f>
        <v>#N/A</v>
      </c>
      <c r="AW38" s="87" t="e">
        <f>VLOOKUP($D38&amp;AW$5&amp;AW$4,集計!$D:$R,AW$3,0)</f>
        <v>#N/A</v>
      </c>
      <c r="AX38" s="79" t="e">
        <f>VLOOKUP($D38&amp;AX$5&amp;AX$4,集計!$D:$R,AX$3,0)</f>
        <v>#N/A</v>
      </c>
      <c r="AY38" s="38" t="e">
        <f>VLOOKUP($D38&amp;AY$5&amp;AY$4,集計!$D:$R,AY$3,0)</f>
        <v>#N/A</v>
      </c>
      <c r="AZ38" s="53" t="e">
        <f>VLOOKUP($D38&amp;AZ$5&amp;AZ$4,集計!$D:$R,AZ$3,0)</f>
        <v>#N/A</v>
      </c>
      <c r="BA38" s="87" t="e">
        <f>VLOOKUP($D38&amp;BA$5&amp;BA$4,集計!$D:$R,BA$3,0)</f>
        <v>#N/A</v>
      </c>
    </row>
    <row r="39" spans="1:53">
      <c r="A39" s="116"/>
      <c r="B39" s="205"/>
      <c r="C39" s="117"/>
      <c r="D39" s="118" t="s">
        <v>96</v>
      </c>
      <c r="E39" s="206">
        <v>1412000070</v>
      </c>
      <c r="F39" s="207" t="e">
        <f>VLOOKUP($D39&amp;F$5&amp;F$4,集計!$D:$R,F$3,0)</f>
        <v>#N/A</v>
      </c>
      <c r="G39" s="208" t="e">
        <f>VLOOKUP($D39&amp;G$5&amp;G$4,集計!$D:$R,G$3,0)</f>
        <v>#N/A</v>
      </c>
      <c r="H39" s="209" t="e">
        <f>VLOOKUP($D39&amp;H$5&amp;H$4,集計!$D:$R,H$3,0)</f>
        <v>#N/A</v>
      </c>
      <c r="I39" s="210" t="e">
        <f>VLOOKUP($D39&amp;I$5&amp;I$4,集計!$D:$R,I$3,0)</f>
        <v>#N/A</v>
      </c>
      <c r="J39" s="207" t="e">
        <f>VLOOKUP($D39&amp;J$5&amp;J$4,集計!$D:$R,J$3,0)</f>
        <v>#N/A</v>
      </c>
      <c r="K39" s="208" t="e">
        <f>VLOOKUP($D39&amp;K$5&amp;K$4,集計!$D:$R,K$3,0)</f>
        <v>#N/A</v>
      </c>
      <c r="L39" s="209" t="e">
        <f>VLOOKUP($D39&amp;L$5&amp;L$4,集計!$D:$R,L$3,0)</f>
        <v>#N/A</v>
      </c>
      <c r="M39" s="210" t="e">
        <f>VLOOKUP($D39&amp;M$5&amp;M$4,集計!$D:$R,M$3,0)</f>
        <v>#N/A</v>
      </c>
      <c r="N39" s="207" t="e">
        <f>VLOOKUP($D39&amp;N$5&amp;N$4,集計!$D:$R,N$3,0)</f>
        <v>#N/A</v>
      </c>
      <c r="O39" s="208" t="e">
        <f>VLOOKUP($D39&amp;O$5&amp;O$4,集計!$D:$R,O$3,0)</f>
        <v>#N/A</v>
      </c>
      <c r="P39" s="209" t="e">
        <f>VLOOKUP($D39&amp;P$5&amp;P$4,集計!$D:$R,P$3,0)</f>
        <v>#N/A</v>
      </c>
      <c r="Q39" s="210" t="e">
        <f>VLOOKUP($D39&amp;Q$5&amp;Q$4,集計!$D:$R,Q$3,0)</f>
        <v>#N/A</v>
      </c>
      <c r="R39" s="207" t="e">
        <f>VLOOKUP($D39&amp;R$5&amp;R$4,集計!$D:$R,R$3,0)</f>
        <v>#N/A</v>
      </c>
      <c r="S39" s="208" t="e">
        <f>VLOOKUP($D39&amp;S$5&amp;S$4,集計!$D:$R,S$3,0)</f>
        <v>#N/A</v>
      </c>
      <c r="T39" s="209" t="e">
        <f>VLOOKUP($D39&amp;T$5&amp;T$4,集計!$D:$R,T$3,0)</f>
        <v>#N/A</v>
      </c>
      <c r="U39" s="210" t="e">
        <f>VLOOKUP($D39&amp;U$5&amp;U$4,集計!$D:$R,U$3,0)</f>
        <v>#N/A</v>
      </c>
      <c r="V39" s="207" t="e">
        <f>VLOOKUP($D39&amp;V$5&amp;V$4,集計!$D:$R,V$3,0)</f>
        <v>#N/A</v>
      </c>
      <c r="W39" s="208" t="e">
        <f>VLOOKUP($D39&amp;W$5&amp;W$4,集計!$D:$R,W$3,0)</f>
        <v>#N/A</v>
      </c>
      <c r="X39" s="209" t="e">
        <f>VLOOKUP($D39&amp;X$5&amp;X$4,集計!$D:$R,X$3,0)</f>
        <v>#N/A</v>
      </c>
      <c r="Y39" s="210" t="e">
        <f>VLOOKUP($D39&amp;Y$5&amp;Y$4,集計!$D:$R,Y$3,0)</f>
        <v>#N/A</v>
      </c>
      <c r="Z39" s="207" t="e">
        <f>VLOOKUP($D39&amp;Z$5&amp;Z$4,集計!$D:$R,Z$3,0)</f>
        <v>#N/A</v>
      </c>
      <c r="AA39" s="208" t="e">
        <f>VLOOKUP($D39&amp;AA$5&amp;AA$4,集計!$D:$R,AA$3,0)</f>
        <v>#N/A</v>
      </c>
      <c r="AB39" s="209" t="e">
        <f>VLOOKUP($D39&amp;AB$5&amp;AB$4,集計!$D:$R,AB$3,0)</f>
        <v>#N/A</v>
      </c>
      <c r="AC39" s="210" t="e">
        <f>VLOOKUP($D39&amp;AC$5&amp;AC$4,集計!$D:$R,AC$3,0)</f>
        <v>#N/A</v>
      </c>
      <c r="AD39" s="207" t="e">
        <f>VLOOKUP($D39&amp;AD$5&amp;AD$4,集計!$D:$R,AD$3,0)</f>
        <v>#N/A</v>
      </c>
      <c r="AE39" s="208" t="e">
        <f>VLOOKUP($D39&amp;AE$5&amp;AE$4,集計!$D:$R,AE$3,0)</f>
        <v>#N/A</v>
      </c>
      <c r="AF39" s="209" t="e">
        <f>VLOOKUP($D39&amp;AF$5&amp;AF$4,集計!$D:$R,AF$3,0)</f>
        <v>#N/A</v>
      </c>
      <c r="AG39" s="210" t="e">
        <f>VLOOKUP($D39&amp;AG$5&amp;AG$4,集計!$D:$R,AG$3,0)</f>
        <v>#N/A</v>
      </c>
      <c r="AH39" s="207" t="e">
        <f>VLOOKUP($D39&amp;AH$5&amp;AH$4,集計!$D:$R,AH$3,0)</f>
        <v>#N/A</v>
      </c>
      <c r="AI39" s="208" t="e">
        <f>VLOOKUP($D39&amp;AI$5&amp;AI$4,集計!$D:$R,AI$3,0)</f>
        <v>#N/A</v>
      </c>
      <c r="AJ39" s="209" t="e">
        <f>VLOOKUP($D39&amp;AJ$5&amp;AJ$4,集計!$D:$R,AJ$3,0)</f>
        <v>#N/A</v>
      </c>
      <c r="AK39" s="210" t="e">
        <f>VLOOKUP($D39&amp;AK$5&amp;AK$4,集計!$D:$R,AK$3,0)</f>
        <v>#N/A</v>
      </c>
      <c r="AL39" s="207" t="e">
        <f>VLOOKUP($D39&amp;AL$5&amp;AL$4,集計!$D:$R,AL$3,0)</f>
        <v>#N/A</v>
      </c>
      <c r="AM39" s="208" t="e">
        <f>VLOOKUP($D39&amp;AM$5&amp;AM$4,集計!$D:$R,AM$3,0)</f>
        <v>#N/A</v>
      </c>
      <c r="AN39" s="209" t="e">
        <f>VLOOKUP($D39&amp;AN$5&amp;AN$4,集計!$D:$R,AN$3,0)</f>
        <v>#N/A</v>
      </c>
      <c r="AO39" s="210" t="e">
        <f>VLOOKUP($D39&amp;AO$5&amp;AO$4,集計!$D:$R,AO$3,0)</f>
        <v>#N/A</v>
      </c>
      <c r="AP39" s="207" t="e">
        <f>VLOOKUP($D39&amp;AP$5&amp;AP$4,集計!$D:$R,AP$3,0)</f>
        <v>#N/A</v>
      </c>
      <c r="AQ39" s="208" t="e">
        <f>VLOOKUP($D39&amp;AQ$5&amp;AQ$4,集計!$D:$R,AQ$3,0)</f>
        <v>#N/A</v>
      </c>
      <c r="AR39" s="209" t="e">
        <f>VLOOKUP($D39&amp;AR$5&amp;AR$4,集計!$D:$R,AR$3,0)</f>
        <v>#N/A</v>
      </c>
      <c r="AS39" s="210" t="e">
        <f>VLOOKUP($D39&amp;AS$5&amp;AS$4,集計!$D:$R,AS$3,0)</f>
        <v>#N/A</v>
      </c>
      <c r="AT39" s="207" t="e">
        <f>VLOOKUP($D39&amp;AT$5&amp;AT$4,集計!$D:$R,AT$3,0)</f>
        <v>#N/A</v>
      </c>
      <c r="AU39" s="208" t="e">
        <f>VLOOKUP($D39&amp;AU$5&amp;AU$4,集計!$D:$R,AU$3,0)</f>
        <v>#N/A</v>
      </c>
      <c r="AV39" s="209" t="e">
        <f>VLOOKUP($D39&amp;AV$5&amp;AV$4,集計!$D:$R,AV$3,0)</f>
        <v>#N/A</v>
      </c>
      <c r="AW39" s="210" t="e">
        <f>VLOOKUP($D39&amp;AW$5&amp;AW$4,集計!$D:$R,AW$3,0)</f>
        <v>#N/A</v>
      </c>
      <c r="AX39" s="207" t="e">
        <f>VLOOKUP($D39&amp;AX$5&amp;AX$4,集計!$D:$R,AX$3,0)</f>
        <v>#N/A</v>
      </c>
      <c r="AY39" s="208" t="e">
        <f>VLOOKUP($D39&amp;AY$5&amp;AY$4,集計!$D:$R,AY$3,0)</f>
        <v>#N/A</v>
      </c>
      <c r="AZ39" s="209" t="e">
        <f>VLOOKUP($D39&amp;AZ$5&amp;AZ$4,集計!$D:$R,AZ$3,0)</f>
        <v>#N/A</v>
      </c>
      <c r="BA39" s="210" t="e">
        <f>VLOOKUP($D39&amp;BA$5&amp;BA$4,集計!$D:$R,BA$3,0)</f>
        <v>#N/A</v>
      </c>
    </row>
    <row r="40" spans="1:53" ht="15" thickBot="1">
      <c r="A40" s="63"/>
      <c r="B40" s="44"/>
      <c r="C40" s="46"/>
      <c r="D40" s="47" t="s">
        <v>15</v>
      </c>
      <c r="E40" s="104">
        <v>1412000022</v>
      </c>
      <c r="F40" s="83" t="e">
        <f>VLOOKUP($D40&amp;F$5&amp;F$4,集計!$D:$R,F$3,0)</f>
        <v>#N/A</v>
      </c>
      <c r="G40" s="90" t="e">
        <f>VLOOKUP($D40&amp;G$5&amp;G$4,集計!$D:$R,G$3,0)</f>
        <v>#N/A</v>
      </c>
      <c r="H40" s="91" t="e">
        <f>VLOOKUP($D40&amp;H$5&amp;H$4,集計!$D:$R,H$3,0)</f>
        <v>#N/A</v>
      </c>
      <c r="I40" s="92" t="e">
        <f>VLOOKUP($D40&amp;I$5&amp;I$4,集計!$D:$R,I$3,0)</f>
        <v>#N/A</v>
      </c>
      <c r="J40" s="83" t="e">
        <f>VLOOKUP($D40&amp;J$5&amp;J$4,集計!$D:$R,J$3,0)</f>
        <v>#N/A</v>
      </c>
      <c r="K40" s="90" t="e">
        <f>VLOOKUP($D40&amp;K$5&amp;K$4,集計!$D:$R,K$3,0)</f>
        <v>#N/A</v>
      </c>
      <c r="L40" s="91" t="e">
        <f>VLOOKUP($D40&amp;L$5&amp;L$4,集計!$D:$R,L$3,0)</f>
        <v>#N/A</v>
      </c>
      <c r="M40" s="92" t="e">
        <f>VLOOKUP($D40&amp;M$5&amp;M$4,集計!$D:$R,M$3,0)</f>
        <v>#N/A</v>
      </c>
      <c r="N40" s="83" t="e">
        <f>VLOOKUP($D40&amp;N$5&amp;N$4,集計!$D:$R,N$3,0)</f>
        <v>#N/A</v>
      </c>
      <c r="O40" s="90" t="e">
        <f>VLOOKUP($D40&amp;O$5&amp;O$4,集計!$D:$R,O$3,0)</f>
        <v>#N/A</v>
      </c>
      <c r="P40" s="91" t="e">
        <f>VLOOKUP($D40&amp;P$5&amp;P$4,集計!$D:$R,P$3,0)</f>
        <v>#N/A</v>
      </c>
      <c r="Q40" s="92" t="e">
        <f>VLOOKUP($D40&amp;Q$5&amp;Q$4,集計!$D:$R,Q$3,0)</f>
        <v>#N/A</v>
      </c>
      <c r="R40" s="83" t="e">
        <f>VLOOKUP($D40&amp;R$5&amp;R$4,集計!$D:$R,R$3,0)</f>
        <v>#N/A</v>
      </c>
      <c r="S40" s="90" t="e">
        <f>VLOOKUP($D40&amp;S$5&amp;S$4,集計!$D:$R,S$3,0)</f>
        <v>#N/A</v>
      </c>
      <c r="T40" s="91" t="e">
        <f>VLOOKUP($D40&amp;T$5&amp;T$4,集計!$D:$R,T$3,0)</f>
        <v>#N/A</v>
      </c>
      <c r="U40" s="92" t="e">
        <f>VLOOKUP($D40&amp;U$5&amp;U$4,集計!$D:$R,U$3,0)</f>
        <v>#N/A</v>
      </c>
      <c r="V40" s="83" t="e">
        <f>VLOOKUP($D40&amp;V$5&amp;V$4,集計!$D:$R,V$3,0)</f>
        <v>#N/A</v>
      </c>
      <c r="W40" s="90" t="e">
        <f>VLOOKUP($D40&amp;W$5&amp;W$4,集計!$D:$R,W$3,0)</f>
        <v>#N/A</v>
      </c>
      <c r="X40" s="91" t="e">
        <f>VLOOKUP($D40&amp;X$5&amp;X$4,集計!$D:$R,X$3,0)</f>
        <v>#N/A</v>
      </c>
      <c r="Y40" s="92" t="e">
        <f>VLOOKUP($D40&amp;Y$5&amp;Y$4,集計!$D:$R,Y$3,0)</f>
        <v>#N/A</v>
      </c>
      <c r="Z40" s="83" t="e">
        <f>VLOOKUP($D40&amp;Z$5&amp;Z$4,集計!$D:$R,Z$3,0)</f>
        <v>#N/A</v>
      </c>
      <c r="AA40" s="90" t="e">
        <f>VLOOKUP($D40&amp;AA$5&amp;AA$4,集計!$D:$R,AA$3,0)</f>
        <v>#N/A</v>
      </c>
      <c r="AB40" s="91" t="e">
        <f>VLOOKUP($D40&amp;AB$5&amp;AB$4,集計!$D:$R,AB$3,0)</f>
        <v>#N/A</v>
      </c>
      <c r="AC40" s="92" t="e">
        <f>VLOOKUP($D40&amp;AC$5&amp;AC$4,集計!$D:$R,AC$3,0)</f>
        <v>#N/A</v>
      </c>
      <c r="AD40" s="83" t="e">
        <f>VLOOKUP($D40&amp;AD$5&amp;AD$4,集計!$D:$R,AD$3,0)</f>
        <v>#N/A</v>
      </c>
      <c r="AE40" s="90" t="e">
        <f>VLOOKUP($D40&amp;AE$5&amp;AE$4,集計!$D:$R,AE$3,0)</f>
        <v>#N/A</v>
      </c>
      <c r="AF40" s="91" t="e">
        <f>VLOOKUP($D40&amp;AF$5&amp;AF$4,集計!$D:$R,AF$3,0)</f>
        <v>#N/A</v>
      </c>
      <c r="AG40" s="92" t="e">
        <f>VLOOKUP($D40&amp;AG$5&amp;AG$4,集計!$D:$R,AG$3,0)</f>
        <v>#N/A</v>
      </c>
      <c r="AH40" s="83" t="e">
        <f>VLOOKUP($D40&amp;AH$5&amp;AH$4,集計!$D:$R,AH$3,0)</f>
        <v>#N/A</v>
      </c>
      <c r="AI40" s="90" t="e">
        <f>VLOOKUP($D40&amp;AI$5&amp;AI$4,集計!$D:$R,AI$3,0)</f>
        <v>#N/A</v>
      </c>
      <c r="AJ40" s="91" t="e">
        <f>VLOOKUP($D40&amp;AJ$5&amp;AJ$4,集計!$D:$R,AJ$3,0)</f>
        <v>#N/A</v>
      </c>
      <c r="AK40" s="92" t="e">
        <f>VLOOKUP($D40&amp;AK$5&amp;AK$4,集計!$D:$R,AK$3,0)</f>
        <v>#N/A</v>
      </c>
      <c r="AL40" s="83" t="e">
        <f>VLOOKUP($D40&amp;AL$5&amp;AL$4,集計!$D:$R,AL$3,0)</f>
        <v>#N/A</v>
      </c>
      <c r="AM40" s="90" t="e">
        <f>VLOOKUP($D40&amp;AM$5&amp;AM$4,集計!$D:$R,AM$3,0)</f>
        <v>#N/A</v>
      </c>
      <c r="AN40" s="91" t="e">
        <f>VLOOKUP($D40&amp;AN$5&amp;AN$4,集計!$D:$R,AN$3,0)</f>
        <v>#N/A</v>
      </c>
      <c r="AO40" s="92" t="e">
        <f>VLOOKUP($D40&amp;AO$5&amp;AO$4,集計!$D:$R,AO$3,0)</f>
        <v>#N/A</v>
      </c>
      <c r="AP40" s="83" t="e">
        <f>VLOOKUP($D40&amp;AP$5&amp;AP$4,集計!$D:$R,AP$3,0)</f>
        <v>#N/A</v>
      </c>
      <c r="AQ40" s="90" t="e">
        <f>VLOOKUP($D40&amp;AQ$5&amp;AQ$4,集計!$D:$R,AQ$3,0)</f>
        <v>#N/A</v>
      </c>
      <c r="AR40" s="91" t="e">
        <f>VLOOKUP($D40&amp;AR$5&amp;AR$4,集計!$D:$R,AR$3,0)</f>
        <v>#N/A</v>
      </c>
      <c r="AS40" s="92" t="e">
        <f>VLOOKUP($D40&amp;AS$5&amp;AS$4,集計!$D:$R,AS$3,0)</f>
        <v>#N/A</v>
      </c>
      <c r="AT40" s="83" t="e">
        <f>VLOOKUP($D40&amp;AT$5&amp;AT$4,集計!$D:$R,AT$3,0)</f>
        <v>#N/A</v>
      </c>
      <c r="AU40" s="90" t="e">
        <f>VLOOKUP($D40&amp;AU$5&amp;AU$4,集計!$D:$R,AU$3,0)</f>
        <v>#N/A</v>
      </c>
      <c r="AV40" s="91" t="e">
        <f>VLOOKUP($D40&amp;AV$5&amp;AV$4,集計!$D:$R,AV$3,0)</f>
        <v>#N/A</v>
      </c>
      <c r="AW40" s="92" t="e">
        <f>VLOOKUP($D40&amp;AW$5&amp;AW$4,集計!$D:$R,AW$3,0)</f>
        <v>#N/A</v>
      </c>
      <c r="AX40" s="83" t="e">
        <f>VLOOKUP($D40&amp;AX$5&amp;AX$4,集計!$D:$R,AX$3,0)</f>
        <v>#N/A</v>
      </c>
      <c r="AY40" s="90" t="e">
        <f>VLOOKUP($D40&amp;AY$5&amp;AY$4,集計!$D:$R,AY$3,0)</f>
        <v>#N/A</v>
      </c>
      <c r="AZ40" s="91" t="e">
        <f>VLOOKUP($D40&amp;AZ$5&amp;AZ$4,集計!$D:$R,AZ$3,0)</f>
        <v>#N/A</v>
      </c>
      <c r="BA40" s="92" t="e">
        <f>VLOOKUP($D40&amp;BA$5&amp;BA$4,集計!$D:$R,BA$3,0)</f>
        <v>#N/A</v>
      </c>
    </row>
  </sheetData>
  <sheetCalcPr fullCalcOnLoad="1"/>
  <autoFilter ref="A7:BA40" xr:uid="{7414C0EF-70D5-4454-8723-3C57CFF2791D}"/>
  <mergeCells count="48">
    <mergeCell ref="AP6:AQ6"/>
    <mergeCell ref="AR6:AS6"/>
    <mergeCell ref="AT6:AU6"/>
    <mergeCell ref="AV6:AW6"/>
    <mergeCell ref="AX6:AY6"/>
    <mergeCell ref="AZ6:BA6"/>
    <mergeCell ref="AD6:AE6"/>
    <mergeCell ref="AF6:AG6"/>
    <mergeCell ref="AH6:AI6"/>
    <mergeCell ref="AJ6:AK6"/>
    <mergeCell ref="AL6:AM6"/>
    <mergeCell ref="AN6:AO6"/>
    <mergeCell ref="R6:S6"/>
    <mergeCell ref="T6:U6"/>
    <mergeCell ref="V6:W6"/>
    <mergeCell ref="X6:Y6"/>
    <mergeCell ref="Z6:AA6"/>
    <mergeCell ref="AB6:AC6"/>
    <mergeCell ref="F6:G6"/>
    <mergeCell ref="H6:I6"/>
    <mergeCell ref="J6:K6"/>
    <mergeCell ref="L6:M6"/>
    <mergeCell ref="N6:O6"/>
    <mergeCell ref="P6:Q6"/>
    <mergeCell ref="AT1:AW1"/>
    <mergeCell ref="AX1:BA1"/>
    <mergeCell ref="F1:I1"/>
    <mergeCell ref="J1:M1"/>
    <mergeCell ref="N1:Q1"/>
    <mergeCell ref="R1:U1"/>
    <mergeCell ref="V1:Y1"/>
    <mergeCell ref="Z1:AC1"/>
    <mergeCell ref="AD2:AG2"/>
    <mergeCell ref="AD1:AG1"/>
    <mergeCell ref="AH1:AK1"/>
    <mergeCell ref="AL1:AO1"/>
    <mergeCell ref="AP1:AS1"/>
    <mergeCell ref="AX2:BA2"/>
    <mergeCell ref="AT2:AW2"/>
    <mergeCell ref="AP2:AS2"/>
    <mergeCell ref="AL2:AO2"/>
    <mergeCell ref="AH2:AK2"/>
    <mergeCell ref="Z2:AC2"/>
    <mergeCell ref="V2:Y2"/>
    <mergeCell ref="R2:U2"/>
    <mergeCell ref="N2:Q2"/>
    <mergeCell ref="J2:M2"/>
    <mergeCell ref="F2:I2"/>
  </mergeCells>
  <phoneticPr fontId="53"/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5175" r:id="rId4" name="TextBox1">
          <controlPr defaultSize="0" autoLine="0" r:id="rId5">
            <anchor moveWithCells="1">
              <from>
                <xdr:col>0</xdr:col>
                <xdr:colOff>19050</xdr:colOff>
                <xdr:row>2</xdr:row>
                <xdr:rowOff>146050</xdr:rowOff>
              </from>
              <to>
                <xdr:col>1</xdr:col>
                <xdr:colOff>19050</xdr:colOff>
                <xdr:row>4</xdr:row>
                <xdr:rowOff>69850</xdr:rowOff>
              </to>
            </anchor>
          </controlPr>
        </control>
      </mc:Choice>
      <mc:Fallback>
        <control shapeId="5175" r:id="rId4" name="TextBox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A395-56B9-4004-A500-E7CC889281A6}">
  <sheetPr codeName="Sheet8"/>
  <dimension ref="A1:BA20"/>
  <sheetViews>
    <sheetView workbookViewId="0">
      <pane ySplit="7" topLeftCell="A11" activePane="bottomLeft" state="frozen"/>
      <selection pane="bottomLeft" activeCell="E1" sqref="E1:E65536"/>
    </sheetView>
  </sheetViews>
  <sheetFormatPr defaultRowHeight="14.5"/>
  <cols>
    <col min="1" max="1" width="4.90625" customWidth="1"/>
    <col min="2" max="2" width="6" customWidth="1"/>
    <col min="3" max="3" width="23.6328125" bestFit="1" customWidth="1"/>
    <col min="4" max="4" width="24.36328125" customWidth="1"/>
    <col min="5" max="5" width="14" style="109" bestFit="1" customWidth="1"/>
    <col min="6" max="7" width="14.7265625" style="161" customWidth="1"/>
    <col min="8" max="9" width="14.7265625" customWidth="1"/>
    <col min="10" max="11" width="14.7265625" style="161" customWidth="1"/>
    <col min="12" max="13" width="14.7265625" customWidth="1"/>
    <col min="14" max="15" width="14.7265625" style="161" customWidth="1"/>
    <col min="16" max="17" width="14.7265625" customWidth="1"/>
    <col min="18" max="19" width="14.7265625" style="161" customWidth="1"/>
    <col min="20" max="21" width="14.7265625" customWidth="1"/>
    <col min="22" max="23" width="14.7265625" style="161" customWidth="1"/>
    <col min="24" max="25" width="14.7265625" customWidth="1"/>
    <col min="26" max="27" width="14.7265625" style="161" customWidth="1"/>
    <col min="28" max="29" width="14.7265625" customWidth="1"/>
    <col min="30" max="31" width="14.7265625" style="161" customWidth="1"/>
    <col min="32" max="33" width="14.7265625" customWidth="1"/>
    <col min="34" max="35" width="14.7265625" style="161" customWidth="1"/>
    <col min="36" max="37" width="14.7265625" customWidth="1"/>
    <col min="38" max="39" width="14.7265625" style="161" customWidth="1"/>
    <col min="40" max="41" width="14.7265625" customWidth="1"/>
    <col min="42" max="43" width="14.7265625" style="161" customWidth="1"/>
    <col min="44" max="45" width="14.7265625" customWidth="1"/>
    <col min="46" max="47" width="14.7265625" style="161" customWidth="1"/>
    <col min="48" max="49" width="14.7265625" customWidth="1"/>
    <col min="50" max="51" width="14.7265625" style="161" customWidth="1"/>
    <col min="52" max="53" width="14.7265625" customWidth="1"/>
  </cols>
  <sheetData>
    <row r="1" spans="1:53" ht="15.75" customHeight="1" thickTop="1">
      <c r="A1" s="18"/>
      <c r="B1" s="19"/>
      <c r="C1" s="20"/>
      <c r="D1" s="20"/>
      <c r="E1" s="103"/>
      <c r="F1" s="330" t="s">
        <v>62</v>
      </c>
      <c r="G1" s="331"/>
      <c r="H1" s="331"/>
      <c r="I1" s="332"/>
      <c r="J1" s="330" t="s">
        <v>63</v>
      </c>
      <c r="K1" s="331"/>
      <c r="L1" s="331"/>
      <c r="M1" s="332"/>
      <c r="N1" s="330" t="s">
        <v>52</v>
      </c>
      <c r="O1" s="331"/>
      <c r="P1" s="331"/>
      <c r="Q1" s="332"/>
      <c r="R1" s="330" t="s">
        <v>53</v>
      </c>
      <c r="S1" s="331"/>
      <c r="T1" s="331"/>
      <c r="U1" s="332"/>
      <c r="V1" s="330" t="s">
        <v>54</v>
      </c>
      <c r="W1" s="331"/>
      <c r="X1" s="331"/>
      <c r="Y1" s="332"/>
      <c r="Z1" s="330" t="s">
        <v>55</v>
      </c>
      <c r="AA1" s="331"/>
      <c r="AB1" s="331"/>
      <c r="AC1" s="332"/>
      <c r="AD1" s="330" t="s">
        <v>56</v>
      </c>
      <c r="AE1" s="331"/>
      <c r="AF1" s="331"/>
      <c r="AG1" s="332"/>
      <c r="AH1" s="330" t="s">
        <v>57</v>
      </c>
      <c r="AI1" s="331"/>
      <c r="AJ1" s="331"/>
      <c r="AK1" s="332"/>
      <c r="AL1" s="330" t="s">
        <v>58</v>
      </c>
      <c r="AM1" s="331"/>
      <c r="AN1" s="331"/>
      <c r="AO1" s="332"/>
      <c r="AP1" s="330" t="s">
        <v>59</v>
      </c>
      <c r="AQ1" s="331"/>
      <c r="AR1" s="331"/>
      <c r="AS1" s="332"/>
      <c r="AT1" s="330" t="s">
        <v>60</v>
      </c>
      <c r="AU1" s="331"/>
      <c r="AV1" s="331"/>
      <c r="AW1" s="332"/>
      <c r="AX1" s="330" t="s">
        <v>61</v>
      </c>
      <c r="AY1" s="331"/>
      <c r="AZ1" s="331"/>
      <c r="BA1" s="332"/>
    </row>
    <row r="2" spans="1:53">
      <c r="A2" s="18"/>
      <c r="B2" s="19"/>
      <c r="C2" s="20"/>
      <c r="D2" s="20"/>
      <c r="E2" s="103"/>
      <c r="F2" s="327">
        <v>4</v>
      </c>
      <c r="G2" s="328"/>
      <c r="H2" s="328"/>
      <c r="I2" s="329"/>
      <c r="J2" s="327">
        <f>F2+1</f>
        <v>5</v>
      </c>
      <c r="K2" s="328"/>
      <c r="L2" s="328"/>
      <c r="M2" s="329"/>
      <c r="N2" s="327">
        <f>J2+1</f>
        <v>6</v>
      </c>
      <c r="O2" s="328"/>
      <c r="P2" s="328"/>
      <c r="Q2" s="329"/>
      <c r="R2" s="327">
        <f>N2+1</f>
        <v>7</v>
      </c>
      <c r="S2" s="328"/>
      <c r="T2" s="328"/>
      <c r="U2" s="329"/>
      <c r="V2" s="327">
        <f>R2+1</f>
        <v>8</v>
      </c>
      <c r="W2" s="328"/>
      <c r="X2" s="328"/>
      <c r="Y2" s="329"/>
      <c r="Z2" s="327">
        <f>V2+1</f>
        <v>9</v>
      </c>
      <c r="AA2" s="328"/>
      <c r="AB2" s="328"/>
      <c r="AC2" s="329"/>
      <c r="AD2" s="327">
        <f>Z2+1</f>
        <v>10</v>
      </c>
      <c r="AE2" s="328"/>
      <c r="AF2" s="328"/>
      <c r="AG2" s="329"/>
      <c r="AH2" s="327">
        <f>AD2+1</f>
        <v>11</v>
      </c>
      <c r="AI2" s="328"/>
      <c r="AJ2" s="328"/>
      <c r="AK2" s="329"/>
      <c r="AL2" s="327">
        <f>AH2+1</f>
        <v>12</v>
      </c>
      <c r="AM2" s="328"/>
      <c r="AN2" s="328"/>
      <c r="AO2" s="329"/>
      <c r="AP2" s="327">
        <v>1</v>
      </c>
      <c r="AQ2" s="328"/>
      <c r="AR2" s="328"/>
      <c r="AS2" s="329"/>
      <c r="AT2" s="327">
        <f>AP2+1</f>
        <v>2</v>
      </c>
      <c r="AU2" s="328"/>
      <c r="AV2" s="328"/>
      <c r="AW2" s="329"/>
      <c r="AX2" s="327">
        <f>AT2+1</f>
        <v>3</v>
      </c>
      <c r="AY2" s="328"/>
      <c r="AZ2" s="328"/>
      <c r="BA2" s="329"/>
    </row>
    <row r="3" spans="1:53">
      <c r="A3" s="18"/>
      <c r="B3" s="19"/>
      <c r="C3" s="20"/>
      <c r="D3" s="20"/>
      <c r="E3" s="103"/>
      <c r="F3" s="163">
        <v>4</v>
      </c>
      <c r="G3" s="164">
        <f>F3</f>
        <v>4</v>
      </c>
      <c r="H3" s="65">
        <f>F3</f>
        <v>4</v>
      </c>
      <c r="I3" s="68">
        <f>F3</f>
        <v>4</v>
      </c>
      <c r="J3" s="163">
        <f>I3+1</f>
        <v>5</v>
      </c>
      <c r="K3" s="164">
        <f>J3</f>
        <v>5</v>
      </c>
      <c r="L3" s="65">
        <f>J3</f>
        <v>5</v>
      </c>
      <c r="M3" s="68">
        <f>J3</f>
        <v>5</v>
      </c>
      <c r="N3" s="163">
        <f>M3+1</f>
        <v>6</v>
      </c>
      <c r="O3" s="164">
        <f>N3</f>
        <v>6</v>
      </c>
      <c r="P3" s="65">
        <f>N3</f>
        <v>6</v>
      </c>
      <c r="Q3" s="68">
        <f>N3</f>
        <v>6</v>
      </c>
      <c r="R3" s="163">
        <f>Q3+1</f>
        <v>7</v>
      </c>
      <c r="S3" s="164">
        <f>R3</f>
        <v>7</v>
      </c>
      <c r="T3" s="65">
        <f>R3</f>
        <v>7</v>
      </c>
      <c r="U3" s="68">
        <f>R3</f>
        <v>7</v>
      </c>
      <c r="V3" s="163">
        <f>U3+1</f>
        <v>8</v>
      </c>
      <c r="W3" s="164">
        <f>V3</f>
        <v>8</v>
      </c>
      <c r="X3" s="65">
        <f>V3</f>
        <v>8</v>
      </c>
      <c r="Y3" s="68">
        <f>V3</f>
        <v>8</v>
      </c>
      <c r="Z3" s="163">
        <f>Y3+1</f>
        <v>9</v>
      </c>
      <c r="AA3" s="164">
        <f>Z3</f>
        <v>9</v>
      </c>
      <c r="AB3" s="65">
        <f>Z3</f>
        <v>9</v>
      </c>
      <c r="AC3" s="68">
        <f>Z3</f>
        <v>9</v>
      </c>
      <c r="AD3" s="163">
        <f>AC3+1</f>
        <v>10</v>
      </c>
      <c r="AE3" s="164">
        <f>AD3</f>
        <v>10</v>
      </c>
      <c r="AF3" s="65">
        <f>AD3</f>
        <v>10</v>
      </c>
      <c r="AG3" s="68">
        <f>AD3</f>
        <v>10</v>
      </c>
      <c r="AH3" s="163">
        <f>AG3+1</f>
        <v>11</v>
      </c>
      <c r="AI3" s="164">
        <f>AH3</f>
        <v>11</v>
      </c>
      <c r="AJ3" s="65">
        <f>AH3</f>
        <v>11</v>
      </c>
      <c r="AK3" s="68">
        <f>AH3</f>
        <v>11</v>
      </c>
      <c r="AL3" s="163">
        <f>AK3+1</f>
        <v>12</v>
      </c>
      <c r="AM3" s="164">
        <f>AL3</f>
        <v>12</v>
      </c>
      <c r="AN3" s="65">
        <f>AL3</f>
        <v>12</v>
      </c>
      <c r="AO3" s="68">
        <f>AL3</f>
        <v>12</v>
      </c>
      <c r="AP3" s="163">
        <f>AO3+1</f>
        <v>13</v>
      </c>
      <c r="AQ3" s="164">
        <f>AP3</f>
        <v>13</v>
      </c>
      <c r="AR3" s="65">
        <f>AP3</f>
        <v>13</v>
      </c>
      <c r="AS3" s="68">
        <f>AP3</f>
        <v>13</v>
      </c>
      <c r="AT3" s="163">
        <f>AS3+1</f>
        <v>14</v>
      </c>
      <c r="AU3" s="164">
        <f>AT3</f>
        <v>14</v>
      </c>
      <c r="AV3" s="65">
        <f>AT3</f>
        <v>14</v>
      </c>
      <c r="AW3" s="68">
        <f>AT3</f>
        <v>14</v>
      </c>
      <c r="AX3" s="163">
        <f>AW3+1</f>
        <v>15</v>
      </c>
      <c r="AY3" s="164">
        <f>AX3</f>
        <v>15</v>
      </c>
      <c r="AZ3" s="65">
        <f>AX3</f>
        <v>15</v>
      </c>
      <c r="BA3" s="68">
        <f>AX3</f>
        <v>15</v>
      </c>
    </row>
    <row r="4" spans="1:53">
      <c r="A4" t="s">
        <v>67</v>
      </c>
      <c r="B4" s="115" t="s">
        <v>47</v>
      </c>
      <c r="C4" s="110"/>
      <c r="D4" s="110"/>
      <c r="F4" s="163" t="s">
        <v>29</v>
      </c>
      <c r="G4" s="164" t="s">
        <v>29</v>
      </c>
      <c r="H4" s="70" t="s">
        <v>40</v>
      </c>
      <c r="I4" s="71" t="s">
        <v>40</v>
      </c>
      <c r="J4" s="163" t="s">
        <v>29</v>
      </c>
      <c r="K4" s="164" t="s">
        <v>29</v>
      </c>
      <c r="L4" s="70" t="s">
        <v>40</v>
      </c>
      <c r="M4" s="71" t="s">
        <v>40</v>
      </c>
      <c r="N4" s="163" t="s">
        <v>29</v>
      </c>
      <c r="O4" s="164" t="s">
        <v>29</v>
      </c>
      <c r="P4" s="70" t="s">
        <v>40</v>
      </c>
      <c r="Q4" s="71" t="s">
        <v>40</v>
      </c>
      <c r="R4" s="163" t="s">
        <v>29</v>
      </c>
      <c r="S4" s="164" t="s">
        <v>29</v>
      </c>
      <c r="T4" s="70" t="s">
        <v>40</v>
      </c>
      <c r="U4" s="71" t="s">
        <v>40</v>
      </c>
      <c r="V4" s="163" t="s">
        <v>29</v>
      </c>
      <c r="W4" s="164" t="s">
        <v>29</v>
      </c>
      <c r="X4" s="70" t="s">
        <v>40</v>
      </c>
      <c r="Y4" s="71" t="s">
        <v>40</v>
      </c>
      <c r="Z4" s="163" t="s">
        <v>29</v>
      </c>
      <c r="AA4" s="164" t="s">
        <v>29</v>
      </c>
      <c r="AB4" s="70" t="s">
        <v>40</v>
      </c>
      <c r="AC4" s="71" t="s">
        <v>40</v>
      </c>
      <c r="AD4" s="163" t="s">
        <v>29</v>
      </c>
      <c r="AE4" s="164" t="s">
        <v>29</v>
      </c>
      <c r="AF4" s="70" t="s">
        <v>40</v>
      </c>
      <c r="AG4" s="71" t="s">
        <v>40</v>
      </c>
      <c r="AH4" s="163" t="s">
        <v>29</v>
      </c>
      <c r="AI4" s="164" t="s">
        <v>29</v>
      </c>
      <c r="AJ4" s="70" t="s">
        <v>40</v>
      </c>
      <c r="AK4" s="71" t="s">
        <v>40</v>
      </c>
      <c r="AL4" s="163" t="s">
        <v>29</v>
      </c>
      <c r="AM4" s="164" t="s">
        <v>29</v>
      </c>
      <c r="AN4" s="70" t="s">
        <v>40</v>
      </c>
      <c r="AO4" s="71" t="s">
        <v>40</v>
      </c>
      <c r="AP4" s="163" t="s">
        <v>29</v>
      </c>
      <c r="AQ4" s="164" t="s">
        <v>29</v>
      </c>
      <c r="AR4" s="70" t="s">
        <v>40</v>
      </c>
      <c r="AS4" s="71" t="s">
        <v>40</v>
      </c>
      <c r="AT4" s="163" t="s">
        <v>29</v>
      </c>
      <c r="AU4" s="164" t="s">
        <v>29</v>
      </c>
      <c r="AV4" s="70" t="s">
        <v>40</v>
      </c>
      <c r="AW4" s="71" t="s">
        <v>40</v>
      </c>
      <c r="AX4" s="163" t="s">
        <v>29</v>
      </c>
      <c r="AY4" s="164" t="s">
        <v>29</v>
      </c>
      <c r="AZ4" s="70" t="s">
        <v>40</v>
      </c>
      <c r="BA4" s="71" t="s">
        <v>40</v>
      </c>
    </row>
    <row r="5" spans="1:53" ht="15" thickBot="1">
      <c r="B5" s="21"/>
      <c r="C5" s="22"/>
      <c r="D5" s="20"/>
      <c r="E5" s="113"/>
      <c r="F5" s="165" t="s">
        <v>106</v>
      </c>
      <c r="G5" s="166" t="s">
        <v>107</v>
      </c>
      <c r="H5" s="73" t="s">
        <v>106</v>
      </c>
      <c r="I5" s="74" t="s">
        <v>107</v>
      </c>
      <c r="J5" s="165" t="s">
        <v>106</v>
      </c>
      <c r="K5" s="166" t="s">
        <v>107</v>
      </c>
      <c r="L5" s="73" t="s">
        <v>106</v>
      </c>
      <c r="M5" s="74" t="s">
        <v>107</v>
      </c>
      <c r="N5" s="165" t="s">
        <v>106</v>
      </c>
      <c r="O5" s="166" t="s">
        <v>107</v>
      </c>
      <c r="P5" s="73" t="s">
        <v>106</v>
      </c>
      <c r="Q5" s="74" t="s">
        <v>107</v>
      </c>
      <c r="R5" s="165" t="s">
        <v>106</v>
      </c>
      <c r="S5" s="166" t="s">
        <v>107</v>
      </c>
      <c r="T5" s="73" t="s">
        <v>106</v>
      </c>
      <c r="U5" s="74" t="s">
        <v>107</v>
      </c>
      <c r="V5" s="165" t="s">
        <v>106</v>
      </c>
      <c r="W5" s="166" t="s">
        <v>107</v>
      </c>
      <c r="X5" s="73" t="s">
        <v>106</v>
      </c>
      <c r="Y5" s="74" t="s">
        <v>107</v>
      </c>
      <c r="Z5" s="165" t="s">
        <v>106</v>
      </c>
      <c r="AA5" s="166" t="s">
        <v>107</v>
      </c>
      <c r="AB5" s="73" t="s">
        <v>106</v>
      </c>
      <c r="AC5" s="74" t="s">
        <v>107</v>
      </c>
      <c r="AD5" s="165" t="s">
        <v>106</v>
      </c>
      <c r="AE5" s="166" t="s">
        <v>107</v>
      </c>
      <c r="AF5" s="73" t="s">
        <v>106</v>
      </c>
      <c r="AG5" s="74" t="s">
        <v>107</v>
      </c>
      <c r="AH5" s="165" t="s">
        <v>106</v>
      </c>
      <c r="AI5" s="166" t="s">
        <v>107</v>
      </c>
      <c r="AJ5" s="73" t="s">
        <v>106</v>
      </c>
      <c r="AK5" s="74" t="s">
        <v>107</v>
      </c>
      <c r="AL5" s="165" t="s">
        <v>106</v>
      </c>
      <c r="AM5" s="166" t="s">
        <v>107</v>
      </c>
      <c r="AN5" s="73" t="s">
        <v>106</v>
      </c>
      <c r="AO5" s="74" t="s">
        <v>107</v>
      </c>
      <c r="AP5" s="165" t="s">
        <v>106</v>
      </c>
      <c r="AQ5" s="166" t="s">
        <v>107</v>
      </c>
      <c r="AR5" s="73" t="s">
        <v>106</v>
      </c>
      <c r="AS5" s="74" t="s">
        <v>107</v>
      </c>
      <c r="AT5" s="165" t="s">
        <v>106</v>
      </c>
      <c r="AU5" s="166" t="s">
        <v>107</v>
      </c>
      <c r="AV5" s="73" t="s">
        <v>106</v>
      </c>
      <c r="AW5" s="74" t="s">
        <v>107</v>
      </c>
      <c r="AX5" s="165" t="s">
        <v>106</v>
      </c>
      <c r="AY5" s="166" t="s">
        <v>107</v>
      </c>
      <c r="AZ5" s="73" t="s">
        <v>106</v>
      </c>
      <c r="BA5" s="74" t="s">
        <v>107</v>
      </c>
    </row>
    <row r="6" spans="1:53" ht="52">
      <c r="A6" s="23"/>
      <c r="B6" s="24" t="s">
        <v>48</v>
      </c>
      <c r="C6" s="24" t="s">
        <v>88</v>
      </c>
      <c r="D6" s="24" t="s">
        <v>89</v>
      </c>
      <c r="E6" s="32" t="s">
        <v>72</v>
      </c>
      <c r="F6" s="337" t="s">
        <v>49</v>
      </c>
      <c r="G6" s="338"/>
      <c r="H6" s="335" t="s">
        <v>50</v>
      </c>
      <c r="I6" s="336"/>
      <c r="J6" s="337" t="s">
        <v>49</v>
      </c>
      <c r="K6" s="338"/>
      <c r="L6" s="335" t="s">
        <v>50</v>
      </c>
      <c r="M6" s="336"/>
      <c r="N6" s="337" t="s">
        <v>49</v>
      </c>
      <c r="O6" s="338"/>
      <c r="P6" s="335" t="s">
        <v>50</v>
      </c>
      <c r="Q6" s="336"/>
      <c r="R6" s="337" t="s">
        <v>49</v>
      </c>
      <c r="S6" s="338"/>
      <c r="T6" s="335" t="s">
        <v>50</v>
      </c>
      <c r="U6" s="336"/>
      <c r="V6" s="337" t="s">
        <v>49</v>
      </c>
      <c r="W6" s="338"/>
      <c r="X6" s="335" t="s">
        <v>50</v>
      </c>
      <c r="Y6" s="336"/>
      <c r="Z6" s="337" t="s">
        <v>49</v>
      </c>
      <c r="AA6" s="338"/>
      <c r="AB6" s="335" t="s">
        <v>50</v>
      </c>
      <c r="AC6" s="336"/>
      <c r="AD6" s="337" t="s">
        <v>49</v>
      </c>
      <c r="AE6" s="338"/>
      <c r="AF6" s="335" t="s">
        <v>50</v>
      </c>
      <c r="AG6" s="336"/>
      <c r="AH6" s="337" t="s">
        <v>49</v>
      </c>
      <c r="AI6" s="338"/>
      <c r="AJ6" s="335" t="s">
        <v>50</v>
      </c>
      <c r="AK6" s="336"/>
      <c r="AL6" s="337" t="s">
        <v>49</v>
      </c>
      <c r="AM6" s="338"/>
      <c r="AN6" s="335" t="s">
        <v>50</v>
      </c>
      <c r="AO6" s="336"/>
      <c r="AP6" s="337" t="s">
        <v>49</v>
      </c>
      <c r="AQ6" s="338"/>
      <c r="AR6" s="335" t="s">
        <v>50</v>
      </c>
      <c r="AS6" s="336"/>
      <c r="AT6" s="337" t="s">
        <v>49</v>
      </c>
      <c r="AU6" s="338"/>
      <c r="AV6" s="335" t="s">
        <v>50</v>
      </c>
      <c r="AW6" s="336"/>
      <c r="AX6" s="337" t="s">
        <v>49</v>
      </c>
      <c r="AY6" s="338"/>
      <c r="AZ6" s="335" t="s">
        <v>50</v>
      </c>
      <c r="BA6" s="336"/>
    </row>
    <row r="7" spans="1:53" ht="26">
      <c r="A7" s="33"/>
      <c r="B7" s="34"/>
      <c r="C7" s="34"/>
      <c r="D7" s="34"/>
      <c r="E7" s="107"/>
      <c r="F7" s="167" t="s">
        <v>64</v>
      </c>
      <c r="G7" s="168" t="s">
        <v>65</v>
      </c>
      <c r="H7" s="35" t="s">
        <v>64</v>
      </c>
      <c r="I7" s="76" t="s">
        <v>65</v>
      </c>
      <c r="J7" s="167" t="s">
        <v>64</v>
      </c>
      <c r="K7" s="168" t="s">
        <v>65</v>
      </c>
      <c r="L7" s="35" t="s">
        <v>64</v>
      </c>
      <c r="M7" s="76" t="s">
        <v>65</v>
      </c>
      <c r="N7" s="167" t="s">
        <v>64</v>
      </c>
      <c r="O7" s="168" t="s">
        <v>65</v>
      </c>
      <c r="P7" s="35" t="s">
        <v>64</v>
      </c>
      <c r="Q7" s="76" t="s">
        <v>65</v>
      </c>
      <c r="R7" s="167" t="s">
        <v>64</v>
      </c>
      <c r="S7" s="168" t="s">
        <v>65</v>
      </c>
      <c r="T7" s="35" t="s">
        <v>64</v>
      </c>
      <c r="U7" s="76" t="s">
        <v>65</v>
      </c>
      <c r="V7" s="167" t="s">
        <v>64</v>
      </c>
      <c r="W7" s="168" t="s">
        <v>65</v>
      </c>
      <c r="X7" s="35" t="s">
        <v>64</v>
      </c>
      <c r="Y7" s="76" t="s">
        <v>65</v>
      </c>
      <c r="Z7" s="167" t="s">
        <v>64</v>
      </c>
      <c r="AA7" s="168" t="s">
        <v>65</v>
      </c>
      <c r="AB7" s="35" t="s">
        <v>64</v>
      </c>
      <c r="AC7" s="76" t="s">
        <v>65</v>
      </c>
      <c r="AD7" s="167" t="s">
        <v>64</v>
      </c>
      <c r="AE7" s="168" t="s">
        <v>65</v>
      </c>
      <c r="AF7" s="35" t="s">
        <v>64</v>
      </c>
      <c r="AG7" s="76" t="s">
        <v>65</v>
      </c>
      <c r="AH7" s="167" t="s">
        <v>64</v>
      </c>
      <c r="AI7" s="168" t="s">
        <v>65</v>
      </c>
      <c r="AJ7" s="35" t="s">
        <v>64</v>
      </c>
      <c r="AK7" s="76" t="s">
        <v>65</v>
      </c>
      <c r="AL7" s="167" t="s">
        <v>64</v>
      </c>
      <c r="AM7" s="168" t="s">
        <v>65</v>
      </c>
      <c r="AN7" s="35" t="s">
        <v>64</v>
      </c>
      <c r="AO7" s="76" t="s">
        <v>65</v>
      </c>
      <c r="AP7" s="167" t="s">
        <v>64</v>
      </c>
      <c r="AQ7" s="168" t="s">
        <v>65</v>
      </c>
      <c r="AR7" s="35" t="s">
        <v>64</v>
      </c>
      <c r="AS7" s="76" t="s">
        <v>65</v>
      </c>
      <c r="AT7" s="167" t="s">
        <v>64</v>
      </c>
      <c r="AU7" s="168" t="s">
        <v>65</v>
      </c>
      <c r="AV7" s="35" t="s">
        <v>64</v>
      </c>
      <c r="AW7" s="76" t="s">
        <v>65</v>
      </c>
      <c r="AX7" s="167" t="s">
        <v>64</v>
      </c>
      <c r="AY7" s="168" t="s">
        <v>65</v>
      </c>
      <c r="AZ7" s="35" t="s">
        <v>64</v>
      </c>
      <c r="BA7" s="76" t="s">
        <v>65</v>
      </c>
    </row>
    <row r="8" spans="1:53" s="52" customFormat="1">
      <c r="A8" s="25" t="s">
        <v>84</v>
      </c>
      <c r="B8" s="25">
        <v>6421</v>
      </c>
      <c r="C8" s="26" t="s">
        <v>20</v>
      </c>
      <c r="D8" s="27"/>
      <c r="E8" s="108">
        <v>1412000023</v>
      </c>
      <c r="F8" s="157"/>
      <c r="G8" s="158"/>
      <c r="H8" s="39"/>
      <c r="I8" s="78"/>
      <c r="J8" s="157"/>
      <c r="K8" s="158"/>
      <c r="L8" s="39"/>
      <c r="M8" s="78"/>
      <c r="N8" s="157"/>
      <c r="O8" s="158"/>
      <c r="P8" s="39"/>
      <c r="Q8" s="78"/>
      <c r="R8" s="157"/>
      <c r="S8" s="158"/>
      <c r="T8" s="39"/>
      <c r="U8" s="78"/>
      <c r="V8" s="157"/>
      <c r="W8" s="158"/>
      <c r="X8" s="39"/>
      <c r="Y8" s="78"/>
      <c r="Z8" s="157"/>
      <c r="AA8" s="158"/>
      <c r="AB8" s="39"/>
      <c r="AC8" s="78"/>
      <c r="AD8" s="157"/>
      <c r="AE8" s="158"/>
      <c r="AF8" s="39"/>
      <c r="AG8" s="78"/>
      <c r="AH8" s="157"/>
      <c r="AI8" s="158"/>
      <c r="AJ8" s="39"/>
      <c r="AK8" s="78"/>
      <c r="AL8" s="157"/>
      <c r="AM8" s="158"/>
      <c r="AN8" s="39"/>
      <c r="AO8" s="78"/>
      <c r="AP8" s="157"/>
      <c r="AQ8" s="158"/>
      <c r="AR8" s="39"/>
      <c r="AS8" s="78"/>
      <c r="AT8" s="157"/>
      <c r="AU8" s="158"/>
      <c r="AV8" s="39"/>
      <c r="AW8" s="78"/>
      <c r="AX8" s="157"/>
      <c r="AY8" s="158"/>
      <c r="AZ8" s="39"/>
      <c r="BA8" s="78"/>
    </row>
    <row r="9" spans="1:53">
      <c r="A9" s="62"/>
      <c r="B9" s="29"/>
      <c r="C9" s="30"/>
      <c r="D9" s="31" t="s">
        <v>17</v>
      </c>
      <c r="E9" s="105">
        <v>1412000024</v>
      </c>
      <c r="F9" s="155" t="e">
        <f>VLOOKUP($D9&amp;F$5&amp;F$4,集計!$D:$R,F$3,0)</f>
        <v>#N/A</v>
      </c>
      <c r="G9" s="156" t="e">
        <f>VLOOKUP($D9&amp;G$5&amp;G$4,集計!$D:$R,G$3,0)</f>
        <v>#N/A</v>
      </c>
      <c r="H9" s="36" t="e">
        <f>VLOOKUP($D9&amp;H$5&amp;H$4,集計!$D:$R,H$3,0)</f>
        <v>#N/A</v>
      </c>
      <c r="I9" s="80" t="e">
        <f>VLOOKUP($D9&amp;I$5&amp;I$4,集計!$D:$R,I$3,0)</f>
        <v>#N/A</v>
      </c>
      <c r="J9" s="155" t="e">
        <f>VLOOKUP($D9&amp;J$5&amp;J$4,集計!$D:$R,J$3,0)</f>
        <v>#N/A</v>
      </c>
      <c r="K9" s="156" t="e">
        <f>VLOOKUP($D9&amp;K$5&amp;K$4,集計!$D:$R,K$3,0)</f>
        <v>#N/A</v>
      </c>
      <c r="L9" s="36" t="e">
        <f>VLOOKUP($D9&amp;L$5&amp;L$4,集計!$D:$R,L$3,0)</f>
        <v>#N/A</v>
      </c>
      <c r="M9" s="80" t="e">
        <f>VLOOKUP($D9&amp;M$5&amp;M$4,集計!$D:$R,M$3,0)</f>
        <v>#N/A</v>
      </c>
      <c r="N9" s="155" t="e">
        <f>VLOOKUP($D9&amp;N$5&amp;N$4,集計!$D:$R,N$3,0)</f>
        <v>#N/A</v>
      </c>
      <c r="O9" s="156" t="e">
        <f>VLOOKUP($D9&amp;O$5&amp;O$4,集計!$D:$R,O$3,0)</f>
        <v>#N/A</v>
      </c>
      <c r="P9" s="36" t="e">
        <f>VLOOKUP($D9&amp;P$5&amp;P$4,集計!$D:$R,P$3,0)</f>
        <v>#N/A</v>
      </c>
      <c r="Q9" s="80" t="e">
        <f>VLOOKUP($D9&amp;Q$5&amp;Q$4,集計!$D:$R,Q$3,0)</f>
        <v>#N/A</v>
      </c>
      <c r="R9" s="155" t="e">
        <f>VLOOKUP($D9&amp;R$5&amp;R$4,集計!$D:$R,R$3,0)</f>
        <v>#N/A</v>
      </c>
      <c r="S9" s="156" t="e">
        <f>VLOOKUP($D9&amp;S$5&amp;S$4,集計!$D:$R,S$3,0)</f>
        <v>#N/A</v>
      </c>
      <c r="T9" s="36" t="e">
        <f>VLOOKUP($D9&amp;T$5&amp;T$4,集計!$D:$R,T$3,0)</f>
        <v>#N/A</v>
      </c>
      <c r="U9" s="80" t="e">
        <f>VLOOKUP($D9&amp;U$5&amp;U$4,集計!$D:$R,U$3,0)</f>
        <v>#N/A</v>
      </c>
      <c r="V9" s="155" t="e">
        <f>VLOOKUP($D9&amp;V$5&amp;V$4,集計!$D:$R,V$3,0)</f>
        <v>#N/A</v>
      </c>
      <c r="W9" s="156" t="e">
        <f>VLOOKUP($D9&amp;W$5&amp;W$4,集計!$D:$R,W$3,0)</f>
        <v>#N/A</v>
      </c>
      <c r="X9" s="36" t="e">
        <f>VLOOKUP($D9&amp;X$5&amp;X$4,集計!$D:$R,X$3,0)</f>
        <v>#N/A</v>
      </c>
      <c r="Y9" s="80" t="e">
        <f>VLOOKUP($D9&amp;Y$5&amp;Y$4,集計!$D:$R,Y$3,0)</f>
        <v>#N/A</v>
      </c>
      <c r="Z9" s="155" t="e">
        <f>VLOOKUP($D9&amp;Z$5&amp;Z$4,集計!$D:$R,Z$3,0)</f>
        <v>#N/A</v>
      </c>
      <c r="AA9" s="156" t="e">
        <f>VLOOKUP($D9&amp;AA$5&amp;AA$4,集計!$D:$R,AA$3,0)</f>
        <v>#N/A</v>
      </c>
      <c r="AB9" s="36" t="e">
        <f>VLOOKUP($D9&amp;AB$5&amp;AB$4,集計!$D:$R,AB$3,0)</f>
        <v>#N/A</v>
      </c>
      <c r="AC9" s="80" t="e">
        <f>VLOOKUP($D9&amp;AC$5&amp;AC$4,集計!$D:$R,AC$3,0)</f>
        <v>#N/A</v>
      </c>
      <c r="AD9" s="155" t="e">
        <f>VLOOKUP($D9&amp;AD$5&amp;AD$4,集計!$D:$R,AD$3,0)</f>
        <v>#N/A</v>
      </c>
      <c r="AE9" s="156" t="e">
        <f>VLOOKUP($D9&amp;AE$5&amp;AE$4,集計!$D:$R,AE$3,0)</f>
        <v>#N/A</v>
      </c>
      <c r="AF9" s="36" t="e">
        <f>VLOOKUP($D9&amp;AF$5&amp;AF$4,集計!$D:$R,AF$3,0)</f>
        <v>#N/A</v>
      </c>
      <c r="AG9" s="80" t="e">
        <f>VLOOKUP($D9&amp;AG$5&amp;AG$4,集計!$D:$R,AG$3,0)</f>
        <v>#N/A</v>
      </c>
      <c r="AH9" s="155" t="e">
        <f>VLOOKUP($D9&amp;AH$5&amp;AH$4,集計!$D:$R,AH$3,0)</f>
        <v>#N/A</v>
      </c>
      <c r="AI9" s="156" t="e">
        <f>VLOOKUP($D9&amp;AI$5&amp;AI$4,集計!$D:$R,AI$3,0)</f>
        <v>#N/A</v>
      </c>
      <c r="AJ9" s="36" t="e">
        <f>VLOOKUP($D9&amp;AJ$5&amp;AJ$4,集計!$D:$R,AJ$3,0)</f>
        <v>#N/A</v>
      </c>
      <c r="AK9" s="80" t="e">
        <f>VLOOKUP($D9&amp;AK$5&amp;AK$4,集計!$D:$R,AK$3,0)</f>
        <v>#N/A</v>
      </c>
      <c r="AL9" s="155" t="e">
        <f>VLOOKUP($D9&amp;AL$5&amp;AL$4,集計!$D:$R,AL$3,0)</f>
        <v>#N/A</v>
      </c>
      <c r="AM9" s="156" t="e">
        <f>VLOOKUP($D9&amp;AM$5&amp;AM$4,集計!$D:$R,AM$3,0)</f>
        <v>#N/A</v>
      </c>
      <c r="AN9" s="36" t="e">
        <f>VLOOKUP($D9&amp;AN$5&amp;AN$4,集計!$D:$R,AN$3,0)</f>
        <v>#N/A</v>
      </c>
      <c r="AO9" s="80" t="e">
        <f>VLOOKUP($D9&amp;AO$5&amp;AO$4,集計!$D:$R,AO$3,0)</f>
        <v>#N/A</v>
      </c>
      <c r="AP9" s="155" t="e">
        <f>VLOOKUP($D9&amp;AP$5&amp;AP$4,集計!$D:$R,AP$3,0)</f>
        <v>#N/A</v>
      </c>
      <c r="AQ9" s="156" t="e">
        <f>VLOOKUP($D9&amp;AQ$5&amp;AQ$4,集計!$D:$R,AQ$3,0)</f>
        <v>#N/A</v>
      </c>
      <c r="AR9" s="36" t="e">
        <f>VLOOKUP($D9&amp;AR$5&amp;AR$4,集計!$D:$R,AR$3,0)</f>
        <v>#N/A</v>
      </c>
      <c r="AS9" s="80" t="e">
        <f>VLOOKUP($D9&amp;AS$5&amp;AS$4,集計!$D:$R,AS$3,0)</f>
        <v>#N/A</v>
      </c>
      <c r="AT9" s="155" t="e">
        <f>VLOOKUP($D9&amp;AT$5&amp;AT$4,集計!$D:$R,AT$3,0)</f>
        <v>#N/A</v>
      </c>
      <c r="AU9" s="156" t="e">
        <f>VLOOKUP($D9&amp;AU$5&amp;AU$4,集計!$D:$R,AU$3,0)</f>
        <v>#N/A</v>
      </c>
      <c r="AV9" s="36" t="e">
        <f>VLOOKUP($D9&amp;AV$5&amp;AV$4,集計!$D:$R,AV$3,0)</f>
        <v>#N/A</v>
      </c>
      <c r="AW9" s="80" t="e">
        <f>VLOOKUP($D9&amp;AW$5&amp;AW$4,集計!$D:$R,AW$3,0)</f>
        <v>#N/A</v>
      </c>
      <c r="AX9" s="155" t="e">
        <f>VLOOKUP($D9&amp;AX$5&amp;AX$4,集計!$D:$R,AX$3,0)</f>
        <v>#N/A</v>
      </c>
      <c r="AY9" s="156" t="e">
        <f>VLOOKUP($D9&amp;AY$5&amp;AY$4,集計!$D:$R,AY$3,0)</f>
        <v>#N/A</v>
      </c>
      <c r="AZ9" s="36" t="e">
        <f>VLOOKUP($D9&amp;AZ$5&amp;AZ$4,集計!$D:$R,AZ$3,0)</f>
        <v>#N/A</v>
      </c>
      <c r="BA9" s="80" t="e">
        <f>VLOOKUP($D9&amp;BA$5&amp;BA$4,集計!$D:$R,BA$3,0)</f>
        <v>#N/A</v>
      </c>
    </row>
    <row r="10" spans="1:53">
      <c r="A10" s="62"/>
      <c r="B10" s="29"/>
      <c r="C10" s="30"/>
      <c r="D10" s="31" t="s">
        <v>18</v>
      </c>
      <c r="E10" s="105">
        <v>1412000025</v>
      </c>
      <c r="F10" s="155" t="e">
        <f>VLOOKUP($D10&amp;F$5&amp;F$4,集計!$D:$R,F$3,0)</f>
        <v>#N/A</v>
      </c>
      <c r="G10" s="156" t="e">
        <f>VLOOKUP($D10&amp;G$5&amp;G$4,集計!$D:$R,G$3,0)</f>
        <v>#N/A</v>
      </c>
      <c r="H10" s="36" t="e">
        <f>VLOOKUP($D10&amp;H$5&amp;H$4,集計!$D:$R,H$3,0)</f>
        <v>#N/A</v>
      </c>
      <c r="I10" s="80" t="e">
        <f>VLOOKUP($D10&amp;I$5&amp;I$4,集計!$D:$R,I$3,0)</f>
        <v>#N/A</v>
      </c>
      <c r="J10" s="155" t="e">
        <f>VLOOKUP($D10&amp;J$5&amp;J$4,集計!$D:$R,J$3,0)</f>
        <v>#N/A</v>
      </c>
      <c r="K10" s="156" t="e">
        <f>VLOOKUP($D10&amp;K$5&amp;K$4,集計!$D:$R,K$3,0)</f>
        <v>#N/A</v>
      </c>
      <c r="L10" s="36" t="e">
        <f>VLOOKUP($D10&amp;L$5&amp;L$4,集計!$D:$R,L$3,0)</f>
        <v>#N/A</v>
      </c>
      <c r="M10" s="80" t="e">
        <f>VLOOKUP($D10&amp;M$5&amp;M$4,集計!$D:$R,M$3,0)</f>
        <v>#N/A</v>
      </c>
      <c r="N10" s="155" t="e">
        <f>VLOOKUP($D10&amp;N$5&amp;N$4,集計!$D:$R,N$3,0)</f>
        <v>#N/A</v>
      </c>
      <c r="O10" s="156" t="e">
        <f>VLOOKUP($D10&amp;O$5&amp;O$4,集計!$D:$R,O$3,0)</f>
        <v>#N/A</v>
      </c>
      <c r="P10" s="36" t="e">
        <f>VLOOKUP($D10&amp;P$5&amp;P$4,集計!$D:$R,P$3,0)</f>
        <v>#N/A</v>
      </c>
      <c r="Q10" s="80" t="e">
        <f>VLOOKUP($D10&amp;Q$5&amp;Q$4,集計!$D:$R,Q$3,0)</f>
        <v>#N/A</v>
      </c>
      <c r="R10" s="155" t="e">
        <f>VLOOKUP($D10&amp;R$5&amp;R$4,集計!$D:$R,R$3,0)</f>
        <v>#N/A</v>
      </c>
      <c r="S10" s="156" t="e">
        <f>VLOOKUP($D10&amp;S$5&amp;S$4,集計!$D:$R,S$3,0)</f>
        <v>#N/A</v>
      </c>
      <c r="T10" s="36" t="e">
        <f>VLOOKUP($D10&amp;T$5&amp;T$4,集計!$D:$R,T$3,0)</f>
        <v>#N/A</v>
      </c>
      <c r="U10" s="80" t="e">
        <f>VLOOKUP($D10&amp;U$5&amp;U$4,集計!$D:$R,U$3,0)</f>
        <v>#N/A</v>
      </c>
      <c r="V10" s="155" t="e">
        <f>VLOOKUP($D10&amp;V$5&amp;V$4,集計!$D:$R,V$3,0)</f>
        <v>#N/A</v>
      </c>
      <c r="W10" s="156" t="e">
        <f>VLOOKUP($D10&amp;W$5&amp;W$4,集計!$D:$R,W$3,0)</f>
        <v>#N/A</v>
      </c>
      <c r="X10" s="36" t="e">
        <f>VLOOKUP($D10&amp;X$5&amp;X$4,集計!$D:$R,X$3,0)</f>
        <v>#N/A</v>
      </c>
      <c r="Y10" s="80" t="e">
        <f>VLOOKUP($D10&amp;Y$5&amp;Y$4,集計!$D:$R,Y$3,0)</f>
        <v>#N/A</v>
      </c>
      <c r="Z10" s="155" t="e">
        <f>VLOOKUP($D10&amp;Z$5&amp;Z$4,集計!$D:$R,Z$3,0)</f>
        <v>#N/A</v>
      </c>
      <c r="AA10" s="156" t="e">
        <f>VLOOKUP($D10&amp;AA$5&amp;AA$4,集計!$D:$R,AA$3,0)</f>
        <v>#N/A</v>
      </c>
      <c r="AB10" s="36" t="e">
        <f>VLOOKUP($D10&amp;AB$5&amp;AB$4,集計!$D:$R,AB$3,0)</f>
        <v>#N/A</v>
      </c>
      <c r="AC10" s="80" t="e">
        <f>VLOOKUP($D10&amp;AC$5&amp;AC$4,集計!$D:$R,AC$3,0)</f>
        <v>#N/A</v>
      </c>
      <c r="AD10" s="155" t="e">
        <f>VLOOKUP($D10&amp;AD$5&amp;AD$4,集計!$D:$R,AD$3,0)</f>
        <v>#N/A</v>
      </c>
      <c r="AE10" s="156" t="e">
        <f>VLOOKUP($D10&amp;AE$5&amp;AE$4,集計!$D:$R,AE$3,0)</f>
        <v>#N/A</v>
      </c>
      <c r="AF10" s="36" t="e">
        <f>VLOOKUP($D10&amp;AF$5&amp;AF$4,集計!$D:$R,AF$3,0)</f>
        <v>#N/A</v>
      </c>
      <c r="AG10" s="80" t="e">
        <f>VLOOKUP($D10&amp;AG$5&amp;AG$4,集計!$D:$R,AG$3,0)</f>
        <v>#N/A</v>
      </c>
      <c r="AH10" s="155" t="e">
        <f>VLOOKUP($D10&amp;AH$5&amp;AH$4,集計!$D:$R,AH$3,0)</f>
        <v>#N/A</v>
      </c>
      <c r="AI10" s="156" t="e">
        <f>VLOOKUP($D10&amp;AI$5&amp;AI$4,集計!$D:$R,AI$3,0)</f>
        <v>#N/A</v>
      </c>
      <c r="AJ10" s="36" t="e">
        <f>VLOOKUP($D10&amp;AJ$5&amp;AJ$4,集計!$D:$R,AJ$3,0)</f>
        <v>#N/A</v>
      </c>
      <c r="AK10" s="80" t="e">
        <f>VLOOKUP($D10&amp;AK$5&amp;AK$4,集計!$D:$R,AK$3,0)</f>
        <v>#N/A</v>
      </c>
      <c r="AL10" s="155" t="e">
        <f>VLOOKUP($D10&amp;AL$5&amp;AL$4,集計!$D:$R,AL$3,0)</f>
        <v>#N/A</v>
      </c>
      <c r="AM10" s="156" t="e">
        <f>VLOOKUP($D10&amp;AM$5&amp;AM$4,集計!$D:$R,AM$3,0)</f>
        <v>#N/A</v>
      </c>
      <c r="AN10" s="36" t="e">
        <f>VLOOKUP($D10&amp;AN$5&amp;AN$4,集計!$D:$R,AN$3,0)</f>
        <v>#N/A</v>
      </c>
      <c r="AO10" s="80" t="e">
        <f>VLOOKUP($D10&amp;AO$5&amp;AO$4,集計!$D:$R,AO$3,0)</f>
        <v>#N/A</v>
      </c>
      <c r="AP10" s="155" t="e">
        <f>VLOOKUP($D10&amp;AP$5&amp;AP$4,集計!$D:$R,AP$3,0)</f>
        <v>#N/A</v>
      </c>
      <c r="AQ10" s="156" t="e">
        <f>VLOOKUP($D10&amp;AQ$5&amp;AQ$4,集計!$D:$R,AQ$3,0)</f>
        <v>#N/A</v>
      </c>
      <c r="AR10" s="36" t="e">
        <f>VLOOKUP($D10&amp;AR$5&amp;AR$4,集計!$D:$R,AR$3,0)</f>
        <v>#N/A</v>
      </c>
      <c r="AS10" s="80" t="e">
        <f>VLOOKUP($D10&amp;AS$5&amp;AS$4,集計!$D:$R,AS$3,0)</f>
        <v>#N/A</v>
      </c>
      <c r="AT10" s="155" t="e">
        <f>VLOOKUP($D10&amp;AT$5&amp;AT$4,集計!$D:$R,AT$3,0)</f>
        <v>#N/A</v>
      </c>
      <c r="AU10" s="156" t="e">
        <f>VLOOKUP($D10&amp;AU$5&amp;AU$4,集計!$D:$R,AU$3,0)</f>
        <v>#N/A</v>
      </c>
      <c r="AV10" s="36" t="e">
        <f>VLOOKUP($D10&amp;AV$5&amp;AV$4,集計!$D:$R,AV$3,0)</f>
        <v>#N/A</v>
      </c>
      <c r="AW10" s="80" t="e">
        <f>VLOOKUP($D10&amp;AW$5&amp;AW$4,集計!$D:$R,AW$3,0)</f>
        <v>#N/A</v>
      </c>
      <c r="AX10" s="155" t="e">
        <f>VLOOKUP($D10&amp;AX$5&amp;AX$4,集計!$D:$R,AX$3,0)</f>
        <v>#N/A</v>
      </c>
      <c r="AY10" s="156" t="e">
        <f>VLOOKUP($D10&amp;AY$5&amp;AY$4,集計!$D:$R,AY$3,0)</f>
        <v>#N/A</v>
      </c>
      <c r="AZ10" s="36" t="e">
        <f>VLOOKUP($D10&amp;AZ$5&amp;AZ$4,集計!$D:$R,AZ$3,0)</f>
        <v>#N/A</v>
      </c>
      <c r="BA10" s="80" t="e">
        <f>VLOOKUP($D10&amp;BA$5&amp;BA$4,集計!$D:$R,BA$3,0)</f>
        <v>#N/A</v>
      </c>
    </row>
    <row r="11" spans="1:53">
      <c r="A11" s="62"/>
      <c r="B11" s="29"/>
      <c r="C11" s="30"/>
      <c r="D11" s="31"/>
      <c r="E11" s="105">
        <v>1412000061</v>
      </c>
      <c r="F11" s="155"/>
      <c r="G11" s="156"/>
      <c r="H11" s="36"/>
      <c r="I11" s="80"/>
      <c r="J11" s="155"/>
      <c r="K11" s="156"/>
      <c r="L11" s="36"/>
      <c r="M11" s="80"/>
      <c r="N11" s="155"/>
      <c r="O11" s="156"/>
      <c r="P11" s="36"/>
      <c r="Q11" s="80"/>
      <c r="R11" s="155"/>
      <c r="S11" s="156"/>
      <c r="T11" s="36"/>
      <c r="U11" s="80"/>
      <c r="V11" s="155"/>
      <c r="W11" s="156"/>
      <c r="X11" s="36"/>
      <c r="Y11" s="80"/>
      <c r="Z11" s="155"/>
      <c r="AA11" s="156"/>
      <c r="AB11" s="36"/>
      <c r="AC11" s="80"/>
      <c r="AD11" s="155"/>
      <c r="AE11" s="156"/>
      <c r="AF11" s="36"/>
      <c r="AG11" s="80"/>
      <c r="AH11" s="155"/>
      <c r="AI11" s="156"/>
      <c r="AJ11" s="36"/>
      <c r="AK11" s="80"/>
      <c r="AL11" s="155"/>
      <c r="AM11" s="156"/>
      <c r="AN11" s="36"/>
      <c r="AO11" s="80"/>
      <c r="AP11" s="155"/>
      <c r="AQ11" s="156"/>
      <c r="AR11" s="36"/>
      <c r="AS11" s="80"/>
      <c r="AT11" s="155"/>
      <c r="AU11" s="156"/>
      <c r="AV11" s="36"/>
      <c r="AW11" s="80"/>
      <c r="AX11" s="155"/>
      <c r="AY11" s="156"/>
      <c r="AZ11" s="36"/>
      <c r="BA11" s="80"/>
    </row>
    <row r="12" spans="1:53">
      <c r="A12" s="62"/>
      <c r="B12" s="29"/>
      <c r="C12" s="30"/>
      <c r="D12" s="31"/>
      <c r="E12" s="105">
        <v>1412000026</v>
      </c>
      <c r="F12" s="155"/>
      <c r="G12" s="156"/>
      <c r="H12" s="36"/>
      <c r="I12" s="80"/>
      <c r="J12" s="155"/>
      <c r="K12" s="156"/>
      <c r="L12" s="36"/>
      <c r="M12" s="80"/>
      <c r="N12" s="155"/>
      <c r="O12" s="156"/>
      <c r="P12" s="36"/>
      <c r="Q12" s="80"/>
      <c r="R12" s="155"/>
      <c r="S12" s="156"/>
      <c r="T12" s="36"/>
      <c r="U12" s="80"/>
      <c r="V12" s="155"/>
      <c r="W12" s="156"/>
      <c r="X12" s="36"/>
      <c r="Y12" s="80"/>
      <c r="Z12" s="155"/>
      <c r="AA12" s="156"/>
      <c r="AB12" s="36"/>
      <c r="AC12" s="80"/>
      <c r="AD12" s="155"/>
      <c r="AE12" s="156"/>
      <c r="AF12" s="36"/>
      <c r="AG12" s="80"/>
      <c r="AH12" s="155"/>
      <c r="AI12" s="156"/>
      <c r="AJ12" s="36"/>
      <c r="AK12" s="80"/>
      <c r="AL12" s="155"/>
      <c r="AM12" s="156"/>
      <c r="AN12" s="36"/>
      <c r="AO12" s="80"/>
      <c r="AP12" s="155"/>
      <c r="AQ12" s="156"/>
      <c r="AR12" s="36"/>
      <c r="AS12" s="80"/>
      <c r="AT12" s="155"/>
      <c r="AU12" s="156"/>
      <c r="AV12" s="36"/>
      <c r="AW12" s="80"/>
      <c r="AX12" s="155"/>
      <c r="AY12" s="156"/>
      <c r="AZ12" s="36"/>
      <c r="BA12" s="80"/>
    </row>
    <row r="13" spans="1:53">
      <c r="A13" s="62"/>
      <c r="B13" s="29"/>
      <c r="C13" s="30"/>
      <c r="D13" s="31" t="s">
        <v>42</v>
      </c>
      <c r="E13" s="105">
        <v>1412000093</v>
      </c>
      <c r="F13" s="155" t="e">
        <f>VLOOKUP($D13&amp;F$5&amp;F$4,集計!$D:$R,F$3,0)</f>
        <v>#N/A</v>
      </c>
      <c r="G13" s="156" t="e">
        <f>VLOOKUP($D13&amp;G$5&amp;G$4,集計!$D:$R,G$3,0)</f>
        <v>#N/A</v>
      </c>
      <c r="H13" s="36" t="e">
        <f>VLOOKUP($D13&amp;H$5&amp;H$4,集計!$D:$R,H$3,0)</f>
        <v>#N/A</v>
      </c>
      <c r="I13" s="80" t="e">
        <f>VLOOKUP($D13&amp;I$5&amp;I$4,集計!$D:$R,I$3,0)</f>
        <v>#N/A</v>
      </c>
      <c r="J13" s="155" t="e">
        <f>VLOOKUP($D13&amp;J$5&amp;J$4,集計!$D:$R,J$3,0)</f>
        <v>#N/A</v>
      </c>
      <c r="K13" s="156" t="e">
        <f>VLOOKUP($D13&amp;K$5&amp;K$4,集計!$D:$R,K$3,0)</f>
        <v>#N/A</v>
      </c>
      <c r="L13" s="36" t="e">
        <f>VLOOKUP($D13&amp;L$5&amp;L$4,集計!$D:$R,L$3,0)</f>
        <v>#N/A</v>
      </c>
      <c r="M13" s="80" t="e">
        <f>VLOOKUP($D13&amp;M$5&amp;M$4,集計!$D:$R,M$3,0)</f>
        <v>#N/A</v>
      </c>
      <c r="N13" s="155" t="e">
        <f>VLOOKUP($D13&amp;N$5&amp;N$4,集計!$D:$R,N$3,0)</f>
        <v>#N/A</v>
      </c>
      <c r="O13" s="156" t="e">
        <f>VLOOKUP($D13&amp;O$5&amp;O$4,集計!$D:$R,O$3,0)</f>
        <v>#N/A</v>
      </c>
      <c r="P13" s="36" t="e">
        <f>VLOOKUP($D13&amp;P$5&amp;P$4,集計!$D:$R,P$3,0)</f>
        <v>#N/A</v>
      </c>
      <c r="Q13" s="80" t="e">
        <f>VLOOKUP($D13&amp;Q$5&amp;Q$4,集計!$D:$R,Q$3,0)</f>
        <v>#N/A</v>
      </c>
      <c r="R13" s="155" t="e">
        <f>VLOOKUP($D13&amp;R$5&amp;R$4,集計!$D:$R,R$3,0)</f>
        <v>#N/A</v>
      </c>
      <c r="S13" s="156" t="e">
        <f>VLOOKUP($D13&amp;S$5&amp;S$4,集計!$D:$R,S$3,0)</f>
        <v>#N/A</v>
      </c>
      <c r="T13" s="36" t="e">
        <f>VLOOKUP($D13&amp;T$5&amp;T$4,集計!$D:$R,T$3,0)</f>
        <v>#N/A</v>
      </c>
      <c r="U13" s="80" t="e">
        <f>VLOOKUP($D13&amp;U$5&amp;U$4,集計!$D:$R,U$3,0)</f>
        <v>#N/A</v>
      </c>
      <c r="V13" s="155" t="e">
        <f>VLOOKUP($D13&amp;V$5&amp;V$4,集計!$D:$R,V$3,0)</f>
        <v>#N/A</v>
      </c>
      <c r="W13" s="156" t="e">
        <f>VLOOKUP($D13&amp;W$5&amp;W$4,集計!$D:$R,W$3,0)</f>
        <v>#N/A</v>
      </c>
      <c r="X13" s="36" t="e">
        <f>VLOOKUP($D13&amp;X$5&amp;X$4,集計!$D:$R,X$3,0)</f>
        <v>#N/A</v>
      </c>
      <c r="Y13" s="80" t="e">
        <f>VLOOKUP($D13&amp;Y$5&amp;Y$4,集計!$D:$R,Y$3,0)</f>
        <v>#N/A</v>
      </c>
      <c r="Z13" s="155" t="e">
        <f>VLOOKUP($D13&amp;Z$5&amp;Z$4,集計!$D:$R,Z$3,0)</f>
        <v>#N/A</v>
      </c>
      <c r="AA13" s="156" t="e">
        <f>VLOOKUP($D13&amp;AA$5&amp;AA$4,集計!$D:$R,AA$3,0)</f>
        <v>#N/A</v>
      </c>
      <c r="AB13" s="36" t="e">
        <f>VLOOKUP($D13&amp;AB$5&amp;AB$4,集計!$D:$R,AB$3,0)</f>
        <v>#N/A</v>
      </c>
      <c r="AC13" s="80" t="e">
        <f>VLOOKUP($D13&amp;AC$5&amp;AC$4,集計!$D:$R,AC$3,0)</f>
        <v>#N/A</v>
      </c>
      <c r="AD13" s="155" t="e">
        <f>VLOOKUP($D13&amp;AD$5&amp;AD$4,集計!$D:$R,AD$3,0)</f>
        <v>#N/A</v>
      </c>
      <c r="AE13" s="156" t="e">
        <f>VLOOKUP($D13&amp;AE$5&amp;AE$4,集計!$D:$R,AE$3,0)</f>
        <v>#N/A</v>
      </c>
      <c r="AF13" s="36" t="e">
        <f>VLOOKUP($D13&amp;AF$5&amp;AF$4,集計!$D:$R,AF$3,0)</f>
        <v>#N/A</v>
      </c>
      <c r="AG13" s="80" t="e">
        <f>VLOOKUP($D13&amp;AG$5&amp;AG$4,集計!$D:$R,AG$3,0)</f>
        <v>#N/A</v>
      </c>
      <c r="AH13" s="155" t="e">
        <f>VLOOKUP($D13&amp;AH$5&amp;AH$4,集計!$D:$R,AH$3,0)</f>
        <v>#N/A</v>
      </c>
      <c r="AI13" s="156" t="e">
        <f>VLOOKUP($D13&amp;AI$5&amp;AI$4,集計!$D:$R,AI$3,0)</f>
        <v>#N/A</v>
      </c>
      <c r="AJ13" s="36" t="e">
        <f>VLOOKUP($D13&amp;AJ$5&amp;AJ$4,集計!$D:$R,AJ$3,0)</f>
        <v>#N/A</v>
      </c>
      <c r="AK13" s="80" t="e">
        <f>VLOOKUP($D13&amp;AK$5&amp;AK$4,集計!$D:$R,AK$3,0)</f>
        <v>#N/A</v>
      </c>
      <c r="AL13" s="155" t="e">
        <f>VLOOKUP($D13&amp;AL$5&amp;AL$4,集計!$D:$R,AL$3,0)</f>
        <v>#N/A</v>
      </c>
      <c r="AM13" s="156" t="e">
        <f>VLOOKUP($D13&amp;AM$5&amp;AM$4,集計!$D:$R,AM$3,0)</f>
        <v>#N/A</v>
      </c>
      <c r="AN13" s="36" t="e">
        <f>VLOOKUP($D13&amp;AN$5&amp;AN$4,集計!$D:$R,AN$3,0)</f>
        <v>#N/A</v>
      </c>
      <c r="AO13" s="80" t="e">
        <f>VLOOKUP($D13&amp;AO$5&amp;AO$4,集計!$D:$R,AO$3,0)</f>
        <v>#N/A</v>
      </c>
      <c r="AP13" s="155" t="e">
        <f>VLOOKUP($D13&amp;AP$5&amp;AP$4,集計!$D:$R,AP$3,0)</f>
        <v>#N/A</v>
      </c>
      <c r="AQ13" s="156" t="e">
        <f>VLOOKUP($D13&amp;AQ$5&amp;AQ$4,集計!$D:$R,AQ$3,0)</f>
        <v>#N/A</v>
      </c>
      <c r="AR13" s="36" t="e">
        <f>VLOOKUP($D13&amp;AR$5&amp;AR$4,集計!$D:$R,AR$3,0)</f>
        <v>#N/A</v>
      </c>
      <c r="AS13" s="80" t="e">
        <f>VLOOKUP($D13&amp;AS$5&amp;AS$4,集計!$D:$R,AS$3,0)</f>
        <v>#N/A</v>
      </c>
      <c r="AT13" s="155" t="e">
        <f>VLOOKUP($D13&amp;AT$5&amp;AT$4,集計!$D:$R,AT$3,0)</f>
        <v>#N/A</v>
      </c>
      <c r="AU13" s="156" t="e">
        <f>VLOOKUP($D13&amp;AU$5&amp;AU$4,集計!$D:$R,AU$3,0)</f>
        <v>#N/A</v>
      </c>
      <c r="AV13" s="36" t="e">
        <f>VLOOKUP($D13&amp;AV$5&amp;AV$4,集計!$D:$R,AV$3,0)</f>
        <v>#N/A</v>
      </c>
      <c r="AW13" s="80" t="e">
        <f>VLOOKUP($D13&amp;AW$5&amp;AW$4,集計!$D:$R,AW$3,0)</f>
        <v>#N/A</v>
      </c>
      <c r="AX13" s="155" t="e">
        <f>VLOOKUP($D13&amp;AX$5&amp;AX$4,集計!$D:$R,AX$3,0)</f>
        <v>#N/A</v>
      </c>
      <c r="AY13" s="156" t="e">
        <f>VLOOKUP($D13&amp;AY$5&amp;AY$4,集計!$D:$R,AY$3,0)</f>
        <v>#N/A</v>
      </c>
      <c r="AZ13" s="36" t="e">
        <f>VLOOKUP($D13&amp;AZ$5&amp;AZ$4,集計!$D:$R,AZ$3,0)</f>
        <v>#N/A</v>
      </c>
      <c r="BA13" s="80" t="e">
        <f>VLOOKUP($D13&amp;BA$5&amp;BA$4,集計!$D:$R,BA$3,0)</f>
        <v>#N/A</v>
      </c>
    </row>
    <row r="14" spans="1:53">
      <c r="A14" s="63"/>
      <c r="B14" s="45"/>
      <c r="C14" s="46"/>
      <c r="D14" s="47" t="s">
        <v>19</v>
      </c>
      <c r="E14" s="104">
        <v>1412000091</v>
      </c>
      <c r="F14" s="159" t="e">
        <f>VLOOKUP($D14&amp;F$5&amp;F$4,集計!$D:$R,F$3,0)</f>
        <v>#N/A</v>
      </c>
      <c r="G14" s="160" t="e">
        <f>VLOOKUP($D14&amp;G$5&amp;G$4,集計!$D:$R,G$3,0)</f>
        <v>#N/A</v>
      </c>
      <c r="H14" s="50" t="e">
        <f>VLOOKUP($D14&amp;H$5&amp;H$4,集計!$D:$R,H$3,0)</f>
        <v>#N/A</v>
      </c>
      <c r="I14" s="82" t="e">
        <f>VLOOKUP($D14&amp;I$5&amp;I$4,集計!$D:$R,I$3,0)</f>
        <v>#N/A</v>
      </c>
      <c r="J14" s="159" t="e">
        <f>VLOOKUP($D14&amp;J$5&amp;J$4,集計!$D:$R,J$3,0)</f>
        <v>#N/A</v>
      </c>
      <c r="K14" s="160" t="e">
        <f>VLOOKUP($D14&amp;K$5&amp;K$4,集計!$D:$R,K$3,0)</f>
        <v>#N/A</v>
      </c>
      <c r="L14" s="50" t="e">
        <f>VLOOKUP($D14&amp;L$5&amp;L$4,集計!$D:$R,L$3,0)</f>
        <v>#N/A</v>
      </c>
      <c r="M14" s="82" t="e">
        <f>VLOOKUP($D14&amp;M$5&amp;M$4,集計!$D:$R,M$3,0)</f>
        <v>#N/A</v>
      </c>
      <c r="N14" s="159" t="e">
        <f>VLOOKUP($D14&amp;N$5&amp;N$4,集計!$D:$R,N$3,0)</f>
        <v>#N/A</v>
      </c>
      <c r="O14" s="160" t="e">
        <f>VLOOKUP($D14&amp;O$5&amp;O$4,集計!$D:$R,O$3,0)</f>
        <v>#N/A</v>
      </c>
      <c r="P14" s="50" t="e">
        <f>VLOOKUP($D14&amp;P$5&amp;P$4,集計!$D:$R,P$3,0)</f>
        <v>#N/A</v>
      </c>
      <c r="Q14" s="82" t="e">
        <f>VLOOKUP($D14&amp;Q$5&amp;Q$4,集計!$D:$R,Q$3,0)</f>
        <v>#N/A</v>
      </c>
      <c r="R14" s="159" t="e">
        <f>VLOOKUP($D14&amp;R$5&amp;R$4,集計!$D:$R,R$3,0)</f>
        <v>#N/A</v>
      </c>
      <c r="S14" s="160" t="e">
        <f>VLOOKUP($D14&amp;S$5&amp;S$4,集計!$D:$R,S$3,0)</f>
        <v>#N/A</v>
      </c>
      <c r="T14" s="50" t="e">
        <f>VLOOKUP($D14&amp;T$5&amp;T$4,集計!$D:$R,T$3,0)</f>
        <v>#N/A</v>
      </c>
      <c r="U14" s="82" t="e">
        <f>VLOOKUP($D14&amp;U$5&amp;U$4,集計!$D:$R,U$3,0)</f>
        <v>#N/A</v>
      </c>
      <c r="V14" s="159" t="e">
        <f>VLOOKUP($D14&amp;V$5&amp;V$4,集計!$D:$R,V$3,0)</f>
        <v>#N/A</v>
      </c>
      <c r="W14" s="160" t="e">
        <f>VLOOKUP($D14&amp;W$5&amp;W$4,集計!$D:$R,W$3,0)</f>
        <v>#N/A</v>
      </c>
      <c r="X14" s="50" t="e">
        <f>VLOOKUP($D14&amp;X$5&amp;X$4,集計!$D:$R,X$3,0)</f>
        <v>#N/A</v>
      </c>
      <c r="Y14" s="82" t="e">
        <f>VLOOKUP($D14&amp;Y$5&amp;Y$4,集計!$D:$R,Y$3,0)</f>
        <v>#N/A</v>
      </c>
      <c r="Z14" s="159" t="e">
        <f>VLOOKUP($D14&amp;Z$5&amp;Z$4,集計!$D:$R,Z$3,0)</f>
        <v>#N/A</v>
      </c>
      <c r="AA14" s="160" t="e">
        <f>VLOOKUP($D14&amp;AA$5&amp;AA$4,集計!$D:$R,AA$3,0)</f>
        <v>#N/A</v>
      </c>
      <c r="AB14" s="50" t="e">
        <f>VLOOKUP($D14&amp;AB$5&amp;AB$4,集計!$D:$R,AB$3,0)</f>
        <v>#N/A</v>
      </c>
      <c r="AC14" s="82" t="e">
        <f>VLOOKUP($D14&amp;AC$5&amp;AC$4,集計!$D:$R,AC$3,0)</f>
        <v>#N/A</v>
      </c>
      <c r="AD14" s="159" t="e">
        <f>VLOOKUP($D14&amp;AD$5&amp;AD$4,集計!$D:$R,AD$3,0)</f>
        <v>#N/A</v>
      </c>
      <c r="AE14" s="160" t="e">
        <f>VLOOKUP($D14&amp;AE$5&amp;AE$4,集計!$D:$R,AE$3,0)</f>
        <v>#N/A</v>
      </c>
      <c r="AF14" s="50" t="e">
        <f>VLOOKUP($D14&amp;AF$5&amp;AF$4,集計!$D:$R,AF$3,0)</f>
        <v>#N/A</v>
      </c>
      <c r="AG14" s="82" t="e">
        <f>VLOOKUP($D14&amp;AG$5&amp;AG$4,集計!$D:$R,AG$3,0)</f>
        <v>#N/A</v>
      </c>
      <c r="AH14" s="159" t="e">
        <f>VLOOKUP($D14&amp;AH$5&amp;AH$4,集計!$D:$R,AH$3,0)</f>
        <v>#N/A</v>
      </c>
      <c r="AI14" s="160" t="e">
        <f>VLOOKUP($D14&amp;AI$5&amp;AI$4,集計!$D:$R,AI$3,0)</f>
        <v>#N/A</v>
      </c>
      <c r="AJ14" s="50" t="e">
        <f>VLOOKUP($D14&amp;AJ$5&amp;AJ$4,集計!$D:$R,AJ$3,0)</f>
        <v>#N/A</v>
      </c>
      <c r="AK14" s="82" t="e">
        <f>VLOOKUP($D14&amp;AK$5&amp;AK$4,集計!$D:$R,AK$3,0)</f>
        <v>#N/A</v>
      </c>
      <c r="AL14" s="159" t="e">
        <f>VLOOKUP($D14&amp;AL$5&amp;AL$4,集計!$D:$R,AL$3,0)</f>
        <v>#N/A</v>
      </c>
      <c r="AM14" s="160" t="e">
        <f>VLOOKUP($D14&amp;AM$5&amp;AM$4,集計!$D:$R,AM$3,0)</f>
        <v>#N/A</v>
      </c>
      <c r="AN14" s="50" t="e">
        <f>VLOOKUP($D14&amp;AN$5&amp;AN$4,集計!$D:$R,AN$3,0)</f>
        <v>#N/A</v>
      </c>
      <c r="AO14" s="82" t="e">
        <f>VLOOKUP($D14&amp;AO$5&amp;AO$4,集計!$D:$R,AO$3,0)</f>
        <v>#N/A</v>
      </c>
      <c r="AP14" s="159" t="e">
        <f>VLOOKUP($D14&amp;AP$5&amp;AP$4,集計!$D:$R,AP$3,0)</f>
        <v>#N/A</v>
      </c>
      <c r="AQ14" s="160" t="e">
        <f>VLOOKUP($D14&amp;AQ$5&amp;AQ$4,集計!$D:$R,AQ$3,0)</f>
        <v>#N/A</v>
      </c>
      <c r="AR14" s="50" t="e">
        <f>VLOOKUP($D14&amp;AR$5&amp;AR$4,集計!$D:$R,AR$3,0)</f>
        <v>#N/A</v>
      </c>
      <c r="AS14" s="82" t="e">
        <f>VLOOKUP($D14&amp;AS$5&amp;AS$4,集計!$D:$R,AS$3,0)</f>
        <v>#N/A</v>
      </c>
      <c r="AT14" s="159" t="e">
        <f>VLOOKUP($D14&amp;AT$5&amp;AT$4,集計!$D:$R,AT$3,0)</f>
        <v>#N/A</v>
      </c>
      <c r="AU14" s="160" t="e">
        <f>VLOOKUP($D14&amp;AU$5&amp;AU$4,集計!$D:$R,AU$3,0)</f>
        <v>#N/A</v>
      </c>
      <c r="AV14" s="50" t="e">
        <f>VLOOKUP($D14&amp;AV$5&amp;AV$4,集計!$D:$R,AV$3,0)</f>
        <v>#N/A</v>
      </c>
      <c r="AW14" s="82" t="e">
        <f>VLOOKUP($D14&amp;AW$5&amp;AW$4,集計!$D:$R,AW$3,0)</f>
        <v>#N/A</v>
      </c>
      <c r="AX14" s="159" t="e">
        <f>VLOOKUP($D14&amp;AX$5&amp;AX$4,集計!$D:$R,AX$3,0)</f>
        <v>#N/A</v>
      </c>
      <c r="AY14" s="160" t="e">
        <f>VLOOKUP($D14&amp;AY$5&amp;AY$4,集計!$D:$R,AY$3,0)</f>
        <v>#N/A</v>
      </c>
      <c r="AZ14" s="50" t="e">
        <f>VLOOKUP($D14&amp;AZ$5&amp;AZ$4,集計!$D:$R,AZ$3,0)</f>
        <v>#N/A</v>
      </c>
      <c r="BA14" s="82" t="e">
        <f>VLOOKUP($D14&amp;BA$5&amp;BA$4,集計!$D:$R,BA$3,0)</f>
        <v>#N/A</v>
      </c>
    </row>
    <row r="15" spans="1:53" s="52" customFormat="1">
      <c r="A15" s="41" t="s">
        <v>85</v>
      </c>
      <c r="B15" s="41">
        <v>6421</v>
      </c>
      <c r="C15" s="54" t="s">
        <v>23</v>
      </c>
      <c r="D15" s="55"/>
      <c r="E15" s="106">
        <v>1412000027</v>
      </c>
      <c r="F15" s="169"/>
      <c r="G15" s="170"/>
      <c r="H15" s="61"/>
      <c r="I15" s="93"/>
      <c r="J15" s="169"/>
      <c r="K15" s="170"/>
      <c r="L15" s="61"/>
      <c r="M15" s="93"/>
      <c r="N15" s="169"/>
      <c r="O15" s="170"/>
      <c r="P15" s="61"/>
      <c r="Q15" s="93"/>
      <c r="R15" s="169"/>
      <c r="S15" s="170"/>
      <c r="T15" s="61"/>
      <c r="U15" s="93"/>
      <c r="V15" s="169"/>
      <c r="W15" s="170"/>
      <c r="X15" s="61"/>
      <c r="Y15" s="93"/>
      <c r="Z15" s="169"/>
      <c r="AA15" s="170"/>
      <c r="AB15" s="61"/>
      <c r="AC15" s="93"/>
      <c r="AD15" s="169"/>
      <c r="AE15" s="170"/>
      <c r="AF15" s="61"/>
      <c r="AG15" s="93"/>
      <c r="AH15" s="169"/>
      <c r="AI15" s="170"/>
      <c r="AJ15" s="61"/>
      <c r="AK15" s="93"/>
      <c r="AL15" s="169"/>
      <c r="AM15" s="170"/>
      <c r="AN15" s="61"/>
      <c r="AO15" s="93"/>
      <c r="AP15" s="169"/>
      <c r="AQ15" s="170"/>
      <c r="AR15" s="61"/>
      <c r="AS15" s="93"/>
      <c r="AT15" s="169"/>
      <c r="AU15" s="170"/>
      <c r="AV15" s="61"/>
      <c r="AW15" s="93"/>
      <c r="AX15" s="169"/>
      <c r="AY15" s="170"/>
      <c r="AZ15" s="61"/>
      <c r="BA15" s="93"/>
    </row>
    <row r="16" spans="1:53">
      <c r="A16" s="62"/>
      <c r="B16" s="29"/>
      <c r="C16" s="30"/>
      <c r="D16" s="31" t="s">
        <v>21</v>
      </c>
      <c r="E16" s="105">
        <v>1412000028</v>
      </c>
      <c r="F16" s="155" t="e">
        <f>VLOOKUP($D16&amp;F$5&amp;F$4,集計!$D:$R,F$3,0)</f>
        <v>#N/A</v>
      </c>
      <c r="G16" s="156" t="e">
        <f>VLOOKUP($D16&amp;G$5&amp;G$4,集計!$D:$R,G$3,0)</f>
        <v>#N/A</v>
      </c>
      <c r="H16" s="36" t="e">
        <f>VLOOKUP($D16&amp;H$5&amp;H$4,集計!$D:$R,H$3,0)</f>
        <v>#N/A</v>
      </c>
      <c r="I16" s="80" t="e">
        <f>VLOOKUP($D16&amp;I$5&amp;I$4,集計!$D:$R,I$3,0)</f>
        <v>#N/A</v>
      </c>
      <c r="J16" s="155" t="e">
        <f>VLOOKUP($D16&amp;J$5&amp;J$4,集計!$D:$R,J$3,0)</f>
        <v>#N/A</v>
      </c>
      <c r="K16" s="156" t="e">
        <f>VLOOKUP($D16&amp;K$5&amp;K$4,集計!$D:$R,K$3,0)</f>
        <v>#N/A</v>
      </c>
      <c r="L16" s="36" t="e">
        <f>VLOOKUP($D16&amp;L$5&amp;L$4,集計!$D:$R,L$3,0)</f>
        <v>#N/A</v>
      </c>
      <c r="M16" s="80" t="e">
        <f>VLOOKUP($D16&amp;M$5&amp;M$4,集計!$D:$R,M$3,0)</f>
        <v>#N/A</v>
      </c>
      <c r="N16" s="155" t="e">
        <f>VLOOKUP($D16&amp;N$5&amp;N$4,集計!$D:$R,N$3,0)</f>
        <v>#N/A</v>
      </c>
      <c r="O16" s="156" t="e">
        <f>VLOOKUP($D16&amp;O$5&amp;O$4,集計!$D:$R,O$3,0)</f>
        <v>#N/A</v>
      </c>
      <c r="P16" s="36" t="e">
        <f>VLOOKUP($D16&amp;P$5&amp;P$4,集計!$D:$R,P$3,0)</f>
        <v>#N/A</v>
      </c>
      <c r="Q16" s="80" t="e">
        <f>VLOOKUP($D16&amp;Q$5&amp;Q$4,集計!$D:$R,Q$3,0)</f>
        <v>#N/A</v>
      </c>
      <c r="R16" s="155" t="e">
        <f>VLOOKUP($D16&amp;R$5&amp;R$4,集計!$D:$R,R$3,0)</f>
        <v>#N/A</v>
      </c>
      <c r="S16" s="156" t="e">
        <f>VLOOKUP($D16&amp;S$5&amp;S$4,集計!$D:$R,S$3,0)</f>
        <v>#N/A</v>
      </c>
      <c r="T16" s="36" t="e">
        <f>VLOOKUP($D16&amp;T$5&amp;T$4,集計!$D:$R,T$3,0)</f>
        <v>#N/A</v>
      </c>
      <c r="U16" s="80" t="e">
        <f>VLOOKUP($D16&amp;U$5&amp;U$4,集計!$D:$R,U$3,0)</f>
        <v>#N/A</v>
      </c>
      <c r="V16" s="155" t="e">
        <f>VLOOKUP($D16&amp;V$5&amp;V$4,集計!$D:$R,V$3,0)</f>
        <v>#N/A</v>
      </c>
      <c r="W16" s="156" t="e">
        <f>VLOOKUP($D16&amp;W$5&amp;W$4,集計!$D:$R,W$3,0)</f>
        <v>#N/A</v>
      </c>
      <c r="X16" s="36" t="e">
        <f>VLOOKUP($D16&amp;X$5&amp;X$4,集計!$D:$R,X$3,0)</f>
        <v>#N/A</v>
      </c>
      <c r="Y16" s="80" t="e">
        <f>VLOOKUP($D16&amp;Y$5&amp;Y$4,集計!$D:$R,Y$3,0)</f>
        <v>#N/A</v>
      </c>
      <c r="Z16" s="155" t="e">
        <f>VLOOKUP($D16&amp;Z$5&amp;Z$4,集計!$D:$R,Z$3,0)</f>
        <v>#N/A</v>
      </c>
      <c r="AA16" s="156" t="e">
        <f>VLOOKUP($D16&amp;AA$5&amp;AA$4,集計!$D:$R,AA$3,0)</f>
        <v>#N/A</v>
      </c>
      <c r="AB16" s="36" t="e">
        <f>VLOOKUP($D16&amp;AB$5&amp;AB$4,集計!$D:$R,AB$3,0)</f>
        <v>#N/A</v>
      </c>
      <c r="AC16" s="80" t="e">
        <f>VLOOKUP($D16&amp;AC$5&amp;AC$4,集計!$D:$R,AC$3,0)</f>
        <v>#N/A</v>
      </c>
      <c r="AD16" s="155" t="e">
        <f>VLOOKUP($D16&amp;AD$5&amp;AD$4,集計!$D:$R,AD$3,0)</f>
        <v>#N/A</v>
      </c>
      <c r="AE16" s="156" t="e">
        <f>VLOOKUP($D16&amp;AE$5&amp;AE$4,集計!$D:$R,AE$3,0)</f>
        <v>#N/A</v>
      </c>
      <c r="AF16" s="36" t="e">
        <f>VLOOKUP($D16&amp;AF$5&amp;AF$4,集計!$D:$R,AF$3,0)</f>
        <v>#N/A</v>
      </c>
      <c r="AG16" s="80" t="e">
        <f>VLOOKUP($D16&amp;AG$5&amp;AG$4,集計!$D:$R,AG$3,0)</f>
        <v>#N/A</v>
      </c>
      <c r="AH16" s="155" t="e">
        <f>VLOOKUP($D16&amp;AH$5&amp;AH$4,集計!$D:$R,AH$3,0)</f>
        <v>#N/A</v>
      </c>
      <c r="AI16" s="156" t="e">
        <f>VLOOKUP($D16&amp;AI$5&amp;AI$4,集計!$D:$R,AI$3,0)</f>
        <v>#N/A</v>
      </c>
      <c r="AJ16" s="36" t="e">
        <f>VLOOKUP($D16&amp;AJ$5&amp;AJ$4,集計!$D:$R,AJ$3,0)</f>
        <v>#N/A</v>
      </c>
      <c r="AK16" s="80" t="e">
        <f>VLOOKUP($D16&amp;AK$5&amp;AK$4,集計!$D:$R,AK$3,0)</f>
        <v>#N/A</v>
      </c>
      <c r="AL16" s="155" t="e">
        <f>VLOOKUP($D16&amp;AL$5&amp;AL$4,集計!$D:$R,AL$3,0)</f>
        <v>#N/A</v>
      </c>
      <c r="AM16" s="156" t="e">
        <f>VLOOKUP($D16&amp;AM$5&amp;AM$4,集計!$D:$R,AM$3,0)</f>
        <v>#N/A</v>
      </c>
      <c r="AN16" s="36" t="e">
        <f>VLOOKUP($D16&amp;AN$5&amp;AN$4,集計!$D:$R,AN$3,0)</f>
        <v>#N/A</v>
      </c>
      <c r="AO16" s="80" t="e">
        <f>VLOOKUP($D16&amp;AO$5&amp;AO$4,集計!$D:$R,AO$3,0)</f>
        <v>#N/A</v>
      </c>
      <c r="AP16" s="155" t="e">
        <f>VLOOKUP($D16&amp;AP$5&amp;AP$4,集計!$D:$R,AP$3,0)</f>
        <v>#N/A</v>
      </c>
      <c r="AQ16" s="156" t="e">
        <f>VLOOKUP($D16&amp;AQ$5&amp;AQ$4,集計!$D:$R,AQ$3,0)</f>
        <v>#N/A</v>
      </c>
      <c r="AR16" s="36" t="e">
        <f>VLOOKUP($D16&amp;AR$5&amp;AR$4,集計!$D:$R,AR$3,0)</f>
        <v>#N/A</v>
      </c>
      <c r="AS16" s="80" t="e">
        <f>VLOOKUP($D16&amp;AS$5&amp;AS$4,集計!$D:$R,AS$3,0)</f>
        <v>#N/A</v>
      </c>
      <c r="AT16" s="155" t="e">
        <f>VLOOKUP($D16&amp;AT$5&amp;AT$4,集計!$D:$R,AT$3,0)</f>
        <v>#N/A</v>
      </c>
      <c r="AU16" s="156" t="e">
        <f>VLOOKUP($D16&amp;AU$5&amp;AU$4,集計!$D:$R,AU$3,0)</f>
        <v>#N/A</v>
      </c>
      <c r="AV16" s="36" t="e">
        <f>VLOOKUP($D16&amp;AV$5&amp;AV$4,集計!$D:$R,AV$3,0)</f>
        <v>#N/A</v>
      </c>
      <c r="AW16" s="80" t="e">
        <f>VLOOKUP($D16&amp;AW$5&amp;AW$4,集計!$D:$R,AW$3,0)</f>
        <v>#N/A</v>
      </c>
      <c r="AX16" s="155" t="e">
        <f>VLOOKUP($D16&amp;AX$5&amp;AX$4,集計!$D:$R,AX$3,0)</f>
        <v>#N/A</v>
      </c>
      <c r="AY16" s="156" t="e">
        <f>VLOOKUP($D16&amp;AY$5&amp;AY$4,集計!$D:$R,AY$3,0)</f>
        <v>#N/A</v>
      </c>
      <c r="AZ16" s="36" t="e">
        <f>VLOOKUP($D16&amp;AZ$5&amp;AZ$4,集計!$D:$R,AZ$3,0)</f>
        <v>#N/A</v>
      </c>
      <c r="BA16" s="80" t="e">
        <f>VLOOKUP($D16&amp;BA$5&amp;BA$4,集計!$D:$R,BA$3,0)</f>
        <v>#N/A</v>
      </c>
    </row>
    <row r="17" spans="1:53">
      <c r="A17" s="63"/>
      <c r="B17" s="45"/>
      <c r="C17" s="46"/>
      <c r="D17" s="47" t="s">
        <v>22</v>
      </c>
      <c r="E17" s="104">
        <v>1412000029</v>
      </c>
      <c r="F17" s="159" t="e">
        <f>VLOOKUP($D17&amp;F$5&amp;F$4,集計!$D:$R,F$3,0)</f>
        <v>#N/A</v>
      </c>
      <c r="G17" s="160" t="e">
        <f>VLOOKUP($D17&amp;G$5&amp;G$4,集計!$D:$R,G$3,0)</f>
        <v>#N/A</v>
      </c>
      <c r="H17" s="50" t="e">
        <f>VLOOKUP($D17&amp;H$5&amp;H$4,集計!$D:$R,H$3,0)</f>
        <v>#N/A</v>
      </c>
      <c r="I17" s="82" t="e">
        <f>VLOOKUP($D17&amp;I$5&amp;I$4,集計!$D:$R,I$3,0)</f>
        <v>#N/A</v>
      </c>
      <c r="J17" s="159" t="e">
        <f>VLOOKUP($D17&amp;J$5&amp;J$4,集計!$D:$R,J$3,0)</f>
        <v>#N/A</v>
      </c>
      <c r="K17" s="160" t="e">
        <f>VLOOKUP($D17&amp;K$5&amp;K$4,集計!$D:$R,K$3,0)</f>
        <v>#N/A</v>
      </c>
      <c r="L17" s="50" t="e">
        <f>VLOOKUP($D17&amp;L$5&amp;L$4,集計!$D:$R,L$3,0)</f>
        <v>#N/A</v>
      </c>
      <c r="M17" s="82" t="e">
        <f>VLOOKUP($D17&amp;M$5&amp;M$4,集計!$D:$R,M$3,0)</f>
        <v>#N/A</v>
      </c>
      <c r="N17" s="159" t="e">
        <f>VLOOKUP($D17&amp;N$5&amp;N$4,集計!$D:$R,N$3,0)</f>
        <v>#N/A</v>
      </c>
      <c r="O17" s="160" t="e">
        <f>VLOOKUP($D17&amp;O$5&amp;O$4,集計!$D:$R,O$3,0)</f>
        <v>#N/A</v>
      </c>
      <c r="P17" s="50" t="e">
        <f>VLOOKUP($D17&amp;P$5&amp;P$4,集計!$D:$R,P$3,0)</f>
        <v>#N/A</v>
      </c>
      <c r="Q17" s="82" t="e">
        <f>VLOOKUP($D17&amp;Q$5&amp;Q$4,集計!$D:$R,Q$3,0)</f>
        <v>#N/A</v>
      </c>
      <c r="R17" s="159" t="e">
        <f>VLOOKUP($D17&amp;R$5&amp;R$4,集計!$D:$R,R$3,0)</f>
        <v>#N/A</v>
      </c>
      <c r="S17" s="160" t="e">
        <f>VLOOKUP($D17&amp;S$5&amp;S$4,集計!$D:$R,S$3,0)</f>
        <v>#N/A</v>
      </c>
      <c r="T17" s="50" t="e">
        <f>VLOOKUP($D17&amp;T$5&amp;T$4,集計!$D:$R,T$3,0)</f>
        <v>#N/A</v>
      </c>
      <c r="U17" s="82" t="e">
        <f>VLOOKUP($D17&amp;U$5&amp;U$4,集計!$D:$R,U$3,0)</f>
        <v>#N/A</v>
      </c>
      <c r="V17" s="159" t="e">
        <f>VLOOKUP($D17&amp;V$5&amp;V$4,集計!$D:$R,V$3,0)</f>
        <v>#N/A</v>
      </c>
      <c r="W17" s="160" t="e">
        <f>VLOOKUP($D17&amp;W$5&amp;W$4,集計!$D:$R,W$3,0)</f>
        <v>#N/A</v>
      </c>
      <c r="X17" s="50" t="e">
        <f>VLOOKUP($D17&amp;X$5&amp;X$4,集計!$D:$R,X$3,0)</f>
        <v>#N/A</v>
      </c>
      <c r="Y17" s="82" t="e">
        <f>VLOOKUP($D17&amp;Y$5&amp;Y$4,集計!$D:$R,Y$3,0)</f>
        <v>#N/A</v>
      </c>
      <c r="Z17" s="159" t="e">
        <f>VLOOKUP($D17&amp;Z$5&amp;Z$4,集計!$D:$R,Z$3,0)</f>
        <v>#N/A</v>
      </c>
      <c r="AA17" s="160" t="e">
        <f>VLOOKUP($D17&amp;AA$5&amp;AA$4,集計!$D:$R,AA$3,0)</f>
        <v>#N/A</v>
      </c>
      <c r="AB17" s="50" t="e">
        <f>VLOOKUP($D17&amp;AB$5&amp;AB$4,集計!$D:$R,AB$3,0)</f>
        <v>#N/A</v>
      </c>
      <c r="AC17" s="82" t="e">
        <f>VLOOKUP($D17&amp;AC$5&amp;AC$4,集計!$D:$R,AC$3,0)</f>
        <v>#N/A</v>
      </c>
      <c r="AD17" s="159" t="e">
        <f>VLOOKUP($D17&amp;AD$5&amp;AD$4,集計!$D:$R,AD$3,0)</f>
        <v>#N/A</v>
      </c>
      <c r="AE17" s="160" t="e">
        <f>VLOOKUP($D17&amp;AE$5&amp;AE$4,集計!$D:$R,AE$3,0)</f>
        <v>#N/A</v>
      </c>
      <c r="AF17" s="50" t="e">
        <f>VLOOKUP($D17&amp;AF$5&amp;AF$4,集計!$D:$R,AF$3,0)</f>
        <v>#N/A</v>
      </c>
      <c r="AG17" s="82" t="e">
        <f>VLOOKUP($D17&amp;AG$5&amp;AG$4,集計!$D:$R,AG$3,0)</f>
        <v>#N/A</v>
      </c>
      <c r="AH17" s="159" t="e">
        <f>VLOOKUP($D17&amp;AH$5&amp;AH$4,集計!$D:$R,AH$3,0)</f>
        <v>#N/A</v>
      </c>
      <c r="AI17" s="160" t="e">
        <f>VLOOKUP($D17&amp;AI$5&amp;AI$4,集計!$D:$R,AI$3,0)</f>
        <v>#N/A</v>
      </c>
      <c r="AJ17" s="50" t="e">
        <f>VLOOKUP($D17&amp;AJ$5&amp;AJ$4,集計!$D:$R,AJ$3,0)</f>
        <v>#N/A</v>
      </c>
      <c r="AK17" s="82" t="e">
        <f>VLOOKUP($D17&amp;AK$5&amp;AK$4,集計!$D:$R,AK$3,0)</f>
        <v>#N/A</v>
      </c>
      <c r="AL17" s="159" t="e">
        <f>VLOOKUP($D17&amp;AL$5&amp;AL$4,集計!$D:$R,AL$3,0)</f>
        <v>#N/A</v>
      </c>
      <c r="AM17" s="160" t="e">
        <f>VLOOKUP($D17&amp;AM$5&amp;AM$4,集計!$D:$R,AM$3,0)</f>
        <v>#N/A</v>
      </c>
      <c r="AN17" s="50" t="e">
        <f>VLOOKUP($D17&amp;AN$5&amp;AN$4,集計!$D:$R,AN$3,0)</f>
        <v>#N/A</v>
      </c>
      <c r="AO17" s="82" t="e">
        <f>VLOOKUP($D17&amp;AO$5&amp;AO$4,集計!$D:$R,AO$3,0)</f>
        <v>#N/A</v>
      </c>
      <c r="AP17" s="159" t="e">
        <f>VLOOKUP($D17&amp;AP$5&amp;AP$4,集計!$D:$R,AP$3,0)</f>
        <v>#N/A</v>
      </c>
      <c r="AQ17" s="160" t="e">
        <f>VLOOKUP($D17&amp;AQ$5&amp;AQ$4,集計!$D:$R,AQ$3,0)</f>
        <v>#N/A</v>
      </c>
      <c r="AR17" s="50" t="e">
        <f>VLOOKUP($D17&amp;AR$5&amp;AR$4,集計!$D:$R,AR$3,0)</f>
        <v>#N/A</v>
      </c>
      <c r="AS17" s="82" t="e">
        <f>VLOOKUP($D17&amp;AS$5&amp;AS$4,集計!$D:$R,AS$3,0)</f>
        <v>#N/A</v>
      </c>
      <c r="AT17" s="159" t="e">
        <f>VLOOKUP($D17&amp;AT$5&amp;AT$4,集計!$D:$R,AT$3,0)</f>
        <v>#N/A</v>
      </c>
      <c r="AU17" s="160" t="e">
        <f>VLOOKUP($D17&amp;AU$5&amp;AU$4,集計!$D:$R,AU$3,0)</f>
        <v>#N/A</v>
      </c>
      <c r="AV17" s="50" t="e">
        <f>VLOOKUP($D17&amp;AV$5&amp;AV$4,集計!$D:$R,AV$3,0)</f>
        <v>#N/A</v>
      </c>
      <c r="AW17" s="82" t="e">
        <f>VLOOKUP($D17&amp;AW$5&amp;AW$4,集計!$D:$R,AW$3,0)</f>
        <v>#N/A</v>
      </c>
      <c r="AX17" s="159" t="e">
        <f>VLOOKUP($D17&amp;AX$5&amp;AX$4,集計!$D:$R,AX$3,0)</f>
        <v>#N/A</v>
      </c>
      <c r="AY17" s="160" t="e">
        <f>VLOOKUP($D17&amp;AY$5&amp;AY$4,集計!$D:$R,AY$3,0)</f>
        <v>#N/A</v>
      </c>
      <c r="AZ17" s="50" t="e">
        <f>VLOOKUP($D17&amp;AZ$5&amp;AZ$4,集計!$D:$R,AZ$3,0)</f>
        <v>#N/A</v>
      </c>
      <c r="BA17" s="82" t="e">
        <f>VLOOKUP($D17&amp;BA$5&amp;BA$4,集計!$D:$R,BA$3,0)</f>
        <v>#N/A</v>
      </c>
    </row>
    <row r="18" spans="1:53">
      <c r="A18" s="64"/>
      <c r="B18" s="41"/>
      <c r="C18" s="42"/>
      <c r="D18" s="43"/>
      <c r="E18" s="106"/>
      <c r="F18" s="261"/>
      <c r="G18" s="262"/>
      <c r="H18" s="263"/>
      <c r="I18" s="264"/>
      <c r="J18" s="261"/>
      <c r="K18" s="262"/>
      <c r="L18" s="263"/>
      <c r="M18" s="264"/>
      <c r="N18" s="261"/>
      <c r="O18" s="262"/>
      <c r="P18" s="263"/>
      <c r="Q18" s="264"/>
      <c r="R18" s="261"/>
      <c r="S18" s="262"/>
      <c r="T18" s="263"/>
      <c r="U18" s="264"/>
      <c r="V18" s="261"/>
      <c r="W18" s="262"/>
      <c r="X18" s="263"/>
      <c r="Y18" s="264"/>
      <c r="Z18" s="261"/>
      <c r="AA18" s="262"/>
      <c r="AB18" s="263"/>
      <c r="AC18" s="264"/>
      <c r="AD18" s="261"/>
      <c r="AE18" s="262"/>
      <c r="AF18" s="263"/>
      <c r="AG18" s="264"/>
      <c r="AH18" s="261"/>
      <c r="AI18" s="262"/>
      <c r="AJ18" s="263"/>
      <c r="AK18" s="264"/>
      <c r="AL18" s="261"/>
      <c r="AM18" s="262"/>
      <c r="AN18" s="263"/>
      <c r="AO18" s="264"/>
      <c r="AP18" s="261"/>
      <c r="AQ18" s="262"/>
      <c r="AR18" s="263"/>
      <c r="AS18" s="264"/>
      <c r="AT18" s="261"/>
      <c r="AU18" s="262"/>
      <c r="AV18" s="263"/>
      <c r="AW18" s="264"/>
      <c r="AX18" s="261"/>
      <c r="AY18" s="262"/>
      <c r="AZ18" s="263"/>
      <c r="BA18" s="264"/>
    </row>
    <row r="19" spans="1:53">
      <c r="A19" s="62"/>
      <c r="B19" s="29"/>
      <c r="C19" s="188" t="s">
        <v>126</v>
      </c>
      <c r="D19" s="31"/>
      <c r="E19" s="105">
        <v>1412000085</v>
      </c>
      <c r="F19" s="155"/>
      <c r="G19" s="156"/>
      <c r="H19" s="36"/>
      <c r="I19" s="80"/>
      <c r="J19" s="155"/>
      <c r="K19" s="156"/>
      <c r="L19" s="36"/>
      <c r="M19" s="80"/>
      <c r="N19" s="155"/>
      <c r="O19" s="156"/>
      <c r="P19" s="36"/>
      <c r="Q19" s="80"/>
      <c r="R19" s="155"/>
      <c r="S19" s="156"/>
      <c r="T19" s="36"/>
      <c r="U19" s="80"/>
      <c r="V19" s="155"/>
      <c r="W19" s="156"/>
      <c r="X19" s="36"/>
      <c r="Y19" s="80"/>
      <c r="Z19" s="155"/>
      <c r="AA19" s="156"/>
      <c r="AB19" s="36"/>
      <c r="AC19" s="80"/>
      <c r="AD19" s="155"/>
      <c r="AE19" s="156"/>
      <c r="AF19" s="36"/>
      <c r="AG19" s="80"/>
      <c r="AH19" s="155"/>
      <c r="AI19" s="156"/>
      <c r="AJ19" s="36"/>
      <c r="AK19" s="80"/>
      <c r="AL19" s="155"/>
      <c r="AM19" s="156"/>
      <c r="AN19" s="36"/>
      <c r="AO19" s="80"/>
      <c r="AP19" s="155"/>
      <c r="AQ19" s="156"/>
      <c r="AR19" s="36"/>
      <c r="AS19" s="80"/>
      <c r="AT19" s="155"/>
      <c r="AU19" s="156"/>
      <c r="AV19" s="36"/>
      <c r="AW19" s="80"/>
      <c r="AX19" s="155"/>
      <c r="AY19" s="156"/>
      <c r="AZ19" s="36"/>
      <c r="BA19" s="80"/>
    </row>
    <row r="20" spans="1:53">
      <c r="A20" s="62"/>
      <c r="B20" s="29"/>
      <c r="C20" s="30"/>
      <c r="D20" s="31" t="s">
        <v>24</v>
      </c>
      <c r="E20" s="105">
        <v>1412000086</v>
      </c>
      <c r="F20" s="155" t="e">
        <f>VLOOKUP($D20&amp;F$5&amp;F$4,集計!$D:$R,F$3,0)</f>
        <v>#N/A</v>
      </c>
      <c r="G20" s="156" t="e">
        <f>VLOOKUP($D20&amp;G$5&amp;G$4,集計!$D:$R,G$3,0)</f>
        <v>#N/A</v>
      </c>
      <c r="H20" s="36" t="e">
        <f>VLOOKUP($D20&amp;H$5&amp;H$4,集計!$D:$R,H$3,0)</f>
        <v>#N/A</v>
      </c>
      <c r="I20" s="80" t="e">
        <f>VLOOKUP($D20&amp;I$5&amp;I$4,集計!$D:$R,I$3,0)</f>
        <v>#N/A</v>
      </c>
      <c r="J20" s="155" t="e">
        <f>VLOOKUP($D20&amp;J$5&amp;J$4,集計!$D:$R,J$3,0)</f>
        <v>#N/A</v>
      </c>
      <c r="K20" s="156" t="e">
        <f>VLOOKUP($D20&amp;K$5&amp;K$4,集計!$D:$R,K$3,0)</f>
        <v>#N/A</v>
      </c>
      <c r="L20" s="36" t="e">
        <f>VLOOKUP($D20&amp;L$5&amp;L$4,集計!$D:$R,L$3,0)</f>
        <v>#N/A</v>
      </c>
      <c r="M20" s="80" t="e">
        <f>VLOOKUP($D20&amp;M$5&amp;M$4,集計!$D:$R,M$3,0)</f>
        <v>#N/A</v>
      </c>
      <c r="N20" s="155" t="e">
        <f>VLOOKUP($D20&amp;N$5&amp;N$4,集計!$D:$R,N$3,0)</f>
        <v>#N/A</v>
      </c>
      <c r="O20" s="156" t="e">
        <f>VLOOKUP($D20&amp;O$5&amp;O$4,集計!$D:$R,O$3,0)</f>
        <v>#N/A</v>
      </c>
      <c r="P20" s="36" t="e">
        <f>VLOOKUP($D20&amp;P$5&amp;P$4,集計!$D:$R,P$3,0)</f>
        <v>#N/A</v>
      </c>
      <c r="Q20" s="80" t="e">
        <f>VLOOKUP($D20&amp;Q$5&amp;Q$4,集計!$D:$R,Q$3,0)</f>
        <v>#N/A</v>
      </c>
      <c r="R20" s="155" t="e">
        <f>VLOOKUP($D20&amp;R$5&amp;R$4,集計!$D:$R,R$3,0)</f>
        <v>#N/A</v>
      </c>
      <c r="S20" s="156" t="e">
        <f>VLOOKUP($D20&amp;S$5&amp;S$4,集計!$D:$R,S$3,0)</f>
        <v>#N/A</v>
      </c>
      <c r="T20" s="36" t="e">
        <f>VLOOKUP($D20&amp;T$5&amp;T$4,集計!$D:$R,T$3,0)</f>
        <v>#N/A</v>
      </c>
      <c r="U20" s="80" t="e">
        <f>VLOOKUP($D20&amp;U$5&amp;U$4,集計!$D:$R,U$3,0)</f>
        <v>#N/A</v>
      </c>
      <c r="V20" s="155" t="e">
        <f>VLOOKUP($D20&amp;V$5&amp;V$4,集計!$D:$R,V$3,0)</f>
        <v>#N/A</v>
      </c>
      <c r="W20" s="156" t="e">
        <f>VLOOKUP($D20&amp;W$5&amp;W$4,集計!$D:$R,W$3,0)</f>
        <v>#N/A</v>
      </c>
      <c r="X20" s="36" t="e">
        <f>VLOOKUP($D20&amp;X$5&amp;X$4,集計!$D:$R,X$3,0)</f>
        <v>#N/A</v>
      </c>
      <c r="Y20" s="80" t="e">
        <f>VLOOKUP($D20&amp;Y$5&amp;Y$4,集計!$D:$R,Y$3,0)</f>
        <v>#N/A</v>
      </c>
      <c r="Z20" s="155" t="e">
        <f>VLOOKUP($D20&amp;Z$5&amp;Z$4,集計!$D:$R,Z$3,0)</f>
        <v>#N/A</v>
      </c>
      <c r="AA20" s="156" t="e">
        <f>VLOOKUP($D20&amp;AA$5&amp;AA$4,集計!$D:$R,AA$3,0)</f>
        <v>#N/A</v>
      </c>
      <c r="AB20" s="36" t="e">
        <f>VLOOKUP($D20&amp;AB$5&amp;AB$4,集計!$D:$R,AB$3,0)</f>
        <v>#N/A</v>
      </c>
      <c r="AC20" s="80" t="e">
        <f>VLOOKUP($D20&amp;AC$5&amp;AC$4,集計!$D:$R,AC$3,0)</f>
        <v>#N/A</v>
      </c>
      <c r="AD20" s="155" t="e">
        <f>VLOOKUP($D20&amp;AD$5&amp;AD$4,集計!$D:$R,AD$3,0)</f>
        <v>#N/A</v>
      </c>
      <c r="AE20" s="156" t="e">
        <f>VLOOKUP($D20&amp;AE$5&amp;AE$4,集計!$D:$R,AE$3,0)</f>
        <v>#N/A</v>
      </c>
      <c r="AF20" s="36" t="e">
        <f>VLOOKUP($D20&amp;AF$5&amp;AF$4,集計!$D:$R,AF$3,0)</f>
        <v>#N/A</v>
      </c>
      <c r="AG20" s="80" t="e">
        <f>VLOOKUP($D20&amp;AG$5&amp;AG$4,集計!$D:$R,AG$3,0)</f>
        <v>#N/A</v>
      </c>
      <c r="AH20" s="155" t="e">
        <f>VLOOKUP($D20&amp;AH$5&amp;AH$4,集計!$D:$R,AH$3,0)</f>
        <v>#N/A</v>
      </c>
      <c r="AI20" s="156" t="e">
        <f>VLOOKUP($D20&amp;AI$5&amp;AI$4,集計!$D:$R,AI$3,0)</f>
        <v>#N/A</v>
      </c>
      <c r="AJ20" s="36" t="e">
        <f>VLOOKUP($D20&amp;AJ$5&amp;AJ$4,集計!$D:$R,AJ$3,0)</f>
        <v>#N/A</v>
      </c>
      <c r="AK20" s="80" t="e">
        <f>VLOOKUP($D20&amp;AK$5&amp;AK$4,集計!$D:$R,AK$3,0)</f>
        <v>#N/A</v>
      </c>
      <c r="AL20" s="155" t="e">
        <f>VLOOKUP($D20&amp;AL$5&amp;AL$4,集計!$D:$R,AL$3,0)</f>
        <v>#N/A</v>
      </c>
      <c r="AM20" s="156" t="e">
        <f>VLOOKUP($D20&amp;AM$5&amp;AM$4,集計!$D:$R,AM$3,0)</f>
        <v>#N/A</v>
      </c>
      <c r="AN20" s="36" t="e">
        <f>VLOOKUP($D20&amp;AN$5&amp;AN$4,集計!$D:$R,AN$3,0)</f>
        <v>#N/A</v>
      </c>
      <c r="AO20" s="80" t="e">
        <f>VLOOKUP($D20&amp;AO$5&amp;AO$4,集計!$D:$R,AO$3,0)</f>
        <v>#N/A</v>
      </c>
      <c r="AP20" s="155" t="e">
        <f>VLOOKUP($D20&amp;AP$5&amp;AP$4,集計!$D:$R,AP$3,0)</f>
        <v>#N/A</v>
      </c>
      <c r="AQ20" s="156" t="e">
        <f>VLOOKUP($D20&amp;AQ$5&amp;AQ$4,集計!$D:$R,AQ$3,0)</f>
        <v>#N/A</v>
      </c>
      <c r="AR20" s="36" t="e">
        <f>VLOOKUP($D20&amp;AR$5&amp;AR$4,集計!$D:$R,AR$3,0)</f>
        <v>#N/A</v>
      </c>
      <c r="AS20" s="80" t="e">
        <f>VLOOKUP($D20&amp;AS$5&amp;AS$4,集計!$D:$R,AS$3,0)</f>
        <v>#N/A</v>
      </c>
      <c r="AT20" s="155" t="e">
        <f>VLOOKUP($D20&amp;AT$5&amp;AT$4,集計!$D:$R,AT$3,0)</f>
        <v>#N/A</v>
      </c>
      <c r="AU20" s="156" t="e">
        <f>VLOOKUP($D20&amp;AU$5&amp;AU$4,集計!$D:$R,AU$3,0)</f>
        <v>#N/A</v>
      </c>
      <c r="AV20" s="36" t="e">
        <f>VLOOKUP($D20&amp;AV$5&amp;AV$4,集計!$D:$R,AV$3,0)</f>
        <v>#N/A</v>
      </c>
      <c r="AW20" s="80" t="e">
        <f>VLOOKUP($D20&amp;AW$5&amp;AW$4,集計!$D:$R,AW$3,0)</f>
        <v>#N/A</v>
      </c>
      <c r="AX20" s="155" t="e">
        <f>VLOOKUP($D20&amp;AX$5&amp;AX$4,集計!$D:$R,AX$3,0)</f>
        <v>#N/A</v>
      </c>
      <c r="AY20" s="156" t="e">
        <f>VLOOKUP($D20&amp;AY$5&amp;AY$4,集計!$D:$R,AY$3,0)</f>
        <v>#N/A</v>
      </c>
      <c r="AZ20" s="36" t="e">
        <f>VLOOKUP($D20&amp;AZ$5&amp;AZ$4,集計!$D:$R,AZ$3,0)</f>
        <v>#N/A</v>
      </c>
      <c r="BA20" s="80" t="e">
        <f>VLOOKUP($D20&amp;BA$5&amp;BA$4,集計!$D:$R,BA$3,0)</f>
        <v>#N/A</v>
      </c>
    </row>
  </sheetData>
  <sheetCalcPr fullCalcOnLoad="1"/>
  <autoFilter ref="A7:BA17" xr:uid="{ED20CE4F-61FD-465D-A441-CFDECEB5D69F}"/>
  <mergeCells count="48">
    <mergeCell ref="AP6:AQ6"/>
    <mergeCell ref="AR6:AS6"/>
    <mergeCell ref="AT6:AU6"/>
    <mergeCell ref="AV6:AW6"/>
    <mergeCell ref="AX6:AY6"/>
    <mergeCell ref="AZ6:BA6"/>
    <mergeCell ref="AD6:AE6"/>
    <mergeCell ref="AF6:AG6"/>
    <mergeCell ref="AH6:AI6"/>
    <mergeCell ref="AJ6:AK6"/>
    <mergeCell ref="AL6:AM6"/>
    <mergeCell ref="AN6:AO6"/>
    <mergeCell ref="R6:S6"/>
    <mergeCell ref="T6:U6"/>
    <mergeCell ref="V6:W6"/>
    <mergeCell ref="X6:Y6"/>
    <mergeCell ref="Z6:AA6"/>
    <mergeCell ref="AB6:AC6"/>
    <mergeCell ref="F6:G6"/>
    <mergeCell ref="H6:I6"/>
    <mergeCell ref="J6:K6"/>
    <mergeCell ref="L6:M6"/>
    <mergeCell ref="N6:O6"/>
    <mergeCell ref="P6:Q6"/>
    <mergeCell ref="AT1:AW1"/>
    <mergeCell ref="AX1:BA1"/>
    <mergeCell ref="F1:I1"/>
    <mergeCell ref="J1:M1"/>
    <mergeCell ref="N1:Q1"/>
    <mergeCell ref="R1:U1"/>
    <mergeCell ref="V1:Y1"/>
    <mergeCell ref="Z1:AC1"/>
    <mergeCell ref="AD2:AG2"/>
    <mergeCell ref="AD1:AG1"/>
    <mergeCell ref="AH1:AK1"/>
    <mergeCell ref="AL1:AO1"/>
    <mergeCell ref="AP1:AS1"/>
    <mergeCell ref="AX2:BA2"/>
    <mergeCell ref="AT2:AW2"/>
    <mergeCell ref="AP2:AS2"/>
    <mergeCell ref="AL2:AO2"/>
    <mergeCell ref="AH2:AK2"/>
    <mergeCell ref="Z2:AC2"/>
    <mergeCell ref="V2:Y2"/>
    <mergeCell ref="R2:U2"/>
    <mergeCell ref="N2:Q2"/>
    <mergeCell ref="J2:M2"/>
    <mergeCell ref="F2:I2"/>
  </mergeCells>
  <phoneticPr fontId="53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6199" r:id="rId4" name="TextBox1">
          <controlPr defaultSize="0" autoLine="0" r:id="rId5">
            <anchor moveWithCells="1">
              <from>
                <xdr:col>0</xdr:col>
                <xdr:colOff>25400</xdr:colOff>
                <xdr:row>2</xdr:row>
                <xdr:rowOff>146050</xdr:rowOff>
              </from>
              <to>
                <xdr:col>1</xdr:col>
                <xdr:colOff>6350</xdr:colOff>
                <xdr:row>4</xdr:row>
                <xdr:rowOff>69850</xdr:rowOff>
              </to>
            </anchor>
          </controlPr>
        </control>
      </mc:Choice>
      <mc:Fallback>
        <control shapeId="6199" r:id="rId4" name="TextBox1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5820-8375-4B3E-A0D6-00D34DE75FD9}">
  <sheetPr codeName="Sheet9"/>
  <dimension ref="A1:BA10"/>
  <sheetViews>
    <sheetView workbookViewId="0">
      <pane ySplit="7" topLeftCell="A8" activePane="bottomLeft" state="frozen"/>
      <selection pane="bottomLeft" sqref="A1:B28"/>
    </sheetView>
  </sheetViews>
  <sheetFormatPr defaultColWidth="9.08984375" defaultRowHeight="14.5"/>
  <cols>
    <col min="1" max="1" width="5" customWidth="1"/>
    <col min="2" max="2" width="9" customWidth="1"/>
    <col min="3" max="3" width="23" bestFit="1" customWidth="1"/>
    <col min="4" max="4" width="28.08984375" customWidth="1"/>
    <col min="5" max="5" width="11.90625" customWidth="1"/>
    <col min="6" max="53" width="16.90625" customWidth="1"/>
    <col min="54" max="16384" width="9.08984375" style="97"/>
  </cols>
  <sheetData>
    <row r="1" spans="1:53" ht="51.75" customHeight="1" thickTop="1">
      <c r="A1" s="18" t="s">
        <v>62</v>
      </c>
      <c r="B1" s="19"/>
      <c r="C1" s="20"/>
      <c r="D1" s="20"/>
      <c r="E1" s="18"/>
      <c r="F1" s="330" t="s">
        <v>62</v>
      </c>
      <c r="G1" s="331"/>
      <c r="H1" s="331"/>
      <c r="I1" s="332"/>
      <c r="J1" s="330" t="s">
        <v>63</v>
      </c>
      <c r="K1" s="331"/>
      <c r="L1" s="331"/>
      <c r="M1" s="332"/>
      <c r="N1" s="330" t="s">
        <v>52</v>
      </c>
      <c r="O1" s="331"/>
      <c r="P1" s="331"/>
      <c r="Q1" s="332"/>
      <c r="R1" s="330" t="s">
        <v>53</v>
      </c>
      <c r="S1" s="331"/>
      <c r="T1" s="331"/>
      <c r="U1" s="332"/>
      <c r="V1" s="330" t="s">
        <v>54</v>
      </c>
      <c r="W1" s="331"/>
      <c r="X1" s="331"/>
      <c r="Y1" s="332"/>
      <c r="Z1" s="330" t="s">
        <v>55</v>
      </c>
      <c r="AA1" s="331"/>
      <c r="AB1" s="331"/>
      <c r="AC1" s="332"/>
      <c r="AD1" s="330" t="s">
        <v>56</v>
      </c>
      <c r="AE1" s="331"/>
      <c r="AF1" s="331"/>
      <c r="AG1" s="332"/>
      <c r="AH1" s="330" t="s">
        <v>57</v>
      </c>
      <c r="AI1" s="331"/>
      <c r="AJ1" s="331"/>
      <c r="AK1" s="332"/>
      <c r="AL1" s="330" t="s">
        <v>58</v>
      </c>
      <c r="AM1" s="331"/>
      <c r="AN1" s="331"/>
      <c r="AO1" s="332"/>
      <c r="AP1" s="330" t="s">
        <v>59</v>
      </c>
      <c r="AQ1" s="331"/>
      <c r="AR1" s="331"/>
      <c r="AS1" s="332"/>
      <c r="AT1" s="330" t="s">
        <v>60</v>
      </c>
      <c r="AU1" s="331"/>
      <c r="AV1" s="331"/>
      <c r="AW1" s="332"/>
      <c r="AX1" s="330" t="s">
        <v>61</v>
      </c>
      <c r="AY1" s="331"/>
      <c r="AZ1" s="331"/>
      <c r="BA1" s="332"/>
    </row>
    <row r="2" spans="1:53">
      <c r="A2" s="18">
        <v>4</v>
      </c>
      <c r="B2" s="19"/>
      <c r="C2" s="20"/>
      <c r="D2" s="20"/>
      <c r="E2" s="18"/>
      <c r="F2" s="327">
        <v>4</v>
      </c>
      <c r="G2" s="328"/>
      <c r="H2" s="328"/>
      <c r="I2" s="329"/>
      <c r="J2" s="327">
        <v>5</v>
      </c>
      <c r="K2" s="328"/>
      <c r="L2" s="328"/>
      <c r="M2" s="329"/>
      <c r="N2" s="327">
        <v>6</v>
      </c>
      <c r="O2" s="328"/>
      <c r="P2" s="328"/>
      <c r="Q2" s="329"/>
      <c r="R2" s="327">
        <v>7</v>
      </c>
      <c r="S2" s="328"/>
      <c r="T2" s="328"/>
      <c r="U2" s="329"/>
      <c r="V2" s="327">
        <v>8</v>
      </c>
      <c r="W2" s="328"/>
      <c r="X2" s="328"/>
      <c r="Y2" s="329"/>
      <c r="Z2" s="327">
        <v>9</v>
      </c>
      <c r="AA2" s="328"/>
      <c r="AB2" s="328"/>
      <c r="AC2" s="329"/>
      <c r="AD2" s="327">
        <v>10</v>
      </c>
      <c r="AE2" s="328"/>
      <c r="AF2" s="328"/>
      <c r="AG2" s="329"/>
      <c r="AH2" s="327">
        <v>11</v>
      </c>
      <c r="AI2" s="328"/>
      <c r="AJ2" s="328"/>
      <c r="AK2" s="329"/>
      <c r="AL2" s="327">
        <v>12</v>
      </c>
      <c r="AM2" s="328"/>
      <c r="AN2" s="328"/>
      <c r="AO2" s="329"/>
      <c r="AP2" s="327">
        <v>1</v>
      </c>
      <c r="AQ2" s="328"/>
      <c r="AR2" s="328"/>
      <c r="AS2" s="329"/>
      <c r="AT2" s="327">
        <v>2</v>
      </c>
      <c r="AU2" s="328"/>
      <c r="AV2" s="328"/>
      <c r="AW2" s="329"/>
      <c r="AX2" s="327">
        <v>3</v>
      </c>
      <c r="AY2" s="328"/>
      <c r="AZ2" s="328"/>
      <c r="BA2" s="329"/>
    </row>
    <row r="3" spans="1:53">
      <c r="A3" s="18">
        <v>4</v>
      </c>
      <c r="B3" s="19">
        <v>4</v>
      </c>
      <c r="C3" s="20"/>
      <c r="D3" s="20"/>
      <c r="E3" s="18"/>
      <c r="F3" s="67">
        <v>4</v>
      </c>
      <c r="G3" s="65">
        <v>4</v>
      </c>
      <c r="H3" s="65">
        <v>4</v>
      </c>
      <c r="I3" s="68">
        <v>4</v>
      </c>
      <c r="J3" s="67">
        <v>5</v>
      </c>
      <c r="K3" s="65">
        <v>5</v>
      </c>
      <c r="L3" s="65">
        <v>5</v>
      </c>
      <c r="M3" s="68">
        <v>5</v>
      </c>
      <c r="N3" s="67">
        <v>6</v>
      </c>
      <c r="O3" s="65">
        <v>6</v>
      </c>
      <c r="P3" s="65">
        <v>6</v>
      </c>
      <c r="Q3" s="68">
        <v>6</v>
      </c>
      <c r="R3" s="67">
        <v>7</v>
      </c>
      <c r="S3" s="65">
        <v>7</v>
      </c>
      <c r="T3" s="65">
        <v>7</v>
      </c>
      <c r="U3" s="68">
        <v>7</v>
      </c>
      <c r="V3" s="67">
        <v>8</v>
      </c>
      <c r="W3" s="65">
        <v>8</v>
      </c>
      <c r="X3" s="65">
        <v>8</v>
      </c>
      <c r="Y3" s="68">
        <v>8</v>
      </c>
      <c r="Z3" s="67">
        <v>9</v>
      </c>
      <c r="AA3" s="65">
        <v>9</v>
      </c>
      <c r="AB3" s="65">
        <v>9</v>
      </c>
      <c r="AC3" s="68">
        <v>9</v>
      </c>
      <c r="AD3" s="67">
        <v>10</v>
      </c>
      <c r="AE3" s="65">
        <v>10</v>
      </c>
      <c r="AF3" s="65">
        <v>10</v>
      </c>
      <c r="AG3" s="68">
        <v>10</v>
      </c>
      <c r="AH3" s="67">
        <v>11</v>
      </c>
      <c r="AI3" s="65">
        <v>11</v>
      </c>
      <c r="AJ3" s="65">
        <v>11</v>
      </c>
      <c r="AK3" s="68">
        <v>11</v>
      </c>
      <c r="AL3" s="67">
        <v>12</v>
      </c>
      <c r="AM3" s="65">
        <v>12</v>
      </c>
      <c r="AN3" s="65">
        <v>12</v>
      </c>
      <c r="AO3" s="68">
        <v>12</v>
      </c>
      <c r="AP3" s="67">
        <v>13</v>
      </c>
      <c r="AQ3" s="65">
        <v>13</v>
      </c>
      <c r="AR3" s="65">
        <v>13</v>
      </c>
      <c r="AS3" s="68">
        <v>13</v>
      </c>
      <c r="AT3" s="67">
        <v>14</v>
      </c>
      <c r="AU3" s="65">
        <v>14</v>
      </c>
      <c r="AV3" s="65">
        <v>14</v>
      </c>
      <c r="AW3" s="68">
        <v>14</v>
      </c>
      <c r="AX3" s="67">
        <v>15</v>
      </c>
      <c r="AY3" s="65">
        <v>15</v>
      </c>
      <c r="AZ3" s="65">
        <v>15</v>
      </c>
      <c r="BA3" s="68">
        <v>15</v>
      </c>
    </row>
    <row r="4" spans="1:53">
      <c r="A4" t="s">
        <v>29</v>
      </c>
      <c r="B4" s="115" t="s">
        <v>29</v>
      </c>
      <c r="C4" s="110"/>
      <c r="D4" s="110"/>
      <c r="F4" s="69" t="s">
        <v>29</v>
      </c>
      <c r="G4" s="66" t="s">
        <v>29</v>
      </c>
      <c r="H4" s="70" t="s">
        <v>40</v>
      </c>
      <c r="I4" s="71" t="s">
        <v>40</v>
      </c>
      <c r="J4" s="69" t="s">
        <v>29</v>
      </c>
      <c r="K4" s="66" t="s">
        <v>29</v>
      </c>
      <c r="L4" s="70" t="s">
        <v>40</v>
      </c>
      <c r="M4" s="71" t="s">
        <v>40</v>
      </c>
      <c r="N4" s="69" t="s">
        <v>29</v>
      </c>
      <c r="O4" s="66" t="s">
        <v>29</v>
      </c>
      <c r="P4" s="70" t="s">
        <v>40</v>
      </c>
      <c r="Q4" s="71" t="s">
        <v>40</v>
      </c>
      <c r="R4" s="69" t="s">
        <v>29</v>
      </c>
      <c r="S4" s="66" t="s">
        <v>29</v>
      </c>
      <c r="T4" s="70" t="s">
        <v>40</v>
      </c>
      <c r="U4" s="71" t="s">
        <v>40</v>
      </c>
      <c r="V4" s="69" t="s">
        <v>29</v>
      </c>
      <c r="W4" s="66" t="s">
        <v>29</v>
      </c>
      <c r="X4" s="70" t="s">
        <v>40</v>
      </c>
      <c r="Y4" s="71" t="s">
        <v>40</v>
      </c>
      <c r="Z4" s="69" t="s">
        <v>29</v>
      </c>
      <c r="AA4" s="66" t="s">
        <v>29</v>
      </c>
      <c r="AB4" s="70" t="s">
        <v>40</v>
      </c>
      <c r="AC4" s="71" t="s">
        <v>40</v>
      </c>
      <c r="AD4" s="69" t="s">
        <v>29</v>
      </c>
      <c r="AE4" s="66" t="s">
        <v>29</v>
      </c>
      <c r="AF4" s="70" t="s">
        <v>40</v>
      </c>
      <c r="AG4" s="71" t="s">
        <v>40</v>
      </c>
      <c r="AH4" s="69" t="s">
        <v>29</v>
      </c>
      <c r="AI4" s="66" t="s">
        <v>29</v>
      </c>
      <c r="AJ4" s="70" t="s">
        <v>40</v>
      </c>
      <c r="AK4" s="71" t="s">
        <v>40</v>
      </c>
      <c r="AL4" s="69" t="s">
        <v>29</v>
      </c>
      <c r="AM4" s="66" t="s">
        <v>29</v>
      </c>
      <c r="AN4" s="70" t="s">
        <v>40</v>
      </c>
      <c r="AO4" s="71" t="s">
        <v>40</v>
      </c>
      <c r="AP4" s="69" t="s">
        <v>29</v>
      </c>
      <c r="AQ4" s="66" t="s">
        <v>29</v>
      </c>
      <c r="AR4" s="70" t="s">
        <v>40</v>
      </c>
      <c r="AS4" s="71" t="s">
        <v>40</v>
      </c>
      <c r="AT4" s="69" t="s">
        <v>29</v>
      </c>
      <c r="AU4" s="66" t="s">
        <v>29</v>
      </c>
      <c r="AV4" s="70" t="s">
        <v>40</v>
      </c>
      <c r="AW4" s="71" t="s">
        <v>40</v>
      </c>
      <c r="AX4" s="69" t="s">
        <v>29</v>
      </c>
      <c r="AY4" s="66" t="s">
        <v>29</v>
      </c>
      <c r="AZ4" s="70" t="s">
        <v>40</v>
      </c>
      <c r="BA4" s="71" t="s">
        <v>40</v>
      </c>
    </row>
    <row r="5" spans="1:53" ht="15" thickBot="1">
      <c r="B5" s="21" t="e">
        <v>#N/A</v>
      </c>
      <c r="C5" s="22"/>
      <c r="D5" s="20"/>
      <c r="E5" s="20"/>
      <c r="F5" s="72"/>
      <c r="G5" s="73" t="e">
        <v>#N/A</v>
      </c>
      <c r="H5" s="73" t="s">
        <v>106</v>
      </c>
      <c r="I5" s="74" t="s">
        <v>107</v>
      </c>
      <c r="J5" s="72" t="s">
        <v>106</v>
      </c>
      <c r="K5" s="73" t="s">
        <v>107</v>
      </c>
      <c r="L5" s="73" t="s">
        <v>106</v>
      </c>
      <c r="M5" s="74" t="s">
        <v>107</v>
      </c>
      <c r="N5" s="72" t="s">
        <v>106</v>
      </c>
      <c r="O5" s="73" t="s">
        <v>107</v>
      </c>
      <c r="P5" s="73" t="s">
        <v>106</v>
      </c>
      <c r="Q5" s="74" t="s">
        <v>107</v>
      </c>
      <c r="R5" s="72" t="s">
        <v>106</v>
      </c>
      <c r="S5" s="73" t="s">
        <v>107</v>
      </c>
      <c r="T5" s="73" t="s">
        <v>106</v>
      </c>
      <c r="U5" s="74" t="s">
        <v>107</v>
      </c>
      <c r="V5" s="72" t="s">
        <v>106</v>
      </c>
      <c r="W5" s="73" t="s">
        <v>107</v>
      </c>
      <c r="X5" s="73" t="s">
        <v>106</v>
      </c>
      <c r="Y5" s="74" t="s">
        <v>107</v>
      </c>
      <c r="Z5" s="72" t="s">
        <v>106</v>
      </c>
      <c r="AA5" s="73" t="s">
        <v>107</v>
      </c>
      <c r="AB5" s="73" t="s">
        <v>106</v>
      </c>
      <c r="AC5" s="74" t="s">
        <v>107</v>
      </c>
      <c r="AD5" s="72" t="s">
        <v>106</v>
      </c>
      <c r="AE5" s="73" t="s">
        <v>107</v>
      </c>
      <c r="AF5" s="73" t="s">
        <v>106</v>
      </c>
      <c r="AG5" s="74" t="s">
        <v>107</v>
      </c>
      <c r="AH5" s="72" t="s">
        <v>106</v>
      </c>
      <c r="AI5" s="73" t="s">
        <v>107</v>
      </c>
      <c r="AJ5" s="73" t="s">
        <v>106</v>
      </c>
      <c r="AK5" s="74" t="s">
        <v>107</v>
      </c>
      <c r="AL5" s="72" t="s">
        <v>106</v>
      </c>
      <c r="AM5" s="73" t="s">
        <v>107</v>
      </c>
      <c r="AN5" s="73" t="s">
        <v>106</v>
      </c>
      <c r="AO5" s="74" t="s">
        <v>107</v>
      </c>
      <c r="AP5" s="72" t="s">
        <v>106</v>
      </c>
      <c r="AQ5" s="73" t="s">
        <v>107</v>
      </c>
      <c r="AR5" s="73" t="s">
        <v>106</v>
      </c>
      <c r="AS5" s="74" t="s">
        <v>107</v>
      </c>
      <c r="AT5" s="72" t="s">
        <v>106</v>
      </c>
      <c r="AU5" s="73" t="s">
        <v>107</v>
      </c>
      <c r="AV5" s="73" t="s">
        <v>106</v>
      </c>
      <c r="AW5" s="74" t="s">
        <v>107</v>
      </c>
      <c r="AX5" s="72" t="s">
        <v>106</v>
      </c>
      <c r="AY5" s="73" t="s">
        <v>107</v>
      </c>
      <c r="AZ5" s="73" t="s">
        <v>106</v>
      </c>
      <c r="BA5" s="74" t="s">
        <v>107</v>
      </c>
    </row>
    <row r="6" spans="1:53" ht="169">
      <c r="A6" s="265" t="s">
        <v>49</v>
      </c>
      <c r="B6" s="24"/>
      <c r="C6" s="24" t="s">
        <v>88</v>
      </c>
      <c r="D6" s="24" t="s">
        <v>89</v>
      </c>
      <c r="E6" s="32" t="s">
        <v>72</v>
      </c>
      <c r="F6" s="333" t="s">
        <v>49</v>
      </c>
      <c r="G6" s="334"/>
      <c r="H6" s="335" t="s">
        <v>50</v>
      </c>
      <c r="I6" s="336"/>
      <c r="J6" s="333" t="s">
        <v>49</v>
      </c>
      <c r="K6" s="334"/>
      <c r="L6" s="335" t="s">
        <v>50</v>
      </c>
      <c r="M6" s="336"/>
      <c r="N6" s="333" t="s">
        <v>49</v>
      </c>
      <c r="O6" s="334"/>
      <c r="P6" s="335" t="s">
        <v>50</v>
      </c>
      <c r="Q6" s="336"/>
      <c r="R6" s="333" t="s">
        <v>49</v>
      </c>
      <c r="S6" s="334"/>
      <c r="T6" s="335" t="s">
        <v>50</v>
      </c>
      <c r="U6" s="336"/>
      <c r="V6" s="333" t="s">
        <v>49</v>
      </c>
      <c r="W6" s="334"/>
      <c r="X6" s="335" t="s">
        <v>50</v>
      </c>
      <c r="Y6" s="336"/>
      <c r="Z6" s="333" t="s">
        <v>49</v>
      </c>
      <c r="AA6" s="334"/>
      <c r="AB6" s="335" t="s">
        <v>50</v>
      </c>
      <c r="AC6" s="336"/>
      <c r="AD6" s="333" t="s">
        <v>49</v>
      </c>
      <c r="AE6" s="334"/>
      <c r="AF6" s="335" t="s">
        <v>50</v>
      </c>
      <c r="AG6" s="336"/>
      <c r="AH6" s="333" t="s">
        <v>49</v>
      </c>
      <c r="AI6" s="334"/>
      <c r="AJ6" s="335" t="s">
        <v>50</v>
      </c>
      <c r="AK6" s="336"/>
      <c r="AL6" s="333" t="s">
        <v>49</v>
      </c>
      <c r="AM6" s="334"/>
      <c r="AN6" s="335" t="s">
        <v>50</v>
      </c>
      <c r="AO6" s="336"/>
      <c r="AP6" s="333" t="s">
        <v>49</v>
      </c>
      <c r="AQ6" s="334"/>
      <c r="AR6" s="335" t="s">
        <v>50</v>
      </c>
      <c r="AS6" s="336"/>
      <c r="AT6" s="333" t="s">
        <v>49</v>
      </c>
      <c r="AU6" s="334"/>
      <c r="AV6" s="335" t="s">
        <v>50</v>
      </c>
      <c r="AW6" s="336"/>
      <c r="AX6" s="333" t="s">
        <v>49</v>
      </c>
      <c r="AY6" s="334"/>
      <c r="AZ6" s="335" t="s">
        <v>50</v>
      </c>
      <c r="BA6" s="336"/>
    </row>
    <row r="7" spans="1:53" ht="65">
      <c r="A7" s="266" t="s">
        <v>64</v>
      </c>
      <c r="B7" s="34" t="s">
        <v>65</v>
      </c>
      <c r="C7" s="34"/>
      <c r="D7" s="34"/>
      <c r="E7" s="51"/>
      <c r="F7" s="75" t="s">
        <v>64</v>
      </c>
      <c r="G7" s="35" t="s">
        <v>65</v>
      </c>
      <c r="H7" s="35" t="s">
        <v>64</v>
      </c>
      <c r="I7" s="76" t="s">
        <v>65</v>
      </c>
      <c r="J7" s="75" t="s">
        <v>64</v>
      </c>
      <c r="K7" s="35" t="s">
        <v>65</v>
      </c>
      <c r="L7" s="35" t="s">
        <v>64</v>
      </c>
      <c r="M7" s="76" t="s">
        <v>65</v>
      </c>
      <c r="N7" s="75" t="s">
        <v>64</v>
      </c>
      <c r="O7" s="35" t="s">
        <v>65</v>
      </c>
      <c r="P7" s="35" t="s">
        <v>64</v>
      </c>
      <c r="Q7" s="76" t="s">
        <v>65</v>
      </c>
      <c r="R7" s="75" t="s">
        <v>64</v>
      </c>
      <c r="S7" s="35" t="s">
        <v>65</v>
      </c>
      <c r="T7" s="35" t="s">
        <v>64</v>
      </c>
      <c r="U7" s="76" t="s">
        <v>65</v>
      </c>
      <c r="V7" s="75" t="s">
        <v>64</v>
      </c>
      <c r="W7" s="35" t="s">
        <v>65</v>
      </c>
      <c r="X7" s="35" t="s">
        <v>64</v>
      </c>
      <c r="Y7" s="76" t="s">
        <v>65</v>
      </c>
      <c r="Z7" s="75" t="s">
        <v>64</v>
      </c>
      <c r="AA7" s="35" t="s">
        <v>65</v>
      </c>
      <c r="AB7" s="35" t="s">
        <v>64</v>
      </c>
      <c r="AC7" s="76" t="s">
        <v>65</v>
      </c>
      <c r="AD7" s="75" t="s">
        <v>64</v>
      </c>
      <c r="AE7" s="35" t="s">
        <v>65</v>
      </c>
      <c r="AF7" s="35" t="s">
        <v>64</v>
      </c>
      <c r="AG7" s="76" t="s">
        <v>65</v>
      </c>
      <c r="AH7" s="75" t="s">
        <v>64</v>
      </c>
      <c r="AI7" s="35" t="s">
        <v>65</v>
      </c>
      <c r="AJ7" s="35" t="s">
        <v>64</v>
      </c>
      <c r="AK7" s="76" t="s">
        <v>65</v>
      </c>
      <c r="AL7" s="75" t="s">
        <v>64</v>
      </c>
      <c r="AM7" s="35" t="s">
        <v>65</v>
      </c>
      <c r="AN7" s="35" t="s">
        <v>64</v>
      </c>
      <c r="AO7" s="76" t="s">
        <v>65</v>
      </c>
      <c r="AP7" s="75" t="s">
        <v>64</v>
      </c>
      <c r="AQ7" s="35" t="s">
        <v>65</v>
      </c>
      <c r="AR7" s="35" t="s">
        <v>64</v>
      </c>
      <c r="AS7" s="76" t="s">
        <v>65</v>
      </c>
      <c r="AT7" s="75" t="s">
        <v>64</v>
      </c>
      <c r="AU7" s="35" t="s">
        <v>65</v>
      </c>
      <c r="AV7" s="35" t="s">
        <v>64</v>
      </c>
      <c r="AW7" s="76" t="s">
        <v>65</v>
      </c>
      <c r="AX7" s="75" t="s">
        <v>64</v>
      </c>
      <c r="AY7" s="35" t="s">
        <v>65</v>
      </c>
      <c r="AZ7" s="35" t="s">
        <v>64</v>
      </c>
      <c r="BA7" s="76" t="s">
        <v>65</v>
      </c>
    </row>
    <row r="8" spans="1:53" s="190" customFormat="1">
      <c r="A8" s="25"/>
      <c r="B8" s="25"/>
      <c r="C8" s="26" t="s">
        <v>23</v>
      </c>
      <c r="D8" s="95"/>
      <c r="E8" s="108">
        <v>1412000027</v>
      </c>
      <c r="F8" s="171"/>
      <c r="G8" s="172"/>
      <c r="H8" s="173"/>
      <c r="I8" s="174"/>
      <c r="J8" s="171"/>
      <c r="K8" s="172"/>
      <c r="L8" s="173"/>
      <c r="M8" s="174"/>
      <c r="N8" s="171"/>
      <c r="O8" s="172"/>
      <c r="P8" s="173"/>
      <c r="Q8" s="174"/>
      <c r="R8" s="171"/>
      <c r="S8" s="172"/>
      <c r="T8" s="173"/>
      <c r="U8" s="174"/>
      <c r="V8" s="171"/>
      <c r="W8" s="172"/>
      <c r="X8" s="173"/>
      <c r="Y8" s="174"/>
      <c r="Z8" s="171"/>
      <c r="AA8" s="172"/>
      <c r="AB8" s="173"/>
      <c r="AC8" s="174"/>
      <c r="AD8" s="171"/>
      <c r="AE8" s="172"/>
      <c r="AF8" s="173"/>
      <c r="AG8" s="174"/>
      <c r="AH8" s="171"/>
      <c r="AI8" s="172"/>
      <c r="AJ8" s="173"/>
      <c r="AK8" s="174"/>
      <c r="AL8" s="171"/>
      <c r="AM8" s="172"/>
      <c r="AN8" s="173"/>
      <c r="AO8" s="174"/>
      <c r="AP8" s="171"/>
      <c r="AQ8" s="172"/>
      <c r="AR8" s="173"/>
      <c r="AS8" s="174"/>
      <c r="AT8" s="171"/>
      <c r="AU8" s="172"/>
      <c r="AV8" s="173"/>
      <c r="AW8" s="174"/>
      <c r="AX8" s="171"/>
      <c r="AY8" s="172"/>
      <c r="AZ8" s="173"/>
      <c r="BA8" s="174"/>
    </row>
    <row r="9" spans="1:53">
      <c r="A9" s="44">
        <v>76</v>
      </c>
      <c r="B9" s="45">
        <v>0</v>
      </c>
      <c r="C9" s="46"/>
      <c r="D9" s="47" t="s">
        <v>68</v>
      </c>
      <c r="E9" s="104">
        <v>1412000030</v>
      </c>
      <c r="F9" s="81">
        <v>76</v>
      </c>
      <c r="G9" s="195">
        <v>0</v>
      </c>
      <c r="H9" s="50">
        <v>17</v>
      </c>
      <c r="I9" s="82">
        <v>0</v>
      </c>
      <c r="J9" s="81">
        <v>84</v>
      </c>
      <c r="K9" s="195">
        <v>0</v>
      </c>
      <c r="L9" s="50">
        <v>17</v>
      </c>
      <c r="M9" s="82">
        <v>0</v>
      </c>
      <c r="N9" s="81">
        <v>80</v>
      </c>
      <c r="O9" s="195">
        <v>0</v>
      </c>
      <c r="P9" s="50">
        <v>17</v>
      </c>
      <c r="Q9" s="82">
        <v>0</v>
      </c>
      <c r="R9" s="81">
        <v>92</v>
      </c>
      <c r="S9" s="195">
        <v>0</v>
      </c>
      <c r="T9" s="50">
        <v>17</v>
      </c>
      <c r="U9" s="82">
        <v>0</v>
      </c>
      <c r="V9" s="81">
        <v>88</v>
      </c>
      <c r="W9" s="195">
        <v>0</v>
      </c>
      <c r="X9" s="50">
        <v>17</v>
      </c>
      <c r="Y9" s="82">
        <v>0</v>
      </c>
      <c r="Z9" s="81">
        <v>72</v>
      </c>
      <c r="AA9" s="195">
        <v>0</v>
      </c>
      <c r="AB9" s="50">
        <v>17</v>
      </c>
      <c r="AC9" s="82">
        <v>0</v>
      </c>
      <c r="AD9" s="81">
        <v>92</v>
      </c>
      <c r="AE9" s="195">
        <v>0</v>
      </c>
      <c r="AF9" s="50">
        <v>17</v>
      </c>
      <c r="AG9" s="82">
        <v>0</v>
      </c>
      <c r="AH9" s="81">
        <v>84</v>
      </c>
      <c r="AI9" s="195">
        <v>0</v>
      </c>
      <c r="AJ9" s="50">
        <v>17</v>
      </c>
      <c r="AK9" s="82">
        <v>0</v>
      </c>
      <c r="AL9" s="81">
        <v>80</v>
      </c>
      <c r="AM9" s="195">
        <v>0</v>
      </c>
      <c r="AN9" s="50">
        <v>17</v>
      </c>
      <c r="AO9" s="82">
        <v>0</v>
      </c>
      <c r="AP9" s="81">
        <v>68</v>
      </c>
      <c r="AQ9" s="195">
        <v>0</v>
      </c>
      <c r="AR9" s="50">
        <v>17</v>
      </c>
      <c r="AS9" s="82">
        <v>0</v>
      </c>
      <c r="AT9" s="81">
        <v>76</v>
      </c>
      <c r="AU9" s="195">
        <v>0</v>
      </c>
      <c r="AV9" s="50">
        <v>17</v>
      </c>
      <c r="AW9" s="82">
        <v>0</v>
      </c>
      <c r="AX9" s="81">
        <v>80</v>
      </c>
      <c r="AY9" s="195">
        <v>0</v>
      </c>
      <c r="AZ9" s="50">
        <v>17</v>
      </c>
      <c r="BA9" s="82">
        <v>0</v>
      </c>
    </row>
    <row r="10" spans="1:53" s="190" customFormat="1">
      <c r="A10" s="60">
        <v>106</v>
      </c>
      <c r="B10" s="60">
        <v>100</v>
      </c>
      <c r="C10" s="189"/>
      <c r="D10" s="175" t="s">
        <v>108</v>
      </c>
      <c r="E10" s="162">
        <v>1412000072</v>
      </c>
      <c r="F10" s="191">
        <v>106</v>
      </c>
      <c r="G10" s="192">
        <v>100</v>
      </c>
      <c r="H10" s="193">
        <v>14</v>
      </c>
      <c r="I10" s="194">
        <v>55</v>
      </c>
      <c r="J10" s="191">
        <v>114</v>
      </c>
      <c r="K10" s="192">
        <v>100</v>
      </c>
      <c r="L10" s="193">
        <v>14</v>
      </c>
      <c r="M10" s="194">
        <v>55</v>
      </c>
      <c r="N10" s="191">
        <v>130</v>
      </c>
      <c r="O10" s="192">
        <v>100</v>
      </c>
      <c r="P10" s="193">
        <v>14</v>
      </c>
      <c r="Q10" s="194">
        <v>55</v>
      </c>
      <c r="R10" s="191">
        <v>192</v>
      </c>
      <c r="S10" s="192">
        <v>100</v>
      </c>
      <c r="T10" s="193">
        <v>14</v>
      </c>
      <c r="U10" s="194">
        <v>56</v>
      </c>
      <c r="V10" s="191">
        <v>147.5</v>
      </c>
      <c r="W10" s="192">
        <v>168</v>
      </c>
      <c r="X10" s="193">
        <v>14</v>
      </c>
      <c r="Y10" s="194">
        <v>56</v>
      </c>
      <c r="Z10" s="191">
        <v>122</v>
      </c>
      <c r="AA10" s="192">
        <v>170</v>
      </c>
      <c r="AB10" s="193">
        <v>14</v>
      </c>
      <c r="AC10" s="194">
        <v>56</v>
      </c>
      <c r="AD10" s="191">
        <v>142</v>
      </c>
      <c r="AE10" s="192">
        <v>200</v>
      </c>
      <c r="AF10" s="193">
        <v>14</v>
      </c>
      <c r="AG10" s="194">
        <v>56</v>
      </c>
      <c r="AH10" s="191">
        <v>134</v>
      </c>
      <c r="AI10" s="192">
        <v>200</v>
      </c>
      <c r="AJ10" s="193">
        <v>14</v>
      </c>
      <c r="AK10" s="194">
        <v>56</v>
      </c>
      <c r="AL10" s="191">
        <v>130</v>
      </c>
      <c r="AM10" s="192">
        <v>200</v>
      </c>
      <c r="AN10" s="193">
        <v>14</v>
      </c>
      <c r="AO10" s="194">
        <v>56</v>
      </c>
      <c r="AP10" s="191">
        <v>168</v>
      </c>
      <c r="AQ10" s="192">
        <v>200</v>
      </c>
      <c r="AR10" s="193">
        <v>14</v>
      </c>
      <c r="AS10" s="194">
        <v>56</v>
      </c>
      <c r="AT10" s="191">
        <v>126</v>
      </c>
      <c r="AU10" s="192">
        <v>200</v>
      </c>
      <c r="AV10" s="193">
        <v>14</v>
      </c>
      <c r="AW10" s="194">
        <v>56</v>
      </c>
      <c r="AX10" s="191">
        <v>130</v>
      </c>
      <c r="AY10" s="192">
        <v>200</v>
      </c>
      <c r="AZ10" s="193">
        <v>14</v>
      </c>
      <c r="BA10" s="194">
        <v>56</v>
      </c>
    </row>
  </sheetData>
  <mergeCells count="48">
    <mergeCell ref="AP6:AQ6"/>
    <mergeCell ref="AR6:AS6"/>
    <mergeCell ref="AT6:AU6"/>
    <mergeCell ref="AV6:AW6"/>
    <mergeCell ref="AX6:AY6"/>
    <mergeCell ref="AZ6:BA6"/>
    <mergeCell ref="AD6:AE6"/>
    <mergeCell ref="AF6:AG6"/>
    <mergeCell ref="AH6:AI6"/>
    <mergeCell ref="AJ6:AK6"/>
    <mergeCell ref="AL6:AM6"/>
    <mergeCell ref="AN6:AO6"/>
    <mergeCell ref="R6:S6"/>
    <mergeCell ref="T6:U6"/>
    <mergeCell ref="V6:W6"/>
    <mergeCell ref="X6:Y6"/>
    <mergeCell ref="Z6:AA6"/>
    <mergeCell ref="AB6:AC6"/>
    <mergeCell ref="F6:G6"/>
    <mergeCell ref="H6:I6"/>
    <mergeCell ref="J6:K6"/>
    <mergeCell ref="L6:M6"/>
    <mergeCell ref="N6:O6"/>
    <mergeCell ref="P6:Q6"/>
    <mergeCell ref="AX1:BA1"/>
    <mergeCell ref="AX2:BA2"/>
    <mergeCell ref="AD1:AG1"/>
    <mergeCell ref="AD2:AG2"/>
    <mergeCell ref="AH1:AK1"/>
    <mergeCell ref="AH2:AK2"/>
    <mergeCell ref="AL1:AO1"/>
    <mergeCell ref="AL2:AO2"/>
    <mergeCell ref="AP1:AS1"/>
    <mergeCell ref="AP2:AS2"/>
    <mergeCell ref="AT1:AW1"/>
    <mergeCell ref="AT2:AW2"/>
    <mergeCell ref="R1:U1"/>
    <mergeCell ref="R2:U2"/>
    <mergeCell ref="V1:Y1"/>
    <mergeCell ref="V2:Y2"/>
    <mergeCell ref="Z1:AC1"/>
    <mergeCell ref="Z2:AC2"/>
    <mergeCell ref="F1:I1"/>
    <mergeCell ref="F2:I2"/>
    <mergeCell ref="J1:M1"/>
    <mergeCell ref="J2:M2"/>
    <mergeCell ref="N1:Q1"/>
    <mergeCell ref="N2:Q2"/>
  </mergeCells>
  <phoneticPr fontId="53"/>
  <conditionalFormatting sqref="J1:J2 N1:N2 R1:R2 V1:V2 Z1:Z2 AD1:AD2 AH1:AH2 AL1:AL2 AP1:AP2 AT1:AT2 AX1:AX2 BB1:IV2 B4 A6:E6 BB6:IV6 A3:XFD3 A1:F2 A5:XFD5 E4:IV4 A7:XFD65536">
    <cfRule type="cellIs" dxfId="184" priority="2" operator="equal">
      <formula>0</formula>
    </cfRule>
  </conditionalFormatting>
  <conditionalFormatting sqref="F6 AZ6 AX6 AV6 AT6 AR6 AP6 AN6 AL6 AJ6 AH6 AF6 AD6 AB6 Z6 X6 V6 T6 R6 P6 N6 L6 J6 H6">
    <cfRule type="cellIs" dxfId="183" priority="1" operator="equal">
      <formula>0</formula>
    </cfRule>
  </conditionalFormatting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70" r:id="rId3" name="TextBox1">
          <controlPr defaultSize="0" autoLine="0" r:id="rId4">
            <anchor moveWithCells="1">
              <from>
                <xdr:col>0</xdr:col>
                <xdr:colOff>25400</xdr:colOff>
                <xdr:row>2</xdr:row>
                <xdr:rowOff>146050</xdr:rowOff>
              </from>
              <to>
                <xdr:col>1</xdr:col>
                <xdr:colOff>0</xdr:colOff>
                <xdr:row>4</xdr:row>
                <xdr:rowOff>69850</xdr:rowOff>
              </to>
            </anchor>
          </controlPr>
        </control>
      </mc:Choice>
      <mc:Fallback>
        <control shapeId="7170" r:id="rId3" name="Text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集計</vt:lpstr>
      <vt:lpstr>DATA</vt:lpstr>
      <vt:lpstr>人員計画</vt:lpstr>
      <vt:lpstr>KDTVN</vt:lpstr>
      <vt:lpstr>6221_コード</vt:lpstr>
      <vt:lpstr>6371_コード</vt:lpstr>
      <vt:lpstr>6421_コード</vt:lpstr>
      <vt:lpstr>6511_コード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Đỗ Hải Thành(Do Hai Thanh)</cp:lastModifiedBy>
  <dcterms:created xsi:type="dcterms:W3CDTF">2014-08-13T06:26:20Z</dcterms:created>
  <dcterms:modified xsi:type="dcterms:W3CDTF">2025-12-15T09:12:45Z</dcterms:modified>
</cp:coreProperties>
</file>