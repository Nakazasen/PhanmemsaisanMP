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人員・時間計画表\"/>
    </mc:Choice>
  </mc:AlternateContent>
  <xr:revisionPtr revIDLastSave="0" documentId="13_ncr:1_{E4F9B3B7-1BA9-4A61-91BC-9EDCD3CCF6F5}" xr6:coauthVersionLast="47" xr6:coauthVersionMax="47" xr10:uidLastSave="{00000000-0000-0000-0000-000000000000}"/>
  <bookViews>
    <workbookView xWindow="-110" yWindow="-110" windowWidth="19420" windowHeight="10300" tabRatio="565" activeTab="5" xr2:uid="{00000000-000D-0000-FFFF-FFFF00000000}"/>
  </bookViews>
  <sheets>
    <sheet name="6221" sheetId="3" r:id="rId1"/>
    <sheet name="6371" sheetId="4" r:id="rId2"/>
    <sheet name="6421" sheetId="5" r:id="rId3"/>
    <sheet name="6511" sheetId="6" r:id="rId4"/>
    <sheet name="Sheet1" sheetId="2" state="hidden" r:id="rId5"/>
    <sheet name="Form Số người" sheetId="7" r:id="rId6"/>
    <sheet name="KDTVN" sheetId="8" r:id="rId7"/>
    <sheet name="集計" sheetId="9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_DAT1">#REF!</definedName>
    <definedName name="_DAT10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xlnm._FilterDatabase" localSheetId="0" hidden="1">'6221'!$A$6:$BA$29</definedName>
    <definedName name="_xlnm._FilterDatabase" localSheetId="1" hidden="1">'6371'!$A$6:$BA$52</definedName>
    <definedName name="_xlnm._FilterDatabase" localSheetId="2" hidden="1">'6421'!$A$6:$BA$17</definedName>
    <definedName name="_xlnm._FilterDatabase" localSheetId="5" hidden="1">'Form Số người'!$A$2:$CE$171</definedName>
    <definedName name="_xlnm._FilterDatabase" localSheetId="4" hidden="1">Sheet1!$A$3:$E$72</definedName>
    <definedName name="_xlnm._FilterDatabase" localSheetId="7" hidden="1">集計!$A$1:$Q$1221</definedName>
    <definedName name="_Key1" hidden="1">#REF!</definedName>
    <definedName name="_Order1" hidden="1">255</definedName>
    <definedName name="_Sort" hidden="1">#REF!</definedName>
    <definedName name="Print_Tiles">#REF!</definedName>
    <definedName name="Q_ﾄﾞﾗﾑ社内売_塗工出荷_製品_">#REF!</definedName>
    <definedName name="Q_ドラム総_梱包出荷額_製品_">#REF!</definedName>
    <definedName name="Q_塗工出荷額_製品当り_ﾄﾞﾗﾑ_">#REF!</definedName>
    <definedName name="TEST0">#REF!</definedName>
    <definedName name="TEST1">#REF!</definedName>
    <definedName name="TESTKEYS">#REF!</definedName>
    <definedName name="TESTVKEY">#REF!</definedName>
    <definedName name="クエリー4">#REF!</definedName>
    <definedName name="採算表累積表">#REF!</definedName>
    <definedName name="採算表累積表1">#REF!</definedName>
    <definedName name="採算表累積表2">#REF!</definedName>
    <definedName name="採算表累積表3">#REF!</definedName>
    <definedName name="支給率Ａ">4.3</definedName>
    <definedName name="支給率Ｂ">6.3</definedName>
    <definedName name="実績予定表">#REF!</definedName>
    <definedName name="実績予定表1">#REF!</definedName>
    <definedName name="実績予定表2">#REF!</definedName>
    <definedName name="消費税">-INT(#REF!/1.05*0.05)</definedName>
    <definedName name="消費税率Ａ">1.03</definedName>
    <definedName name="消費税率Ｂ">1.05</definedName>
    <definedName name="生産5">#REF!</definedName>
    <definedName name="生産6">#REF!</definedName>
    <definedName name="生産７">#REF!</definedName>
    <definedName name="売上5">#REF!</definedName>
    <definedName name="売上6">#REF!</definedName>
    <definedName name="売上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6" i="8" l="1"/>
  <c r="L66" i="8"/>
  <c r="K66" i="8"/>
  <c r="J66" i="8"/>
  <c r="I66" i="8"/>
  <c r="H66" i="8"/>
  <c r="G66" i="8"/>
  <c r="F66" i="8"/>
  <c r="E66" i="8"/>
  <c r="D66" i="8"/>
  <c r="C66" i="8"/>
  <c r="B66" i="8"/>
  <c r="M65" i="8"/>
  <c r="L65" i="8"/>
  <c r="K65" i="8"/>
  <c r="J65" i="8"/>
  <c r="I65" i="8"/>
  <c r="H65" i="8"/>
  <c r="G65" i="8"/>
  <c r="F65" i="8"/>
  <c r="E65" i="8"/>
  <c r="D65" i="8"/>
  <c r="C65" i="8"/>
  <c r="B65" i="8"/>
  <c r="M64" i="8"/>
  <c r="L64" i="8"/>
  <c r="K64" i="8"/>
  <c r="J64" i="8"/>
  <c r="I64" i="8"/>
  <c r="H64" i="8"/>
  <c r="G64" i="8"/>
  <c r="F64" i="8"/>
  <c r="E64" i="8"/>
  <c r="D64" i="8"/>
  <c r="C64" i="8"/>
  <c r="B64" i="8"/>
  <c r="M63" i="8"/>
  <c r="L63" i="8"/>
  <c r="K63" i="8"/>
  <c r="J63" i="8"/>
  <c r="I63" i="8"/>
  <c r="H63" i="8"/>
  <c r="G63" i="8"/>
  <c r="F63" i="8"/>
  <c r="E63" i="8"/>
  <c r="D63" i="8"/>
  <c r="C63" i="8"/>
  <c r="B63" i="8"/>
  <c r="M62" i="8"/>
  <c r="L62" i="8"/>
  <c r="K62" i="8"/>
  <c r="J62" i="8"/>
  <c r="I62" i="8"/>
  <c r="H62" i="8"/>
  <c r="G62" i="8"/>
  <c r="F62" i="8"/>
  <c r="E62" i="8"/>
  <c r="D62" i="8"/>
  <c r="C62" i="8"/>
  <c r="B62" i="8"/>
  <c r="M59" i="8"/>
  <c r="L59" i="8"/>
  <c r="K59" i="8"/>
  <c r="J59" i="8"/>
  <c r="I59" i="8"/>
  <c r="H59" i="8"/>
  <c r="G59" i="8"/>
  <c r="F59" i="8"/>
  <c r="E59" i="8"/>
  <c r="D59" i="8"/>
  <c r="C59" i="8"/>
  <c r="B59" i="8"/>
  <c r="M58" i="8"/>
  <c r="L58" i="8"/>
  <c r="K58" i="8"/>
  <c r="J58" i="8"/>
  <c r="I58" i="8"/>
  <c r="H58" i="8"/>
  <c r="G58" i="8"/>
  <c r="F58" i="8"/>
  <c r="E58" i="8"/>
  <c r="D58" i="8"/>
  <c r="C58" i="8"/>
  <c r="B58" i="8"/>
  <c r="M57" i="8"/>
  <c r="L57" i="8"/>
  <c r="K57" i="8"/>
  <c r="J57" i="8"/>
  <c r="I57" i="8"/>
  <c r="H57" i="8"/>
  <c r="G57" i="8"/>
  <c r="F57" i="8"/>
  <c r="E57" i="8"/>
  <c r="D57" i="8"/>
  <c r="C57" i="8"/>
  <c r="B57" i="8"/>
  <c r="M56" i="8"/>
  <c r="L56" i="8"/>
  <c r="K56" i="8"/>
  <c r="J56" i="8"/>
  <c r="I56" i="8"/>
  <c r="H56" i="8"/>
  <c r="G56" i="8"/>
  <c r="F56" i="8"/>
  <c r="E56" i="8"/>
  <c r="D56" i="8"/>
  <c r="C56" i="8"/>
  <c r="B56" i="8"/>
  <c r="M55" i="8"/>
  <c r="L55" i="8"/>
  <c r="K55" i="8"/>
  <c r="J55" i="8"/>
  <c r="I55" i="8"/>
  <c r="H55" i="8"/>
  <c r="G55" i="8"/>
  <c r="F55" i="8"/>
  <c r="E55" i="8"/>
  <c r="D55" i="8"/>
  <c r="C55" i="8"/>
  <c r="B55" i="8"/>
  <c r="M52" i="8"/>
  <c r="L52" i="8"/>
  <c r="K52" i="8"/>
  <c r="J52" i="8"/>
  <c r="I52" i="8"/>
  <c r="H52" i="8"/>
  <c r="G52" i="8"/>
  <c r="F52" i="8"/>
  <c r="E52" i="8"/>
  <c r="D52" i="8"/>
  <c r="C52" i="8"/>
  <c r="M51" i="8"/>
  <c r="L51" i="8"/>
  <c r="K51" i="8"/>
  <c r="J51" i="8"/>
  <c r="I51" i="8"/>
  <c r="H51" i="8"/>
  <c r="G51" i="8"/>
  <c r="F51" i="8"/>
  <c r="E51" i="8"/>
  <c r="D51" i="8"/>
  <c r="C51" i="8"/>
  <c r="M50" i="8"/>
  <c r="L50" i="8"/>
  <c r="K50" i="8"/>
  <c r="J50" i="8"/>
  <c r="I50" i="8"/>
  <c r="H50" i="8"/>
  <c r="G50" i="8"/>
  <c r="F50" i="8"/>
  <c r="E50" i="8"/>
  <c r="D50" i="8"/>
  <c r="C50" i="8"/>
  <c r="M49" i="8"/>
  <c r="L49" i="8"/>
  <c r="K49" i="8"/>
  <c r="J49" i="8"/>
  <c r="I49" i="8"/>
  <c r="H49" i="8"/>
  <c r="G49" i="8"/>
  <c r="F49" i="8"/>
  <c r="E49" i="8"/>
  <c r="D49" i="8"/>
  <c r="C49" i="8"/>
  <c r="M48" i="8"/>
  <c r="L48" i="8"/>
  <c r="K48" i="8"/>
  <c r="J48" i="8"/>
  <c r="I48" i="8"/>
  <c r="H48" i="8"/>
  <c r="G48" i="8"/>
  <c r="F48" i="8"/>
  <c r="E48" i="8"/>
  <c r="D48" i="8"/>
  <c r="C48" i="8"/>
  <c r="B48" i="8"/>
  <c r="B49" i="8"/>
  <c r="B50" i="8"/>
  <c r="B51" i="8"/>
  <c r="B52" i="8"/>
  <c r="CC258" i="7"/>
  <c r="CA258" i="7"/>
  <c r="BZ258" i="7"/>
  <c r="BY258" i="7"/>
  <c r="BW258" i="7"/>
  <c r="BV258" i="7"/>
  <c r="BU258" i="7"/>
  <c r="BT258" i="7"/>
  <c r="BS258" i="7"/>
  <c r="BQ258" i="7"/>
  <c r="BP258" i="7"/>
  <c r="BO258" i="7"/>
  <c r="BN258" i="7"/>
  <c r="BM258" i="7"/>
  <c r="BK258" i="7"/>
  <c r="BJ258" i="7"/>
  <c r="BG258" i="7"/>
  <c r="BF258" i="7"/>
  <c r="BE258" i="7"/>
  <c r="BD258" i="7"/>
  <c r="BC258" i="7"/>
  <c r="BB258" i="7"/>
  <c r="BA258" i="7"/>
  <c r="AZ258" i="7"/>
  <c r="AY258" i="7"/>
  <c r="AV258" i="7"/>
  <c r="AT258" i="7"/>
  <c r="AS258" i="7"/>
  <c r="AR258" i="7"/>
  <c r="AP258" i="7"/>
  <c r="AO258" i="7"/>
  <c r="AN258" i="7"/>
  <c r="AM258" i="7"/>
  <c r="AL258" i="7"/>
  <c r="AI258" i="7"/>
  <c r="AH258" i="7"/>
  <c r="AG258" i="7"/>
  <c r="AE258" i="7"/>
  <c r="AD258" i="7"/>
  <c r="AB258" i="7"/>
  <c r="AA258" i="7"/>
  <c r="Z258" i="7"/>
  <c r="X258" i="7"/>
  <c r="W258" i="7"/>
  <c r="V258" i="7"/>
  <c r="U258" i="7"/>
  <c r="S258" i="7"/>
  <c r="Q258" i="7"/>
  <c r="P258" i="7"/>
  <c r="O258" i="7"/>
  <c r="N258" i="7"/>
  <c r="L258" i="7"/>
  <c r="K258" i="7"/>
  <c r="J258" i="7"/>
  <c r="I258" i="7"/>
  <c r="G258" i="7"/>
  <c r="F258" i="7"/>
  <c r="E258" i="7"/>
  <c r="D258" i="7"/>
  <c r="C258" i="7"/>
  <c r="CC257" i="7"/>
  <c r="CA257" i="7"/>
  <c r="BZ257" i="7"/>
  <c r="BY257" i="7"/>
  <c r="BW257" i="7"/>
  <c r="BV257" i="7"/>
  <c r="BU257" i="7"/>
  <c r="BT257" i="7"/>
  <c r="BS257" i="7"/>
  <c r="BQ257" i="7"/>
  <c r="BP257" i="7"/>
  <c r="BO257" i="7"/>
  <c r="BN257" i="7"/>
  <c r="BM257" i="7"/>
  <c r="BK257" i="7"/>
  <c r="BJ257" i="7"/>
  <c r="BG257" i="7"/>
  <c r="BF257" i="7"/>
  <c r="BE257" i="7"/>
  <c r="BD257" i="7"/>
  <c r="BC257" i="7"/>
  <c r="BB257" i="7"/>
  <c r="BA257" i="7"/>
  <c r="AZ257" i="7"/>
  <c r="AY257" i="7"/>
  <c r="AV257" i="7"/>
  <c r="AT257" i="7"/>
  <c r="AS257" i="7"/>
  <c r="AR257" i="7"/>
  <c r="AP257" i="7"/>
  <c r="AO257" i="7"/>
  <c r="AN257" i="7"/>
  <c r="AM257" i="7"/>
  <c r="AL257" i="7"/>
  <c r="AI257" i="7"/>
  <c r="AH257" i="7"/>
  <c r="AG257" i="7"/>
  <c r="AE257" i="7"/>
  <c r="AD257" i="7"/>
  <c r="AB257" i="7"/>
  <c r="AA257" i="7"/>
  <c r="Z257" i="7"/>
  <c r="X257" i="7"/>
  <c r="W257" i="7"/>
  <c r="V257" i="7"/>
  <c r="U257" i="7"/>
  <c r="S257" i="7"/>
  <c r="Q257" i="7"/>
  <c r="P257" i="7"/>
  <c r="O257" i="7"/>
  <c r="N257" i="7"/>
  <c r="L257" i="7"/>
  <c r="K257" i="7"/>
  <c r="J257" i="7"/>
  <c r="I257" i="7"/>
  <c r="G257" i="7"/>
  <c r="F257" i="7"/>
  <c r="E257" i="7"/>
  <c r="D257" i="7"/>
  <c r="C257" i="7"/>
  <c r="CC256" i="7"/>
  <c r="CA256" i="7"/>
  <c r="BZ256" i="7"/>
  <c r="BY256" i="7"/>
  <c r="BW256" i="7"/>
  <c r="BV256" i="7"/>
  <c r="BU256" i="7"/>
  <c r="BT256" i="7"/>
  <c r="BS256" i="7"/>
  <c r="BQ256" i="7"/>
  <c r="BP256" i="7"/>
  <c r="BO256" i="7"/>
  <c r="BN256" i="7"/>
  <c r="BM256" i="7"/>
  <c r="BK256" i="7"/>
  <c r="BJ256" i="7"/>
  <c r="BG256" i="7"/>
  <c r="BF256" i="7"/>
  <c r="BE256" i="7"/>
  <c r="BD256" i="7"/>
  <c r="BC256" i="7"/>
  <c r="BB256" i="7"/>
  <c r="BA256" i="7"/>
  <c r="AZ256" i="7"/>
  <c r="AY256" i="7"/>
  <c r="AV256" i="7"/>
  <c r="AT256" i="7"/>
  <c r="AS256" i="7"/>
  <c r="AR256" i="7"/>
  <c r="AP256" i="7"/>
  <c r="AO256" i="7"/>
  <c r="AN256" i="7"/>
  <c r="AM256" i="7"/>
  <c r="AL256" i="7"/>
  <c r="AI256" i="7"/>
  <c r="AH256" i="7"/>
  <c r="AG256" i="7"/>
  <c r="AE256" i="7"/>
  <c r="AD256" i="7"/>
  <c r="AB256" i="7"/>
  <c r="AA256" i="7"/>
  <c r="Z256" i="7"/>
  <c r="X256" i="7"/>
  <c r="W256" i="7"/>
  <c r="V256" i="7"/>
  <c r="U256" i="7"/>
  <c r="S256" i="7"/>
  <c r="Q256" i="7"/>
  <c r="P256" i="7"/>
  <c r="O256" i="7"/>
  <c r="N256" i="7"/>
  <c r="L256" i="7"/>
  <c r="K256" i="7"/>
  <c r="J256" i="7"/>
  <c r="I256" i="7"/>
  <c r="G256" i="7"/>
  <c r="F256" i="7"/>
  <c r="E256" i="7"/>
  <c r="D256" i="7"/>
  <c r="C256" i="7"/>
  <c r="CC255" i="7"/>
  <c r="CA255" i="7"/>
  <c r="BZ255" i="7"/>
  <c r="BY255" i="7"/>
  <c r="BW255" i="7"/>
  <c r="BV255" i="7"/>
  <c r="BU255" i="7"/>
  <c r="BT255" i="7"/>
  <c r="BS255" i="7"/>
  <c r="BQ255" i="7"/>
  <c r="BP255" i="7"/>
  <c r="BO255" i="7"/>
  <c r="BN255" i="7"/>
  <c r="BM255" i="7"/>
  <c r="BK255" i="7"/>
  <c r="BJ255" i="7"/>
  <c r="BG255" i="7"/>
  <c r="BF255" i="7"/>
  <c r="BE255" i="7"/>
  <c r="BD255" i="7"/>
  <c r="BC255" i="7"/>
  <c r="BB255" i="7"/>
  <c r="BA255" i="7"/>
  <c r="AZ255" i="7"/>
  <c r="AY255" i="7"/>
  <c r="AV255" i="7"/>
  <c r="AT255" i="7"/>
  <c r="AS255" i="7"/>
  <c r="AR255" i="7"/>
  <c r="AP255" i="7"/>
  <c r="AO255" i="7"/>
  <c r="AN255" i="7"/>
  <c r="AM255" i="7"/>
  <c r="AL255" i="7"/>
  <c r="AI255" i="7"/>
  <c r="AH255" i="7"/>
  <c r="AG255" i="7"/>
  <c r="AE255" i="7"/>
  <c r="AD255" i="7"/>
  <c r="AB255" i="7"/>
  <c r="AA255" i="7"/>
  <c r="Z255" i="7"/>
  <c r="X255" i="7"/>
  <c r="W255" i="7"/>
  <c r="V255" i="7"/>
  <c r="U255" i="7"/>
  <c r="S255" i="7"/>
  <c r="Q255" i="7"/>
  <c r="P255" i="7"/>
  <c r="O255" i="7"/>
  <c r="N255" i="7"/>
  <c r="L255" i="7"/>
  <c r="K255" i="7"/>
  <c r="J255" i="7"/>
  <c r="I255" i="7"/>
  <c r="G255" i="7"/>
  <c r="F255" i="7"/>
  <c r="E255" i="7"/>
  <c r="D255" i="7"/>
  <c r="C255" i="7"/>
  <c r="CC254" i="7"/>
  <c r="CA254" i="7"/>
  <c r="BZ254" i="7"/>
  <c r="BY254" i="7"/>
  <c r="BW254" i="7"/>
  <c r="BV254" i="7"/>
  <c r="BU254" i="7"/>
  <c r="BT254" i="7"/>
  <c r="BS254" i="7"/>
  <c r="BQ254" i="7"/>
  <c r="BP254" i="7"/>
  <c r="BO254" i="7"/>
  <c r="BN254" i="7"/>
  <c r="BM254" i="7"/>
  <c r="BK254" i="7"/>
  <c r="BJ254" i="7"/>
  <c r="BG254" i="7"/>
  <c r="BF254" i="7"/>
  <c r="BE254" i="7"/>
  <c r="BD254" i="7"/>
  <c r="BC254" i="7"/>
  <c r="BB254" i="7"/>
  <c r="BA254" i="7"/>
  <c r="AZ254" i="7"/>
  <c r="AY254" i="7"/>
  <c r="AV254" i="7"/>
  <c r="AT254" i="7"/>
  <c r="AS254" i="7"/>
  <c r="AR254" i="7"/>
  <c r="AP254" i="7"/>
  <c r="AO254" i="7"/>
  <c r="AN254" i="7"/>
  <c r="AM254" i="7"/>
  <c r="AL254" i="7"/>
  <c r="AI254" i="7"/>
  <c r="AH254" i="7"/>
  <c r="AG254" i="7"/>
  <c r="AE254" i="7"/>
  <c r="AD254" i="7"/>
  <c r="AB254" i="7"/>
  <c r="AA254" i="7"/>
  <c r="Z254" i="7"/>
  <c r="X254" i="7"/>
  <c r="W254" i="7"/>
  <c r="V254" i="7"/>
  <c r="U254" i="7"/>
  <c r="S254" i="7"/>
  <c r="Q254" i="7"/>
  <c r="P254" i="7"/>
  <c r="O254" i="7"/>
  <c r="N254" i="7"/>
  <c r="L254" i="7"/>
  <c r="K254" i="7"/>
  <c r="J254" i="7"/>
  <c r="I254" i="7"/>
  <c r="G254" i="7"/>
  <c r="F254" i="7"/>
  <c r="E254" i="7"/>
  <c r="D254" i="7"/>
  <c r="C254" i="7"/>
  <c r="CE253" i="7"/>
  <c r="CD253" i="7"/>
  <c r="CC253" i="7"/>
  <c r="CB253" i="7"/>
  <c r="CA253" i="7"/>
  <c r="BZ253" i="7"/>
  <c r="BY253" i="7"/>
  <c r="BX253" i="7"/>
  <c r="BW253" i="7"/>
  <c r="BV253" i="7"/>
  <c r="BU253" i="7"/>
  <c r="BT253" i="7"/>
  <c r="BS253" i="7"/>
  <c r="BR253" i="7"/>
  <c r="BQ253" i="7"/>
  <c r="BP253" i="7"/>
  <c r="BO253" i="7"/>
  <c r="BN253" i="7"/>
  <c r="BM253" i="7"/>
  <c r="BL253" i="7"/>
  <c r="BK253" i="7"/>
  <c r="BJ253" i="7"/>
  <c r="BI253" i="7"/>
  <c r="BH253" i="7"/>
  <c r="BG253" i="7"/>
  <c r="BF253" i="7"/>
  <c r="BE253" i="7"/>
  <c r="BD253" i="7"/>
  <c r="BC253" i="7"/>
  <c r="BB253" i="7"/>
  <c r="BA253" i="7"/>
  <c r="AZ253" i="7"/>
  <c r="AY253" i="7"/>
  <c r="AX253" i="7"/>
  <c r="AW253" i="7"/>
  <c r="AV253" i="7"/>
  <c r="AU253" i="7"/>
  <c r="AT253" i="7"/>
  <c r="AS253" i="7"/>
  <c r="AR253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CE252" i="7"/>
  <c r="CD252" i="7"/>
  <c r="CC252" i="7"/>
  <c r="CB252" i="7"/>
  <c r="CA252" i="7"/>
  <c r="BZ252" i="7"/>
  <c r="BY252" i="7"/>
  <c r="BX252" i="7"/>
  <c r="BW252" i="7"/>
  <c r="BV252" i="7"/>
  <c r="BU252" i="7"/>
  <c r="BT252" i="7"/>
  <c r="BS252" i="7"/>
  <c r="BR252" i="7"/>
  <c r="BQ252" i="7"/>
  <c r="BP252" i="7"/>
  <c r="BO252" i="7"/>
  <c r="BN252" i="7"/>
  <c r="BM252" i="7"/>
  <c r="BL252" i="7"/>
  <c r="BK252" i="7"/>
  <c r="BJ252" i="7"/>
  <c r="BI252" i="7"/>
  <c r="BH252" i="7"/>
  <c r="BG252" i="7"/>
  <c r="BF252" i="7"/>
  <c r="BE252" i="7"/>
  <c r="BD252" i="7"/>
  <c r="BC252" i="7"/>
  <c r="BB252" i="7"/>
  <c r="BA252" i="7"/>
  <c r="AZ252" i="7"/>
  <c r="AY252" i="7"/>
  <c r="AX252" i="7"/>
  <c r="AW252" i="7"/>
  <c r="AV252" i="7"/>
  <c r="AU252" i="7"/>
  <c r="AT252" i="7"/>
  <c r="AS252" i="7"/>
  <c r="AR252" i="7"/>
  <c r="AQ252" i="7"/>
  <c r="AP252" i="7"/>
  <c r="AO252" i="7"/>
  <c r="AN252" i="7"/>
  <c r="AM252" i="7"/>
  <c r="AL252" i="7"/>
  <c r="AK252" i="7"/>
  <c r="AJ252" i="7"/>
  <c r="AI252" i="7"/>
  <c r="AH252" i="7"/>
  <c r="AG252" i="7"/>
  <c r="AF252" i="7"/>
  <c r="AE252" i="7"/>
  <c r="AD252" i="7"/>
  <c r="AC252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CC251" i="7"/>
  <c r="CA251" i="7"/>
  <c r="BZ251" i="7"/>
  <c r="BY251" i="7"/>
  <c r="BW251" i="7"/>
  <c r="BV251" i="7"/>
  <c r="BU251" i="7"/>
  <c r="BT251" i="7"/>
  <c r="BS251" i="7"/>
  <c r="BQ251" i="7"/>
  <c r="BP251" i="7"/>
  <c r="BO251" i="7"/>
  <c r="BN251" i="7"/>
  <c r="BM251" i="7"/>
  <c r="BK251" i="7"/>
  <c r="BJ251" i="7"/>
  <c r="BG251" i="7"/>
  <c r="BF251" i="7"/>
  <c r="BE251" i="7"/>
  <c r="BD251" i="7"/>
  <c r="BC251" i="7"/>
  <c r="BB251" i="7"/>
  <c r="BA251" i="7"/>
  <c r="AZ251" i="7"/>
  <c r="AY251" i="7"/>
  <c r="AV251" i="7"/>
  <c r="AT251" i="7"/>
  <c r="AS251" i="7"/>
  <c r="AR251" i="7"/>
  <c r="AP251" i="7"/>
  <c r="AO251" i="7"/>
  <c r="AN251" i="7"/>
  <c r="AM251" i="7"/>
  <c r="AL251" i="7"/>
  <c r="AI251" i="7"/>
  <c r="AH251" i="7"/>
  <c r="AG251" i="7"/>
  <c r="AE251" i="7"/>
  <c r="AD251" i="7"/>
  <c r="AB251" i="7"/>
  <c r="AA251" i="7"/>
  <c r="Z251" i="7"/>
  <c r="X251" i="7"/>
  <c r="W251" i="7"/>
  <c r="V251" i="7"/>
  <c r="U251" i="7"/>
  <c r="S251" i="7"/>
  <c r="Q251" i="7"/>
  <c r="P251" i="7"/>
  <c r="O251" i="7"/>
  <c r="N251" i="7"/>
  <c r="L251" i="7"/>
  <c r="K251" i="7"/>
  <c r="J251" i="7"/>
  <c r="I251" i="7"/>
  <c r="G251" i="7"/>
  <c r="F251" i="7"/>
  <c r="E251" i="7"/>
  <c r="D251" i="7"/>
  <c r="C251" i="7"/>
  <c r="CC250" i="7"/>
  <c r="CA250" i="7"/>
  <c r="BZ250" i="7"/>
  <c r="BY250" i="7"/>
  <c r="BW250" i="7"/>
  <c r="BV250" i="7"/>
  <c r="BU250" i="7"/>
  <c r="BT250" i="7"/>
  <c r="BS250" i="7"/>
  <c r="BQ250" i="7"/>
  <c r="BP250" i="7"/>
  <c r="BO250" i="7"/>
  <c r="BN250" i="7"/>
  <c r="BM250" i="7"/>
  <c r="BK250" i="7"/>
  <c r="BJ250" i="7"/>
  <c r="BG250" i="7"/>
  <c r="BF250" i="7"/>
  <c r="BE250" i="7"/>
  <c r="BD250" i="7"/>
  <c r="BC250" i="7"/>
  <c r="BB250" i="7"/>
  <c r="BA250" i="7"/>
  <c r="AZ250" i="7"/>
  <c r="AY250" i="7"/>
  <c r="AV250" i="7"/>
  <c r="AT250" i="7"/>
  <c r="AS250" i="7"/>
  <c r="AR250" i="7"/>
  <c r="AP250" i="7"/>
  <c r="AO250" i="7"/>
  <c r="AN250" i="7"/>
  <c r="AM250" i="7"/>
  <c r="AL250" i="7"/>
  <c r="AI250" i="7"/>
  <c r="AH250" i="7"/>
  <c r="AG250" i="7"/>
  <c r="AE250" i="7"/>
  <c r="AD250" i="7"/>
  <c r="AB250" i="7"/>
  <c r="AA250" i="7"/>
  <c r="Z250" i="7"/>
  <c r="X250" i="7"/>
  <c r="W250" i="7"/>
  <c r="V250" i="7"/>
  <c r="U250" i="7"/>
  <c r="S250" i="7"/>
  <c r="Q250" i="7"/>
  <c r="P250" i="7"/>
  <c r="O250" i="7"/>
  <c r="N250" i="7"/>
  <c r="L250" i="7"/>
  <c r="K250" i="7"/>
  <c r="J250" i="7"/>
  <c r="I250" i="7"/>
  <c r="G250" i="7"/>
  <c r="F250" i="7"/>
  <c r="E250" i="7"/>
  <c r="D250" i="7"/>
  <c r="C250" i="7"/>
  <c r="CC249" i="7"/>
  <c r="CA249" i="7"/>
  <c r="BZ249" i="7"/>
  <c r="BY249" i="7"/>
  <c r="BW249" i="7"/>
  <c r="BV249" i="7"/>
  <c r="BU249" i="7"/>
  <c r="BT249" i="7"/>
  <c r="BS249" i="7"/>
  <c r="BQ249" i="7"/>
  <c r="BP249" i="7"/>
  <c r="BO249" i="7"/>
  <c r="BN249" i="7"/>
  <c r="BM249" i="7"/>
  <c r="BK249" i="7"/>
  <c r="BJ249" i="7"/>
  <c r="BG249" i="7"/>
  <c r="BF249" i="7"/>
  <c r="BE249" i="7"/>
  <c r="BD249" i="7"/>
  <c r="BC249" i="7"/>
  <c r="BB249" i="7"/>
  <c r="BA249" i="7"/>
  <c r="AZ249" i="7"/>
  <c r="AY249" i="7"/>
  <c r="AV249" i="7"/>
  <c r="AT249" i="7"/>
  <c r="AS249" i="7"/>
  <c r="AR249" i="7"/>
  <c r="AP249" i="7"/>
  <c r="AO249" i="7"/>
  <c r="AN249" i="7"/>
  <c r="AM249" i="7"/>
  <c r="AL249" i="7"/>
  <c r="AI249" i="7"/>
  <c r="AH249" i="7"/>
  <c r="AG249" i="7"/>
  <c r="AE249" i="7"/>
  <c r="AD249" i="7"/>
  <c r="AB249" i="7"/>
  <c r="AA249" i="7"/>
  <c r="Z249" i="7"/>
  <c r="X249" i="7"/>
  <c r="W249" i="7"/>
  <c r="V249" i="7"/>
  <c r="U249" i="7"/>
  <c r="S249" i="7"/>
  <c r="Q249" i="7"/>
  <c r="P249" i="7"/>
  <c r="O249" i="7"/>
  <c r="N249" i="7"/>
  <c r="L249" i="7"/>
  <c r="K249" i="7"/>
  <c r="J249" i="7"/>
  <c r="I249" i="7"/>
  <c r="G249" i="7"/>
  <c r="F249" i="7"/>
  <c r="E249" i="7"/>
  <c r="D249" i="7"/>
  <c r="C249" i="7"/>
  <c r="CC248" i="7"/>
  <c r="CA248" i="7"/>
  <c r="BZ248" i="7"/>
  <c r="BY248" i="7"/>
  <c r="BW248" i="7"/>
  <c r="BV248" i="7"/>
  <c r="BU248" i="7"/>
  <c r="BT248" i="7"/>
  <c r="BS248" i="7"/>
  <c r="BQ248" i="7"/>
  <c r="BP248" i="7"/>
  <c r="BO248" i="7"/>
  <c r="BN248" i="7"/>
  <c r="BM248" i="7"/>
  <c r="BK248" i="7"/>
  <c r="BJ248" i="7"/>
  <c r="BG248" i="7"/>
  <c r="BF248" i="7"/>
  <c r="BE248" i="7"/>
  <c r="BD248" i="7"/>
  <c r="BC248" i="7"/>
  <c r="BB248" i="7"/>
  <c r="BA248" i="7"/>
  <c r="AZ248" i="7"/>
  <c r="AY248" i="7"/>
  <c r="AV248" i="7"/>
  <c r="AT248" i="7"/>
  <c r="AS248" i="7"/>
  <c r="AR248" i="7"/>
  <c r="AP248" i="7"/>
  <c r="AO248" i="7"/>
  <c r="AN248" i="7"/>
  <c r="AM248" i="7"/>
  <c r="AL248" i="7"/>
  <c r="AI248" i="7"/>
  <c r="AH248" i="7"/>
  <c r="AG248" i="7"/>
  <c r="AE248" i="7"/>
  <c r="AD248" i="7"/>
  <c r="AB248" i="7"/>
  <c r="AA248" i="7"/>
  <c r="Z248" i="7"/>
  <c r="X248" i="7"/>
  <c r="W248" i="7"/>
  <c r="V248" i="7"/>
  <c r="U248" i="7"/>
  <c r="S248" i="7"/>
  <c r="Q248" i="7"/>
  <c r="P248" i="7"/>
  <c r="O248" i="7"/>
  <c r="N248" i="7"/>
  <c r="L248" i="7"/>
  <c r="K248" i="7"/>
  <c r="J248" i="7"/>
  <c r="I248" i="7"/>
  <c r="G248" i="7"/>
  <c r="F248" i="7"/>
  <c r="E248" i="7"/>
  <c r="D248" i="7"/>
  <c r="C248" i="7"/>
  <c r="CC247" i="7"/>
  <c r="CA247" i="7"/>
  <c r="BZ247" i="7"/>
  <c r="BY247" i="7"/>
  <c r="BW247" i="7"/>
  <c r="BV247" i="7"/>
  <c r="BU247" i="7"/>
  <c r="BT247" i="7"/>
  <c r="BS247" i="7"/>
  <c r="BQ247" i="7"/>
  <c r="BP247" i="7"/>
  <c r="BO247" i="7"/>
  <c r="BN247" i="7"/>
  <c r="BM247" i="7"/>
  <c r="BK247" i="7"/>
  <c r="BJ247" i="7"/>
  <c r="BG247" i="7"/>
  <c r="BF247" i="7"/>
  <c r="BE247" i="7"/>
  <c r="BD247" i="7"/>
  <c r="BC247" i="7"/>
  <c r="BB247" i="7"/>
  <c r="BA247" i="7"/>
  <c r="AZ247" i="7"/>
  <c r="AY247" i="7"/>
  <c r="AV247" i="7"/>
  <c r="AT247" i="7"/>
  <c r="AS247" i="7"/>
  <c r="AR247" i="7"/>
  <c r="AP247" i="7"/>
  <c r="AO247" i="7"/>
  <c r="AN247" i="7"/>
  <c r="AM247" i="7"/>
  <c r="AL247" i="7"/>
  <c r="AI247" i="7"/>
  <c r="AH247" i="7"/>
  <c r="AG247" i="7"/>
  <c r="AE247" i="7"/>
  <c r="AD247" i="7"/>
  <c r="AB247" i="7"/>
  <c r="AA247" i="7"/>
  <c r="Z247" i="7"/>
  <c r="X247" i="7"/>
  <c r="W247" i="7"/>
  <c r="V247" i="7"/>
  <c r="U247" i="7"/>
  <c r="S247" i="7"/>
  <c r="Q247" i="7"/>
  <c r="P247" i="7"/>
  <c r="O247" i="7"/>
  <c r="N247" i="7"/>
  <c r="L247" i="7"/>
  <c r="K247" i="7"/>
  <c r="J247" i="7"/>
  <c r="I247" i="7"/>
  <c r="G247" i="7"/>
  <c r="F247" i="7"/>
  <c r="E247" i="7"/>
  <c r="D247" i="7"/>
  <c r="C247" i="7"/>
  <c r="CE246" i="7"/>
  <c r="CD246" i="7"/>
  <c r="CC246" i="7"/>
  <c r="CB246" i="7"/>
  <c r="CA246" i="7"/>
  <c r="BZ246" i="7"/>
  <c r="BY246" i="7"/>
  <c r="BX246" i="7"/>
  <c r="BW246" i="7"/>
  <c r="BV246" i="7"/>
  <c r="BU246" i="7"/>
  <c r="BT246" i="7"/>
  <c r="BS246" i="7"/>
  <c r="BR246" i="7"/>
  <c r="BQ246" i="7"/>
  <c r="BP246" i="7"/>
  <c r="BO246" i="7"/>
  <c r="BN246" i="7"/>
  <c r="BM246" i="7"/>
  <c r="BL246" i="7"/>
  <c r="BK246" i="7"/>
  <c r="BJ246" i="7"/>
  <c r="BI246" i="7"/>
  <c r="BH246" i="7"/>
  <c r="BG246" i="7"/>
  <c r="BF246" i="7"/>
  <c r="BE246" i="7"/>
  <c r="BD246" i="7"/>
  <c r="BC246" i="7"/>
  <c r="BB246" i="7"/>
  <c r="BA246" i="7"/>
  <c r="AZ246" i="7"/>
  <c r="AY246" i="7"/>
  <c r="AX246" i="7"/>
  <c r="AW246" i="7"/>
  <c r="AV246" i="7"/>
  <c r="AU246" i="7"/>
  <c r="AT246" i="7"/>
  <c r="AS246" i="7"/>
  <c r="AR246" i="7"/>
  <c r="AQ246" i="7"/>
  <c r="AP246" i="7"/>
  <c r="AO246" i="7"/>
  <c r="AN246" i="7"/>
  <c r="AM246" i="7"/>
  <c r="AL246" i="7"/>
  <c r="AK246" i="7"/>
  <c r="AJ246" i="7"/>
  <c r="AI246" i="7"/>
  <c r="AH246" i="7"/>
  <c r="AG246" i="7"/>
  <c r="AF246" i="7"/>
  <c r="AE246" i="7"/>
  <c r="AD246" i="7"/>
  <c r="AC246" i="7"/>
  <c r="AB246" i="7"/>
  <c r="AA246" i="7"/>
  <c r="Z246" i="7"/>
  <c r="Y246" i="7"/>
  <c r="X246" i="7"/>
  <c r="W246" i="7"/>
  <c r="V246" i="7"/>
  <c r="U246" i="7"/>
  <c r="T246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CE245" i="7"/>
  <c r="CD245" i="7"/>
  <c r="CC245" i="7"/>
  <c r="CB245" i="7"/>
  <c r="CA245" i="7"/>
  <c r="BZ245" i="7"/>
  <c r="BY245" i="7"/>
  <c r="BX245" i="7"/>
  <c r="BW245" i="7"/>
  <c r="BV245" i="7"/>
  <c r="BU245" i="7"/>
  <c r="BT245" i="7"/>
  <c r="BS245" i="7"/>
  <c r="BR245" i="7"/>
  <c r="BQ245" i="7"/>
  <c r="BP245" i="7"/>
  <c r="BO245" i="7"/>
  <c r="BN245" i="7"/>
  <c r="BM245" i="7"/>
  <c r="BL245" i="7"/>
  <c r="BK245" i="7"/>
  <c r="BJ245" i="7"/>
  <c r="BI245" i="7"/>
  <c r="BH245" i="7"/>
  <c r="BG245" i="7"/>
  <c r="BF245" i="7"/>
  <c r="BE245" i="7"/>
  <c r="BD245" i="7"/>
  <c r="BC245" i="7"/>
  <c r="BB245" i="7"/>
  <c r="BA245" i="7"/>
  <c r="AZ245" i="7"/>
  <c r="AY245" i="7"/>
  <c r="AX245" i="7"/>
  <c r="AW245" i="7"/>
  <c r="AV245" i="7"/>
  <c r="AU245" i="7"/>
  <c r="AT245" i="7"/>
  <c r="AS245" i="7"/>
  <c r="AR245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AE245" i="7"/>
  <c r="AD245" i="7"/>
  <c r="AC245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CC244" i="7"/>
  <c r="CA244" i="7"/>
  <c r="BZ244" i="7"/>
  <c r="BY244" i="7"/>
  <c r="BW244" i="7"/>
  <c r="BV244" i="7"/>
  <c r="BU244" i="7"/>
  <c r="BT244" i="7"/>
  <c r="BS244" i="7"/>
  <c r="BQ244" i="7"/>
  <c r="BP244" i="7"/>
  <c r="BO244" i="7"/>
  <c r="BN244" i="7"/>
  <c r="BM244" i="7"/>
  <c r="BK244" i="7"/>
  <c r="BJ244" i="7"/>
  <c r="BG244" i="7"/>
  <c r="BF244" i="7"/>
  <c r="BE244" i="7"/>
  <c r="BD244" i="7"/>
  <c r="BC244" i="7"/>
  <c r="BB244" i="7"/>
  <c r="BA244" i="7"/>
  <c r="AZ244" i="7"/>
  <c r="AY244" i="7"/>
  <c r="AV244" i="7"/>
  <c r="AT244" i="7"/>
  <c r="AS244" i="7"/>
  <c r="AR244" i="7"/>
  <c r="AP244" i="7"/>
  <c r="AO244" i="7"/>
  <c r="AN244" i="7"/>
  <c r="AM244" i="7"/>
  <c r="AL244" i="7"/>
  <c r="AI244" i="7"/>
  <c r="AH244" i="7"/>
  <c r="AG244" i="7"/>
  <c r="AE244" i="7"/>
  <c r="AD244" i="7"/>
  <c r="AB244" i="7"/>
  <c r="AA244" i="7"/>
  <c r="Z244" i="7"/>
  <c r="X244" i="7"/>
  <c r="W244" i="7"/>
  <c r="V244" i="7"/>
  <c r="U244" i="7"/>
  <c r="S244" i="7"/>
  <c r="Q244" i="7"/>
  <c r="P244" i="7"/>
  <c r="O244" i="7"/>
  <c r="N244" i="7"/>
  <c r="L244" i="7"/>
  <c r="K244" i="7"/>
  <c r="J244" i="7"/>
  <c r="I244" i="7"/>
  <c r="G244" i="7"/>
  <c r="F244" i="7"/>
  <c r="E244" i="7"/>
  <c r="D244" i="7"/>
  <c r="C244" i="7"/>
  <c r="CC243" i="7"/>
  <c r="CA243" i="7"/>
  <c r="BZ243" i="7"/>
  <c r="BY243" i="7"/>
  <c r="BW243" i="7"/>
  <c r="BV243" i="7"/>
  <c r="BU243" i="7"/>
  <c r="BT243" i="7"/>
  <c r="BS243" i="7"/>
  <c r="BQ243" i="7"/>
  <c r="BP243" i="7"/>
  <c r="BO243" i="7"/>
  <c r="BN243" i="7"/>
  <c r="BM243" i="7"/>
  <c r="BK243" i="7"/>
  <c r="BJ243" i="7"/>
  <c r="BG243" i="7"/>
  <c r="BF243" i="7"/>
  <c r="BE243" i="7"/>
  <c r="BD243" i="7"/>
  <c r="BC243" i="7"/>
  <c r="BB243" i="7"/>
  <c r="BA243" i="7"/>
  <c r="AZ243" i="7"/>
  <c r="AY243" i="7"/>
  <c r="AV243" i="7"/>
  <c r="AT243" i="7"/>
  <c r="AS243" i="7"/>
  <c r="AR243" i="7"/>
  <c r="AP243" i="7"/>
  <c r="AO243" i="7"/>
  <c r="AN243" i="7"/>
  <c r="AM243" i="7"/>
  <c r="AL243" i="7"/>
  <c r="AI243" i="7"/>
  <c r="AH243" i="7"/>
  <c r="AG243" i="7"/>
  <c r="AE243" i="7"/>
  <c r="AD243" i="7"/>
  <c r="AB243" i="7"/>
  <c r="AA243" i="7"/>
  <c r="Z243" i="7"/>
  <c r="X243" i="7"/>
  <c r="W243" i="7"/>
  <c r="V243" i="7"/>
  <c r="U243" i="7"/>
  <c r="S243" i="7"/>
  <c r="Q243" i="7"/>
  <c r="P243" i="7"/>
  <c r="O243" i="7"/>
  <c r="N243" i="7"/>
  <c r="L243" i="7"/>
  <c r="K243" i="7"/>
  <c r="J243" i="7"/>
  <c r="I243" i="7"/>
  <c r="G243" i="7"/>
  <c r="F243" i="7"/>
  <c r="E243" i="7"/>
  <c r="D243" i="7"/>
  <c r="C243" i="7"/>
  <c r="CC242" i="7"/>
  <c r="CA242" i="7"/>
  <c r="BZ242" i="7"/>
  <c r="BY242" i="7"/>
  <c r="BW242" i="7"/>
  <c r="BV242" i="7"/>
  <c r="BU242" i="7"/>
  <c r="BT242" i="7"/>
  <c r="BS242" i="7"/>
  <c r="BQ242" i="7"/>
  <c r="BP242" i="7"/>
  <c r="BO242" i="7"/>
  <c r="BN242" i="7"/>
  <c r="BM242" i="7"/>
  <c r="BK242" i="7"/>
  <c r="BJ242" i="7"/>
  <c r="BG242" i="7"/>
  <c r="BF242" i="7"/>
  <c r="BE242" i="7"/>
  <c r="BD242" i="7"/>
  <c r="BC242" i="7"/>
  <c r="BB242" i="7"/>
  <c r="BA242" i="7"/>
  <c r="AZ242" i="7"/>
  <c r="AY242" i="7"/>
  <c r="AV242" i="7"/>
  <c r="AT242" i="7"/>
  <c r="AS242" i="7"/>
  <c r="AR242" i="7"/>
  <c r="AP242" i="7"/>
  <c r="AO242" i="7"/>
  <c r="AN242" i="7"/>
  <c r="AM242" i="7"/>
  <c r="AL242" i="7"/>
  <c r="AI242" i="7"/>
  <c r="AH242" i="7"/>
  <c r="AG242" i="7"/>
  <c r="AE242" i="7"/>
  <c r="AD242" i="7"/>
  <c r="AB242" i="7"/>
  <c r="AA242" i="7"/>
  <c r="Z242" i="7"/>
  <c r="X242" i="7"/>
  <c r="W242" i="7"/>
  <c r="V242" i="7"/>
  <c r="U242" i="7"/>
  <c r="S242" i="7"/>
  <c r="Q242" i="7"/>
  <c r="P242" i="7"/>
  <c r="O242" i="7"/>
  <c r="N242" i="7"/>
  <c r="L242" i="7"/>
  <c r="K242" i="7"/>
  <c r="J242" i="7"/>
  <c r="I242" i="7"/>
  <c r="G242" i="7"/>
  <c r="F242" i="7"/>
  <c r="E242" i="7"/>
  <c r="D242" i="7"/>
  <c r="C242" i="7"/>
  <c r="CC241" i="7"/>
  <c r="CA241" i="7"/>
  <c r="BZ241" i="7"/>
  <c r="BY241" i="7"/>
  <c r="BW241" i="7"/>
  <c r="BV241" i="7"/>
  <c r="BU241" i="7"/>
  <c r="BT241" i="7"/>
  <c r="BS241" i="7"/>
  <c r="BQ241" i="7"/>
  <c r="BP241" i="7"/>
  <c r="BO241" i="7"/>
  <c r="BN241" i="7"/>
  <c r="BM241" i="7"/>
  <c r="BK241" i="7"/>
  <c r="BJ241" i="7"/>
  <c r="BG241" i="7"/>
  <c r="BF241" i="7"/>
  <c r="BE241" i="7"/>
  <c r="BD241" i="7"/>
  <c r="BC241" i="7"/>
  <c r="BB241" i="7"/>
  <c r="BA241" i="7"/>
  <c r="AZ241" i="7"/>
  <c r="AY241" i="7"/>
  <c r="AV241" i="7"/>
  <c r="AT241" i="7"/>
  <c r="AS241" i="7"/>
  <c r="AR241" i="7"/>
  <c r="AP241" i="7"/>
  <c r="AO241" i="7"/>
  <c r="AN241" i="7"/>
  <c r="AM241" i="7"/>
  <c r="AL241" i="7"/>
  <c r="AI241" i="7"/>
  <c r="AH241" i="7"/>
  <c r="AG241" i="7"/>
  <c r="AE241" i="7"/>
  <c r="AD241" i="7"/>
  <c r="AB241" i="7"/>
  <c r="AA241" i="7"/>
  <c r="Z241" i="7"/>
  <c r="X241" i="7"/>
  <c r="W241" i="7"/>
  <c r="V241" i="7"/>
  <c r="U241" i="7"/>
  <c r="S241" i="7"/>
  <c r="Q241" i="7"/>
  <c r="P241" i="7"/>
  <c r="O241" i="7"/>
  <c r="N241" i="7"/>
  <c r="L241" i="7"/>
  <c r="K241" i="7"/>
  <c r="J241" i="7"/>
  <c r="I241" i="7"/>
  <c r="G241" i="7"/>
  <c r="F241" i="7"/>
  <c r="E241" i="7"/>
  <c r="D241" i="7"/>
  <c r="C241" i="7"/>
  <c r="CC240" i="7"/>
  <c r="CA240" i="7"/>
  <c r="BZ240" i="7"/>
  <c r="BY240" i="7"/>
  <c r="BW240" i="7"/>
  <c r="BV240" i="7"/>
  <c r="BU240" i="7"/>
  <c r="BT240" i="7"/>
  <c r="BS240" i="7"/>
  <c r="BQ240" i="7"/>
  <c r="BP240" i="7"/>
  <c r="BO240" i="7"/>
  <c r="BN240" i="7"/>
  <c r="BM240" i="7"/>
  <c r="BK240" i="7"/>
  <c r="BJ240" i="7"/>
  <c r="BG240" i="7"/>
  <c r="BF240" i="7"/>
  <c r="BE240" i="7"/>
  <c r="BD240" i="7"/>
  <c r="BC240" i="7"/>
  <c r="BB240" i="7"/>
  <c r="BA240" i="7"/>
  <c r="AZ240" i="7"/>
  <c r="AY240" i="7"/>
  <c r="AV240" i="7"/>
  <c r="AT240" i="7"/>
  <c r="AS240" i="7"/>
  <c r="AR240" i="7"/>
  <c r="AP240" i="7"/>
  <c r="AO240" i="7"/>
  <c r="AN240" i="7"/>
  <c r="AM240" i="7"/>
  <c r="AL240" i="7"/>
  <c r="AI240" i="7"/>
  <c r="AH240" i="7"/>
  <c r="AG240" i="7"/>
  <c r="AE240" i="7"/>
  <c r="AD240" i="7"/>
  <c r="AB240" i="7"/>
  <c r="AA240" i="7"/>
  <c r="Z240" i="7"/>
  <c r="X240" i="7"/>
  <c r="W240" i="7"/>
  <c r="V240" i="7"/>
  <c r="U240" i="7"/>
  <c r="S240" i="7"/>
  <c r="Q240" i="7"/>
  <c r="P240" i="7"/>
  <c r="O240" i="7"/>
  <c r="N240" i="7"/>
  <c r="L240" i="7"/>
  <c r="K240" i="7"/>
  <c r="J240" i="7"/>
  <c r="I240" i="7"/>
  <c r="G240" i="7"/>
  <c r="F240" i="7"/>
  <c r="E240" i="7"/>
  <c r="D240" i="7"/>
  <c r="C240" i="7"/>
  <c r="CE239" i="7"/>
  <c r="CD239" i="7"/>
  <c r="CC239" i="7"/>
  <c r="CB239" i="7"/>
  <c r="CA239" i="7"/>
  <c r="BZ239" i="7"/>
  <c r="BY239" i="7"/>
  <c r="BX239" i="7"/>
  <c r="BW239" i="7"/>
  <c r="BV239" i="7"/>
  <c r="BU239" i="7"/>
  <c r="BT239" i="7"/>
  <c r="BS239" i="7"/>
  <c r="BR239" i="7"/>
  <c r="BQ239" i="7"/>
  <c r="BP239" i="7"/>
  <c r="BO239" i="7"/>
  <c r="BN239" i="7"/>
  <c r="BM239" i="7"/>
  <c r="BL239" i="7"/>
  <c r="BK239" i="7"/>
  <c r="BJ239" i="7"/>
  <c r="BI239" i="7"/>
  <c r="BH239" i="7"/>
  <c r="BG239" i="7"/>
  <c r="BF239" i="7"/>
  <c r="BE239" i="7"/>
  <c r="BD239" i="7"/>
  <c r="BC239" i="7"/>
  <c r="BB239" i="7"/>
  <c r="BA239" i="7"/>
  <c r="AZ239" i="7"/>
  <c r="AY239" i="7"/>
  <c r="AX239" i="7"/>
  <c r="AW239" i="7"/>
  <c r="AV239" i="7"/>
  <c r="AU239" i="7"/>
  <c r="AT239" i="7"/>
  <c r="AS239" i="7"/>
  <c r="AR239" i="7"/>
  <c r="AQ239" i="7"/>
  <c r="AP239" i="7"/>
  <c r="AO239" i="7"/>
  <c r="AN239" i="7"/>
  <c r="AM239" i="7"/>
  <c r="AL239" i="7"/>
  <c r="AK239" i="7"/>
  <c r="AJ239" i="7"/>
  <c r="AI239" i="7"/>
  <c r="AH239" i="7"/>
  <c r="AG239" i="7"/>
  <c r="AF239" i="7"/>
  <c r="AE239" i="7"/>
  <c r="AD239" i="7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CE238" i="7"/>
  <c r="CD238" i="7"/>
  <c r="CC238" i="7"/>
  <c r="CB238" i="7"/>
  <c r="CA238" i="7"/>
  <c r="BZ238" i="7"/>
  <c r="BY238" i="7"/>
  <c r="BX238" i="7"/>
  <c r="BW238" i="7"/>
  <c r="BV238" i="7"/>
  <c r="BU238" i="7"/>
  <c r="BT238" i="7"/>
  <c r="BS238" i="7"/>
  <c r="BR238" i="7"/>
  <c r="BQ238" i="7"/>
  <c r="BP238" i="7"/>
  <c r="BO238" i="7"/>
  <c r="BN238" i="7"/>
  <c r="BM238" i="7"/>
  <c r="BL238" i="7"/>
  <c r="BK238" i="7"/>
  <c r="BJ238" i="7"/>
  <c r="BI238" i="7"/>
  <c r="BH238" i="7"/>
  <c r="BG238" i="7"/>
  <c r="BF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P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CC237" i="7"/>
  <c r="CA237" i="7"/>
  <c r="BZ237" i="7"/>
  <c r="BY237" i="7"/>
  <c r="BW237" i="7"/>
  <c r="BV237" i="7"/>
  <c r="BU237" i="7"/>
  <c r="BT237" i="7"/>
  <c r="BS237" i="7"/>
  <c r="BQ237" i="7"/>
  <c r="BP237" i="7"/>
  <c r="BO237" i="7"/>
  <c r="BN237" i="7"/>
  <c r="BM237" i="7"/>
  <c r="BK237" i="7"/>
  <c r="BJ237" i="7"/>
  <c r="BG237" i="7"/>
  <c r="BF237" i="7"/>
  <c r="BE237" i="7"/>
  <c r="BD237" i="7"/>
  <c r="BC237" i="7"/>
  <c r="BB237" i="7"/>
  <c r="BA237" i="7"/>
  <c r="AZ237" i="7"/>
  <c r="AY237" i="7"/>
  <c r="AV237" i="7"/>
  <c r="AT237" i="7"/>
  <c r="AS237" i="7"/>
  <c r="AR237" i="7"/>
  <c r="AP237" i="7"/>
  <c r="AO237" i="7"/>
  <c r="AN237" i="7"/>
  <c r="AM237" i="7"/>
  <c r="AL237" i="7"/>
  <c r="AI237" i="7"/>
  <c r="AH237" i="7"/>
  <c r="AG237" i="7"/>
  <c r="AE237" i="7"/>
  <c r="AD237" i="7"/>
  <c r="AB237" i="7"/>
  <c r="AA237" i="7"/>
  <c r="Z237" i="7"/>
  <c r="X237" i="7"/>
  <c r="W237" i="7"/>
  <c r="V237" i="7"/>
  <c r="U237" i="7"/>
  <c r="S237" i="7"/>
  <c r="Q237" i="7"/>
  <c r="P237" i="7"/>
  <c r="O237" i="7"/>
  <c r="N237" i="7"/>
  <c r="L237" i="7"/>
  <c r="K237" i="7"/>
  <c r="J237" i="7"/>
  <c r="I237" i="7"/>
  <c r="G237" i="7"/>
  <c r="F237" i="7"/>
  <c r="E237" i="7"/>
  <c r="D237" i="7"/>
  <c r="C237" i="7"/>
  <c r="CC236" i="7"/>
  <c r="CA236" i="7"/>
  <c r="BZ236" i="7"/>
  <c r="BY236" i="7"/>
  <c r="BW236" i="7"/>
  <c r="BV236" i="7"/>
  <c r="BU236" i="7"/>
  <c r="BT236" i="7"/>
  <c r="BS236" i="7"/>
  <c r="BQ236" i="7"/>
  <c r="BP236" i="7"/>
  <c r="BO236" i="7"/>
  <c r="BN236" i="7"/>
  <c r="BM236" i="7"/>
  <c r="BK236" i="7"/>
  <c r="BJ236" i="7"/>
  <c r="BG236" i="7"/>
  <c r="BF236" i="7"/>
  <c r="BE236" i="7"/>
  <c r="BD236" i="7"/>
  <c r="BC236" i="7"/>
  <c r="BB236" i="7"/>
  <c r="BA236" i="7"/>
  <c r="AZ236" i="7"/>
  <c r="AY236" i="7"/>
  <c r="AV236" i="7"/>
  <c r="AT236" i="7"/>
  <c r="AS236" i="7"/>
  <c r="AR236" i="7"/>
  <c r="AP236" i="7"/>
  <c r="AO236" i="7"/>
  <c r="AN236" i="7"/>
  <c r="AM236" i="7"/>
  <c r="AL236" i="7"/>
  <c r="AI236" i="7"/>
  <c r="AH236" i="7"/>
  <c r="AG236" i="7"/>
  <c r="AE236" i="7"/>
  <c r="AD236" i="7"/>
  <c r="AB236" i="7"/>
  <c r="AA236" i="7"/>
  <c r="Z236" i="7"/>
  <c r="X236" i="7"/>
  <c r="W236" i="7"/>
  <c r="V236" i="7"/>
  <c r="U236" i="7"/>
  <c r="S236" i="7"/>
  <c r="Q236" i="7"/>
  <c r="P236" i="7"/>
  <c r="O236" i="7"/>
  <c r="N236" i="7"/>
  <c r="L236" i="7"/>
  <c r="K236" i="7"/>
  <c r="J236" i="7"/>
  <c r="I236" i="7"/>
  <c r="G236" i="7"/>
  <c r="F236" i="7"/>
  <c r="E236" i="7"/>
  <c r="D236" i="7"/>
  <c r="C236" i="7"/>
  <c r="CC235" i="7"/>
  <c r="CA235" i="7"/>
  <c r="BZ235" i="7"/>
  <c r="BY235" i="7"/>
  <c r="BW235" i="7"/>
  <c r="BV235" i="7"/>
  <c r="BU235" i="7"/>
  <c r="BT235" i="7"/>
  <c r="BS235" i="7"/>
  <c r="BQ235" i="7"/>
  <c r="BP235" i="7"/>
  <c r="BO235" i="7"/>
  <c r="BN235" i="7"/>
  <c r="BM235" i="7"/>
  <c r="BK235" i="7"/>
  <c r="BJ235" i="7"/>
  <c r="BG235" i="7"/>
  <c r="BF235" i="7"/>
  <c r="BE235" i="7"/>
  <c r="BD235" i="7"/>
  <c r="BC235" i="7"/>
  <c r="BB235" i="7"/>
  <c r="BA235" i="7"/>
  <c r="AZ235" i="7"/>
  <c r="AY235" i="7"/>
  <c r="AV235" i="7"/>
  <c r="AT235" i="7"/>
  <c r="AS235" i="7"/>
  <c r="AR235" i="7"/>
  <c r="AP235" i="7"/>
  <c r="AO235" i="7"/>
  <c r="AN235" i="7"/>
  <c r="AM235" i="7"/>
  <c r="AL235" i="7"/>
  <c r="AI235" i="7"/>
  <c r="AH235" i="7"/>
  <c r="AG235" i="7"/>
  <c r="AE235" i="7"/>
  <c r="AD235" i="7"/>
  <c r="AB235" i="7"/>
  <c r="AA235" i="7"/>
  <c r="Z235" i="7"/>
  <c r="X235" i="7"/>
  <c r="W235" i="7"/>
  <c r="V235" i="7"/>
  <c r="U235" i="7"/>
  <c r="S235" i="7"/>
  <c r="Q235" i="7"/>
  <c r="P235" i="7"/>
  <c r="O235" i="7"/>
  <c r="N235" i="7"/>
  <c r="L235" i="7"/>
  <c r="K235" i="7"/>
  <c r="J235" i="7"/>
  <c r="I235" i="7"/>
  <c r="G235" i="7"/>
  <c r="F235" i="7"/>
  <c r="E235" i="7"/>
  <c r="D235" i="7"/>
  <c r="C235" i="7"/>
  <c r="CC234" i="7"/>
  <c r="CA234" i="7"/>
  <c r="BZ234" i="7"/>
  <c r="BY234" i="7"/>
  <c r="BW234" i="7"/>
  <c r="BV234" i="7"/>
  <c r="BU234" i="7"/>
  <c r="BT234" i="7"/>
  <c r="BS234" i="7"/>
  <c r="BQ234" i="7"/>
  <c r="BP234" i="7"/>
  <c r="BO234" i="7"/>
  <c r="BN234" i="7"/>
  <c r="BM234" i="7"/>
  <c r="BK234" i="7"/>
  <c r="BJ234" i="7"/>
  <c r="BG234" i="7"/>
  <c r="BF234" i="7"/>
  <c r="BE234" i="7"/>
  <c r="BD234" i="7"/>
  <c r="BC234" i="7"/>
  <c r="BB234" i="7"/>
  <c r="BA234" i="7"/>
  <c r="AZ234" i="7"/>
  <c r="AY234" i="7"/>
  <c r="AV234" i="7"/>
  <c r="AT234" i="7"/>
  <c r="AS234" i="7"/>
  <c r="AR234" i="7"/>
  <c r="AP234" i="7"/>
  <c r="AO234" i="7"/>
  <c r="AN234" i="7"/>
  <c r="AM234" i="7"/>
  <c r="AL234" i="7"/>
  <c r="AI234" i="7"/>
  <c r="AH234" i="7"/>
  <c r="AG234" i="7"/>
  <c r="AE234" i="7"/>
  <c r="AD234" i="7"/>
  <c r="AB234" i="7"/>
  <c r="AA234" i="7"/>
  <c r="Z234" i="7"/>
  <c r="X234" i="7"/>
  <c r="W234" i="7"/>
  <c r="V234" i="7"/>
  <c r="U234" i="7"/>
  <c r="S234" i="7"/>
  <c r="Q234" i="7"/>
  <c r="P234" i="7"/>
  <c r="O234" i="7"/>
  <c r="N234" i="7"/>
  <c r="L234" i="7"/>
  <c r="K234" i="7"/>
  <c r="J234" i="7"/>
  <c r="I234" i="7"/>
  <c r="G234" i="7"/>
  <c r="F234" i="7"/>
  <c r="E234" i="7"/>
  <c r="D234" i="7"/>
  <c r="C234" i="7"/>
  <c r="CC233" i="7"/>
  <c r="CA233" i="7"/>
  <c r="BZ233" i="7"/>
  <c r="BY233" i="7"/>
  <c r="BW233" i="7"/>
  <c r="BV233" i="7"/>
  <c r="BU233" i="7"/>
  <c r="BT233" i="7"/>
  <c r="BS233" i="7"/>
  <c r="BQ233" i="7"/>
  <c r="BP233" i="7"/>
  <c r="BO233" i="7"/>
  <c r="BN233" i="7"/>
  <c r="BM233" i="7"/>
  <c r="BK233" i="7"/>
  <c r="BJ233" i="7"/>
  <c r="BG233" i="7"/>
  <c r="BF233" i="7"/>
  <c r="BE233" i="7"/>
  <c r="BD233" i="7"/>
  <c r="BC233" i="7"/>
  <c r="BB233" i="7"/>
  <c r="BA233" i="7"/>
  <c r="AZ233" i="7"/>
  <c r="AY233" i="7"/>
  <c r="AV233" i="7"/>
  <c r="AT233" i="7"/>
  <c r="AS233" i="7"/>
  <c r="AR233" i="7"/>
  <c r="AP233" i="7"/>
  <c r="AO233" i="7"/>
  <c r="AN233" i="7"/>
  <c r="AM233" i="7"/>
  <c r="AL233" i="7"/>
  <c r="AI233" i="7"/>
  <c r="AH233" i="7"/>
  <c r="AG233" i="7"/>
  <c r="AE233" i="7"/>
  <c r="AD233" i="7"/>
  <c r="AB233" i="7"/>
  <c r="AA233" i="7"/>
  <c r="Z233" i="7"/>
  <c r="X233" i="7"/>
  <c r="W233" i="7"/>
  <c r="V233" i="7"/>
  <c r="U233" i="7"/>
  <c r="S233" i="7"/>
  <c r="Q233" i="7"/>
  <c r="P233" i="7"/>
  <c r="O233" i="7"/>
  <c r="N233" i="7"/>
  <c r="L233" i="7"/>
  <c r="K233" i="7"/>
  <c r="J233" i="7"/>
  <c r="I233" i="7"/>
  <c r="G233" i="7"/>
  <c r="F233" i="7"/>
  <c r="E233" i="7"/>
  <c r="D233" i="7"/>
  <c r="C233" i="7"/>
  <c r="CE232" i="7"/>
  <c r="CD232" i="7"/>
  <c r="CC232" i="7"/>
  <c r="CB232" i="7"/>
  <c r="CA232" i="7"/>
  <c r="BZ232" i="7"/>
  <c r="BY232" i="7"/>
  <c r="BX232" i="7"/>
  <c r="BW232" i="7"/>
  <c r="BV232" i="7"/>
  <c r="BU232" i="7"/>
  <c r="BT232" i="7"/>
  <c r="BS232" i="7"/>
  <c r="BR232" i="7"/>
  <c r="BQ232" i="7"/>
  <c r="BP232" i="7"/>
  <c r="BO232" i="7"/>
  <c r="BN232" i="7"/>
  <c r="BM232" i="7"/>
  <c r="BL232" i="7"/>
  <c r="BK232" i="7"/>
  <c r="BJ232" i="7"/>
  <c r="BI232" i="7"/>
  <c r="BH232" i="7"/>
  <c r="BG232" i="7"/>
  <c r="BF232" i="7"/>
  <c r="BE232" i="7"/>
  <c r="BD232" i="7"/>
  <c r="BC232" i="7"/>
  <c r="BB232" i="7"/>
  <c r="BA232" i="7"/>
  <c r="AZ232" i="7"/>
  <c r="AY232" i="7"/>
  <c r="AX232" i="7"/>
  <c r="AW232" i="7"/>
  <c r="AV232" i="7"/>
  <c r="AU232" i="7"/>
  <c r="AT232" i="7"/>
  <c r="AS232" i="7"/>
  <c r="AR232" i="7"/>
  <c r="AQ232" i="7"/>
  <c r="AP232" i="7"/>
  <c r="AO232" i="7"/>
  <c r="AN232" i="7"/>
  <c r="AM232" i="7"/>
  <c r="AL232" i="7"/>
  <c r="AK232" i="7"/>
  <c r="AJ232" i="7"/>
  <c r="AI232" i="7"/>
  <c r="AH232" i="7"/>
  <c r="AG232" i="7"/>
  <c r="AF232" i="7"/>
  <c r="AE232" i="7"/>
  <c r="AD232" i="7"/>
  <c r="AC232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CE231" i="7"/>
  <c r="CD231" i="7"/>
  <c r="CC231" i="7"/>
  <c r="CB231" i="7"/>
  <c r="CA231" i="7"/>
  <c r="BZ231" i="7"/>
  <c r="BY231" i="7"/>
  <c r="BX231" i="7"/>
  <c r="BW231" i="7"/>
  <c r="BV231" i="7"/>
  <c r="BU231" i="7"/>
  <c r="BT231" i="7"/>
  <c r="BS231" i="7"/>
  <c r="BR231" i="7"/>
  <c r="BQ231" i="7"/>
  <c r="BP231" i="7"/>
  <c r="BO231" i="7"/>
  <c r="BN231" i="7"/>
  <c r="BM231" i="7"/>
  <c r="BL231" i="7"/>
  <c r="BK231" i="7"/>
  <c r="BJ231" i="7"/>
  <c r="BI231" i="7"/>
  <c r="BH231" i="7"/>
  <c r="BG231" i="7"/>
  <c r="BF231" i="7"/>
  <c r="BE231" i="7"/>
  <c r="BD231" i="7"/>
  <c r="BC231" i="7"/>
  <c r="BB231" i="7"/>
  <c r="BA231" i="7"/>
  <c r="AZ231" i="7"/>
  <c r="AY231" i="7"/>
  <c r="AX231" i="7"/>
  <c r="AW231" i="7"/>
  <c r="AV231" i="7"/>
  <c r="AU231" i="7"/>
  <c r="AT231" i="7"/>
  <c r="AS231" i="7"/>
  <c r="AR231" i="7"/>
  <c r="AQ231" i="7"/>
  <c r="AP231" i="7"/>
  <c r="AO231" i="7"/>
  <c r="AN231" i="7"/>
  <c r="AM231" i="7"/>
  <c r="AL231" i="7"/>
  <c r="AK231" i="7"/>
  <c r="AJ231" i="7"/>
  <c r="AI231" i="7"/>
  <c r="AH231" i="7"/>
  <c r="AG231" i="7"/>
  <c r="AF231" i="7"/>
  <c r="AE231" i="7"/>
  <c r="AD231" i="7"/>
  <c r="AC231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C231" i="7"/>
  <c r="CC230" i="7"/>
  <c r="CA230" i="7"/>
  <c r="BZ230" i="7"/>
  <c r="BY230" i="7"/>
  <c r="BW230" i="7"/>
  <c r="BV230" i="7"/>
  <c r="BU230" i="7"/>
  <c r="BT230" i="7"/>
  <c r="BS230" i="7"/>
  <c r="BQ230" i="7"/>
  <c r="BP230" i="7"/>
  <c r="BO230" i="7"/>
  <c r="BN230" i="7"/>
  <c r="BM230" i="7"/>
  <c r="BK230" i="7"/>
  <c r="BJ230" i="7"/>
  <c r="BG230" i="7"/>
  <c r="BF230" i="7"/>
  <c r="BE230" i="7"/>
  <c r="BD230" i="7"/>
  <c r="BC230" i="7"/>
  <c r="BB230" i="7"/>
  <c r="BA230" i="7"/>
  <c r="AZ230" i="7"/>
  <c r="AY230" i="7"/>
  <c r="AV230" i="7"/>
  <c r="AT230" i="7"/>
  <c r="AS230" i="7"/>
  <c r="AR230" i="7"/>
  <c r="AP230" i="7"/>
  <c r="AO230" i="7"/>
  <c r="AN230" i="7"/>
  <c r="AM230" i="7"/>
  <c r="AL230" i="7"/>
  <c r="AI230" i="7"/>
  <c r="AH230" i="7"/>
  <c r="AG230" i="7"/>
  <c r="AE230" i="7"/>
  <c r="AD230" i="7"/>
  <c r="AB230" i="7"/>
  <c r="AA230" i="7"/>
  <c r="Z230" i="7"/>
  <c r="X230" i="7"/>
  <c r="W230" i="7"/>
  <c r="V230" i="7"/>
  <c r="U230" i="7"/>
  <c r="S230" i="7"/>
  <c r="Q230" i="7"/>
  <c r="P230" i="7"/>
  <c r="O230" i="7"/>
  <c r="N230" i="7"/>
  <c r="L230" i="7"/>
  <c r="K230" i="7"/>
  <c r="J230" i="7"/>
  <c r="I230" i="7"/>
  <c r="G230" i="7"/>
  <c r="F230" i="7"/>
  <c r="E230" i="7"/>
  <c r="D230" i="7"/>
  <c r="C230" i="7"/>
  <c r="CC229" i="7"/>
  <c r="CA229" i="7"/>
  <c r="BZ229" i="7"/>
  <c r="BY229" i="7"/>
  <c r="BW229" i="7"/>
  <c r="BV229" i="7"/>
  <c r="BU229" i="7"/>
  <c r="BT229" i="7"/>
  <c r="BS229" i="7"/>
  <c r="BQ229" i="7"/>
  <c r="BP229" i="7"/>
  <c r="BO229" i="7"/>
  <c r="BN229" i="7"/>
  <c r="BM229" i="7"/>
  <c r="BK229" i="7"/>
  <c r="BJ229" i="7"/>
  <c r="BG229" i="7"/>
  <c r="BF229" i="7"/>
  <c r="BE229" i="7"/>
  <c r="BD229" i="7"/>
  <c r="BC229" i="7"/>
  <c r="BB229" i="7"/>
  <c r="BA229" i="7"/>
  <c r="AZ229" i="7"/>
  <c r="AY229" i="7"/>
  <c r="AV229" i="7"/>
  <c r="AT229" i="7"/>
  <c r="AS229" i="7"/>
  <c r="AR229" i="7"/>
  <c r="AP229" i="7"/>
  <c r="AO229" i="7"/>
  <c r="AN229" i="7"/>
  <c r="AM229" i="7"/>
  <c r="AL229" i="7"/>
  <c r="AI229" i="7"/>
  <c r="AH229" i="7"/>
  <c r="AG229" i="7"/>
  <c r="AE229" i="7"/>
  <c r="AD229" i="7"/>
  <c r="AB229" i="7"/>
  <c r="AA229" i="7"/>
  <c r="Z229" i="7"/>
  <c r="X229" i="7"/>
  <c r="W229" i="7"/>
  <c r="V229" i="7"/>
  <c r="U229" i="7"/>
  <c r="S229" i="7"/>
  <c r="Q229" i="7"/>
  <c r="P229" i="7"/>
  <c r="O229" i="7"/>
  <c r="N229" i="7"/>
  <c r="L229" i="7"/>
  <c r="K229" i="7"/>
  <c r="J229" i="7"/>
  <c r="I229" i="7"/>
  <c r="G229" i="7"/>
  <c r="F229" i="7"/>
  <c r="E229" i="7"/>
  <c r="D229" i="7"/>
  <c r="C229" i="7"/>
  <c r="CC228" i="7"/>
  <c r="CA228" i="7"/>
  <c r="BZ228" i="7"/>
  <c r="BY228" i="7"/>
  <c r="BW228" i="7"/>
  <c r="BV228" i="7"/>
  <c r="BU228" i="7"/>
  <c r="BT228" i="7"/>
  <c r="BS228" i="7"/>
  <c r="BQ228" i="7"/>
  <c r="BP228" i="7"/>
  <c r="BO228" i="7"/>
  <c r="BN228" i="7"/>
  <c r="BM228" i="7"/>
  <c r="BK228" i="7"/>
  <c r="BJ228" i="7"/>
  <c r="BG228" i="7"/>
  <c r="BF228" i="7"/>
  <c r="BE228" i="7"/>
  <c r="BD228" i="7"/>
  <c r="BC228" i="7"/>
  <c r="BB228" i="7"/>
  <c r="BA228" i="7"/>
  <c r="AZ228" i="7"/>
  <c r="AY228" i="7"/>
  <c r="AV228" i="7"/>
  <c r="AT228" i="7"/>
  <c r="AS228" i="7"/>
  <c r="AR228" i="7"/>
  <c r="AP228" i="7"/>
  <c r="AO228" i="7"/>
  <c r="AN228" i="7"/>
  <c r="AM228" i="7"/>
  <c r="AL228" i="7"/>
  <c r="AI228" i="7"/>
  <c r="AH228" i="7"/>
  <c r="AG228" i="7"/>
  <c r="AE228" i="7"/>
  <c r="AD228" i="7"/>
  <c r="AB228" i="7"/>
  <c r="AA228" i="7"/>
  <c r="Z228" i="7"/>
  <c r="X228" i="7"/>
  <c r="W228" i="7"/>
  <c r="V228" i="7"/>
  <c r="U228" i="7"/>
  <c r="S228" i="7"/>
  <c r="Q228" i="7"/>
  <c r="P228" i="7"/>
  <c r="O228" i="7"/>
  <c r="N228" i="7"/>
  <c r="L228" i="7"/>
  <c r="K228" i="7"/>
  <c r="J228" i="7"/>
  <c r="I228" i="7"/>
  <c r="G228" i="7"/>
  <c r="F228" i="7"/>
  <c r="E228" i="7"/>
  <c r="D228" i="7"/>
  <c r="C228" i="7"/>
  <c r="CC227" i="7"/>
  <c r="CA227" i="7"/>
  <c r="BZ227" i="7"/>
  <c r="BY227" i="7"/>
  <c r="BW227" i="7"/>
  <c r="BV227" i="7"/>
  <c r="BU227" i="7"/>
  <c r="BT227" i="7"/>
  <c r="BS227" i="7"/>
  <c r="BQ227" i="7"/>
  <c r="BP227" i="7"/>
  <c r="BO227" i="7"/>
  <c r="BN227" i="7"/>
  <c r="BM227" i="7"/>
  <c r="BK227" i="7"/>
  <c r="BJ227" i="7"/>
  <c r="BG227" i="7"/>
  <c r="BF227" i="7"/>
  <c r="BE227" i="7"/>
  <c r="BD227" i="7"/>
  <c r="BC227" i="7"/>
  <c r="BB227" i="7"/>
  <c r="BA227" i="7"/>
  <c r="AZ227" i="7"/>
  <c r="AY227" i="7"/>
  <c r="AV227" i="7"/>
  <c r="AT227" i="7"/>
  <c r="AS227" i="7"/>
  <c r="AR227" i="7"/>
  <c r="AP227" i="7"/>
  <c r="AO227" i="7"/>
  <c r="AN227" i="7"/>
  <c r="AM227" i="7"/>
  <c r="AL227" i="7"/>
  <c r="AI227" i="7"/>
  <c r="AH227" i="7"/>
  <c r="AG227" i="7"/>
  <c r="AE227" i="7"/>
  <c r="AD227" i="7"/>
  <c r="AB227" i="7"/>
  <c r="AA227" i="7"/>
  <c r="Z227" i="7"/>
  <c r="X227" i="7"/>
  <c r="W227" i="7"/>
  <c r="V227" i="7"/>
  <c r="U227" i="7"/>
  <c r="S227" i="7"/>
  <c r="Q227" i="7"/>
  <c r="P227" i="7"/>
  <c r="O227" i="7"/>
  <c r="N227" i="7"/>
  <c r="L227" i="7"/>
  <c r="K227" i="7"/>
  <c r="J227" i="7"/>
  <c r="I227" i="7"/>
  <c r="G227" i="7"/>
  <c r="F227" i="7"/>
  <c r="E227" i="7"/>
  <c r="D227" i="7"/>
  <c r="C227" i="7"/>
  <c r="CC226" i="7"/>
  <c r="CA226" i="7"/>
  <c r="BZ226" i="7"/>
  <c r="BY226" i="7"/>
  <c r="BW226" i="7"/>
  <c r="BV226" i="7"/>
  <c r="BU226" i="7"/>
  <c r="BT226" i="7"/>
  <c r="BS226" i="7"/>
  <c r="BQ226" i="7"/>
  <c r="BP226" i="7"/>
  <c r="BO226" i="7"/>
  <c r="BN226" i="7"/>
  <c r="BM226" i="7"/>
  <c r="BK226" i="7"/>
  <c r="BJ226" i="7"/>
  <c r="BG226" i="7"/>
  <c r="BF226" i="7"/>
  <c r="BE226" i="7"/>
  <c r="BD226" i="7"/>
  <c r="BC226" i="7"/>
  <c r="BB226" i="7"/>
  <c r="BA226" i="7"/>
  <c r="AZ226" i="7"/>
  <c r="AY226" i="7"/>
  <c r="AV226" i="7"/>
  <c r="AT226" i="7"/>
  <c r="AS226" i="7"/>
  <c r="AR226" i="7"/>
  <c r="AP226" i="7"/>
  <c r="AO226" i="7"/>
  <c r="AN226" i="7"/>
  <c r="AM226" i="7"/>
  <c r="AL226" i="7"/>
  <c r="AI226" i="7"/>
  <c r="AH226" i="7"/>
  <c r="AG226" i="7"/>
  <c r="AE226" i="7"/>
  <c r="AD226" i="7"/>
  <c r="AB226" i="7"/>
  <c r="AA226" i="7"/>
  <c r="Z226" i="7"/>
  <c r="X226" i="7"/>
  <c r="W226" i="7"/>
  <c r="V226" i="7"/>
  <c r="U226" i="7"/>
  <c r="S226" i="7"/>
  <c r="Q226" i="7"/>
  <c r="P226" i="7"/>
  <c r="O226" i="7"/>
  <c r="N226" i="7"/>
  <c r="L226" i="7"/>
  <c r="K226" i="7"/>
  <c r="J226" i="7"/>
  <c r="I226" i="7"/>
  <c r="G226" i="7"/>
  <c r="F226" i="7"/>
  <c r="E226" i="7"/>
  <c r="D226" i="7"/>
  <c r="C226" i="7"/>
  <c r="CE225" i="7"/>
  <c r="CD225" i="7"/>
  <c r="CC225" i="7"/>
  <c r="CB225" i="7"/>
  <c r="CA225" i="7"/>
  <c r="BZ225" i="7"/>
  <c r="BY225" i="7"/>
  <c r="BX225" i="7"/>
  <c r="BW225" i="7"/>
  <c r="BV225" i="7"/>
  <c r="BU225" i="7"/>
  <c r="BT225" i="7"/>
  <c r="BS225" i="7"/>
  <c r="BR225" i="7"/>
  <c r="BQ225" i="7"/>
  <c r="BP225" i="7"/>
  <c r="BO225" i="7"/>
  <c r="BN225" i="7"/>
  <c r="BM225" i="7"/>
  <c r="BL225" i="7"/>
  <c r="BK225" i="7"/>
  <c r="BJ225" i="7"/>
  <c r="BI225" i="7"/>
  <c r="BH225" i="7"/>
  <c r="BG225" i="7"/>
  <c r="BF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P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C225" i="7"/>
  <c r="CE224" i="7"/>
  <c r="CD224" i="7"/>
  <c r="CC224" i="7"/>
  <c r="CB224" i="7"/>
  <c r="CA224" i="7"/>
  <c r="BZ224" i="7"/>
  <c r="BY224" i="7"/>
  <c r="BX224" i="7"/>
  <c r="BW224" i="7"/>
  <c r="BV224" i="7"/>
  <c r="BU224" i="7"/>
  <c r="BT224" i="7"/>
  <c r="BS224" i="7"/>
  <c r="BR224" i="7"/>
  <c r="BQ224" i="7"/>
  <c r="BP224" i="7"/>
  <c r="BO224" i="7"/>
  <c r="BN224" i="7"/>
  <c r="BM224" i="7"/>
  <c r="BL224" i="7"/>
  <c r="BK224" i="7"/>
  <c r="BJ224" i="7"/>
  <c r="BI224" i="7"/>
  <c r="BH224" i="7"/>
  <c r="BG224" i="7"/>
  <c r="BF224" i="7"/>
  <c r="BE224" i="7"/>
  <c r="BD224" i="7"/>
  <c r="BC224" i="7"/>
  <c r="BB224" i="7"/>
  <c r="BA224" i="7"/>
  <c r="AZ224" i="7"/>
  <c r="AY224" i="7"/>
  <c r="AX224" i="7"/>
  <c r="AW224" i="7"/>
  <c r="AV224" i="7"/>
  <c r="AU224" i="7"/>
  <c r="AT224" i="7"/>
  <c r="AS224" i="7"/>
  <c r="AR224" i="7"/>
  <c r="AQ224" i="7"/>
  <c r="AP224" i="7"/>
  <c r="AO224" i="7"/>
  <c r="AN224" i="7"/>
  <c r="AM224" i="7"/>
  <c r="AL224" i="7"/>
  <c r="AK224" i="7"/>
  <c r="AJ224" i="7"/>
  <c r="AI224" i="7"/>
  <c r="AH224" i="7"/>
  <c r="AG224" i="7"/>
  <c r="AF224" i="7"/>
  <c r="AE224" i="7"/>
  <c r="AD224" i="7"/>
  <c r="AC224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G224" i="7"/>
  <c r="F224" i="7"/>
  <c r="E224" i="7"/>
  <c r="D224" i="7"/>
  <c r="C224" i="7"/>
  <c r="CC223" i="7"/>
  <c r="CA223" i="7"/>
  <c r="BZ223" i="7"/>
  <c r="BY223" i="7"/>
  <c r="BW223" i="7"/>
  <c r="BV223" i="7"/>
  <c r="BU223" i="7"/>
  <c r="BT223" i="7"/>
  <c r="BS223" i="7"/>
  <c r="BQ223" i="7"/>
  <c r="BP223" i="7"/>
  <c r="BO223" i="7"/>
  <c r="BN223" i="7"/>
  <c r="BM223" i="7"/>
  <c r="BK223" i="7"/>
  <c r="BJ223" i="7"/>
  <c r="BG223" i="7"/>
  <c r="BF223" i="7"/>
  <c r="BE223" i="7"/>
  <c r="BD223" i="7"/>
  <c r="BC223" i="7"/>
  <c r="BB223" i="7"/>
  <c r="BA223" i="7"/>
  <c r="AZ223" i="7"/>
  <c r="AY223" i="7"/>
  <c r="AV223" i="7"/>
  <c r="AT223" i="7"/>
  <c r="AS223" i="7"/>
  <c r="AR223" i="7"/>
  <c r="AP223" i="7"/>
  <c r="AO223" i="7"/>
  <c r="AN223" i="7"/>
  <c r="AM223" i="7"/>
  <c r="AL223" i="7"/>
  <c r="AI223" i="7"/>
  <c r="AH223" i="7"/>
  <c r="AG223" i="7"/>
  <c r="AE223" i="7"/>
  <c r="AD223" i="7"/>
  <c r="AB223" i="7"/>
  <c r="AA223" i="7"/>
  <c r="Z223" i="7"/>
  <c r="X223" i="7"/>
  <c r="W223" i="7"/>
  <c r="V223" i="7"/>
  <c r="U223" i="7"/>
  <c r="S223" i="7"/>
  <c r="Q223" i="7"/>
  <c r="P223" i="7"/>
  <c r="O223" i="7"/>
  <c r="N223" i="7"/>
  <c r="L223" i="7"/>
  <c r="K223" i="7"/>
  <c r="J223" i="7"/>
  <c r="I223" i="7"/>
  <c r="G223" i="7"/>
  <c r="F223" i="7"/>
  <c r="E223" i="7"/>
  <c r="D223" i="7"/>
  <c r="C223" i="7"/>
  <c r="CC222" i="7"/>
  <c r="CA222" i="7"/>
  <c r="BZ222" i="7"/>
  <c r="BY222" i="7"/>
  <c r="BW222" i="7"/>
  <c r="BV222" i="7"/>
  <c r="BU222" i="7"/>
  <c r="BT222" i="7"/>
  <c r="BS222" i="7"/>
  <c r="BQ222" i="7"/>
  <c r="BP222" i="7"/>
  <c r="BO222" i="7"/>
  <c r="BN222" i="7"/>
  <c r="BM222" i="7"/>
  <c r="BK222" i="7"/>
  <c r="BJ222" i="7"/>
  <c r="BG222" i="7"/>
  <c r="BF222" i="7"/>
  <c r="BE222" i="7"/>
  <c r="BD222" i="7"/>
  <c r="BC222" i="7"/>
  <c r="BB222" i="7"/>
  <c r="BA222" i="7"/>
  <c r="AZ222" i="7"/>
  <c r="AY222" i="7"/>
  <c r="AV222" i="7"/>
  <c r="AT222" i="7"/>
  <c r="AS222" i="7"/>
  <c r="AR222" i="7"/>
  <c r="AP222" i="7"/>
  <c r="AO222" i="7"/>
  <c r="AN222" i="7"/>
  <c r="AM222" i="7"/>
  <c r="AL222" i="7"/>
  <c r="AI222" i="7"/>
  <c r="AH222" i="7"/>
  <c r="AG222" i="7"/>
  <c r="AE222" i="7"/>
  <c r="AD222" i="7"/>
  <c r="AB222" i="7"/>
  <c r="AA222" i="7"/>
  <c r="Z222" i="7"/>
  <c r="X222" i="7"/>
  <c r="W222" i="7"/>
  <c r="V222" i="7"/>
  <c r="U222" i="7"/>
  <c r="S222" i="7"/>
  <c r="Q222" i="7"/>
  <c r="P222" i="7"/>
  <c r="O222" i="7"/>
  <c r="N222" i="7"/>
  <c r="L222" i="7"/>
  <c r="K222" i="7"/>
  <c r="J222" i="7"/>
  <c r="I222" i="7"/>
  <c r="G222" i="7"/>
  <c r="F222" i="7"/>
  <c r="E222" i="7"/>
  <c r="D222" i="7"/>
  <c r="C222" i="7"/>
  <c r="CC221" i="7"/>
  <c r="CA221" i="7"/>
  <c r="BZ221" i="7"/>
  <c r="BY221" i="7"/>
  <c r="BW221" i="7"/>
  <c r="BV221" i="7"/>
  <c r="BU221" i="7"/>
  <c r="BT221" i="7"/>
  <c r="BS221" i="7"/>
  <c r="BQ221" i="7"/>
  <c r="BP221" i="7"/>
  <c r="BO221" i="7"/>
  <c r="BN221" i="7"/>
  <c r="BM221" i="7"/>
  <c r="BK221" i="7"/>
  <c r="BJ221" i="7"/>
  <c r="BG221" i="7"/>
  <c r="BF221" i="7"/>
  <c r="BE221" i="7"/>
  <c r="BD221" i="7"/>
  <c r="BC221" i="7"/>
  <c r="BB221" i="7"/>
  <c r="BA221" i="7"/>
  <c r="AZ221" i="7"/>
  <c r="AY221" i="7"/>
  <c r="AV221" i="7"/>
  <c r="AT221" i="7"/>
  <c r="AS221" i="7"/>
  <c r="AR221" i="7"/>
  <c r="AP221" i="7"/>
  <c r="AO221" i="7"/>
  <c r="AN221" i="7"/>
  <c r="AM221" i="7"/>
  <c r="AL221" i="7"/>
  <c r="AI221" i="7"/>
  <c r="AH221" i="7"/>
  <c r="AG221" i="7"/>
  <c r="AE221" i="7"/>
  <c r="AD221" i="7"/>
  <c r="AB221" i="7"/>
  <c r="AA221" i="7"/>
  <c r="Z221" i="7"/>
  <c r="X221" i="7"/>
  <c r="W221" i="7"/>
  <c r="V221" i="7"/>
  <c r="U221" i="7"/>
  <c r="S221" i="7"/>
  <c r="Q221" i="7"/>
  <c r="P221" i="7"/>
  <c r="O221" i="7"/>
  <c r="N221" i="7"/>
  <c r="L221" i="7"/>
  <c r="K221" i="7"/>
  <c r="J221" i="7"/>
  <c r="I221" i="7"/>
  <c r="G221" i="7"/>
  <c r="F221" i="7"/>
  <c r="E221" i="7"/>
  <c r="D221" i="7"/>
  <c r="C221" i="7"/>
  <c r="CC220" i="7"/>
  <c r="CA220" i="7"/>
  <c r="BZ220" i="7"/>
  <c r="BY220" i="7"/>
  <c r="BW220" i="7"/>
  <c r="BV220" i="7"/>
  <c r="BU220" i="7"/>
  <c r="BT220" i="7"/>
  <c r="BS220" i="7"/>
  <c r="BQ220" i="7"/>
  <c r="BP220" i="7"/>
  <c r="BO220" i="7"/>
  <c r="BN220" i="7"/>
  <c r="BM220" i="7"/>
  <c r="BK220" i="7"/>
  <c r="BJ220" i="7"/>
  <c r="BG220" i="7"/>
  <c r="BF220" i="7"/>
  <c r="BE220" i="7"/>
  <c r="BD220" i="7"/>
  <c r="BC220" i="7"/>
  <c r="BB220" i="7"/>
  <c r="BA220" i="7"/>
  <c r="AZ220" i="7"/>
  <c r="AY220" i="7"/>
  <c r="AV220" i="7"/>
  <c r="AT220" i="7"/>
  <c r="AS220" i="7"/>
  <c r="AR220" i="7"/>
  <c r="AP220" i="7"/>
  <c r="AO220" i="7"/>
  <c r="AN220" i="7"/>
  <c r="AM220" i="7"/>
  <c r="AL220" i="7"/>
  <c r="AI220" i="7"/>
  <c r="AH220" i="7"/>
  <c r="AG220" i="7"/>
  <c r="AE220" i="7"/>
  <c r="AD220" i="7"/>
  <c r="AB220" i="7"/>
  <c r="AA220" i="7"/>
  <c r="Z220" i="7"/>
  <c r="X220" i="7"/>
  <c r="W220" i="7"/>
  <c r="V220" i="7"/>
  <c r="U220" i="7"/>
  <c r="S220" i="7"/>
  <c r="Q220" i="7"/>
  <c r="P220" i="7"/>
  <c r="O220" i="7"/>
  <c r="N220" i="7"/>
  <c r="L220" i="7"/>
  <c r="K220" i="7"/>
  <c r="J220" i="7"/>
  <c r="I220" i="7"/>
  <c r="G220" i="7"/>
  <c r="F220" i="7"/>
  <c r="E220" i="7"/>
  <c r="D220" i="7"/>
  <c r="C220" i="7"/>
  <c r="CC219" i="7"/>
  <c r="CA219" i="7"/>
  <c r="BZ219" i="7"/>
  <c r="BY219" i="7"/>
  <c r="BW219" i="7"/>
  <c r="BV219" i="7"/>
  <c r="BU219" i="7"/>
  <c r="BT219" i="7"/>
  <c r="BS219" i="7"/>
  <c r="BQ219" i="7"/>
  <c r="BP219" i="7"/>
  <c r="BO219" i="7"/>
  <c r="BN219" i="7"/>
  <c r="BM219" i="7"/>
  <c r="BK219" i="7"/>
  <c r="BJ219" i="7"/>
  <c r="BG219" i="7"/>
  <c r="BF219" i="7"/>
  <c r="BE219" i="7"/>
  <c r="BD219" i="7"/>
  <c r="BC219" i="7"/>
  <c r="BB219" i="7"/>
  <c r="BA219" i="7"/>
  <c r="AZ219" i="7"/>
  <c r="AY219" i="7"/>
  <c r="AV219" i="7"/>
  <c r="AT219" i="7"/>
  <c r="AS219" i="7"/>
  <c r="AR219" i="7"/>
  <c r="AP219" i="7"/>
  <c r="AO219" i="7"/>
  <c r="AN219" i="7"/>
  <c r="AM219" i="7"/>
  <c r="AL219" i="7"/>
  <c r="AI219" i="7"/>
  <c r="AH219" i="7"/>
  <c r="AG219" i="7"/>
  <c r="AE219" i="7"/>
  <c r="AD219" i="7"/>
  <c r="AB219" i="7"/>
  <c r="AA219" i="7"/>
  <c r="Z219" i="7"/>
  <c r="X219" i="7"/>
  <c r="W219" i="7"/>
  <c r="V219" i="7"/>
  <c r="U219" i="7"/>
  <c r="S219" i="7"/>
  <c r="Q219" i="7"/>
  <c r="P219" i="7"/>
  <c r="O219" i="7"/>
  <c r="N219" i="7"/>
  <c r="L219" i="7"/>
  <c r="K219" i="7"/>
  <c r="J219" i="7"/>
  <c r="I219" i="7"/>
  <c r="G219" i="7"/>
  <c r="F219" i="7"/>
  <c r="E219" i="7"/>
  <c r="D219" i="7"/>
  <c r="C219" i="7"/>
  <c r="CE218" i="7"/>
  <c r="CD218" i="7"/>
  <c r="CC218" i="7"/>
  <c r="CB218" i="7"/>
  <c r="CA218" i="7"/>
  <c r="BZ218" i="7"/>
  <c r="BY218" i="7"/>
  <c r="BX218" i="7"/>
  <c r="BW218" i="7"/>
  <c r="BV218" i="7"/>
  <c r="BU218" i="7"/>
  <c r="BT218" i="7"/>
  <c r="BS218" i="7"/>
  <c r="BR218" i="7"/>
  <c r="BQ218" i="7"/>
  <c r="BP218" i="7"/>
  <c r="BO218" i="7"/>
  <c r="BN218" i="7"/>
  <c r="BM218" i="7"/>
  <c r="BL218" i="7"/>
  <c r="BK218" i="7"/>
  <c r="BJ218" i="7"/>
  <c r="BI218" i="7"/>
  <c r="BH218" i="7"/>
  <c r="BG218" i="7"/>
  <c r="BF218" i="7"/>
  <c r="BE218" i="7"/>
  <c r="BD218" i="7"/>
  <c r="BC218" i="7"/>
  <c r="BB218" i="7"/>
  <c r="BA218" i="7"/>
  <c r="AZ218" i="7"/>
  <c r="AY218" i="7"/>
  <c r="AX218" i="7"/>
  <c r="AW218" i="7"/>
  <c r="AV218" i="7"/>
  <c r="AU218" i="7"/>
  <c r="AT218" i="7"/>
  <c r="AS218" i="7"/>
  <c r="AR218" i="7"/>
  <c r="AQ218" i="7"/>
  <c r="AP218" i="7"/>
  <c r="AO218" i="7"/>
  <c r="AN218" i="7"/>
  <c r="AM218" i="7"/>
  <c r="AL218" i="7"/>
  <c r="AK218" i="7"/>
  <c r="AJ218" i="7"/>
  <c r="AI218" i="7"/>
  <c r="AH218" i="7"/>
  <c r="AG218" i="7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CE217" i="7"/>
  <c r="CD217" i="7"/>
  <c r="CC217" i="7"/>
  <c r="CB217" i="7"/>
  <c r="CA217" i="7"/>
  <c r="BZ217" i="7"/>
  <c r="BY217" i="7"/>
  <c r="BX217" i="7"/>
  <c r="BW217" i="7"/>
  <c r="BV217" i="7"/>
  <c r="BU217" i="7"/>
  <c r="BT217" i="7"/>
  <c r="BS217" i="7"/>
  <c r="BR217" i="7"/>
  <c r="BQ217" i="7"/>
  <c r="BP217" i="7"/>
  <c r="BO217" i="7"/>
  <c r="BN217" i="7"/>
  <c r="BM217" i="7"/>
  <c r="BL217" i="7"/>
  <c r="BK217" i="7"/>
  <c r="BJ217" i="7"/>
  <c r="BI217" i="7"/>
  <c r="BH217" i="7"/>
  <c r="BG217" i="7"/>
  <c r="BF217" i="7"/>
  <c r="BE217" i="7"/>
  <c r="BD217" i="7"/>
  <c r="BC217" i="7"/>
  <c r="BB217" i="7"/>
  <c r="BA217" i="7"/>
  <c r="AZ217" i="7"/>
  <c r="AY217" i="7"/>
  <c r="AX217" i="7"/>
  <c r="AW217" i="7"/>
  <c r="AV217" i="7"/>
  <c r="AU217" i="7"/>
  <c r="AT217" i="7"/>
  <c r="AS217" i="7"/>
  <c r="AR217" i="7"/>
  <c r="AQ217" i="7"/>
  <c r="AP217" i="7"/>
  <c r="AO217" i="7"/>
  <c r="AN217" i="7"/>
  <c r="AM217" i="7"/>
  <c r="AL217" i="7"/>
  <c r="AK217" i="7"/>
  <c r="AJ217" i="7"/>
  <c r="AI217" i="7"/>
  <c r="AH217" i="7"/>
  <c r="AG217" i="7"/>
  <c r="AF217" i="7"/>
  <c r="AE217" i="7"/>
  <c r="AD217" i="7"/>
  <c r="AC217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CC216" i="7"/>
  <c r="CA216" i="7"/>
  <c r="BZ216" i="7"/>
  <c r="BY216" i="7"/>
  <c r="BW216" i="7"/>
  <c r="BV216" i="7"/>
  <c r="BU216" i="7"/>
  <c r="BT216" i="7"/>
  <c r="BS216" i="7"/>
  <c r="BQ216" i="7"/>
  <c r="BP216" i="7"/>
  <c r="BO216" i="7"/>
  <c r="BN216" i="7"/>
  <c r="BM216" i="7"/>
  <c r="BK216" i="7"/>
  <c r="BJ216" i="7"/>
  <c r="BG216" i="7"/>
  <c r="BF216" i="7"/>
  <c r="BE216" i="7"/>
  <c r="BD216" i="7"/>
  <c r="BC216" i="7"/>
  <c r="BB216" i="7"/>
  <c r="BA216" i="7"/>
  <c r="AZ216" i="7"/>
  <c r="AY216" i="7"/>
  <c r="AV216" i="7"/>
  <c r="AT216" i="7"/>
  <c r="AS216" i="7"/>
  <c r="AR216" i="7"/>
  <c r="AP216" i="7"/>
  <c r="AO216" i="7"/>
  <c r="AN216" i="7"/>
  <c r="AM216" i="7"/>
  <c r="AL216" i="7"/>
  <c r="AI216" i="7"/>
  <c r="AH216" i="7"/>
  <c r="AG216" i="7"/>
  <c r="AE216" i="7"/>
  <c r="AD216" i="7"/>
  <c r="AB216" i="7"/>
  <c r="AA216" i="7"/>
  <c r="Z216" i="7"/>
  <c r="X216" i="7"/>
  <c r="W216" i="7"/>
  <c r="V216" i="7"/>
  <c r="U216" i="7"/>
  <c r="S216" i="7"/>
  <c r="Q216" i="7"/>
  <c r="P216" i="7"/>
  <c r="O216" i="7"/>
  <c r="N216" i="7"/>
  <c r="L216" i="7"/>
  <c r="K216" i="7"/>
  <c r="J216" i="7"/>
  <c r="I216" i="7"/>
  <c r="G216" i="7"/>
  <c r="F216" i="7"/>
  <c r="E216" i="7"/>
  <c r="D216" i="7"/>
  <c r="C216" i="7"/>
  <c r="CC215" i="7"/>
  <c r="CA215" i="7"/>
  <c r="BZ215" i="7"/>
  <c r="BY215" i="7"/>
  <c r="BW215" i="7"/>
  <c r="BV215" i="7"/>
  <c r="BU215" i="7"/>
  <c r="BT215" i="7"/>
  <c r="BS215" i="7"/>
  <c r="BQ215" i="7"/>
  <c r="BP215" i="7"/>
  <c r="BO215" i="7"/>
  <c r="BN215" i="7"/>
  <c r="BM215" i="7"/>
  <c r="BK215" i="7"/>
  <c r="BJ215" i="7"/>
  <c r="BG215" i="7"/>
  <c r="BF215" i="7"/>
  <c r="BE215" i="7"/>
  <c r="BD215" i="7"/>
  <c r="BC215" i="7"/>
  <c r="BB215" i="7"/>
  <c r="BA215" i="7"/>
  <c r="AZ215" i="7"/>
  <c r="AY215" i="7"/>
  <c r="AV215" i="7"/>
  <c r="AT215" i="7"/>
  <c r="AS215" i="7"/>
  <c r="AR215" i="7"/>
  <c r="AP215" i="7"/>
  <c r="AO215" i="7"/>
  <c r="AN215" i="7"/>
  <c r="AM215" i="7"/>
  <c r="AL215" i="7"/>
  <c r="AI215" i="7"/>
  <c r="AH215" i="7"/>
  <c r="AG215" i="7"/>
  <c r="AE215" i="7"/>
  <c r="AD215" i="7"/>
  <c r="AB215" i="7"/>
  <c r="AA215" i="7"/>
  <c r="Z215" i="7"/>
  <c r="X215" i="7"/>
  <c r="W215" i="7"/>
  <c r="V215" i="7"/>
  <c r="U215" i="7"/>
  <c r="S215" i="7"/>
  <c r="Q215" i="7"/>
  <c r="P215" i="7"/>
  <c r="O215" i="7"/>
  <c r="N215" i="7"/>
  <c r="L215" i="7"/>
  <c r="K215" i="7"/>
  <c r="J215" i="7"/>
  <c r="I215" i="7"/>
  <c r="G215" i="7"/>
  <c r="F215" i="7"/>
  <c r="E215" i="7"/>
  <c r="D215" i="7"/>
  <c r="C215" i="7"/>
  <c r="CC214" i="7"/>
  <c r="CA214" i="7"/>
  <c r="BZ214" i="7"/>
  <c r="BY214" i="7"/>
  <c r="BW214" i="7"/>
  <c r="BV214" i="7"/>
  <c r="BU214" i="7"/>
  <c r="BT214" i="7"/>
  <c r="BS214" i="7"/>
  <c r="BQ214" i="7"/>
  <c r="BP214" i="7"/>
  <c r="BO214" i="7"/>
  <c r="BN214" i="7"/>
  <c r="BM214" i="7"/>
  <c r="BK214" i="7"/>
  <c r="BJ214" i="7"/>
  <c r="BG214" i="7"/>
  <c r="BF214" i="7"/>
  <c r="BE214" i="7"/>
  <c r="BD214" i="7"/>
  <c r="BC214" i="7"/>
  <c r="BB214" i="7"/>
  <c r="BA214" i="7"/>
  <c r="AZ214" i="7"/>
  <c r="AY214" i="7"/>
  <c r="AV214" i="7"/>
  <c r="AT214" i="7"/>
  <c r="AS214" i="7"/>
  <c r="AR214" i="7"/>
  <c r="AP214" i="7"/>
  <c r="AO214" i="7"/>
  <c r="AN214" i="7"/>
  <c r="AM214" i="7"/>
  <c r="AL214" i="7"/>
  <c r="AI214" i="7"/>
  <c r="AH214" i="7"/>
  <c r="AG214" i="7"/>
  <c r="AE214" i="7"/>
  <c r="AD214" i="7"/>
  <c r="AB214" i="7"/>
  <c r="AA214" i="7"/>
  <c r="Z214" i="7"/>
  <c r="X214" i="7"/>
  <c r="W214" i="7"/>
  <c r="V214" i="7"/>
  <c r="U214" i="7"/>
  <c r="S214" i="7"/>
  <c r="Q214" i="7"/>
  <c r="P214" i="7"/>
  <c r="O214" i="7"/>
  <c r="N214" i="7"/>
  <c r="L214" i="7"/>
  <c r="K214" i="7"/>
  <c r="J214" i="7"/>
  <c r="I214" i="7"/>
  <c r="G214" i="7"/>
  <c r="F214" i="7"/>
  <c r="E214" i="7"/>
  <c r="D214" i="7"/>
  <c r="C214" i="7"/>
  <c r="CC213" i="7"/>
  <c r="CA213" i="7"/>
  <c r="BZ213" i="7"/>
  <c r="BY213" i="7"/>
  <c r="BW213" i="7"/>
  <c r="BV213" i="7"/>
  <c r="BU213" i="7"/>
  <c r="BT213" i="7"/>
  <c r="BS213" i="7"/>
  <c r="BQ213" i="7"/>
  <c r="BP213" i="7"/>
  <c r="BO213" i="7"/>
  <c r="BN213" i="7"/>
  <c r="BM213" i="7"/>
  <c r="BK213" i="7"/>
  <c r="BJ213" i="7"/>
  <c r="BG213" i="7"/>
  <c r="BF213" i="7"/>
  <c r="BE213" i="7"/>
  <c r="BD213" i="7"/>
  <c r="BC213" i="7"/>
  <c r="BB213" i="7"/>
  <c r="BA213" i="7"/>
  <c r="AZ213" i="7"/>
  <c r="AY213" i="7"/>
  <c r="AV213" i="7"/>
  <c r="AT213" i="7"/>
  <c r="AS213" i="7"/>
  <c r="AR213" i="7"/>
  <c r="AP213" i="7"/>
  <c r="AO213" i="7"/>
  <c r="AN213" i="7"/>
  <c r="AM213" i="7"/>
  <c r="AL213" i="7"/>
  <c r="AI213" i="7"/>
  <c r="AH213" i="7"/>
  <c r="AG213" i="7"/>
  <c r="AE213" i="7"/>
  <c r="AD213" i="7"/>
  <c r="AB213" i="7"/>
  <c r="AA213" i="7"/>
  <c r="Z213" i="7"/>
  <c r="X213" i="7"/>
  <c r="W213" i="7"/>
  <c r="V213" i="7"/>
  <c r="U213" i="7"/>
  <c r="S213" i="7"/>
  <c r="Q213" i="7"/>
  <c r="P213" i="7"/>
  <c r="O213" i="7"/>
  <c r="N213" i="7"/>
  <c r="L213" i="7"/>
  <c r="K213" i="7"/>
  <c r="J213" i="7"/>
  <c r="I213" i="7"/>
  <c r="G213" i="7"/>
  <c r="F213" i="7"/>
  <c r="E213" i="7"/>
  <c r="D213" i="7"/>
  <c r="C213" i="7"/>
  <c r="CC212" i="7"/>
  <c r="CA212" i="7"/>
  <c r="BZ212" i="7"/>
  <c r="BY212" i="7"/>
  <c r="BW212" i="7"/>
  <c r="BV212" i="7"/>
  <c r="BU212" i="7"/>
  <c r="BT212" i="7"/>
  <c r="BS212" i="7"/>
  <c r="BQ212" i="7"/>
  <c r="BP212" i="7"/>
  <c r="BO212" i="7"/>
  <c r="BN212" i="7"/>
  <c r="BM212" i="7"/>
  <c r="BK212" i="7"/>
  <c r="BJ212" i="7"/>
  <c r="BG212" i="7"/>
  <c r="BF212" i="7"/>
  <c r="BE212" i="7"/>
  <c r="BD212" i="7"/>
  <c r="BC212" i="7"/>
  <c r="BB212" i="7"/>
  <c r="BA212" i="7"/>
  <c r="AZ212" i="7"/>
  <c r="AY212" i="7"/>
  <c r="AV212" i="7"/>
  <c r="AT212" i="7"/>
  <c r="AS212" i="7"/>
  <c r="AR212" i="7"/>
  <c r="AP212" i="7"/>
  <c r="AO212" i="7"/>
  <c r="AN212" i="7"/>
  <c r="AM212" i="7"/>
  <c r="AL212" i="7"/>
  <c r="AI212" i="7"/>
  <c r="AH212" i="7"/>
  <c r="AG212" i="7"/>
  <c r="AE212" i="7"/>
  <c r="AD212" i="7"/>
  <c r="AB212" i="7"/>
  <c r="AA212" i="7"/>
  <c r="Z212" i="7"/>
  <c r="X212" i="7"/>
  <c r="W212" i="7"/>
  <c r="V212" i="7"/>
  <c r="U212" i="7"/>
  <c r="S212" i="7"/>
  <c r="Q212" i="7"/>
  <c r="P212" i="7"/>
  <c r="O212" i="7"/>
  <c r="N212" i="7"/>
  <c r="L212" i="7"/>
  <c r="K212" i="7"/>
  <c r="J212" i="7"/>
  <c r="I212" i="7"/>
  <c r="G212" i="7"/>
  <c r="F212" i="7"/>
  <c r="E212" i="7"/>
  <c r="D212" i="7"/>
  <c r="C212" i="7"/>
  <c r="CE211" i="7"/>
  <c r="CD211" i="7"/>
  <c r="CC211" i="7"/>
  <c r="CB211" i="7"/>
  <c r="CA211" i="7"/>
  <c r="BZ211" i="7"/>
  <c r="BY211" i="7"/>
  <c r="BX211" i="7"/>
  <c r="BW211" i="7"/>
  <c r="BV211" i="7"/>
  <c r="BU211" i="7"/>
  <c r="BT211" i="7"/>
  <c r="BS211" i="7"/>
  <c r="BR211" i="7"/>
  <c r="BQ211" i="7"/>
  <c r="BP211" i="7"/>
  <c r="BO211" i="7"/>
  <c r="BN211" i="7"/>
  <c r="BM211" i="7"/>
  <c r="BL211" i="7"/>
  <c r="BK211" i="7"/>
  <c r="BJ211" i="7"/>
  <c r="BI211" i="7"/>
  <c r="BH211" i="7"/>
  <c r="BG211" i="7"/>
  <c r="BF211" i="7"/>
  <c r="BE211" i="7"/>
  <c r="BD211" i="7"/>
  <c r="BC211" i="7"/>
  <c r="BB211" i="7"/>
  <c r="BA211" i="7"/>
  <c r="AZ211" i="7"/>
  <c r="AY211" i="7"/>
  <c r="AX211" i="7"/>
  <c r="AW211" i="7"/>
  <c r="AV211" i="7"/>
  <c r="AU211" i="7"/>
  <c r="AT211" i="7"/>
  <c r="AS211" i="7"/>
  <c r="AR211" i="7"/>
  <c r="AQ211" i="7"/>
  <c r="AP211" i="7"/>
  <c r="AO211" i="7"/>
  <c r="AN211" i="7"/>
  <c r="AM211" i="7"/>
  <c r="AL211" i="7"/>
  <c r="AK211" i="7"/>
  <c r="AJ211" i="7"/>
  <c r="AI211" i="7"/>
  <c r="AH211" i="7"/>
  <c r="AG211" i="7"/>
  <c r="AF211" i="7"/>
  <c r="AE211" i="7"/>
  <c r="AD211" i="7"/>
  <c r="AC211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CE210" i="7"/>
  <c r="CD210" i="7"/>
  <c r="CC210" i="7"/>
  <c r="CB210" i="7"/>
  <c r="CA210" i="7"/>
  <c r="BZ210" i="7"/>
  <c r="BY210" i="7"/>
  <c r="BX210" i="7"/>
  <c r="BW210" i="7"/>
  <c r="BV210" i="7"/>
  <c r="BU210" i="7"/>
  <c r="BT210" i="7"/>
  <c r="BS210" i="7"/>
  <c r="BR210" i="7"/>
  <c r="BQ210" i="7"/>
  <c r="BP210" i="7"/>
  <c r="BO210" i="7"/>
  <c r="BN210" i="7"/>
  <c r="BM210" i="7"/>
  <c r="BL210" i="7"/>
  <c r="BK210" i="7"/>
  <c r="BJ210" i="7"/>
  <c r="BI210" i="7"/>
  <c r="BH210" i="7"/>
  <c r="BG210" i="7"/>
  <c r="BF210" i="7"/>
  <c r="BE210" i="7"/>
  <c r="BD210" i="7"/>
  <c r="BC210" i="7"/>
  <c r="BB210" i="7"/>
  <c r="BA210" i="7"/>
  <c r="AZ210" i="7"/>
  <c r="AY210" i="7"/>
  <c r="AX210" i="7"/>
  <c r="AW210" i="7"/>
  <c r="AV210" i="7"/>
  <c r="AU210" i="7"/>
  <c r="AT210" i="7"/>
  <c r="AS210" i="7"/>
  <c r="AR210" i="7"/>
  <c r="AQ210" i="7"/>
  <c r="AP210" i="7"/>
  <c r="AO210" i="7"/>
  <c r="AN210" i="7"/>
  <c r="AM210" i="7"/>
  <c r="AL210" i="7"/>
  <c r="AK210" i="7"/>
  <c r="AJ210" i="7"/>
  <c r="AI210" i="7"/>
  <c r="AH210" i="7"/>
  <c r="AG210" i="7"/>
  <c r="AF210" i="7"/>
  <c r="AE210" i="7"/>
  <c r="AD210" i="7"/>
  <c r="AC210" i="7"/>
  <c r="AB210" i="7"/>
  <c r="AA210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CC209" i="7"/>
  <c r="CA209" i="7"/>
  <c r="BZ209" i="7"/>
  <c r="BY209" i="7"/>
  <c r="BW209" i="7"/>
  <c r="BV209" i="7"/>
  <c r="BU209" i="7"/>
  <c r="BT209" i="7"/>
  <c r="BS209" i="7"/>
  <c r="BQ209" i="7"/>
  <c r="BP209" i="7"/>
  <c r="BO209" i="7"/>
  <c r="BN209" i="7"/>
  <c r="BM209" i="7"/>
  <c r="BK209" i="7"/>
  <c r="BJ209" i="7"/>
  <c r="BG209" i="7"/>
  <c r="BF209" i="7"/>
  <c r="BE209" i="7"/>
  <c r="BD209" i="7"/>
  <c r="BC209" i="7"/>
  <c r="BB209" i="7"/>
  <c r="BA209" i="7"/>
  <c r="AZ209" i="7"/>
  <c r="AY209" i="7"/>
  <c r="AV209" i="7"/>
  <c r="AT209" i="7"/>
  <c r="AS209" i="7"/>
  <c r="AR209" i="7"/>
  <c r="AP209" i="7"/>
  <c r="AO209" i="7"/>
  <c r="AN209" i="7"/>
  <c r="AM209" i="7"/>
  <c r="AL209" i="7"/>
  <c r="AI209" i="7"/>
  <c r="AH209" i="7"/>
  <c r="AG209" i="7"/>
  <c r="AE209" i="7"/>
  <c r="AD209" i="7"/>
  <c r="AB209" i="7"/>
  <c r="AA209" i="7"/>
  <c r="Z209" i="7"/>
  <c r="X209" i="7"/>
  <c r="W209" i="7"/>
  <c r="V209" i="7"/>
  <c r="U209" i="7"/>
  <c r="S209" i="7"/>
  <c r="Q209" i="7"/>
  <c r="P209" i="7"/>
  <c r="O209" i="7"/>
  <c r="N209" i="7"/>
  <c r="L209" i="7"/>
  <c r="K209" i="7"/>
  <c r="J209" i="7"/>
  <c r="I209" i="7"/>
  <c r="G209" i="7"/>
  <c r="F209" i="7"/>
  <c r="E209" i="7"/>
  <c r="D209" i="7"/>
  <c r="C209" i="7"/>
  <c r="CC208" i="7"/>
  <c r="CA208" i="7"/>
  <c r="BZ208" i="7"/>
  <c r="BY208" i="7"/>
  <c r="BW208" i="7"/>
  <c r="BV208" i="7"/>
  <c r="BU208" i="7"/>
  <c r="BT208" i="7"/>
  <c r="BS208" i="7"/>
  <c r="BQ208" i="7"/>
  <c r="BP208" i="7"/>
  <c r="BO208" i="7"/>
  <c r="BN208" i="7"/>
  <c r="BM208" i="7"/>
  <c r="BK208" i="7"/>
  <c r="BJ208" i="7"/>
  <c r="BG208" i="7"/>
  <c r="BF208" i="7"/>
  <c r="BE208" i="7"/>
  <c r="BD208" i="7"/>
  <c r="BC208" i="7"/>
  <c r="BB208" i="7"/>
  <c r="BA208" i="7"/>
  <c r="AZ208" i="7"/>
  <c r="AY208" i="7"/>
  <c r="AV208" i="7"/>
  <c r="AT208" i="7"/>
  <c r="AS208" i="7"/>
  <c r="AR208" i="7"/>
  <c r="AP208" i="7"/>
  <c r="AO208" i="7"/>
  <c r="AN208" i="7"/>
  <c r="AM208" i="7"/>
  <c r="AL208" i="7"/>
  <c r="AI208" i="7"/>
  <c r="AH208" i="7"/>
  <c r="AG208" i="7"/>
  <c r="AE208" i="7"/>
  <c r="AD208" i="7"/>
  <c r="AB208" i="7"/>
  <c r="AA208" i="7"/>
  <c r="Z208" i="7"/>
  <c r="X208" i="7"/>
  <c r="W208" i="7"/>
  <c r="V208" i="7"/>
  <c r="U208" i="7"/>
  <c r="S208" i="7"/>
  <c r="Q208" i="7"/>
  <c r="P208" i="7"/>
  <c r="O208" i="7"/>
  <c r="N208" i="7"/>
  <c r="L208" i="7"/>
  <c r="K208" i="7"/>
  <c r="J208" i="7"/>
  <c r="I208" i="7"/>
  <c r="G208" i="7"/>
  <c r="F208" i="7"/>
  <c r="E208" i="7"/>
  <c r="D208" i="7"/>
  <c r="C208" i="7"/>
  <c r="CC207" i="7"/>
  <c r="CA207" i="7"/>
  <c r="BZ207" i="7"/>
  <c r="BY207" i="7"/>
  <c r="BW207" i="7"/>
  <c r="BV207" i="7"/>
  <c r="BU207" i="7"/>
  <c r="BT207" i="7"/>
  <c r="BS207" i="7"/>
  <c r="BQ207" i="7"/>
  <c r="BP207" i="7"/>
  <c r="BO207" i="7"/>
  <c r="BN207" i="7"/>
  <c r="BM207" i="7"/>
  <c r="BK207" i="7"/>
  <c r="BJ207" i="7"/>
  <c r="BG207" i="7"/>
  <c r="BF207" i="7"/>
  <c r="BE207" i="7"/>
  <c r="BD207" i="7"/>
  <c r="BC207" i="7"/>
  <c r="BB207" i="7"/>
  <c r="BA207" i="7"/>
  <c r="AZ207" i="7"/>
  <c r="AY207" i="7"/>
  <c r="AV207" i="7"/>
  <c r="AT207" i="7"/>
  <c r="AS207" i="7"/>
  <c r="AR207" i="7"/>
  <c r="AP207" i="7"/>
  <c r="AO207" i="7"/>
  <c r="AN207" i="7"/>
  <c r="AM207" i="7"/>
  <c r="AL207" i="7"/>
  <c r="AI207" i="7"/>
  <c r="AH207" i="7"/>
  <c r="AG207" i="7"/>
  <c r="AE207" i="7"/>
  <c r="AD207" i="7"/>
  <c r="AB207" i="7"/>
  <c r="AA207" i="7"/>
  <c r="Z207" i="7"/>
  <c r="X207" i="7"/>
  <c r="W207" i="7"/>
  <c r="V207" i="7"/>
  <c r="U207" i="7"/>
  <c r="S207" i="7"/>
  <c r="Q207" i="7"/>
  <c r="P207" i="7"/>
  <c r="O207" i="7"/>
  <c r="N207" i="7"/>
  <c r="L207" i="7"/>
  <c r="K207" i="7"/>
  <c r="J207" i="7"/>
  <c r="I207" i="7"/>
  <c r="G207" i="7"/>
  <c r="F207" i="7"/>
  <c r="E207" i="7"/>
  <c r="D207" i="7"/>
  <c r="C207" i="7"/>
  <c r="CC206" i="7"/>
  <c r="CA206" i="7"/>
  <c r="BZ206" i="7"/>
  <c r="BY206" i="7"/>
  <c r="BW206" i="7"/>
  <c r="BV206" i="7"/>
  <c r="BU206" i="7"/>
  <c r="BT206" i="7"/>
  <c r="BS206" i="7"/>
  <c r="BQ206" i="7"/>
  <c r="BP206" i="7"/>
  <c r="BO206" i="7"/>
  <c r="BN206" i="7"/>
  <c r="BM206" i="7"/>
  <c r="BK206" i="7"/>
  <c r="BJ206" i="7"/>
  <c r="BG206" i="7"/>
  <c r="BF206" i="7"/>
  <c r="BE206" i="7"/>
  <c r="BD206" i="7"/>
  <c r="BC206" i="7"/>
  <c r="BB206" i="7"/>
  <c r="BA206" i="7"/>
  <c r="AZ206" i="7"/>
  <c r="AY206" i="7"/>
  <c r="AV206" i="7"/>
  <c r="AT206" i="7"/>
  <c r="AS206" i="7"/>
  <c r="AR206" i="7"/>
  <c r="AP206" i="7"/>
  <c r="AO206" i="7"/>
  <c r="AN206" i="7"/>
  <c r="AM206" i="7"/>
  <c r="AL206" i="7"/>
  <c r="AI206" i="7"/>
  <c r="AH206" i="7"/>
  <c r="AG206" i="7"/>
  <c r="AE206" i="7"/>
  <c r="AD206" i="7"/>
  <c r="AB206" i="7"/>
  <c r="AA206" i="7"/>
  <c r="Z206" i="7"/>
  <c r="X206" i="7"/>
  <c r="W206" i="7"/>
  <c r="V206" i="7"/>
  <c r="U206" i="7"/>
  <c r="S206" i="7"/>
  <c r="Q206" i="7"/>
  <c r="P206" i="7"/>
  <c r="O206" i="7"/>
  <c r="N206" i="7"/>
  <c r="L206" i="7"/>
  <c r="K206" i="7"/>
  <c r="J206" i="7"/>
  <c r="I206" i="7"/>
  <c r="G206" i="7"/>
  <c r="F206" i="7"/>
  <c r="E206" i="7"/>
  <c r="D206" i="7"/>
  <c r="C206" i="7"/>
  <c r="CC205" i="7"/>
  <c r="CA205" i="7"/>
  <c r="BZ205" i="7"/>
  <c r="BY205" i="7"/>
  <c r="BW205" i="7"/>
  <c r="BV205" i="7"/>
  <c r="BU205" i="7"/>
  <c r="BT205" i="7"/>
  <c r="BS205" i="7"/>
  <c r="BQ205" i="7"/>
  <c r="BP205" i="7"/>
  <c r="BO205" i="7"/>
  <c r="BN205" i="7"/>
  <c r="BM205" i="7"/>
  <c r="BK205" i="7"/>
  <c r="BJ205" i="7"/>
  <c r="BG205" i="7"/>
  <c r="BF205" i="7"/>
  <c r="BE205" i="7"/>
  <c r="BD205" i="7"/>
  <c r="BC205" i="7"/>
  <c r="BB205" i="7"/>
  <c r="BA205" i="7"/>
  <c r="AZ205" i="7"/>
  <c r="AY205" i="7"/>
  <c r="AV205" i="7"/>
  <c r="AT205" i="7"/>
  <c r="AS205" i="7"/>
  <c r="AR205" i="7"/>
  <c r="AP205" i="7"/>
  <c r="AO205" i="7"/>
  <c r="AN205" i="7"/>
  <c r="AM205" i="7"/>
  <c r="AL205" i="7"/>
  <c r="AI205" i="7"/>
  <c r="AH205" i="7"/>
  <c r="AG205" i="7"/>
  <c r="AE205" i="7"/>
  <c r="AD205" i="7"/>
  <c r="AB205" i="7"/>
  <c r="AA205" i="7"/>
  <c r="Z205" i="7"/>
  <c r="X205" i="7"/>
  <c r="W205" i="7"/>
  <c r="V205" i="7"/>
  <c r="U205" i="7"/>
  <c r="S205" i="7"/>
  <c r="Q205" i="7"/>
  <c r="P205" i="7"/>
  <c r="O205" i="7"/>
  <c r="N205" i="7"/>
  <c r="L205" i="7"/>
  <c r="K205" i="7"/>
  <c r="J205" i="7"/>
  <c r="I205" i="7"/>
  <c r="G205" i="7"/>
  <c r="F205" i="7"/>
  <c r="E205" i="7"/>
  <c r="D205" i="7"/>
  <c r="C205" i="7"/>
  <c r="CE204" i="7"/>
  <c r="CD204" i="7"/>
  <c r="CC204" i="7"/>
  <c r="CB204" i="7"/>
  <c r="CA204" i="7"/>
  <c r="BZ204" i="7"/>
  <c r="BY204" i="7"/>
  <c r="BX204" i="7"/>
  <c r="BW204" i="7"/>
  <c r="BV204" i="7"/>
  <c r="BU204" i="7"/>
  <c r="BT204" i="7"/>
  <c r="BS204" i="7"/>
  <c r="BR204" i="7"/>
  <c r="BQ204" i="7"/>
  <c r="BP204" i="7"/>
  <c r="BO204" i="7"/>
  <c r="BN204" i="7"/>
  <c r="BM204" i="7"/>
  <c r="BL204" i="7"/>
  <c r="BK204" i="7"/>
  <c r="BJ204" i="7"/>
  <c r="BI204" i="7"/>
  <c r="BH204" i="7"/>
  <c r="BG204" i="7"/>
  <c r="BF204" i="7"/>
  <c r="BE204" i="7"/>
  <c r="BD204" i="7"/>
  <c r="BC204" i="7"/>
  <c r="BB204" i="7"/>
  <c r="BA204" i="7"/>
  <c r="AZ204" i="7"/>
  <c r="AY204" i="7"/>
  <c r="AX204" i="7"/>
  <c r="AW204" i="7"/>
  <c r="AV204" i="7"/>
  <c r="AU204" i="7"/>
  <c r="AT204" i="7"/>
  <c r="AS204" i="7"/>
  <c r="AR204" i="7"/>
  <c r="AQ204" i="7"/>
  <c r="AP204" i="7"/>
  <c r="AO204" i="7"/>
  <c r="AN204" i="7"/>
  <c r="AM204" i="7"/>
  <c r="AL204" i="7"/>
  <c r="AK204" i="7"/>
  <c r="AJ204" i="7"/>
  <c r="AI204" i="7"/>
  <c r="AH204" i="7"/>
  <c r="AG204" i="7"/>
  <c r="AF204" i="7"/>
  <c r="AE204" i="7"/>
  <c r="AD204" i="7"/>
  <c r="AC204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CE203" i="7"/>
  <c r="CD203" i="7"/>
  <c r="CC203" i="7"/>
  <c r="CB203" i="7"/>
  <c r="CA203" i="7"/>
  <c r="BZ203" i="7"/>
  <c r="BY203" i="7"/>
  <c r="BX203" i="7"/>
  <c r="BW203" i="7"/>
  <c r="BV203" i="7"/>
  <c r="BU203" i="7"/>
  <c r="BT203" i="7"/>
  <c r="BS203" i="7"/>
  <c r="BR203" i="7"/>
  <c r="BQ203" i="7"/>
  <c r="BP203" i="7"/>
  <c r="BO203" i="7"/>
  <c r="BN203" i="7"/>
  <c r="BM203" i="7"/>
  <c r="BL203" i="7"/>
  <c r="BK203" i="7"/>
  <c r="BJ203" i="7"/>
  <c r="BI203" i="7"/>
  <c r="BH203" i="7"/>
  <c r="BG203" i="7"/>
  <c r="BF203" i="7"/>
  <c r="BE203" i="7"/>
  <c r="BD203" i="7"/>
  <c r="BC203" i="7"/>
  <c r="BB203" i="7"/>
  <c r="BA203" i="7"/>
  <c r="AZ203" i="7"/>
  <c r="AY203" i="7"/>
  <c r="AX203" i="7"/>
  <c r="AW203" i="7"/>
  <c r="AV203" i="7"/>
  <c r="AU203" i="7"/>
  <c r="AT203" i="7"/>
  <c r="AS203" i="7"/>
  <c r="AR203" i="7"/>
  <c r="AQ203" i="7"/>
  <c r="AP203" i="7"/>
  <c r="AO203" i="7"/>
  <c r="AN203" i="7"/>
  <c r="AM203" i="7"/>
  <c r="AL203" i="7"/>
  <c r="AK203" i="7"/>
  <c r="AJ203" i="7"/>
  <c r="AI203" i="7"/>
  <c r="AH203" i="7"/>
  <c r="AG203" i="7"/>
  <c r="AF203" i="7"/>
  <c r="AE203" i="7"/>
  <c r="AD203" i="7"/>
  <c r="AC203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CC202" i="7"/>
  <c r="CA202" i="7"/>
  <c r="BZ202" i="7"/>
  <c r="BY202" i="7"/>
  <c r="BW202" i="7"/>
  <c r="BV202" i="7"/>
  <c r="BU202" i="7"/>
  <c r="BT202" i="7"/>
  <c r="BS202" i="7"/>
  <c r="BQ202" i="7"/>
  <c r="BP202" i="7"/>
  <c r="BO202" i="7"/>
  <c r="BN202" i="7"/>
  <c r="BM202" i="7"/>
  <c r="BK202" i="7"/>
  <c r="BJ202" i="7"/>
  <c r="BG202" i="7"/>
  <c r="BF202" i="7"/>
  <c r="BE202" i="7"/>
  <c r="BD202" i="7"/>
  <c r="BC202" i="7"/>
  <c r="BB202" i="7"/>
  <c r="BA202" i="7"/>
  <c r="AZ202" i="7"/>
  <c r="AY202" i="7"/>
  <c r="AV202" i="7"/>
  <c r="AT202" i="7"/>
  <c r="AS202" i="7"/>
  <c r="AR202" i="7"/>
  <c r="AP202" i="7"/>
  <c r="AO202" i="7"/>
  <c r="AN202" i="7"/>
  <c r="AM202" i="7"/>
  <c r="AL202" i="7"/>
  <c r="AI202" i="7"/>
  <c r="AH202" i="7"/>
  <c r="AG202" i="7"/>
  <c r="AE202" i="7"/>
  <c r="AD202" i="7"/>
  <c r="AB202" i="7"/>
  <c r="AA202" i="7"/>
  <c r="Z202" i="7"/>
  <c r="X202" i="7"/>
  <c r="W202" i="7"/>
  <c r="V202" i="7"/>
  <c r="U202" i="7"/>
  <c r="S202" i="7"/>
  <c r="Q202" i="7"/>
  <c r="P202" i="7"/>
  <c r="O202" i="7"/>
  <c r="N202" i="7"/>
  <c r="L202" i="7"/>
  <c r="K202" i="7"/>
  <c r="J202" i="7"/>
  <c r="I202" i="7"/>
  <c r="G202" i="7"/>
  <c r="F202" i="7"/>
  <c r="E202" i="7"/>
  <c r="D202" i="7"/>
  <c r="C202" i="7"/>
  <c r="CC201" i="7"/>
  <c r="CA201" i="7"/>
  <c r="BZ201" i="7"/>
  <c r="BY201" i="7"/>
  <c r="BW201" i="7"/>
  <c r="BV201" i="7"/>
  <c r="BU201" i="7"/>
  <c r="BT201" i="7"/>
  <c r="BS201" i="7"/>
  <c r="BQ201" i="7"/>
  <c r="BP201" i="7"/>
  <c r="BO201" i="7"/>
  <c r="BN201" i="7"/>
  <c r="BM201" i="7"/>
  <c r="BK201" i="7"/>
  <c r="BJ201" i="7"/>
  <c r="BG201" i="7"/>
  <c r="BF201" i="7"/>
  <c r="BE201" i="7"/>
  <c r="BD201" i="7"/>
  <c r="BC201" i="7"/>
  <c r="BB201" i="7"/>
  <c r="BA201" i="7"/>
  <c r="AZ201" i="7"/>
  <c r="AY201" i="7"/>
  <c r="AV201" i="7"/>
  <c r="AT201" i="7"/>
  <c r="AS201" i="7"/>
  <c r="AR201" i="7"/>
  <c r="AP201" i="7"/>
  <c r="AO201" i="7"/>
  <c r="AN201" i="7"/>
  <c r="AM201" i="7"/>
  <c r="AL201" i="7"/>
  <c r="AI201" i="7"/>
  <c r="AH201" i="7"/>
  <c r="AG201" i="7"/>
  <c r="AE201" i="7"/>
  <c r="AD201" i="7"/>
  <c r="AB201" i="7"/>
  <c r="AA201" i="7"/>
  <c r="Z201" i="7"/>
  <c r="X201" i="7"/>
  <c r="W201" i="7"/>
  <c r="V201" i="7"/>
  <c r="U201" i="7"/>
  <c r="S201" i="7"/>
  <c r="Q201" i="7"/>
  <c r="P201" i="7"/>
  <c r="O201" i="7"/>
  <c r="N201" i="7"/>
  <c r="L201" i="7"/>
  <c r="K201" i="7"/>
  <c r="J201" i="7"/>
  <c r="I201" i="7"/>
  <c r="G201" i="7"/>
  <c r="F201" i="7"/>
  <c r="E201" i="7"/>
  <c r="D201" i="7"/>
  <c r="C201" i="7"/>
  <c r="CC200" i="7"/>
  <c r="CA200" i="7"/>
  <c r="BZ200" i="7"/>
  <c r="BY200" i="7"/>
  <c r="BW200" i="7"/>
  <c r="BV200" i="7"/>
  <c r="BU200" i="7"/>
  <c r="BT200" i="7"/>
  <c r="BS200" i="7"/>
  <c r="BQ200" i="7"/>
  <c r="BP200" i="7"/>
  <c r="BO200" i="7"/>
  <c r="BN200" i="7"/>
  <c r="BM200" i="7"/>
  <c r="BK200" i="7"/>
  <c r="BJ200" i="7"/>
  <c r="BG200" i="7"/>
  <c r="BF200" i="7"/>
  <c r="BE200" i="7"/>
  <c r="BD200" i="7"/>
  <c r="BC200" i="7"/>
  <c r="BB200" i="7"/>
  <c r="BA200" i="7"/>
  <c r="AZ200" i="7"/>
  <c r="AY200" i="7"/>
  <c r="AV200" i="7"/>
  <c r="AT200" i="7"/>
  <c r="AS200" i="7"/>
  <c r="AR200" i="7"/>
  <c r="AP200" i="7"/>
  <c r="AO200" i="7"/>
  <c r="AN200" i="7"/>
  <c r="AM200" i="7"/>
  <c r="AL200" i="7"/>
  <c r="AI200" i="7"/>
  <c r="AH200" i="7"/>
  <c r="AG200" i="7"/>
  <c r="AE200" i="7"/>
  <c r="AD200" i="7"/>
  <c r="AB200" i="7"/>
  <c r="AA200" i="7"/>
  <c r="Z200" i="7"/>
  <c r="X200" i="7"/>
  <c r="W200" i="7"/>
  <c r="V200" i="7"/>
  <c r="U200" i="7"/>
  <c r="S200" i="7"/>
  <c r="Q200" i="7"/>
  <c r="P200" i="7"/>
  <c r="O200" i="7"/>
  <c r="N200" i="7"/>
  <c r="L200" i="7"/>
  <c r="K200" i="7"/>
  <c r="J200" i="7"/>
  <c r="I200" i="7"/>
  <c r="G200" i="7"/>
  <c r="F200" i="7"/>
  <c r="E200" i="7"/>
  <c r="D200" i="7"/>
  <c r="C200" i="7"/>
  <c r="CC199" i="7"/>
  <c r="CA199" i="7"/>
  <c r="BZ199" i="7"/>
  <c r="BY199" i="7"/>
  <c r="BW199" i="7"/>
  <c r="BV199" i="7"/>
  <c r="BU199" i="7"/>
  <c r="BT199" i="7"/>
  <c r="BS199" i="7"/>
  <c r="BQ199" i="7"/>
  <c r="BP199" i="7"/>
  <c r="BO199" i="7"/>
  <c r="BN199" i="7"/>
  <c r="BM199" i="7"/>
  <c r="BK199" i="7"/>
  <c r="BJ199" i="7"/>
  <c r="BG199" i="7"/>
  <c r="BF199" i="7"/>
  <c r="BE199" i="7"/>
  <c r="BD199" i="7"/>
  <c r="BC199" i="7"/>
  <c r="BB199" i="7"/>
  <c r="BA199" i="7"/>
  <c r="AZ199" i="7"/>
  <c r="AY199" i="7"/>
  <c r="AV199" i="7"/>
  <c r="AT199" i="7"/>
  <c r="AS199" i="7"/>
  <c r="AR199" i="7"/>
  <c r="AP199" i="7"/>
  <c r="AO199" i="7"/>
  <c r="AN199" i="7"/>
  <c r="AM199" i="7"/>
  <c r="AL199" i="7"/>
  <c r="AI199" i="7"/>
  <c r="AH199" i="7"/>
  <c r="AG199" i="7"/>
  <c r="AE199" i="7"/>
  <c r="AD199" i="7"/>
  <c r="AB199" i="7"/>
  <c r="AA199" i="7"/>
  <c r="Z199" i="7"/>
  <c r="X199" i="7"/>
  <c r="W199" i="7"/>
  <c r="V199" i="7"/>
  <c r="U199" i="7"/>
  <c r="S199" i="7"/>
  <c r="Q199" i="7"/>
  <c r="P199" i="7"/>
  <c r="O199" i="7"/>
  <c r="N199" i="7"/>
  <c r="L199" i="7"/>
  <c r="K199" i="7"/>
  <c r="J199" i="7"/>
  <c r="I199" i="7"/>
  <c r="G199" i="7"/>
  <c r="F199" i="7"/>
  <c r="E199" i="7"/>
  <c r="D199" i="7"/>
  <c r="C199" i="7"/>
  <c r="CC198" i="7"/>
  <c r="CA198" i="7"/>
  <c r="BZ198" i="7"/>
  <c r="BY198" i="7"/>
  <c r="BW198" i="7"/>
  <c r="BV198" i="7"/>
  <c r="BU198" i="7"/>
  <c r="BT198" i="7"/>
  <c r="BS198" i="7"/>
  <c r="BQ198" i="7"/>
  <c r="BP198" i="7"/>
  <c r="BO198" i="7"/>
  <c r="BN198" i="7"/>
  <c r="BM198" i="7"/>
  <c r="BK198" i="7"/>
  <c r="BJ198" i="7"/>
  <c r="BG198" i="7"/>
  <c r="BF198" i="7"/>
  <c r="BE198" i="7"/>
  <c r="BD198" i="7"/>
  <c r="BC198" i="7"/>
  <c r="BB198" i="7"/>
  <c r="BA198" i="7"/>
  <c r="AZ198" i="7"/>
  <c r="AY198" i="7"/>
  <c r="AV198" i="7"/>
  <c r="AT198" i="7"/>
  <c r="AS198" i="7"/>
  <c r="AR198" i="7"/>
  <c r="AP198" i="7"/>
  <c r="AO198" i="7"/>
  <c r="AN198" i="7"/>
  <c r="AM198" i="7"/>
  <c r="AL198" i="7"/>
  <c r="AI198" i="7"/>
  <c r="AH198" i="7"/>
  <c r="AG198" i="7"/>
  <c r="AE198" i="7"/>
  <c r="AD198" i="7"/>
  <c r="AB198" i="7"/>
  <c r="AA198" i="7"/>
  <c r="Z198" i="7"/>
  <c r="X198" i="7"/>
  <c r="W198" i="7"/>
  <c r="V198" i="7"/>
  <c r="U198" i="7"/>
  <c r="S198" i="7"/>
  <c r="Q198" i="7"/>
  <c r="P198" i="7"/>
  <c r="O198" i="7"/>
  <c r="N198" i="7"/>
  <c r="L198" i="7"/>
  <c r="K198" i="7"/>
  <c r="J198" i="7"/>
  <c r="I198" i="7"/>
  <c r="G198" i="7"/>
  <c r="F198" i="7"/>
  <c r="E198" i="7"/>
  <c r="D198" i="7"/>
  <c r="C198" i="7"/>
  <c r="CE197" i="7"/>
  <c r="CD197" i="7"/>
  <c r="CC197" i="7"/>
  <c r="CB197" i="7"/>
  <c r="CA197" i="7"/>
  <c r="BZ197" i="7"/>
  <c r="BY197" i="7"/>
  <c r="BX197" i="7"/>
  <c r="BW197" i="7"/>
  <c r="BV197" i="7"/>
  <c r="BU197" i="7"/>
  <c r="BT197" i="7"/>
  <c r="BS197" i="7"/>
  <c r="BR197" i="7"/>
  <c r="BQ197" i="7"/>
  <c r="BP197" i="7"/>
  <c r="BO197" i="7"/>
  <c r="BN197" i="7"/>
  <c r="BM197" i="7"/>
  <c r="BL197" i="7"/>
  <c r="BK197" i="7"/>
  <c r="BJ197" i="7"/>
  <c r="BI197" i="7"/>
  <c r="BH197" i="7"/>
  <c r="BG197" i="7"/>
  <c r="BF197" i="7"/>
  <c r="BE197" i="7"/>
  <c r="BD197" i="7"/>
  <c r="BC197" i="7"/>
  <c r="BB197" i="7"/>
  <c r="BA197" i="7"/>
  <c r="AZ197" i="7"/>
  <c r="AY197" i="7"/>
  <c r="AX197" i="7"/>
  <c r="AW197" i="7"/>
  <c r="AV197" i="7"/>
  <c r="AU197" i="7"/>
  <c r="AT197" i="7"/>
  <c r="AS197" i="7"/>
  <c r="AR197" i="7"/>
  <c r="AQ197" i="7"/>
  <c r="AP197" i="7"/>
  <c r="AO197" i="7"/>
  <c r="AN197" i="7"/>
  <c r="AM197" i="7"/>
  <c r="AL197" i="7"/>
  <c r="AK197" i="7"/>
  <c r="AJ197" i="7"/>
  <c r="AI197" i="7"/>
  <c r="AH197" i="7"/>
  <c r="AG197" i="7"/>
  <c r="AF197" i="7"/>
  <c r="AE197" i="7"/>
  <c r="AD197" i="7"/>
  <c r="AC197" i="7"/>
  <c r="AB197" i="7"/>
  <c r="AA197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CE196" i="7"/>
  <c r="CD196" i="7"/>
  <c r="CC196" i="7"/>
  <c r="CB196" i="7"/>
  <c r="CA196" i="7"/>
  <c r="BZ196" i="7"/>
  <c r="BY196" i="7"/>
  <c r="BX196" i="7"/>
  <c r="BW196" i="7"/>
  <c r="BV196" i="7"/>
  <c r="BU196" i="7"/>
  <c r="BT196" i="7"/>
  <c r="BS196" i="7"/>
  <c r="BR196" i="7"/>
  <c r="BQ196" i="7"/>
  <c r="BP196" i="7"/>
  <c r="BO196" i="7"/>
  <c r="BN196" i="7"/>
  <c r="BM196" i="7"/>
  <c r="BL196" i="7"/>
  <c r="BK196" i="7"/>
  <c r="BJ196" i="7"/>
  <c r="BI196" i="7"/>
  <c r="BH196" i="7"/>
  <c r="BG196" i="7"/>
  <c r="BF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P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CC195" i="7"/>
  <c r="CA195" i="7"/>
  <c r="BZ195" i="7"/>
  <c r="BY195" i="7"/>
  <c r="BW195" i="7"/>
  <c r="BV195" i="7"/>
  <c r="BU195" i="7"/>
  <c r="BT195" i="7"/>
  <c r="BS195" i="7"/>
  <c r="BQ195" i="7"/>
  <c r="BP195" i="7"/>
  <c r="BO195" i="7"/>
  <c r="BN195" i="7"/>
  <c r="BM195" i="7"/>
  <c r="BK195" i="7"/>
  <c r="BJ195" i="7"/>
  <c r="BG195" i="7"/>
  <c r="BF195" i="7"/>
  <c r="BE195" i="7"/>
  <c r="BD195" i="7"/>
  <c r="BC195" i="7"/>
  <c r="BB195" i="7"/>
  <c r="BA195" i="7"/>
  <c r="AZ195" i="7"/>
  <c r="AY195" i="7"/>
  <c r="AV195" i="7"/>
  <c r="AT195" i="7"/>
  <c r="AS195" i="7"/>
  <c r="AR195" i="7"/>
  <c r="AP195" i="7"/>
  <c r="AO195" i="7"/>
  <c r="AN195" i="7"/>
  <c r="AM195" i="7"/>
  <c r="AL195" i="7"/>
  <c r="AI195" i="7"/>
  <c r="AH195" i="7"/>
  <c r="AG195" i="7"/>
  <c r="AE195" i="7"/>
  <c r="AD195" i="7"/>
  <c r="AB195" i="7"/>
  <c r="AA195" i="7"/>
  <c r="Z195" i="7"/>
  <c r="X195" i="7"/>
  <c r="W195" i="7"/>
  <c r="V195" i="7"/>
  <c r="U195" i="7"/>
  <c r="S195" i="7"/>
  <c r="Q195" i="7"/>
  <c r="P195" i="7"/>
  <c r="O195" i="7"/>
  <c r="N195" i="7"/>
  <c r="L195" i="7"/>
  <c r="K195" i="7"/>
  <c r="J195" i="7"/>
  <c r="I195" i="7"/>
  <c r="G195" i="7"/>
  <c r="F195" i="7"/>
  <c r="E195" i="7"/>
  <c r="D195" i="7"/>
  <c r="C195" i="7"/>
  <c r="CC194" i="7"/>
  <c r="CA194" i="7"/>
  <c r="BZ194" i="7"/>
  <c r="BY194" i="7"/>
  <c r="BW194" i="7"/>
  <c r="BV194" i="7"/>
  <c r="BU194" i="7"/>
  <c r="BT194" i="7"/>
  <c r="BS194" i="7"/>
  <c r="BQ194" i="7"/>
  <c r="BP194" i="7"/>
  <c r="BO194" i="7"/>
  <c r="BN194" i="7"/>
  <c r="BM194" i="7"/>
  <c r="BK194" i="7"/>
  <c r="BJ194" i="7"/>
  <c r="BG194" i="7"/>
  <c r="BF194" i="7"/>
  <c r="BE194" i="7"/>
  <c r="BD194" i="7"/>
  <c r="BC194" i="7"/>
  <c r="BB194" i="7"/>
  <c r="BA194" i="7"/>
  <c r="AZ194" i="7"/>
  <c r="AY194" i="7"/>
  <c r="AV194" i="7"/>
  <c r="AT194" i="7"/>
  <c r="AS194" i="7"/>
  <c r="AR194" i="7"/>
  <c r="AP194" i="7"/>
  <c r="AO194" i="7"/>
  <c r="AN194" i="7"/>
  <c r="AM194" i="7"/>
  <c r="AL194" i="7"/>
  <c r="AI194" i="7"/>
  <c r="AH194" i="7"/>
  <c r="AG194" i="7"/>
  <c r="AE194" i="7"/>
  <c r="AD194" i="7"/>
  <c r="AB194" i="7"/>
  <c r="AA194" i="7"/>
  <c r="Z194" i="7"/>
  <c r="X194" i="7"/>
  <c r="W194" i="7"/>
  <c r="V194" i="7"/>
  <c r="U194" i="7"/>
  <c r="S194" i="7"/>
  <c r="Q194" i="7"/>
  <c r="P194" i="7"/>
  <c r="O194" i="7"/>
  <c r="N194" i="7"/>
  <c r="L194" i="7"/>
  <c r="K194" i="7"/>
  <c r="J194" i="7"/>
  <c r="I194" i="7"/>
  <c r="G194" i="7"/>
  <c r="F194" i="7"/>
  <c r="E194" i="7"/>
  <c r="D194" i="7"/>
  <c r="C194" i="7"/>
  <c r="CC193" i="7"/>
  <c r="CA193" i="7"/>
  <c r="BZ193" i="7"/>
  <c r="BY193" i="7"/>
  <c r="BW193" i="7"/>
  <c r="BV193" i="7"/>
  <c r="BU193" i="7"/>
  <c r="BT193" i="7"/>
  <c r="BS193" i="7"/>
  <c r="BQ193" i="7"/>
  <c r="BP193" i="7"/>
  <c r="BO193" i="7"/>
  <c r="BN193" i="7"/>
  <c r="BM193" i="7"/>
  <c r="BK193" i="7"/>
  <c r="BJ193" i="7"/>
  <c r="BG193" i="7"/>
  <c r="BF193" i="7"/>
  <c r="BE193" i="7"/>
  <c r="BD193" i="7"/>
  <c r="BC193" i="7"/>
  <c r="BB193" i="7"/>
  <c r="BA193" i="7"/>
  <c r="AZ193" i="7"/>
  <c r="AY193" i="7"/>
  <c r="AV193" i="7"/>
  <c r="AT193" i="7"/>
  <c r="AS193" i="7"/>
  <c r="AR193" i="7"/>
  <c r="AP193" i="7"/>
  <c r="AO193" i="7"/>
  <c r="AN193" i="7"/>
  <c r="AM193" i="7"/>
  <c r="AL193" i="7"/>
  <c r="AI193" i="7"/>
  <c r="AH193" i="7"/>
  <c r="AG193" i="7"/>
  <c r="AE193" i="7"/>
  <c r="AD193" i="7"/>
  <c r="AB193" i="7"/>
  <c r="AA193" i="7"/>
  <c r="Z193" i="7"/>
  <c r="X193" i="7"/>
  <c r="W193" i="7"/>
  <c r="V193" i="7"/>
  <c r="U193" i="7"/>
  <c r="S193" i="7"/>
  <c r="Q193" i="7"/>
  <c r="P193" i="7"/>
  <c r="O193" i="7"/>
  <c r="N193" i="7"/>
  <c r="L193" i="7"/>
  <c r="K193" i="7"/>
  <c r="J193" i="7"/>
  <c r="I193" i="7"/>
  <c r="G193" i="7"/>
  <c r="F193" i="7"/>
  <c r="E193" i="7"/>
  <c r="D193" i="7"/>
  <c r="C193" i="7"/>
  <c r="CC192" i="7"/>
  <c r="CA192" i="7"/>
  <c r="BZ192" i="7"/>
  <c r="BY192" i="7"/>
  <c r="BW192" i="7"/>
  <c r="BV192" i="7"/>
  <c r="BU192" i="7"/>
  <c r="BT192" i="7"/>
  <c r="BS192" i="7"/>
  <c r="BQ192" i="7"/>
  <c r="BP192" i="7"/>
  <c r="BO192" i="7"/>
  <c r="BN192" i="7"/>
  <c r="BM192" i="7"/>
  <c r="BK192" i="7"/>
  <c r="BJ192" i="7"/>
  <c r="BG192" i="7"/>
  <c r="BF192" i="7"/>
  <c r="BE192" i="7"/>
  <c r="BD192" i="7"/>
  <c r="BC192" i="7"/>
  <c r="BB192" i="7"/>
  <c r="BA192" i="7"/>
  <c r="AZ192" i="7"/>
  <c r="AY192" i="7"/>
  <c r="AV192" i="7"/>
  <c r="AT192" i="7"/>
  <c r="AS192" i="7"/>
  <c r="AR192" i="7"/>
  <c r="AP192" i="7"/>
  <c r="AO192" i="7"/>
  <c r="AN192" i="7"/>
  <c r="AM192" i="7"/>
  <c r="AL192" i="7"/>
  <c r="AI192" i="7"/>
  <c r="AH192" i="7"/>
  <c r="AG192" i="7"/>
  <c r="AE192" i="7"/>
  <c r="AD192" i="7"/>
  <c r="AB192" i="7"/>
  <c r="AA192" i="7"/>
  <c r="Z192" i="7"/>
  <c r="X192" i="7"/>
  <c r="W192" i="7"/>
  <c r="V192" i="7"/>
  <c r="U192" i="7"/>
  <c r="S192" i="7"/>
  <c r="Q192" i="7"/>
  <c r="P192" i="7"/>
  <c r="O192" i="7"/>
  <c r="N192" i="7"/>
  <c r="L192" i="7"/>
  <c r="K192" i="7"/>
  <c r="J192" i="7"/>
  <c r="I192" i="7"/>
  <c r="G192" i="7"/>
  <c r="F192" i="7"/>
  <c r="E192" i="7"/>
  <c r="D192" i="7"/>
  <c r="C192" i="7"/>
  <c r="CC191" i="7"/>
  <c r="CA191" i="7"/>
  <c r="BZ191" i="7"/>
  <c r="BY191" i="7"/>
  <c r="BW191" i="7"/>
  <c r="BV191" i="7"/>
  <c r="BU191" i="7"/>
  <c r="BT191" i="7"/>
  <c r="BS191" i="7"/>
  <c r="BQ191" i="7"/>
  <c r="BP191" i="7"/>
  <c r="BO191" i="7"/>
  <c r="BN191" i="7"/>
  <c r="BM191" i="7"/>
  <c r="BK191" i="7"/>
  <c r="BJ191" i="7"/>
  <c r="BG191" i="7"/>
  <c r="BF191" i="7"/>
  <c r="BE191" i="7"/>
  <c r="BD191" i="7"/>
  <c r="BC191" i="7"/>
  <c r="BB191" i="7"/>
  <c r="BA191" i="7"/>
  <c r="AZ191" i="7"/>
  <c r="AY191" i="7"/>
  <c r="AV191" i="7"/>
  <c r="AT191" i="7"/>
  <c r="AS191" i="7"/>
  <c r="AR191" i="7"/>
  <c r="AP191" i="7"/>
  <c r="AO191" i="7"/>
  <c r="AN191" i="7"/>
  <c r="AM191" i="7"/>
  <c r="AL191" i="7"/>
  <c r="AI191" i="7"/>
  <c r="AH191" i="7"/>
  <c r="AG191" i="7"/>
  <c r="AE191" i="7"/>
  <c r="AD191" i="7"/>
  <c r="AB191" i="7"/>
  <c r="AA191" i="7"/>
  <c r="Z191" i="7"/>
  <c r="X191" i="7"/>
  <c r="W191" i="7"/>
  <c r="V191" i="7"/>
  <c r="U191" i="7"/>
  <c r="S191" i="7"/>
  <c r="Q191" i="7"/>
  <c r="P191" i="7"/>
  <c r="O191" i="7"/>
  <c r="N191" i="7"/>
  <c r="L191" i="7"/>
  <c r="K191" i="7"/>
  <c r="J191" i="7"/>
  <c r="I191" i="7"/>
  <c r="G191" i="7"/>
  <c r="F191" i="7"/>
  <c r="E191" i="7"/>
  <c r="D191" i="7"/>
  <c r="C191" i="7"/>
  <c r="CE190" i="7"/>
  <c r="CD190" i="7"/>
  <c r="CC190" i="7"/>
  <c r="CB190" i="7"/>
  <c r="CA190" i="7"/>
  <c r="BZ190" i="7"/>
  <c r="BY190" i="7"/>
  <c r="BX190" i="7"/>
  <c r="BW190" i="7"/>
  <c r="BV190" i="7"/>
  <c r="BU190" i="7"/>
  <c r="BT190" i="7"/>
  <c r="BS190" i="7"/>
  <c r="BR190" i="7"/>
  <c r="BQ190" i="7"/>
  <c r="BP190" i="7"/>
  <c r="BO190" i="7"/>
  <c r="BN190" i="7"/>
  <c r="BM190" i="7"/>
  <c r="BL190" i="7"/>
  <c r="BK190" i="7"/>
  <c r="BJ190" i="7"/>
  <c r="BI190" i="7"/>
  <c r="BH190" i="7"/>
  <c r="BG190" i="7"/>
  <c r="BF190" i="7"/>
  <c r="BE190" i="7"/>
  <c r="BD190" i="7"/>
  <c r="BC190" i="7"/>
  <c r="BB190" i="7"/>
  <c r="BA190" i="7"/>
  <c r="AZ190" i="7"/>
  <c r="AY190" i="7"/>
  <c r="AX190" i="7"/>
  <c r="AW190" i="7"/>
  <c r="AV190" i="7"/>
  <c r="AU190" i="7"/>
  <c r="AT190" i="7"/>
  <c r="AS190" i="7"/>
  <c r="AR190" i="7"/>
  <c r="AQ190" i="7"/>
  <c r="AP190" i="7"/>
  <c r="AO190" i="7"/>
  <c r="AN190" i="7"/>
  <c r="AM190" i="7"/>
  <c r="AL190" i="7"/>
  <c r="AK190" i="7"/>
  <c r="AJ190" i="7"/>
  <c r="AI190" i="7"/>
  <c r="AH190" i="7"/>
  <c r="AG190" i="7"/>
  <c r="AF190" i="7"/>
  <c r="AE190" i="7"/>
  <c r="AD190" i="7"/>
  <c r="AC190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CE189" i="7"/>
  <c r="CD189" i="7"/>
  <c r="CC189" i="7"/>
  <c r="CB189" i="7"/>
  <c r="CA189" i="7"/>
  <c r="BZ189" i="7"/>
  <c r="BY189" i="7"/>
  <c r="BX189" i="7"/>
  <c r="BW189" i="7"/>
  <c r="BV189" i="7"/>
  <c r="BU189" i="7"/>
  <c r="BT189" i="7"/>
  <c r="BS189" i="7"/>
  <c r="BR189" i="7"/>
  <c r="BQ189" i="7"/>
  <c r="BP189" i="7"/>
  <c r="BO189" i="7"/>
  <c r="BN189" i="7"/>
  <c r="BM189" i="7"/>
  <c r="BL189" i="7"/>
  <c r="BK189" i="7"/>
  <c r="BJ189" i="7"/>
  <c r="BI189" i="7"/>
  <c r="BH189" i="7"/>
  <c r="BG189" i="7"/>
  <c r="BF189" i="7"/>
  <c r="BE189" i="7"/>
  <c r="BD189" i="7"/>
  <c r="BC189" i="7"/>
  <c r="BB189" i="7"/>
  <c r="BA189" i="7"/>
  <c r="AZ189" i="7"/>
  <c r="AY189" i="7"/>
  <c r="AX189" i="7"/>
  <c r="AW189" i="7"/>
  <c r="AV189" i="7"/>
  <c r="AU189" i="7"/>
  <c r="AT189" i="7"/>
  <c r="AS189" i="7"/>
  <c r="AR189" i="7"/>
  <c r="AQ189" i="7"/>
  <c r="AP189" i="7"/>
  <c r="AO189" i="7"/>
  <c r="AN189" i="7"/>
  <c r="AM189" i="7"/>
  <c r="AL189" i="7"/>
  <c r="AK189" i="7"/>
  <c r="AJ189" i="7"/>
  <c r="AI189" i="7"/>
  <c r="AH189" i="7"/>
  <c r="AG189" i="7"/>
  <c r="AF189" i="7"/>
  <c r="AE189" i="7"/>
  <c r="AD189" i="7"/>
  <c r="AC189" i="7"/>
  <c r="AB189" i="7"/>
  <c r="AA189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CC188" i="7"/>
  <c r="CA188" i="7"/>
  <c r="BZ188" i="7"/>
  <c r="BY188" i="7"/>
  <c r="BW188" i="7"/>
  <c r="BV188" i="7"/>
  <c r="BU188" i="7"/>
  <c r="BT188" i="7"/>
  <c r="BS188" i="7"/>
  <c r="BQ188" i="7"/>
  <c r="BP188" i="7"/>
  <c r="BO188" i="7"/>
  <c r="BN188" i="7"/>
  <c r="BM188" i="7"/>
  <c r="BK188" i="7"/>
  <c r="BJ188" i="7"/>
  <c r="BG188" i="7"/>
  <c r="BF188" i="7"/>
  <c r="BE188" i="7"/>
  <c r="BD188" i="7"/>
  <c r="BC188" i="7"/>
  <c r="BB188" i="7"/>
  <c r="BA188" i="7"/>
  <c r="AZ188" i="7"/>
  <c r="AY188" i="7"/>
  <c r="AV188" i="7"/>
  <c r="AT188" i="7"/>
  <c r="AS188" i="7"/>
  <c r="AR188" i="7"/>
  <c r="AP188" i="7"/>
  <c r="AO188" i="7"/>
  <c r="AN188" i="7"/>
  <c r="AM188" i="7"/>
  <c r="AL188" i="7"/>
  <c r="AI188" i="7"/>
  <c r="AH188" i="7"/>
  <c r="AG188" i="7"/>
  <c r="AE188" i="7"/>
  <c r="AD188" i="7"/>
  <c r="AB188" i="7"/>
  <c r="AA188" i="7"/>
  <c r="Z188" i="7"/>
  <c r="X188" i="7"/>
  <c r="W188" i="7"/>
  <c r="V188" i="7"/>
  <c r="U188" i="7"/>
  <c r="S188" i="7"/>
  <c r="Q188" i="7"/>
  <c r="P188" i="7"/>
  <c r="O188" i="7"/>
  <c r="N188" i="7"/>
  <c r="L188" i="7"/>
  <c r="K188" i="7"/>
  <c r="J188" i="7"/>
  <c r="I188" i="7"/>
  <c r="G188" i="7"/>
  <c r="F188" i="7"/>
  <c r="E188" i="7"/>
  <c r="D188" i="7"/>
  <c r="C188" i="7"/>
  <c r="CC187" i="7"/>
  <c r="CA187" i="7"/>
  <c r="BZ187" i="7"/>
  <c r="BY187" i="7"/>
  <c r="BW187" i="7"/>
  <c r="BV187" i="7"/>
  <c r="BU187" i="7"/>
  <c r="BT187" i="7"/>
  <c r="BS187" i="7"/>
  <c r="BQ187" i="7"/>
  <c r="BP187" i="7"/>
  <c r="BO187" i="7"/>
  <c r="BN187" i="7"/>
  <c r="BM187" i="7"/>
  <c r="BK187" i="7"/>
  <c r="BJ187" i="7"/>
  <c r="BG187" i="7"/>
  <c r="BF187" i="7"/>
  <c r="BE187" i="7"/>
  <c r="BD187" i="7"/>
  <c r="BC187" i="7"/>
  <c r="BB187" i="7"/>
  <c r="BA187" i="7"/>
  <c r="AZ187" i="7"/>
  <c r="AY187" i="7"/>
  <c r="AV187" i="7"/>
  <c r="AT187" i="7"/>
  <c r="AS187" i="7"/>
  <c r="AR187" i="7"/>
  <c r="AP187" i="7"/>
  <c r="AO187" i="7"/>
  <c r="AN187" i="7"/>
  <c r="AM187" i="7"/>
  <c r="AL187" i="7"/>
  <c r="AI187" i="7"/>
  <c r="AH187" i="7"/>
  <c r="AG187" i="7"/>
  <c r="AE187" i="7"/>
  <c r="AD187" i="7"/>
  <c r="AB187" i="7"/>
  <c r="AA187" i="7"/>
  <c r="Z187" i="7"/>
  <c r="X187" i="7"/>
  <c r="W187" i="7"/>
  <c r="V187" i="7"/>
  <c r="U187" i="7"/>
  <c r="S187" i="7"/>
  <c r="Q187" i="7"/>
  <c r="P187" i="7"/>
  <c r="O187" i="7"/>
  <c r="N187" i="7"/>
  <c r="L187" i="7"/>
  <c r="K187" i="7"/>
  <c r="J187" i="7"/>
  <c r="I187" i="7"/>
  <c r="G187" i="7"/>
  <c r="F187" i="7"/>
  <c r="E187" i="7"/>
  <c r="D187" i="7"/>
  <c r="C187" i="7"/>
  <c r="CC186" i="7"/>
  <c r="CA186" i="7"/>
  <c r="BZ186" i="7"/>
  <c r="BY186" i="7"/>
  <c r="BW186" i="7"/>
  <c r="BV186" i="7"/>
  <c r="BU186" i="7"/>
  <c r="BT186" i="7"/>
  <c r="BS186" i="7"/>
  <c r="BQ186" i="7"/>
  <c r="BP186" i="7"/>
  <c r="BO186" i="7"/>
  <c r="BN186" i="7"/>
  <c r="BM186" i="7"/>
  <c r="BK186" i="7"/>
  <c r="BJ186" i="7"/>
  <c r="BG186" i="7"/>
  <c r="BF186" i="7"/>
  <c r="BE186" i="7"/>
  <c r="BD186" i="7"/>
  <c r="BC186" i="7"/>
  <c r="BB186" i="7"/>
  <c r="BA186" i="7"/>
  <c r="AZ186" i="7"/>
  <c r="AY186" i="7"/>
  <c r="AV186" i="7"/>
  <c r="AT186" i="7"/>
  <c r="AS186" i="7"/>
  <c r="AR186" i="7"/>
  <c r="AP186" i="7"/>
  <c r="AO186" i="7"/>
  <c r="AN186" i="7"/>
  <c r="AM186" i="7"/>
  <c r="AL186" i="7"/>
  <c r="AI186" i="7"/>
  <c r="AH186" i="7"/>
  <c r="AG186" i="7"/>
  <c r="AE186" i="7"/>
  <c r="AD186" i="7"/>
  <c r="AB186" i="7"/>
  <c r="AA186" i="7"/>
  <c r="Z186" i="7"/>
  <c r="X186" i="7"/>
  <c r="W186" i="7"/>
  <c r="V186" i="7"/>
  <c r="U186" i="7"/>
  <c r="S186" i="7"/>
  <c r="Q186" i="7"/>
  <c r="P186" i="7"/>
  <c r="O186" i="7"/>
  <c r="N186" i="7"/>
  <c r="L186" i="7"/>
  <c r="K186" i="7"/>
  <c r="J186" i="7"/>
  <c r="I186" i="7"/>
  <c r="G186" i="7"/>
  <c r="F186" i="7"/>
  <c r="E186" i="7"/>
  <c r="D186" i="7"/>
  <c r="C186" i="7"/>
  <c r="CC185" i="7"/>
  <c r="CA185" i="7"/>
  <c r="BZ185" i="7"/>
  <c r="BY185" i="7"/>
  <c r="BW185" i="7"/>
  <c r="BV185" i="7"/>
  <c r="BU185" i="7"/>
  <c r="BT185" i="7"/>
  <c r="BS185" i="7"/>
  <c r="BQ185" i="7"/>
  <c r="BP185" i="7"/>
  <c r="BO185" i="7"/>
  <c r="BN185" i="7"/>
  <c r="BM185" i="7"/>
  <c r="BK185" i="7"/>
  <c r="BJ185" i="7"/>
  <c r="BG185" i="7"/>
  <c r="BF185" i="7"/>
  <c r="BE185" i="7"/>
  <c r="BD185" i="7"/>
  <c r="BC185" i="7"/>
  <c r="BB185" i="7"/>
  <c r="BA185" i="7"/>
  <c r="AZ185" i="7"/>
  <c r="AY185" i="7"/>
  <c r="AV185" i="7"/>
  <c r="AT185" i="7"/>
  <c r="AS185" i="7"/>
  <c r="AR185" i="7"/>
  <c r="AP185" i="7"/>
  <c r="AO185" i="7"/>
  <c r="AN185" i="7"/>
  <c r="AM185" i="7"/>
  <c r="AL185" i="7"/>
  <c r="AI185" i="7"/>
  <c r="AH185" i="7"/>
  <c r="AG185" i="7"/>
  <c r="AE185" i="7"/>
  <c r="AD185" i="7"/>
  <c r="AB185" i="7"/>
  <c r="AA185" i="7"/>
  <c r="Z185" i="7"/>
  <c r="X185" i="7"/>
  <c r="W185" i="7"/>
  <c r="V185" i="7"/>
  <c r="U185" i="7"/>
  <c r="S185" i="7"/>
  <c r="Q185" i="7"/>
  <c r="P185" i="7"/>
  <c r="O185" i="7"/>
  <c r="N185" i="7"/>
  <c r="L185" i="7"/>
  <c r="K185" i="7"/>
  <c r="J185" i="7"/>
  <c r="I185" i="7"/>
  <c r="G185" i="7"/>
  <c r="F185" i="7"/>
  <c r="E185" i="7"/>
  <c r="D185" i="7"/>
  <c r="C185" i="7"/>
  <c r="CC184" i="7"/>
  <c r="CA184" i="7"/>
  <c r="BZ184" i="7"/>
  <c r="BY184" i="7"/>
  <c r="BW184" i="7"/>
  <c r="BV184" i="7"/>
  <c r="BU184" i="7"/>
  <c r="BT184" i="7"/>
  <c r="BS184" i="7"/>
  <c r="BQ184" i="7"/>
  <c r="BP184" i="7"/>
  <c r="BO184" i="7"/>
  <c r="BN184" i="7"/>
  <c r="BM184" i="7"/>
  <c r="BK184" i="7"/>
  <c r="BJ184" i="7"/>
  <c r="BG184" i="7"/>
  <c r="BF184" i="7"/>
  <c r="BE184" i="7"/>
  <c r="BD184" i="7"/>
  <c r="BC184" i="7"/>
  <c r="BB184" i="7"/>
  <c r="BA184" i="7"/>
  <c r="AZ184" i="7"/>
  <c r="AY184" i="7"/>
  <c r="AV184" i="7"/>
  <c r="AT184" i="7"/>
  <c r="AS184" i="7"/>
  <c r="AR184" i="7"/>
  <c r="AP184" i="7"/>
  <c r="AO184" i="7"/>
  <c r="AN184" i="7"/>
  <c r="AM184" i="7"/>
  <c r="AL184" i="7"/>
  <c r="AI184" i="7"/>
  <c r="AH184" i="7"/>
  <c r="AG184" i="7"/>
  <c r="AE184" i="7"/>
  <c r="AD184" i="7"/>
  <c r="AB184" i="7"/>
  <c r="AA184" i="7"/>
  <c r="Z184" i="7"/>
  <c r="X184" i="7"/>
  <c r="W184" i="7"/>
  <c r="V184" i="7"/>
  <c r="U184" i="7"/>
  <c r="S184" i="7"/>
  <c r="Q184" i="7"/>
  <c r="P184" i="7"/>
  <c r="O184" i="7"/>
  <c r="N184" i="7"/>
  <c r="L184" i="7"/>
  <c r="K184" i="7"/>
  <c r="J184" i="7"/>
  <c r="I184" i="7"/>
  <c r="G184" i="7"/>
  <c r="F184" i="7"/>
  <c r="E184" i="7"/>
  <c r="D184" i="7"/>
  <c r="C184" i="7"/>
  <c r="CE183" i="7"/>
  <c r="CD183" i="7"/>
  <c r="CC183" i="7"/>
  <c r="CB183" i="7"/>
  <c r="CA183" i="7"/>
  <c r="BZ183" i="7"/>
  <c r="BY183" i="7"/>
  <c r="BX183" i="7"/>
  <c r="BW183" i="7"/>
  <c r="BV183" i="7"/>
  <c r="BU183" i="7"/>
  <c r="BT183" i="7"/>
  <c r="BS183" i="7"/>
  <c r="BR183" i="7"/>
  <c r="BQ183" i="7"/>
  <c r="BP183" i="7"/>
  <c r="BO183" i="7"/>
  <c r="BN183" i="7"/>
  <c r="BM183" i="7"/>
  <c r="BL183" i="7"/>
  <c r="BK183" i="7"/>
  <c r="BJ183" i="7"/>
  <c r="BI183" i="7"/>
  <c r="BH183" i="7"/>
  <c r="BG183" i="7"/>
  <c r="BF183" i="7"/>
  <c r="BE183" i="7"/>
  <c r="BD183" i="7"/>
  <c r="BC183" i="7"/>
  <c r="BB183" i="7"/>
  <c r="BA183" i="7"/>
  <c r="AZ183" i="7"/>
  <c r="AY183" i="7"/>
  <c r="AX183" i="7"/>
  <c r="AW183" i="7"/>
  <c r="AV183" i="7"/>
  <c r="AU183" i="7"/>
  <c r="AT183" i="7"/>
  <c r="AS183" i="7"/>
  <c r="AR183" i="7"/>
  <c r="AQ183" i="7"/>
  <c r="AP183" i="7"/>
  <c r="AO183" i="7"/>
  <c r="AN183" i="7"/>
  <c r="AM183" i="7"/>
  <c r="AL183" i="7"/>
  <c r="AK183" i="7"/>
  <c r="AJ183" i="7"/>
  <c r="AI183" i="7"/>
  <c r="AH183" i="7"/>
  <c r="AG183" i="7"/>
  <c r="AF183" i="7"/>
  <c r="AE183" i="7"/>
  <c r="AD183" i="7"/>
  <c r="AC183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CE182" i="7"/>
  <c r="CD182" i="7"/>
  <c r="CC182" i="7"/>
  <c r="CB182" i="7"/>
  <c r="CA182" i="7"/>
  <c r="BZ182" i="7"/>
  <c r="BY182" i="7"/>
  <c r="BX182" i="7"/>
  <c r="BW182" i="7"/>
  <c r="BV182" i="7"/>
  <c r="BU182" i="7"/>
  <c r="BT182" i="7"/>
  <c r="BS182" i="7"/>
  <c r="BR182" i="7"/>
  <c r="BQ182" i="7"/>
  <c r="BP182" i="7"/>
  <c r="BO182" i="7"/>
  <c r="BN182" i="7"/>
  <c r="BM182" i="7"/>
  <c r="BL182" i="7"/>
  <c r="BK182" i="7"/>
  <c r="BJ182" i="7"/>
  <c r="BI182" i="7"/>
  <c r="BH182" i="7"/>
  <c r="BG182" i="7"/>
  <c r="BF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P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CC181" i="7"/>
  <c r="CA181" i="7"/>
  <c r="BZ181" i="7"/>
  <c r="BY181" i="7"/>
  <c r="BX181" i="7"/>
  <c r="BW181" i="7"/>
  <c r="BV181" i="7"/>
  <c r="BU181" i="7"/>
  <c r="BT181" i="7"/>
  <c r="BS181" i="7"/>
  <c r="BQ181" i="7"/>
  <c r="BP181" i="7"/>
  <c r="BO181" i="7"/>
  <c r="BN181" i="7"/>
  <c r="BM181" i="7"/>
  <c r="BK181" i="7"/>
  <c r="BJ181" i="7"/>
  <c r="BG181" i="7"/>
  <c r="BF181" i="7"/>
  <c r="BE181" i="7"/>
  <c r="BD181" i="7"/>
  <c r="BC181" i="7"/>
  <c r="BB181" i="7"/>
  <c r="BA181" i="7"/>
  <c r="AZ181" i="7"/>
  <c r="AY181" i="7"/>
  <c r="AV181" i="7"/>
  <c r="AT181" i="7"/>
  <c r="AS181" i="7"/>
  <c r="AR181" i="7"/>
  <c r="AP181" i="7"/>
  <c r="AO181" i="7"/>
  <c r="AN181" i="7"/>
  <c r="AM181" i="7"/>
  <c r="AL181" i="7"/>
  <c r="AI181" i="7"/>
  <c r="AH181" i="7"/>
  <c r="AG181" i="7"/>
  <c r="AE181" i="7"/>
  <c r="AD181" i="7"/>
  <c r="AB181" i="7"/>
  <c r="AA181" i="7"/>
  <c r="Z181" i="7"/>
  <c r="X181" i="7"/>
  <c r="W181" i="7"/>
  <c r="V181" i="7"/>
  <c r="U181" i="7"/>
  <c r="S181" i="7"/>
  <c r="Q181" i="7"/>
  <c r="P181" i="7"/>
  <c r="O181" i="7"/>
  <c r="N181" i="7"/>
  <c r="L181" i="7"/>
  <c r="K181" i="7"/>
  <c r="J181" i="7"/>
  <c r="I181" i="7"/>
  <c r="G181" i="7"/>
  <c r="F181" i="7"/>
  <c r="E181" i="7"/>
  <c r="D181" i="7"/>
  <c r="C181" i="7"/>
  <c r="CC180" i="7"/>
  <c r="CA180" i="7"/>
  <c r="BZ180" i="7"/>
  <c r="BY180" i="7"/>
  <c r="BW180" i="7"/>
  <c r="BV180" i="7"/>
  <c r="BU180" i="7"/>
  <c r="BT180" i="7"/>
  <c r="BS180" i="7"/>
  <c r="BQ180" i="7"/>
  <c r="BP180" i="7"/>
  <c r="BO180" i="7"/>
  <c r="BN180" i="7"/>
  <c r="BM180" i="7"/>
  <c r="BK180" i="7"/>
  <c r="BJ180" i="7"/>
  <c r="BG180" i="7"/>
  <c r="BF180" i="7"/>
  <c r="BE180" i="7"/>
  <c r="BD180" i="7"/>
  <c r="BC180" i="7"/>
  <c r="BB180" i="7"/>
  <c r="BA180" i="7"/>
  <c r="AZ180" i="7"/>
  <c r="AY180" i="7"/>
  <c r="AV180" i="7"/>
  <c r="AT180" i="7"/>
  <c r="AS180" i="7"/>
  <c r="AR180" i="7"/>
  <c r="AP180" i="7"/>
  <c r="AO180" i="7"/>
  <c r="AN180" i="7"/>
  <c r="AM180" i="7"/>
  <c r="AL180" i="7"/>
  <c r="AI180" i="7"/>
  <c r="AH180" i="7"/>
  <c r="AG180" i="7"/>
  <c r="AE180" i="7"/>
  <c r="AD180" i="7"/>
  <c r="AB180" i="7"/>
  <c r="AA180" i="7"/>
  <c r="Z180" i="7"/>
  <c r="X180" i="7"/>
  <c r="W180" i="7"/>
  <c r="V180" i="7"/>
  <c r="U180" i="7"/>
  <c r="S180" i="7"/>
  <c r="Q180" i="7"/>
  <c r="P180" i="7"/>
  <c r="O180" i="7"/>
  <c r="N180" i="7"/>
  <c r="L180" i="7"/>
  <c r="K180" i="7"/>
  <c r="J180" i="7"/>
  <c r="I180" i="7"/>
  <c r="G180" i="7"/>
  <c r="F180" i="7"/>
  <c r="E180" i="7"/>
  <c r="D180" i="7"/>
  <c r="C180" i="7"/>
  <c r="CC179" i="7"/>
  <c r="CA179" i="7"/>
  <c r="BZ179" i="7"/>
  <c r="BY179" i="7"/>
  <c r="BW179" i="7"/>
  <c r="BV179" i="7"/>
  <c r="BU179" i="7"/>
  <c r="BT179" i="7"/>
  <c r="BS179" i="7"/>
  <c r="BQ179" i="7"/>
  <c r="BP179" i="7"/>
  <c r="BO179" i="7"/>
  <c r="BN179" i="7"/>
  <c r="BM179" i="7"/>
  <c r="BK179" i="7"/>
  <c r="BJ179" i="7"/>
  <c r="BG179" i="7"/>
  <c r="BF179" i="7"/>
  <c r="BE179" i="7"/>
  <c r="BD179" i="7"/>
  <c r="BC179" i="7"/>
  <c r="BB179" i="7"/>
  <c r="BA179" i="7"/>
  <c r="AZ179" i="7"/>
  <c r="AY179" i="7"/>
  <c r="AV179" i="7"/>
  <c r="AT179" i="7"/>
  <c r="AS179" i="7"/>
  <c r="AR179" i="7"/>
  <c r="AP179" i="7"/>
  <c r="AO179" i="7"/>
  <c r="AN179" i="7"/>
  <c r="AM179" i="7"/>
  <c r="AL179" i="7"/>
  <c r="AI179" i="7"/>
  <c r="AH179" i="7"/>
  <c r="AG179" i="7"/>
  <c r="AE179" i="7"/>
  <c r="AD179" i="7"/>
  <c r="AB179" i="7"/>
  <c r="AA179" i="7"/>
  <c r="Z179" i="7"/>
  <c r="X179" i="7"/>
  <c r="W179" i="7"/>
  <c r="V179" i="7"/>
  <c r="U179" i="7"/>
  <c r="S179" i="7"/>
  <c r="Q179" i="7"/>
  <c r="P179" i="7"/>
  <c r="O179" i="7"/>
  <c r="N179" i="7"/>
  <c r="L179" i="7"/>
  <c r="K179" i="7"/>
  <c r="J179" i="7"/>
  <c r="I179" i="7"/>
  <c r="G179" i="7"/>
  <c r="F179" i="7"/>
  <c r="E179" i="7"/>
  <c r="D179" i="7"/>
  <c r="C179" i="7"/>
  <c r="CC178" i="7"/>
  <c r="CA178" i="7"/>
  <c r="BZ178" i="7"/>
  <c r="BY178" i="7"/>
  <c r="BW178" i="7"/>
  <c r="BV178" i="7"/>
  <c r="BU178" i="7"/>
  <c r="BT178" i="7"/>
  <c r="BS178" i="7"/>
  <c r="BQ178" i="7"/>
  <c r="BP178" i="7"/>
  <c r="BO178" i="7"/>
  <c r="BN178" i="7"/>
  <c r="BM178" i="7"/>
  <c r="BK178" i="7"/>
  <c r="BJ178" i="7"/>
  <c r="BG178" i="7"/>
  <c r="BF178" i="7"/>
  <c r="BE178" i="7"/>
  <c r="BD178" i="7"/>
  <c r="BC178" i="7"/>
  <c r="BB178" i="7"/>
  <c r="BA178" i="7"/>
  <c r="AZ178" i="7"/>
  <c r="AY178" i="7"/>
  <c r="AV178" i="7"/>
  <c r="AT178" i="7"/>
  <c r="AS178" i="7"/>
  <c r="AR178" i="7"/>
  <c r="AP178" i="7"/>
  <c r="AO178" i="7"/>
  <c r="AN178" i="7"/>
  <c r="AM178" i="7"/>
  <c r="AL178" i="7"/>
  <c r="AI178" i="7"/>
  <c r="AH178" i="7"/>
  <c r="AG178" i="7"/>
  <c r="AE178" i="7"/>
  <c r="AD178" i="7"/>
  <c r="AB178" i="7"/>
  <c r="AA178" i="7"/>
  <c r="Z178" i="7"/>
  <c r="X178" i="7"/>
  <c r="W178" i="7"/>
  <c r="V178" i="7"/>
  <c r="U178" i="7"/>
  <c r="S178" i="7"/>
  <c r="Q178" i="7"/>
  <c r="P178" i="7"/>
  <c r="O178" i="7"/>
  <c r="N178" i="7"/>
  <c r="L178" i="7"/>
  <c r="K178" i="7"/>
  <c r="J178" i="7"/>
  <c r="I178" i="7"/>
  <c r="G178" i="7"/>
  <c r="F178" i="7"/>
  <c r="E178" i="7"/>
  <c r="D178" i="7"/>
  <c r="C178" i="7"/>
  <c r="CC177" i="7"/>
  <c r="CA177" i="7"/>
  <c r="BZ177" i="7"/>
  <c r="BY177" i="7"/>
  <c r="BW177" i="7"/>
  <c r="BV177" i="7"/>
  <c r="BU177" i="7"/>
  <c r="BT177" i="7"/>
  <c r="BS177" i="7"/>
  <c r="BQ177" i="7"/>
  <c r="BP177" i="7"/>
  <c r="BO177" i="7"/>
  <c r="BN177" i="7"/>
  <c r="BM177" i="7"/>
  <c r="BK177" i="7"/>
  <c r="BJ177" i="7"/>
  <c r="BG177" i="7"/>
  <c r="BF177" i="7"/>
  <c r="BE177" i="7"/>
  <c r="BD177" i="7"/>
  <c r="BC177" i="7"/>
  <c r="BB177" i="7"/>
  <c r="BA177" i="7"/>
  <c r="AZ177" i="7"/>
  <c r="AY177" i="7"/>
  <c r="AV177" i="7"/>
  <c r="AT177" i="7"/>
  <c r="AS177" i="7"/>
  <c r="AR177" i="7"/>
  <c r="AP177" i="7"/>
  <c r="AO177" i="7"/>
  <c r="AN177" i="7"/>
  <c r="AM177" i="7"/>
  <c r="AL177" i="7"/>
  <c r="AI177" i="7"/>
  <c r="AH177" i="7"/>
  <c r="AG177" i="7"/>
  <c r="AE177" i="7"/>
  <c r="AD177" i="7"/>
  <c r="AB177" i="7"/>
  <c r="AA177" i="7"/>
  <c r="Z177" i="7"/>
  <c r="X177" i="7"/>
  <c r="W177" i="7"/>
  <c r="V177" i="7"/>
  <c r="U177" i="7"/>
  <c r="S177" i="7"/>
  <c r="Q177" i="7"/>
  <c r="P177" i="7"/>
  <c r="O177" i="7"/>
  <c r="N177" i="7"/>
  <c r="L177" i="7"/>
  <c r="K177" i="7"/>
  <c r="J177" i="7"/>
  <c r="I177" i="7"/>
  <c r="G177" i="7"/>
  <c r="F177" i="7"/>
  <c r="E177" i="7"/>
  <c r="D177" i="7"/>
  <c r="BX85" i="7"/>
  <c r="BX258" i="7" s="1"/>
  <c r="BX84" i="7"/>
  <c r="BX257" i="7" s="1"/>
  <c r="BX83" i="7"/>
  <c r="BX256" i="7" s="1"/>
  <c r="BX82" i="7"/>
  <c r="BX255" i="7" s="1"/>
  <c r="BX81" i="7"/>
  <c r="BX254" i="7" s="1"/>
  <c r="BX78" i="7"/>
  <c r="BX251" i="7" s="1"/>
  <c r="BX77" i="7"/>
  <c r="BX250" i="7" s="1"/>
  <c r="BX76" i="7"/>
  <c r="BX249" i="7" s="1"/>
  <c r="BX75" i="7"/>
  <c r="BX248" i="7" s="1"/>
  <c r="BX74" i="7"/>
  <c r="BX247" i="7" s="1"/>
  <c r="BX71" i="7"/>
  <c r="BX244" i="7" s="1"/>
  <c r="BX70" i="7"/>
  <c r="BX243" i="7" s="1"/>
  <c r="BX69" i="7"/>
  <c r="BX242" i="7" s="1"/>
  <c r="BX68" i="7"/>
  <c r="BX241" i="7" s="1"/>
  <c r="BX67" i="7"/>
  <c r="BX240" i="7" s="1"/>
  <c r="BX64" i="7"/>
  <c r="BX237" i="7" s="1"/>
  <c r="BX63" i="7"/>
  <c r="BX236" i="7" s="1"/>
  <c r="BX62" i="7"/>
  <c r="BX235" i="7" s="1"/>
  <c r="BX61" i="7"/>
  <c r="BX234" i="7" s="1"/>
  <c r="BX60" i="7"/>
  <c r="BX233" i="7" s="1"/>
  <c r="BX57" i="7"/>
  <c r="BX230" i="7" s="1"/>
  <c r="BX56" i="7"/>
  <c r="BX229" i="7" s="1"/>
  <c r="BX55" i="7"/>
  <c r="BX228" i="7" s="1"/>
  <c r="BX54" i="7"/>
  <c r="BX227" i="7" s="1"/>
  <c r="BX53" i="7"/>
  <c r="BX226" i="7" s="1"/>
  <c r="BX50" i="7"/>
  <c r="BX223" i="7" s="1"/>
  <c r="BX49" i="7"/>
  <c r="BX222" i="7" s="1"/>
  <c r="BX48" i="7"/>
  <c r="BX221" i="7" s="1"/>
  <c r="BX47" i="7"/>
  <c r="BX220" i="7" s="1"/>
  <c r="BX46" i="7"/>
  <c r="BX219" i="7" s="1"/>
  <c r="BX43" i="7"/>
  <c r="BX216" i="7" s="1"/>
  <c r="BX42" i="7"/>
  <c r="BX215" i="7" s="1"/>
  <c r="BX41" i="7"/>
  <c r="BX214" i="7" s="1"/>
  <c r="BX40" i="7"/>
  <c r="BX213" i="7" s="1"/>
  <c r="BX39" i="7"/>
  <c r="BX212" i="7" s="1"/>
  <c r="BX36" i="7"/>
  <c r="BX209" i="7" s="1"/>
  <c r="BX35" i="7"/>
  <c r="BX208" i="7" s="1"/>
  <c r="BX34" i="7"/>
  <c r="BX207" i="7" s="1"/>
  <c r="BX33" i="7"/>
  <c r="BX206" i="7" s="1"/>
  <c r="BX32" i="7"/>
  <c r="BX205" i="7" s="1"/>
  <c r="BX29" i="7"/>
  <c r="BX202" i="7" s="1"/>
  <c r="BX28" i="7"/>
  <c r="BX201" i="7" s="1"/>
  <c r="BX27" i="7"/>
  <c r="BX200" i="7" s="1"/>
  <c r="BX26" i="7"/>
  <c r="BX199" i="7" s="1"/>
  <c r="BX25" i="7"/>
  <c r="BX198" i="7" s="1"/>
  <c r="BX22" i="7"/>
  <c r="BX195" i="7" s="1"/>
  <c r="BX21" i="7"/>
  <c r="BX194" i="7" s="1"/>
  <c r="BX20" i="7"/>
  <c r="BX193" i="7" s="1"/>
  <c r="BX19" i="7"/>
  <c r="BX192" i="7" s="1"/>
  <c r="BX18" i="7"/>
  <c r="BX191" i="7" s="1"/>
  <c r="BX15" i="7"/>
  <c r="BX188" i="7" s="1"/>
  <c r="BX14" i="7"/>
  <c r="BX187" i="7" s="1"/>
  <c r="BX13" i="7"/>
  <c r="BX186" i="7" s="1"/>
  <c r="BX12" i="7"/>
  <c r="BX185" i="7" s="1"/>
  <c r="BX11" i="7"/>
  <c r="BX184" i="7" s="1"/>
  <c r="BX8" i="7"/>
  <c r="BX7" i="7"/>
  <c r="BX180" i="7" s="1"/>
  <c r="BX6" i="7"/>
  <c r="BX179" i="7" s="1"/>
  <c r="BX5" i="7"/>
  <c r="BX178" i="7" s="1"/>
  <c r="BX4" i="7"/>
  <c r="BX177" i="7" s="1"/>
  <c r="BR85" i="7"/>
  <c r="BR258" i="7" s="1"/>
  <c r="BR84" i="7"/>
  <c r="BR257" i="7" s="1"/>
  <c r="BR83" i="7"/>
  <c r="BR256" i="7" s="1"/>
  <c r="BR82" i="7"/>
  <c r="BR255" i="7" s="1"/>
  <c r="BR81" i="7"/>
  <c r="BR254" i="7" s="1"/>
  <c r="BR78" i="7"/>
  <c r="BR251" i="7" s="1"/>
  <c r="BR77" i="7"/>
  <c r="BR250" i="7" s="1"/>
  <c r="BR76" i="7"/>
  <c r="BR249" i="7" s="1"/>
  <c r="BR75" i="7"/>
  <c r="BR248" i="7" s="1"/>
  <c r="BR74" i="7"/>
  <c r="BR247" i="7" s="1"/>
  <c r="BR71" i="7"/>
  <c r="BR244" i="7" s="1"/>
  <c r="BR70" i="7"/>
  <c r="BR243" i="7" s="1"/>
  <c r="BR69" i="7"/>
  <c r="BR242" i="7" s="1"/>
  <c r="BR68" i="7"/>
  <c r="BR241" i="7" s="1"/>
  <c r="BR67" i="7"/>
  <c r="BR240" i="7" s="1"/>
  <c r="BR64" i="7"/>
  <c r="BR237" i="7" s="1"/>
  <c r="BR63" i="7"/>
  <c r="BR236" i="7" s="1"/>
  <c r="BR62" i="7"/>
  <c r="BR235" i="7" s="1"/>
  <c r="BR61" i="7"/>
  <c r="BR234" i="7" s="1"/>
  <c r="BR60" i="7"/>
  <c r="BR233" i="7" s="1"/>
  <c r="BR57" i="7"/>
  <c r="BR230" i="7" s="1"/>
  <c r="BR56" i="7"/>
  <c r="BR229" i="7" s="1"/>
  <c r="BR55" i="7"/>
  <c r="BR228" i="7" s="1"/>
  <c r="BR54" i="7"/>
  <c r="BR227" i="7" s="1"/>
  <c r="BR53" i="7"/>
  <c r="BR226" i="7" s="1"/>
  <c r="BR50" i="7"/>
  <c r="BR223" i="7" s="1"/>
  <c r="BR49" i="7"/>
  <c r="BR222" i="7" s="1"/>
  <c r="BR48" i="7"/>
  <c r="BR221" i="7" s="1"/>
  <c r="BR47" i="7"/>
  <c r="BR220" i="7" s="1"/>
  <c r="BR46" i="7"/>
  <c r="BR219" i="7" s="1"/>
  <c r="BR43" i="7"/>
  <c r="BR216" i="7" s="1"/>
  <c r="BR42" i="7"/>
  <c r="BR215" i="7" s="1"/>
  <c r="BR41" i="7"/>
  <c r="BR214" i="7" s="1"/>
  <c r="BR40" i="7"/>
  <c r="BR213" i="7" s="1"/>
  <c r="BR39" i="7"/>
  <c r="BR212" i="7" s="1"/>
  <c r="BR36" i="7"/>
  <c r="BR209" i="7" s="1"/>
  <c r="BR35" i="7"/>
  <c r="BR208" i="7" s="1"/>
  <c r="BR34" i="7"/>
  <c r="BR207" i="7" s="1"/>
  <c r="BR33" i="7"/>
  <c r="BR206" i="7" s="1"/>
  <c r="BR32" i="7"/>
  <c r="BR205" i="7" s="1"/>
  <c r="BR29" i="7"/>
  <c r="BR202" i="7" s="1"/>
  <c r="BR28" i="7"/>
  <c r="BR201" i="7" s="1"/>
  <c r="BR27" i="7"/>
  <c r="BR200" i="7" s="1"/>
  <c r="BR26" i="7"/>
  <c r="BR199" i="7" s="1"/>
  <c r="BR25" i="7"/>
  <c r="BR198" i="7" s="1"/>
  <c r="BR22" i="7"/>
  <c r="BR195" i="7" s="1"/>
  <c r="BR21" i="7"/>
  <c r="BR194" i="7" s="1"/>
  <c r="BR20" i="7"/>
  <c r="BR193" i="7" s="1"/>
  <c r="BR19" i="7"/>
  <c r="BR192" i="7" s="1"/>
  <c r="BR18" i="7"/>
  <c r="BR191" i="7" s="1"/>
  <c r="BR15" i="7"/>
  <c r="BR188" i="7" s="1"/>
  <c r="BR14" i="7"/>
  <c r="BR187" i="7" s="1"/>
  <c r="BR13" i="7"/>
  <c r="BR186" i="7" s="1"/>
  <c r="BR12" i="7"/>
  <c r="BR185" i="7" s="1"/>
  <c r="BR11" i="7"/>
  <c r="BR184" i="7" s="1"/>
  <c r="BR8" i="7"/>
  <c r="BR181" i="7" s="1"/>
  <c r="BR7" i="7"/>
  <c r="BR180" i="7" s="1"/>
  <c r="BR6" i="7"/>
  <c r="BR179" i="7" s="1"/>
  <c r="BR5" i="7"/>
  <c r="BR178" i="7" s="1"/>
  <c r="BR4" i="7"/>
  <c r="BR177" i="7" s="1"/>
  <c r="BM29" i="7"/>
  <c r="BM28" i="7"/>
  <c r="BM27" i="7"/>
  <c r="BM26" i="7"/>
  <c r="BM25" i="7"/>
  <c r="BC57" i="7"/>
  <c r="BC56" i="7"/>
  <c r="BC55" i="7"/>
  <c r="BC54" i="7"/>
  <c r="BC53" i="7"/>
  <c r="CE3" i="7" l="1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P3" i="7"/>
  <c r="BQ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AB15" i="7"/>
  <c r="AB14" i="7"/>
  <c r="AB13" i="7"/>
  <c r="AB12" i="7"/>
  <c r="AB11" i="7"/>
  <c r="BA13" i="6" l="1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P51" i="4"/>
  <c r="AL46" i="4"/>
  <c r="V45" i="4"/>
  <c r="AG43" i="4"/>
  <c r="AF43" i="4"/>
  <c r="AE43" i="4"/>
  <c r="AD43" i="4"/>
  <c r="U43" i="4"/>
  <c r="T43" i="4"/>
  <c r="S43" i="4"/>
  <c r="R43" i="4"/>
  <c r="AT36" i="4"/>
  <c r="AU9" i="3"/>
  <c r="Q121" i="9"/>
  <c r="P121" i="9"/>
  <c r="O121" i="9"/>
  <c r="N121" i="9"/>
  <c r="M121" i="9"/>
  <c r="L121" i="9"/>
  <c r="K121" i="9"/>
  <c r="J121" i="9"/>
  <c r="I121" i="9"/>
  <c r="H121" i="9"/>
  <c r="G121" i="9"/>
  <c r="Q120" i="9"/>
  <c r="P120" i="9"/>
  <c r="O120" i="9"/>
  <c r="N120" i="9"/>
  <c r="M120" i="9"/>
  <c r="L120" i="9"/>
  <c r="K120" i="9"/>
  <c r="J120" i="9"/>
  <c r="I120" i="9"/>
  <c r="H120" i="9"/>
  <c r="G120" i="9"/>
  <c r="Q119" i="9"/>
  <c r="P119" i="9"/>
  <c r="O119" i="9"/>
  <c r="N119" i="9"/>
  <c r="M119" i="9"/>
  <c r="L119" i="9"/>
  <c r="K119" i="9"/>
  <c r="J119" i="9"/>
  <c r="I119" i="9"/>
  <c r="H119" i="9"/>
  <c r="G119" i="9"/>
  <c r="Q118" i="9"/>
  <c r="P118" i="9"/>
  <c r="O118" i="9"/>
  <c r="N118" i="9"/>
  <c r="M118" i="9"/>
  <c r="L118" i="9"/>
  <c r="K118" i="9"/>
  <c r="J118" i="9"/>
  <c r="I118" i="9"/>
  <c r="H118" i="9"/>
  <c r="G118" i="9"/>
  <c r="Q117" i="9"/>
  <c r="P117" i="9"/>
  <c r="O117" i="9"/>
  <c r="N117" i="9"/>
  <c r="M117" i="9"/>
  <c r="L117" i="9"/>
  <c r="K117" i="9"/>
  <c r="J117" i="9"/>
  <c r="I117" i="9"/>
  <c r="H117" i="9"/>
  <c r="G117" i="9"/>
  <c r="Q114" i="9"/>
  <c r="P114" i="9"/>
  <c r="O114" i="9"/>
  <c r="N114" i="9"/>
  <c r="M114" i="9"/>
  <c r="L114" i="9"/>
  <c r="K114" i="9"/>
  <c r="J114" i="9"/>
  <c r="I114" i="9"/>
  <c r="H114" i="9"/>
  <c r="G114" i="9"/>
  <c r="Q113" i="9"/>
  <c r="P113" i="9"/>
  <c r="O113" i="9"/>
  <c r="N113" i="9"/>
  <c r="M113" i="9"/>
  <c r="L113" i="9"/>
  <c r="K113" i="9"/>
  <c r="J113" i="9"/>
  <c r="I113" i="9"/>
  <c r="H113" i="9"/>
  <c r="G113" i="9"/>
  <c r="Q112" i="9"/>
  <c r="P112" i="9"/>
  <c r="O112" i="9"/>
  <c r="N112" i="9"/>
  <c r="M112" i="9"/>
  <c r="L112" i="9"/>
  <c r="K112" i="9"/>
  <c r="J112" i="9"/>
  <c r="I112" i="9"/>
  <c r="H112" i="9"/>
  <c r="G112" i="9"/>
  <c r="Q111" i="9"/>
  <c r="P111" i="9"/>
  <c r="O111" i="9"/>
  <c r="N111" i="9"/>
  <c r="M111" i="9"/>
  <c r="L111" i="9"/>
  <c r="K111" i="9"/>
  <c r="J111" i="9"/>
  <c r="I111" i="9"/>
  <c r="H111" i="9"/>
  <c r="G111" i="9"/>
  <c r="Q110" i="9"/>
  <c r="P110" i="9"/>
  <c r="O110" i="9"/>
  <c r="N110" i="9"/>
  <c r="M110" i="9"/>
  <c r="L110" i="9"/>
  <c r="K110" i="9"/>
  <c r="J110" i="9"/>
  <c r="I110" i="9"/>
  <c r="H110" i="9"/>
  <c r="G110" i="9"/>
  <c r="Q107" i="9"/>
  <c r="P107" i="9"/>
  <c r="O107" i="9"/>
  <c r="N107" i="9"/>
  <c r="M107" i="9"/>
  <c r="L107" i="9"/>
  <c r="K107" i="9"/>
  <c r="J107" i="9"/>
  <c r="I107" i="9"/>
  <c r="H107" i="9"/>
  <c r="G107" i="9"/>
  <c r="Q106" i="9"/>
  <c r="P106" i="9"/>
  <c r="O106" i="9"/>
  <c r="N106" i="9"/>
  <c r="M106" i="9"/>
  <c r="L106" i="9"/>
  <c r="K106" i="9"/>
  <c r="J106" i="9"/>
  <c r="I106" i="9"/>
  <c r="H106" i="9"/>
  <c r="G106" i="9"/>
  <c r="Q105" i="9"/>
  <c r="P105" i="9"/>
  <c r="O105" i="9"/>
  <c r="N105" i="9"/>
  <c r="M105" i="9"/>
  <c r="L105" i="9"/>
  <c r="K105" i="9"/>
  <c r="J105" i="9"/>
  <c r="I105" i="9"/>
  <c r="H105" i="9"/>
  <c r="G105" i="9"/>
  <c r="Q104" i="9"/>
  <c r="P104" i="9"/>
  <c r="O104" i="9"/>
  <c r="N104" i="9"/>
  <c r="M104" i="9"/>
  <c r="L104" i="9"/>
  <c r="K104" i="9"/>
  <c r="J104" i="9"/>
  <c r="I104" i="9"/>
  <c r="H104" i="9"/>
  <c r="G104" i="9"/>
  <c r="Q103" i="9"/>
  <c r="P103" i="9"/>
  <c r="O103" i="9"/>
  <c r="N103" i="9"/>
  <c r="M103" i="9"/>
  <c r="L103" i="9"/>
  <c r="K103" i="9"/>
  <c r="J103" i="9"/>
  <c r="I103" i="9"/>
  <c r="H103" i="9"/>
  <c r="G103" i="9"/>
  <c r="F121" i="9"/>
  <c r="F120" i="9"/>
  <c r="F119" i="9"/>
  <c r="F118" i="9"/>
  <c r="F117" i="9"/>
  <c r="F114" i="9"/>
  <c r="F113" i="9"/>
  <c r="F112" i="9"/>
  <c r="F111" i="9"/>
  <c r="F110" i="9"/>
  <c r="F107" i="9"/>
  <c r="F106" i="9"/>
  <c r="F105" i="9"/>
  <c r="F104" i="9"/>
  <c r="F103" i="9"/>
  <c r="Q61" i="9"/>
  <c r="P61" i="9"/>
  <c r="O61" i="9"/>
  <c r="N61" i="9"/>
  <c r="M61" i="9"/>
  <c r="L61" i="9"/>
  <c r="K61" i="9"/>
  <c r="J61" i="9"/>
  <c r="I61" i="9"/>
  <c r="H61" i="9"/>
  <c r="G61" i="9"/>
  <c r="F61" i="9"/>
  <c r="Q60" i="9"/>
  <c r="P60" i="9"/>
  <c r="O60" i="9"/>
  <c r="N60" i="9"/>
  <c r="M60" i="9"/>
  <c r="L60" i="9"/>
  <c r="K60" i="9"/>
  <c r="J60" i="9"/>
  <c r="I60" i="9"/>
  <c r="H60" i="9"/>
  <c r="G60" i="9"/>
  <c r="F60" i="9"/>
  <c r="Q59" i="9"/>
  <c r="P59" i="9"/>
  <c r="O59" i="9"/>
  <c r="N59" i="9"/>
  <c r="M59" i="9"/>
  <c r="L59" i="9"/>
  <c r="K59" i="9"/>
  <c r="J59" i="9"/>
  <c r="I59" i="9"/>
  <c r="H59" i="9"/>
  <c r="G59" i="9"/>
  <c r="F59" i="9"/>
  <c r="Q58" i="9"/>
  <c r="P58" i="9"/>
  <c r="O58" i="9"/>
  <c r="N58" i="9"/>
  <c r="M58" i="9"/>
  <c r="L58" i="9"/>
  <c r="K58" i="9"/>
  <c r="J58" i="9"/>
  <c r="I58" i="9"/>
  <c r="H58" i="9"/>
  <c r="G58" i="9"/>
  <c r="F58" i="9"/>
  <c r="Q57" i="9"/>
  <c r="P57" i="9"/>
  <c r="O57" i="9"/>
  <c r="N57" i="9"/>
  <c r="M57" i="9"/>
  <c r="L57" i="9"/>
  <c r="K57" i="9"/>
  <c r="J57" i="9"/>
  <c r="I57" i="9"/>
  <c r="H57" i="9"/>
  <c r="G57" i="9"/>
  <c r="F57" i="9"/>
  <c r="Q54" i="9"/>
  <c r="P54" i="9"/>
  <c r="O54" i="9"/>
  <c r="N54" i="9"/>
  <c r="M54" i="9"/>
  <c r="L54" i="9"/>
  <c r="K54" i="9"/>
  <c r="J54" i="9"/>
  <c r="I54" i="9"/>
  <c r="H54" i="9"/>
  <c r="G54" i="9"/>
  <c r="F54" i="9"/>
  <c r="Q53" i="9"/>
  <c r="P53" i="9"/>
  <c r="O53" i="9"/>
  <c r="N53" i="9"/>
  <c r="M53" i="9"/>
  <c r="L53" i="9"/>
  <c r="K53" i="9"/>
  <c r="J53" i="9"/>
  <c r="I53" i="9"/>
  <c r="H53" i="9"/>
  <c r="G53" i="9"/>
  <c r="F53" i="9"/>
  <c r="Q52" i="9"/>
  <c r="P52" i="9"/>
  <c r="O52" i="9"/>
  <c r="N52" i="9"/>
  <c r="M52" i="9"/>
  <c r="L52" i="9"/>
  <c r="K52" i="9"/>
  <c r="J52" i="9"/>
  <c r="I52" i="9"/>
  <c r="H52" i="9"/>
  <c r="G52" i="9"/>
  <c r="F52" i="9"/>
  <c r="Q51" i="9"/>
  <c r="P51" i="9"/>
  <c r="O51" i="9"/>
  <c r="N51" i="9"/>
  <c r="M51" i="9"/>
  <c r="L51" i="9"/>
  <c r="K51" i="9"/>
  <c r="J51" i="9"/>
  <c r="I51" i="9"/>
  <c r="H51" i="9"/>
  <c r="G51" i="9"/>
  <c r="F51" i="9"/>
  <c r="Q50" i="9"/>
  <c r="P50" i="9"/>
  <c r="O50" i="9"/>
  <c r="N50" i="9"/>
  <c r="M50" i="9"/>
  <c r="L50" i="9"/>
  <c r="K50" i="9"/>
  <c r="J50" i="9"/>
  <c r="I50" i="9"/>
  <c r="H50" i="9"/>
  <c r="G50" i="9"/>
  <c r="F50" i="9"/>
  <c r="Q47" i="9"/>
  <c r="P47" i="9"/>
  <c r="O47" i="9"/>
  <c r="N47" i="9"/>
  <c r="M47" i="9"/>
  <c r="L47" i="9"/>
  <c r="K47" i="9"/>
  <c r="J47" i="9"/>
  <c r="I47" i="9"/>
  <c r="H47" i="9"/>
  <c r="G47" i="9"/>
  <c r="F47" i="9"/>
  <c r="Q46" i="9"/>
  <c r="P46" i="9"/>
  <c r="O46" i="9"/>
  <c r="N46" i="9"/>
  <c r="M46" i="9"/>
  <c r="L46" i="9"/>
  <c r="K46" i="9"/>
  <c r="J46" i="9"/>
  <c r="I46" i="9"/>
  <c r="H46" i="9"/>
  <c r="G46" i="9"/>
  <c r="F46" i="9"/>
  <c r="Q45" i="9"/>
  <c r="P45" i="9"/>
  <c r="O45" i="9"/>
  <c r="N45" i="9"/>
  <c r="M45" i="9"/>
  <c r="L45" i="9"/>
  <c r="K45" i="9"/>
  <c r="J45" i="9"/>
  <c r="I45" i="9"/>
  <c r="H45" i="9"/>
  <c r="G45" i="9"/>
  <c r="F45" i="9"/>
  <c r="Q44" i="9"/>
  <c r="P44" i="9"/>
  <c r="O44" i="9"/>
  <c r="N44" i="9"/>
  <c r="M44" i="9"/>
  <c r="L44" i="9"/>
  <c r="K44" i="9"/>
  <c r="J44" i="9"/>
  <c r="I44" i="9"/>
  <c r="H44" i="9"/>
  <c r="G44" i="9"/>
  <c r="F44" i="9"/>
  <c r="Q43" i="9"/>
  <c r="P43" i="9"/>
  <c r="O43" i="9"/>
  <c r="N43" i="9"/>
  <c r="M43" i="9"/>
  <c r="L43" i="9"/>
  <c r="K43" i="9"/>
  <c r="J43" i="9"/>
  <c r="I43" i="9"/>
  <c r="H43" i="9"/>
  <c r="G43" i="9"/>
  <c r="F43" i="9"/>
  <c r="Q41" i="9" l="1"/>
  <c r="P41" i="9"/>
  <c r="O41" i="9"/>
  <c r="N41" i="9"/>
  <c r="M41" i="9"/>
  <c r="L41" i="9"/>
  <c r="K41" i="9"/>
  <c r="J41" i="9"/>
  <c r="I41" i="9"/>
  <c r="H41" i="9"/>
  <c r="G41" i="9"/>
  <c r="F41" i="9"/>
  <c r="Q40" i="9"/>
  <c r="P40" i="9"/>
  <c r="O40" i="9"/>
  <c r="N40" i="9"/>
  <c r="M40" i="9"/>
  <c r="L40" i="9"/>
  <c r="K40" i="9"/>
  <c r="J40" i="9"/>
  <c r="I40" i="9"/>
  <c r="H40" i="9"/>
  <c r="G40" i="9"/>
  <c r="F40" i="9"/>
  <c r="Q39" i="9"/>
  <c r="P39" i="9"/>
  <c r="O39" i="9"/>
  <c r="N39" i="9"/>
  <c r="M39" i="9"/>
  <c r="L39" i="9"/>
  <c r="K39" i="9"/>
  <c r="J39" i="9"/>
  <c r="I39" i="9"/>
  <c r="H39" i="9"/>
  <c r="G39" i="9"/>
  <c r="F39" i="9"/>
  <c r="Q38" i="9"/>
  <c r="P38" i="9"/>
  <c r="O38" i="9"/>
  <c r="N38" i="9"/>
  <c r="M38" i="9"/>
  <c r="L38" i="9"/>
  <c r="K38" i="9"/>
  <c r="J38" i="9"/>
  <c r="I38" i="9"/>
  <c r="H38" i="9"/>
  <c r="G38" i="9"/>
  <c r="F38" i="9"/>
  <c r="Q37" i="9"/>
  <c r="P37" i="9"/>
  <c r="O37" i="9"/>
  <c r="N37" i="9"/>
  <c r="M37" i="9"/>
  <c r="L37" i="9"/>
  <c r="K37" i="9"/>
  <c r="J37" i="9"/>
  <c r="I37" i="9"/>
  <c r="H37" i="9"/>
  <c r="G37" i="9"/>
  <c r="F37" i="9"/>
  <c r="Q34" i="9"/>
  <c r="P34" i="9"/>
  <c r="O34" i="9"/>
  <c r="N34" i="9"/>
  <c r="M34" i="9"/>
  <c r="L34" i="9"/>
  <c r="K34" i="9"/>
  <c r="J34" i="9"/>
  <c r="I34" i="9"/>
  <c r="H34" i="9"/>
  <c r="G34" i="9"/>
  <c r="F34" i="9"/>
  <c r="Q33" i="9"/>
  <c r="P33" i="9"/>
  <c r="O33" i="9"/>
  <c r="N33" i="9"/>
  <c r="M33" i="9"/>
  <c r="L33" i="9"/>
  <c r="K33" i="9"/>
  <c r="J33" i="9"/>
  <c r="I33" i="9"/>
  <c r="H33" i="9"/>
  <c r="G33" i="9"/>
  <c r="F33" i="9"/>
  <c r="Q32" i="9"/>
  <c r="P32" i="9"/>
  <c r="O32" i="9"/>
  <c r="N32" i="9"/>
  <c r="M32" i="9"/>
  <c r="L32" i="9"/>
  <c r="K32" i="9"/>
  <c r="J32" i="9"/>
  <c r="I32" i="9"/>
  <c r="H32" i="9"/>
  <c r="G32" i="9"/>
  <c r="F32" i="9"/>
  <c r="Q31" i="9"/>
  <c r="P31" i="9"/>
  <c r="O31" i="9"/>
  <c r="N31" i="9"/>
  <c r="M31" i="9"/>
  <c r="L31" i="9"/>
  <c r="K31" i="9"/>
  <c r="J31" i="9"/>
  <c r="I31" i="9"/>
  <c r="H31" i="9"/>
  <c r="G31" i="9"/>
  <c r="F31" i="9"/>
  <c r="Q30" i="9"/>
  <c r="P30" i="9"/>
  <c r="O30" i="9"/>
  <c r="N30" i="9"/>
  <c r="M30" i="9"/>
  <c r="L30" i="9"/>
  <c r="K30" i="9"/>
  <c r="J30" i="9"/>
  <c r="I30" i="9"/>
  <c r="H30" i="9"/>
  <c r="G30" i="9"/>
  <c r="F30" i="9"/>
  <c r="Q27" i="9"/>
  <c r="P27" i="9"/>
  <c r="O27" i="9"/>
  <c r="N27" i="9"/>
  <c r="M27" i="9"/>
  <c r="L27" i="9"/>
  <c r="K27" i="9"/>
  <c r="J27" i="9"/>
  <c r="I27" i="9"/>
  <c r="H27" i="9"/>
  <c r="G27" i="9"/>
  <c r="F27" i="9"/>
  <c r="Q26" i="9"/>
  <c r="P26" i="9"/>
  <c r="O26" i="9"/>
  <c r="N26" i="9"/>
  <c r="M26" i="9"/>
  <c r="L26" i="9"/>
  <c r="K26" i="9"/>
  <c r="J26" i="9"/>
  <c r="I26" i="9"/>
  <c r="H26" i="9"/>
  <c r="G26" i="9"/>
  <c r="F26" i="9"/>
  <c r="Q25" i="9"/>
  <c r="P25" i="9"/>
  <c r="O25" i="9"/>
  <c r="N25" i="9"/>
  <c r="M25" i="9"/>
  <c r="L25" i="9"/>
  <c r="K25" i="9"/>
  <c r="J25" i="9"/>
  <c r="I25" i="9"/>
  <c r="H25" i="9"/>
  <c r="G25" i="9"/>
  <c r="F25" i="9"/>
  <c r="Q24" i="9"/>
  <c r="P24" i="9"/>
  <c r="O24" i="9"/>
  <c r="N24" i="9"/>
  <c r="M24" i="9"/>
  <c r="L24" i="9"/>
  <c r="K24" i="9"/>
  <c r="J24" i="9"/>
  <c r="I24" i="9"/>
  <c r="H24" i="9"/>
  <c r="G24" i="9"/>
  <c r="F24" i="9"/>
  <c r="Q23" i="9"/>
  <c r="P23" i="9"/>
  <c r="O23" i="9"/>
  <c r="N23" i="9"/>
  <c r="M23" i="9"/>
  <c r="L23" i="9"/>
  <c r="K23" i="9"/>
  <c r="J23" i="9"/>
  <c r="I23" i="9"/>
  <c r="H23" i="9"/>
  <c r="G23" i="9"/>
  <c r="F23" i="9"/>
  <c r="X29" i="7"/>
  <c r="X28" i="7"/>
  <c r="X27" i="7"/>
  <c r="X26" i="7"/>
  <c r="X25" i="7"/>
  <c r="Q29" i="7" l="1"/>
  <c r="Q28" i="7"/>
  <c r="Q27" i="7"/>
  <c r="Q26" i="7"/>
  <c r="Q25" i="7"/>
  <c r="P29" i="7"/>
  <c r="P28" i="7"/>
  <c r="P27" i="7"/>
  <c r="P26" i="7"/>
  <c r="L85" i="7"/>
  <c r="L84" i="7"/>
  <c r="L83" i="7"/>
  <c r="L82" i="7"/>
  <c r="L81" i="7"/>
  <c r="L78" i="7"/>
  <c r="L77" i="7"/>
  <c r="L76" i="7"/>
  <c r="L75" i="7"/>
  <c r="L74" i="7"/>
  <c r="L71" i="7"/>
  <c r="L70" i="7"/>
  <c r="L69" i="7"/>
  <c r="L68" i="7"/>
  <c r="L67" i="7"/>
  <c r="L64" i="7"/>
  <c r="L63" i="7"/>
  <c r="L62" i="7"/>
  <c r="L61" i="7"/>
  <c r="L60" i="7"/>
  <c r="L57" i="7"/>
  <c r="L56" i="7"/>
  <c r="L55" i="7"/>
  <c r="L54" i="7"/>
  <c r="L53" i="7"/>
  <c r="L50" i="7"/>
  <c r="L49" i="7"/>
  <c r="L48" i="7"/>
  <c r="L47" i="7"/>
  <c r="L46" i="7"/>
  <c r="L43" i="7"/>
  <c r="L42" i="7"/>
  <c r="L41" i="7"/>
  <c r="L40" i="7"/>
  <c r="L39" i="7"/>
  <c r="L36" i="7"/>
  <c r="L35" i="7"/>
  <c r="L34" i="7"/>
  <c r="L33" i="7"/>
  <c r="L32" i="7"/>
  <c r="L29" i="7"/>
  <c r="L28" i="7"/>
  <c r="L27" i="7"/>
  <c r="L26" i="7"/>
  <c r="L25" i="7"/>
  <c r="L22" i="7"/>
  <c r="L21" i="7"/>
  <c r="L20" i="7"/>
  <c r="L19" i="7"/>
  <c r="L18" i="7"/>
  <c r="L15" i="7"/>
  <c r="L14" i="7"/>
  <c r="L13" i="7"/>
  <c r="L12" i="7"/>
  <c r="L11" i="7"/>
  <c r="L8" i="7"/>
  <c r="L7" i="7"/>
  <c r="L6" i="7"/>
  <c r="L5" i="7"/>
  <c r="L4" i="7"/>
  <c r="K8" i="7"/>
  <c r="K7" i="7"/>
  <c r="K6" i="7"/>
  <c r="K5" i="7"/>
  <c r="K85" i="7"/>
  <c r="K84" i="7"/>
  <c r="K83" i="7"/>
  <c r="K82" i="7"/>
  <c r="K81" i="7"/>
  <c r="K78" i="7"/>
  <c r="K77" i="7"/>
  <c r="K76" i="7"/>
  <c r="K75" i="7"/>
  <c r="K74" i="7"/>
  <c r="K71" i="7"/>
  <c r="K70" i="7"/>
  <c r="K69" i="7"/>
  <c r="K68" i="7"/>
  <c r="K67" i="7"/>
  <c r="K64" i="7"/>
  <c r="K63" i="7"/>
  <c r="K62" i="7"/>
  <c r="K61" i="7"/>
  <c r="K60" i="7"/>
  <c r="K57" i="7"/>
  <c r="K56" i="7"/>
  <c r="K55" i="7"/>
  <c r="K54" i="7"/>
  <c r="K53" i="7"/>
  <c r="K50" i="7"/>
  <c r="K49" i="7"/>
  <c r="K48" i="7"/>
  <c r="K47" i="7"/>
  <c r="K46" i="7"/>
  <c r="K43" i="7"/>
  <c r="K42" i="7"/>
  <c r="K41" i="7"/>
  <c r="K40" i="7"/>
  <c r="K39" i="7"/>
  <c r="K36" i="7"/>
  <c r="K35" i="7"/>
  <c r="K34" i="7"/>
  <c r="K33" i="7"/>
  <c r="K32" i="7"/>
  <c r="K29" i="7"/>
  <c r="K28" i="7"/>
  <c r="K27" i="7"/>
  <c r="K26" i="7"/>
  <c r="K25" i="7"/>
  <c r="K22" i="7"/>
  <c r="K21" i="7"/>
  <c r="K20" i="7"/>
  <c r="K19" i="7"/>
  <c r="K18" i="7"/>
  <c r="K15" i="7"/>
  <c r="K14" i="7"/>
  <c r="K13" i="7"/>
  <c r="K12" i="7"/>
  <c r="K11" i="7"/>
  <c r="K4" i="7"/>
  <c r="Q541" i="9" l="1"/>
  <c r="P541" i="9"/>
  <c r="O541" i="9"/>
  <c r="N541" i="9"/>
  <c r="M541" i="9"/>
  <c r="L541" i="9"/>
  <c r="K541" i="9"/>
  <c r="J541" i="9"/>
  <c r="I541" i="9"/>
  <c r="H541" i="9"/>
  <c r="G541" i="9"/>
  <c r="F541" i="9"/>
  <c r="Q540" i="9"/>
  <c r="P540" i="9"/>
  <c r="O540" i="9"/>
  <c r="N540" i="9"/>
  <c r="M540" i="9"/>
  <c r="L540" i="9"/>
  <c r="K540" i="9"/>
  <c r="J540" i="9"/>
  <c r="I540" i="9"/>
  <c r="H540" i="9"/>
  <c r="G540" i="9"/>
  <c r="F540" i="9"/>
  <c r="Q539" i="9"/>
  <c r="P539" i="9"/>
  <c r="O539" i="9"/>
  <c r="N539" i="9"/>
  <c r="M539" i="9"/>
  <c r="L539" i="9"/>
  <c r="K539" i="9"/>
  <c r="J539" i="9"/>
  <c r="I539" i="9"/>
  <c r="H539" i="9"/>
  <c r="G539" i="9"/>
  <c r="F539" i="9"/>
  <c r="Q538" i="9"/>
  <c r="P538" i="9"/>
  <c r="O538" i="9"/>
  <c r="N538" i="9"/>
  <c r="M538" i="9"/>
  <c r="L538" i="9"/>
  <c r="K538" i="9"/>
  <c r="J538" i="9"/>
  <c r="I538" i="9"/>
  <c r="H538" i="9"/>
  <c r="G538" i="9"/>
  <c r="F538" i="9"/>
  <c r="Q537" i="9"/>
  <c r="P537" i="9"/>
  <c r="O537" i="9"/>
  <c r="N537" i="9"/>
  <c r="M537" i="9"/>
  <c r="L537" i="9"/>
  <c r="K537" i="9"/>
  <c r="J537" i="9"/>
  <c r="I537" i="9"/>
  <c r="H537" i="9"/>
  <c r="G537" i="9"/>
  <c r="F537" i="9"/>
  <c r="Q534" i="9"/>
  <c r="P534" i="9"/>
  <c r="O534" i="9"/>
  <c r="N534" i="9"/>
  <c r="M534" i="9"/>
  <c r="L534" i="9"/>
  <c r="K534" i="9"/>
  <c r="J534" i="9"/>
  <c r="I534" i="9"/>
  <c r="H534" i="9"/>
  <c r="G534" i="9"/>
  <c r="F534" i="9"/>
  <c r="Q533" i="9"/>
  <c r="P533" i="9"/>
  <c r="O533" i="9"/>
  <c r="N533" i="9"/>
  <c r="M533" i="9"/>
  <c r="L533" i="9"/>
  <c r="K533" i="9"/>
  <c r="J533" i="9"/>
  <c r="I533" i="9"/>
  <c r="H533" i="9"/>
  <c r="G533" i="9"/>
  <c r="F533" i="9"/>
  <c r="Q532" i="9"/>
  <c r="P532" i="9"/>
  <c r="O532" i="9"/>
  <c r="N532" i="9"/>
  <c r="M532" i="9"/>
  <c r="L532" i="9"/>
  <c r="K532" i="9"/>
  <c r="J532" i="9"/>
  <c r="I532" i="9"/>
  <c r="H532" i="9"/>
  <c r="G532" i="9"/>
  <c r="F532" i="9"/>
  <c r="Q531" i="9"/>
  <c r="P531" i="9"/>
  <c r="O531" i="9"/>
  <c r="N531" i="9"/>
  <c r="M531" i="9"/>
  <c r="L531" i="9"/>
  <c r="K531" i="9"/>
  <c r="J531" i="9"/>
  <c r="I531" i="9"/>
  <c r="H531" i="9"/>
  <c r="G531" i="9"/>
  <c r="F531" i="9"/>
  <c r="Q530" i="9"/>
  <c r="P530" i="9"/>
  <c r="O530" i="9"/>
  <c r="N530" i="9"/>
  <c r="M530" i="9"/>
  <c r="L530" i="9"/>
  <c r="K530" i="9"/>
  <c r="J530" i="9"/>
  <c r="I530" i="9"/>
  <c r="H530" i="9"/>
  <c r="G530" i="9"/>
  <c r="F530" i="9"/>
  <c r="Q527" i="9"/>
  <c r="P527" i="9"/>
  <c r="O527" i="9"/>
  <c r="N527" i="9"/>
  <c r="M527" i="9"/>
  <c r="L527" i="9"/>
  <c r="K527" i="9"/>
  <c r="J527" i="9"/>
  <c r="I527" i="9"/>
  <c r="H527" i="9"/>
  <c r="G527" i="9"/>
  <c r="F527" i="9"/>
  <c r="Q526" i="9"/>
  <c r="P526" i="9"/>
  <c r="O526" i="9"/>
  <c r="N526" i="9"/>
  <c r="M526" i="9"/>
  <c r="L526" i="9"/>
  <c r="K526" i="9"/>
  <c r="J526" i="9"/>
  <c r="I526" i="9"/>
  <c r="H526" i="9"/>
  <c r="G526" i="9"/>
  <c r="F526" i="9"/>
  <c r="Q525" i="9"/>
  <c r="P525" i="9"/>
  <c r="O525" i="9"/>
  <c r="N525" i="9"/>
  <c r="M525" i="9"/>
  <c r="L525" i="9"/>
  <c r="K525" i="9"/>
  <c r="J525" i="9"/>
  <c r="I525" i="9"/>
  <c r="H525" i="9"/>
  <c r="G525" i="9"/>
  <c r="F525" i="9"/>
  <c r="Q524" i="9"/>
  <c r="P524" i="9"/>
  <c r="O524" i="9"/>
  <c r="N524" i="9"/>
  <c r="M524" i="9"/>
  <c r="L524" i="9"/>
  <c r="K524" i="9"/>
  <c r="J524" i="9"/>
  <c r="I524" i="9"/>
  <c r="H524" i="9"/>
  <c r="G524" i="9"/>
  <c r="F524" i="9"/>
  <c r="Q523" i="9"/>
  <c r="P523" i="9"/>
  <c r="O523" i="9"/>
  <c r="N523" i="9"/>
  <c r="M523" i="9"/>
  <c r="L523" i="9"/>
  <c r="K523" i="9"/>
  <c r="J523" i="9"/>
  <c r="I523" i="9"/>
  <c r="H523" i="9"/>
  <c r="G523" i="9"/>
  <c r="F523" i="9"/>
  <c r="B541" i="9"/>
  <c r="A541" i="9"/>
  <c r="B540" i="9"/>
  <c r="A540" i="9"/>
  <c r="B539" i="9"/>
  <c r="A539" i="9"/>
  <c r="B538" i="9"/>
  <c r="A538" i="9"/>
  <c r="B537" i="9"/>
  <c r="A537" i="9"/>
  <c r="B536" i="9"/>
  <c r="A536" i="9"/>
  <c r="B535" i="9"/>
  <c r="A535" i="9"/>
  <c r="B534" i="9"/>
  <c r="A534" i="9"/>
  <c r="B533" i="9"/>
  <c r="A533" i="9"/>
  <c r="B532" i="9"/>
  <c r="A532" i="9"/>
  <c r="B531" i="9"/>
  <c r="A531" i="9"/>
  <c r="B530" i="9"/>
  <c r="A530" i="9"/>
  <c r="B529" i="9"/>
  <c r="A529" i="9"/>
  <c r="B528" i="9"/>
  <c r="A528" i="9"/>
  <c r="B527" i="9"/>
  <c r="A527" i="9"/>
  <c r="B526" i="9"/>
  <c r="A526" i="9"/>
  <c r="B525" i="9"/>
  <c r="A525" i="9"/>
  <c r="B524" i="9"/>
  <c r="A524" i="9"/>
  <c r="B523" i="9"/>
  <c r="A523" i="9"/>
  <c r="B522" i="9"/>
  <c r="A522" i="9"/>
  <c r="BS85" i="7"/>
  <c r="BS84" i="7"/>
  <c r="BS83" i="7"/>
  <c r="BS82" i="7"/>
  <c r="BS81" i="7"/>
  <c r="BS78" i="7"/>
  <c r="BS77" i="7"/>
  <c r="BS76" i="7"/>
  <c r="BS75" i="7"/>
  <c r="BS74" i="7"/>
  <c r="BS71" i="7"/>
  <c r="BS70" i="7"/>
  <c r="BS69" i="7"/>
  <c r="BS68" i="7"/>
  <c r="BS67" i="7"/>
  <c r="BS64" i="7"/>
  <c r="BS63" i="7"/>
  <c r="BS62" i="7"/>
  <c r="BS61" i="7"/>
  <c r="BS60" i="7"/>
  <c r="BS57" i="7"/>
  <c r="BS56" i="7"/>
  <c r="BS55" i="7"/>
  <c r="BS54" i="7"/>
  <c r="BS53" i="7"/>
  <c r="BS50" i="7"/>
  <c r="BS49" i="7"/>
  <c r="BS48" i="7"/>
  <c r="BS47" i="7"/>
  <c r="BS46" i="7"/>
  <c r="BS43" i="7"/>
  <c r="BS42" i="7"/>
  <c r="BS41" i="7"/>
  <c r="BS40" i="7"/>
  <c r="BS39" i="7"/>
  <c r="BS36" i="7"/>
  <c r="BS35" i="7"/>
  <c r="BS34" i="7"/>
  <c r="BS33" i="7"/>
  <c r="BS32" i="7"/>
  <c r="BS29" i="7"/>
  <c r="BS28" i="7"/>
  <c r="BS27" i="7"/>
  <c r="BS26" i="7"/>
  <c r="BS25" i="7"/>
  <c r="BS22" i="7"/>
  <c r="BS21" i="7"/>
  <c r="BS20" i="7"/>
  <c r="BS19" i="7"/>
  <c r="BS18" i="7"/>
  <c r="BS15" i="7"/>
  <c r="BS14" i="7"/>
  <c r="BS13" i="7"/>
  <c r="BS12" i="7"/>
  <c r="BS11" i="7"/>
  <c r="BS8" i="7"/>
  <c r="BS7" i="7"/>
  <c r="BS6" i="7"/>
  <c r="BS5" i="7"/>
  <c r="BS4" i="7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B121" i="9"/>
  <c r="A121" i="9"/>
  <c r="B120" i="9"/>
  <c r="A120" i="9"/>
  <c r="B119" i="9"/>
  <c r="A119" i="9"/>
  <c r="B118" i="9"/>
  <c r="A118" i="9"/>
  <c r="B117" i="9"/>
  <c r="A117" i="9"/>
  <c r="B116" i="9"/>
  <c r="A116" i="9"/>
  <c r="B115" i="9"/>
  <c r="A115" i="9"/>
  <c r="B114" i="9"/>
  <c r="A114" i="9"/>
  <c r="B113" i="9"/>
  <c r="A113" i="9"/>
  <c r="B112" i="9"/>
  <c r="A112" i="9"/>
  <c r="B111" i="9"/>
  <c r="A111" i="9"/>
  <c r="B110" i="9"/>
  <c r="A110" i="9"/>
  <c r="B109" i="9"/>
  <c r="A109" i="9"/>
  <c r="B108" i="9"/>
  <c r="A108" i="9"/>
  <c r="B107" i="9"/>
  <c r="A107" i="9"/>
  <c r="B106" i="9"/>
  <c r="A106" i="9"/>
  <c r="B105" i="9"/>
  <c r="A105" i="9"/>
  <c r="B104" i="9"/>
  <c r="A104" i="9"/>
  <c r="B103" i="9"/>
  <c r="A103" i="9"/>
  <c r="B102" i="9"/>
  <c r="A102" i="9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Q101" i="9"/>
  <c r="P101" i="9"/>
  <c r="O101" i="9"/>
  <c r="N101" i="9"/>
  <c r="M101" i="9"/>
  <c r="L101" i="9"/>
  <c r="K101" i="9"/>
  <c r="J101" i="9"/>
  <c r="I101" i="9"/>
  <c r="H101" i="9"/>
  <c r="G101" i="9"/>
  <c r="F101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Q99" i="9"/>
  <c r="P99" i="9"/>
  <c r="O99" i="9"/>
  <c r="N99" i="9"/>
  <c r="M99" i="9"/>
  <c r="L99" i="9"/>
  <c r="K99" i="9"/>
  <c r="J99" i="9"/>
  <c r="I99" i="9"/>
  <c r="H99" i="9"/>
  <c r="G99" i="9"/>
  <c r="F99" i="9"/>
  <c r="Q98" i="9"/>
  <c r="P98" i="9"/>
  <c r="O98" i="9"/>
  <c r="N98" i="9"/>
  <c r="M98" i="9"/>
  <c r="L98" i="9"/>
  <c r="K98" i="9"/>
  <c r="J98" i="9"/>
  <c r="I98" i="9"/>
  <c r="H98" i="9"/>
  <c r="G98" i="9"/>
  <c r="F98" i="9"/>
  <c r="Q97" i="9"/>
  <c r="P97" i="9"/>
  <c r="O97" i="9"/>
  <c r="N97" i="9"/>
  <c r="M97" i="9"/>
  <c r="L97" i="9"/>
  <c r="K97" i="9"/>
  <c r="J97" i="9"/>
  <c r="I97" i="9"/>
  <c r="H97" i="9"/>
  <c r="G97" i="9"/>
  <c r="F97" i="9"/>
  <c r="Q94" i="9"/>
  <c r="P94" i="9"/>
  <c r="O94" i="9"/>
  <c r="N94" i="9"/>
  <c r="M94" i="9"/>
  <c r="L94" i="9"/>
  <c r="K94" i="9"/>
  <c r="J94" i="9"/>
  <c r="I94" i="9"/>
  <c r="H94" i="9"/>
  <c r="G94" i="9"/>
  <c r="F94" i="9"/>
  <c r="Q93" i="9"/>
  <c r="P93" i="9"/>
  <c r="O93" i="9"/>
  <c r="N93" i="9"/>
  <c r="M93" i="9"/>
  <c r="L93" i="9"/>
  <c r="K93" i="9"/>
  <c r="J93" i="9"/>
  <c r="I93" i="9"/>
  <c r="H93" i="9"/>
  <c r="G93" i="9"/>
  <c r="F93" i="9"/>
  <c r="Q92" i="9"/>
  <c r="P92" i="9"/>
  <c r="O92" i="9"/>
  <c r="N92" i="9"/>
  <c r="M92" i="9"/>
  <c r="L92" i="9"/>
  <c r="K92" i="9"/>
  <c r="J92" i="9"/>
  <c r="I92" i="9"/>
  <c r="H92" i="9"/>
  <c r="G92" i="9"/>
  <c r="F92" i="9"/>
  <c r="Q91" i="9"/>
  <c r="P91" i="9"/>
  <c r="O91" i="9"/>
  <c r="N91" i="9"/>
  <c r="M91" i="9"/>
  <c r="L91" i="9"/>
  <c r="K91" i="9"/>
  <c r="J91" i="9"/>
  <c r="I91" i="9"/>
  <c r="H91" i="9"/>
  <c r="G91" i="9"/>
  <c r="F91" i="9"/>
  <c r="Q90" i="9"/>
  <c r="P90" i="9"/>
  <c r="O90" i="9"/>
  <c r="N90" i="9"/>
  <c r="M90" i="9"/>
  <c r="L90" i="9"/>
  <c r="K90" i="9"/>
  <c r="J90" i="9"/>
  <c r="I90" i="9"/>
  <c r="H90" i="9"/>
  <c r="G90" i="9"/>
  <c r="F90" i="9"/>
  <c r="Q87" i="9"/>
  <c r="P87" i="9"/>
  <c r="O87" i="9"/>
  <c r="N87" i="9"/>
  <c r="M87" i="9"/>
  <c r="L87" i="9"/>
  <c r="K87" i="9"/>
  <c r="J87" i="9"/>
  <c r="I87" i="9"/>
  <c r="H87" i="9"/>
  <c r="G87" i="9"/>
  <c r="F87" i="9"/>
  <c r="Q86" i="9"/>
  <c r="P86" i="9"/>
  <c r="O86" i="9"/>
  <c r="N86" i="9"/>
  <c r="M86" i="9"/>
  <c r="L86" i="9"/>
  <c r="K86" i="9"/>
  <c r="J86" i="9"/>
  <c r="I86" i="9"/>
  <c r="H86" i="9"/>
  <c r="G86" i="9"/>
  <c r="F86" i="9"/>
  <c r="Q85" i="9"/>
  <c r="P85" i="9"/>
  <c r="O85" i="9"/>
  <c r="N85" i="9"/>
  <c r="M85" i="9"/>
  <c r="L85" i="9"/>
  <c r="K85" i="9"/>
  <c r="J85" i="9"/>
  <c r="I85" i="9"/>
  <c r="H85" i="9"/>
  <c r="G85" i="9"/>
  <c r="F85" i="9"/>
  <c r="Q84" i="9"/>
  <c r="P84" i="9"/>
  <c r="O84" i="9"/>
  <c r="N84" i="9"/>
  <c r="M84" i="9"/>
  <c r="L84" i="9"/>
  <c r="K84" i="9"/>
  <c r="J84" i="9"/>
  <c r="I84" i="9"/>
  <c r="H84" i="9"/>
  <c r="G84" i="9"/>
  <c r="F84" i="9"/>
  <c r="Q83" i="9"/>
  <c r="P83" i="9"/>
  <c r="O83" i="9"/>
  <c r="N83" i="9"/>
  <c r="M83" i="9"/>
  <c r="L83" i="9"/>
  <c r="K83" i="9"/>
  <c r="J83" i="9"/>
  <c r="I83" i="9"/>
  <c r="H83" i="9"/>
  <c r="G83" i="9"/>
  <c r="F83" i="9"/>
  <c r="B101" i="9"/>
  <c r="A101" i="9"/>
  <c r="B100" i="9"/>
  <c r="A100" i="9"/>
  <c r="B99" i="9"/>
  <c r="A99" i="9"/>
  <c r="B98" i="9"/>
  <c r="A98" i="9"/>
  <c r="B97" i="9"/>
  <c r="A97" i="9"/>
  <c r="B96" i="9"/>
  <c r="A96" i="9"/>
  <c r="B95" i="9"/>
  <c r="A95" i="9"/>
  <c r="B94" i="9"/>
  <c r="A94" i="9"/>
  <c r="B93" i="9"/>
  <c r="A93" i="9"/>
  <c r="B92" i="9"/>
  <c r="A92" i="9"/>
  <c r="B91" i="9"/>
  <c r="A91" i="9"/>
  <c r="B90" i="9"/>
  <c r="A90" i="9"/>
  <c r="B89" i="9"/>
  <c r="A89" i="9"/>
  <c r="B88" i="9"/>
  <c r="A88" i="9"/>
  <c r="B87" i="9"/>
  <c r="A87" i="9"/>
  <c r="B86" i="9"/>
  <c r="A86" i="9"/>
  <c r="B85" i="9"/>
  <c r="A85" i="9"/>
  <c r="B84" i="9"/>
  <c r="A84" i="9"/>
  <c r="B83" i="9"/>
  <c r="A83" i="9"/>
  <c r="B82" i="9"/>
  <c r="A82" i="9"/>
  <c r="J85" i="7"/>
  <c r="J84" i="7"/>
  <c r="J83" i="7"/>
  <c r="J82" i="7"/>
  <c r="J81" i="7"/>
  <c r="J78" i="7"/>
  <c r="J77" i="7"/>
  <c r="J76" i="7"/>
  <c r="J75" i="7"/>
  <c r="J74" i="7"/>
  <c r="J71" i="7"/>
  <c r="J70" i="7"/>
  <c r="J69" i="7"/>
  <c r="J68" i="7"/>
  <c r="J67" i="7"/>
  <c r="J64" i="7"/>
  <c r="J63" i="7"/>
  <c r="J62" i="7"/>
  <c r="J61" i="7"/>
  <c r="J60" i="7"/>
  <c r="J57" i="7"/>
  <c r="J56" i="7"/>
  <c r="J55" i="7"/>
  <c r="J54" i="7"/>
  <c r="J53" i="7"/>
  <c r="J50" i="7"/>
  <c r="J49" i="7"/>
  <c r="J48" i="7"/>
  <c r="J47" i="7"/>
  <c r="J46" i="7"/>
  <c r="J43" i="7"/>
  <c r="J42" i="7"/>
  <c r="J41" i="7"/>
  <c r="J40" i="7"/>
  <c r="J39" i="7"/>
  <c r="J36" i="7"/>
  <c r="J35" i="7"/>
  <c r="J34" i="7"/>
  <c r="J33" i="7"/>
  <c r="J32" i="7"/>
  <c r="J29" i="7"/>
  <c r="J28" i="7"/>
  <c r="J27" i="7"/>
  <c r="J26" i="7"/>
  <c r="J25" i="7"/>
  <c r="J22" i="7"/>
  <c r="J21" i="7"/>
  <c r="J20" i="7"/>
  <c r="J19" i="7"/>
  <c r="J18" i="7"/>
  <c r="J15" i="7"/>
  <c r="J14" i="7"/>
  <c r="J13" i="7"/>
  <c r="J12" i="7"/>
  <c r="J11" i="7"/>
  <c r="J8" i="7"/>
  <c r="J7" i="7"/>
  <c r="J6" i="7"/>
  <c r="J5" i="7"/>
  <c r="J4" i="7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Q81" i="9"/>
  <c r="P81" i="9"/>
  <c r="O81" i="9"/>
  <c r="N81" i="9"/>
  <c r="M81" i="9"/>
  <c r="L81" i="9"/>
  <c r="K81" i="9"/>
  <c r="J81" i="9"/>
  <c r="I81" i="9"/>
  <c r="H81" i="9"/>
  <c r="G81" i="9"/>
  <c r="F81" i="9"/>
  <c r="Q80" i="9"/>
  <c r="P80" i="9"/>
  <c r="O80" i="9"/>
  <c r="N80" i="9"/>
  <c r="M80" i="9"/>
  <c r="L80" i="9"/>
  <c r="K80" i="9"/>
  <c r="J80" i="9"/>
  <c r="I80" i="9"/>
  <c r="H80" i="9"/>
  <c r="G80" i="9"/>
  <c r="F80" i="9"/>
  <c r="Q79" i="9"/>
  <c r="P79" i="9"/>
  <c r="O79" i="9"/>
  <c r="N79" i="9"/>
  <c r="M79" i="9"/>
  <c r="L79" i="9"/>
  <c r="K79" i="9"/>
  <c r="J79" i="9"/>
  <c r="I79" i="9"/>
  <c r="H79" i="9"/>
  <c r="G79" i="9"/>
  <c r="F79" i="9"/>
  <c r="Q78" i="9"/>
  <c r="P78" i="9"/>
  <c r="O78" i="9"/>
  <c r="N78" i="9"/>
  <c r="M78" i="9"/>
  <c r="L78" i="9"/>
  <c r="K78" i="9"/>
  <c r="J78" i="9"/>
  <c r="I78" i="9"/>
  <c r="H78" i="9"/>
  <c r="G78" i="9"/>
  <c r="F78" i="9"/>
  <c r="Q77" i="9"/>
  <c r="P77" i="9"/>
  <c r="O77" i="9"/>
  <c r="N77" i="9"/>
  <c r="M77" i="9"/>
  <c r="L77" i="9"/>
  <c r="K77" i="9"/>
  <c r="J77" i="9"/>
  <c r="I77" i="9"/>
  <c r="H77" i="9"/>
  <c r="G77" i="9"/>
  <c r="F77" i="9"/>
  <c r="Q74" i="9"/>
  <c r="P74" i="9"/>
  <c r="O74" i="9"/>
  <c r="N74" i="9"/>
  <c r="M74" i="9"/>
  <c r="L74" i="9"/>
  <c r="K74" i="9"/>
  <c r="J74" i="9"/>
  <c r="I74" i="9"/>
  <c r="H74" i="9"/>
  <c r="G74" i="9"/>
  <c r="F74" i="9"/>
  <c r="Q73" i="9"/>
  <c r="P73" i="9"/>
  <c r="O73" i="9"/>
  <c r="N73" i="9"/>
  <c r="M73" i="9"/>
  <c r="L73" i="9"/>
  <c r="K73" i="9"/>
  <c r="J73" i="9"/>
  <c r="I73" i="9"/>
  <c r="H73" i="9"/>
  <c r="G73" i="9"/>
  <c r="F73" i="9"/>
  <c r="Q72" i="9"/>
  <c r="P72" i="9"/>
  <c r="O72" i="9"/>
  <c r="N72" i="9"/>
  <c r="M72" i="9"/>
  <c r="L72" i="9"/>
  <c r="K72" i="9"/>
  <c r="J72" i="9"/>
  <c r="I72" i="9"/>
  <c r="H72" i="9"/>
  <c r="G72" i="9"/>
  <c r="F72" i="9"/>
  <c r="Q71" i="9"/>
  <c r="P71" i="9"/>
  <c r="O71" i="9"/>
  <c r="N71" i="9"/>
  <c r="M71" i="9"/>
  <c r="L71" i="9"/>
  <c r="K71" i="9"/>
  <c r="J71" i="9"/>
  <c r="I71" i="9"/>
  <c r="H71" i="9"/>
  <c r="G71" i="9"/>
  <c r="F71" i="9"/>
  <c r="Q70" i="9"/>
  <c r="P70" i="9"/>
  <c r="O70" i="9"/>
  <c r="N70" i="9"/>
  <c r="M70" i="9"/>
  <c r="L70" i="9"/>
  <c r="K70" i="9"/>
  <c r="J70" i="9"/>
  <c r="I70" i="9"/>
  <c r="H70" i="9"/>
  <c r="G70" i="9"/>
  <c r="F70" i="9"/>
  <c r="Q67" i="9"/>
  <c r="P67" i="9"/>
  <c r="O67" i="9"/>
  <c r="N67" i="9"/>
  <c r="M67" i="9"/>
  <c r="L67" i="9"/>
  <c r="K67" i="9"/>
  <c r="J67" i="9"/>
  <c r="I67" i="9"/>
  <c r="H67" i="9"/>
  <c r="G67" i="9"/>
  <c r="F67" i="9"/>
  <c r="Q66" i="9"/>
  <c r="P66" i="9"/>
  <c r="O66" i="9"/>
  <c r="N66" i="9"/>
  <c r="M66" i="9"/>
  <c r="L66" i="9"/>
  <c r="K66" i="9"/>
  <c r="J66" i="9"/>
  <c r="I66" i="9"/>
  <c r="H66" i="9"/>
  <c r="G66" i="9"/>
  <c r="F66" i="9"/>
  <c r="Q65" i="9"/>
  <c r="P65" i="9"/>
  <c r="O65" i="9"/>
  <c r="N65" i="9"/>
  <c r="M65" i="9"/>
  <c r="L65" i="9"/>
  <c r="K65" i="9"/>
  <c r="J65" i="9"/>
  <c r="I65" i="9"/>
  <c r="H65" i="9"/>
  <c r="G65" i="9"/>
  <c r="F65" i="9"/>
  <c r="Q64" i="9"/>
  <c r="P64" i="9"/>
  <c r="O64" i="9"/>
  <c r="N64" i="9"/>
  <c r="M64" i="9"/>
  <c r="L64" i="9"/>
  <c r="K64" i="9"/>
  <c r="J64" i="9"/>
  <c r="I64" i="9"/>
  <c r="H64" i="9"/>
  <c r="G64" i="9"/>
  <c r="F64" i="9"/>
  <c r="Q63" i="9"/>
  <c r="P63" i="9"/>
  <c r="O63" i="9"/>
  <c r="N63" i="9"/>
  <c r="M63" i="9"/>
  <c r="L63" i="9"/>
  <c r="K63" i="9"/>
  <c r="J63" i="9"/>
  <c r="I63" i="9"/>
  <c r="H63" i="9"/>
  <c r="G63" i="9"/>
  <c r="F63" i="9"/>
  <c r="B81" i="9"/>
  <c r="A81" i="9"/>
  <c r="B80" i="9"/>
  <c r="A80" i="9"/>
  <c r="B79" i="9"/>
  <c r="A79" i="9"/>
  <c r="B78" i="9"/>
  <c r="A78" i="9"/>
  <c r="B77" i="9"/>
  <c r="A77" i="9"/>
  <c r="B76" i="9"/>
  <c r="A76" i="9"/>
  <c r="B75" i="9"/>
  <c r="A75" i="9"/>
  <c r="B74" i="9"/>
  <c r="A74" i="9"/>
  <c r="B73" i="9"/>
  <c r="A73" i="9"/>
  <c r="B72" i="9"/>
  <c r="A72" i="9"/>
  <c r="B71" i="9"/>
  <c r="A71" i="9"/>
  <c r="B70" i="9"/>
  <c r="A70" i="9"/>
  <c r="B69" i="9"/>
  <c r="A69" i="9"/>
  <c r="B68" i="9"/>
  <c r="A68" i="9"/>
  <c r="B67" i="9"/>
  <c r="A67" i="9"/>
  <c r="B66" i="9"/>
  <c r="A66" i="9"/>
  <c r="B65" i="9"/>
  <c r="A65" i="9"/>
  <c r="B64" i="9"/>
  <c r="A64" i="9"/>
  <c r="B63" i="9"/>
  <c r="A63" i="9"/>
  <c r="B62" i="9"/>
  <c r="A62" i="9"/>
  <c r="I85" i="7"/>
  <c r="I84" i="7"/>
  <c r="I83" i="7"/>
  <c r="I82" i="7"/>
  <c r="I81" i="7"/>
  <c r="I78" i="7"/>
  <c r="I77" i="7"/>
  <c r="I76" i="7"/>
  <c r="I75" i="7"/>
  <c r="I74" i="7"/>
  <c r="I71" i="7"/>
  <c r="I70" i="7"/>
  <c r="I69" i="7"/>
  <c r="I68" i="7"/>
  <c r="I67" i="7"/>
  <c r="I64" i="7"/>
  <c r="I63" i="7"/>
  <c r="I62" i="7"/>
  <c r="I61" i="7"/>
  <c r="I60" i="7"/>
  <c r="I57" i="7"/>
  <c r="I56" i="7"/>
  <c r="I55" i="7"/>
  <c r="I54" i="7"/>
  <c r="I53" i="7"/>
  <c r="I50" i="7"/>
  <c r="I49" i="7"/>
  <c r="I48" i="7"/>
  <c r="I47" i="7"/>
  <c r="I46" i="7"/>
  <c r="I43" i="7"/>
  <c r="I42" i="7"/>
  <c r="I41" i="7"/>
  <c r="I40" i="7"/>
  <c r="I39" i="7"/>
  <c r="I36" i="7"/>
  <c r="I35" i="7"/>
  <c r="I34" i="7"/>
  <c r="I33" i="7"/>
  <c r="I32" i="7"/>
  <c r="I29" i="7"/>
  <c r="I28" i="7"/>
  <c r="I27" i="7"/>
  <c r="I26" i="7"/>
  <c r="I25" i="7"/>
  <c r="I22" i="7"/>
  <c r="I21" i="7"/>
  <c r="I20" i="7"/>
  <c r="I19" i="7"/>
  <c r="I18" i="7"/>
  <c r="I15" i="7"/>
  <c r="I14" i="7"/>
  <c r="I13" i="7"/>
  <c r="I12" i="7"/>
  <c r="I11" i="7"/>
  <c r="I8" i="7"/>
  <c r="I7" i="7"/>
  <c r="I6" i="7"/>
  <c r="I5" i="7"/>
  <c r="I4" i="7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Q1221" i="9"/>
  <c r="P1221" i="9"/>
  <c r="O1221" i="9"/>
  <c r="N1221" i="9"/>
  <c r="M1221" i="9"/>
  <c r="L1221" i="9"/>
  <c r="K1221" i="9"/>
  <c r="J1221" i="9"/>
  <c r="I1221" i="9"/>
  <c r="H1221" i="9"/>
  <c r="G1221" i="9"/>
  <c r="Q1220" i="9"/>
  <c r="P1220" i="9"/>
  <c r="O1220" i="9"/>
  <c r="N1220" i="9"/>
  <c r="M1220" i="9"/>
  <c r="L1220" i="9"/>
  <c r="K1220" i="9"/>
  <c r="J1220" i="9"/>
  <c r="I1220" i="9"/>
  <c r="H1220" i="9"/>
  <c r="G1220" i="9"/>
  <c r="Q1219" i="9"/>
  <c r="P1219" i="9"/>
  <c r="O1219" i="9"/>
  <c r="N1219" i="9"/>
  <c r="M1219" i="9"/>
  <c r="L1219" i="9"/>
  <c r="K1219" i="9"/>
  <c r="J1219" i="9"/>
  <c r="I1219" i="9"/>
  <c r="H1219" i="9"/>
  <c r="G1219" i="9"/>
  <c r="Q1218" i="9"/>
  <c r="P1218" i="9"/>
  <c r="O1218" i="9"/>
  <c r="N1218" i="9"/>
  <c r="M1218" i="9"/>
  <c r="L1218" i="9"/>
  <c r="K1218" i="9"/>
  <c r="J1218" i="9"/>
  <c r="I1218" i="9"/>
  <c r="H1218" i="9"/>
  <c r="G1218" i="9"/>
  <c r="Q1217" i="9"/>
  <c r="P1217" i="9"/>
  <c r="O1217" i="9"/>
  <c r="N1217" i="9"/>
  <c r="M1217" i="9"/>
  <c r="L1217" i="9"/>
  <c r="K1217" i="9"/>
  <c r="J1217" i="9"/>
  <c r="I1217" i="9"/>
  <c r="H1217" i="9"/>
  <c r="G1217" i="9"/>
  <c r="Q1214" i="9"/>
  <c r="P1214" i="9"/>
  <c r="O1214" i="9"/>
  <c r="N1214" i="9"/>
  <c r="M1214" i="9"/>
  <c r="L1214" i="9"/>
  <c r="K1214" i="9"/>
  <c r="J1214" i="9"/>
  <c r="I1214" i="9"/>
  <c r="H1214" i="9"/>
  <c r="G1214" i="9"/>
  <c r="Q1213" i="9"/>
  <c r="P1213" i="9"/>
  <c r="O1213" i="9"/>
  <c r="N1213" i="9"/>
  <c r="M1213" i="9"/>
  <c r="L1213" i="9"/>
  <c r="K1213" i="9"/>
  <c r="J1213" i="9"/>
  <c r="I1213" i="9"/>
  <c r="H1213" i="9"/>
  <c r="G1213" i="9"/>
  <c r="Q1212" i="9"/>
  <c r="P1212" i="9"/>
  <c r="O1212" i="9"/>
  <c r="N1212" i="9"/>
  <c r="M1212" i="9"/>
  <c r="L1212" i="9"/>
  <c r="K1212" i="9"/>
  <c r="J1212" i="9"/>
  <c r="I1212" i="9"/>
  <c r="H1212" i="9"/>
  <c r="G1212" i="9"/>
  <c r="Q1211" i="9"/>
  <c r="P1211" i="9"/>
  <c r="O1211" i="9"/>
  <c r="N1211" i="9"/>
  <c r="M1211" i="9"/>
  <c r="L1211" i="9"/>
  <c r="K1211" i="9"/>
  <c r="J1211" i="9"/>
  <c r="I1211" i="9"/>
  <c r="H1211" i="9"/>
  <c r="G1211" i="9"/>
  <c r="Q1210" i="9"/>
  <c r="P1210" i="9"/>
  <c r="O1210" i="9"/>
  <c r="N1210" i="9"/>
  <c r="M1210" i="9"/>
  <c r="L1210" i="9"/>
  <c r="K1210" i="9"/>
  <c r="J1210" i="9"/>
  <c r="I1210" i="9"/>
  <c r="H1210" i="9"/>
  <c r="G1210" i="9"/>
  <c r="Q1207" i="9"/>
  <c r="P1207" i="9"/>
  <c r="O1207" i="9"/>
  <c r="N1207" i="9"/>
  <c r="M1207" i="9"/>
  <c r="L1207" i="9"/>
  <c r="K1207" i="9"/>
  <c r="J1207" i="9"/>
  <c r="I1207" i="9"/>
  <c r="H1207" i="9"/>
  <c r="G1207" i="9"/>
  <c r="Q1206" i="9"/>
  <c r="P1206" i="9"/>
  <c r="O1206" i="9"/>
  <c r="N1206" i="9"/>
  <c r="M1206" i="9"/>
  <c r="L1206" i="9"/>
  <c r="K1206" i="9"/>
  <c r="J1206" i="9"/>
  <c r="I1206" i="9"/>
  <c r="H1206" i="9"/>
  <c r="G1206" i="9"/>
  <c r="Q1205" i="9"/>
  <c r="P1205" i="9"/>
  <c r="O1205" i="9"/>
  <c r="N1205" i="9"/>
  <c r="M1205" i="9"/>
  <c r="L1205" i="9"/>
  <c r="K1205" i="9"/>
  <c r="J1205" i="9"/>
  <c r="I1205" i="9"/>
  <c r="H1205" i="9"/>
  <c r="G1205" i="9"/>
  <c r="Q1204" i="9"/>
  <c r="P1204" i="9"/>
  <c r="O1204" i="9"/>
  <c r="N1204" i="9"/>
  <c r="M1204" i="9"/>
  <c r="L1204" i="9"/>
  <c r="K1204" i="9"/>
  <c r="J1204" i="9"/>
  <c r="I1204" i="9"/>
  <c r="H1204" i="9"/>
  <c r="G1204" i="9"/>
  <c r="Q1203" i="9"/>
  <c r="P1203" i="9"/>
  <c r="O1203" i="9"/>
  <c r="N1203" i="9"/>
  <c r="M1203" i="9"/>
  <c r="L1203" i="9"/>
  <c r="K1203" i="9"/>
  <c r="J1203" i="9"/>
  <c r="I1203" i="9"/>
  <c r="H1203" i="9"/>
  <c r="G1203" i="9"/>
  <c r="Q1201" i="9"/>
  <c r="P1201" i="9"/>
  <c r="O1201" i="9"/>
  <c r="N1201" i="9"/>
  <c r="M1201" i="9"/>
  <c r="L1201" i="9"/>
  <c r="K1201" i="9"/>
  <c r="J1201" i="9"/>
  <c r="I1201" i="9"/>
  <c r="H1201" i="9"/>
  <c r="G1201" i="9"/>
  <c r="Q1200" i="9"/>
  <c r="P1200" i="9"/>
  <c r="O1200" i="9"/>
  <c r="N1200" i="9"/>
  <c r="M1200" i="9"/>
  <c r="L1200" i="9"/>
  <c r="K1200" i="9"/>
  <c r="J1200" i="9"/>
  <c r="I1200" i="9"/>
  <c r="H1200" i="9"/>
  <c r="G1200" i="9"/>
  <c r="Q1199" i="9"/>
  <c r="P1199" i="9"/>
  <c r="O1199" i="9"/>
  <c r="N1199" i="9"/>
  <c r="M1199" i="9"/>
  <c r="L1199" i="9"/>
  <c r="K1199" i="9"/>
  <c r="J1199" i="9"/>
  <c r="I1199" i="9"/>
  <c r="H1199" i="9"/>
  <c r="G1199" i="9"/>
  <c r="Q1198" i="9"/>
  <c r="P1198" i="9"/>
  <c r="O1198" i="9"/>
  <c r="N1198" i="9"/>
  <c r="M1198" i="9"/>
  <c r="L1198" i="9"/>
  <c r="K1198" i="9"/>
  <c r="J1198" i="9"/>
  <c r="I1198" i="9"/>
  <c r="H1198" i="9"/>
  <c r="G1198" i="9"/>
  <c r="Q1197" i="9"/>
  <c r="P1197" i="9"/>
  <c r="O1197" i="9"/>
  <c r="N1197" i="9"/>
  <c r="M1197" i="9"/>
  <c r="L1197" i="9"/>
  <c r="K1197" i="9"/>
  <c r="J1197" i="9"/>
  <c r="I1197" i="9"/>
  <c r="H1197" i="9"/>
  <c r="G1197" i="9"/>
  <c r="Q1194" i="9"/>
  <c r="P1194" i="9"/>
  <c r="O1194" i="9"/>
  <c r="N1194" i="9"/>
  <c r="M1194" i="9"/>
  <c r="L1194" i="9"/>
  <c r="K1194" i="9"/>
  <c r="J1194" i="9"/>
  <c r="I1194" i="9"/>
  <c r="H1194" i="9"/>
  <c r="G1194" i="9"/>
  <c r="Q1193" i="9"/>
  <c r="P1193" i="9"/>
  <c r="O1193" i="9"/>
  <c r="N1193" i="9"/>
  <c r="M1193" i="9"/>
  <c r="L1193" i="9"/>
  <c r="K1193" i="9"/>
  <c r="J1193" i="9"/>
  <c r="I1193" i="9"/>
  <c r="H1193" i="9"/>
  <c r="G1193" i="9"/>
  <c r="Q1192" i="9"/>
  <c r="P1192" i="9"/>
  <c r="O1192" i="9"/>
  <c r="N1192" i="9"/>
  <c r="M1192" i="9"/>
  <c r="L1192" i="9"/>
  <c r="K1192" i="9"/>
  <c r="J1192" i="9"/>
  <c r="I1192" i="9"/>
  <c r="H1192" i="9"/>
  <c r="G1192" i="9"/>
  <c r="Q1191" i="9"/>
  <c r="P1191" i="9"/>
  <c r="O1191" i="9"/>
  <c r="N1191" i="9"/>
  <c r="M1191" i="9"/>
  <c r="L1191" i="9"/>
  <c r="K1191" i="9"/>
  <c r="J1191" i="9"/>
  <c r="I1191" i="9"/>
  <c r="H1191" i="9"/>
  <c r="G1191" i="9"/>
  <c r="Q1190" i="9"/>
  <c r="P1190" i="9"/>
  <c r="O1190" i="9"/>
  <c r="N1190" i="9"/>
  <c r="M1190" i="9"/>
  <c r="L1190" i="9"/>
  <c r="K1190" i="9"/>
  <c r="J1190" i="9"/>
  <c r="I1190" i="9"/>
  <c r="H1190" i="9"/>
  <c r="G1190" i="9"/>
  <c r="Q1187" i="9"/>
  <c r="P1187" i="9"/>
  <c r="O1187" i="9"/>
  <c r="N1187" i="9"/>
  <c r="M1187" i="9"/>
  <c r="L1187" i="9"/>
  <c r="K1187" i="9"/>
  <c r="J1187" i="9"/>
  <c r="I1187" i="9"/>
  <c r="H1187" i="9"/>
  <c r="G1187" i="9"/>
  <c r="Q1186" i="9"/>
  <c r="P1186" i="9"/>
  <c r="O1186" i="9"/>
  <c r="N1186" i="9"/>
  <c r="M1186" i="9"/>
  <c r="L1186" i="9"/>
  <c r="K1186" i="9"/>
  <c r="J1186" i="9"/>
  <c r="I1186" i="9"/>
  <c r="H1186" i="9"/>
  <c r="G1186" i="9"/>
  <c r="Q1185" i="9"/>
  <c r="P1185" i="9"/>
  <c r="O1185" i="9"/>
  <c r="N1185" i="9"/>
  <c r="M1185" i="9"/>
  <c r="L1185" i="9"/>
  <c r="K1185" i="9"/>
  <c r="J1185" i="9"/>
  <c r="I1185" i="9"/>
  <c r="H1185" i="9"/>
  <c r="G1185" i="9"/>
  <c r="Q1184" i="9"/>
  <c r="P1184" i="9"/>
  <c r="O1184" i="9"/>
  <c r="N1184" i="9"/>
  <c r="M1184" i="9"/>
  <c r="L1184" i="9"/>
  <c r="K1184" i="9"/>
  <c r="J1184" i="9"/>
  <c r="I1184" i="9"/>
  <c r="H1184" i="9"/>
  <c r="G1184" i="9"/>
  <c r="Q1183" i="9"/>
  <c r="P1183" i="9"/>
  <c r="O1183" i="9"/>
  <c r="N1183" i="9"/>
  <c r="M1183" i="9"/>
  <c r="L1183" i="9"/>
  <c r="K1183" i="9"/>
  <c r="J1183" i="9"/>
  <c r="I1183" i="9"/>
  <c r="H1183" i="9"/>
  <c r="G1183" i="9"/>
  <c r="B1201" i="9"/>
  <c r="A1201" i="9"/>
  <c r="B1200" i="9"/>
  <c r="A1200" i="9"/>
  <c r="B1199" i="9"/>
  <c r="A1199" i="9"/>
  <c r="B1198" i="9"/>
  <c r="A1198" i="9"/>
  <c r="B1197" i="9"/>
  <c r="A1197" i="9"/>
  <c r="B1196" i="9"/>
  <c r="A1196" i="9"/>
  <c r="B1195" i="9"/>
  <c r="A1195" i="9"/>
  <c r="B1194" i="9"/>
  <c r="A1194" i="9"/>
  <c r="B1193" i="9"/>
  <c r="A1193" i="9"/>
  <c r="B1192" i="9"/>
  <c r="A1192" i="9"/>
  <c r="B1191" i="9"/>
  <c r="A1191" i="9"/>
  <c r="B1190" i="9"/>
  <c r="A1190" i="9"/>
  <c r="B1189" i="9"/>
  <c r="A1189" i="9"/>
  <c r="B1188" i="9"/>
  <c r="A1188" i="9"/>
  <c r="B1187" i="9"/>
  <c r="A1187" i="9"/>
  <c r="B1186" i="9"/>
  <c r="A1186" i="9"/>
  <c r="B1185" i="9"/>
  <c r="A1185" i="9"/>
  <c r="B1184" i="9"/>
  <c r="A1184" i="9"/>
  <c r="B1183" i="9"/>
  <c r="A1183" i="9"/>
  <c r="F1221" i="9"/>
  <c r="F1220" i="9"/>
  <c r="F1219" i="9"/>
  <c r="F1218" i="9"/>
  <c r="F1217" i="9"/>
  <c r="F1214" i="9"/>
  <c r="F1213" i="9"/>
  <c r="F1212" i="9"/>
  <c r="F1211" i="9"/>
  <c r="F1210" i="9"/>
  <c r="F1207" i="9"/>
  <c r="F1206" i="9"/>
  <c r="F1205" i="9"/>
  <c r="F1204" i="9"/>
  <c r="F1203" i="9"/>
  <c r="B1221" i="9"/>
  <c r="A1221" i="9"/>
  <c r="B1220" i="9"/>
  <c r="A1220" i="9"/>
  <c r="B1219" i="9"/>
  <c r="A1219" i="9"/>
  <c r="B1218" i="9"/>
  <c r="A1218" i="9"/>
  <c r="B1217" i="9"/>
  <c r="A1217" i="9"/>
  <c r="B1216" i="9"/>
  <c r="A1216" i="9"/>
  <c r="B1215" i="9"/>
  <c r="A1215" i="9"/>
  <c r="B1214" i="9"/>
  <c r="A1214" i="9"/>
  <c r="B1213" i="9"/>
  <c r="A1213" i="9"/>
  <c r="B1212" i="9"/>
  <c r="A1212" i="9"/>
  <c r="B1211" i="9"/>
  <c r="A1211" i="9"/>
  <c r="B1210" i="9"/>
  <c r="A1210" i="9"/>
  <c r="B1209" i="9"/>
  <c r="A1209" i="9"/>
  <c r="B1208" i="9"/>
  <c r="A1208" i="9"/>
  <c r="B1207" i="9"/>
  <c r="A1207" i="9"/>
  <c r="B1206" i="9"/>
  <c r="A1206" i="9"/>
  <c r="B1205" i="9"/>
  <c r="A1205" i="9"/>
  <c r="B1204" i="9"/>
  <c r="A1204" i="9"/>
  <c r="B1203" i="9"/>
  <c r="A1203" i="9"/>
  <c r="B1202" i="9"/>
  <c r="A1202" i="9"/>
  <c r="F1201" i="9"/>
  <c r="F1200" i="9"/>
  <c r="F1199" i="9"/>
  <c r="F1198" i="9"/>
  <c r="F1197" i="9"/>
  <c r="F1194" i="9"/>
  <c r="F1193" i="9"/>
  <c r="F1192" i="9"/>
  <c r="F1191" i="9"/>
  <c r="F1190" i="9"/>
  <c r="F1187" i="9"/>
  <c r="F1186" i="9"/>
  <c r="F1185" i="9"/>
  <c r="F1184" i="9"/>
  <c r="F1183" i="9"/>
  <c r="B1182" i="9"/>
  <c r="A1182" i="9"/>
  <c r="Q1181" i="9"/>
  <c r="P1181" i="9"/>
  <c r="O1181" i="9"/>
  <c r="N1181" i="9"/>
  <c r="M1181" i="9"/>
  <c r="L1181" i="9"/>
  <c r="K1181" i="9"/>
  <c r="J1181" i="9"/>
  <c r="I1181" i="9"/>
  <c r="H1181" i="9"/>
  <c r="G1181" i="9"/>
  <c r="Q1180" i="9"/>
  <c r="P1180" i="9"/>
  <c r="O1180" i="9"/>
  <c r="N1180" i="9"/>
  <c r="M1180" i="9"/>
  <c r="L1180" i="9"/>
  <c r="K1180" i="9"/>
  <c r="J1180" i="9"/>
  <c r="I1180" i="9"/>
  <c r="H1180" i="9"/>
  <c r="G1180" i="9"/>
  <c r="Q1179" i="9"/>
  <c r="P1179" i="9"/>
  <c r="O1179" i="9"/>
  <c r="N1179" i="9"/>
  <c r="M1179" i="9"/>
  <c r="L1179" i="9"/>
  <c r="K1179" i="9"/>
  <c r="J1179" i="9"/>
  <c r="I1179" i="9"/>
  <c r="H1179" i="9"/>
  <c r="G1179" i="9"/>
  <c r="Q1178" i="9"/>
  <c r="P1178" i="9"/>
  <c r="O1178" i="9"/>
  <c r="N1178" i="9"/>
  <c r="M1178" i="9"/>
  <c r="L1178" i="9"/>
  <c r="K1178" i="9"/>
  <c r="J1178" i="9"/>
  <c r="I1178" i="9"/>
  <c r="H1178" i="9"/>
  <c r="G1178" i="9"/>
  <c r="Q1177" i="9"/>
  <c r="P1177" i="9"/>
  <c r="O1177" i="9"/>
  <c r="N1177" i="9"/>
  <c r="M1177" i="9"/>
  <c r="L1177" i="9"/>
  <c r="K1177" i="9"/>
  <c r="J1177" i="9"/>
  <c r="I1177" i="9"/>
  <c r="H1177" i="9"/>
  <c r="G1177" i="9"/>
  <c r="Q1174" i="9"/>
  <c r="P1174" i="9"/>
  <c r="O1174" i="9"/>
  <c r="N1174" i="9"/>
  <c r="M1174" i="9"/>
  <c r="L1174" i="9"/>
  <c r="K1174" i="9"/>
  <c r="J1174" i="9"/>
  <c r="I1174" i="9"/>
  <c r="H1174" i="9"/>
  <c r="G1174" i="9"/>
  <c r="Q1173" i="9"/>
  <c r="P1173" i="9"/>
  <c r="O1173" i="9"/>
  <c r="N1173" i="9"/>
  <c r="M1173" i="9"/>
  <c r="L1173" i="9"/>
  <c r="K1173" i="9"/>
  <c r="J1173" i="9"/>
  <c r="I1173" i="9"/>
  <c r="H1173" i="9"/>
  <c r="G1173" i="9"/>
  <c r="Q1172" i="9"/>
  <c r="P1172" i="9"/>
  <c r="O1172" i="9"/>
  <c r="N1172" i="9"/>
  <c r="M1172" i="9"/>
  <c r="L1172" i="9"/>
  <c r="K1172" i="9"/>
  <c r="J1172" i="9"/>
  <c r="I1172" i="9"/>
  <c r="H1172" i="9"/>
  <c r="G1172" i="9"/>
  <c r="Q1171" i="9"/>
  <c r="P1171" i="9"/>
  <c r="O1171" i="9"/>
  <c r="N1171" i="9"/>
  <c r="M1171" i="9"/>
  <c r="L1171" i="9"/>
  <c r="K1171" i="9"/>
  <c r="J1171" i="9"/>
  <c r="I1171" i="9"/>
  <c r="H1171" i="9"/>
  <c r="G1171" i="9"/>
  <c r="Q1170" i="9"/>
  <c r="P1170" i="9"/>
  <c r="O1170" i="9"/>
  <c r="N1170" i="9"/>
  <c r="M1170" i="9"/>
  <c r="L1170" i="9"/>
  <c r="K1170" i="9"/>
  <c r="J1170" i="9"/>
  <c r="I1170" i="9"/>
  <c r="H1170" i="9"/>
  <c r="G1170" i="9"/>
  <c r="Q1167" i="9"/>
  <c r="P1167" i="9"/>
  <c r="O1167" i="9"/>
  <c r="N1167" i="9"/>
  <c r="M1167" i="9"/>
  <c r="L1167" i="9"/>
  <c r="K1167" i="9"/>
  <c r="J1167" i="9"/>
  <c r="I1167" i="9"/>
  <c r="H1167" i="9"/>
  <c r="G1167" i="9"/>
  <c r="Q1166" i="9"/>
  <c r="P1166" i="9"/>
  <c r="O1166" i="9"/>
  <c r="N1166" i="9"/>
  <c r="M1166" i="9"/>
  <c r="L1166" i="9"/>
  <c r="K1166" i="9"/>
  <c r="J1166" i="9"/>
  <c r="I1166" i="9"/>
  <c r="H1166" i="9"/>
  <c r="G1166" i="9"/>
  <c r="Q1165" i="9"/>
  <c r="P1165" i="9"/>
  <c r="O1165" i="9"/>
  <c r="N1165" i="9"/>
  <c r="M1165" i="9"/>
  <c r="L1165" i="9"/>
  <c r="K1165" i="9"/>
  <c r="J1165" i="9"/>
  <c r="I1165" i="9"/>
  <c r="H1165" i="9"/>
  <c r="G1165" i="9"/>
  <c r="Q1164" i="9"/>
  <c r="P1164" i="9"/>
  <c r="O1164" i="9"/>
  <c r="N1164" i="9"/>
  <c r="M1164" i="9"/>
  <c r="L1164" i="9"/>
  <c r="K1164" i="9"/>
  <c r="J1164" i="9"/>
  <c r="I1164" i="9"/>
  <c r="H1164" i="9"/>
  <c r="G1164" i="9"/>
  <c r="Q1163" i="9"/>
  <c r="P1163" i="9"/>
  <c r="O1163" i="9"/>
  <c r="N1163" i="9"/>
  <c r="M1163" i="9"/>
  <c r="L1163" i="9"/>
  <c r="K1163" i="9"/>
  <c r="J1163" i="9"/>
  <c r="I1163" i="9"/>
  <c r="H1163" i="9"/>
  <c r="G1163" i="9"/>
  <c r="F1181" i="9"/>
  <c r="F1180" i="9"/>
  <c r="F1179" i="9"/>
  <c r="F1178" i="9"/>
  <c r="F1177" i="9"/>
  <c r="F1174" i="9"/>
  <c r="F1173" i="9"/>
  <c r="F1172" i="9"/>
  <c r="F1171" i="9"/>
  <c r="F1170" i="9"/>
  <c r="F1167" i="9"/>
  <c r="F1166" i="9"/>
  <c r="F1165" i="9"/>
  <c r="F1164" i="9"/>
  <c r="B1181" i="9"/>
  <c r="A1181" i="9"/>
  <c r="B1180" i="9"/>
  <c r="A1180" i="9"/>
  <c r="B1179" i="9"/>
  <c r="A1179" i="9"/>
  <c r="B1178" i="9"/>
  <c r="A1178" i="9"/>
  <c r="B1177" i="9"/>
  <c r="A1177" i="9"/>
  <c r="B1176" i="9"/>
  <c r="A1176" i="9"/>
  <c r="B1175" i="9"/>
  <c r="A1175" i="9"/>
  <c r="B1174" i="9"/>
  <c r="A1174" i="9"/>
  <c r="B1173" i="9"/>
  <c r="A1173" i="9"/>
  <c r="B1172" i="9"/>
  <c r="A1172" i="9"/>
  <c r="B1171" i="9"/>
  <c r="A1171" i="9"/>
  <c r="B1170" i="9"/>
  <c r="A1170" i="9"/>
  <c r="B1169" i="9"/>
  <c r="A1169" i="9"/>
  <c r="B1168" i="9"/>
  <c r="A1168" i="9"/>
  <c r="B1167" i="9"/>
  <c r="A1167" i="9"/>
  <c r="B1166" i="9"/>
  <c r="A1166" i="9"/>
  <c r="B1165" i="9"/>
  <c r="A1165" i="9"/>
  <c r="B1164" i="9"/>
  <c r="A1164" i="9"/>
  <c r="B1163" i="9"/>
  <c r="A1163" i="9"/>
  <c r="F1163" i="9"/>
  <c r="B1162" i="9"/>
  <c r="A1162" i="9"/>
  <c r="BE71" i="7"/>
  <c r="BE70" i="7"/>
  <c r="BE69" i="7"/>
  <c r="BE68" i="7"/>
  <c r="BE67" i="7"/>
  <c r="BE64" i="7"/>
  <c r="BE63" i="7"/>
  <c r="BE62" i="7"/>
  <c r="BE61" i="7"/>
  <c r="BE60" i="7"/>
  <c r="BE57" i="7"/>
  <c r="BE56" i="7"/>
  <c r="BE55" i="7"/>
  <c r="BE54" i="7"/>
  <c r="BE53" i="7"/>
  <c r="BE50" i="7"/>
  <c r="BE49" i="7"/>
  <c r="BE48" i="7"/>
  <c r="BE47" i="7"/>
  <c r="BE46" i="7"/>
  <c r="BE43" i="7"/>
  <c r="BE42" i="7"/>
  <c r="BE41" i="7"/>
  <c r="BE40" i="7"/>
  <c r="BE39" i="7"/>
  <c r="BE36" i="7"/>
  <c r="BE35" i="7"/>
  <c r="BE34" i="7"/>
  <c r="BE33" i="7"/>
  <c r="BE32" i="7"/>
  <c r="BE29" i="7"/>
  <c r="BE28" i="7"/>
  <c r="BE27" i="7"/>
  <c r="BE26" i="7"/>
  <c r="BE25" i="7"/>
  <c r="BE22" i="7"/>
  <c r="BE21" i="7"/>
  <c r="BE20" i="7"/>
  <c r="BE19" i="7"/>
  <c r="BE18" i="7"/>
  <c r="BE15" i="7"/>
  <c r="BE14" i="7"/>
  <c r="BE13" i="7"/>
  <c r="BE12" i="7"/>
  <c r="BE11" i="7"/>
  <c r="BE8" i="7"/>
  <c r="BE7" i="7"/>
  <c r="BE6" i="7"/>
  <c r="BE5" i="7"/>
  <c r="BE78" i="7"/>
  <c r="BE77" i="7"/>
  <c r="BE76" i="7"/>
  <c r="BE75" i="7"/>
  <c r="BE74" i="7"/>
  <c r="BE85" i="7"/>
  <c r="BE84" i="7"/>
  <c r="BE83" i="7"/>
  <c r="BE82" i="7"/>
  <c r="BE81" i="7"/>
  <c r="BE4" i="7"/>
  <c r="BC85" i="7"/>
  <c r="BC84" i="7"/>
  <c r="BC83" i="7"/>
  <c r="BC82" i="7"/>
  <c r="BC81" i="7"/>
  <c r="BC78" i="7"/>
  <c r="BC77" i="7"/>
  <c r="BC76" i="7"/>
  <c r="BC75" i="7"/>
  <c r="BC74" i="7"/>
  <c r="BC71" i="7"/>
  <c r="BC70" i="7"/>
  <c r="BC69" i="7"/>
  <c r="BC68" i="7"/>
  <c r="BC67" i="7"/>
  <c r="BC64" i="7"/>
  <c r="BC63" i="7"/>
  <c r="BC62" i="7"/>
  <c r="BC61" i="7"/>
  <c r="BC60" i="7"/>
  <c r="BC50" i="7"/>
  <c r="BC49" i="7"/>
  <c r="BC48" i="7"/>
  <c r="BC47" i="7"/>
  <c r="BC46" i="7"/>
  <c r="BC43" i="7"/>
  <c r="BC42" i="7"/>
  <c r="BC41" i="7"/>
  <c r="BC40" i="7"/>
  <c r="BC39" i="7"/>
  <c r="BC36" i="7"/>
  <c r="BC35" i="7"/>
  <c r="BC34" i="7"/>
  <c r="BC33" i="7"/>
  <c r="BC32" i="7"/>
  <c r="BC29" i="7"/>
  <c r="BC28" i="7"/>
  <c r="BC27" i="7"/>
  <c r="BC26" i="7"/>
  <c r="BC25" i="7"/>
  <c r="BC22" i="7"/>
  <c r="BC21" i="7"/>
  <c r="BC20" i="7"/>
  <c r="BC19" i="7"/>
  <c r="BC18" i="7"/>
  <c r="BC15" i="7"/>
  <c r="BC14" i="7"/>
  <c r="BC13" i="7"/>
  <c r="BC12" i="7"/>
  <c r="BC11" i="7"/>
  <c r="BC8" i="7"/>
  <c r="BC7" i="7"/>
  <c r="BC6" i="7"/>
  <c r="BC5" i="7"/>
  <c r="BC4" i="7"/>
  <c r="AO85" i="7" l="1"/>
  <c r="AO84" i="7"/>
  <c r="AO83" i="7"/>
  <c r="AO82" i="7"/>
  <c r="AO81" i="7"/>
  <c r="AO78" i="7"/>
  <c r="AO77" i="7"/>
  <c r="AO76" i="7"/>
  <c r="AO75" i="7"/>
  <c r="AO74" i="7"/>
  <c r="AO71" i="7"/>
  <c r="AO70" i="7"/>
  <c r="AO69" i="7"/>
  <c r="AO68" i="7"/>
  <c r="AO67" i="7"/>
  <c r="AO64" i="7"/>
  <c r="AO63" i="7"/>
  <c r="AO62" i="7"/>
  <c r="AO61" i="7"/>
  <c r="AO60" i="7"/>
  <c r="AO57" i="7"/>
  <c r="AO56" i="7"/>
  <c r="AO55" i="7"/>
  <c r="AO54" i="7"/>
  <c r="AO53" i="7"/>
  <c r="AO50" i="7"/>
  <c r="AO49" i="7"/>
  <c r="AO48" i="7"/>
  <c r="AO47" i="7"/>
  <c r="AO46" i="7"/>
  <c r="AO43" i="7"/>
  <c r="AO42" i="7"/>
  <c r="AO41" i="7"/>
  <c r="AO40" i="7"/>
  <c r="AO39" i="7"/>
  <c r="AO36" i="7"/>
  <c r="AO35" i="7"/>
  <c r="AO34" i="7"/>
  <c r="AO33" i="7"/>
  <c r="AO32" i="7"/>
  <c r="AO29" i="7"/>
  <c r="AO28" i="7"/>
  <c r="AO27" i="7"/>
  <c r="AO26" i="7"/>
  <c r="AO25" i="7"/>
  <c r="AO22" i="7"/>
  <c r="AO21" i="7"/>
  <c r="AO20" i="7"/>
  <c r="AO19" i="7"/>
  <c r="AO18" i="7"/>
  <c r="AO15" i="7"/>
  <c r="AO14" i="7"/>
  <c r="AO13" i="7"/>
  <c r="AO12" i="7"/>
  <c r="AO11" i="7"/>
  <c r="AO8" i="7"/>
  <c r="AO7" i="7"/>
  <c r="AO6" i="7"/>
  <c r="AO5" i="7"/>
  <c r="AO4" i="7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BA32" i="4"/>
  <c r="AZ32" i="4"/>
  <c r="AY32" i="4"/>
  <c r="I32" i="4"/>
  <c r="H32" i="4"/>
  <c r="G32" i="4"/>
  <c r="F32" i="4"/>
  <c r="D32" i="4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D25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D23" i="3"/>
  <c r="D10" i="3" l="1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D8" i="4"/>
  <c r="W21" i="4" l="1"/>
  <c r="AH21" i="4"/>
  <c r="F22" i="4"/>
  <c r="Z23" i="4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K17" i="3"/>
  <c r="M17" i="3"/>
  <c r="L17" i="3"/>
  <c r="J17" i="3"/>
  <c r="I17" i="3"/>
  <c r="H17" i="3"/>
  <c r="G17" i="3"/>
  <c r="F1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BA36" i="4"/>
  <c r="AZ36" i="4"/>
  <c r="AY36" i="4"/>
  <c r="AX36" i="4"/>
  <c r="AW36" i="4"/>
  <c r="AV36" i="4"/>
  <c r="AU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C43" i="4"/>
  <c r="AB43" i="4"/>
  <c r="AA43" i="4"/>
  <c r="Z43" i="4"/>
  <c r="Y43" i="4"/>
  <c r="X43" i="4"/>
  <c r="W43" i="4"/>
  <c r="V43" i="4"/>
  <c r="Q43" i="4"/>
  <c r="P43" i="4"/>
  <c r="O43" i="4"/>
  <c r="N43" i="4"/>
  <c r="M43" i="4"/>
  <c r="L43" i="4"/>
  <c r="K43" i="4"/>
  <c r="J43" i="4"/>
  <c r="I43" i="4"/>
  <c r="H43" i="4"/>
  <c r="G43" i="4"/>
  <c r="F43" i="4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AF10" i="6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O51" i="4"/>
  <c r="N51" i="4"/>
  <c r="M51" i="4"/>
  <c r="L51" i="4"/>
  <c r="K51" i="4"/>
  <c r="J51" i="4"/>
  <c r="I51" i="4"/>
  <c r="H51" i="4"/>
  <c r="G51" i="4"/>
  <c r="F51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BA17" i="5"/>
  <c r="AZ17" i="5"/>
  <c r="AY17" i="5"/>
  <c r="AX17" i="5"/>
  <c r="AX19" i="5" s="1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H19" i="5" s="1"/>
  <c r="AG17" i="5"/>
  <c r="AF17" i="5"/>
  <c r="AE17" i="5"/>
  <c r="AD17" i="5"/>
  <c r="AC17" i="5"/>
  <c r="AB17" i="5"/>
  <c r="AA17" i="5"/>
  <c r="Z17" i="5"/>
  <c r="Z19" i="5" s="1"/>
  <c r="Y17" i="5"/>
  <c r="X17" i="5"/>
  <c r="W17" i="5"/>
  <c r="V17" i="5"/>
  <c r="U17" i="5"/>
  <c r="T17" i="5"/>
  <c r="S17" i="5"/>
  <c r="R17" i="5"/>
  <c r="R19" i="5" s="1"/>
  <c r="Q17" i="5"/>
  <c r="P17" i="5"/>
  <c r="P19" i="5" s="1"/>
  <c r="O17" i="5"/>
  <c r="N17" i="5"/>
  <c r="M17" i="5"/>
  <c r="L17" i="5"/>
  <c r="K17" i="5"/>
  <c r="J17" i="5"/>
  <c r="J19" i="5" s="1"/>
  <c r="I17" i="5"/>
  <c r="H17" i="5"/>
  <c r="G17" i="5"/>
  <c r="F17" i="5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BA9" i="5"/>
  <c r="AZ9" i="5"/>
  <c r="AY9" i="5"/>
  <c r="AX9" i="5"/>
  <c r="AW9" i="5"/>
  <c r="AV9" i="5"/>
  <c r="AU9" i="5"/>
  <c r="AU19" i="5" s="1"/>
  <c r="AT9" i="5"/>
  <c r="AS9" i="5"/>
  <c r="AR9" i="5"/>
  <c r="AQ9" i="5"/>
  <c r="AP9" i="5"/>
  <c r="AO9" i="5"/>
  <c r="AO19" i="5" s="1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X19" i="5" s="1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G19" i="5" s="1"/>
  <c r="F9" i="5"/>
  <c r="AY19" i="5"/>
  <c r="AW19" i="5"/>
  <c r="AT19" i="5"/>
  <c r="AQ19" i="5"/>
  <c r="AP19" i="5"/>
  <c r="AM19" i="5"/>
  <c r="AL19" i="5"/>
  <c r="AI19" i="5"/>
  <c r="AG19" i="5"/>
  <c r="AF19" i="5"/>
  <c r="AE19" i="5"/>
  <c r="AD19" i="5"/>
  <c r="AA19" i="5"/>
  <c r="Y19" i="5"/>
  <c r="W19" i="5"/>
  <c r="V19" i="5"/>
  <c r="S19" i="5"/>
  <c r="Q19" i="5"/>
  <c r="O19" i="5"/>
  <c r="N19" i="5"/>
  <c r="I19" i="5"/>
  <c r="H19" i="5"/>
  <c r="F19" i="5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Y23" i="4"/>
  <c r="X23" i="4"/>
  <c r="W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C22" i="4"/>
  <c r="AB22" i="4"/>
  <c r="AA22" i="4"/>
  <c r="Z22" i="4"/>
  <c r="Y22" i="4"/>
  <c r="X22" i="4"/>
  <c r="W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G21" i="4"/>
  <c r="AF21" i="4"/>
  <c r="AE21" i="4"/>
  <c r="AD21" i="4"/>
  <c r="AC21" i="4"/>
  <c r="AB21" i="4"/>
  <c r="AA21" i="4"/>
  <c r="Z21" i="4"/>
  <c r="Y21" i="4"/>
  <c r="X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BA9" i="3"/>
  <c r="AZ9" i="3"/>
  <c r="AY9" i="3"/>
  <c r="AX9" i="3"/>
  <c r="AW9" i="3"/>
  <c r="AV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AS21" i="3"/>
  <c r="AR21" i="3"/>
  <c r="AQ21" i="3"/>
  <c r="AP21" i="3"/>
  <c r="AT21" i="3"/>
  <c r="AU21" i="3"/>
  <c r="AV21" i="3"/>
  <c r="AW21" i="3"/>
  <c r="AX21" i="3"/>
  <c r="AY21" i="3"/>
  <c r="AZ21" i="3"/>
  <c r="BA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I22" i="3"/>
  <c r="H22" i="3"/>
  <c r="G21" i="3"/>
  <c r="F21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BA22" i="3"/>
  <c r="AZ22" i="3"/>
  <c r="AY22" i="3"/>
  <c r="AX22" i="3"/>
  <c r="G22" i="3"/>
  <c r="F22" i="3"/>
  <c r="B1161" i="9"/>
  <c r="A1161" i="9"/>
  <c r="B1160" i="9"/>
  <c r="A1160" i="9"/>
  <c r="B1159" i="9"/>
  <c r="A1159" i="9"/>
  <c r="B1158" i="9"/>
  <c r="A1158" i="9"/>
  <c r="B1157" i="9"/>
  <c r="A1157" i="9"/>
  <c r="B1156" i="9"/>
  <c r="A1156" i="9"/>
  <c r="B1155" i="9"/>
  <c r="A1155" i="9"/>
  <c r="B1154" i="9"/>
  <c r="A1154" i="9"/>
  <c r="B1153" i="9"/>
  <c r="A1153" i="9"/>
  <c r="B1152" i="9"/>
  <c r="A1152" i="9"/>
  <c r="B1151" i="9"/>
  <c r="A1151" i="9"/>
  <c r="B1150" i="9"/>
  <c r="A1150" i="9"/>
  <c r="B1149" i="9"/>
  <c r="A1149" i="9"/>
  <c r="B1148" i="9"/>
  <c r="A1148" i="9"/>
  <c r="B1147" i="9"/>
  <c r="A1147" i="9"/>
  <c r="B1146" i="9"/>
  <c r="A1146" i="9"/>
  <c r="B1145" i="9"/>
  <c r="A1145" i="9"/>
  <c r="B1144" i="9"/>
  <c r="A1144" i="9"/>
  <c r="B1143" i="9"/>
  <c r="A1143" i="9"/>
  <c r="Q1161" i="9"/>
  <c r="P1161" i="9"/>
  <c r="O1161" i="9"/>
  <c r="N1161" i="9"/>
  <c r="M1161" i="9"/>
  <c r="L1161" i="9"/>
  <c r="K1161" i="9"/>
  <c r="J1161" i="9"/>
  <c r="I1161" i="9"/>
  <c r="H1161" i="9"/>
  <c r="G1161" i="9"/>
  <c r="F1161" i="9"/>
  <c r="Q1160" i="9"/>
  <c r="P1160" i="9"/>
  <c r="O1160" i="9"/>
  <c r="N1160" i="9"/>
  <c r="M1160" i="9"/>
  <c r="L1160" i="9"/>
  <c r="K1160" i="9"/>
  <c r="J1160" i="9"/>
  <c r="I1160" i="9"/>
  <c r="H1160" i="9"/>
  <c r="G1160" i="9"/>
  <c r="F1160" i="9"/>
  <c r="Q1159" i="9"/>
  <c r="P1159" i="9"/>
  <c r="O1159" i="9"/>
  <c r="N1159" i="9"/>
  <c r="M1159" i="9"/>
  <c r="L1159" i="9"/>
  <c r="K1159" i="9"/>
  <c r="J1159" i="9"/>
  <c r="I1159" i="9"/>
  <c r="H1159" i="9"/>
  <c r="G1159" i="9"/>
  <c r="F1159" i="9"/>
  <c r="Q1158" i="9"/>
  <c r="P1158" i="9"/>
  <c r="O1158" i="9"/>
  <c r="N1158" i="9"/>
  <c r="M1158" i="9"/>
  <c r="L1158" i="9"/>
  <c r="K1158" i="9"/>
  <c r="J1158" i="9"/>
  <c r="I1158" i="9"/>
  <c r="H1158" i="9"/>
  <c r="G1158" i="9"/>
  <c r="F1158" i="9"/>
  <c r="Q1157" i="9"/>
  <c r="P1157" i="9"/>
  <c r="O1157" i="9"/>
  <c r="N1157" i="9"/>
  <c r="M1157" i="9"/>
  <c r="L1157" i="9"/>
  <c r="K1157" i="9"/>
  <c r="J1157" i="9"/>
  <c r="I1157" i="9"/>
  <c r="H1157" i="9"/>
  <c r="G1157" i="9"/>
  <c r="F1157" i="9"/>
  <c r="Q1154" i="9"/>
  <c r="P1154" i="9"/>
  <c r="O1154" i="9"/>
  <c r="N1154" i="9"/>
  <c r="M1154" i="9"/>
  <c r="L1154" i="9"/>
  <c r="K1154" i="9"/>
  <c r="J1154" i="9"/>
  <c r="I1154" i="9"/>
  <c r="H1154" i="9"/>
  <c r="G1154" i="9"/>
  <c r="F1154" i="9"/>
  <c r="Q1153" i="9"/>
  <c r="P1153" i="9"/>
  <c r="O1153" i="9"/>
  <c r="N1153" i="9"/>
  <c r="M1153" i="9"/>
  <c r="L1153" i="9"/>
  <c r="K1153" i="9"/>
  <c r="J1153" i="9"/>
  <c r="I1153" i="9"/>
  <c r="H1153" i="9"/>
  <c r="G1153" i="9"/>
  <c r="F1153" i="9"/>
  <c r="Q1152" i="9"/>
  <c r="P1152" i="9"/>
  <c r="O1152" i="9"/>
  <c r="N1152" i="9"/>
  <c r="M1152" i="9"/>
  <c r="L1152" i="9"/>
  <c r="K1152" i="9"/>
  <c r="J1152" i="9"/>
  <c r="I1152" i="9"/>
  <c r="H1152" i="9"/>
  <c r="G1152" i="9"/>
  <c r="F1152" i="9"/>
  <c r="Q1151" i="9"/>
  <c r="P1151" i="9"/>
  <c r="O1151" i="9"/>
  <c r="N1151" i="9"/>
  <c r="M1151" i="9"/>
  <c r="L1151" i="9"/>
  <c r="K1151" i="9"/>
  <c r="J1151" i="9"/>
  <c r="I1151" i="9"/>
  <c r="H1151" i="9"/>
  <c r="G1151" i="9"/>
  <c r="F1151" i="9"/>
  <c r="Q1150" i="9"/>
  <c r="P1150" i="9"/>
  <c r="O1150" i="9"/>
  <c r="N1150" i="9"/>
  <c r="M1150" i="9"/>
  <c r="L1150" i="9"/>
  <c r="K1150" i="9"/>
  <c r="J1150" i="9"/>
  <c r="I1150" i="9"/>
  <c r="H1150" i="9"/>
  <c r="G1150" i="9"/>
  <c r="F1150" i="9"/>
  <c r="Q1147" i="9"/>
  <c r="P1147" i="9"/>
  <c r="O1147" i="9"/>
  <c r="N1147" i="9"/>
  <c r="M1147" i="9"/>
  <c r="L1147" i="9"/>
  <c r="K1147" i="9"/>
  <c r="J1147" i="9"/>
  <c r="I1147" i="9"/>
  <c r="H1147" i="9"/>
  <c r="G1147" i="9"/>
  <c r="F1147" i="9"/>
  <c r="Q1146" i="9"/>
  <c r="P1146" i="9"/>
  <c r="O1146" i="9"/>
  <c r="N1146" i="9"/>
  <c r="M1146" i="9"/>
  <c r="L1146" i="9"/>
  <c r="K1146" i="9"/>
  <c r="J1146" i="9"/>
  <c r="I1146" i="9"/>
  <c r="H1146" i="9"/>
  <c r="G1146" i="9"/>
  <c r="F1146" i="9"/>
  <c r="Q1145" i="9"/>
  <c r="P1145" i="9"/>
  <c r="O1145" i="9"/>
  <c r="N1145" i="9"/>
  <c r="M1145" i="9"/>
  <c r="L1145" i="9"/>
  <c r="K1145" i="9"/>
  <c r="J1145" i="9"/>
  <c r="I1145" i="9"/>
  <c r="H1145" i="9"/>
  <c r="G1145" i="9"/>
  <c r="F1145" i="9"/>
  <c r="Q1144" i="9"/>
  <c r="P1144" i="9"/>
  <c r="O1144" i="9"/>
  <c r="N1144" i="9"/>
  <c r="M1144" i="9"/>
  <c r="L1144" i="9"/>
  <c r="K1144" i="9"/>
  <c r="J1144" i="9"/>
  <c r="I1144" i="9"/>
  <c r="H1144" i="9"/>
  <c r="G1144" i="9"/>
  <c r="F1144" i="9"/>
  <c r="Q1143" i="9"/>
  <c r="P1143" i="9"/>
  <c r="O1143" i="9"/>
  <c r="N1143" i="9"/>
  <c r="M1143" i="9"/>
  <c r="L1143" i="9"/>
  <c r="K1143" i="9"/>
  <c r="J1143" i="9"/>
  <c r="I1143" i="9"/>
  <c r="H1143" i="9"/>
  <c r="G1143" i="9"/>
  <c r="F1143" i="9"/>
  <c r="B1142" i="9"/>
  <c r="A1142" i="9"/>
  <c r="B1141" i="9"/>
  <c r="A1141" i="9"/>
  <c r="B1140" i="9"/>
  <c r="A1140" i="9"/>
  <c r="B1139" i="9"/>
  <c r="A1139" i="9"/>
  <c r="B1138" i="9"/>
  <c r="A1138" i="9"/>
  <c r="B1137" i="9"/>
  <c r="A1137" i="9"/>
  <c r="B1136" i="9"/>
  <c r="A1136" i="9"/>
  <c r="B1135" i="9"/>
  <c r="A1135" i="9"/>
  <c r="B1134" i="9"/>
  <c r="A1134" i="9"/>
  <c r="B1133" i="9"/>
  <c r="A1133" i="9"/>
  <c r="B1132" i="9"/>
  <c r="A1132" i="9"/>
  <c r="B1131" i="9"/>
  <c r="A1131" i="9"/>
  <c r="B1130" i="9"/>
  <c r="A1130" i="9"/>
  <c r="B1129" i="9"/>
  <c r="A1129" i="9"/>
  <c r="B1128" i="9"/>
  <c r="A1128" i="9"/>
  <c r="B1127" i="9"/>
  <c r="A1127" i="9"/>
  <c r="B1126" i="9"/>
  <c r="A1126" i="9"/>
  <c r="B1125" i="9"/>
  <c r="A1125" i="9"/>
  <c r="B1124" i="9"/>
  <c r="A1124" i="9"/>
  <c r="B1123" i="9"/>
  <c r="A1123" i="9"/>
  <c r="Q1141" i="9"/>
  <c r="P1141" i="9"/>
  <c r="O1141" i="9"/>
  <c r="N1141" i="9"/>
  <c r="M1141" i="9"/>
  <c r="L1141" i="9"/>
  <c r="K1141" i="9"/>
  <c r="J1141" i="9"/>
  <c r="I1141" i="9"/>
  <c r="H1141" i="9"/>
  <c r="G1141" i="9"/>
  <c r="F1141" i="9"/>
  <c r="Q1140" i="9"/>
  <c r="P1140" i="9"/>
  <c r="O1140" i="9"/>
  <c r="N1140" i="9"/>
  <c r="M1140" i="9"/>
  <c r="L1140" i="9"/>
  <c r="K1140" i="9"/>
  <c r="J1140" i="9"/>
  <c r="I1140" i="9"/>
  <c r="H1140" i="9"/>
  <c r="G1140" i="9"/>
  <c r="F1140" i="9"/>
  <c r="Q1139" i="9"/>
  <c r="P1139" i="9"/>
  <c r="O1139" i="9"/>
  <c r="N1139" i="9"/>
  <c r="M1139" i="9"/>
  <c r="L1139" i="9"/>
  <c r="K1139" i="9"/>
  <c r="J1139" i="9"/>
  <c r="I1139" i="9"/>
  <c r="H1139" i="9"/>
  <c r="G1139" i="9"/>
  <c r="F1139" i="9"/>
  <c r="Q1138" i="9"/>
  <c r="P1138" i="9"/>
  <c r="O1138" i="9"/>
  <c r="N1138" i="9"/>
  <c r="M1138" i="9"/>
  <c r="L1138" i="9"/>
  <c r="K1138" i="9"/>
  <c r="J1138" i="9"/>
  <c r="I1138" i="9"/>
  <c r="H1138" i="9"/>
  <c r="G1138" i="9"/>
  <c r="F1138" i="9"/>
  <c r="Q1137" i="9"/>
  <c r="P1137" i="9"/>
  <c r="O1137" i="9"/>
  <c r="N1137" i="9"/>
  <c r="M1137" i="9"/>
  <c r="L1137" i="9"/>
  <c r="K1137" i="9"/>
  <c r="J1137" i="9"/>
  <c r="I1137" i="9"/>
  <c r="H1137" i="9"/>
  <c r="G1137" i="9"/>
  <c r="F1137" i="9"/>
  <c r="Q1134" i="9"/>
  <c r="P1134" i="9"/>
  <c r="O1134" i="9"/>
  <c r="N1134" i="9"/>
  <c r="M1134" i="9"/>
  <c r="L1134" i="9"/>
  <c r="K1134" i="9"/>
  <c r="J1134" i="9"/>
  <c r="I1134" i="9"/>
  <c r="H1134" i="9"/>
  <c r="G1134" i="9"/>
  <c r="F1134" i="9"/>
  <c r="Q1133" i="9"/>
  <c r="P1133" i="9"/>
  <c r="O1133" i="9"/>
  <c r="N1133" i="9"/>
  <c r="M1133" i="9"/>
  <c r="L1133" i="9"/>
  <c r="K1133" i="9"/>
  <c r="J1133" i="9"/>
  <c r="I1133" i="9"/>
  <c r="H1133" i="9"/>
  <c r="G1133" i="9"/>
  <c r="F1133" i="9"/>
  <c r="Q1132" i="9"/>
  <c r="P1132" i="9"/>
  <c r="O1132" i="9"/>
  <c r="N1132" i="9"/>
  <c r="M1132" i="9"/>
  <c r="L1132" i="9"/>
  <c r="K1132" i="9"/>
  <c r="J1132" i="9"/>
  <c r="I1132" i="9"/>
  <c r="H1132" i="9"/>
  <c r="G1132" i="9"/>
  <c r="F1132" i="9"/>
  <c r="Q1131" i="9"/>
  <c r="P1131" i="9"/>
  <c r="O1131" i="9"/>
  <c r="N1131" i="9"/>
  <c r="M1131" i="9"/>
  <c r="L1131" i="9"/>
  <c r="K1131" i="9"/>
  <c r="J1131" i="9"/>
  <c r="I1131" i="9"/>
  <c r="H1131" i="9"/>
  <c r="G1131" i="9"/>
  <c r="F1131" i="9"/>
  <c r="Q1130" i="9"/>
  <c r="P1130" i="9"/>
  <c r="O1130" i="9"/>
  <c r="N1130" i="9"/>
  <c r="M1130" i="9"/>
  <c r="L1130" i="9"/>
  <c r="K1130" i="9"/>
  <c r="J1130" i="9"/>
  <c r="I1130" i="9"/>
  <c r="H1130" i="9"/>
  <c r="G1130" i="9"/>
  <c r="F1130" i="9"/>
  <c r="Q1127" i="9"/>
  <c r="P1127" i="9"/>
  <c r="O1127" i="9"/>
  <c r="N1127" i="9"/>
  <c r="M1127" i="9"/>
  <c r="L1127" i="9"/>
  <c r="K1127" i="9"/>
  <c r="J1127" i="9"/>
  <c r="I1127" i="9"/>
  <c r="H1127" i="9"/>
  <c r="G1127" i="9"/>
  <c r="F1127" i="9"/>
  <c r="Q1126" i="9"/>
  <c r="P1126" i="9"/>
  <c r="O1126" i="9"/>
  <c r="N1126" i="9"/>
  <c r="M1126" i="9"/>
  <c r="L1126" i="9"/>
  <c r="K1126" i="9"/>
  <c r="J1126" i="9"/>
  <c r="I1126" i="9"/>
  <c r="H1126" i="9"/>
  <c r="G1126" i="9"/>
  <c r="F1126" i="9"/>
  <c r="Q1125" i="9"/>
  <c r="P1125" i="9"/>
  <c r="O1125" i="9"/>
  <c r="N1125" i="9"/>
  <c r="M1125" i="9"/>
  <c r="L1125" i="9"/>
  <c r="K1125" i="9"/>
  <c r="J1125" i="9"/>
  <c r="I1125" i="9"/>
  <c r="H1125" i="9"/>
  <c r="G1125" i="9"/>
  <c r="F1125" i="9"/>
  <c r="Q1124" i="9"/>
  <c r="P1124" i="9"/>
  <c r="O1124" i="9"/>
  <c r="N1124" i="9"/>
  <c r="M1124" i="9"/>
  <c r="L1124" i="9"/>
  <c r="K1124" i="9"/>
  <c r="J1124" i="9"/>
  <c r="I1124" i="9"/>
  <c r="H1124" i="9"/>
  <c r="G1124" i="9"/>
  <c r="F1124" i="9"/>
  <c r="Q1123" i="9"/>
  <c r="P1123" i="9"/>
  <c r="O1123" i="9"/>
  <c r="N1123" i="9"/>
  <c r="M1123" i="9"/>
  <c r="L1123" i="9"/>
  <c r="K1123" i="9"/>
  <c r="J1123" i="9"/>
  <c r="I1123" i="9"/>
  <c r="H1123" i="9"/>
  <c r="G1123" i="9"/>
  <c r="F1123" i="9"/>
  <c r="B1122" i="9"/>
  <c r="A1122" i="9"/>
  <c r="B1121" i="9"/>
  <c r="A1121" i="9"/>
  <c r="B1120" i="9"/>
  <c r="A1120" i="9"/>
  <c r="B1119" i="9"/>
  <c r="A1119" i="9"/>
  <c r="B1118" i="9"/>
  <c r="A1118" i="9"/>
  <c r="B1117" i="9"/>
  <c r="A1117" i="9"/>
  <c r="B1116" i="9"/>
  <c r="A1116" i="9"/>
  <c r="B1115" i="9"/>
  <c r="A1115" i="9"/>
  <c r="B1114" i="9"/>
  <c r="A1114" i="9"/>
  <c r="B1113" i="9"/>
  <c r="A1113" i="9"/>
  <c r="B1112" i="9"/>
  <c r="A1112" i="9"/>
  <c r="B1111" i="9"/>
  <c r="A1111" i="9"/>
  <c r="B1110" i="9"/>
  <c r="A1110" i="9"/>
  <c r="B1109" i="9"/>
  <c r="A1109" i="9"/>
  <c r="B1108" i="9"/>
  <c r="A1108" i="9"/>
  <c r="B1107" i="9"/>
  <c r="A1107" i="9"/>
  <c r="B1106" i="9"/>
  <c r="A1106" i="9"/>
  <c r="B1105" i="9"/>
  <c r="A1105" i="9"/>
  <c r="B1104" i="9"/>
  <c r="A1104" i="9"/>
  <c r="B1103" i="9"/>
  <c r="A1103" i="9"/>
  <c r="Q1121" i="9"/>
  <c r="P1121" i="9"/>
  <c r="O1121" i="9"/>
  <c r="N1121" i="9"/>
  <c r="M1121" i="9"/>
  <c r="L1121" i="9"/>
  <c r="K1121" i="9"/>
  <c r="J1121" i="9"/>
  <c r="I1121" i="9"/>
  <c r="H1121" i="9"/>
  <c r="G1121" i="9"/>
  <c r="F1121" i="9"/>
  <c r="Q1120" i="9"/>
  <c r="P1120" i="9"/>
  <c r="O1120" i="9"/>
  <c r="N1120" i="9"/>
  <c r="M1120" i="9"/>
  <c r="L1120" i="9"/>
  <c r="K1120" i="9"/>
  <c r="J1120" i="9"/>
  <c r="I1120" i="9"/>
  <c r="H1120" i="9"/>
  <c r="G1120" i="9"/>
  <c r="F1120" i="9"/>
  <c r="Q1119" i="9"/>
  <c r="P1119" i="9"/>
  <c r="O1119" i="9"/>
  <c r="N1119" i="9"/>
  <c r="M1119" i="9"/>
  <c r="L1119" i="9"/>
  <c r="K1119" i="9"/>
  <c r="J1119" i="9"/>
  <c r="I1119" i="9"/>
  <c r="H1119" i="9"/>
  <c r="G1119" i="9"/>
  <c r="F1119" i="9"/>
  <c r="Q1118" i="9"/>
  <c r="P1118" i="9"/>
  <c r="O1118" i="9"/>
  <c r="N1118" i="9"/>
  <c r="M1118" i="9"/>
  <c r="L1118" i="9"/>
  <c r="K1118" i="9"/>
  <c r="J1118" i="9"/>
  <c r="I1118" i="9"/>
  <c r="H1118" i="9"/>
  <c r="G1118" i="9"/>
  <c r="F1118" i="9"/>
  <c r="Q1117" i="9"/>
  <c r="P1117" i="9"/>
  <c r="O1117" i="9"/>
  <c r="N1117" i="9"/>
  <c r="M1117" i="9"/>
  <c r="L1117" i="9"/>
  <c r="K1117" i="9"/>
  <c r="J1117" i="9"/>
  <c r="I1117" i="9"/>
  <c r="H1117" i="9"/>
  <c r="G1117" i="9"/>
  <c r="F1117" i="9"/>
  <c r="Q1114" i="9"/>
  <c r="P1114" i="9"/>
  <c r="O1114" i="9"/>
  <c r="N1114" i="9"/>
  <c r="M1114" i="9"/>
  <c r="L1114" i="9"/>
  <c r="K1114" i="9"/>
  <c r="J1114" i="9"/>
  <c r="I1114" i="9"/>
  <c r="H1114" i="9"/>
  <c r="G1114" i="9"/>
  <c r="F1114" i="9"/>
  <c r="Q1113" i="9"/>
  <c r="P1113" i="9"/>
  <c r="O1113" i="9"/>
  <c r="N1113" i="9"/>
  <c r="M1113" i="9"/>
  <c r="L1113" i="9"/>
  <c r="K1113" i="9"/>
  <c r="J1113" i="9"/>
  <c r="I1113" i="9"/>
  <c r="H1113" i="9"/>
  <c r="G1113" i="9"/>
  <c r="F1113" i="9"/>
  <c r="Q1112" i="9"/>
  <c r="P1112" i="9"/>
  <c r="O1112" i="9"/>
  <c r="N1112" i="9"/>
  <c r="M1112" i="9"/>
  <c r="L1112" i="9"/>
  <c r="K1112" i="9"/>
  <c r="J1112" i="9"/>
  <c r="I1112" i="9"/>
  <c r="H1112" i="9"/>
  <c r="G1112" i="9"/>
  <c r="F1112" i="9"/>
  <c r="Q1111" i="9"/>
  <c r="P1111" i="9"/>
  <c r="O1111" i="9"/>
  <c r="N1111" i="9"/>
  <c r="M1111" i="9"/>
  <c r="L1111" i="9"/>
  <c r="K1111" i="9"/>
  <c r="J1111" i="9"/>
  <c r="I1111" i="9"/>
  <c r="H1111" i="9"/>
  <c r="G1111" i="9"/>
  <c r="F1111" i="9"/>
  <c r="Q1110" i="9"/>
  <c r="P1110" i="9"/>
  <c r="O1110" i="9"/>
  <c r="N1110" i="9"/>
  <c r="M1110" i="9"/>
  <c r="L1110" i="9"/>
  <c r="K1110" i="9"/>
  <c r="J1110" i="9"/>
  <c r="I1110" i="9"/>
  <c r="H1110" i="9"/>
  <c r="G1110" i="9"/>
  <c r="F1110" i="9"/>
  <c r="Q1107" i="9"/>
  <c r="P1107" i="9"/>
  <c r="O1107" i="9"/>
  <c r="N1107" i="9"/>
  <c r="M1107" i="9"/>
  <c r="L1107" i="9"/>
  <c r="K1107" i="9"/>
  <c r="J1107" i="9"/>
  <c r="I1107" i="9"/>
  <c r="H1107" i="9"/>
  <c r="G1107" i="9"/>
  <c r="Q1106" i="9"/>
  <c r="P1106" i="9"/>
  <c r="O1106" i="9"/>
  <c r="N1106" i="9"/>
  <c r="M1106" i="9"/>
  <c r="L1106" i="9"/>
  <c r="K1106" i="9"/>
  <c r="J1106" i="9"/>
  <c r="I1106" i="9"/>
  <c r="H1106" i="9"/>
  <c r="G1106" i="9"/>
  <c r="Q1105" i="9"/>
  <c r="P1105" i="9"/>
  <c r="O1105" i="9"/>
  <c r="N1105" i="9"/>
  <c r="M1105" i="9"/>
  <c r="L1105" i="9"/>
  <c r="K1105" i="9"/>
  <c r="J1105" i="9"/>
  <c r="I1105" i="9"/>
  <c r="H1105" i="9"/>
  <c r="G1105" i="9"/>
  <c r="Q1104" i="9"/>
  <c r="P1104" i="9"/>
  <c r="O1104" i="9"/>
  <c r="N1104" i="9"/>
  <c r="M1104" i="9"/>
  <c r="L1104" i="9"/>
  <c r="K1104" i="9"/>
  <c r="J1104" i="9"/>
  <c r="I1104" i="9"/>
  <c r="H1104" i="9"/>
  <c r="G1104" i="9"/>
  <c r="Q1103" i="9"/>
  <c r="P1103" i="9"/>
  <c r="O1103" i="9"/>
  <c r="N1103" i="9"/>
  <c r="M1103" i="9"/>
  <c r="L1103" i="9"/>
  <c r="K1103" i="9"/>
  <c r="J1103" i="9"/>
  <c r="I1103" i="9"/>
  <c r="H1103" i="9"/>
  <c r="G1103" i="9"/>
  <c r="F1107" i="9"/>
  <c r="F1106" i="9"/>
  <c r="F1105" i="9"/>
  <c r="F1104" i="9"/>
  <c r="F1103" i="9"/>
  <c r="B1102" i="9"/>
  <c r="A1102" i="9"/>
  <c r="B1101" i="9"/>
  <c r="A1101" i="9"/>
  <c r="B1100" i="9"/>
  <c r="A1100" i="9"/>
  <c r="B1099" i="9"/>
  <c r="A1099" i="9"/>
  <c r="B1098" i="9"/>
  <c r="A1098" i="9"/>
  <c r="B1097" i="9"/>
  <c r="A1097" i="9"/>
  <c r="B1096" i="9"/>
  <c r="A1096" i="9"/>
  <c r="B1095" i="9"/>
  <c r="A1095" i="9"/>
  <c r="B1094" i="9"/>
  <c r="A1094" i="9"/>
  <c r="B1093" i="9"/>
  <c r="A1093" i="9"/>
  <c r="B1092" i="9"/>
  <c r="A1092" i="9"/>
  <c r="B1091" i="9"/>
  <c r="A1091" i="9"/>
  <c r="B1090" i="9"/>
  <c r="A1090" i="9"/>
  <c r="B1089" i="9"/>
  <c r="A1089" i="9"/>
  <c r="B1088" i="9"/>
  <c r="A1088" i="9"/>
  <c r="B1087" i="9"/>
  <c r="A1087" i="9"/>
  <c r="B1086" i="9"/>
  <c r="A1086" i="9"/>
  <c r="B1085" i="9"/>
  <c r="A1085" i="9"/>
  <c r="B1084" i="9"/>
  <c r="A1084" i="9"/>
  <c r="B1083" i="9"/>
  <c r="A1083" i="9"/>
  <c r="Q1101" i="9"/>
  <c r="P1101" i="9"/>
  <c r="O1101" i="9"/>
  <c r="N1101" i="9"/>
  <c r="M1101" i="9"/>
  <c r="L1101" i="9"/>
  <c r="K1101" i="9"/>
  <c r="J1101" i="9"/>
  <c r="I1101" i="9"/>
  <c r="H1101" i="9"/>
  <c r="G1101" i="9"/>
  <c r="F1101" i="9"/>
  <c r="Q1100" i="9"/>
  <c r="P1100" i="9"/>
  <c r="O1100" i="9"/>
  <c r="N1100" i="9"/>
  <c r="M1100" i="9"/>
  <c r="L1100" i="9"/>
  <c r="K1100" i="9"/>
  <c r="J1100" i="9"/>
  <c r="I1100" i="9"/>
  <c r="H1100" i="9"/>
  <c r="G1100" i="9"/>
  <c r="F1100" i="9"/>
  <c r="Q1099" i="9"/>
  <c r="P1099" i="9"/>
  <c r="O1099" i="9"/>
  <c r="N1099" i="9"/>
  <c r="M1099" i="9"/>
  <c r="L1099" i="9"/>
  <c r="K1099" i="9"/>
  <c r="J1099" i="9"/>
  <c r="I1099" i="9"/>
  <c r="H1099" i="9"/>
  <c r="G1099" i="9"/>
  <c r="F1099" i="9"/>
  <c r="Q1098" i="9"/>
  <c r="P1098" i="9"/>
  <c r="O1098" i="9"/>
  <c r="N1098" i="9"/>
  <c r="M1098" i="9"/>
  <c r="L1098" i="9"/>
  <c r="K1098" i="9"/>
  <c r="J1098" i="9"/>
  <c r="I1098" i="9"/>
  <c r="H1098" i="9"/>
  <c r="G1098" i="9"/>
  <c r="F1098" i="9"/>
  <c r="Q1097" i="9"/>
  <c r="P1097" i="9"/>
  <c r="O1097" i="9"/>
  <c r="N1097" i="9"/>
  <c r="M1097" i="9"/>
  <c r="L1097" i="9"/>
  <c r="K1097" i="9"/>
  <c r="J1097" i="9"/>
  <c r="I1097" i="9"/>
  <c r="H1097" i="9"/>
  <c r="G1097" i="9"/>
  <c r="F1097" i="9"/>
  <c r="Q1094" i="9"/>
  <c r="P1094" i="9"/>
  <c r="O1094" i="9"/>
  <c r="N1094" i="9"/>
  <c r="M1094" i="9"/>
  <c r="L1094" i="9"/>
  <c r="K1094" i="9"/>
  <c r="J1094" i="9"/>
  <c r="I1094" i="9"/>
  <c r="H1094" i="9"/>
  <c r="G1094" i="9"/>
  <c r="F1094" i="9"/>
  <c r="Q1093" i="9"/>
  <c r="P1093" i="9"/>
  <c r="O1093" i="9"/>
  <c r="N1093" i="9"/>
  <c r="M1093" i="9"/>
  <c r="L1093" i="9"/>
  <c r="K1093" i="9"/>
  <c r="J1093" i="9"/>
  <c r="I1093" i="9"/>
  <c r="H1093" i="9"/>
  <c r="G1093" i="9"/>
  <c r="F1093" i="9"/>
  <c r="Q1092" i="9"/>
  <c r="P1092" i="9"/>
  <c r="O1092" i="9"/>
  <c r="N1092" i="9"/>
  <c r="M1092" i="9"/>
  <c r="L1092" i="9"/>
  <c r="K1092" i="9"/>
  <c r="J1092" i="9"/>
  <c r="I1092" i="9"/>
  <c r="H1092" i="9"/>
  <c r="G1092" i="9"/>
  <c r="F1092" i="9"/>
  <c r="Q1091" i="9"/>
  <c r="P1091" i="9"/>
  <c r="O1091" i="9"/>
  <c r="N1091" i="9"/>
  <c r="M1091" i="9"/>
  <c r="L1091" i="9"/>
  <c r="K1091" i="9"/>
  <c r="J1091" i="9"/>
  <c r="I1091" i="9"/>
  <c r="H1091" i="9"/>
  <c r="G1091" i="9"/>
  <c r="F1091" i="9"/>
  <c r="Q1090" i="9"/>
  <c r="P1090" i="9"/>
  <c r="O1090" i="9"/>
  <c r="N1090" i="9"/>
  <c r="M1090" i="9"/>
  <c r="L1090" i="9"/>
  <c r="K1090" i="9"/>
  <c r="J1090" i="9"/>
  <c r="I1090" i="9"/>
  <c r="H1090" i="9"/>
  <c r="G1090" i="9"/>
  <c r="F1090" i="9"/>
  <c r="Q1087" i="9"/>
  <c r="P1087" i="9"/>
  <c r="O1087" i="9"/>
  <c r="N1087" i="9"/>
  <c r="M1087" i="9"/>
  <c r="L1087" i="9"/>
  <c r="K1087" i="9"/>
  <c r="J1087" i="9"/>
  <c r="I1087" i="9"/>
  <c r="H1087" i="9"/>
  <c r="G1087" i="9"/>
  <c r="F1087" i="9"/>
  <c r="Q1086" i="9"/>
  <c r="P1086" i="9"/>
  <c r="O1086" i="9"/>
  <c r="N1086" i="9"/>
  <c r="M1086" i="9"/>
  <c r="L1086" i="9"/>
  <c r="K1086" i="9"/>
  <c r="J1086" i="9"/>
  <c r="I1086" i="9"/>
  <c r="H1086" i="9"/>
  <c r="G1086" i="9"/>
  <c r="F1086" i="9"/>
  <c r="Q1085" i="9"/>
  <c r="P1085" i="9"/>
  <c r="O1085" i="9"/>
  <c r="N1085" i="9"/>
  <c r="M1085" i="9"/>
  <c r="L1085" i="9"/>
  <c r="K1085" i="9"/>
  <c r="J1085" i="9"/>
  <c r="I1085" i="9"/>
  <c r="H1085" i="9"/>
  <c r="G1085" i="9"/>
  <c r="F1085" i="9"/>
  <c r="Q1084" i="9"/>
  <c r="P1084" i="9"/>
  <c r="O1084" i="9"/>
  <c r="N1084" i="9"/>
  <c r="M1084" i="9"/>
  <c r="L1084" i="9"/>
  <c r="K1084" i="9"/>
  <c r="J1084" i="9"/>
  <c r="I1084" i="9"/>
  <c r="H1084" i="9"/>
  <c r="G1084" i="9"/>
  <c r="F1084" i="9"/>
  <c r="Q1083" i="9"/>
  <c r="P1083" i="9"/>
  <c r="O1083" i="9"/>
  <c r="N1083" i="9"/>
  <c r="M1083" i="9"/>
  <c r="L1083" i="9"/>
  <c r="K1083" i="9"/>
  <c r="J1083" i="9"/>
  <c r="I1083" i="9"/>
  <c r="H1083" i="9"/>
  <c r="G1083" i="9"/>
  <c r="F1083" i="9"/>
  <c r="B1082" i="9"/>
  <c r="A1082" i="9"/>
  <c r="B1081" i="9"/>
  <c r="A1081" i="9"/>
  <c r="B1080" i="9"/>
  <c r="A1080" i="9"/>
  <c r="B1079" i="9"/>
  <c r="A1079" i="9"/>
  <c r="B1078" i="9"/>
  <c r="A1078" i="9"/>
  <c r="B1077" i="9"/>
  <c r="A1077" i="9"/>
  <c r="B1076" i="9"/>
  <c r="A1076" i="9"/>
  <c r="B1075" i="9"/>
  <c r="A1075" i="9"/>
  <c r="B1074" i="9"/>
  <c r="A1074" i="9"/>
  <c r="B1073" i="9"/>
  <c r="A1073" i="9"/>
  <c r="B1072" i="9"/>
  <c r="A1072" i="9"/>
  <c r="B1071" i="9"/>
  <c r="A1071" i="9"/>
  <c r="B1070" i="9"/>
  <c r="A1070" i="9"/>
  <c r="B1069" i="9"/>
  <c r="A1069" i="9"/>
  <c r="B1068" i="9"/>
  <c r="A1068" i="9"/>
  <c r="B1067" i="9"/>
  <c r="A1067" i="9"/>
  <c r="B1066" i="9"/>
  <c r="A1066" i="9"/>
  <c r="B1065" i="9"/>
  <c r="A1065" i="9"/>
  <c r="B1064" i="9"/>
  <c r="A1064" i="9"/>
  <c r="B1063" i="9"/>
  <c r="A1063" i="9"/>
  <c r="Q1081" i="9"/>
  <c r="P1081" i="9"/>
  <c r="O1081" i="9"/>
  <c r="N1081" i="9"/>
  <c r="M1081" i="9"/>
  <c r="L1081" i="9"/>
  <c r="K1081" i="9"/>
  <c r="J1081" i="9"/>
  <c r="I1081" i="9"/>
  <c r="H1081" i="9"/>
  <c r="G1081" i="9"/>
  <c r="F1081" i="9"/>
  <c r="Q1080" i="9"/>
  <c r="P1080" i="9"/>
  <c r="O1080" i="9"/>
  <c r="N1080" i="9"/>
  <c r="M1080" i="9"/>
  <c r="L1080" i="9"/>
  <c r="K1080" i="9"/>
  <c r="J1080" i="9"/>
  <c r="I1080" i="9"/>
  <c r="H1080" i="9"/>
  <c r="G1080" i="9"/>
  <c r="F1080" i="9"/>
  <c r="Q1079" i="9"/>
  <c r="P1079" i="9"/>
  <c r="O1079" i="9"/>
  <c r="N1079" i="9"/>
  <c r="M1079" i="9"/>
  <c r="L1079" i="9"/>
  <c r="K1079" i="9"/>
  <c r="J1079" i="9"/>
  <c r="I1079" i="9"/>
  <c r="H1079" i="9"/>
  <c r="G1079" i="9"/>
  <c r="F1079" i="9"/>
  <c r="Q1078" i="9"/>
  <c r="P1078" i="9"/>
  <c r="O1078" i="9"/>
  <c r="N1078" i="9"/>
  <c r="M1078" i="9"/>
  <c r="L1078" i="9"/>
  <c r="K1078" i="9"/>
  <c r="J1078" i="9"/>
  <c r="I1078" i="9"/>
  <c r="H1078" i="9"/>
  <c r="G1078" i="9"/>
  <c r="F1078" i="9"/>
  <c r="Q1077" i="9"/>
  <c r="P1077" i="9"/>
  <c r="O1077" i="9"/>
  <c r="N1077" i="9"/>
  <c r="M1077" i="9"/>
  <c r="L1077" i="9"/>
  <c r="K1077" i="9"/>
  <c r="J1077" i="9"/>
  <c r="I1077" i="9"/>
  <c r="H1077" i="9"/>
  <c r="G1077" i="9"/>
  <c r="F1077" i="9"/>
  <c r="Q1074" i="9"/>
  <c r="P1074" i="9"/>
  <c r="O1074" i="9"/>
  <c r="N1074" i="9"/>
  <c r="M1074" i="9"/>
  <c r="L1074" i="9"/>
  <c r="K1074" i="9"/>
  <c r="J1074" i="9"/>
  <c r="I1074" i="9"/>
  <c r="H1074" i="9"/>
  <c r="G1074" i="9"/>
  <c r="F1074" i="9"/>
  <c r="Q1073" i="9"/>
  <c r="P1073" i="9"/>
  <c r="O1073" i="9"/>
  <c r="N1073" i="9"/>
  <c r="M1073" i="9"/>
  <c r="L1073" i="9"/>
  <c r="K1073" i="9"/>
  <c r="J1073" i="9"/>
  <c r="I1073" i="9"/>
  <c r="H1073" i="9"/>
  <c r="G1073" i="9"/>
  <c r="F1073" i="9"/>
  <c r="Q1072" i="9"/>
  <c r="P1072" i="9"/>
  <c r="O1072" i="9"/>
  <c r="N1072" i="9"/>
  <c r="M1072" i="9"/>
  <c r="L1072" i="9"/>
  <c r="K1072" i="9"/>
  <c r="J1072" i="9"/>
  <c r="I1072" i="9"/>
  <c r="H1072" i="9"/>
  <c r="G1072" i="9"/>
  <c r="F1072" i="9"/>
  <c r="Q1071" i="9"/>
  <c r="P1071" i="9"/>
  <c r="O1071" i="9"/>
  <c r="N1071" i="9"/>
  <c r="M1071" i="9"/>
  <c r="L1071" i="9"/>
  <c r="K1071" i="9"/>
  <c r="J1071" i="9"/>
  <c r="I1071" i="9"/>
  <c r="H1071" i="9"/>
  <c r="G1071" i="9"/>
  <c r="F1071" i="9"/>
  <c r="Q1070" i="9"/>
  <c r="P1070" i="9"/>
  <c r="O1070" i="9"/>
  <c r="N1070" i="9"/>
  <c r="M1070" i="9"/>
  <c r="L1070" i="9"/>
  <c r="K1070" i="9"/>
  <c r="J1070" i="9"/>
  <c r="I1070" i="9"/>
  <c r="H1070" i="9"/>
  <c r="G1070" i="9"/>
  <c r="F1070" i="9"/>
  <c r="Q1067" i="9"/>
  <c r="P1067" i="9"/>
  <c r="O1067" i="9"/>
  <c r="N1067" i="9"/>
  <c r="M1067" i="9"/>
  <c r="L1067" i="9"/>
  <c r="K1067" i="9"/>
  <c r="J1067" i="9"/>
  <c r="I1067" i="9"/>
  <c r="H1067" i="9"/>
  <c r="G1067" i="9"/>
  <c r="F1067" i="9"/>
  <c r="Q1066" i="9"/>
  <c r="P1066" i="9"/>
  <c r="O1066" i="9"/>
  <c r="N1066" i="9"/>
  <c r="M1066" i="9"/>
  <c r="L1066" i="9"/>
  <c r="K1066" i="9"/>
  <c r="J1066" i="9"/>
  <c r="I1066" i="9"/>
  <c r="H1066" i="9"/>
  <c r="G1066" i="9"/>
  <c r="F1066" i="9"/>
  <c r="Q1065" i="9"/>
  <c r="P1065" i="9"/>
  <c r="O1065" i="9"/>
  <c r="N1065" i="9"/>
  <c r="M1065" i="9"/>
  <c r="L1065" i="9"/>
  <c r="K1065" i="9"/>
  <c r="J1065" i="9"/>
  <c r="I1065" i="9"/>
  <c r="H1065" i="9"/>
  <c r="G1065" i="9"/>
  <c r="F1065" i="9"/>
  <c r="Q1064" i="9"/>
  <c r="P1064" i="9"/>
  <c r="O1064" i="9"/>
  <c r="N1064" i="9"/>
  <c r="M1064" i="9"/>
  <c r="L1064" i="9"/>
  <c r="K1064" i="9"/>
  <c r="J1064" i="9"/>
  <c r="I1064" i="9"/>
  <c r="H1064" i="9"/>
  <c r="G1064" i="9"/>
  <c r="F1064" i="9"/>
  <c r="Q1063" i="9"/>
  <c r="P1063" i="9"/>
  <c r="O1063" i="9"/>
  <c r="N1063" i="9"/>
  <c r="M1063" i="9"/>
  <c r="L1063" i="9"/>
  <c r="K1063" i="9"/>
  <c r="J1063" i="9"/>
  <c r="I1063" i="9"/>
  <c r="H1063" i="9"/>
  <c r="G1063" i="9"/>
  <c r="F1063" i="9"/>
  <c r="B1062" i="9"/>
  <c r="A1062" i="9"/>
  <c r="K10" i="6" l="1"/>
  <c r="S10" i="6"/>
  <c r="AI10" i="6"/>
  <c r="L10" i="6"/>
  <c r="T10" i="6"/>
  <c r="AB10" i="6"/>
  <c r="AJ10" i="6"/>
  <c r="AR10" i="6"/>
  <c r="AZ10" i="6"/>
  <c r="AY10" i="6"/>
  <c r="AA10" i="6"/>
  <c r="AQ10" i="6"/>
  <c r="AZ19" i="5"/>
  <c r="L19" i="5"/>
  <c r="T19" i="5"/>
  <c r="AR19" i="5"/>
  <c r="U19" i="5"/>
  <c r="BA19" i="5"/>
  <c r="AB19" i="5"/>
  <c r="AV19" i="5"/>
  <c r="F10" i="6"/>
  <c r="F13" i="6" s="1"/>
  <c r="N10" i="6"/>
  <c r="V10" i="6"/>
  <c r="AD10" i="6"/>
  <c r="AL10" i="6"/>
  <c r="AT10" i="6"/>
  <c r="G10" i="6"/>
  <c r="O10" i="6"/>
  <c r="W10" i="6"/>
  <c r="AE10" i="6"/>
  <c r="AM10" i="6"/>
  <c r="AU10" i="6"/>
  <c r="H10" i="6"/>
  <c r="P10" i="6"/>
  <c r="X10" i="6"/>
  <c r="AN10" i="6"/>
  <c r="AV10" i="6"/>
  <c r="I10" i="6"/>
  <c r="Q10" i="6"/>
  <c r="Y10" i="6"/>
  <c r="AG10" i="6"/>
  <c r="AO10" i="6"/>
  <c r="AW10" i="6"/>
  <c r="J10" i="6"/>
  <c r="R10" i="6"/>
  <c r="Z10" i="6"/>
  <c r="AH10" i="6"/>
  <c r="AP10" i="6"/>
  <c r="AX10" i="6"/>
  <c r="M10" i="6"/>
  <c r="U10" i="6"/>
  <c r="AC10" i="6"/>
  <c r="AK10" i="6"/>
  <c r="AS10" i="6"/>
  <c r="BA10" i="6"/>
  <c r="AK19" i="5"/>
  <c r="AJ19" i="5"/>
  <c r="M19" i="5"/>
  <c r="AC19" i="5"/>
  <c r="AS19" i="5"/>
  <c r="K19" i="5"/>
  <c r="AN19" i="5"/>
  <c r="BA54" i="4"/>
  <c r="AU54" i="4"/>
  <c r="AY54" i="4"/>
  <c r="AZ54" i="4"/>
  <c r="AR54" i="4"/>
  <c r="AW54" i="4"/>
  <c r="AS54" i="4"/>
  <c r="F54" i="4"/>
  <c r="N54" i="4"/>
  <c r="V54" i="4"/>
  <c r="AD54" i="4"/>
  <c r="AL54" i="4"/>
  <c r="AV54" i="4"/>
  <c r="AX54" i="4"/>
  <c r="W29" i="3"/>
  <c r="W33" i="3" s="1"/>
  <c r="AU29" i="3"/>
  <c r="AU33" i="3" s="1"/>
  <c r="V29" i="3"/>
  <c r="V33" i="3" s="1"/>
  <c r="F29" i="3"/>
  <c r="F33" i="3" s="1"/>
  <c r="N29" i="3"/>
  <c r="N33" i="3" s="1"/>
  <c r="AD29" i="3"/>
  <c r="AD33" i="3" s="1"/>
  <c r="AT29" i="3"/>
  <c r="AT33" i="3" s="1"/>
  <c r="AG29" i="3"/>
  <c r="AG33" i="3" s="1"/>
  <c r="AW29" i="3"/>
  <c r="AW33" i="3" s="1"/>
  <c r="AL29" i="3"/>
  <c r="AL33" i="3" s="1"/>
  <c r="M54" i="4"/>
  <c r="U54" i="4"/>
  <c r="AC54" i="4"/>
  <c r="AK54" i="4"/>
  <c r="H29" i="3"/>
  <c r="H33" i="3" s="1"/>
  <c r="P29" i="3"/>
  <c r="P33" i="3" s="1"/>
  <c r="X29" i="3"/>
  <c r="X33" i="3" s="1"/>
  <c r="AF29" i="3"/>
  <c r="AF33" i="3" s="1"/>
  <c r="AN29" i="3"/>
  <c r="AN33" i="3" s="1"/>
  <c r="AV29" i="3"/>
  <c r="AV33" i="3" s="1"/>
  <c r="O29" i="3"/>
  <c r="O33" i="3" s="1"/>
  <c r="O54" i="4"/>
  <c r="J29" i="3"/>
  <c r="J33" i="3" s="1"/>
  <c r="R29" i="3"/>
  <c r="R33" i="3" s="1"/>
  <c r="Z29" i="3"/>
  <c r="Z33" i="3" s="1"/>
  <c r="AH29" i="3"/>
  <c r="AH33" i="3" s="1"/>
  <c r="AP29" i="3"/>
  <c r="AP33" i="3" s="1"/>
  <c r="AX29" i="3"/>
  <c r="AX33" i="3" s="1"/>
  <c r="H54" i="4"/>
  <c r="P54" i="4"/>
  <c r="X54" i="4"/>
  <c r="AF54" i="4"/>
  <c r="AN54" i="4"/>
  <c r="AM29" i="3"/>
  <c r="AM33" i="3" s="1"/>
  <c r="K29" i="3"/>
  <c r="K33" i="3" s="1"/>
  <c r="S29" i="3"/>
  <c r="S33" i="3" s="1"/>
  <c r="AA29" i="3"/>
  <c r="AA33" i="3" s="1"/>
  <c r="AI29" i="3"/>
  <c r="AI33" i="3" s="1"/>
  <c r="AQ29" i="3"/>
  <c r="AQ33" i="3" s="1"/>
  <c r="AY29" i="3"/>
  <c r="AY33" i="3" s="1"/>
  <c r="I54" i="4"/>
  <c r="Q54" i="4"/>
  <c r="Y54" i="4"/>
  <c r="AG54" i="4"/>
  <c r="AO54" i="4"/>
  <c r="I29" i="3"/>
  <c r="I33" i="3" s="1"/>
  <c r="AO29" i="3"/>
  <c r="AO33" i="3" s="1"/>
  <c r="W54" i="4"/>
  <c r="L29" i="3"/>
  <c r="L33" i="3" s="1"/>
  <c r="T29" i="3"/>
  <c r="T33" i="3" s="1"/>
  <c r="AB29" i="3"/>
  <c r="AB33" i="3" s="1"/>
  <c r="AJ29" i="3"/>
  <c r="AJ33" i="3" s="1"/>
  <c r="AR29" i="3"/>
  <c r="AR33" i="3" s="1"/>
  <c r="AZ29" i="3"/>
  <c r="AZ33" i="3" s="1"/>
  <c r="J54" i="4"/>
  <c r="R54" i="4"/>
  <c r="Z54" i="4"/>
  <c r="AH54" i="4"/>
  <c r="AP54" i="4"/>
  <c r="AT54" i="4"/>
  <c r="AE29" i="3"/>
  <c r="AE33" i="3" s="1"/>
  <c r="Q29" i="3"/>
  <c r="Q33" i="3" s="1"/>
  <c r="G54" i="4"/>
  <c r="AM54" i="4"/>
  <c r="M29" i="3"/>
  <c r="M33" i="3" s="1"/>
  <c r="U29" i="3"/>
  <c r="U33" i="3" s="1"/>
  <c r="AC29" i="3"/>
  <c r="AC33" i="3" s="1"/>
  <c r="AK29" i="3"/>
  <c r="AK33" i="3" s="1"/>
  <c r="AS29" i="3"/>
  <c r="AS33" i="3" s="1"/>
  <c r="BA29" i="3"/>
  <c r="BA33" i="3" s="1"/>
  <c r="L54" i="4"/>
  <c r="T54" i="4"/>
  <c r="AB54" i="4"/>
  <c r="AJ54" i="4"/>
  <c r="K54" i="4"/>
  <c r="S54" i="4"/>
  <c r="AA54" i="4"/>
  <c r="AI54" i="4"/>
  <c r="AQ54" i="4"/>
  <c r="G29" i="3"/>
  <c r="G33" i="3" s="1"/>
  <c r="Y29" i="3"/>
  <c r="Y33" i="3" s="1"/>
  <c r="AE54" i="4"/>
  <c r="V22" i="4"/>
  <c r="AD22" i="4"/>
  <c r="V23" i="4"/>
  <c r="B1061" i="9"/>
  <c r="A1061" i="9"/>
  <c r="B1060" i="9"/>
  <c r="A1060" i="9"/>
  <c r="B1059" i="9"/>
  <c r="A1059" i="9"/>
  <c r="B1058" i="9"/>
  <c r="A1058" i="9"/>
  <c r="B1057" i="9"/>
  <c r="A1057" i="9"/>
  <c r="B1056" i="9"/>
  <c r="A1056" i="9"/>
  <c r="B1055" i="9"/>
  <c r="A1055" i="9"/>
  <c r="B1054" i="9"/>
  <c r="A1054" i="9"/>
  <c r="B1053" i="9"/>
  <c r="A1053" i="9"/>
  <c r="B1052" i="9"/>
  <c r="A1052" i="9"/>
  <c r="B1051" i="9"/>
  <c r="A1051" i="9"/>
  <c r="B1050" i="9"/>
  <c r="A1050" i="9"/>
  <c r="B1049" i="9"/>
  <c r="A1049" i="9"/>
  <c r="B1048" i="9"/>
  <c r="A1048" i="9"/>
  <c r="B1047" i="9"/>
  <c r="A1047" i="9"/>
  <c r="B1046" i="9"/>
  <c r="A1046" i="9"/>
  <c r="B1045" i="9"/>
  <c r="A1045" i="9"/>
  <c r="B1044" i="9"/>
  <c r="A1044" i="9"/>
  <c r="B1043" i="9"/>
  <c r="A1043" i="9"/>
  <c r="Q1061" i="9"/>
  <c r="P1061" i="9"/>
  <c r="O1061" i="9"/>
  <c r="N1061" i="9"/>
  <c r="M1061" i="9"/>
  <c r="L1061" i="9"/>
  <c r="K1061" i="9"/>
  <c r="J1061" i="9"/>
  <c r="I1061" i="9"/>
  <c r="H1061" i="9"/>
  <c r="G1061" i="9"/>
  <c r="F1061" i="9"/>
  <c r="Q1060" i="9"/>
  <c r="P1060" i="9"/>
  <c r="O1060" i="9"/>
  <c r="N1060" i="9"/>
  <c r="M1060" i="9"/>
  <c r="L1060" i="9"/>
  <c r="K1060" i="9"/>
  <c r="J1060" i="9"/>
  <c r="I1060" i="9"/>
  <c r="H1060" i="9"/>
  <c r="G1060" i="9"/>
  <c r="F1060" i="9"/>
  <c r="Q1059" i="9"/>
  <c r="P1059" i="9"/>
  <c r="O1059" i="9"/>
  <c r="N1059" i="9"/>
  <c r="M1059" i="9"/>
  <c r="L1059" i="9"/>
  <c r="K1059" i="9"/>
  <c r="J1059" i="9"/>
  <c r="I1059" i="9"/>
  <c r="H1059" i="9"/>
  <c r="G1059" i="9"/>
  <c r="F1059" i="9"/>
  <c r="Q1058" i="9"/>
  <c r="P1058" i="9"/>
  <c r="O1058" i="9"/>
  <c r="N1058" i="9"/>
  <c r="M1058" i="9"/>
  <c r="L1058" i="9"/>
  <c r="K1058" i="9"/>
  <c r="J1058" i="9"/>
  <c r="I1058" i="9"/>
  <c r="H1058" i="9"/>
  <c r="G1058" i="9"/>
  <c r="F1058" i="9"/>
  <c r="Q1057" i="9"/>
  <c r="P1057" i="9"/>
  <c r="O1057" i="9"/>
  <c r="N1057" i="9"/>
  <c r="M1057" i="9"/>
  <c r="L1057" i="9"/>
  <c r="K1057" i="9"/>
  <c r="J1057" i="9"/>
  <c r="I1057" i="9"/>
  <c r="H1057" i="9"/>
  <c r="G1057" i="9"/>
  <c r="F1057" i="9"/>
  <c r="Q1054" i="9"/>
  <c r="P1054" i="9"/>
  <c r="O1054" i="9"/>
  <c r="N1054" i="9"/>
  <c r="M1054" i="9"/>
  <c r="L1054" i="9"/>
  <c r="K1054" i="9"/>
  <c r="J1054" i="9"/>
  <c r="I1054" i="9"/>
  <c r="H1054" i="9"/>
  <c r="G1054" i="9"/>
  <c r="F1054" i="9"/>
  <c r="Q1053" i="9"/>
  <c r="P1053" i="9"/>
  <c r="O1053" i="9"/>
  <c r="N1053" i="9"/>
  <c r="M1053" i="9"/>
  <c r="L1053" i="9"/>
  <c r="K1053" i="9"/>
  <c r="J1053" i="9"/>
  <c r="I1053" i="9"/>
  <c r="H1053" i="9"/>
  <c r="G1053" i="9"/>
  <c r="F1053" i="9"/>
  <c r="Q1052" i="9"/>
  <c r="P1052" i="9"/>
  <c r="O1052" i="9"/>
  <c r="N1052" i="9"/>
  <c r="M1052" i="9"/>
  <c r="L1052" i="9"/>
  <c r="K1052" i="9"/>
  <c r="J1052" i="9"/>
  <c r="I1052" i="9"/>
  <c r="H1052" i="9"/>
  <c r="G1052" i="9"/>
  <c r="F1052" i="9"/>
  <c r="Q1051" i="9"/>
  <c r="P1051" i="9"/>
  <c r="O1051" i="9"/>
  <c r="N1051" i="9"/>
  <c r="M1051" i="9"/>
  <c r="L1051" i="9"/>
  <c r="K1051" i="9"/>
  <c r="J1051" i="9"/>
  <c r="I1051" i="9"/>
  <c r="H1051" i="9"/>
  <c r="G1051" i="9"/>
  <c r="F1051" i="9"/>
  <c r="Q1050" i="9"/>
  <c r="P1050" i="9"/>
  <c r="O1050" i="9"/>
  <c r="N1050" i="9"/>
  <c r="M1050" i="9"/>
  <c r="L1050" i="9"/>
  <c r="K1050" i="9"/>
  <c r="J1050" i="9"/>
  <c r="I1050" i="9"/>
  <c r="H1050" i="9"/>
  <c r="G1050" i="9"/>
  <c r="F1050" i="9"/>
  <c r="Q1047" i="9"/>
  <c r="P1047" i="9"/>
  <c r="O1047" i="9"/>
  <c r="N1047" i="9"/>
  <c r="M1047" i="9"/>
  <c r="L1047" i="9"/>
  <c r="K1047" i="9"/>
  <c r="J1047" i="9"/>
  <c r="I1047" i="9"/>
  <c r="H1047" i="9"/>
  <c r="G1047" i="9"/>
  <c r="Q1046" i="9"/>
  <c r="P1046" i="9"/>
  <c r="O1046" i="9"/>
  <c r="N1046" i="9"/>
  <c r="M1046" i="9"/>
  <c r="L1046" i="9"/>
  <c r="K1046" i="9"/>
  <c r="J1046" i="9"/>
  <c r="I1046" i="9"/>
  <c r="H1046" i="9"/>
  <c r="G1046" i="9"/>
  <c r="Q1045" i="9"/>
  <c r="P1045" i="9"/>
  <c r="O1045" i="9"/>
  <c r="N1045" i="9"/>
  <c r="M1045" i="9"/>
  <c r="L1045" i="9"/>
  <c r="K1045" i="9"/>
  <c r="J1045" i="9"/>
  <c r="I1045" i="9"/>
  <c r="H1045" i="9"/>
  <c r="G1045" i="9"/>
  <c r="Q1044" i="9"/>
  <c r="P1044" i="9"/>
  <c r="O1044" i="9"/>
  <c r="N1044" i="9"/>
  <c r="M1044" i="9"/>
  <c r="L1044" i="9"/>
  <c r="K1044" i="9"/>
  <c r="J1044" i="9"/>
  <c r="I1044" i="9"/>
  <c r="H1044" i="9"/>
  <c r="G1044" i="9"/>
  <c r="Q1043" i="9"/>
  <c r="P1043" i="9"/>
  <c r="O1043" i="9"/>
  <c r="N1043" i="9"/>
  <c r="M1043" i="9"/>
  <c r="L1043" i="9"/>
  <c r="K1043" i="9"/>
  <c r="J1043" i="9"/>
  <c r="I1043" i="9"/>
  <c r="H1043" i="9"/>
  <c r="G1043" i="9"/>
  <c r="F1047" i="9"/>
  <c r="F1046" i="9"/>
  <c r="F1045" i="9"/>
  <c r="F1044" i="9"/>
  <c r="F1043" i="9"/>
  <c r="B1042" i="9"/>
  <c r="A1042" i="9"/>
  <c r="B1041" i="9"/>
  <c r="A1041" i="9"/>
  <c r="B1040" i="9"/>
  <c r="A1040" i="9"/>
  <c r="B1039" i="9"/>
  <c r="A1039" i="9"/>
  <c r="B1038" i="9"/>
  <c r="A1038" i="9"/>
  <c r="B1037" i="9"/>
  <c r="A1037" i="9"/>
  <c r="B1036" i="9"/>
  <c r="A1036" i="9"/>
  <c r="B1035" i="9"/>
  <c r="A1035" i="9"/>
  <c r="B1034" i="9"/>
  <c r="A1034" i="9"/>
  <c r="B1033" i="9"/>
  <c r="A1033" i="9"/>
  <c r="B1032" i="9"/>
  <c r="A1032" i="9"/>
  <c r="B1031" i="9"/>
  <c r="A1031" i="9"/>
  <c r="B1030" i="9"/>
  <c r="A1030" i="9"/>
  <c r="B1029" i="9"/>
  <c r="A1029" i="9"/>
  <c r="B1028" i="9"/>
  <c r="A1028" i="9"/>
  <c r="B1027" i="9"/>
  <c r="A1027" i="9"/>
  <c r="B1026" i="9"/>
  <c r="A1026" i="9"/>
  <c r="B1025" i="9"/>
  <c r="A1025" i="9"/>
  <c r="B1024" i="9"/>
  <c r="A1024" i="9"/>
  <c r="B1023" i="9"/>
  <c r="A1023" i="9"/>
  <c r="Q1041" i="9"/>
  <c r="P1041" i="9"/>
  <c r="O1041" i="9"/>
  <c r="N1041" i="9"/>
  <c r="M1041" i="9"/>
  <c r="L1041" i="9"/>
  <c r="K1041" i="9"/>
  <c r="J1041" i="9"/>
  <c r="I1041" i="9"/>
  <c r="H1041" i="9"/>
  <c r="G1041" i="9"/>
  <c r="F1041" i="9"/>
  <c r="Q1040" i="9"/>
  <c r="P1040" i="9"/>
  <c r="O1040" i="9"/>
  <c r="N1040" i="9"/>
  <c r="M1040" i="9"/>
  <c r="L1040" i="9"/>
  <c r="K1040" i="9"/>
  <c r="J1040" i="9"/>
  <c r="I1040" i="9"/>
  <c r="H1040" i="9"/>
  <c r="G1040" i="9"/>
  <c r="F1040" i="9"/>
  <c r="Q1039" i="9"/>
  <c r="P1039" i="9"/>
  <c r="O1039" i="9"/>
  <c r="N1039" i="9"/>
  <c r="M1039" i="9"/>
  <c r="L1039" i="9"/>
  <c r="K1039" i="9"/>
  <c r="J1039" i="9"/>
  <c r="I1039" i="9"/>
  <c r="H1039" i="9"/>
  <c r="G1039" i="9"/>
  <c r="F1039" i="9"/>
  <c r="Q1038" i="9"/>
  <c r="P1038" i="9"/>
  <c r="O1038" i="9"/>
  <c r="N1038" i="9"/>
  <c r="M1038" i="9"/>
  <c r="L1038" i="9"/>
  <c r="K1038" i="9"/>
  <c r="J1038" i="9"/>
  <c r="I1038" i="9"/>
  <c r="H1038" i="9"/>
  <c r="G1038" i="9"/>
  <c r="F1038" i="9"/>
  <c r="Q1037" i="9"/>
  <c r="P1037" i="9"/>
  <c r="O1037" i="9"/>
  <c r="N1037" i="9"/>
  <c r="M1037" i="9"/>
  <c r="L1037" i="9"/>
  <c r="K1037" i="9"/>
  <c r="J1037" i="9"/>
  <c r="I1037" i="9"/>
  <c r="H1037" i="9"/>
  <c r="G1037" i="9"/>
  <c r="F1037" i="9"/>
  <c r="Q1034" i="9"/>
  <c r="P1034" i="9"/>
  <c r="O1034" i="9"/>
  <c r="N1034" i="9"/>
  <c r="M1034" i="9"/>
  <c r="L1034" i="9"/>
  <c r="K1034" i="9"/>
  <c r="J1034" i="9"/>
  <c r="I1034" i="9"/>
  <c r="H1034" i="9"/>
  <c r="G1034" i="9"/>
  <c r="F1034" i="9"/>
  <c r="Q1033" i="9"/>
  <c r="P1033" i="9"/>
  <c r="O1033" i="9"/>
  <c r="N1033" i="9"/>
  <c r="M1033" i="9"/>
  <c r="L1033" i="9"/>
  <c r="K1033" i="9"/>
  <c r="J1033" i="9"/>
  <c r="I1033" i="9"/>
  <c r="H1033" i="9"/>
  <c r="G1033" i="9"/>
  <c r="F1033" i="9"/>
  <c r="Q1032" i="9"/>
  <c r="P1032" i="9"/>
  <c r="O1032" i="9"/>
  <c r="N1032" i="9"/>
  <c r="M1032" i="9"/>
  <c r="L1032" i="9"/>
  <c r="K1032" i="9"/>
  <c r="J1032" i="9"/>
  <c r="I1032" i="9"/>
  <c r="H1032" i="9"/>
  <c r="G1032" i="9"/>
  <c r="F1032" i="9"/>
  <c r="Q1031" i="9"/>
  <c r="P1031" i="9"/>
  <c r="O1031" i="9"/>
  <c r="N1031" i="9"/>
  <c r="M1031" i="9"/>
  <c r="L1031" i="9"/>
  <c r="K1031" i="9"/>
  <c r="J1031" i="9"/>
  <c r="I1031" i="9"/>
  <c r="H1031" i="9"/>
  <c r="G1031" i="9"/>
  <c r="F1031" i="9"/>
  <c r="Q1030" i="9"/>
  <c r="P1030" i="9"/>
  <c r="O1030" i="9"/>
  <c r="N1030" i="9"/>
  <c r="M1030" i="9"/>
  <c r="L1030" i="9"/>
  <c r="K1030" i="9"/>
  <c r="J1030" i="9"/>
  <c r="I1030" i="9"/>
  <c r="H1030" i="9"/>
  <c r="G1030" i="9"/>
  <c r="F1030" i="9"/>
  <c r="Q1027" i="9"/>
  <c r="P1027" i="9"/>
  <c r="O1027" i="9"/>
  <c r="N1027" i="9"/>
  <c r="M1027" i="9"/>
  <c r="L1027" i="9"/>
  <c r="K1027" i="9"/>
  <c r="J1027" i="9"/>
  <c r="I1027" i="9"/>
  <c r="H1027" i="9"/>
  <c r="G1027" i="9"/>
  <c r="F1027" i="9"/>
  <c r="Q1026" i="9"/>
  <c r="P1026" i="9"/>
  <c r="O1026" i="9"/>
  <c r="N1026" i="9"/>
  <c r="M1026" i="9"/>
  <c r="L1026" i="9"/>
  <c r="K1026" i="9"/>
  <c r="J1026" i="9"/>
  <c r="I1026" i="9"/>
  <c r="H1026" i="9"/>
  <c r="G1026" i="9"/>
  <c r="F1026" i="9"/>
  <c r="Q1025" i="9"/>
  <c r="P1025" i="9"/>
  <c r="O1025" i="9"/>
  <c r="N1025" i="9"/>
  <c r="M1025" i="9"/>
  <c r="L1025" i="9"/>
  <c r="K1025" i="9"/>
  <c r="J1025" i="9"/>
  <c r="I1025" i="9"/>
  <c r="H1025" i="9"/>
  <c r="G1025" i="9"/>
  <c r="F1025" i="9"/>
  <c r="Q1024" i="9"/>
  <c r="P1024" i="9"/>
  <c r="O1024" i="9"/>
  <c r="N1024" i="9"/>
  <c r="M1024" i="9"/>
  <c r="L1024" i="9"/>
  <c r="K1024" i="9"/>
  <c r="J1024" i="9"/>
  <c r="I1024" i="9"/>
  <c r="H1024" i="9"/>
  <c r="G1024" i="9"/>
  <c r="F1024" i="9"/>
  <c r="Q1023" i="9"/>
  <c r="P1023" i="9"/>
  <c r="O1023" i="9"/>
  <c r="N1023" i="9"/>
  <c r="M1023" i="9"/>
  <c r="L1023" i="9"/>
  <c r="K1023" i="9"/>
  <c r="J1023" i="9"/>
  <c r="I1023" i="9"/>
  <c r="H1023" i="9"/>
  <c r="G1023" i="9"/>
  <c r="F1023" i="9"/>
  <c r="B1022" i="9"/>
  <c r="A1022" i="9"/>
  <c r="B1021" i="9"/>
  <c r="A1021" i="9"/>
  <c r="B1020" i="9"/>
  <c r="A1020" i="9"/>
  <c r="B1019" i="9"/>
  <c r="A1019" i="9"/>
  <c r="B1018" i="9"/>
  <c r="A1018" i="9"/>
  <c r="B1017" i="9"/>
  <c r="A1017" i="9"/>
  <c r="B1016" i="9"/>
  <c r="A1016" i="9"/>
  <c r="B1015" i="9"/>
  <c r="A1015" i="9"/>
  <c r="B1014" i="9"/>
  <c r="A1014" i="9"/>
  <c r="B1013" i="9"/>
  <c r="A1013" i="9"/>
  <c r="B1012" i="9"/>
  <c r="A1012" i="9"/>
  <c r="B1011" i="9"/>
  <c r="A1011" i="9"/>
  <c r="B1010" i="9"/>
  <c r="A1010" i="9"/>
  <c r="B1009" i="9"/>
  <c r="A1009" i="9"/>
  <c r="B1008" i="9"/>
  <c r="A1008" i="9"/>
  <c r="B1007" i="9"/>
  <c r="A1007" i="9"/>
  <c r="B1006" i="9"/>
  <c r="A1006" i="9"/>
  <c r="B1005" i="9"/>
  <c r="A1005" i="9"/>
  <c r="B1004" i="9"/>
  <c r="A1004" i="9"/>
  <c r="B1003" i="9"/>
  <c r="A1003" i="9"/>
  <c r="Q1021" i="9"/>
  <c r="P1021" i="9"/>
  <c r="O1021" i="9"/>
  <c r="N1021" i="9"/>
  <c r="M1021" i="9"/>
  <c r="L1021" i="9"/>
  <c r="K1021" i="9"/>
  <c r="J1021" i="9"/>
  <c r="I1021" i="9"/>
  <c r="H1021" i="9"/>
  <c r="G1021" i="9"/>
  <c r="F1021" i="9"/>
  <c r="Q1020" i="9"/>
  <c r="P1020" i="9"/>
  <c r="O1020" i="9"/>
  <c r="N1020" i="9"/>
  <c r="M1020" i="9"/>
  <c r="L1020" i="9"/>
  <c r="K1020" i="9"/>
  <c r="J1020" i="9"/>
  <c r="I1020" i="9"/>
  <c r="H1020" i="9"/>
  <c r="G1020" i="9"/>
  <c r="F1020" i="9"/>
  <c r="Q1019" i="9"/>
  <c r="P1019" i="9"/>
  <c r="O1019" i="9"/>
  <c r="N1019" i="9"/>
  <c r="M1019" i="9"/>
  <c r="L1019" i="9"/>
  <c r="K1019" i="9"/>
  <c r="J1019" i="9"/>
  <c r="I1019" i="9"/>
  <c r="H1019" i="9"/>
  <c r="G1019" i="9"/>
  <c r="F1019" i="9"/>
  <c r="Q1018" i="9"/>
  <c r="P1018" i="9"/>
  <c r="O1018" i="9"/>
  <c r="N1018" i="9"/>
  <c r="M1018" i="9"/>
  <c r="L1018" i="9"/>
  <c r="K1018" i="9"/>
  <c r="J1018" i="9"/>
  <c r="I1018" i="9"/>
  <c r="H1018" i="9"/>
  <c r="G1018" i="9"/>
  <c r="F1018" i="9"/>
  <c r="Q1017" i="9"/>
  <c r="P1017" i="9"/>
  <c r="O1017" i="9"/>
  <c r="N1017" i="9"/>
  <c r="M1017" i="9"/>
  <c r="L1017" i="9"/>
  <c r="K1017" i="9"/>
  <c r="J1017" i="9"/>
  <c r="I1017" i="9"/>
  <c r="H1017" i="9"/>
  <c r="G1017" i="9"/>
  <c r="F1017" i="9"/>
  <c r="Q1014" i="9"/>
  <c r="P1014" i="9"/>
  <c r="O1014" i="9"/>
  <c r="N1014" i="9"/>
  <c r="M1014" i="9"/>
  <c r="L1014" i="9"/>
  <c r="K1014" i="9"/>
  <c r="J1014" i="9"/>
  <c r="I1014" i="9"/>
  <c r="H1014" i="9"/>
  <c r="G1014" i="9"/>
  <c r="F1014" i="9"/>
  <c r="Q1013" i="9"/>
  <c r="P1013" i="9"/>
  <c r="O1013" i="9"/>
  <c r="N1013" i="9"/>
  <c r="M1013" i="9"/>
  <c r="L1013" i="9"/>
  <c r="K1013" i="9"/>
  <c r="J1013" i="9"/>
  <c r="I1013" i="9"/>
  <c r="H1013" i="9"/>
  <c r="G1013" i="9"/>
  <c r="F1013" i="9"/>
  <c r="Q1012" i="9"/>
  <c r="P1012" i="9"/>
  <c r="O1012" i="9"/>
  <c r="N1012" i="9"/>
  <c r="M1012" i="9"/>
  <c r="L1012" i="9"/>
  <c r="K1012" i="9"/>
  <c r="J1012" i="9"/>
  <c r="I1012" i="9"/>
  <c r="H1012" i="9"/>
  <c r="G1012" i="9"/>
  <c r="F1012" i="9"/>
  <c r="Q1011" i="9"/>
  <c r="P1011" i="9"/>
  <c r="O1011" i="9"/>
  <c r="N1011" i="9"/>
  <c r="M1011" i="9"/>
  <c r="L1011" i="9"/>
  <c r="K1011" i="9"/>
  <c r="J1011" i="9"/>
  <c r="I1011" i="9"/>
  <c r="H1011" i="9"/>
  <c r="G1011" i="9"/>
  <c r="F1011" i="9"/>
  <c r="Q1010" i="9"/>
  <c r="P1010" i="9"/>
  <c r="O1010" i="9"/>
  <c r="N1010" i="9"/>
  <c r="M1010" i="9"/>
  <c r="L1010" i="9"/>
  <c r="K1010" i="9"/>
  <c r="J1010" i="9"/>
  <c r="I1010" i="9"/>
  <c r="H1010" i="9"/>
  <c r="G1010" i="9"/>
  <c r="F1010" i="9"/>
  <c r="Q1007" i="9"/>
  <c r="P1007" i="9"/>
  <c r="O1007" i="9"/>
  <c r="N1007" i="9"/>
  <c r="M1007" i="9"/>
  <c r="L1007" i="9"/>
  <c r="K1007" i="9"/>
  <c r="J1007" i="9"/>
  <c r="I1007" i="9"/>
  <c r="H1007" i="9"/>
  <c r="G1007" i="9"/>
  <c r="F1007" i="9"/>
  <c r="Q1006" i="9"/>
  <c r="P1006" i="9"/>
  <c r="O1006" i="9"/>
  <c r="N1006" i="9"/>
  <c r="M1006" i="9"/>
  <c r="L1006" i="9"/>
  <c r="K1006" i="9"/>
  <c r="J1006" i="9"/>
  <c r="I1006" i="9"/>
  <c r="H1006" i="9"/>
  <c r="G1006" i="9"/>
  <c r="F1006" i="9"/>
  <c r="Q1005" i="9"/>
  <c r="P1005" i="9"/>
  <c r="O1005" i="9"/>
  <c r="N1005" i="9"/>
  <c r="M1005" i="9"/>
  <c r="L1005" i="9"/>
  <c r="K1005" i="9"/>
  <c r="J1005" i="9"/>
  <c r="I1005" i="9"/>
  <c r="H1005" i="9"/>
  <c r="G1005" i="9"/>
  <c r="F1005" i="9"/>
  <c r="Q1004" i="9"/>
  <c r="P1004" i="9"/>
  <c r="O1004" i="9"/>
  <c r="N1004" i="9"/>
  <c r="M1004" i="9"/>
  <c r="L1004" i="9"/>
  <c r="K1004" i="9"/>
  <c r="J1004" i="9"/>
  <c r="I1004" i="9"/>
  <c r="H1004" i="9"/>
  <c r="G1004" i="9"/>
  <c r="F1004" i="9"/>
  <c r="Q1003" i="9"/>
  <c r="P1003" i="9"/>
  <c r="O1003" i="9"/>
  <c r="N1003" i="9"/>
  <c r="M1003" i="9"/>
  <c r="L1003" i="9"/>
  <c r="K1003" i="9"/>
  <c r="J1003" i="9"/>
  <c r="I1003" i="9"/>
  <c r="H1003" i="9"/>
  <c r="G1003" i="9"/>
  <c r="F1003" i="9"/>
  <c r="B1002" i="9"/>
  <c r="A1002" i="9"/>
  <c r="B1001" i="9"/>
  <c r="A1001" i="9"/>
  <c r="B1000" i="9"/>
  <c r="A1000" i="9"/>
  <c r="B999" i="9"/>
  <c r="A999" i="9"/>
  <c r="B998" i="9"/>
  <c r="A998" i="9"/>
  <c r="B997" i="9"/>
  <c r="A997" i="9"/>
  <c r="B996" i="9"/>
  <c r="A996" i="9"/>
  <c r="B995" i="9"/>
  <c r="A995" i="9"/>
  <c r="B994" i="9"/>
  <c r="A994" i="9"/>
  <c r="B993" i="9"/>
  <c r="A993" i="9"/>
  <c r="B992" i="9"/>
  <c r="A992" i="9"/>
  <c r="B991" i="9"/>
  <c r="A991" i="9"/>
  <c r="B990" i="9"/>
  <c r="A990" i="9"/>
  <c r="B989" i="9"/>
  <c r="A989" i="9"/>
  <c r="B988" i="9"/>
  <c r="A988" i="9"/>
  <c r="B987" i="9"/>
  <c r="A987" i="9"/>
  <c r="B986" i="9"/>
  <c r="A986" i="9"/>
  <c r="B985" i="9"/>
  <c r="A985" i="9"/>
  <c r="B984" i="9"/>
  <c r="A984" i="9"/>
  <c r="B983" i="9"/>
  <c r="A983" i="9"/>
  <c r="Q1001" i="9"/>
  <c r="P1001" i="9"/>
  <c r="O1001" i="9"/>
  <c r="N1001" i="9"/>
  <c r="M1001" i="9"/>
  <c r="L1001" i="9"/>
  <c r="K1001" i="9"/>
  <c r="J1001" i="9"/>
  <c r="I1001" i="9"/>
  <c r="H1001" i="9"/>
  <c r="G1001" i="9"/>
  <c r="F1001" i="9"/>
  <c r="Q1000" i="9"/>
  <c r="P1000" i="9"/>
  <c r="O1000" i="9"/>
  <c r="N1000" i="9"/>
  <c r="M1000" i="9"/>
  <c r="L1000" i="9"/>
  <c r="K1000" i="9"/>
  <c r="J1000" i="9"/>
  <c r="I1000" i="9"/>
  <c r="H1000" i="9"/>
  <c r="G1000" i="9"/>
  <c r="F1000" i="9"/>
  <c r="Q999" i="9"/>
  <c r="P999" i="9"/>
  <c r="O999" i="9"/>
  <c r="N999" i="9"/>
  <c r="M999" i="9"/>
  <c r="L999" i="9"/>
  <c r="K999" i="9"/>
  <c r="J999" i="9"/>
  <c r="I999" i="9"/>
  <c r="H999" i="9"/>
  <c r="G999" i="9"/>
  <c r="F999" i="9"/>
  <c r="Q998" i="9"/>
  <c r="P998" i="9"/>
  <c r="O998" i="9"/>
  <c r="N998" i="9"/>
  <c r="M998" i="9"/>
  <c r="L998" i="9"/>
  <c r="K998" i="9"/>
  <c r="J998" i="9"/>
  <c r="I998" i="9"/>
  <c r="H998" i="9"/>
  <c r="G998" i="9"/>
  <c r="F998" i="9"/>
  <c r="Q997" i="9"/>
  <c r="P997" i="9"/>
  <c r="O997" i="9"/>
  <c r="N997" i="9"/>
  <c r="M997" i="9"/>
  <c r="L997" i="9"/>
  <c r="K997" i="9"/>
  <c r="J997" i="9"/>
  <c r="I997" i="9"/>
  <c r="H997" i="9"/>
  <c r="G997" i="9"/>
  <c r="F997" i="9"/>
  <c r="Q994" i="9"/>
  <c r="P994" i="9"/>
  <c r="O994" i="9"/>
  <c r="N994" i="9"/>
  <c r="M994" i="9"/>
  <c r="L994" i="9"/>
  <c r="K994" i="9"/>
  <c r="J994" i="9"/>
  <c r="I994" i="9"/>
  <c r="H994" i="9"/>
  <c r="G994" i="9"/>
  <c r="F994" i="9"/>
  <c r="Q993" i="9"/>
  <c r="P993" i="9"/>
  <c r="O993" i="9"/>
  <c r="N993" i="9"/>
  <c r="M993" i="9"/>
  <c r="L993" i="9"/>
  <c r="K993" i="9"/>
  <c r="J993" i="9"/>
  <c r="I993" i="9"/>
  <c r="H993" i="9"/>
  <c r="G993" i="9"/>
  <c r="F993" i="9"/>
  <c r="Q992" i="9"/>
  <c r="P992" i="9"/>
  <c r="O992" i="9"/>
  <c r="N992" i="9"/>
  <c r="M992" i="9"/>
  <c r="L992" i="9"/>
  <c r="K992" i="9"/>
  <c r="J992" i="9"/>
  <c r="I992" i="9"/>
  <c r="H992" i="9"/>
  <c r="G992" i="9"/>
  <c r="F992" i="9"/>
  <c r="Q991" i="9"/>
  <c r="P991" i="9"/>
  <c r="O991" i="9"/>
  <c r="N991" i="9"/>
  <c r="M991" i="9"/>
  <c r="L991" i="9"/>
  <c r="K991" i="9"/>
  <c r="J991" i="9"/>
  <c r="I991" i="9"/>
  <c r="H991" i="9"/>
  <c r="G991" i="9"/>
  <c r="F991" i="9"/>
  <c r="Q990" i="9"/>
  <c r="P990" i="9"/>
  <c r="O990" i="9"/>
  <c r="N990" i="9"/>
  <c r="M990" i="9"/>
  <c r="L990" i="9"/>
  <c r="K990" i="9"/>
  <c r="J990" i="9"/>
  <c r="I990" i="9"/>
  <c r="H990" i="9"/>
  <c r="G990" i="9"/>
  <c r="F990" i="9"/>
  <c r="Q987" i="9"/>
  <c r="P987" i="9"/>
  <c r="O987" i="9"/>
  <c r="N987" i="9"/>
  <c r="M987" i="9"/>
  <c r="L987" i="9"/>
  <c r="K987" i="9"/>
  <c r="J987" i="9"/>
  <c r="I987" i="9"/>
  <c r="H987" i="9"/>
  <c r="G987" i="9"/>
  <c r="F987" i="9"/>
  <c r="Q986" i="9"/>
  <c r="P986" i="9"/>
  <c r="O986" i="9"/>
  <c r="N986" i="9"/>
  <c r="M986" i="9"/>
  <c r="L986" i="9"/>
  <c r="K986" i="9"/>
  <c r="J986" i="9"/>
  <c r="I986" i="9"/>
  <c r="H986" i="9"/>
  <c r="G986" i="9"/>
  <c r="F986" i="9"/>
  <c r="Q985" i="9"/>
  <c r="P985" i="9"/>
  <c r="O985" i="9"/>
  <c r="N985" i="9"/>
  <c r="M985" i="9"/>
  <c r="L985" i="9"/>
  <c r="K985" i="9"/>
  <c r="J985" i="9"/>
  <c r="I985" i="9"/>
  <c r="H985" i="9"/>
  <c r="G985" i="9"/>
  <c r="F985" i="9"/>
  <c r="Q984" i="9"/>
  <c r="P984" i="9"/>
  <c r="O984" i="9"/>
  <c r="N984" i="9"/>
  <c r="M984" i="9"/>
  <c r="L984" i="9"/>
  <c r="K984" i="9"/>
  <c r="J984" i="9"/>
  <c r="I984" i="9"/>
  <c r="H984" i="9"/>
  <c r="G984" i="9"/>
  <c r="F984" i="9"/>
  <c r="Q983" i="9"/>
  <c r="P983" i="9"/>
  <c r="O983" i="9"/>
  <c r="N983" i="9"/>
  <c r="M983" i="9"/>
  <c r="L983" i="9"/>
  <c r="K983" i="9"/>
  <c r="J983" i="9"/>
  <c r="I983" i="9"/>
  <c r="H983" i="9"/>
  <c r="G983" i="9"/>
  <c r="F983" i="9"/>
  <c r="B982" i="9"/>
  <c r="A982" i="9"/>
  <c r="B981" i="9"/>
  <c r="A981" i="9"/>
  <c r="B980" i="9"/>
  <c r="A980" i="9"/>
  <c r="B979" i="9"/>
  <c r="A979" i="9"/>
  <c r="B978" i="9"/>
  <c r="A978" i="9"/>
  <c r="B977" i="9"/>
  <c r="A977" i="9"/>
  <c r="B976" i="9"/>
  <c r="A976" i="9"/>
  <c r="B975" i="9"/>
  <c r="A975" i="9"/>
  <c r="B974" i="9"/>
  <c r="A974" i="9"/>
  <c r="B973" i="9"/>
  <c r="A973" i="9"/>
  <c r="B972" i="9"/>
  <c r="A972" i="9"/>
  <c r="B971" i="9"/>
  <c r="A971" i="9"/>
  <c r="B970" i="9"/>
  <c r="A970" i="9"/>
  <c r="B969" i="9"/>
  <c r="A969" i="9"/>
  <c r="B968" i="9"/>
  <c r="A968" i="9"/>
  <c r="B967" i="9"/>
  <c r="A967" i="9"/>
  <c r="B966" i="9"/>
  <c r="A966" i="9"/>
  <c r="B965" i="9"/>
  <c r="A965" i="9"/>
  <c r="B964" i="9"/>
  <c r="A964" i="9"/>
  <c r="B963" i="9"/>
  <c r="A963" i="9"/>
  <c r="Q981" i="9"/>
  <c r="P981" i="9"/>
  <c r="O981" i="9"/>
  <c r="N981" i="9"/>
  <c r="M981" i="9"/>
  <c r="L981" i="9"/>
  <c r="K981" i="9"/>
  <c r="J981" i="9"/>
  <c r="I981" i="9"/>
  <c r="H981" i="9"/>
  <c r="G981" i="9"/>
  <c r="F981" i="9"/>
  <c r="Q980" i="9"/>
  <c r="P980" i="9"/>
  <c r="O980" i="9"/>
  <c r="N980" i="9"/>
  <c r="M980" i="9"/>
  <c r="L980" i="9"/>
  <c r="K980" i="9"/>
  <c r="J980" i="9"/>
  <c r="I980" i="9"/>
  <c r="H980" i="9"/>
  <c r="G980" i="9"/>
  <c r="F980" i="9"/>
  <c r="Q979" i="9"/>
  <c r="P979" i="9"/>
  <c r="O979" i="9"/>
  <c r="N979" i="9"/>
  <c r="M979" i="9"/>
  <c r="L979" i="9"/>
  <c r="K979" i="9"/>
  <c r="J979" i="9"/>
  <c r="I979" i="9"/>
  <c r="H979" i="9"/>
  <c r="G979" i="9"/>
  <c r="F979" i="9"/>
  <c r="Q978" i="9"/>
  <c r="P978" i="9"/>
  <c r="O978" i="9"/>
  <c r="N978" i="9"/>
  <c r="M978" i="9"/>
  <c r="L978" i="9"/>
  <c r="K978" i="9"/>
  <c r="J978" i="9"/>
  <c r="I978" i="9"/>
  <c r="H978" i="9"/>
  <c r="G978" i="9"/>
  <c r="F978" i="9"/>
  <c r="Q977" i="9"/>
  <c r="P977" i="9"/>
  <c r="O977" i="9"/>
  <c r="N977" i="9"/>
  <c r="M977" i="9"/>
  <c r="L977" i="9"/>
  <c r="K977" i="9"/>
  <c r="J977" i="9"/>
  <c r="I977" i="9"/>
  <c r="H977" i="9"/>
  <c r="G977" i="9"/>
  <c r="F977" i="9"/>
  <c r="Q974" i="9"/>
  <c r="P974" i="9"/>
  <c r="O974" i="9"/>
  <c r="N974" i="9"/>
  <c r="M974" i="9"/>
  <c r="L974" i="9"/>
  <c r="K974" i="9"/>
  <c r="J974" i="9"/>
  <c r="I974" i="9"/>
  <c r="H974" i="9"/>
  <c r="G974" i="9"/>
  <c r="F974" i="9"/>
  <c r="Q973" i="9"/>
  <c r="P973" i="9"/>
  <c r="O973" i="9"/>
  <c r="N973" i="9"/>
  <c r="M973" i="9"/>
  <c r="L973" i="9"/>
  <c r="K973" i="9"/>
  <c r="J973" i="9"/>
  <c r="I973" i="9"/>
  <c r="H973" i="9"/>
  <c r="G973" i="9"/>
  <c r="F973" i="9"/>
  <c r="Q972" i="9"/>
  <c r="P972" i="9"/>
  <c r="O972" i="9"/>
  <c r="N972" i="9"/>
  <c r="M972" i="9"/>
  <c r="L972" i="9"/>
  <c r="K972" i="9"/>
  <c r="J972" i="9"/>
  <c r="I972" i="9"/>
  <c r="H972" i="9"/>
  <c r="G972" i="9"/>
  <c r="F972" i="9"/>
  <c r="Q971" i="9"/>
  <c r="P971" i="9"/>
  <c r="O971" i="9"/>
  <c r="N971" i="9"/>
  <c r="M971" i="9"/>
  <c r="L971" i="9"/>
  <c r="K971" i="9"/>
  <c r="J971" i="9"/>
  <c r="I971" i="9"/>
  <c r="H971" i="9"/>
  <c r="G971" i="9"/>
  <c r="F971" i="9"/>
  <c r="Q970" i="9"/>
  <c r="P970" i="9"/>
  <c r="O970" i="9"/>
  <c r="N970" i="9"/>
  <c r="M970" i="9"/>
  <c r="L970" i="9"/>
  <c r="K970" i="9"/>
  <c r="J970" i="9"/>
  <c r="I970" i="9"/>
  <c r="H970" i="9"/>
  <c r="G970" i="9"/>
  <c r="F970" i="9"/>
  <c r="Q967" i="9"/>
  <c r="P967" i="9"/>
  <c r="O967" i="9"/>
  <c r="N967" i="9"/>
  <c r="M967" i="9"/>
  <c r="L967" i="9"/>
  <c r="K967" i="9"/>
  <c r="J967" i="9"/>
  <c r="I967" i="9"/>
  <c r="H967" i="9"/>
  <c r="G967" i="9"/>
  <c r="F967" i="9"/>
  <c r="Q966" i="9"/>
  <c r="P966" i="9"/>
  <c r="O966" i="9"/>
  <c r="N966" i="9"/>
  <c r="M966" i="9"/>
  <c r="L966" i="9"/>
  <c r="K966" i="9"/>
  <c r="J966" i="9"/>
  <c r="I966" i="9"/>
  <c r="H966" i="9"/>
  <c r="G966" i="9"/>
  <c r="F966" i="9"/>
  <c r="Q965" i="9"/>
  <c r="P965" i="9"/>
  <c r="O965" i="9"/>
  <c r="N965" i="9"/>
  <c r="M965" i="9"/>
  <c r="L965" i="9"/>
  <c r="K965" i="9"/>
  <c r="J965" i="9"/>
  <c r="I965" i="9"/>
  <c r="H965" i="9"/>
  <c r="G965" i="9"/>
  <c r="F965" i="9"/>
  <c r="Q964" i="9"/>
  <c r="P964" i="9"/>
  <c r="O964" i="9"/>
  <c r="N964" i="9"/>
  <c r="M964" i="9"/>
  <c r="L964" i="9"/>
  <c r="K964" i="9"/>
  <c r="J964" i="9"/>
  <c r="I964" i="9"/>
  <c r="H964" i="9"/>
  <c r="G964" i="9"/>
  <c r="F964" i="9"/>
  <c r="Q963" i="9"/>
  <c r="P963" i="9"/>
  <c r="O963" i="9"/>
  <c r="N963" i="9"/>
  <c r="M963" i="9"/>
  <c r="L963" i="9"/>
  <c r="K963" i="9"/>
  <c r="J963" i="9"/>
  <c r="I963" i="9"/>
  <c r="H963" i="9"/>
  <c r="G963" i="9"/>
  <c r="F963" i="9"/>
  <c r="B962" i="9"/>
  <c r="A962" i="9"/>
  <c r="B961" i="9"/>
  <c r="A961" i="9"/>
  <c r="B960" i="9"/>
  <c r="A960" i="9"/>
  <c r="B959" i="9"/>
  <c r="A959" i="9"/>
  <c r="B958" i="9"/>
  <c r="A958" i="9"/>
  <c r="B957" i="9"/>
  <c r="A957" i="9"/>
  <c r="B956" i="9"/>
  <c r="A956" i="9"/>
  <c r="B955" i="9"/>
  <c r="A955" i="9"/>
  <c r="B954" i="9"/>
  <c r="A954" i="9"/>
  <c r="B953" i="9"/>
  <c r="A953" i="9"/>
  <c r="B952" i="9"/>
  <c r="A952" i="9"/>
  <c r="B951" i="9"/>
  <c r="A951" i="9"/>
  <c r="B950" i="9"/>
  <c r="A950" i="9"/>
  <c r="B949" i="9"/>
  <c r="A949" i="9"/>
  <c r="B948" i="9"/>
  <c r="A948" i="9"/>
  <c r="B947" i="9"/>
  <c r="A947" i="9"/>
  <c r="B946" i="9"/>
  <c r="A946" i="9"/>
  <c r="B945" i="9"/>
  <c r="A945" i="9"/>
  <c r="B944" i="9"/>
  <c r="A944" i="9"/>
  <c r="B943" i="9"/>
  <c r="A943" i="9"/>
  <c r="Q961" i="9"/>
  <c r="P961" i="9"/>
  <c r="O961" i="9"/>
  <c r="N961" i="9"/>
  <c r="M961" i="9"/>
  <c r="L961" i="9"/>
  <c r="K961" i="9"/>
  <c r="J961" i="9"/>
  <c r="I961" i="9"/>
  <c r="H961" i="9"/>
  <c r="G961" i="9"/>
  <c r="F961" i="9"/>
  <c r="Q960" i="9"/>
  <c r="P960" i="9"/>
  <c r="O960" i="9"/>
  <c r="N960" i="9"/>
  <c r="M960" i="9"/>
  <c r="L960" i="9"/>
  <c r="K960" i="9"/>
  <c r="J960" i="9"/>
  <c r="I960" i="9"/>
  <c r="H960" i="9"/>
  <c r="G960" i="9"/>
  <c r="F960" i="9"/>
  <c r="Q959" i="9"/>
  <c r="P959" i="9"/>
  <c r="O959" i="9"/>
  <c r="N959" i="9"/>
  <c r="M959" i="9"/>
  <c r="L959" i="9"/>
  <c r="K959" i="9"/>
  <c r="J959" i="9"/>
  <c r="I959" i="9"/>
  <c r="H959" i="9"/>
  <c r="G959" i="9"/>
  <c r="F959" i="9"/>
  <c r="Q958" i="9"/>
  <c r="P958" i="9"/>
  <c r="O958" i="9"/>
  <c r="N958" i="9"/>
  <c r="M958" i="9"/>
  <c r="L958" i="9"/>
  <c r="K958" i="9"/>
  <c r="J958" i="9"/>
  <c r="I958" i="9"/>
  <c r="H958" i="9"/>
  <c r="G958" i="9"/>
  <c r="F958" i="9"/>
  <c r="Q957" i="9"/>
  <c r="P957" i="9"/>
  <c r="O957" i="9"/>
  <c r="N957" i="9"/>
  <c r="M957" i="9"/>
  <c r="L957" i="9"/>
  <c r="K957" i="9"/>
  <c r="J957" i="9"/>
  <c r="I957" i="9"/>
  <c r="H957" i="9"/>
  <c r="G957" i="9"/>
  <c r="F957" i="9"/>
  <c r="Q954" i="9"/>
  <c r="P954" i="9"/>
  <c r="O954" i="9"/>
  <c r="N954" i="9"/>
  <c r="M954" i="9"/>
  <c r="L954" i="9"/>
  <c r="K954" i="9"/>
  <c r="J954" i="9"/>
  <c r="I954" i="9"/>
  <c r="H954" i="9"/>
  <c r="G954" i="9"/>
  <c r="F954" i="9"/>
  <c r="Q953" i="9"/>
  <c r="P953" i="9"/>
  <c r="O953" i="9"/>
  <c r="N953" i="9"/>
  <c r="M953" i="9"/>
  <c r="L953" i="9"/>
  <c r="K953" i="9"/>
  <c r="J953" i="9"/>
  <c r="I953" i="9"/>
  <c r="H953" i="9"/>
  <c r="G953" i="9"/>
  <c r="F953" i="9"/>
  <c r="Q952" i="9"/>
  <c r="P952" i="9"/>
  <c r="O952" i="9"/>
  <c r="N952" i="9"/>
  <c r="M952" i="9"/>
  <c r="L952" i="9"/>
  <c r="K952" i="9"/>
  <c r="J952" i="9"/>
  <c r="I952" i="9"/>
  <c r="H952" i="9"/>
  <c r="G952" i="9"/>
  <c r="F952" i="9"/>
  <c r="Q951" i="9"/>
  <c r="P951" i="9"/>
  <c r="O951" i="9"/>
  <c r="N951" i="9"/>
  <c r="M951" i="9"/>
  <c r="L951" i="9"/>
  <c r="K951" i="9"/>
  <c r="J951" i="9"/>
  <c r="I951" i="9"/>
  <c r="H951" i="9"/>
  <c r="G951" i="9"/>
  <c r="F951" i="9"/>
  <c r="Q950" i="9"/>
  <c r="P950" i="9"/>
  <c r="O950" i="9"/>
  <c r="N950" i="9"/>
  <c r="M950" i="9"/>
  <c r="L950" i="9"/>
  <c r="K950" i="9"/>
  <c r="J950" i="9"/>
  <c r="I950" i="9"/>
  <c r="H950" i="9"/>
  <c r="G950" i="9"/>
  <c r="F950" i="9"/>
  <c r="Q947" i="9"/>
  <c r="P947" i="9"/>
  <c r="O947" i="9"/>
  <c r="N947" i="9"/>
  <c r="M947" i="9"/>
  <c r="L947" i="9"/>
  <c r="K947" i="9"/>
  <c r="J947" i="9"/>
  <c r="I947" i="9"/>
  <c r="H947" i="9"/>
  <c r="G947" i="9"/>
  <c r="F947" i="9"/>
  <c r="Q946" i="9"/>
  <c r="P946" i="9"/>
  <c r="O946" i="9"/>
  <c r="N946" i="9"/>
  <c r="M946" i="9"/>
  <c r="L946" i="9"/>
  <c r="K946" i="9"/>
  <c r="J946" i="9"/>
  <c r="I946" i="9"/>
  <c r="H946" i="9"/>
  <c r="G946" i="9"/>
  <c r="F946" i="9"/>
  <c r="Q945" i="9"/>
  <c r="P945" i="9"/>
  <c r="O945" i="9"/>
  <c r="N945" i="9"/>
  <c r="M945" i="9"/>
  <c r="L945" i="9"/>
  <c r="K945" i="9"/>
  <c r="J945" i="9"/>
  <c r="I945" i="9"/>
  <c r="H945" i="9"/>
  <c r="G945" i="9"/>
  <c r="F945" i="9"/>
  <c r="Q944" i="9"/>
  <c r="P944" i="9"/>
  <c r="O944" i="9"/>
  <c r="N944" i="9"/>
  <c r="M944" i="9"/>
  <c r="L944" i="9"/>
  <c r="K944" i="9"/>
  <c r="J944" i="9"/>
  <c r="I944" i="9"/>
  <c r="H944" i="9"/>
  <c r="G944" i="9"/>
  <c r="F944" i="9"/>
  <c r="Q943" i="9"/>
  <c r="P943" i="9"/>
  <c r="O943" i="9"/>
  <c r="N943" i="9"/>
  <c r="M943" i="9"/>
  <c r="L943" i="9"/>
  <c r="K943" i="9"/>
  <c r="J943" i="9"/>
  <c r="I943" i="9"/>
  <c r="H943" i="9"/>
  <c r="G943" i="9"/>
  <c r="F943" i="9"/>
  <c r="B942" i="9"/>
  <c r="A942" i="9"/>
  <c r="B941" i="9"/>
  <c r="A941" i="9"/>
  <c r="B940" i="9"/>
  <c r="A940" i="9"/>
  <c r="B939" i="9"/>
  <c r="A939" i="9"/>
  <c r="B938" i="9"/>
  <c r="A938" i="9"/>
  <c r="B937" i="9"/>
  <c r="A937" i="9"/>
  <c r="B936" i="9"/>
  <c r="A936" i="9"/>
  <c r="B935" i="9"/>
  <c r="A935" i="9"/>
  <c r="B934" i="9"/>
  <c r="A934" i="9"/>
  <c r="B933" i="9"/>
  <c r="A933" i="9"/>
  <c r="B932" i="9"/>
  <c r="A932" i="9"/>
  <c r="B931" i="9"/>
  <c r="A931" i="9"/>
  <c r="B930" i="9"/>
  <c r="A930" i="9"/>
  <c r="B929" i="9"/>
  <c r="A929" i="9"/>
  <c r="B928" i="9"/>
  <c r="A928" i="9"/>
  <c r="B927" i="9"/>
  <c r="A927" i="9"/>
  <c r="B926" i="9"/>
  <c r="A926" i="9"/>
  <c r="B925" i="9"/>
  <c r="A925" i="9"/>
  <c r="B924" i="9"/>
  <c r="A924" i="9"/>
  <c r="B923" i="9"/>
  <c r="A923" i="9"/>
  <c r="Q941" i="9"/>
  <c r="P941" i="9"/>
  <c r="O941" i="9"/>
  <c r="N941" i="9"/>
  <c r="M941" i="9"/>
  <c r="L941" i="9"/>
  <c r="K941" i="9"/>
  <c r="J941" i="9"/>
  <c r="I941" i="9"/>
  <c r="H941" i="9"/>
  <c r="G941" i="9"/>
  <c r="F941" i="9"/>
  <c r="Q940" i="9"/>
  <c r="P940" i="9"/>
  <c r="O940" i="9"/>
  <c r="N940" i="9"/>
  <c r="M940" i="9"/>
  <c r="L940" i="9"/>
  <c r="K940" i="9"/>
  <c r="J940" i="9"/>
  <c r="I940" i="9"/>
  <c r="H940" i="9"/>
  <c r="G940" i="9"/>
  <c r="F940" i="9"/>
  <c r="Q939" i="9"/>
  <c r="P939" i="9"/>
  <c r="O939" i="9"/>
  <c r="N939" i="9"/>
  <c r="M939" i="9"/>
  <c r="L939" i="9"/>
  <c r="K939" i="9"/>
  <c r="J939" i="9"/>
  <c r="I939" i="9"/>
  <c r="H939" i="9"/>
  <c r="G939" i="9"/>
  <c r="F939" i="9"/>
  <c r="Q938" i="9"/>
  <c r="P938" i="9"/>
  <c r="O938" i="9"/>
  <c r="N938" i="9"/>
  <c r="M938" i="9"/>
  <c r="L938" i="9"/>
  <c r="K938" i="9"/>
  <c r="J938" i="9"/>
  <c r="I938" i="9"/>
  <c r="H938" i="9"/>
  <c r="G938" i="9"/>
  <c r="F938" i="9"/>
  <c r="Q937" i="9"/>
  <c r="P937" i="9"/>
  <c r="O937" i="9"/>
  <c r="N937" i="9"/>
  <c r="M937" i="9"/>
  <c r="L937" i="9"/>
  <c r="K937" i="9"/>
  <c r="J937" i="9"/>
  <c r="I937" i="9"/>
  <c r="H937" i="9"/>
  <c r="G937" i="9"/>
  <c r="F937" i="9"/>
  <c r="Q934" i="9"/>
  <c r="P934" i="9"/>
  <c r="O934" i="9"/>
  <c r="N934" i="9"/>
  <c r="M934" i="9"/>
  <c r="L934" i="9"/>
  <c r="K934" i="9"/>
  <c r="J934" i="9"/>
  <c r="I934" i="9"/>
  <c r="H934" i="9"/>
  <c r="G934" i="9"/>
  <c r="F934" i="9"/>
  <c r="Q933" i="9"/>
  <c r="P933" i="9"/>
  <c r="O933" i="9"/>
  <c r="N933" i="9"/>
  <c r="M933" i="9"/>
  <c r="L933" i="9"/>
  <c r="K933" i="9"/>
  <c r="J933" i="9"/>
  <c r="I933" i="9"/>
  <c r="H933" i="9"/>
  <c r="G933" i="9"/>
  <c r="F933" i="9"/>
  <c r="Q932" i="9"/>
  <c r="P932" i="9"/>
  <c r="O932" i="9"/>
  <c r="N932" i="9"/>
  <c r="M932" i="9"/>
  <c r="L932" i="9"/>
  <c r="K932" i="9"/>
  <c r="J932" i="9"/>
  <c r="I932" i="9"/>
  <c r="H932" i="9"/>
  <c r="G932" i="9"/>
  <c r="F932" i="9"/>
  <c r="Q931" i="9"/>
  <c r="P931" i="9"/>
  <c r="O931" i="9"/>
  <c r="N931" i="9"/>
  <c r="M931" i="9"/>
  <c r="L931" i="9"/>
  <c r="K931" i="9"/>
  <c r="J931" i="9"/>
  <c r="I931" i="9"/>
  <c r="H931" i="9"/>
  <c r="G931" i="9"/>
  <c r="F931" i="9"/>
  <c r="Q930" i="9"/>
  <c r="P930" i="9"/>
  <c r="O930" i="9"/>
  <c r="N930" i="9"/>
  <c r="M930" i="9"/>
  <c r="L930" i="9"/>
  <c r="K930" i="9"/>
  <c r="J930" i="9"/>
  <c r="I930" i="9"/>
  <c r="H930" i="9"/>
  <c r="G930" i="9"/>
  <c r="F930" i="9"/>
  <c r="Q927" i="9"/>
  <c r="P927" i="9"/>
  <c r="O927" i="9"/>
  <c r="N927" i="9"/>
  <c r="M927" i="9"/>
  <c r="L927" i="9"/>
  <c r="K927" i="9"/>
  <c r="J927" i="9"/>
  <c r="I927" i="9"/>
  <c r="H927" i="9"/>
  <c r="G927" i="9"/>
  <c r="F927" i="9"/>
  <c r="Q926" i="9"/>
  <c r="P926" i="9"/>
  <c r="O926" i="9"/>
  <c r="N926" i="9"/>
  <c r="M926" i="9"/>
  <c r="L926" i="9"/>
  <c r="K926" i="9"/>
  <c r="J926" i="9"/>
  <c r="I926" i="9"/>
  <c r="H926" i="9"/>
  <c r="G926" i="9"/>
  <c r="F926" i="9"/>
  <c r="Q925" i="9"/>
  <c r="P925" i="9"/>
  <c r="O925" i="9"/>
  <c r="N925" i="9"/>
  <c r="M925" i="9"/>
  <c r="L925" i="9"/>
  <c r="K925" i="9"/>
  <c r="J925" i="9"/>
  <c r="I925" i="9"/>
  <c r="H925" i="9"/>
  <c r="G925" i="9"/>
  <c r="F925" i="9"/>
  <c r="Q924" i="9"/>
  <c r="P924" i="9"/>
  <c r="O924" i="9"/>
  <c r="N924" i="9"/>
  <c r="M924" i="9"/>
  <c r="L924" i="9"/>
  <c r="K924" i="9"/>
  <c r="J924" i="9"/>
  <c r="I924" i="9"/>
  <c r="H924" i="9"/>
  <c r="G924" i="9"/>
  <c r="F924" i="9"/>
  <c r="Q923" i="9"/>
  <c r="P923" i="9"/>
  <c r="O923" i="9"/>
  <c r="N923" i="9"/>
  <c r="M923" i="9"/>
  <c r="L923" i="9"/>
  <c r="K923" i="9"/>
  <c r="J923" i="9"/>
  <c r="I923" i="9"/>
  <c r="H923" i="9"/>
  <c r="G923" i="9"/>
  <c r="F923" i="9"/>
  <c r="B922" i="9"/>
  <c r="A922" i="9"/>
  <c r="B921" i="9"/>
  <c r="A921" i="9"/>
  <c r="B920" i="9"/>
  <c r="A920" i="9"/>
  <c r="B919" i="9"/>
  <c r="A919" i="9"/>
  <c r="B918" i="9"/>
  <c r="A918" i="9"/>
  <c r="B917" i="9"/>
  <c r="A917" i="9"/>
  <c r="B916" i="9"/>
  <c r="A916" i="9"/>
  <c r="B915" i="9"/>
  <c r="A915" i="9"/>
  <c r="B914" i="9"/>
  <c r="A914" i="9"/>
  <c r="B913" i="9"/>
  <c r="A913" i="9"/>
  <c r="B912" i="9"/>
  <c r="A912" i="9"/>
  <c r="B911" i="9"/>
  <c r="A911" i="9"/>
  <c r="B910" i="9"/>
  <c r="A910" i="9"/>
  <c r="B909" i="9"/>
  <c r="A909" i="9"/>
  <c r="B908" i="9"/>
  <c r="A908" i="9"/>
  <c r="B907" i="9"/>
  <c r="A907" i="9"/>
  <c r="B906" i="9"/>
  <c r="A906" i="9"/>
  <c r="B905" i="9"/>
  <c r="A905" i="9"/>
  <c r="B904" i="9"/>
  <c r="A904" i="9"/>
  <c r="B903" i="9"/>
  <c r="A903" i="9"/>
  <c r="Q921" i="9"/>
  <c r="P921" i="9"/>
  <c r="O921" i="9"/>
  <c r="N921" i="9"/>
  <c r="M921" i="9"/>
  <c r="L921" i="9"/>
  <c r="K921" i="9"/>
  <c r="J921" i="9"/>
  <c r="I921" i="9"/>
  <c r="H921" i="9"/>
  <c r="G921" i="9"/>
  <c r="F921" i="9"/>
  <c r="Q920" i="9"/>
  <c r="P920" i="9"/>
  <c r="O920" i="9"/>
  <c r="N920" i="9"/>
  <c r="M920" i="9"/>
  <c r="L920" i="9"/>
  <c r="K920" i="9"/>
  <c r="J920" i="9"/>
  <c r="I920" i="9"/>
  <c r="H920" i="9"/>
  <c r="G920" i="9"/>
  <c r="F920" i="9"/>
  <c r="Q919" i="9"/>
  <c r="P919" i="9"/>
  <c r="O919" i="9"/>
  <c r="N919" i="9"/>
  <c r="M919" i="9"/>
  <c r="L919" i="9"/>
  <c r="K919" i="9"/>
  <c r="J919" i="9"/>
  <c r="I919" i="9"/>
  <c r="H919" i="9"/>
  <c r="G919" i="9"/>
  <c r="F919" i="9"/>
  <c r="Q918" i="9"/>
  <c r="P918" i="9"/>
  <c r="O918" i="9"/>
  <c r="N918" i="9"/>
  <c r="M918" i="9"/>
  <c r="L918" i="9"/>
  <c r="K918" i="9"/>
  <c r="J918" i="9"/>
  <c r="I918" i="9"/>
  <c r="H918" i="9"/>
  <c r="G918" i="9"/>
  <c r="F918" i="9"/>
  <c r="Q917" i="9"/>
  <c r="P917" i="9"/>
  <c r="O917" i="9"/>
  <c r="N917" i="9"/>
  <c r="M917" i="9"/>
  <c r="L917" i="9"/>
  <c r="K917" i="9"/>
  <c r="J917" i="9"/>
  <c r="I917" i="9"/>
  <c r="H917" i="9"/>
  <c r="G917" i="9"/>
  <c r="F917" i="9"/>
  <c r="Q914" i="9"/>
  <c r="P914" i="9"/>
  <c r="O914" i="9"/>
  <c r="N914" i="9"/>
  <c r="M914" i="9"/>
  <c r="L914" i="9"/>
  <c r="K914" i="9"/>
  <c r="J914" i="9"/>
  <c r="I914" i="9"/>
  <c r="H914" i="9"/>
  <c r="G914" i="9"/>
  <c r="F914" i="9"/>
  <c r="Q913" i="9"/>
  <c r="P913" i="9"/>
  <c r="O913" i="9"/>
  <c r="N913" i="9"/>
  <c r="M913" i="9"/>
  <c r="L913" i="9"/>
  <c r="K913" i="9"/>
  <c r="J913" i="9"/>
  <c r="I913" i="9"/>
  <c r="H913" i="9"/>
  <c r="G913" i="9"/>
  <c r="F913" i="9"/>
  <c r="Q912" i="9"/>
  <c r="P912" i="9"/>
  <c r="O912" i="9"/>
  <c r="N912" i="9"/>
  <c r="M912" i="9"/>
  <c r="L912" i="9"/>
  <c r="K912" i="9"/>
  <c r="J912" i="9"/>
  <c r="I912" i="9"/>
  <c r="H912" i="9"/>
  <c r="G912" i="9"/>
  <c r="F912" i="9"/>
  <c r="Q911" i="9"/>
  <c r="P911" i="9"/>
  <c r="O911" i="9"/>
  <c r="N911" i="9"/>
  <c r="M911" i="9"/>
  <c r="L911" i="9"/>
  <c r="K911" i="9"/>
  <c r="J911" i="9"/>
  <c r="I911" i="9"/>
  <c r="H911" i="9"/>
  <c r="G911" i="9"/>
  <c r="F911" i="9"/>
  <c r="Q910" i="9"/>
  <c r="P910" i="9"/>
  <c r="O910" i="9"/>
  <c r="N910" i="9"/>
  <c r="M910" i="9"/>
  <c r="L910" i="9"/>
  <c r="K910" i="9"/>
  <c r="J910" i="9"/>
  <c r="I910" i="9"/>
  <c r="H910" i="9"/>
  <c r="G910" i="9"/>
  <c r="F910" i="9"/>
  <c r="Q907" i="9"/>
  <c r="P907" i="9"/>
  <c r="O907" i="9"/>
  <c r="N907" i="9"/>
  <c r="M907" i="9"/>
  <c r="L907" i="9"/>
  <c r="K907" i="9"/>
  <c r="J907" i="9"/>
  <c r="I907" i="9"/>
  <c r="H907" i="9"/>
  <c r="G907" i="9"/>
  <c r="F907" i="9"/>
  <c r="Q906" i="9"/>
  <c r="P906" i="9"/>
  <c r="O906" i="9"/>
  <c r="N906" i="9"/>
  <c r="M906" i="9"/>
  <c r="L906" i="9"/>
  <c r="K906" i="9"/>
  <c r="J906" i="9"/>
  <c r="I906" i="9"/>
  <c r="H906" i="9"/>
  <c r="G906" i="9"/>
  <c r="F906" i="9"/>
  <c r="Q905" i="9"/>
  <c r="P905" i="9"/>
  <c r="O905" i="9"/>
  <c r="N905" i="9"/>
  <c r="M905" i="9"/>
  <c r="L905" i="9"/>
  <c r="K905" i="9"/>
  <c r="J905" i="9"/>
  <c r="I905" i="9"/>
  <c r="H905" i="9"/>
  <c r="G905" i="9"/>
  <c r="F905" i="9"/>
  <c r="Q904" i="9"/>
  <c r="P904" i="9"/>
  <c r="O904" i="9"/>
  <c r="N904" i="9"/>
  <c r="M904" i="9"/>
  <c r="L904" i="9"/>
  <c r="K904" i="9"/>
  <c r="J904" i="9"/>
  <c r="I904" i="9"/>
  <c r="H904" i="9"/>
  <c r="G904" i="9"/>
  <c r="F904" i="9"/>
  <c r="Q903" i="9"/>
  <c r="P903" i="9"/>
  <c r="O903" i="9"/>
  <c r="N903" i="9"/>
  <c r="M903" i="9"/>
  <c r="L903" i="9"/>
  <c r="K903" i="9"/>
  <c r="J903" i="9"/>
  <c r="I903" i="9"/>
  <c r="H903" i="9"/>
  <c r="G903" i="9"/>
  <c r="F903" i="9"/>
  <c r="B902" i="9"/>
  <c r="A902" i="9"/>
  <c r="B901" i="9" l="1"/>
  <c r="A901" i="9"/>
  <c r="B900" i="9"/>
  <c r="A900" i="9"/>
  <c r="B899" i="9"/>
  <c r="A899" i="9"/>
  <c r="B898" i="9"/>
  <c r="A898" i="9"/>
  <c r="B897" i="9"/>
  <c r="A897" i="9"/>
  <c r="B896" i="9"/>
  <c r="A896" i="9"/>
  <c r="B895" i="9"/>
  <c r="A895" i="9"/>
  <c r="B894" i="9"/>
  <c r="A894" i="9"/>
  <c r="B893" i="9"/>
  <c r="A893" i="9"/>
  <c r="B892" i="9"/>
  <c r="A892" i="9"/>
  <c r="B891" i="9"/>
  <c r="A891" i="9"/>
  <c r="B890" i="9"/>
  <c r="A890" i="9"/>
  <c r="B889" i="9"/>
  <c r="A889" i="9"/>
  <c r="B888" i="9"/>
  <c r="A888" i="9"/>
  <c r="B887" i="9"/>
  <c r="A887" i="9"/>
  <c r="B886" i="9"/>
  <c r="A886" i="9"/>
  <c r="B885" i="9"/>
  <c r="A885" i="9"/>
  <c r="B884" i="9"/>
  <c r="A884" i="9"/>
  <c r="B883" i="9"/>
  <c r="A883" i="9"/>
  <c r="Q901" i="9"/>
  <c r="P901" i="9"/>
  <c r="O901" i="9"/>
  <c r="N901" i="9"/>
  <c r="M901" i="9"/>
  <c r="L901" i="9"/>
  <c r="K901" i="9"/>
  <c r="J901" i="9"/>
  <c r="I901" i="9"/>
  <c r="H901" i="9"/>
  <c r="G901" i="9"/>
  <c r="F901" i="9"/>
  <c r="Q900" i="9"/>
  <c r="P900" i="9"/>
  <c r="O900" i="9"/>
  <c r="N900" i="9"/>
  <c r="M900" i="9"/>
  <c r="L900" i="9"/>
  <c r="K900" i="9"/>
  <c r="J900" i="9"/>
  <c r="I900" i="9"/>
  <c r="H900" i="9"/>
  <c r="G900" i="9"/>
  <c r="F900" i="9"/>
  <c r="Q899" i="9"/>
  <c r="P899" i="9"/>
  <c r="O899" i="9"/>
  <c r="N899" i="9"/>
  <c r="M899" i="9"/>
  <c r="L899" i="9"/>
  <c r="K899" i="9"/>
  <c r="J899" i="9"/>
  <c r="I899" i="9"/>
  <c r="H899" i="9"/>
  <c r="G899" i="9"/>
  <c r="F899" i="9"/>
  <c r="Q898" i="9"/>
  <c r="P898" i="9"/>
  <c r="O898" i="9"/>
  <c r="N898" i="9"/>
  <c r="M898" i="9"/>
  <c r="L898" i="9"/>
  <c r="K898" i="9"/>
  <c r="J898" i="9"/>
  <c r="I898" i="9"/>
  <c r="H898" i="9"/>
  <c r="G898" i="9"/>
  <c r="F898" i="9"/>
  <c r="Q897" i="9"/>
  <c r="P897" i="9"/>
  <c r="O897" i="9"/>
  <c r="N897" i="9"/>
  <c r="M897" i="9"/>
  <c r="L897" i="9"/>
  <c r="K897" i="9"/>
  <c r="J897" i="9"/>
  <c r="I897" i="9"/>
  <c r="H897" i="9"/>
  <c r="G897" i="9"/>
  <c r="F897" i="9"/>
  <c r="Q894" i="9"/>
  <c r="P894" i="9"/>
  <c r="O894" i="9"/>
  <c r="N894" i="9"/>
  <c r="M894" i="9"/>
  <c r="L894" i="9"/>
  <c r="K894" i="9"/>
  <c r="J894" i="9"/>
  <c r="I894" i="9"/>
  <c r="H894" i="9"/>
  <c r="G894" i="9"/>
  <c r="F894" i="9"/>
  <c r="Q893" i="9"/>
  <c r="P893" i="9"/>
  <c r="O893" i="9"/>
  <c r="N893" i="9"/>
  <c r="M893" i="9"/>
  <c r="L893" i="9"/>
  <c r="K893" i="9"/>
  <c r="J893" i="9"/>
  <c r="I893" i="9"/>
  <c r="H893" i="9"/>
  <c r="G893" i="9"/>
  <c r="F893" i="9"/>
  <c r="Q892" i="9"/>
  <c r="P892" i="9"/>
  <c r="O892" i="9"/>
  <c r="N892" i="9"/>
  <c r="M892" i="9"/>
  <c r="L892" i="9"/>
  <c r="K892" i="9"/>
  <c r="J892" i="9"/>
  <c r="I892" i="9"/>
  <c r="H892" i="9"/>
  <c r="G892" i="9"/>
  <c r="F892" i="9"/>
  <c r="Q891" i="9"/>
  <c r="P891" i="9"/>
  <c r="O891" i="9"/>
  <c r="N891" i="9"/>
  <c r="M891" i="9"/>
  <c r="L891" i="9"/>
  <c r="K891" i="9"/>
  <c r="J891" i="9"/>
  <c r="I891" i="9"/>
  <c r="H891" i="9"/>
  <c r="G891" i="9"/>
  <c r="F891" i="9"/>
  <c r="Q890" i="9"/>
  <c r="P890" i="9"/>
  <c r="O890" i="9"/>
  <c r="N890" i="9"/>
  <c r="M890" i="9"/>
  <c r="L890" i="9"/>
  <c r="K890" i="9"/>
  <c r="J890" i="9"/>
  <c r="I890" i="9"/>
  <c r="H890" i="9"/>
  <c r="G890" i="9"/>
  <c r="F890" i="9"/>
  <c r="Q887" i="9"/>
  <c r="P887" i="9"/>
  <c r="O887" i="9"/>
  <c r="N887" i="9"/>
  <c r="M887" i="9"/>
  <c r="L887" i="9"/>
  <c r="K887" i="9"/>
  <c r="J887" i="9"/>
  <c r="I887" i="9"/>
  <c r="H887" i="9"/>
  <c r="G887" i="9"/>
  <c r="F887" i="9"/>
  <c r="Q886" i="9"/>
  <c r="P886" i="9"/>
  <c r="O886" i="9"/>
  <c r="N886" i="9"/>
  <c r="M886" i="9"/>
  <c r="L886" i="9"/>
  <c r="K886" i="9"/>
  <c r="J886" i="9"/>
  <c r="I886" i="9"/>
  <c r="H886" i="9"/>
  <c r="G886" i="9"/>
  <c r="F886" i="9"/>
  <c r="Q885" i="9"/>
  <c r="P885" i="9"/>
  <c r="O885" i="9"/>
  <c r="N885" i="9"/>
  <c r="M885" i="9"/>
  <c r="L885" i="9"/>
  <c r="K885" i="9"/>
  <c r="J885" i="9"/>
  <c r="I885" i="9"/>
  <c r="H885" i="9"/>
  <c r="G885" i="9"/>
  <c r="F885" i="9"/>
  <c r="Q884" i="9"/>
  <c r="P884" i="9"/>
  <c r="O884" i="9"/>
  <c r="N884" i="9"/>
  <c r="M884" i="9"/>
  <c r="L884" i="9"/>
  <c r="K884" i="9"/>
  <c r="J884" i="9"/>
  <c r="I884" i="9"/>
  <c r="H884" i="9"/>
  <c r="G884" i="9"/>
  <c r="F884" i="9"/>
  <c r="Q883" i="9"/>
  <c r="P883" i="9"/>
  <c r="O883" i="9"/>
  <c r="N883" i="9"/>
  <c r="M883" i="9"/>
  <c r="L883" i="9"/>
  <c r="K883" i="9"/>
  <c r="J883" i="9"/>
  <c r="I883" i="9"/>
  <c r="H883" i="9"/>
  <c r="G883" i="9"/>
  <c r="F883" i="9"/>
  <c r="B882" i="9"/>
  <c r="A882" i="9"/>
  <c r="B881" i="9"/>
  <c r="A881" i="9"/>
  <c r="B880" i="9"/>
  <c r="A880" i="9"/>
  <c r="B879" i="9"/>
  <c r="A879" i="9"/>
  <c r="B878" i="9"/>
  <c r="A878" i="9"/>
  <c r="B877" i="9"/>
  <c r="A877" i="9"/>
  <c r="B876" i="9"/>
  <c r="A876" i="9"/>
  <c r="B875" i="9"/>
  <c r="A875" i="9"/>
  <c r="B874" i="9"/>
  <c r="A874" i="9"/>
  <c r="B873" i="9"/>
  <c r="A873" i="9"/>
  <c r="B872" i="9"/>
  <c r="A872" i="9"/>
  <c r="B871" i="9"/>
  <c r="A871" i="9"/>
  <c r="B870" i="9"/>
  <c r="A870" i="9"/>
  <c r="B869" i="9"/>
  <c r="A869" i="9"/>
  <c r="B868" i="9"/>
  <c r="A868" i="9"/>
  <c r="B867" i="9"/>
  <c r="A867" i="9"/>
  <c r="B866" i="9"/>
  <c r="A866" i="9"/>
  <c r="B865" i="9"/>
  <c r="A865" i="9"/>
  <c r="B864" i="9"/>
  <c r="A864" i="9"/>
  <c r="B863" i="9"/>
  <c r="A863" i="9"/>
  <c r="Q881" i="9"/>
  <c r="P881" i="9"/>
  <c r="O881" i="9"/>
  <c r="N881" i="9"/>
  <c r="M881" i="9"/>
  <c r="L881" i="9"/>
  <c r="K881" i="9"/>
  <c r="J881" i="9"/>
  <c r="I881" i="9"/>
  <c r="H881" i="9"/>
  <c r="G881" i="9"/>
  <c r="F881" i="9"/>
  <c r="Q880" i="9"/>
  <c r="P880" i="9"/>
  <c r="O880" i="9"/>
  <c r="N880" i="9"/>
  <c r="M880" i="9"/>
  <c r="L880" i="9"/>
  <c r="K880" i="9"/>
  <c r="J880" i="9"/>
  <c r="I880" i="9"/>
  <c r="H880" i="9"/>
  <c r="G880" i="9"/>
  <c r="F880" i="9"/>
  <c r="Q879" i="9"/>
  <c r="P879" i="9"/>
  <c r="O879" i="9"/>
  <c r="N879" i="9"/>
  <c r="M879" i="9"/>
  <c r="L879" i="9"/>
  <c r="K879" i="9"/>
  <c r="J879" i="9"/>
  <c r="I879" i="9"/>
  <c r="H879" i="9"/>
  <c r="G879" i="9"/>
  <c r="F879" i="9"/>
  <c r="Q878" i="9"/>
  <c r="P878" i="9"/>
  <c r="O878" i="9"/>
  <c r="N878" i="9"/>
  <c r="M878" i="9"/>
  <c r="L878" i="9"/>
  <c r="K878" i="9"/>
  <c r="J878" i="9"/>
  <c r="I878" i="9"/>
  <c r="H878" i="9"/>
  <c r="G878" i="9"/>
  <c r="F878" i="9"/>
  <c r="Q877" i="9"/>
  <c r="P877" i="9"/>
  <c r="O877" i="9"/>
  <c r="N877" i="9"/>
  <c r="M877" i="9"/>
  <c r="L877" i="9"/>
  <c r="K877" i="9"/>
  <c r="J877" i="9"/>
  <c r="I877" i="9"/>
  <c r="H877" i="9"/>
  <c r="G877" i="9"/>
  <c r="F877" i="9"/>
  <c r="Q874" i="9"/>
  <c r="P874" i="9"/>
  <c r="O874" i="9"/>
  <c r="N874" i="9"/>
  <c r="M874" i="9"/>
  <c r="L874" i="9"/>
  <c r="K874" i="9"/>
  <c r="J874" i="9"/>
  <c r="I874" i="9"/>
  <c r="H874" i="9"/>
  <c r="G874" i="9"/>
  <c r="F874" i="9"/>
  <c r="Q873" i="9"/>
  <c r="P873" i="9"/>
  <c r="O873" i="9"/>
  <c r="N873" i="9"/>
  <c r="M873" i="9"/>
  <c r="L873" i="9"/>
  <c r="K873" i="9"/>
  <c r="J873" i="9"/>
  <c r="I873" i="9"/>
  <c r="H873" i="9"/>
  <c r="G873" i="9"/>
  <c r="F873" i="9"/>
  <c r="Q872" i="9"/>
  <c r="P872" i="9"/>
  <c r="O872" i="9"/>
  <c r="N872" i="9"/>
  <c r="M872" i="9"/>
  <c r="L872" i="9"/>
  <c r="K872" i="9"/>
  <c r="J872" i="9"/>
  <c r="I872" i="9"/>
  <c r="H872" i="9"/>
  <c r="G872" i="9"/>
  <c r="F872" i="9"/>
  <c r="Q871" i="9"/>
  <c r="P871" i="9"/>
  <c r="O871" i="9"/>
  <c r="N871" i="9"/>
  <c r="M871" i="9"/>
  <c r="L871" i="9"/>
  <c r="K871" i="9"/>
  <c r="J871" i="9"/>
  <c r="I871" i="9"/>
  <c r="H871" i="9"/>
  <c r="G871" i="9"/>
  <c r="F871" i="9"/>
  <c r="Q870" i="9"/>
  <c r="P870" i="9"/>
  <c r="O870" i="9"/>
  <c r="N870" i="9"/>
  <c r="M870" i="9"/>
  <c r="L870" i="9"/>
  <c r="K870" i="9"/>
  <c r="J870" i="9"/>
  <c r="I870" i="9"/>
  <c r="H870" i="9"/>
  <c r="G870" i="9"/>
  <c r="F870" i="9"/>
  <c r="Q867" i="9"/>
  <c r="P867" i="9"/>
  <c r="O867" i="9"/>
  <c r="N867" i="9"/>
  <c r="M867" i="9"/>
  <c r="L867" i="9"/>
  <c r="K867" i="9"/>
  <c r="J867" i="9"/>
  <c r="I867" i="9"/>
  <c r="H867" i="9"/>
  <c r="G867" i="9"/>
  <c r="F867" i="9"/>
  <c r="Q866" i="9"/>
  <c r="P866" i="9"/>
  <c r="O866" i="9"/>
  <c r="N866" i="9"/>
  <c r="M866" i="9"/>
  <c r="L866" i="9"/>
  <c r="K866" i="9"/>
  <c r="J866" i="9"/>
  <c r="I866" i="9"/>
  <c r="H866" i="9"/>
  <c r="G866" i="9"/>
  <c r="F866" i="9"/>
  <c r="Q865" i="9"/>
  <c r="P865" i="9"/>
  <c r="O865" i="9"/>
  <c r="N865" i="9"/>
  <c r="M865" i="9"/>
  <c r="L865" i="9"/>
  <c r="K865" i="9"/>
  <c r="J865" i="9"/>
  <c r="I865" i="9"/>
  <c r="H865" i="9"/>
  <c r="G865" i="9"/>
  <c r="F865" i="9"/>
  <c r="Q864" i="9"/>
  <c r="P864" i="9"/>
  <c r="O864" i="9"/>
  <c r="N864" i="9"/>
  <c r="M864" i="9"/>
  <c r="L864" i="9"/>
  <c r="K864" i="9"/>
  <c r="J864" i="9"/>
  <c r="I864" i="9"/>
  <c r="H864" i="9"/>
  <c r="G864" i="9"/>
  <c r="F864" i="9"/>
  <c r="Q863" i="9"/>
  <c r="P863" i="9"/>
  <c r="O863" i="9"/>
  <c r="N863" i="9"/>
  <c r="M863" i="9"/>
  <c r="L863" i="9"/>
  <c r="K863" i="9"/>
  <c r="J863" i="9"/>
  <c r="I863" i="9"/>
  <c r="H863" i="9"/>
  <c r="G863" i="9"/>
  <c r="F863" i="9"/>
  <c r="B862" i="9"/>
  <c r="A862" i="9"/>
  <c r="B861" i="9"/>
  <c r="A861" i="9"/>
  <c r="B860" i="9"/>
  <c r="A860" i="9"/>
  <c r="B859" i="9"/>
  <c r="A859" i="9"/>
  <c r="B858" i="9"/>
  <c r="A858" i="9"/>
  <c r="B857" i="9"/>
  <c r="A857" i="9"/>
  <c r="B856" i="9"/>
  <c r="A856" i="9"/>
  <c r="B855" i="9"/>
  <c r="A855" i="9"/>
  <c r="B854" i="9"/>
  <c r="A854" i="9"/>
  <c r="B853" i="9"/>
  <c r="A853" i="9"/>
  <c r="B852" i="9"/>
  <c r="A852" i="9"/>
  <c r="B851" i="9"/>
  <c r="A851" i="9"/>
  <c r="B850" i="9"/>
  <c r="A850" i="9"/>
  <c r="B849" i="9"/>
  <c r="A849" i="9"/>
  <c r="B848" i="9"/>
  <c r="A848" i="9"/>
  <c r="B847" i="9"/>
  <c r="A847" i="9"/>
  <c r="B846" i="9"/>
  <c r="A846" i="9"/>
  <c r="B845" i="9"/>
  <c r="A845" i="9"/>
  <c r="B844" i="9"/>
  <c r="A844" i="9"/>
  <c r="B843" i="9"/>
  <c r="A843" i="9"/>
  <c r="Q861" i="9"/>
  <c r="P861" i="9"/>
  <c r="O861" i="9"/>
  <c r="N861" i="9"/>
  <c r="M861" i="9"/>
  <c r="L861" i="9"/>
  <c r="K861" i="9"/>
  <c r="J861" i="9"/>
  <c r="I861" i="9"/>
  <c r="H861" i="9"/>
  <c r="G861" i="9"/>
  <c r="F861" i="9"/>
  <c r="Q860" i="9"/>
  <c r="P860" i="9"/>
  <c r="O860" i="9"/>
  <c r="N860" i="9"/>
  <c r="M860" i="9"/>
  <c r="L860" i="9"/>
  <c r="K860" i="9"/>
  <c r="J860" i="9"/>
  <c r="I860" i="9"/>
  <c r="H860" i="9"/>
  <c r="G860" i="9"/>
  <c r="F860" i="9"/>
  <c r="Q859" i="9"/>
  <c r="P859" i="9"/>
  <c r="O859" i="9"/>
  <c r="N859" i="9"/>
  <c r="M859" i="9"/>
  <c r="L859" i="9"/>
  <c r="K859" i="9"/>
  <c r="J859" i="9"/>
  <c r="I859" i="9"/>
  <c r="H859" i="9"/>
  <c r="G859" i="9"/>
  <c r="F859" i="9"/>
  <c r="Q858" i="9"/>
  <c r="P858" i="9"/>
  <c r="O858" i="9"/>
  <c r="N858" i="9"/>
  <c r="M858" i="9"/>
  <c r="L858" i="9"/>
  <c r="K858" i="9"/>
  <c r="J858" i="9"/>
  <c r="I858" i="9"/>
  <c r="H858" i="9"/>
  <c r="G858" i="9"/>
  <c r="F858" i="9"/>
  <c r="Q857" i="9"/>
  <c r="P857" i="9"/>
  <c r="O857" i="9"/>
  <c r="N857" i="9"/>
  <c r="M857" i="9"/>
  <c r="L857" i="9"/>
  <c r="K857" i="9"/>
  <c r="J857" i="9"/>
  <c r="I857" i="9"/>
  <c r="H857" i="9"/>
  <c r="G857" i="9"/>
  <c r="F857" i="9"/>
  <c r="Q854" i="9"/>
  <c r="P854" i="9"/>
  <c r="O854" i="9"/>
  <c r="N854" i="9"/>
  <c r="M854" i="9"/>
  <c r="L854" i="9"/>
  <c r="K854" i="9"/>
  <c r="J854" i="9"/>
  <c r="I854" i="9"/>
  <c r="H854" i="9"/>
  <c r="G854" i="9"/>
  <c r="F854" i="9"/>
  <c r="Q853" i="9"/>
  <c r="P853" i="9"/>
  <c r="O853" i="9"/>
  <c r="N853" i="9"/>
  <c r="M853" i="9"/>
  <c r="L853" i="9"/>
  <c r="K853" i="9"/>
  <c r="J853" i="9"/>
  <c r="I853" i="9"/>
  <c r="H853" i="9"/>
  <c r="G853" i="9"/>
  <c r="F853" i="9"/>
  <c r="Q852" i="9"/>
  <c r="P852" i="9"/>
  <c r="O852" i="9"/>
  <c r="N852" i="9"/>
  <c r="M852" i="9"/>
  <c r="L852" i="9"/>
  <c r="K852" i="9"/>
  <c r="J852" i="9"/>
  <c r="I852" i="9"/>
  <c r="H852" i="9"/>
  <c r="G852" i="9"/>
  <c r="F852" i="9"/>
  <c r="Q851" i="9"/>
  <c r="P851" i="9"/>
  <c r="O851" i="9"/>
  <c r="N851" i="9"/>
  <c r="M851" i="9"/>
  <c r="L851" i="9"/>
  <c r="K851" i="9"/>
  <c r="J851" i="9"/>
  <c r="I851" i="9"/>
  <c r="H851" i="9"/>
  <c r="G851" i="9"/>
  <c r="F851" i="9"/>
  <c r="Q850" i="9"/>
  <c r="P850" i="9"/>
  <c r="O850" i="9"/>
  <c r="N850" i="9"/>
  <c r="M850" i="9"/>
  <c r="L850" i="9"/>
  <c r="K850" i="9"/>
  <c r="J850" i="9"/>
  <c r="I850" i="9"/>
  <c r="H850" i="9"/>
  <c r="G850" i="9"/>
  <c r="F850" i="9"/>
  <c r="Q847" i="9"/>
  <c r="P847" i="9"/>
  <c r="O847" i="9"/>
  <c r="N847" i="9"/>
  <c r="M847" i="9"/>
  <c r="L847" i="9"/>
  <c r="K847" i="9"/>
  <c r="J847" i="9"/>
  <c r="I847" i="9"/>
  <c r="H847" i="9"/>
  <c r="G847" i="9"/>
  <c r="F847" i="9"/>
  <c r="Q846" i="9"/>
  <c r="P846" i="9"/>
  <c r="O846" i="9"/>
  <c r="N846" i="9"/>
  <c r="M846" i="9"/>
  <c r="L846" i="9"/>
  <c r="K846" i="9"/>
  <c r="J846" i="9"/>
  <c r="I846" i="9"/>
  <c r="H846" i="9"/>
  <c r="G846" i="9"/>
  <c r="F846" i="9"/>
  <c r="Q845" i="9"/>
  <c r="P845" i="9"/>
  <c r="O845" i="9"/>
  <c r="N845" i="9"/>
  <c r="M845" i="9"/>
  <c r="L845" i="9"/>
  <c r="K845" i="9"/>
  <c r="J845" i="9"/>
  <c r="I845" i="9"/>
  <c r="H845" i="9"/>
  <c r="G845" i="9"/>
  <c r="F845" i="9"/>
  <c r="Q844" i="9"/>
  <c r="P844" i="9"/>
  <c r="O844" i="9"/>
  <c r="N844" i="9"/>
  <c r="M844" i="9"/>
  <c r="L844" i="9"/>
  <c r="K844" i="9"/>
  <c r="J844" i="9"/>
  <c r="I844" i="9"/>
  <c r="H844" i="9"/>
  <c r="G844" i="9"/>
  <c r="F844" i="9"/>
  <c r="Q843" i="9"/>
  <c r="P843" i="9"/>
  <c r="O843" i="9"/>
  <c r="N843" i="9"/>
  <c r="M843" i="9"/>
  <c r="L843" i="9"/>
  <c r="K843" i="9"/>
  <c r="J843" i="9"/>
  <c r="I843" i="9"/>
  <c r="H843" i="9"/>
  <c r="G843" i="9"/>
  <c r="F843" i="9"/>
  <c r="B842" i="9"/>
  <c r="A842" i="9"/>
  <c r="B841" i="9"/>
  <c r="A841" i="9"/>
  <c r="B840" i="9"/>
  <c r="A840" i="9"/>
  <c r="B839" i="9"/>
  <c r="A839" i="9"/>
  <c r="B838" i="9"/>
  <c r="A838" i="9"/>
  <c r="B837" i="9"/>
  <c r="A837" i="9"/>
  <c r="B836" i="9"/>
  <c r="A836" i="9"/>
  <c r="B835" i="9"/>
  <c r="A835" i="9"/>
  <c r="B834" i="9"/>
  <c r="A834" i="9"/>
  <c r="B833" i="9"/>
  <c r="A833" i="9"/>
  <c r="B832" i="9"/>
  <c r="A832" i="9"/>
  <c r="B831" i="9"/>
  <c r="A831" i="9"/>
  <c r="B830" i="9"/>
  <c r="A830" i="9"/>
  <c r="B829" i="9"/>
  <c r="A829" i="9"/>
  <c r="B828" i="9"/>
  <c r="A828" i="9"/>
  <c r="B827" i="9"/>
  <c r="A827" i="9"/>
  <c r="B826" i="9"/>
  <c r="A826" i="9"/>
  <c r="B825" i="9"/>
  <c r="A825" i="9"/>
  <c r="B824" i="9"/>
  <c r="A824" i="9"/>
  <c r="B823" i="9"/>
  <c r="A823" i="9"/>
  <c r="Q841" i="9"/>
  <c r="P841" i="9"/>
  <c r="O841" i="9"/>
  <c r="N841" i="9"/>
  <c r="M841" i="9"/>
  <c r="L841" i="9"/>
  <c r="K841" i="9"/>
  <c r="J841" i="9"/>
  <c r="I841" i="9"/>
  <c r="H841" i="9"/>
  <c r="G841" i="9"/>
  <c r="F841" i="9"/>
  <c r="Q840" i="9"/>
  <c r="P840" i="9"/>
  <c r="O840" i="9"/>
  <c r="N840" i="9"/>
  <c r="M840" i="9"/>
  <c r="L840" i="9"/>
  <c r="K840" i="9"/>
  <c r="J840" i="9"/>
  <c r="I840" i="9"/>
  <c r="H840" i="9"/>
  <c r="G840" i="9"/>
  <c r="F840" i="9"/>
  <c r="Q839" i="9"/>
  <c r="P839" i="9"/>
  <c r="O839" i="9"/>
  <c r="N839" i="9"/>
  <c r="M839" i="9"/>
  <c r="L839" i="9"/>
  <c r="K839" i="9"/>
  <c r="J839" i="9"/>
  <c r="I839" i="9"/>
  <c r="H839" i="9"/>
  <c r="G839" i="9"/>
  <c r="F839" i="9"/>
  <c r="Q838" i="9"/>
  <c r="P838" i="9"/>
  <c r="O838" i="9"/>
  <c r="N838" i="9"/>
  <c r="M838" i="9"/>
  <c r="L838" i="9"/>
  <c r="K838" i="9"/>
  <c r="J838" i="9"/>
  <c r="I838" i="9"/>
  <c r="H838" i="9"/>
  <c r="G838" i="9"/>
  <c r="F838" i="9"/>
  <c r="Q837" i="9"/>
  <c r="P837" i="9"/>
  <c r="O837" i="9"/>
  <c r="N837" i="9"/>
  <c r="M837" i="9"/>
  <c r="L837" i="9"/>
  <c r="K837" i="9"/>
  <c r="J837" i="9"/>
  <c r="I837" i="9"/>
  <c r="H837" i="9"/>
  <c r="G837" i="9"/>
  <c r="F837" i="9"/>
  <c r="Q834" i="9"/>
  <c r="P834" i="9"/>
  <c r="O834" i="9"/>
  <c r="N834" i="9"/>
  <c r="M834" i="9"/>
  <c r="L834" i="9"/>
  <c r="K834" i="9"/>
  <c r="J834" i="9"/>
  <c r="I834" i="9"/>
  <c r="H834" i="9"/>
  <c r="G834" i="9"/>
  <c r="F834" i="9"/>
  <c r="Q833" i="9"/>
  <c r="P833" i="9"/>
  <c r="O833" i="9"/>
  <c r="N833" i="9"/>
  <c r="M833" i="9"/>
  <c r="L833" i="9"/>
  <c r="K833" i="9"/>
  <c r="J833" i="9"/>
  <c r="I833" i="9"/>
  <c r="H833" i="9"/>
  <c r="G833" i="9"/>
  <c r="F833" i="9"/>
  <c r="Q832" i="9"/>
  <c r="P832" i="9"/>
  <c r="O832" i="9"/>
  <c r="N832" i="9"/>
  <c r="M832" i="9"/>
  <c r="L832" i="9"/>
  <c r="K832" i="9"/>
  <c r="J832" i="9"/>
  <c r="I832" i="9"/>
  <c r="H832" i="9"/>
  <c r="G832" i="9"/>
  <c r="F832" i="9"/>
  <c r="Q831" i="9"/>
  <c r="P831" i="9"/>
  <c r="O831" i="9"/>
  <c r="N831" i="9"/>
  <c r="M831" i="9"/>
  <c r="L831" i="9"/>
  <c r="K831" i="9"/>
  <c r="J831" i="9"/>
  <c r="I831" i="9"/>
  <c r="H831" i="9"/>
  <c r="G831" i="9"/>
  <c r="F831" i="9"/>
  <c r="Q830" i="9"/>
  <c r="P830" i="9"/>
  <c r="O830" i="9"/>
  <c r="N830" i="9"/>
  <c r="M830" i="9"/>
  <c r="L830" i="9"/>
  <c r="K830" i="9"/>
  <c r="J830" i="9"/>
  <c r="I830" i="9"/>
  <c r="H830" i="9"/>
  <c r="G830" i="9"/>
  <c r="F830" i="9"/>
  <c r="Q827" i="9"/>
  <c r="P827" i="9"/>
  <c r="O827" i="9"/>
  <c r="N827" i="9"/>
  <c r="M827" i="9"/>
  <c r="L827" i="9"/>
  <c r="K827" i="9"/>
  <c r="J827" i="9"/>
  <c r="I827" i="9"/>
  <c r="H827" i="9"/>
  <c r="G827" i="9"/>
  <c r="F827" i="9"/>
  <c r="Q826" i="9"/>
  <c r="P826" i="9"/>
  <c r="O826" i="9"/>
  <c r="N826" i="9"/>
  <c r="M826" i="9"/>
  <c r="L826" i="9"/>
  <c r="K826" i="9"/>
  <c r="J826" i="9"/>
  <c r="I826" i="9"/>
  <c r="H826" i="9"/>
  <c r="G826" i="9"/>
  <c r="F826" i="9"/>
  <c r="Q825" i="9"/>
  <c r="P825" i="9"/>
  <c r="O825" i="9"/>
  <c r="N825" i="9"/>
  <c r="M825" i="9"/>
  <c r="L825" i="9"/>
  <c r="K825" i="9"/>
  <c r="J825" i="9"/>
  <c r="I825" i="9"/>
  <c r="H825" i="9"/>
  <c r="G825" i="9"/>
  <c r="F825" i="9"/>
  <c r="Q824" i="9"/>
  <c r="P824" i="9"/>
  <c r="O824" i="9"/>
  <c r="N824" i="9"/>
  <c r="M824" i="9"/>
  <c r="L824" i="9"/>
  <c r="K824" i="9"/>
  <c r="J824" i="9"/>
  <c r="I824" i="9"/>
  <c r="H824" i="9"/>
  <c r="G824" i="9"/>
  <c r="F824" i="9"/>
  <c r="Q823" i="9"/>
  <c r="P823" i="9"/>
  <c r="O823" i="9"/>
  <c r="N823" i="9"/>
  <c r="M823" i="9"/>
  <c r="L823" i="9"/>
  <c r="K823" i="9"/>
  <c r="J823" i="9"/>
  <c r="I823" i="9"/>
  <c r="H823" i="9"/>
  <c r="G823" i="9"/>
  <c r="F823" i="9"/>
  <c r="B822" i="9"/>
  <c r="A822" i="9"/>
  <c r="B821" i="9"/>
  <c r="A821" i="9"/>
  <c r="B820" i="9"/>
  <c r="A820" i="9"/>
  <c r="B819" i="9"/>
  <c r="A819" i="9"/>
  <c r="B818" i="9"/>
  <c r="A818" i="9"/>
  <c r="B817" i="9"/>
  <c r="A817" i="9"/>
  <c r="B816" i="9"/>
  <c r="A816" i="9"/>
  <c r="B815" i="9"/>
  <c r="A815" i="9"/>
  <c r="B814" i="9"/>
  <c r="A814" i="9"/>
  <c r="B813" i="9"/>
  <c r="A813" i="9"/>
  <c r="B812" i="9"/>
  <c r="A812" i="9"/>
  <c r="B811" i="9"/>
  <c r="A811" i="9"/>
  <c r="B810" i="9"/>
  <c r="A810" i="9"/>
  <c r="B809" i="9"/>
  <c r="A809" i="9"/>
  <c r="B808" i="9"/>
  <c r="A808" i="9"/>
  <c r="B807" i="9"/>
  <c r="A807" i="9"/>
  <c r="B806" i="9"/>
  <c r="A806" i="9"/>
  <c r="B805" i="9"/>
  <c r="A805" i="9"/>
  <c r="B804" i="9"/>
  <c r="A804" i="9"/>
  <c r="B803" i="9"/>
  <c r="A803" i="9"/>
  <c r="Q821" i="9"/>
  <c r="P821" i="9"/>
  <c r="O821" i="9"/>
  <c r="N821" i="9"/>
  <c r="M821" i="9"/>
  <c r="L821" i="9"/>
  <c r="K821" i="9"/>
  <c r="J821" i="9"/>
  <c r="I821" i="9"/>
  <c r="H821" i="9"/>
  <c r="G821" i="9"/>
  <c r="F821" i="9"/>
  <c r="Q820" i="9"/>
  <c r="P820" i="9"/>
  <c r="O820" i="9"/>
  <c r="N820" i="9"/>
  <c r="M820" i="9"/>
  <c r="L820" i="9"/>
  <c r="K820" i="9"/>
  <c r="J820" i="9"/>
  <c r="I820" i="9"/>
  <c r="H820" i="9"/>
  <c r="G820" i="9"/>
  <c r="F820" i="9"/>
  <c r="Q819" i="9"/>
  <c r="P819" i="9"/>
  <c r="O819" i="9"/>
  <c r="N819" i="9"/>
  <c r="M819" i="9"/>
  <c r="L819" i="9"/>
  <c r="K819" i="9"/>
  <c r="J819" i="9"/>
  <c r="I819" i="9"/>
  <c r="H819" i="9"/>
  <c r="G819" i="9"/>
  <c r="F819" i="9"/>
  <c r="Q818" i="9"/>
  <c r="P818" i="9"/>
  <c r="O818" i="9"/>
  <c r="N818" i="9"/>
  <c r="M818" i="9"/>
  <c r="L818" i="9"/>
  <c r="K818" i="9"/>
  <c r="J818" i="9"/>
  <c r="I818" i="9"/>
  <c r="H818" i="9"/>
  <c r="G818" i="9"/>
  <c r="F818" i="9"/>
  <c r="Q817" i="9"/>
  <c r="P817" i="9"/>
  <c r="O817" i="9"/>
  <c r="N817" i="9"/>
  <c r="M817" i="9"/>
  <c r="L817" i="9"/>
  <c r="K817" i="9"/>
  <c r="J817" i="9"/>
  <c r="I817" i="9"/>
  <c r="H817" i="9"/>
  <c r="G817" i="9"/>
  <c r="F817" i="9"/>
  <c r="Q814" i="9"/>
  <c r="P814" i="9"/>
  <c r="O814" i="9"/>
  <c r="N814" i="9"/>
  <c r="M814" i="9"/>
  <c r="L814" i="9"/>
  <c r="K814" i="9"/>
  <c r="J814" i="9"/>
  <c r="I814" i="9"/>
  <c r="H814" i="9"/>
  <c r="G814" i="9"/>
  <c r="F814" i="9"/>
  <c r="Q813" i="9"/>
  <c r="P813" i="9"/>
  <c r="O813" i="9"/>
  <c r="N813" i="9"/>
  <c r="M813" i="9"/>
  <c r="L813" i="9"/>
  <c r="K813" i="9"/>
  <c r="J813" i="9"/>
  <c r="I813" i="9"/>
  <c r="H813" i="9"/>
  <c r="G813" i="9"/>
  <c r="F813" i="9"/>
  <c r="Q812" i="9"/>
  <c r="P812" i="9"/>
  <c r="O812" i="9"/>
  <c r="N812" i="9"/>
  <c r="M812" i="9"/>
  <c r="L812" i="9"/>
  <c r="K812" i="9"/>
  <c r="J812" i="9"/>
  <c r="I812" i="9"/>
  <c r="H812" i="9"/>
  <c r="G812" i="9"/>
  <c r="F812" i="9"/>
  <c r="Q811" i="9"/>
  <c r="P811" i="9"/>
  <c r="O811" i="9"/>
  <c r="N811" i="9"/>
  <c r="M811" i="9"/>
  <c r="L811" i="9"/>
  <c r="K811" i="9"/>
  <c r="J811" i="9"/>
  <c r="I811" i="9"/>
  <c r="H811" i="9"/>
  <c r="G811" i="9"/>
  <c r="F811" i="9"/>
  <c r="Q810" i="9"/>
  <c r="P810" i="9"/>
  <c r="O810" i="9"/>
  <c r="N810" i="9"/>
  <c r="M810" i="9"/>
  <c r="L810" i="9"/>
  <c r="K810" i="9"/>
  <c r="J810" i="9"/>
  <c r="I810" i="9"/>
  <c r="H810" i="9"/>
  <c r="G810" i="9"/>
  <c r="F810" i="9"/>
  <c r="Q807" i="9"/>
  <c r="P807" i="9"/>
  <c r="O807" i="9"/>
  <c r="N807" i="9"/>
  <c r="M807" i="9"/>
  <c r="L807" i="9"/>
  <c r="K807" i="9"/>
  <c r="J807" i="9"/>
  <c r="I807" i="9"/>
  <c r="H807" i="9"/>
  <c r="G807" i="9"/>
  <c r="F807" i="9"/>
  <c r="Q806" i="9"/>
  <c r="P806" i="9"/>
  <c r="O806" i="9"/>
  <c r="N806" i="9"/>
  <c r="M806" i="9"/>
  <c r="L806" i="9"/>
  <c r="K806" i="9"/>
  <c r="J806" i="9"/>
  <c r="I806" i="9"/>
  <c r="H806" i="9"/>
  <c r="G806" i="9"/>
  <c r="F806" i="9"/>
  <c r="Q805" i="9"/>
  <c r="P805" i="9"/>
  <c r="O805" i="9"/>
  <c r="N805" i="9"/>
  <c r="M805" i="9"/>
  <c r="L805" i="9"/>
  <c r="K805" i="9"/>
  <c r="J805" i="9"/>
  <c r="I805" i="9"/>
  <c r="H805" i="9"/>
  <c r="G805" i="9"/>
  <c r="F805" i="9"/>
  <c r="Q804" i="9"/>
  <c r="P804" i="9"/>
  <c r="O804" i="9"/>
  <c r="N804" i="9"/>
  <c r="M804" i="9"/>
  <c r="L804" i="9"/>
  <c r="K804" i="9"/>
  <c r="J804" i="9"/>
  <c r="I804" i="9"/>
  <c r="H804" i="9"/>
  <c r="G804" i="9"/>
  <c r="F804" i="9"/>
  <c r="Q803" i="9"/>
  <c r="P803" i="9"/>
  <c r="O803" i="9"/>
  <c r="N803" i="9"/>
  <c r="M803" i="9"/>
  <c r="L803" i="9"/>
  <c r="K803" i="9"/>
  <c r="J803" i="9"/>
  <c r="I803" i="9"/>
  <c r="H803" i="9"/>
  <c r="G803" i="9"/>
  <c r="F803" i="9"/>
  <c r="B802" i="9"/>
  <c r="A802" i="9"/>
  <c r="B801" i="9"/>
  <c r="A801" i="9"/>
  <c r="B800" i="9"/>
  <c r="A800" i="9"/>
  <c r="B799" i="9"/>
  <c r="A799" i="9"/>
  <c r="B798" i="9"/>
  <c r="A798" i="9"/>
  <c r="B797" i="9"/>
  <c r="A797" i="9"/>
  <c r="B796" i="9"/>
  <c r="A796" i="9"/>
  <c r="B795" i="9"/>
  <c r="A795" i="9"/>
  <c r="B794" i="9"/>
  <c r="A794" i="9"/>
  <c r="B793" i="9"/>
  <c r="A793" i="9"/>
  <c r="B792" i="9"/>
  <c r="A792" i="9"/>
  <c r="B791" i="9"/>
  <c r="A791" i="9"/>
  <c r="B790" i="9"/>
  <c r="A790" i="9"/>
  <c r="B789" i="9"/>
  <c r="A789" i="9"/>
  <c r="B788" i="9"/>
  <c r="A788" i="9"/>
  <c r="B787" i="9"/>
  <c r="A787" i="9"/>
  <c r="B786" i="9"/>
  <c r="A786" i="9"/>
  <c r="B785" i="9"/>
  <c r="A785" i="9"/>
  <c r="B784" i="9"/>
  <c r="A784" i="9"/>
  <c r="B783" i="9"/>
  <c r="A783" i="9"/>
  <c r="Q801" i="9"/>
  <c r="P801" i="9"/>
  <c r="O801" i="9"/>
  <c r="N801" i="9"/>
  <c r="M801" i="9"/>
  <c r="L801" i="9"/>
  <c r="K801" i="9"/>
  <c r="J801" i="9"/>
  <c r="I801" i="9"/>
  <c r="H801" i="9"/>
  <c r="G801" i="9"/>
  <c r="F801" i="9"/>
  <c r="Q800" i="9"/>
  <c r="P800" i="9"/>
  <c r="O800" i="9"/>
  <c r="N800" i="9"/>
  <c r="M800" i="9"/>
  <c r="L800" i="9"/>
  <c r="K800" i="9"/>
  <c r="J800" i="9"/>
  <c r="I800" i="9"/>
  <c r="H800" i="9"/>
  <c r="G800" i="9"/>
  <c r="F800" i="9"/>
  <c r="Q799" i="9"/>
  <c r="P799" i="9"/>
  <c r="O799" i="9"/>
  <c r="N799" i="9"/>
  <c r="M799" i="9"/>
  <c r="L799" i="9"/>
  <c r="K799" i="9"/>
  <c r="J799" i="9"/>
  <c r="I799" i="9"/>
  <c r="H799" i="9"/>
  <c r="G799" i="9"/>
  <c r="F799" i="9"/>
  <c r="Q798" i="9"/>
  <c r="P798" i="9"/>
  <c r="O798" i="9"/>
  <c r="N798" i="9"/>
  <c r="M798" i="9"/>
  <c r="L798" i="9"/>
  <c r="K798" i="9"/>
  <c r="J798" i="9"/>
  <c r="I798" i="9"/>
  <c r="H798" i="9"/>
  <c r="G798" i="9"/>
  <c r="F798" i="9"/>
  <c r="Q797" i="9"/>
  <c r="P797" i="9"/>
  <c r="O797" i="9"/>
  <c r="N797" i="9"/>
  <c r="M797" i="9"/>
  <c r="L797" i="9"/>
  <c r="K797" i="9"/>
  <c r="J797" i="9"/>
  <c r="I797" i="9"/>
  <c r="H797" i="9"/>
  <c r="G797" i="9"/>
  <c r="F797" i="9"/>
  <c r="Q794" i="9"/>
  <c r="P794" i="9"/>
  <c r="O794" i="9"/>
  <c r="N794" i="9"/>
  <c r="M794" i="9"/>
  <c r="L794" i="9"/>
  <c r="K794" i="9"/>
  <c r="J794" i="9"/>
  <c r="I794" i="9"/>
  <c r="H794" i="9"/>
  <c r="G794" i="9"/>
  <c r="F794" i="9"/>
  <c r="Q793" i="9"/>
  <c r="P793" i="9"/>
  <c r="O793" i="9"/>
  <c r="N793" i="9"/>
  <c r="M793" i="9"/>
  <c r="L793" i="9"/>
  <c r="K793" i="9"/>
  <c r="J793" i="9"/>
  <c r="I793" i="9"/>
  <c r="H793" i="9"/>
  <c r="G793" i="9"/>
  <c r="F793" i="9"/>
  <c r="Q792" i="9"/>
  <c r="P792" i="9"/>
  <c r="O792" i="9"/>
  <c r="N792" i="9"/>
  <c r="M792" i="9"/>
  <c r="L792" i="9"/>
  <c r="K792" i="9"/>
  <c r="J792" i="9"/>
  <c r="I792" i="9"/>
  <c r="H792" i="9"/>
  <c r="G792" i="9"/>
  <c r="F792" i="9"/>
  <c r="Q791" i="9"/>
  <c r="P791" i="9"/>
  <c r="O791" i="9"/>
  <c r="N791" i="9"/>
  <c r="M791" i="9"/>
  <c r="L791" i="9"/>
  <c r="K791" i="9"/>
  <c r="J791" i="9"/>
  <c r="I791" i="9"/>
  <c r="H791" i="9"/>
  <c r="G791" i="9"/>
  <c r="F791" i="9"/>
  <c r="Q790" i="9"/>
  <c r="P790" i="9"/>
  <c r="O790" i="9"/>
  <c r="N790" i="9"/>
  <c r="M790" i="9"/>
  <c r="L790" i="9"/>
  <c r="K790" i="9"/>
  <c r="J790" i="9"/>
  <c r="I790" i="9"/>
  <c r="H790" i="9"/>
  <c r="G790" i="9"/>
  <c r="F790" i="9"/>
  <c r="Q787" i="9"/>
  <c r="P787" i="9"/>
  <c r="O787" i="9"/>
  <c r="N787" i="9"/>
  <c r="M787" i="9"/>
  <c r="L787" i="9"/>
  <c r="K787" i="9"/>
  <c r="J787" i="9"/>
  <c r="I787" i="9"/>
  <c r="H787" i="9"/>
  <c r="G787" i="9"/>
  <c r="F787" i="9"/>
  <c r="Q786" i="9"/>
  <c r="P786" i="9"/>
  <c r="O786" i="9"/>
  <c r="N786" i="9"/>
  <c r="M786" i="9"/>
  <c r="L786" i="9"/>
  <c r="K786" i="9"/>
  <c r="J786" i="9"/>
  <c r="I786" i="9"/>
  <c r="H786" i="9"/>
  <c r="G786" i="9"/>
  <c r="F786" i="9"/>
  <c r="Q785" i="9"/>
  <c r="P785" i="9"/>
  <c r="O785" i="9"/>
  <c r="N785" i="9"/>
  <c r="M785" i="9"/>
  <c r="L785" i="9"/>
  <c r="K785" i="9"/>
  <c r="J785" i="9"/>
  <c r="I785" i="9"/>
  <c r="H785" i="9"/>
  <c r="G785" i="9"/>
  <c r="F785" i="9"/>
  <c r="Q784" i="9"/>
  <c r="P784" i="9"/>
  <c r="O784" i="9"/>
  <c r="N784" i="9"/>
  <c r="M784" i="9"/>
  <c r="L784" i="9"/>
  <c r="K784" i="9"/>
  <c r="J784" i="9"/>
  <c r="I784" i="9"/>
  <c r="H784" i="9"/>
  <c r="G784" i="9"/>
  <c r="F784" i="9"/>
  <c r="Q783" i="9"/>
  <c r="P783" i="9"/>
  <c r="O783" i="9"/>
  <c r="N783" i="9"/>
  <c r="M783" i="9"/>
  <c r="L783" i="9"/>
  <c r="K783" i="9"/>
  <c r="J783" i="9"/>
  <c r="I783" i="9"/>
  <c r="H783" i="9"/>
  <c r="G783" i="9"/>
  <c r="F783" i="9"/>
  <c r="B782" i="9"/>
  <c r="A782" i="9"/>
  <c r="B781" i="9"/>
  <c r="A781" i="9"/>
  <c r="B780" i="9"/>
  <c r="A780" i="9"/>
  <c r="B779" i="9"/>
  <c r="A779" i="9"/>
  <c r="B778" i="9"/>
  <c r="A778" i="9"/>
  <c r="B777" i="9"/>
  <c r="A777" i="9"/>
  <c r="B776" i="9"/>
  <c r="A776" i="9"/>
  <c r="B775" i="9"/>
  <c r="A775" i="9"/>
  <c r="B774" i="9"/>
  <c r="A774" i="9"/>
  <c r="B773" i="9"/>
  <c r="A773" i="9"/>
  <c r="B772" i="9"/>
  <c r="A772" i="9"/>
  <c r="B771" i="9"/>
  <c r="A771" i="9"/>
  <c r="B770" i="9"/>
  <c r="A770" i="9"/>
  <c r="B769" i="9"/>
  <c r="A769" i="9"/>
  <c r="B768" i="9"/>
  <c r="A768" i="9"/>
  <c r="B767" i="9"/>
  <c r="A767" i="9"/>
  <c r="B766" i="9"/>
  <c r="A766" i="9"/>
  <c r="B765" i="9"/>
  <c r="A765" i="9"/>
  <c r="B764" i="9"/>
  <c r="A764" i="9"/>
  <c r="B763" i="9"/>
  <c r="A763" i="9"/>
  <c r="Q781" i="9"/>
  <c r="P781" i="9"/>
  <c r="O781" i="9"/>
  <c r="N781" i="9"/>
  <c r="M781" i="9"/>
  <c r="L781" i="9"/>
  <c r="K781" i="9"/>
  <c r="J781" i="9"/>
  <c r="I781" i="9"/>
  <c r="H781" i="9"/>
  <c r="G781" i="9"/>
  <c r="F781" i="9"/>
  <c r="Q780" i="9"/>
  <c r="P780" i="9"/>
  <c r="O780" i="9"/>
  <c r="N780" i="9"/>
  <c r="M780" i="9"/>
  <c r="L780" i="9"/>
  <c r="K780" i="9"/>
  <c r="J780" i="9"/>
  <c r="I780" i="9"/>
  <c r="H780" i="9"/>
  <c r="G780" i="9"/>
  <c r="F780" i="9"/>
  <c r="Q779" i="9"/>
  <c r="P779" i="9"/>
  <c r="O779" i="9"/>
  <c r="N779" i="9"/>
  <c r="M779" i="9"/>
  <c r="L779" i="9"/>
  <c r="K779" i="9"/>
  <c r="J779" i="9"/>
  <c r="I779" i="9"/>
  <c r="H779" i="9"/>
  <c r="G779" i="9"/>
  <c r="F779" i="9"/>
  <c r="Q778" i="9"/>
  <c r="P778" i="9"/>
  <c r="O778" i="9"/>
  <c r="N778" i="9"/>
  <c r="M778" i="9"/>
  <c r="L778" i="9"/>
  <c r="K778" i="9"/>
  <c r="J778" i="9"/>
  <c r="I778" i="9"/>
  <c r="H778" i="9"/>
  <c r="G778" i="9"/>
  <c r="F778" i="9"/>
  <c r="Q777" i="9"/>
  <c r="P777" i="9"/>
  <c r="O777" i="9"/>
  <c r="N777" i="9"/>
  <c r="M777" i="9"/>
  <c r="L777" i="9"/>
  <c r="K777" i="9"/>
  <c r="J777" i="9"/>
  <c r="I777" i="9"/>
  <c r="H777" i="9"/>
  <c r="G777" i="9"/>
  <c r="F777" i="9"/>
  <c r="Q774" i="9"/>
  <c r="P774" i="9"/>
  <c r="O774" i="9"/>
  <c r="N774" i="9"/>
  <c r="M774" i="9"/>
  <c r="L774" i="9"/>
  <c r="K774" i="9"/>
  <c r="J774" i="9"/>
  <c r="I774" i="9"/>
  <c r="H774" i="9"/>
  <c r="G774" i="9"/>
  <c r="F774" i="9"/>
  <c r="Q773" i="9"/>
  <c r="P773" i="9"/>
  <c r="O773" i="9"/>
  <c r="N773" i="9"/>
  <c r="M773" i="9"/>
  <c r="L773" i="9"/>
  <c r="K773" i="9"/>
  <c r="J773" i="9"/>
  <c r="I773" i="9"/>
  <c r="H773" i="9"/>
  <c r="G773" i="9"/>
  <c r="F773" i="9"/>
  <c r="Q772" i="9"/>
  <c r="P772" i="9"/>
  <c r="O772" i="9"/>
  <c r="N772" i="9"/>
  <c r="M772" i="9"/>
  <c r="L772" i="9"/>
  <c r="K772" i="9"/>
  <c r="J772" i="9"/>
  <c r="I772" i="9"/>
  <c r="H772" i="9"/>
  <c r="G772" i="9"/>
  <c r="F772" i="9"/>
  <c r="Q771" i="9"/>
  <c r="P771" i="9"/>
  <c r="O771" i="9"/>
  <c r="N771" i="9"/>
  <c r="M771" i="9"/>
  <c r="L771" i="9"/>
  <c r="K771" i="9"/>
  <c r="J771" i="9"/>
  <c r="I771" i="9"/>
  <c r="H771" i="9"/>
  <c r="G771" i="9"/>
  <c r="F771" i="9"/>
  <c r="Q770" i="9"/>
  <c r="P770" i="9"/>
  <c r="O770" i="9"/>
  <c r="N770" i="9"/>
  <c r="M770" i="9"/>
  <c r="L770" i="9"/>
  <c r="K770" i="9"/>
  <c r="J770" i="9"/>
  <c r="I770" i="9"/>
  <c r="H770" i="9"/>
  <c r="G770" i="9"/>
  <c r="F770" i="9"/>
  <c r="Q767" i="9"/>
  <c r="P767" i="9"/>
  <c r="O767" i="9"/>
  <c r="N767" i="9"/>
  <c r="M767" i="9"/>
  <c r="L767" i="9"/>
  <c r="K767" i="9"/>
  <c r="J767" i="9"/>
  <c r="I767" i="9"/>
  <c r="H767" i="9"/>
  <c r="G767" i="9"/>
  <c r="F767" i="9"/>
  <c r="Q766" i="9"/>
  <c r="P766" i="9"/>
  <c r="O766" i="9"/>
  <c r="N766" i="9"/>
  <c r="M766" i="9"/>
  <c r="L766" i="9"/>
  <c r="K766" i="9"/>
  <c r="J766" i="9"/>
  <c r="I766" i="9"/>
  <c r="H766" i="9"/>
  <c r="G766" i="9"/>
  <c r="F766" i="9"/>
  <c r="Q765" i="9"/>
  <c r="P765" i="9"/>
  <c r="O765" i="9"/>
  <c r="N765" i="9"/>
  <c r="M765" i="9"/>
  <c r="L765" i="9"/>
  <c r="K765" i="9"/>
  <c r="J765" i="9"/>
  <c r="I765" i="9"/>
  <c r="H765" i="9"/>
  <c r="G765" i="9"/>
  <c r="F765" i="9"/>
  <c r="Q764" i="9"/>
  <c r="P764" i="9"/>
  <c r="O764" i="9"/>
  <c r="N764" i="9"/>
  <c r="M764" i="9"/>
  <c r="L764" i="9"/>
  <c r="K764" i="9"/>
  <c r="J764" i="9"/>
  <c r="I764" i="9"/>
  <c r="H764" i="9"/>
  <c r="G764" i="9"/>
  <c r="F764" i="9"/>
  <c r="Q763" i="9"/>
  <c r="P763" i="9"/>
  <c r="O763" i="9"/>
  <c r="N763" i="9"/>
  <c r="M763" i="9"/>
  <c r="L763" i="9"/>
  <c r="K763" i="9"/>
  <c r="J763" i="9"/>
  <c r="I763" i="9"/>
  <c r="H763" i="9"/>
  <c r="G763" i="9"/>
  <c r="F763" i="9"/>
  <c r="B762" i="9"/>
  <c r="A762" i="9"/>
  <c r="Q761" i="9"/>
  <c r="P761" i="9"/>
  <c r="O761" i="9"/>
  <c r="N761" i="9"/>
  <c r="M761" i="9"/>
  <c r="L761" i="9"/>
  <c r="K761" i="9"/>
  <c r="J761" i="9"/>
  <c r="I761" i="9"/>
  <c r="H761" i="9"/>
  <c r="G761" i="9"/>
  <c r="F761" i="9"/>
  <c r="Q760" i="9"/>
  <c r="P760" i="9"/>
  <c r="O760" i="9"/>
  <c r="N760" i="9"/>
  <c r="M760" i="9"/>
  <c r="L760" i="9"/>
  <c r="K760" i="9"/>
  <c r="J760" i="9"/>
  <c r="I760" i="9"/>
  <c r="H760" i="9"/>
  <c r="G760" i="9"/>
  <c r="F760" i="9"/>
  <c r="Q759" i="9"/>
  <c r="P759" i="9"/>
  <c r="O759" i="9"/>
  <c r="N759" i="9"/>
  <c r="M759" i="9"/>
  <c r="L759" i="9"/>
  <c r="K759" i="9"/>
  <c r="J759" i="9"/>
  <c r="I759" i="9"/>
  <c r="H759" i="9"/>
  <c r="G759" i="9"/>
  <c r="F759" i="9"/>
  <c r="Q758" i="9"/>
  <c r="P758" i="9"/>
  <c r="O758" i="9"/>
  <c r="N758" i="9"/>
  <c r="M758" i="9"/>
  <c r="L758" i="9"/>
  <c r="K758" i="9"/>
  <c r="J758" i="9"/>
  <c r="I758" i="9"/>
  <c r="H758" i="9"/>
  <c r="G758" i="9"/>
  <c r="F758" i="9"/>
  <c r="Q757" i="9"/>
  <c r="P757" i="9"/>
  <c r="O757" i="9"/>
  <c r="N757" i="9"/>
  <c r="M757" i="9"/>
  <c r="L757" i="9"/>
  <c r="K757" i="9"/>
  <c r="J757" i="9"/>
  <c r="I757" i="9"/>
  <c r="H757" i="9"/>
  <c r="G757" i="9"/>
  <c r="F757" i="9"/>
  <c r="Q754" i="9"/>
  <c r="P754" i="9"/>
  <c r="O754" i="9"/>
  <c r="N754" i="9"/>
  <c r="M754" i="9"/>
  <c r="L754" i="9"/>
  <c r="K754" i="9"/>
  <c r="J754" i="9"/>
  <c r="I754" i="9"/>
  <c r="H754" i="9"/>
  <c r="G754" i="9"/>
  <c r="F754" i="9"/>
  <c r="Q753" i="9"/>
  <c r="P753" i="9"/>
  <c r="O753" i="9"/>
  <c r="N753" i="9"/>
  <c r="M753" i="9"/>
  <c r="L753" i="9"/>
  <c r="K753" i="9"/>
  <c r="J753" i="9"/>
  <c r="I753" i="9"/>
  <c r="H753" i="9"/>
  <c r="G753" i="9"/>
  <c r="F753" i="9"/>
  <c r="Q752" i="9"/>
  <c r="P752" i="9"/>
  <c r="O752" i="9"/>
  <c r="N752" i="9"/>
  <c r="M752" i="9"/>
  <c r="L752" i="9"/>
  <c r="K752" i="9"/>
  <c r="J752" i="9"/>
  <c r="I752" i="9"/>
  <c r="H752" i="9"/>
  <c r="G752" i="9"/>
  <c r="F752" i="9"/>
  <c r="Q751" i="9"/>
  <c r="P751" i="9"/>
  <c r="O751" i="9"/>
  <c r="N751" i="9"/>
  <c r="M751" i="9"/>
  <c r="L751" i="9"/>
  <c r="K751" i="9"/>
  <c r="J751" i="9"/>
  <c r="I751" i="9"/>
  <c r="H751" i="9"/>
  <c r="G751" i="9"/>
  <c r="F751" i="9"/>
  <c r="Q750" i="9"/>
  <c r="P750" i="9"/>
  <c r="O750" i="9"/>
  <c r="N750" i="9"/>
  <c r="M750" i="9"/>
  <c r="L750" i="9"/>
  <c r="K750" i="9"/>
  <c r="J750" i="9"/>
  <c r="I750" i="9"/>
  <c r="H750" i="9"/>
  <c r="G750" i="9"/>
  <c r="F750" i="9"/>
  <c r="Q747" i="9"/>
  <c r="P747" i="9"/>
  <c r="O747" i="9"/>
  <c r="N747" i="9"/>
  <c r="M747" i="9"/>
  <c r="L747" i="9"/>
  <c r="K747" i="9"/>
  <c r="J747" i="9"/>
  <c r="I747" i="9"/>
  <c r="H747" i="9"/>
  <c r="G747" i="9"/>
  <c r="F747" i="9"/>
  <c r="Q746" i="9"/>
  <c r="P746" i="9"/>
  <c r="O746" i="9"/>
  <c r="N746" i="9"/>
  <c r="M746" i="9"/>
  <c r="L746" i="9"/>
  <c r="K746" i="9"/>
  <c r="J746" i="9"/>
  <c r="I746" i="9"/>
  <c r="H746" i="9"/>
  <c r="G746" i="9"/>
  <c r="F746" i="9"/>
  <c r="Q745" i="9"/>
  <c r="P745" i="9"/>
  <c r="O745" i="9"/>
  <c r="N745" i="9"/>
  <c r="M745" i="9"/>
  <c r="L745" i="9"/>
  <c r="K745" i="9"/>
  <c r="J745" i="9"/>
  <c r="I745" i="9"/>
  <c r="H745" i="9"/>
  <c r="G745" i="9"/>
  <c r="F745" i="9"/>
  <c r="Q744" i="9"/>
  <c r="P744" i="9"/>
  <c r="O744" i="9"/>
  <c r="N744" i="9"/>
  <c r="M744" i="9"/>
  <c r="L744" i="9"/>
  <c r="K744" i="9"/>
  <c r="J744" i="9"/>
  <c r="I744" i="9"/>
  <c r="H744" i="9"/>
  <c r="G744" i="9"/>
  <c r="F744" i="9"/>
  <c r="Q743" i="9"/>
  <c r="P743" i="9"/>
  <c r="O743" i="9"/>
  <c r="N743" i="9"/>
  <c r="M743" i="9"/>
  <c r="L743" i="9"/>
  <c r="K743" i="9"/>
  <c r="J743" i="9"/>
  <c r="I743" i="9"/>
  <c r="H743" i="9"/>
  <c r="G743" i="9"/>
  <c r="F743" i="9"/>
  <c r="B761" i="9"/>
  <c r="A761" i="9"/>
  <c r="B760" i="9"/>
  <c r="A760" i="9"/>
  <c r="B759" i="9"/>
  <c r="A759" i="9"/>
  <c r="B758" i="9"/>
  <c r="A758" i="9"/>
  <c r="B757" i="9"/>
  <c r="A757" i="9"/>
  <c r="B756" i="9"/>
  <c r="A756" i="9"/>
  <c r="B755" i="9"/>
  <c r="A755" i="9"/>
  <c r="B754" i="9"/>
  <c r="A754" i="9"/>
  <c r="B753" i="9"/>
  <c r="A753" i="9"/>
  <c r="B752" i="9"/>
  <c r="A752" i="9"/>
  <c r="B751" i="9"/>
  <c r="A751" i="9"/>
  <c r="B750" i="9"/>
  <c r="A750" i="9"/>
  <c r="B749" i="9"/>
  <c r="A749" i="9"/>
  <c r="B748" i="9"/>
  <c r="A748" i="9"/>
  <c r="B747" i="9"/>
  <c r="A747" i="9"/>
  <c r="B746" i="9"/>
  <c r="A746" i="9"/>
  <c r="B745" i="9"/>
  <c r="A745" i="9"/>
  <c r="B744" i="9"/>
  <c r="A744" i="9"/>
  <c r="B743" i="9"/>
  <c r="A743" i="9"/>
  <c r="B742" i="9"/>
  <c r="A742" i="9"/>
  <c r="Q741" i="9"/>
  <c r="P741" i="9"/>
  <c r="O741" i="9"/>
  <c r="N741" i="9"/>
  <c r="M741" i="9"/>
  <c r="L741" i="9"/>
  <c r="K741" i="9"/>
  <c r="J741" i="9"/>
  <c r="I741" i="9"/>
  <c r="H741" i="9"/>
  <c r="G741" i="9"/>
  <c r="F741" i="9"/>
  <c r="Q740" i="9"/>
  <c r="P740" i="9"/>
  <c r="O740" i="9"/>
  <c r="N740" i="9"/>
  <c r="M740" i="9"/>
  <c r="L740" i="9"/>
  <c r="K740" i="9"/>
  <c r="J740" i="9"/>
  <c r="I740" i="9"/>
  <c r="H740" i="9"/>
  <c r="G740" i="9"/>
  <c r="F740" i="9"/>
  <c r="Q739" i="9"/>
  <c r="P739" i="9"/>
  <c r="O739" i="9"/>
  <c r="N739" i="9"/>
  <c r="M739" i="9"/>
  <c r="L739" i="9"/>
  <c r="K739" i="9"/>
  <c r="J739" i="9"/>
  <c r="I739" i="9"/>
  <c r="H739" i="9"/>
  <c r="G739" i="9"/>
  <c r="F739" i="9"/>
  <c r="Q738" i="9"/>
  <c r="P738" i="9"/>
  <c r="O738" i="9"/>
  <c r="N738" i="9"/>
  <c r="M738" i="9"/>
  <c r="L738" i="9"/>
  <c r="K738" i="9"/>
  <c r="J738" i="9"/>
  <c r="I738" i="9"/>
  <c r="H738" i="9"/>
  <c r="G738" i="9"/>
  <c r="F738" i="9"/>
  <c r="Q737" i="9"/>
  <c r="P737" i="9"/>
  <c r="O737" i="9"/>
  <c r="N737" i="9"/>
  <c r="M737" i="9"/>
  <c r="L737" i="9"/>
  <c r="K737" i="9"/>
  <c r="J737" i="9"/>
  <c r="I737" i="9"/>
  <c r="H737" i="9"/>
  <c r="G737" i="9"/>
  <c r="F737" i="9"/>
  <c r="Q734" i="9"/>
  <c r="P734" i="9"/>
  <c r="O734" i="9"/>
  <c r="N734" i="9"/>
  <c r="M734" i="9"/>
  <c r="L734" i="9"/>
  <c r="K734" i="9"/>
  <c r="J734" i="9"/>
  <c r="I734" i="9"/>
  <c r="H734" i="9"/>
  <c r="G734" i="9"/>
  <c r="F734" i="9"/>
  <c r="Q733" i="9"/>
  <c r="P733" i="9"/>
  <c r="O733" i="9"/>
  <c r="N733" i="9"/>
  <c r="M733" i="9"/>
  <c r="L733" i="9"/>
  <c r="K733" i="9"/>
  <c r="J733" i="9"/>
  <c r="I733" i="9"/>
  <c r="H733" i="9"/>
  <c r="G733" i="9"/>
  <c r="F733" i="9"/>
  <c r="Q732" i="9"/>
  <c r="P732" i="9"/>
  <c r="O732" i="9"/>
  <c r="N732" i="9"/>
  <c r="M732" i="9"/>
  <c r="L732" i="9"/>
  <c r="K732" i="9"/>
  <c r="J732" i="9"/>
  <c r="I732" i="9"/>
  <c r="H732" i="9"/>
  <c r="G732" i="9"/>
  <c r="F732" i="9"/>
  <c r="Q731" i="9"/>
  <c r="P731" i="9"/>
  <c r="O731" i="9"/>
  <c r="N731" i="9"/>
  <c r="M731" i="9"/>
  <c r="L731" i="9"/>
  <c r="K731" i="9"/>
  <c r="J731" i="9"/>
  <c r="I731" i="9"/>
  <c r="H731" i="9"/>
  <c r="G731" i="9"/>
  <c r="F731" i="9"/>
  <c r="Q730" i="9"/>
  <c r="P730" i="9"/>
  <c r="O730" i="9"/>
  <c r="N730" i="9"/>
  <c r="M730" i="9"/>
  <c r="L730" i="9"/>
  <c r="K730" i="9"/>
  <c r="J730" i="9"/>
  <c r="I730" i="9"/>
  <c r="H730" i="9"/>
  <c r="G730" i="9"/>
  <c r="F730" i="9"/>
  <c r="Q727" i="9"/>
  <c r="P727" i="9"/>
  <c r="O727" i="9"/>
  <c r="N727" i="9"/>
  <c r="M727" i="9"/>
  <c r="L727" i="9"/>
  <c r="K727" i="9"/>
  <c r="J727" i="9"/>
  <c r="I727" i="9"/>
  <c r="H727" i="9"/>
  <c r="G727" i="9"/>
  <c r="F727" i="9"/>
  <c r="Q726" i="9"/>
  <c r="P726" i="9"/>
  <c r="O726" i="9"/>
  <c r="N726" i="9"/>
  <c r="M726" i="9"/>
  <c r="L726" i="9"/>
  <c r="K726" i="9"/>
  <c r="J726" i="9"/>
  <c r="I726" i="9"/>
  <c r="H726" i="9"/>
  <c r="G726" i="9"/>
  <c r="F726" i="9"/>
  <c r="Q725" i="9"/>
  <c r="P725" i="9"/>
  <c r="O725" i="9"/>
  <c r="N725" i="9"/>
  <c r="M725" i="9"/>
  <c r="L725" i="9"/>
  <c r="K725" i="9"/>
  <c r="J725" i="9"/>
  <c r="I725" i="9"/>
  <c r="H725" i="9"/>
  <c r="G725" i="9"/>
  <c r="F725" i="9"/>
  <c r="Q724" i="9"/>
  <c r="P724" i="9"/>
  <c r="O724" i="9"/>
  <c r="N724" i="9"/>
  <c r="M724" i="9"/>
  <c r="L724" i="9"/>
  <c r="K724" i="9"/>
  <c r="J724" i="9"/>
  <c r="I724" i="9"/>
  <c r="H724" i="9"/>
  <c r="G724" i="9"/>
  <c r="F724" i="9"/>
  <c r="Q723" i="9"/>
  <c r="P723" i="9"/>
  <c r="O723" i="9"/>
  <c r="N723" i="9"/>
  <c r="M723" i="9"/>
  <c r="L723" i="9"/>
  <c r="K723" i="9"/>
  <c r="J723" i="9"/>
  <c r="I723" i="9"/>
  <c r="H723" i="9"/>
  <c r="G723" i="9"/>
  <c r="B741" i="9"/>
  <c r="A741" i="9"/>
  <c r="B740" i="9"/>
  <c r="A740" i="9"/>
  <c r="B739" i="9"/>
  <c r="A739" i="9"/>
  <c r="B738" i="9"/>
  <c r="A738" i="9"/>
  <c r="B737" i="9"/>
  <c r="A737" i="9"/>
  <c r="B736" i="9"/>
  <c r="A736" i="9"/>
  <c r="B735" i="9"/>
  <c r="A735" i="9"/>
  <c r="B734" i="9"/>
  <c r="A734" i="9"/>
  <c r="B733" i="9"/>
  <c r="A733" i="9"/>
  <c r="B732" i="9"/>
  <c r="A732" i="9"/>
  <c r="B731" i="9"/>
  <c r="A731" i="9"/>
  <c r="B730" i="9"/>
  <c r="A730" i="9"/>
  <c r="B729" i="9"/>
  <c r="A729" i="9"/>
  <c r="B728" i="9"/>
  <c r="A728" i="9"/>
  <c r="B727" i="9"/>
  <c r="A727" i="9"/>
  <c r="B726" i="9"/>
  <c r="A726" i="9"/>
  <c r="B725" i="9"/>
  <c r="A725" i="9"/>
  <c r="B724" i="9"/>
  <c r="A724" i="9"/>
  <c r="B723" i="9"/>
  <c r="A723" i="9"/>
  <c r="F723" i="9"/>
  <c r="B722" i="9"/>
  <c r="A722" i="9"/>
  <c r="B721" i="9"/>
  <c r="A721" i="9"/>
  <c r="B720" i="9"/>
  <c r="A720" i="9"/>
  <c r="B719" i="9"/>
  <c r="A719" i="9"/>
  <c r="B718" i="9"/>
  <c r="A718" i="9"/>
  <c r="B717" i="9"/>
  <c r="A717" i="9"/>
  <c r="B716" i="9"/>
  <c r="A716" i="9"/>
  <c r="B715" i="9"/>
  <c r="A715" i="9"/>
  <c r="B714" i="9"/>
  <c r="A714" i="9"/>
  <c r="B713" i="9"/>
  <c r="A713" i="9"/>
  <c r="B712" i="9"/>
  <c r="A712" i="9"/>
  <c r="B711" i="9"/>
  <c r="A711" i="9"/>
  <c r="B710" i="9"/>
  <c r="A710" i="9"/>
  <c r="B709" i="9"/>
  <c r="A709" i="9"/>
  <c r="B708" i="9"/>
  <c r="A708" i="9"/>
  <c r="B707" i="9"/>
  <c r="A707" i="9"/>
  <c r="B706" i="9"/>
  <c r="A706" i="9"/>
  <c r="B705" i="9"/>
  <c r="A705" i="9"/>
  <c r="B704" i="9"/>
  <c r="A704" i="9"/>
  <c r="B703" i="9"/>
  <c r="A703" i="9"/>
  <c r="Q721" i="9"/>
  <c r="P721" i="9"/>
  <c r="O721" i="9"/>
  <c r="N721" i="9"/>
  <c r="M721" i="9"/>
  <c r="L721" i="9"/>
  <c r="K721" i="9"/>
  <c r="J721" i="9"/>
  <c r="I721" i="9"/>
  <c r="H721" i="9"/>
  <c r="G721" i="9"/>
  <c r="F721" i="9"/>
  <c r="Q720" i="9"/>
  <c r="P720" i="9"/>
  <c r="O720" i="9"/>
  <c r="N720" i="9"/>
  <c r="M720" i="9"/>
  <c r="L720" i="9"/>
  <c r="K720" i="9"/>
  <c r="J720" i="9"/>
  <c r="I720" i="9"/>
  <c r="H720" i="9"/>
  <c r="G720" i="9"/>
  <c r="F720" i="9"/>
  <c r="Q719" i="9"/>
  <c r="P719" i="9"/>
  <c r="O719" i="9"/>
  <c r="N719" i="9"/>
  <c r="M719" i="9"/>
  <c r="L719" i="9"/>
  <c r="K719" i="9"/>
  <c r="J719" i="9"/>
  <c r="I719" i="9"/>
  <c r="H719" i="9"/>
  <c r="G719" i="9"/>
  <c r="F719" i="9"/>
  <c r="Q718" i="9"/>
  <c r="P718" i="9"/>
  <c r="O718" i="9"/>
  <c r="N718" i="9"/>
  <c r="M718" i="9"/>
  <c r="L718" i="9"/>
  <c r="K718" i="9"/>
  <c r="J718" i="9"/>
  <c r="I718" i="9"/>
  <c r="H718" i="9"/>
  <c r="G718" i="9"/>
  <c r="F718" i="9"/>
  <c r="Q717" i="9"/>
  <c r="P717" i="9"/>
  <c r="O717" i="9"/>
  <c r="N717" i="9"/>
  <c r="M717" i="9"/>
  <c r="L717" i="9"/>
  <c r="K717" i="9"/>
  <c r="J717" i="9"/>
  <c r="I717" i="9"/>
  <c r="H717" i="9"/>
  <c r="G717" i="9"/>
  <c r="F717" i="9"/>
  <c r="Q714" i="9"/>
  <c r="P714" i="9"/>
  <c r="O714" i="9"/>
  <c r="N714" i="9"/>
  <c r="M714" i="9"/>
  <c r="L714" i="9"/>
  <c r="K714" i="9"/>
  <c r="J714" i="9"/>
  <c r="I714" i="9"/>
  <c r="H714" i="9"/>
  <c r="G714" i="9"/>
  <c r="F714" i="9"/>
  <c r="Q713" i="9"/>
  <c r="P713" i="9"/>
  <c r="O713" i="9"/>
  <c r="N713" i="9"/>
  <c r="M713" i="9"/>
  <c r="L713" i="9"/>
  <c r="K713" i="9"/>
  <c r="J713" i="9"/>
  <c r="I713" i="9"/>
  <c r="H713" i="9"/>
  <c r="G713" i="9"/>
  <c r="F713" i="9"/>
  <c r="Q712" i="9"/>
  <c r="P712" i="9"/>
  <c r="O712" i="9"/>
  <c r="N712" i="9"/>
  <c r="M712" i="9"/>
  <c r="L712" i="9"/>
  <c r="K712" i="9"/>
  <c r="J712" i="9"/>
  <c r="I712" i="9"/>
  <c r="H712" i="9"/>
  <c r="G712" i="9"/>
  <c r="F712" i="9"/>
  <c r="Q711" i="9"/>
  <c r="P711" i="9"/>
  <c r="O711" i="9"/>
  <c r="N711" i="9"/>
  <c r="M711" i="9"/>
  <c r="L711" i="9"/>
  <c r="K711" i="9"/>
  <c r="J711" i="9"/>
  <c r="I711" i="9"/>
  <c r="H711" i="9"/>
  <c r="G711" i="9"/>
  <c r="F711" i="9"/>
  <c r="Q710" i="9"/>
  <c r="P710" i="9"/>
  <c r="O710" i="9"/>
  <c r="N710" i="9"/>
  <c r="M710" i="9"/>
  <c r="L710" i="9"/>
  <c r="K710" i="9"/>
  <c r="J710" i="9"/>
  <c r="I710" i="9"/>
  <c r="H710" i="9"/>
  <c r="G710" i="9"/>
  <c r="F710" i="9"/>
  <c r="Q707" i="9"/>
  <c r="P707" i="9"/>
  <c r="O707" i="9"/>
  <c r="N707" i="9"/>
  <c r="M707" i="9"/>
  <c r="L707" i="9"/>
  <c r="K707" i="9"/>
  <c r="J707" i="9"/>
  <c r="I707" i="9"/>
  <c r="H707" i="9"/>
  <c r="G707" i="9"/>
  <c r="F707" i="9"/>
  <c r="Q706" i="9"/>
  <c r="P706" i="9"/>
  <c r="O706" i="9"/>
  <c r="N706" i="9"/>
  <c r="M706" i="9"/>
  <c r="L706" i="9"/>
  <c r="K706" i="9"/>
  <c r="J706" i="9"/>
  <c r="I706" i="9"/>
  <c r="H706" i="9"/>
  <c r="G706" i="9"/>
  <c r="F706" i="9"/>
  <c r="Q705" i="9"/>
  <c r="P705" i="9"/>
  <c r="O705" i="9"/>
  <c r="N705" i="9"/>
  <c r="M705" i="9"/>
  <c r="L705" i="9"/>
  <c r="K705" i="9"/>
  <c r="J705" i="9"/>
  <c r="I705" i="9"/>
  <c r="H705" i="9"/>
  <c r="G705" i="9"/>
  <c r="F705" i="9"/>
  <c r="Q704" i="9"/>
  <c r="P704" i="9"/>
  <c r="O704" i="9"/>
  <c r="N704" i="9"/>
  <c r="M704" i="9"/>
  <c r="L704" i="9"/>
  <c r="K704" i="9"/>
  <c r="J704" i="9"/>
  <c r="I704" i="9"/>
  <c r="H704" i="9"/>
  <c r="G704" i="9"/>
  <c r="F704" i="9"/>
  <c r="Q703" i="9"/>
  <c r="P703" i="9"/>
  <c r="O703" i="9"/>
  <c r="N703" i="9"/>
  <c r="M703" i="9"/>
  <c r="L703" i="9"/>
  <c r="K703" i="9"/>
  <c r="J703" i="9"/>
  <c r="I703" i="9"/>
  <c r="H703" i="9"/>
  <c r="G703" i="9"/>
  <c r="F703" i="9"/>
  <c r="B702" i="9"/>
  <c r="A702" i="9"/>
  <c r="B701" i="9"/>
  <c r="A701" i="9"/>
  <c r="B700" i="9"/>
  <c r="A700" i="9"/>
  <c r="B699" i="9"/>
  <c r="A699" i="9"/>
  <c r="B698" i="9"/>
  <c r="A698" i="9"/>
  <c r="B697" i="9"/>
  <c r="A697" i="9"/>
  <c r="B696" i="9"/>
  <c r="A696" i="9"/>
  <c r="B695" i="9"/>
  <c r="A695" i="9"/>
  <c r="B694" i="9"/>
  <c r="A694" i="9"/>
  <c r="B693" i="9"/>
  <c r="A693" i="9"/>
  <c r="B692" i="9"/>
  <c r="A692" i="9"/>
  <c r="B691" i="9"/>
  <c r="A691" i="9"/>
  <c r="B690" i="9"/>
  <c r="A690" i="9"/>
  <c r="B689" i="9"/>
  <c r="A689" i="9"/>
  <c r="B688" i="9"/>
  <c r="A688" i="9"/>
  <c r="B687" i="9"/>
  <c r="A687" i="9"/>
  <c r="B686" i="9"/>
  <c r="A686" i="9"/>
  <c r="B685" i="9"/>
  <c r="A685" i="9"/>
  <c r="B684" i="9"/>
  <c r="A684" i="9"/>
  <c r="B683" i="9"/>
  <c r="A683" i="9"/>
  <c r="Q701" i="9"/>
  <c r="P701" i="9"/>
  <c r="O701" i="9"/>
  <c r="N701" i="9"/>
  <c r="M701" i="9"/>
  <c r="L701" i="9"/>
  <c r="K701" i="9"/>
  <c r="J701" i="9"/>
  <c r="I701" i="9"/>
  <c r="H701" i="9"/>
  <c r="G701" i="9"/>
  <c r="F701" i="9"/>
  <c r="Q700" i="9"/>
  <c r="P700" i="9"/>
  <c r="O700" i="9"/>
  <c r="N700" i="9"/>
  <c r="M700" i="9"/>
  <c r="L700" i="9"/>
  <c r="K700" i="9"/>
  <c r="J700" i="9"/>
  <c r="I700" i="9"/>
  <c r="H700" i="9"/>
  <c r="G700" i="9"/>
  <c r="F700" i="9"/>
  <c r="Q699" i="9"/>
  <c r="P699" i="9"/>
  <c r="O699" i="9"/>
  <c r="N699" i="9"/>
  <c r="M699" i="9"/>
  <c r="L699" i="9"/>
  <c r="K699" i="9"/>
  <c r="J699" i="9"/>
  <c r="I699" i="9"/>
  <c r="H699" i="9"/>
  <c r="G699" i="9"/>
  <c r="F699" i="9"/>
  <c r="Q698" i="9"/>
  <c r="P698" i="9"/>
  <c r="O698" i="9"/>
  <c r="N698" i="9"/>
  <c r="M698" i="9"/>
  <c r="L698" i="9"/>
  <c r="K698" i="9"/>
  <c r="J698" i="9"/>
  <c r="I698" i="9"/>
  <c r="H698" i="9"/>
  <c r="G698" i="9"/>
  <c r="F698" i="9"/>
  <c r="Q697" i="9"/>
  <c r="P697" i="9"/>
  <c r="O697" i="9"/>
  <c r="N697" i="9"/>
  <c r="M697" i="9"/>
  <c r="L697" i="9"/>
  <c r="K697" i="9"/>
  <c r="J697" i="9"/>
  <c r="I697" i="9"/>
  <c r="H697" i="9"/>
  <c r="G697" i="9"/>
  <c r="F697" i="9"/>
  <c r="Q694" i="9"/>
  <c r="P694" i="9"/>
  <c r="O694" i="9"/>
  <c r="N694" i="9"/>
  <c r="M694" i="9"/>
  <c r="L694" i="9"/>
  <c r="K694" i="9"/>
  <c r="J694" i="9"/>
  <c r="I694" i="9"/>
  <c r="H694" i="9"/>
  <c r="G694" i="9"/>
  <c r="F694" i="9"/>
  <c r="Q693" i="9"/>
  <c r="P693" i="9"/>
  <c r="O693" i="9"/>
  <c r="N693" i="9"/>
  <c r="M693" i="9"/>
  <c r="L693" i="9"/>
  <c r="K693" i="9"/>
  <c r="J693" i="9"/>
  <c r="I693" i="9"/>
  <c r="H693" i="9"/>
  <c r="G693" i="9"/>
  <c r="F693" i="9"/>
  <c r="Q692" i="9"/>
  <c r="P692" i="9"/>
  <c r="O692" i="9"/>
  <c r="N692" i="9"/>
  <c r="M692" i="9"/>
  <c r="L692" i="9"/>
  <c r="K692" i="9"/>
  <c r="J692" i="9"/>
  <c r="I692" i="9"/>
  <c r="H692" i="9"/>
  <c r="G692" i="9"/>
  <c r="F692" i="9"/>
  <c r="Q691" i="9"/>
  <c r="P691" i="9"/>
  <c r="O691" i="9"/>
  <c r="N691" i="9"/>
  <c r="M691" i="9"/>
  <c r="L691" i="9"/>
  <c r="K691" i="9"/>
  <c r="J691" i="9"/>
  <c r="I691" i="9"/>
  <c r="H691" i="9"/>
  <c r="G691" i="9"/>
  <c r="F691" i="9"/>
  <c r="Q690" i="9"/>
  <c r="P690" i="9"/>
  <c r="O690" i="9"/>
  <c r="N690" i="9"/>
  <c r="M690" i="9"/>
  <c r="L690" i="9"/>
  <c r="K690" i="9"/>
  <c r="J690" i="9"/>
  <c r="I690" i="9"/>
  <c r="H690" i="9"/>
  <c r="G690" i="9"/>
  <c r="F690" i="9"/>
  <c r="Q687" i="9"/>
  <c r="P687" i="9"/>
  <c r="O687" i="9"/>
  <c r="N687" i="9"/>
  <c r="M687" i="9"/>
  <c r="L687" i="9"/>
  <c r="K687" i="9"/>
  <c r="J687" i="9"/>
  <c r="I687" i="9"/>
  <c r="H687" i="9"/>
  <c r="G687" i="9"/>
  <c r="F687" i="9"/>
  <c r="Q686" i="9"/>
  <c r="P686" i="9"/>
  <c r="O686" i="9"/>
  <c r="N686" i="9"/>
  <c r="M686" i="9"/>
  <c r="L686" i="9"/>
  <c r="K686" i="9"/>
  <c r="J686" i="9"/>
  <c r="I686" i="9"/>
  <c r="H686" i="9"/>
  <c r="G686" i="9"/>
  <c r="F686" i="9"/>
  <c r="Q685" i="9"/>
  <c r="P685" i="9"/>
  <c r="O685" i="9"/>
  <c r="N685" i="9"/>
  <c r="M685" i="9"/>
  <c r="L685" i="9"/>
  <c r="K685" i="9"/>
  <c r="J685" i="9"/>
  <c r="I685" i="9"/>
  <c r="H685" i="9"/>
  <c r="G685" i="9"/>
  <c r="F685" i="9"/>
  <c r="Q684" i="9"/>
  <c r="P684" i="9"/>
  <c r="O684" i="9"/>
  <c r="N684" i="9"/>
  <c r="M684" i="9"/>
  <c r="L684" i="9"/>
  <c r="K684" i="9"/>
  <c r="J684" i="9"/>
  <c r="I684" i="9"/>
  <c r="H684" i="9"/>
  <c r="G684" i="9"/>
  <c r="F684" i="9"/>
  <c r="Q683" i="9"/>
  <c r="P683" i="9"/>
  <c r="O683" i="9"/>
  <c r="N683" i="9"/>
  <c r="M683" i="9"/>
  <c r="L683" i="9"/>
  <c r="K683" i="9"/>
  <c r="J683" i="9"/>
  <c r="I683" i="9"/>
  <c r="H683" i="9"/>
  <c r="G683" i="9"/>
  <c r="F683" i="9"/>
  <c r="B682" i="9"/>
  <c r="A682" i="9"/>
  <c r="B681" i="9"/>
  <c r="A681" i="9"/>
  <c r="B680" i="9"/>
  <c r="A680" i="9"/>
  <c r="B679" i="9"/>
  <c r="A679" i="9"/>
  <c r="B678" i="9"/>
  <c r="A678" i="9"/>
  <c r="B677" i="9"/>
  <c r="A677" i="9"/>
  <c r="B676" i="9"/>
  <c r="A676" i="9"/>
  <c r="B675" i="9"/>
  <c r="A675" i="9"/>
  <c r="B674" i="9"/>
  <c r="A674" i="9"/>
  <c r="B673" i="9"/>
  <c r="A673" i="9"/>
  <c r="B672" i="9"/>
  <c r="A672" i="9"/>
  <c r="B671" i="9"/>
  <c r="A671" i="9"/>
  <c r="B670" i="9"/>
  <c r="A670" i="9"/>
  <c r="B669" i="9"/>
  <c r="A669" i="9"/>
  <c r="B668" i="9"/>
  <c r="A668" i="9"/>
  <c r="B667" i="9"/>
  <c r="A667" i="9"/>
  <c r="B666" i="9"/>
  <c r="A666" i="9"/>
  <c r="B665" i="9"/>
  <c r="A665" i="9"/>
  <c r="B664" i="9"/>
  <c r="A664" i="9"/>
  <c r="B663" i="9"/>
  <c r="A663" i="9"/>
  <c r="Q681" i="9"/>
  <c r="P681" i="9"/>
  <c r="O681" i="9"/>
  <c r="N681" i="9"/>
  <c r="M681" i="9"/>
  <c r="L681" i="9"/>
  <c r="K681" i="9"/>
  <c r="J681" i="9"/>
  <c r="I681" i="9"/>
  <c r="H681" i="9"/>
  <c r="G681" i="9"/>
  <c r="F681" i="9"/>
  <c r="Q680" i="9"/>
  <c r="P680" i="9"/>
  <c r="O680" i="9"/>
  <c r="N680" i="9"/>
  <c r="M680" i="9"/>
  <c r="L680" i="9"/>
  <c r="K680" i="9"/>
  <c r="J680" i="9"/>
  <c r="I680" i="9"/>
  <c r="H680" i="9"/>
  <c r="G680" i="9"/>
  <c r="F680" i="9"/>
  <c r="Q679" i="9"/>
  <c r="P679" i="9"/>
  <c r="O679" i="9"/>
  <c r="N679" i="9"/>
  <c r="M679" i="9"/>
  <c r="L679" i="9"/>
  <c r="K679" i="9"/>
  <c r="J679" i="9"/>
  <c r="I679" i="9"/>
  <c r="H679" i="9"/>
  <c r="G679" i="9"/>
  <c r="F679" i="9"/>
  <c r="Q678" i="9"/>
  <c r="P678" i="9"/>
  <c r="O678" i="9"/>
  <c r="N678" i="9"/>
  <c r="M678" i="9"/>
  <c r="L678" i="9"/>
  <c r="K678" i="9"/>
  <c r="J678" i="9"/>
  <c r="I678" i="9"/>
  <c r="H678" i="9"/>
  <c r="G678" i="9"/>
  <c r="F678" i="9"/>
  <c r="Q677" i="9"/>
  <c r="P677" i="9"/>
  <c r="O677" i="9"/>
  <c r="N677" i="9"/>
  <c r="M677" i="9"/>
  <c r="L677" i="9"/>
  <c r="K677" i="9"/>
  <c r="J677" i="9"/>
  <c r="I677" i="9"/>
  <c r="H677" i="9"/>
  <c r="G677" i="9"/>
  <c r="F677" i="9"/>
  <c r="Q674" i="9"/>
  <c r="P674" i="9"/>
  <c r="O674" i="9"/>
  <c r="N674" i="9"/>
  <c r="M674" i="9"/>
  <c r="L674" i="9"/>
  <c r="K674" i="9"/>
  <c r="J674" i="9"/>
  <c r="I674" i="9"/>
  <c r="H674" i="9"/>
  <c r="G674" i="9"/>
  <c r="F674" i="9"/>
  <c r="Q673" i="9"/>
  <c r="P673" i="9"/>
  <c r="O673" i="9"/>
  <c r="N673" i="9"/>
  <c r="M673" i="9"/>
  <c r="L673" i="9"/>
  <c r="K673" i="9"/>
  <c r="J673" i="9"/>
  <c r="I673" i="9"/>
  <c r="H673" i="9"/>
  <c r="G673" i="9"/>
  <c r="F673" i="9"/>
  <c r="Q672" i="9"/>
  <c r="P672" i="9"/>
  <c r="O672" i="9"/>
  <c r="N672" i="9"/>
  <c r="M672" i="9"/>
  <c r="L672" i="9"/>
  <c r="K672" i="9"/>
  <c r="J672" i="9"/>
  <c r="I672" i="9"/>
  <c r="H672" i="9"/>
  <c r="G672" i="9"/>
  <c r="F672" i="9"/>
  <c r="Q671" i="9"/>
  <c r="P671" i="9"/>
  <c r="O671" i="9"/>
  <c r="N671" i="9"/>
  <c r="M671" i="9"/>
  <c r="L671" i="9"/>
  <c r="K671" i="9"/>
  <c r="J671" i="9"/>
  <c r="I671" i="9"/>
  <c r="H671" i="9"/>
  <c r="G671" i="9"/>
  <c r="F671" i="9"/>
  <c r="Q670" i="9"/>
  <c r="P670" i="9"/>
  <c r="O670" i="9"/>
  <c r="N670" i="9"/>
  <c r="M670" i="9"/>
  <c r="L670" i="9"/>
  <c r="K670" i="9"/>
  <c r="J670" i="9"/>
  <c r="I670" i="9"/>
  <c r="H670" i="9"/>
  <c r="G670" i="9"/>
  <c r="F670" i="9"/>
  <c r="Q667" i="9"/>
  <c r="P667" i="9"/>
  <c r="O667" i="9"/>
  <c r="N667" i="9"/>
  <c r="M667" i="9"/>
  <c r="L667" i="9"/>
  <c r="K667" i="9"/>
  <c r="J667" i="9"/>
  <c r="I667" i="9"/>
  <c r="H667" i="9"/>
  <c r="G667" i="9"/>
  <c r="F667" i="9"/>
  <c r="Q666" i="9"/>
  <c r="P666" i="9"/>
  <c r="O666" i="9"/>
  <c r="N666" i="9"/>
  <c r="M666" i="9"/>
  <c r="L666" i="9"/>
  <c r="K666" i="9"/>
  <c r="J666" i="9"/>
  <c r="I666" i="9"/>
  <c r="H666" i="9"/>
  <c r="G666" i="9"/>
  <c r="F666" i="9"/>
  <c r="Q665" i="9"/>
  <c r="P665" i="9"/>
  <c r="O665" i="9"/>
  <c r="N665" i="9"/>
  <c r="M665" i="9"/>
  <c r="L665" i="9"/>
  <c r="K665" i="9"/>
  <c r="J665" i="9"/>
  <c r="I665" i="9"/>
  <c r="H665" i="9"/>
  <c r="G665" i="9"/>
  <c r="F665" i="9"/>
  <c r="Q664" i="9"/>
  <c r="P664" i="9"/>
  <c r="O664" i="9"/>
  <c r="N664" i="9"/>
  <c r="M664" i="9"/>
  <c r="L664" i="9"/>
  <c r="K664" i="9"/>
  <c r="J664" i="9"/>
  <c r="I664" i="9"/>
  <c r="H664" i="9"/>
  <c r="G664" i="9"/>
  <c r="F664" i="9"/>
  <c r="Q663" i="9"/>
  <c r="P663" i="9"/>
  <c r="O663" i="9"/>
  <c r="N663" i="9"/>
  <c r="M663" i="9"/>
  <c r="L663" i="9"/>
  <c r="K663" i="9"/>
  <c r="J663" i="9"/>
  <c r="I663" i="9"/>
  <c r="H663" i="9"/>
  <c r="G663" i="9"/>
  <c r="F663" i="9"/>
  <c r="B662" i="9"/>
  <c r="A662" i="9"/>
  <c r="B661" i="9"/>
  <c r="A661" i="9"/>
  <c r="B660" i="9"/>
  <c r="A660" i="9"/>
  <c r="B659" i="9"/>
  <c r="A659" i="9"/>
  <c r="B658" i="9"/>
  <c r="A658" i="9"/>
  <c r="B657" i="9"/>
  <c r="A657" i="9"/>
  <c r="B656" i="9"/>
  <c r="A656" i="9"/>
  <c r="B655" i="9"/>
  <c r="A655" i="9"/>
  <c r="B654" i="9"/>
  <c r="A654" i="9"/>
  <c r="B653" i="9"/>
  <c r="A653" i="9"/>
  <c r="B652" i="9"/>
  <c r="A652" i="9"/>
  <c r="B651" i="9"/>
  <c r="A651" i="9"/>
  <c r="B650" i="9"/>
  <c r="A650" i="9"/>
  <c r="B649" i="9"/>
  <c r="A649" i="9"/>
  <c r="B648" i="9"/>
  <c r="A648" i="9"/>
  <c r="B647" i="9"/>
  <c r="A647" i="9"/>
  <c r="B646" i="9"/>
  <c r="A646" i="9"/>
  <c r="B645" i="9"/>
  <c r="A645" i="9"/>
  <c r="B644" i="9"/>
  <c r="A644" i="9"/>
  <c r="B643" i="9"/>
  <c r="A643" i="9"/>
  <c r="Q661" i="9"/>
  <c r="P661" i="9"/>
  <c r="O661" i="9"/>
  <c r="N661" i="9"/>
  <c r="M661" i="9"/>
  <c r="L661" i="9"/>
  <c r="K661" i="9"/>
  <c r="J661" i="9"/>
  <c r="I661" i="9"/>
  <c r="H661" i="9"/>
  <c r="G661" i="9"/>
  <c r="F661" i="9"/>
  <c r="Q660" i="9"/>
  <c r="P660" i="9"/>
  <c r="O660" i="9"/>
  <c r="N660" i="9"/>
  <c r="M660" i="9"/>
  <c r="L660" i="9"/>
  <c r="K660" i="9"/>
  <c r="J660" i="9"/>
  <c r="I660" i="9"/>
  <c r="H660" i="9"/>
  <c r="G660" i="9"/>
  <c r="F660" i="9"/>
  <c r="Q659" i="9"/>
  <c r="P659" i="9"/>
  <c r="O659" i="9"/>
  <c r="N659" i="9"/>
  <c r="M659" i="9"/>
  <c r="L659" i="9"/>
  <c r="K659" i="9"/>
  <c r="J659" i="9"/>
  <c r="I659" i="9"/>
  <c r="H659" i="9"/>
  <c r="G659" i="9"/>
  <c r="F659" i="9"/>
  <c r="Q658" i="9"/>
  <c r="P658" i="9"/>
  <c r="O658" i="9"/>
  <c r="N658" i="9"/>
  <c r="M658" i="9"/>
  <c r="L658" i="9"/>
  <c r="K658" i="9"/>
  <c r="J658" i="9"/>
  <c r="I658" i="9"/>
  <c r="H658" i="9"/>
  <c r="G658" i="9"/>
  <c r="F658" i="9"/>
  <c r="Q657" i="9"/>
  <c r="P657" i="9"/>
  <c r="O657" i="9"/>
  <c r="N657" i="9"/>
  <c r="M657" i="9"/>
  <c r="L657" i="9"/>
  <c r="K657" i="9"/>
  <c r="J657" i="9"/>
  <c r="I657" i="9"/>
  <c r="H657" i="9"/>
  <c r="G657" i="9"/>
  <c r="F657" i="9"/>
  <c r="Q654" i="9"/>
  <c r="P654" i="9"/>
  <c r="O654" i="9"/>
  <c r="N654" i="9"/>
  <c r="M654" i="9"/>
  <c r="L654" i="9"/>
  <c r="K654" i="9"/>
  <c r="J654" i="9"/>
  <c r="I654" i="9"/>
  <c r="H654" i="9"/>
  <c r="G654" i="9"/>
  <c r="F654" i="9"/>
  <c r="Q653" i="9"/>
  <c r="P653" i="9"/>
  <c r="O653" i="9"/>
  <c r="N653" i="9"/>
  <c r="M653" i="9"/>
  <c r="L653" i="9"/>
  <c r="K653" i="9"/>
  <c r="J653" i="9"/>
  <c r="I653" i="9"/>
  <c r="H653" i="9"/>
  <c r="G653" i="9"/>
  <c r="F653" i="9"/>
  <c r="Q652" i="9"/>
  <c r="P652" i="9"/>
  <c r="O652" i="9"/>
  <c r="N652" i="9"/>
  <c r="M652" i="9"/>
  <c r="L652" i="9"/>
  <c r="K652" i="9"/>
  <c r="J652" i="9"/>
  <c r="I652" i="9"/>
  <c r="H652" i="9"/>
  <c r="G652" i="9"/>
  <c r="F652" i="9"/>
  <c r="Q651" i="9"/>
  <c r="P651" i="9"/>
  <c r="O651" i="9"/>
  <c r="N651" i="9"/>
  <c r="M651" i="9"/>
  <c r="L651" i="9"/>
  <c r="K651" i="9"/>
  <c r="J651" i="9"/>
  <c r="I651" i="9"/>
  <c r="H651" i="9"/>
  <c r="G651" i="9"/>
  <c r="F651" i="9"/>
  <c r="Q650" i="9"/>
  <c r="P650" i="9"/>
  <c r="O650" i="9"/>
  <c r="N650" i="9"/>
  <c r="M650" i="9"/>
  <c r="L650" i="9"/>
  <c r="K650" i="9"/>
  <c r="J650" i="9"/>
  <c r="I650" i="9"/>
  <c r="H650" i="9"/>
  <c r="G650" i="9"/>
  <c r="F650" i="9"/>
  <c r="Q647" i="9"/>
  <c r="P647" i="9"/>
  <c r="O647" i="9"/>
  <c r="N647" i="9"/>
  <c r="M647" i="9"/>
  <c r="L647" i="9"/>
  <c r="K647" i="9"/>
  <c r="J647" i="9"/>
  <c r="I647" i="9"/>
  <c r="H647" i="9"/>
  <c r="G647" i="9"/>
  <c r="F647" i="9"/>
  <c r="Q646" i="9"/>
  <c r="P646" i="9"/>
  <c r="O646" i="9"/>
  <c r="N646" i="9"/>
  <c r="M646" i="9"/>
  <c r="L646" i="9"/>
  <c r="K646" i="9"/>
  <c r="J646" i="9"/>
  <c r="I646" i="9"/>
  <c r="H646" i="9"/>
  <c r="G646" i="9"/>
  <c r="F646" i="9"/>
  <c r="Q645" i="9"/>
  <c r="P645" i="9"/>
  <c r="O645" i="9"/>
  <c r="N645" i="9"/>
  <c r="M645" i="9"/>
  <c r="L645" i="9"/>
  <c r="K645" i="9"/>
  <c r="J645" i="9"/>
  <c r="I645" i="9"/>
  <c r="H645" i="9"/>
  <c r="G645" i="9"/>
  <c r="F645" i="9"/>
  <c r="Q644" i="9"/>
  <c r="P644" i="9"/>
  <c r="O644" i="9"/>
  <c r="N644" i="9"/>
  <c r="M644" i="9"/>
  <c r="L644" i="9"/>
  <c r="K644" i="9"/>
  <c r="J644" i="9"/>
  <c r="I644" i="9"/>
  <c r="H644" i="9"/>
  <c r="G644" i="9"/>
  <c r="F644" i="9"/>
  <c r="Q643" i="9"/>
  <c r="P643" i="9"/>
  <c r="O643" i="9"/>
  <c r="N643" i="9"/>
  <c r="M643" i="9"/>
  <c r="L643" i="9"/>
  <c r="K643" i="9"/>
  <c r="J643" i="9"/>
  <c r="I643" i="9"/>
  <c r="H643" i="9"/>
  <c r="G643" i="9"/>
  <c r="F643" i="9"/>
  <c r="B642" i="9"/>
  <c r="A642" i="9"/>
  <c r="B641" i="9"/>
  <c r="A641" i="9"/>
  <c r="B640" i="9"/>
  <c r="A640" i="9"/>
  <c r="B639" i="9"/>
  <c r="A639" i="9"/>
  <c r="B638" i="9"/>
  <c r="A638" i="9"/>
  <c r="B637" i="9"/>
  <c r="A637" i="9"/>
  <c r="B636" i="9"/>
  <c r="A636" i="9"/>
  <c r="B635" i="9"/>
  <c r="A635" i="9"/>
  <c r="B634" i="9"/>
  <c r="A634" i="9"/>
  <c r="B633" i="9"/>
  <c r="A633" i="9"/>
  <c r="B632" i="9"/>
  <c r="A632" i="9"/>
  <c r="B631" i="9"/>
  <c r="A631" i="9"/>
  <c r="B630" i="9"/>
  <c r="A630" i="9"/>
  <c r="B629" i="9"/>
  <c r="A629" i="9"/>
  <c r="B628" i="9"/>
  <c r="A628" i="9"/>
  <c r="B627" i="9"/>
  <c r="A627" i="9"/>
  <c r="B626" i="9"/>
  <c r="A626" i="9"/>
  <c r="B625" i="9"/>
  <c r="A625" i="9"/>
  <c r="B624" i="9"/>
  <c r="A624" i="9"/>
  <c r="B623" i="9"/>
  <c r="A623" i="9"/>
  <c r="Q641" i="9"/>
  <c r="P641" i="9"/>
  <c r="O641" i="9"/>
  <c r="N641" i="9"/>
  <c r="M641" i="9"/>
  <c r="L641" i="9"/>
  <c r="K641" i="9"/>
  <c r="J641" i="9"/>
  <c r="I641" i="9"/>
  <c r="H641" i="9"/>
  <c r="G641" i="9"/>
  <c r="F641" i="9"/>
  <c r="Q640" i="9"/>
  <c r="P640" i="9"/>
  <c r="O640" i="9"/>
  <c r="N640" i="9"/>
  <c r="M640" i="9"/>
  <c r="L640" i="9"/>
  <c r="K640" i="9"/>
  <c r="J640" i="9"/>
  <c r="I640" i="9"/>
  <c r="H640" i="9"/>
  <c r="G640" i="9"/>
  <c r="F640" i="9"/>
  <c r="Q639" i="9"/>
  <c r="P639" i="9"/>
  <c r="O639" i="9"/>
  <c r="N639" i="9"/>
  <c r="M639" i="9"/>
  <c r="L639" i="9"/>
  <c r="K639" i="9"/>
  <c r="J639" i="9"/>
  <c r="I639" i="9"/>
  <c r="H639" i="9"/>
  <c r="G639" i="9"/>
  <c r="F639" i="9"/>
  <c r="Q638" i="9"/>
  <c r="P638" i="9"/>
  <c r="O638" i="9"/>
  <c r="N638" i="9"/>
  <c r="M638" i="9"/>
  <c r="L638" i="9"/>
  <c r="K638" i="9"/>
  <c r="J638" i="9"/>
  <c r="I638" i="9"/>
  <c r="H638" i="9"/>
  <c r="G638" i="9"/>
  <c r="F638" i="9"/>
  <c r="Q637" i="9"/>
  <c r="P637" i="9"/>
  <c r="O637" i="9"/>
  <c r="N637" i="9"/>
  <c r="M637" i="9"/>
  <c r="L637" i="9"/>
  <c r="K637" i="9"/>
  <c r="J637" i="9"/>
  <c r="I637" i="9"/>
  <c r="H637" i="9"/>
  <c r="G637" i="9"/>
  <c r="F637" i="9"/>
  <c r="Q634" i="9"/>
  <c r="P634" i="9"/>
  <c r="O634" i="9"/>
  <c r="N634" i="9"/>
  <c r="M634" i="9"/>
  <c r="L634" i="9"/>
  <c r="K634" i="9"/>
  <c r="J634" i="9"/>
  <c r="I634" i="9"/>
  <c r="H634" i="9"/>
  <c r="G634" i="9"/>
  <c r="F634" i="9"/>
  <c r="Q633" i="9"/>
  <c r="P633" i="9"/>
  <c r="O633" i="9"/>
  <c r="N633" i="9"/>
  <c r="M633" i="9"/>
  <c r="L633" i="9"/>
  <c r="K633" i="9"/>
  <c r="J633" i="9"/>
  <c r="I633" i="9"/>
  <c r="H633" i="9"/>
  <c r="G633" i="9"/>
  <c r="F633" i="9"/>
  <c r="Q632" i="9"/>
  <c r="P632" i="9"/>
  <c r="O632" i="9"/>
  <c r="N632" i="9"/>
  <c r="M632" i="9"/>
  <c r="L632" i="9"/>
  <c r="K632" i="9"/>
  <c r="J632" i="9"/>
  <c r="I632" i="9"/>
  <c r="H632" i="9"/>
  <c r="G632" i="9"/>
  <c r="F632" i="9"/>
  <c r="Q631" i="9"/>
  <c r="P631" i="9"/>
  <c r="O631" i="9"/>
  <c r="N631" i="9"/>
  <c r="M631" i="9"/>
  <c r="L631" i="9"/>
  <c r="K631" i="9"/>
  <c r="J631" i="9"/>
  <c r="I631" i="9"/>
  <c r="H631" i="9"/>
  <c r="G631" i="9"/>
  <c r="F631" i="9"/>
  <c r="Q630" i="9"/>
  <c r="P630" i="9"/>
  <c r="O630" i="9"/>
  <c r="N630" i="9"/>
  <c r="M630" i="9"/>
  <c r="L630" i="9"/>
  <c r="K630" i="9"/>
  <c r="J630" i="9"/>
  <c r="I630" i="9"/>
  <c r="H630" i="9"/>
  <c r="G630" i="9"/>
  <c r="F630" i="9"/>
  <c r="Q627" i="9"/>
  <c r="P627" i="9"/>
  <c r="O627" i="9"/>
  <c r="N627" i="9"/>
  <c r="M627" i="9"/>
  <c r="L627" i="9"/>
  <c r="K627" i="9"/>
  <c r="J627" i="9"/>
  <c r="I627" i="9"/>
  <c r="H627" i="9"/>
  <c r="G627" i="9"/>
  <c r="F627" i="9"/>
  <c r="Q626" i="9"/>
  <c r="P626" i="9"/>
  <c r="O626" i="9"/>
  <c r="N626" i="9"/>
  <c r="M626" i="9"/>
  <c r="L626" i="9"/>
  <c r="K626" i="9"/>
  <c r="J626" i="9"/>
  <c r="I626" i="9"/>
  <c r="H626" i="9"/>
  <c r="G626" i="9"/>
  <c r="F626" i="9"/>
  <c r="Q625" i="9"/>
  <c r="P625" i="9"/>
  <c r="O625" i="9"/>
  <c r="N625" i="9"/>
  <c r="M625" i="9"/>
  <c r="L625" i="9"/>
  <c r="K625" i="9"/>
  <c r="J625" i="9"/>
  <c r="I625" i="9"/>
  <c r="H625" i="9"/>
  <c r="G625" i="9"/>
  <c r="F625" i="9"/>
  <c r="Q624" i="9"/>
  <c r="P624" i="9"/>
  <c r="O624" i="9"/>
  <c r="N624" i="9"/>
  <c r="M624" i="9"/>
  <c r="L624" i="9"/>
  <c r="K624" i="9"/>
  <c r="J624" i="9"/>
  <c r="I624" i="9"/>
  <c r="H624" i="9"/>
  <c r="G624" i="9"/>
  <c r="F624" i="9"/>
  <c r="Q623" i="9"/>
  <c r="P623" i="9"/>
  <c r="O623" i="9"/>
  <c r="N623" i="9"/>
  <c r="M623" i="9"/>
  <c r="L623" i="9"/>
  <c r="K623" i="9"/>
  <c r="J623" i="9"/>
  <c r="I623" i="9"/>
  <c r="H623" i="9"/>
  <c r="G623" i="9"/>
  <c r="F623" i="9"/>
  <c r="B622" i="9"/>
  <c r="A622" i="9"/>
  <c r="B621" i="9"/>
  <c r="A621" i="9"/>
  <c r="B620" i="9"/>
  <c r="A620" i="9"/>
  <c r="B619" i="9"/>
  <c r="A619" i="9"/>
  <c r="B618" i="9"/>
  <c r="A618" i="9"/>
  <c r="B617" i="9"/>
  <c r="A617" i="9"/>
  <c r="B616" i="9"/>
  <c r="A616" i="9"/>
  <c r="B615" i="9"/>
  <c r="A615" i="9"/>
  <c r="B614" i="9"/>
  <c r="A614" i="9"/>
  <c r="B613" i="9"/>
  <c r="A613" i="9"/>
  <c r="B612" i="9"/>
  <c r="A612" i="9"/>
  <c r="B611" i="9"/>
  <c r="A611" i="9"/>
  <c r="B610" i="9"/>
  <c r="A610" i="9"/>
  <c r="B609" i="9"/>
  <c r="A609" i="9"/>
  <c r="B608" i="9"/>
  <c r="A608" i="9"/>
  <c r="B607" i="9"/>
  <c r="A607" i="9"/>
  <c r="B606" i="9"/>
  <c r="A606" i="9"/>
  <c r="B605" i="9"/>
  <c r="A605" i="9"/>
  <c r="B604" i="9"/>
  <c r="A604" i="9"/>
  <c r="B603" i="9"/>
  <c r="A603" i="9"/>
  <c r="Q621" i="9"/>
  <c r="P621" i="9"/>
  <c r="O621" i="9"/>
  <c r="N621" i="9"/>
  <c r="M621" i="9"/>
  <c r="L621" i="9"/>
  <c r="K621" i="9"/>
  <c r="J621" i="9"/>
  <c r="I621" i="9"/>
  <c r="H621" i="9"/>
  <c r="G621" i="9"/>
  <c r="F621" i="9"/>
  <c r="Q620" i="9"/>
  <c r="P620" i="9"/>
  <c r="O620" i="9"/>
  <c r="N620" i="9"/>
  <c r="M620" i="9"/>
  <c r="L620" i="9"/>
  <c r="K620" i="9"/>
  <c r="J620" i="9"/>
  <c r="I620" i="9"/>
  <c r="H620" i="9"/>
  <c r="G620" i="9"/>
  <c r="F620" i="9"/>
  <c r="Q619" i="9"/>
  <c r="P619" i="9"/>
  <c r="O619" i="9"/>
  <c r="N619" i="9"/>
  <c r="M619" i="9"/>
  <c r="L619" i="9"/>
  <c r="K619" i="9"/>
  <c r="J619" i="9"/>
  <c r="I619" i="9"/>
  <c r="H619" i="9"/>
  <c r="G619" i="9"/>
  <c r="F619" i="9"/>
  <c r="Q618" i="9"/>
  <c r="P618" i="9"/>
  <c r="O618" i="9"/>
  <c r="N618" i="9"/>
  <c r="M618" i="9"/>
  <c r="L618" i="9"/>
  <c r="K618" i="9"/>
  <c r="J618" i="9"/>
  <c r="I618" i="9"/>
  <c r="H618" i="9"/>
  <c r="G618" i="9"/>
  <c r="F618" i="9"/>
  <c r="Q617" i="9"/>
  <c r="P617" i="9"/>
  <c r="O617" i="9"/>
  <c r="N617" i="9"/>
  <c r="M617" i="9"/>
  <c r="L617" i="9"/>
  <c r="K617" i="9"/>
  <c r="J617" i="9"/>
  <c r="I617" i="9"/>
  <c r="H617" i="9"/>
  <c r="G617" i="9"/>
  <c r="F617" i="9"/>
  <c r="Q614" i="9"/>
  <c r="P614" i="9"/>
  <c r="O614" i="9"/>
  <c r="N614" i="9"/>
  <c r="M614" i="9"/>
  <c r="L614" i="9"/>
  <c r="K614" i="9"/>
  <c r="J614" i="9"/>
  <c r="I614" i="9"/>
  <c r="H614" i="9"/>
  <c r="G614" i="9"/>
  <c r="F614" i="9"/>
  <c r="Q613" i="9"/>
  <c r="P613" i="9"/>
  <c r="O613" i="9"/>
  <c r="N613" i="9"/>
  <c r="M613" i="9"/>
  <c r="L613" i="9"/>
  <c r="K613" i="9"/>
  <c r="J613" i="9"/>
  <c r="I613" i="9"/>
  <c r="H613" i="9"/>
  <c r="G613" i="9"/>
  <c r="F613" i="9"/>
  <c r="Q612" i="9"/>
  <c r="P612" i="9"/>
  <c r="O612" i="9"/>
  <c r="N612" i="9"/>
  <c r="M612" i="9"/>
  <c r="L612" i="9"/>
  <c r="K612" i="9"/>
  <c r="J612" i="9"/>
  <c r="I612" i="9"/>
  <c r="H612" i="9"/>
  <c r="G612" i="9"/>
  <c r="F612" i="9"/>
  <c r="Q611" i="9"/>
  <c r="P611" i="9"/>
  <c r="O611" i="9"/>
  <c r="N611" i="9"/>
  <c r="M611" i="9"/>
  <c r="L611" i="9"/>
  <c r="K611" i="9"/>
  <c r="J611" i="9"/>
  <c r="I611" i="9"/>
  <c r="H611" i="9"/>
  <c r="G611" i="9"/>
  <c r="F611" i="9"/>
  <c r="Q610" i="9"/>
  <c r="P610" i="9"/>
  <c r="O610" i="9"/>
  <c r="N610" i="9"/>
  <c r="M610" i="9"/>
  <c r="L610" i="9"/>
  <c r="K610" i="9"/>
  <c r="J610" i="9"/>
  <c r="I610" i="9"/>
  <c r="H610" i="9"/>
  <c r="G610" i="9"/>
  <c r="F610" i="9"/>
  <c r="Q607" i="9"/>
  <c r="P607" i="9"/>
  <c r="O607" i="9"/>
  <c r="N607" i="9"/>
  <c r="M607" i="9"/>
  <c r="L607" i="9"/>
  <c r="K607" i="9"/>
  <c r="J607" i="9"/>
  <c r="I607" i="9"/>
  <c r="H607" i="9"/>
  <c r="G607" i="9"/>
  <c r="F607" i="9"/>
  <c r="Q606" i="9"/>
  <c r="P606" i="9"/>
  <c r="O606" i="9"/>
  <c r="N606" i="9"/>
  <c r="M606" i="9"/>
  <c r="L606" i="9"/>
  <c r="K606" i="9"/>
  <c r="J606" i="9"/>
  <c r="I606" i="9"/>
  <c r="H606" i="9"/>
  <c r="G606" i="9"/>
  <c r="F606" i="9"/>
  <c r="Q605" i="9"/>
  <c r="P605" i="9"/>
  <c r="O605" i="9"/>
  <c r="N605" i="9"/>
  <c r="M605" i="9"/>
  <c r="L605" i="9"/>
  <c r="K605" i="9"/>
  <c r="J605" i="9"/>
  <c r="I605" i="9"/>
  <c r="H605" i="9"/>
  <c r="G605" i="9"/>
  <c r="F605" i="9"/>
  <c r="Q604" i="9"/>
  <c r="P604" i="9"/>
  <c r="O604" i="9"/>
  <c r="N604" i="9"/>
  <c r="M604" i="9"/>
  <c r="L604" i="9"/>
  <c r="K604" i="9"/>
  <c r="J604" i="9"/>
  <c r="I604" i="9"/>
  <c r="H604" i="9"/>
  <c r="G604" i="9"/>
  <c r="F604" i="9"/>
  <c r="Q603" i="9"/>
  <c r="P603" i="9"/>
  <c r="O603" i="9"/>
  <c r="N603" i="9"/>
  <c r="M603" i="9"/>
  <c r="L603" i="9"/>
  <c r="K603" i="9"/>
  <c r="J603" i="9"/>
  <c r="I603" i="9"/>
  <c r="H603" i="9"/>
  <c r="G603" i="9"/>
  <c r="F603" i="9"/>
  <c r="B602" i="9"/>
  <c r="A602" i="9"/>
  <c r="B601" i="9"/>
  <c r="A601" i="9"/>
  <c r="B600" i="9"/>
  <c r="A600" i="9"/>
  <c r="B599" i="9"/>
  <c r="A599" i="9"/>
  <c r="B598" i="9"/>
  <c r="A598" i="9"/>
  <c r="B597" i="9"/>
  <c r="A597" i="9"/>
  <c r="B596" i="9"/>
  <c r="A596" i="9"/>
  <c r="B595" i="9"/>
  <c r="A595" i="9"/>
  <c r="B594" i="9"/>
  <c r="A594" i="9"/>
  <c r="B593" i="9"/>
  <c r="A593" i="9"/>
  <c r="B592" i="9"/>
  <c r="A592" i="9"/>
  <c r="B591" i="9"/>
  <c r="A591" i="9"/>
  <c r="B590" i="9"/>
  <c r="A590" i="9"/>
  <c r="B589" i="9"/>
  <c r="A589" i="9"/>
  <c r="B588" i="9"/>
  <c r="A588" i="9"/>
  <c r="B587" i="9"/>
  <c r="A587" i="9"/>
  <c r="B586" i="9"/>
  <c r="A586" i="9"/>
  <c r="B585" i="9"/>
  <c r="A585" i="9"/>
  <c r="B584" i="9"/>
  <c r="A584" i="9"/>
  <c r="B583" i="9"/>
  <c r="A583" i="9"/>
  <c r="Q601" i="9"/>
  <c r="P601" i="9"/>
  <c r="O601" i="9"/>
  <c r="N601" i="9"/>
  <c r="M601" i="9"/>
  <c r="L601" i="9"/>
  <c r="K601" i="9"/>
  <c r="J601" i="9"/>
  <c r="I601" i="9"/>
  <c r="H601" i="9"/>
  <c r="G601" i="9"/>
  <c r="F601" i="9"/>
  <c r="Q600" i="9"/>
  <c r="P600" i="9"/>
  <c r="O600" i="9"/>
  <c r="N600" i="9"/>
  <c r="M600" i="9"/>
  <c r="L600" i="9"/>
  <c r="K600" i="9"/>
  <c r="J600" i="9"/>
  <c r="I600" i="9"/>
  <c r="H600" i="9"/>
  <c r="G600" i="9"/>
  <c r="F600" i="9"/>
  <c r="Q599" i="9"/>
  <c r="P599" i="9"/>
  <c r="O599" i="9"/>
  <c r="N599" i="9"/>
  <c r="M599" i="9"/>
  <c r="L599" i="9"/>
  <c r="K599" i="9"/>
  <c r="J599" i="9"/>
  <c r="I599" i="9"/>
  <c r="H599" i="9"/>
  <c r="G599" i="9"/>
  <c r="F599" i="9"/>
  <c r="Q598" i="9"/>
  <c r="P598" i="9"/>
  <c r="O598" i="9"/>
  <c r="N598" i="9"/>
  <c r="M598" i="9"/>
  <c r="L598" i="9"/>
  <c r="K598" i="9"/>
  <c r="J598" i="9"/>
  <c r="I598" i="9"/>
  <c r="H598" i="9"/>
  <c r="G598" i="9"/>
  <c r="F598" i="9"/>
  <c r="Q597" i="9"/>
  <c r="P597" i="9"/>
  <c r="O597" i="9"/>
  <c r="N597" i="9"/>
  <c r="M597" i="9"/>
  <c r="L597" i="9"/>
  <c r="K597" i="9"/>
  <c r="J597" i="9"/>
  <c r="I597" i="9"/>
  <c r="H597" i="9"/>
  <c r="G597" i="9"/>
  <c r="F597" i="9"/>
  <c r="Q594" i="9"/>
  <c r="P594" i="9"/>
  <c r="O594" i="9"/>
  <c r="N594" i="9"/>
  <c r="M594" i="9"/>
  <c r="L594" i="9"/>
  <c r="K594" i="9"/>
  <c r="J594" i="9"/>
  <c r="I594" i="9"/>
  <c r="H594" i="9"/>
  <c r="G594" i="9"/>
  <c r="F594" i="9"/>
  <c r="Q593" i="9"/>
  <c r="P593" i="9"/>
  <c r="O593" i="9"/>
  <c r="N593" i="9"/>
  <c r="M593" i="9"/>
  <c r="L593" i="9"/>
  <c r="K593" i="9"/>
  <c r="J593" i="9"/>
  <c r="I593" i="9"/>
  <c r="H593" i="9"/>
  <c r="G593" i="9"/>
  <c r="F593" i="9"/>
  <c r="Q592" i="9"/>
  <c r="P592" i="9"/>
  <c r="O592" i="9"/>
  <c r="N592" i="9"/>
  <c r="M592" i="9"/>
  <c r="L592" i="9"/>
  <c r="K592" i="9"/>
  <c r="J592" i="9"/>
  <c r="I592" i="9"/>
  <c r="H592" i="9"/>
  <c r="G592" i="9"/>
  <c r="F592" i="9"/>
  <c r="Q591" i="9"/>
  <c r="P591" i="9"/>
  <c r="O591" i="9"/>
  <c r="N591" i="9"/>
  <c r="M591" i="9"/>
  <c r="L591" i="9"/>
  <c r="K591" i="9"/>
  <c r="J591" i="9"/>
  <c r="I591" i="9"/>
  <c r="H591" i="9"/>
  <c r="G591" i="9"/>
  <c r="F591" i="9"/>
  <c r="Q590" i="9"/>
  <c r="P590" i="9"/>
  <c r="O590" i="9"/>
  <c r="N590" i="9"/>
  <c r="M590" i="9"/>
  <c r="L590" i="9"/>
  <c r="K590" i="9"/>
  <c r="J590" i="9"/>
  <c r="I590" i="9"/>
  <c r="H590" i="9"/>
  <c r="G590" i="9"/>
  <c r="F590" i="9"/>
  <c r="Q587" i="9"/>
  <c r="P587" i="9"/>
  <c r="O587" i="9"/>
  <c r="N587" i="9"/>
  <c r="M587" i="9"/>
  <c r="L587" i="9"/>
  <c r="K587" i="9"/>
  <c r="J587" i="9"/>
  <c r="I587" i="9"/>
  <c r="H587" i="9"/>
  <c r="G587" i="9"/>
  <c r="F587" i="9"/>
  <c r="Q586" i="9"/>
  <c r="P586" i="9"/>
  <c r="O586" i="9"/>
  <c r="N586" i="9"/>
  <c r="M586" i="9"/>
  <c r="L586" i="9"/>
  <c r="K586" i="9"/>
  <c r="J586" i="9"/>
  <c r="I586" i="9"/>
  <c r="H586" i="9"/>
  <c r="G586" i="9"/>
  <c r="F586" i="9"/>
  <c r="Q585" i="9"/>
  <c r="P585" i="9"/>
  <c r="O585" i="9"/>
  <c r="N585" i="9"/>
  <c r="M585" i="9"/>
  <c r="L585" i="9"/>
  <c r="K585" i="9"/>
  <c r="J585" i="9"/>
  <c r="I585" i="9"/>
  <c r="H585" i="9"/>
  <c r="G585" i="9"/>
  <c r="F585" i="9"/>
  <c r="Q584" i="9"/>
  <c r="P584" i="9"/>
  <c r="O584" i="9"/>
  <c r="N584" i="9"/>
  <c r="M584" i="9"/>
  <c r="L584" i="9"/>
  <c r="K584" i="9"/>
  <c r="J584" i="9"/>
  <c r="I584" i="9"/>
  <c r="H584" i="9"/>
  <c r="G584" i="9"/>
  <c r="F584" i="9"/>
  <c r="Q583" i="9"/>
  <c r="P583" i="9"/>
  <c r="O583" i="9"/>
  <c r="N583" i="9"/>
  <c r="M583" i="9"/>
  <c r="L583" i="9"/>
  <c r="K583" i="9"/>
  <c r="J583" i="9"/>
  <c r="I583" i="9"/>
  <c r="H583" i="9"/>
  <c r="G583" i="9"/>
  <c r="F583" i="9"/>
  <c r="B582" i="9"/>
  <c r="A582" i="9"/>
  <c r="B581" i="9"/>
  <c r="A581" i="9"/>
  <c r="B580" i="9"/>
  <c r="A580" i="9"/>
  <c r="B579" i="9"/>
  <c r="A579" i="9"/>
  <c r="B578" i="9"/>
  <c r="A578" i="9"/>
  <c r="B577" i="9"/>
  <c r="A577" i="9"/>
  <c r="B576" i="9"/>
  <c r="A576" i="9"/>
  <c r="B575" i="9"/>
  <c r="A575" i="9"/>
  <c r="B574" i="9"/>
  <c r="A574" i="9"/>
  <c r="B573" i="9"/>
  <c r="A573" i="9"/>
  <c r="B572" i="9"/>
  <c r="A572" i="9"/>
  <c r="B571" i="9"/>
  <c r="A571" i="9"/>
  <c r="B570" i="9"/>
  <c r="A570" i="9"/>
  <c r="B569" i="9"/>
  <c r="A569" i="9"/>
  <c r="B568" i="9"/>
  <c r="A568" i="9"/>
  <c r="B567" i="9"/>
  <c r="A567" i="9"/>
  <c r="B566" i="9"/>
  <c r="A566" i="9"/>
  <c r="B565" i="9"/>
  <c r="A565" i="9"/>
  <c r="B564" i="9"/>
  <c r="A564" i="9"/>
  <c r="B563" i="9"/>
  <c r="A563" i="9"/>
  <c r="Q581" i="9"/>
  <c r="P581" i="9"/>
  <c r="O581" i="9"/>
  <c r="N581" i="9"/>
  <c r="M581" i="9"/>
  <c r="L581" i="9"/>
  <c r="K581" i="9"/>
  <c r="J581" i="9"/>
  <c r="I581" i="9"/>
  <c r="H581" i="9"/>
  <c r="G581" i="9"/>
  <c r="F581" i="9"/>
  <c r="Q580" i="9"/>
  <c r="P580" i="9"/>
  <c r="O580" i="9"/>
  <c r="N580" i="9"/>
  <c r="M580" i="9"/>
  <c r="L580" i="9"/>
  <c r="K580" i="9"/>
  <c r="J580" i="9"/>
  <c r="I580" i="9"/>
  <c r="H580" i="9"/>
  <c r="G580" i="9"/>
  <c r="F580" i="9"/>
  <c r="Q579" i="9"/>
  <c r="P579" i="9"/>
  <c r="O579" i="9"/>
  <c r="N579" i="9"/>
  <c r="M579" i="9"/>
  <c r="L579" i="9"/>
  <c r="K579" i="9"/>
  <c r="J579" i="9"/>
  <c r="I579" i="9"/>
  <c r="H579" i="9"/>
  <c r="G579" i="9"/>
  <c r="F579" i="9"/>
  <c r="Q578" i="9"/>
  <c r="P578" i="9"/>
  <c r="O578" i="9"/>
  <c r="N578" i="9"/>
  <c r="M578" i="9"/>
  <c r="L578" i="9"/>
  <c r="K578" i="9"/>
  <c r="J578" i="9"/>
  <c r="I578" i="9"/>
  <c r="H578" i="9"/>
  <c r="G578" i="9"/>
  <c r="F578" i="9"/>
  <c r="Q577" i="9"/>
  <c r="P577" i="9"/>
  <c r="O577" i="9"/>
  <c r="N577" i="9"/>
  <c r="M577" i="9"/>
  <c r="L577" i="9"/>
  <c r="K577" i="9"/>
  <c r="J577" i="9"/>
  <c r="I577" i="9"/>
  <c r="H577" i="9"/>
  <c r="G577" i="9"/>
  <c r="F577" i="9"/>
  <c r="Q574" i="9"/>
  <c r="P574" i="9"/>
  <c r="O574" i="9"/>
  <c r="N574" i="9"/>
  <c r="M574" i="9"/>
  <c r="L574" i="9"/>
  <c r="K574" i="9"/>
  <c r="J574" i="9"/>
  <c r="I574" i="9"/>
  <c r="H574" i="9"/>
  <c r="G574" i="9"/>
  <c r="F574" i="9"/>
  <c r="Q573" i="9"/>
  <c r="P573" i="9"/>
  <c r="O573" i="9"/>
  <c r="N573" i="9"/>
  <c r="M573" i="9"/>
  <c r="L573" i="9"/>
  <c r="K573" i="9"/>
  <c r="J573" i="9"/>
  <c r="I573" i="9"/>
  <c r="H573" i="9"/>
  <c r="G573" i="9"/>
  <c r="F573" i="9"/>
  <c r="Q572" i="9"/>
  <c r="P572" i="9"/>
  <c r="O572" i="9"/>
  <c r="N572" i="9"/>
  <c r="M572" i="9"/>
  <c r="L572" i="9"/>
  <c r="K572" i="9"/>
  <c r="J572" i="9"/>
  <c r="I572" i="9"/>
  <c r="H572" i="9"/>
  <c r="G572" i="9"/>
  <c r="F572" i="9"/>
  <c r="Q571" i="9"/>
  <c r="P571" i="9"/>
  <c r="O571" i="9"/>
  <c r="N571" i="9"/>
  <c r="M571" i="9"/>
  <c r="L571" i="9"/>
  <c r="K571" i="9"/>
  <c r="J571" i="9"/>
  <c r="I571" i="9"/>
  <c r="H571" i="9"/>
  <c r="G571" i="9"/>
  <c r="F571" i="9"/>
  <c r="Q570" i="9"/>
  <c r="P570" i="9"/>
  <c r="O570" i="9"/>
  <c r="N570" i="9"/>
  <c r="M570" i="9"/>
  <c r="L570" i="9"/>
  <c r="K570" i="9"/>
  <c r="J570" i="9"/>
  <c r="I570" i="9"/>
  <c r="H570" i="9"/>
  <c r="G570" i="9"/>
  <c r="F570" i="9"/>
  <c r="Q567" i="9"/>
  <c r="P567" i="9"/>
  <c r="O567" i="9"/>
  <c r="N567" i="9"/>
  <c r="M567" i="9"/>
  <c r="L567" i="9"/>
  <c r="K567" i="9"/>
  <c r="J567" i="9"/>
  <c r="I567" i="9"/>
  <c r="H567" i="9"/>
  <c r="G567" i="9"/>
  <c r="F567" i="9"/>
  <c r="Q566" i="9"/>
  <c r="P566" i="9"/>
  <c r="O566" i="9"/>
  <c r="N566" i="9"/>
  <c r="M566" i="9"/>
  <c r="L566" i="9"/>
  <c r="K566" i="9"/>
  <c r="J566" i="9"/>
  <c r="I566" i="9"/>
  <c r="H566" i="9"/>
  <c r="G566" i="9"/>
  <c r="F566" i="9"/>
  <c r="Q565" i="9"/>
  <c r="P565" i="9"/>
  <c r="O565" i="9"/>
  <c r="N565" i="9"/>
  <c r="M565" i="9"/>
  <c r="L565" i="9"/>
  <c r="K565" i="9"/>
  <c r="J565" i="9"/>
  <c r="I565" i="9"/>
  <c r="H565" i="9"/>
  <c r="G565" i="9"/>
  <c r="F565" i="9"/>
  <c r="Q564" i="9"/>
  <c r="P564" i="9"/>
  <c r="O564" i="9"/>
  <c r="N564" i="9"/>
  <c r="M564" i="9"/>
  <c r="L564" i="9"/>
  <c r="K564" i="9"/>
  <c r="J564" i="9"/>
  <c r="I564" i="9"/>
  <c r="H564" i="9"/>
  <c r="G564" i="9"/>
  <c r="F564" i="9"/>
  <c r="Q563" i="9"/>
  <c r="P563" i="9"/>
  <c r="O563" i="9"/>
  <c r="N563" i="9"/>
  <c r="M563" i="9"/>
  <c r="L563" i="9"/>
  <c r="K563" i="9"/>
  <c r="J563" i="9"/>
  <c r="I563" i="9"/>
  <c r="H563" i="9"/>
  <c r="G563" i="9"/>
  <c r="F563" i="9"/>
  <c r="B562" i="9"/>
  <c r="A562" i="9"/>
  <c r="B561" i="9"/>
  <c r="A561" i="9"/>
  <c r="B560" i="9"/>
  <c r="A560" i="9"/>
  <c r="B559" i="9"/>
  <c r="A559" i="9"/>
  <c r="B558" i="9"/>
  <c r="A558" i="9"/>
  <c r="B557" i="9"/>
  <c r="A557" i="9"/>
  <c r="B556" i="9"/>
  <c r="A556" i="9"/>
  <c r="B555" i="9"/>
  <c r="A555" i="9"/>
  <c r="B554" i="9"/>
  <c r="A554" i="9"/>
  <c r="B553" i="9"/>
  <c r="A553" i="9"/>
  <c r="B552" i="9"/>
  <c r="A552" i="9"/>
  <c r="B551" i="9"/>
  <c r="A551" i="9"/>
  <c r="B550" i="9"/>
  <c r="A550" i="9"/>
  <c r="B549" i="9"/>
  <c r="A549" i="9"/>
  <c r="B548" i="9"/>
  <c r="A548" i="9"/>
  <c r="B547" i="9"/>
  <c r="A547" i="9"/>
  <c r="B546" i="9"/>
  <c r="A546" i="9"/>
  <c r="B545" i="9"/>
  <c r="A545" i="9"/>
  <c r="B544" i="9"/>
  <c r="A544" i="9"/>
  <c r="B543" i="9"/>
  <c r="A543" i="9"/>
  <c r="Q561" i="9"/>
  <c r="P561" i="9"/>
  <c r="O561" i="9"/>
  <c r="N561" i="9"/>
  <c r="M561" i="9"/>
  <c r="L561" i="9"/>
  <c r="K561" i="9"/>
  <c r="J561" i="9"/>
  <c r="I561" i="9"/>
  <c r="H561" i="9"/>
  <c r="G561" i="9"/>
  <c r="F561" i="9"/>
  <c r="Q560" i="9"/>
  <c r="P560" i="9"/>
  <c r="O560" i="9"/>
  <c r="N560" i="9"/>
  <c r="M560" i="9"/>
  <c r="L560" i="9"/>
  <c r="K560" i="9"/>
  <c r="J560" i="9"/>
  <c r="I560" i="9"/>
  <c r="H560" i="9"/>
  <c r="G560" i="9"/>
  <c r="F560" i="9"/>
  <c r="Q559" i="9"/>
  <c r="P559" i="9"/>
  <c r="O559" i="9"/>
  <c r="N559" i="9"/>
  <c r="M559" i="9"/>
  <c r="L559" i="9"/>
  <c r="K559" i="9"/>
  <c r="J559" i="9"/>
  <c r="I559" i="9"/>
  <c r="H559" i="9"/>
  <c r="G559" i="9"/>
  <c r="F559" i="9"/>
  <c r="Q558" i="9"/>
  <c r="P558" i="9"/>
  <c r="O558" i="9"/>
  <c r="N558" i="9"/>
  <c r="M558" i="9"/>
  <c r="L558" i="9"/>
  <c r="K558" i="9"/>
  <c r="J558" i="9"/>
  <c r="I558" i="9"/>
  <c r="H558" i="9"/>
  <c r="G558" i="9"/>
  <c r="F558" i="9"/>
  <c r="Q557" i="9"/>
  <c r="P557" i="9"/>
  <c r="O557" i="9"/>
  <c r="N557" i="9"/>
  <c r="M557" i="9"/>
  <c r="L557" i="9"/>
  <c r="K557" i="9"/>
  <c r="J557" i="9"/>
  <c r="I557" i="9"/>
  <c r="H557" i="9"/>
  <c r="G557" i="9"/>
  <c r="F557" i="9"/>
  <c r="Q554" i="9"/>
  <c r="P554" i="9"/>
  <c r="O554" i="9"/>
  <c r="N554" i="9"/>
  <c r="M554" i="9"/>
  <c r="L554" i="9"/>
  <c r="K554" i="9"/>
  <c r="J554" i="9"/>
  <c r="I554" i="9"/>
  <c r="H554" i="9"/>
  <c r="G554" i="9"/>
  <c r="F554" i="9"/>
  <c r="Q553" i="9"/>
  <c r="P553" i="9"/>
  <c r="O553" i="9"/>
  <c r="N553" i="9"/>
  <c r="M553" i="9"/>
  <c r="L553" i="9"/>
  <c r="K553" i="9"/>
  <c r="J553" i="9"/>
  <c r="I553" i="9"/>
  <c r="H553" i="9"/>
  <c r="G553" i="9"/>
  <c r="F553" i="9"/>
  <c r="Q552" i="9"/>
  <c r="P552" i="9"/>
  <c r="O552" i="9"/>
  <c r="N552" i="9"/>
  <c r="M552" i="9"/>
  <c r="L552" i="9"/>
  <c r="K552" i="9"/>
  <c r="J552" i="9"/>
  <c r="I552" i="9"/>
  <c r="H552" i="9"/>
  <c r="G552" i="9"/>
  <c r="F552" i="9"/>
  <c r="Q551" i="9"/>
  <c r="P551" i="9"/>
  <c r="O551" i="9"/>
  <c r="N551" i="9"/>
  <c r="M551" i="9"/>
  <c r="L551" i="9"/>
  <c r="K551" i="9"/>
  <c r="J551" i="9"/>
  <c r="I551" i="9"/>
  <c r="H551" i="9"/>
  <c r="G551" i="9"/>
  <c r="F551" i="9"/>
  <c r="Q550" i="9"/>
  <c r="P550" i="9"/>
  <c r="O550" i="9"/>
  <c r="N550" i="9"/>
  <c r="M550" i="9"/>
  <c r="L550" i="9"/>
  <c r="K550" i="9"/>
  <c r="J550" i="9"/>
  <c r="I550" i="9"/>
  <c r="H550" i="9"/>
  <c r="G550" i="9"/>
  <c r="F550" i="9"/>
  <c r="Q547" i="9"/>
  <c r="P547" i="9"/>
  <c r="O547" i="9"/>
  <c r="N547" i="9"/>
  <c r="M547" i="9"/>
  <c r="L547" i="9"/>
  <c r="K547" i="9"/>
  <c r="J547" i="9"/>
  <c r="I547" i="9"/>
  <c r="H547" i="9"/>
  <c r="G547" i="9"/>
  <c r="F547" i="9"/>
  <c r="Q546" i="9"/>
  <c r="P546" i="9"/>
  <c r="O546" i="9"/>
  <c r="N546" i="9"/>
  <c r="M546" i="9"/>
  <c r="L546" i="9"/>
  <c r="K546" i="9"/>
  <c r="J546" i="9"/>
  <c r="I546" i="9"/>
  <c r="H546" i="9"/>
  <c r="G546" i="9"/>
  <c r="F546" i="9"/>
  <c r="Q545" i="9"/>
  <c r="P545" i="9"/>
  <c r="O545" i="9"/>
  <c r="N545" i="9"/>
  <c r="M545" i="9"/>
  <c r="L545" i="9"/>
  <c r="K545" i="9"/>
  <c r="J545" i="9"/>
  <c r="I545" i="9"/>
  <c r="H545" i="9"/>
  <c r="G545" i="9"/>
  <c r="F545" i="9"/>
  <c r="Q544" i="9"/>
  <c r="P544" i="9"/>
  <c r="O544" i="9"/>
  <c r="N544" i="9"/>
  <c r="M544" i="9"/>
  <c r="L544" i="9"/>
  <c r="K544" i="9"/>
  <c r="J544" i="9"/>
  <c r="I544" i="9"/>
  <c r="H544" i="9"/>
  <c r="G544" i="9"/>
  <c r="F544" i="9"/>
  <c r="Q543" i="9"/>
  <c r="P543" i="9"/>
  <c r="O543" i="9"/>
  <c r="N543" i="9"/>
  <c r="M543" i="9"/>
  <c r="L543" i="9"/>
  <c r="K543" i="9"/>
  <c r="J543" i="9"/>
  <c r="I543" i="9"/>
  <c r="H543" i="9"/>
  <c r="G543" i="9"/>
  <c r="F543" i="9"/>
  <c r="B542" i="9"/>
  <c r="A542" i="9"/>
  <c r="Q521" i="9"/>
  <c r="P521" i="9"/>
  <c r="O521" i="9"/>
  <c r="N521" i="9"/>
  <c r="M521" i="9"/>
  <c r="L521" i="9"/>
  <c r="K521" i="9"/>
  <c r="J521" i="9"/>
  <c r="I521" i="9"/>
  <c r="H521" i="9"/>
  <c r="G521" i="9"/>
  <c r="F521" i="9"/>
  <c r="Q520" i="9"/>
  <c r="P520" i="9"/>
  <c r="O520" i="9"/>
  <c r="N520" i="9"/>
  <c r="M520" i="9"/>
  <c r="L520" i="9"/>
  <c r="K520" i="9"/>
  <c r="J520" i="9"/>
  <c r="I520" i="9"/>
  <c r="H520" i="9"/>
  <c r="G520" i="9"/>
  <c r="F520" i="9"/>
  <c r="Q519" i="9"/>
  <c r="P519" i="9"/>
  <c r="O519" i="9"/>
  <c r="N519" i="9"/>
  <c r="M519" i="9"/>
  <c r="L519" i="9"/>
  <c r="K519" i="9"/>
  <c r="J519" i="9"/>
  <c r="I519" i="9"/>
  <c r="H519" i="9"/>
  <c r="G519" i="9"/>
  <c r="F519" i="9"/>
  <c r="Q518" i="9"/>
  <c r="P518" i="9"/>
  <c r="O518" i="9"/>
  <c r="N518" i="9"/>
  <c r="M518" i="9"/>
  <c r="L518" i="9"/>
  <c r="K518" i="9"/>
  <c r="J518" i="9"/>
  <c r="I518" i="9"/>
  <c r="H518" i="9"/>
  <c r="G518" i="9"/>
  <c r="F518" i="9"/>
  <c r="Q517" i="9"/>
  <c r="P517" i="9"/>
  <c r="O517" i="9"/>
  <c r="N517" i="9"/>
  <c r="M517" i="9"/>
  <c r="L517" i="9"/>
  <c r="K517" i="9"/>
  <c r="J517" i="9"/>
  <c r="I517" i="9"/>
  <c r="H517" i="9"/>
  <c r="G517" i="9"/>
  <c r="F517" i="9"/>
  <c r="Q514" i="9"/>
  <c r="P514" i="9"/>
  <c r="O514" i="9"/>
  <c r="N514" i="9"/>
  <c r="M514" i="9"/>
  <c r="L514" i="9"/>
  <c r="K514" i="9"/>
  <c r="J514" i="9"/>
  <c r="I514" i="9"/>
  <c r="H514" i="9"/>
  <c r="G514" i="9"/>
  <c r="F514" i="9"/>
  <c r="Q513" i="9"/>
  <c r="P513" i="9"/>
  <c r="O513" i="9"/>
  <c r="N513" i="9"/>
  <c r="M513" i="9"/>
  <c r="L513" i="9"/>
  <c r="K513" i="9"/>
  <c r="J513" i="9"/>
  <c r="I513" i="9"/>
  <c r="H513" i="9"/>
  <c r="G513" i="9"/>
  <c r="F513" i="9"/>
  <c r="Q512" i="9"/>
  <c r="P512" i="9"/>
  <c r="O512" i="9"/>
  <c r="N512" i="9"/>
  <c r="M512" i="9"/>
  <c r="L512" i="9"/>
  <c r="K512" i="9"/>
  <c r="J512" i="9"/>
  <c r="I512" i="9"/>
  <c r="H512" i="9"/>
  <c r="G512" i="9"/>
  <c r="F512" i="9"/>
  <c r="Q511" i="9"/>
  <c r="P511" i="9"/>
  <c r="O511" i="9"/>
  <c r="N511" i="9"/>
  <c r="M511" i="9"/>
  <c r="L511" i="9"/>
  <c r="K511" i="9"/>
  <c r="J511" i="9"/>
  <c r="I511" i="9"/>
  <c r="H511" i="9"/>
  <c r="G511" i="9"/>
  <c r="F511" i="9"/>
  <c r="Q510" i="9"/>
  <c r="P510" i="9"/>
  <c r="O510" i="9"/>
  <c r="N510" i="9"/>
  <c r="M510" i="9"/>
  <c r="L510" i="9"/>
  <c r="K510" i="9"/>
  <c r="J510" i="9"/>
  <c r="I510" i="9"/>
  <c r="H510" i="9"/>
  <c r="G510" i="9"/>
  <c r="F510" i="9"/>
  <c r="Q507" i="9"/>
  <c r="P507" i="9"/>
  <c r="O507" i="9"/>
  <c r="N507" i="9"/>
  <c r="M507" i="9"/>
  <c r="L507" i="9"/>
  <c r="K507" i="9"/>
  <c r="J507" i="9"/>
  <c r="I507" i="9"/>
  <c r="H507" i="9"/>
  <c r="G507" i="9"/>
  <c r="F507" i="9"/>
  <c r="Q506" i="9"/>
  <c r="P506" i="9"/>
  <c r="O506" i="9"/>
  <c r="N506" i="9"/>
  <c r="M506" i="9"/>
  <c r="L506" i="9"/>
  <c r="K506" i="9"/>
  <c r="J506" i="9"/>
  <c r="I506" i="9"/>
  <c r="H506" i="9"/>
  <c r="G506" i="9"/>
  <c r="F506" i="9"/>
  <c r="Q505" i="9"/>
  <c r="P505" i="9"/>
  <c r="O505" i="9"/>
  <c r="N505" i="9"/>
  <c r="M505" i="9"/>
  <c r="L505" i="9"/>
  <c r="K505" i="9"/>
  <c r="J505" i="9"/>
  <c r="I505" i="9"/>
  <c r="H505" i="9"/>
  <c r="G505" i="9"/>
  <c r="F505" i="9"/>
  <c r="Q504" i="9"/>
  <c r="P504" i="9"/>
  <c r="O504" i="9"/>
  <c r="N504" i="9"/>
  <c r="M504" i="9"/>
  <c r="L504" i="9"/>
  <c r="K504" i="9"/>
  <c r="J504" i="9"/>
  <c r="I504" i="9"/>
  <c r="H504" i="9"/>
  <c r="G504" i="9"/>
  <c r="F504" i="9"/>
  <c r="Q503" i="9"/>
  <c r="P503" i="9"/>
  <c r="O503" i="9"/>
  <c r="N503" i="9"/>
  <c r="M503" i="9"/>
  <c r="L503" i="9"/>
  <c r="K503" i="9"/>
  <c r="J503" i="9"/>
  <c r="I503" i="9"/>
  <c r="H503" i="9"/>
  <c r="G503" i="9"/>
  <c r="B521" i="9"/>
  <c r="A521" i="9"/>
  <c r="B520" i="9"/>
  <c r="A520" i="9"/>
  <c r="B519" i="9"/>
  <c r="A519" i="9"/>
  <c r="B518" i="9"/>
  <c r="A518" i="9"/>
  <c r="B517" i="9"/>
  <c r="A517" i="9"/>
  <c r="B516" i="9"/>
  <c r="A516" i="9"/>
  <c r="B515" i="9"/>
  <c r="A515" i="9"/>
  <c r="B514" i="9"/>
  <c r="A514" i="9"/>
  <c r="B513" i="9"/>
  <c r="A513" i="9"/>
  <c r="B512" i="9"/>
  <c r="A512" i="9"/>
  <c r="B511" i="9"/>
  <c r="A511" i="9"/>
  <c r="B510" i="9"/>
  <c r="A510" i="9"/>
  <c r="B509" i="9"/>
  <c r="A509" i="9"/>
  <c r="B508" i="9"/>
  <c r="A508" i="9"/>
  <c r="B507" i="9"/>
  <c r="A507" i="9"/>
  <c r="B506" i="9"/>
  <c r="A506" i="9"/>
  <c r="B505" i="9"/>
  <c r="A505" i="9"/>
  <c r="B504" i="9"/>
  <c r="A504" i="9"/>
  <c r="B503" i="9"/>
  <c r="A503" i="9"/>
  <c r="F503" i="9"/>
  <c r="B502" i="9"/>
  <c r="A502" i="9"/>
  <c r="Q501" i="9"/>
  <c r="P501" i="9"/>
  <c r="O501" i="9"/>
  <c r="N501" i="9"/>
  <c r="M501" i="9"/>
  <c r="L501" i="9"/>
  <c r="K501" i="9"/>
  <c r="J501" i="9"/>
  <c r="I501" i="9"/>
  <c r="H501" i="9"/>
  <c r="G501" i="9"/>
  <c r="F501" i="9"/>
  <c r="Q500" i="9"/>
  <c r="P500" i="9"/>
  <c r="O500" i="9"/>
  <c r="N500" i="9"/>
  <c r="M500" i="9"/>
  <c r="L500" i="9"/>
  <c r="K500" i="9"/>
  <c r="J500" i="9"/>
  <c r="I500" i="9"/>
  <c r="H500" i="9"/>
  <c r="G500" i="9"/>
  <c r="F500" i="9"/>
  <c r="Q499" i="9"/>
  <c r="P499" i="9"/>
  <c r="O499" i="9"/>
  <c r="N499" i="9"/>
  <c r="M499" i="9"/>
  <c r="L499" i="9"/>
  <c r="K499" i="9"/>
  <c r="J499" i="9"/>
  <c r="I499" i="9"/>
  <c r="H499" i="9"/>
  <c r="G499" i="9"/>
  <c r="F499" i="9"/>
  <c r="Q498" i="9"/>
  <c r="P498" i="9"/>
  <c r="O498" i="9"/>
  <c r="N498" i="9"/>
  <c r="M498" i="9"/>
  <c r="L498" i="9"/>
  <c r="K498" i="9"/>
  <c r="J498" i="9"/>
  <c r="I498" i="9"/>
  <c r="H498" i="9"/>
  <c r="G498" i="9"/>
  <c r="F498" i="9"/>
  <c r="Q497" i="9"/>
  <c r="P497" i="9"/>
  <c r="O497" i="9"/>
  <c r="N497" i="9"/>
  <c r="M497" i="9"/>
  <c r="L497" i="9"/>
  <c r="K497" i="9"/>
  <c r="J497" i="9"/>
  <c r="I497" i="9"/>
  <c r="H497" i="9"/>
  <c r="G497" i="9"/>
  <c r="F497" i="9"/>
  <c r="Q494" i="9"/>
  <c r="P494" i="9"/>
  <c r="O494" i="9"/>
  <c r="N494" i="9"/>
  <c r="M494" i="9"/>
  <c r="L494" i="9"/>
  <c r="K494" i="9"/>
  <c r="J494" i="9"/>
  <c r="I494" i="9"/>
  <c r="H494" i="9"/>
  <c r="G494" i="9"/>
  <c r="F494" i="9"/>
  <c r="Q493" i="9"/>
  <c r="P493" i="9"/>
  <c r="O493" i="9"/>
  <c r="N493" i="9"/>
  <c r="M493" i="9"/>
  <c r="L493" i="9"/>
  <c r="K493" i="9"/>
  <c r="J493" i="9"/>
  <c r="I493" i="9"/>
  <c r="H493" i="9"/>
  <c r="G493" i="9"/>
  <c r="F493" i="9"/>
  <c r="Q492" i="9"/>
  <c r="P492" i="9"/>
  <c r="O492" i="9"/>
  <c r="N492" i="9"/>
  <c r="M492" i="9"/>
  <c r="L492" i="9"/>
  <c r="K492" i="9"/>
  <c r="J492" i="9"/>
  <c r="I492" i="9"/>
  <c r="H492" i="9"/>
  <c r="G492" i="9"/>
  <c r="F492" i="9"/>
  <c r="Q491" i="9"/>
  <c r="P491" i="9"/>
  <c r="O491" i="9"/>
  <c r="N491" i="9"/>
  <c r="M491" i="9"/>
  <c r="L491" i="9"/>
  <c r="K491" i="9"/>
  <c r="J491" i="9"/>
  <c r="I491" i="9"/>
  <c r="H491" i="9"/>
  <c r="G491" i="9"/>
  <c r="F491" i="9"/>
  <c r="Q490" i="9"/>
  <c r="P490" i="9"/>
  <c r="O490" i="9"/>
  <c r="N490" i="9"/>
  <c r="M490" i="9"/>
  <c r="L490" i="9"/>
  <c r="K490" i="9"/>
  <c r="J490" i="9"/>
  <c r="I490" i="9"/>
  <c r="H490" i="9"/>
  <c r="G490" i="9"/>
  <c r="F490" i="9"/>
  <c r="Q487" i="9"/>
  <c r="P487" i="9"/>
  <c r="O487" i="9"/>
  <c r="N487" i="9"/>
  <c r="M487" i="9"/>
  <c r="L487" i="9"/>
  <c r="K487" i="9"/>
  <c r="J487" i="9"/>
  <c r="I487" i="9"/>
  <c r="H487" i="9"/>
  <c r="G487" i="9"/>
  <c r="F487" i="9"/>
  <c r="Q486" i="9"/>
  <c r="P486" i="9"/>
  <c r="O486" i="9"/>
  <c r="N486" i="9"/>
  <c r="M486" i="9"/>
  <c r="L486" i="9"/>
  <c r="K486" i="9"/>
  <c r="J486" i="9"/>
  <c r="I486" i="9"/>
  <c r="H486" i="9"/>
  <c r="G486" i="9"/>
  <c r="F486" i="9"/>
  <c r="Q485" i="9"/>
  <c r="P485" i="9"/>
  <c r="O485" i="9"/>
  <c r="N485" i="9"/>
  <c r="M485" i="9"/>
  <c r="L485" i="9"/>
  <c r="K485" i="9"/>
  <c r="J485" i="9"/>
  <c r="I485" i="9"/>
  <c r="H485" i="9"/>
  <c r="G485" i="9"/>
  <c r="F485" i="9"/>
  <c r="Q484" i="9"/>
  <c r="P484" i="9"/>
  <c r="O484" i="9"/>
  <c r="N484" i="9"/>
  <c r="M484" i="9"/>
  <c r="L484" i="9"/>
  <c r="K484" i="9"/>
  <c r="J484" i="9"/>
  <c r="I484" i="9"/>
  <c r="H484" i="9"/>
  <c r="G484" i="9"/>
  <c r="F484" i="9"/>
  <c r="Q483" i="9"/>
  <c r="P483" i="9"/>
  <c r="O483" i="9"/>
  <c r="N483" i="9"/>
  <c r="M483" i="9"/>
  <c r="L483" i="9"/>
  <c r="K483" i="9"/>
  <c r="J483" i="9"/>
  <c r="I483" i="9"/>
  <c r="H483" i="9"/>
  <c r="G483" i="9"/>
  <c r="F483" i="9"/>
  <c r="B501" i="9"/>
  <c r="A501" i="9"/>
  <c r="B500" i="9"/>
  <c r="A500" i="9"/>
  <c r="B499" i="9"/>
  <c r="A499" i="9"/>
  <c r="B498" i="9"/>
  <c r="A498" i="9"/>
  <c r="B497" i="9"/>
  <c r="A497" i="9"/>
  <c r="B496" i="9"/>
  <c r="A496" i="9"/>
  <c r="B495" i="9"/>
  <c r="A495" i="9"/>
  <c r="B494" i="9"/>
  <c r="A494" i="9"/>
  <c r="B493" i="9"/>
  <c r="A493" i="9"/>
  <c r="B492" i="9"/>
  <c r="A492" i="9"/>
  <c r="B491" i="9"/>
  <c r="A491" i="9"/>
  <c r="B490" i="9"/>
  <c r="A490" i="9"/>
  <c r="B489" i="9"/>
  <c r="A489" i="9"/>
  <c r="B488" i="9"/>
  <c r="A488" i="9"/>
  <c r="B487" i="9"/>
  <c r="A487" i="9"/>
  <c r="B486" i="9"/>
  <c r="A486" i="9"/>
  <c r="B485" i="9"/>
  <c r="A485" i="9"/>
  <c r="B484" i="9"/>
  <c r="A484" i="9"/>
  <c r="B483" i="9"/>
  <c r="A483" i="9"/>
  <c r="B482" i="9"/>
  <c r="A482" i="9"/>
  <c r="Q481" i="9"/>
  <c r="P481" i="9"/>
  <c r="O481" i="9"/>
  <c r="N481" i="9"/>
  <c r="M481" i="9"/>
  <c r="L481" i="9"/>
  <c r="K481" i="9"/>
  <c r="J481" i="9"/>
  <c r="I481" i="9"/>
  <c r="H481" i="9"/>
  <c r="G481" i="9"/>
  <c r="F481" i="9"/>
  <c r="Q480" i="9"/>
  <c r="P480" i="9"/>
  <c r="O480" i="9"/>
  <c r="N480" i="9"/>
  <c r="M480" i="9"/>
  <c r="L480" i="9"/>
  <c r="K480" i="9"/>
  <c r="J480" i="9"/>
  <c r="I480" i="9"/>
  <c r="H480" i="9"/>
  <c r="G480" i="9"/>
  <c r="F480" i="9"/>
  <c r="Q479" i="9"/>
  <c r="P479" i="9"/>
  <c r="O479" i="9"/>
  <c r="N479" i="9"/>
  <c r="M479" i="9"/>
  <c r="L479" i="9"/>
  <c r="K479" i="9"/>
  <c r="J479" i="9"/>
  <c r="I479" i="9"/>
  <c r="H479" i="9"/>
  <c r="G479" i="9"/>
  <c r="F479" i="9"/>
  <c r="Q478" i="9"/>
  <c r="P478" i="9"/>
  <c r="O478" i="9"/>
  <c r="N478" i="9"/>
  <c r="M478" i="9"/>
  <c r="L478" i="9"/>
  <c r="K478" i="9"/>
  <c r="J478" i="9"/>
  <c r="I478" i="9"/>
  <c r="H478" i="9"/>
  <c r="G478" i="9"/>
  <c r="F478" i="9"/>
  <c r="Q477" i="9"/>
  <c r="P477" i="9"/>
  <c r="O477" i="9"/>
  <c r="N477" i="9"/>
  <c r="M477" i="9"/>
  <c r="L477" i="9"/>
  <c r="K477" i="9"/>
  <c r="J477" i="9"/>
  <c r="I477" i="9"/>
  <c r="H477" i="9"/>
  <c r="G477" i="9"/>
  <c r="F477" i="9"/>
  <c r="Q474" i="9"/>
  <c r="P474" i="9"/>
  <c r="O474" i="9"/>
  <c r="N474" i="9"/>
  <c r="M474" i="9"/>
  <c r="L474" i="9"/>
  <c r="K474" i="9"/>
  <c r="J474" i="9"/>
  <c r="I474" i="9"/>
  <c r="H474" i="9"/>
  <c r="G474" i="9"/>
  <c r="F474" i="9"/>
  <c r="Q473" i="9"/>
  <c r="P473" i="9"/>
  <c r="O473" i="9"/>
  <c r="N473" i="9"/>
  <c r="M473" i="9"/>
  <c r="L473" i="9"/>
  <c r="K473" i="9"/>
  <c r="J473" i="9"/>
  <c r="I473" i="9"/>
  <c r="H473" i="9"/>
  <c r="G473" i="9"/>
  <c r="F473" i="9"/>
  <c r="Q472" i="9"/>
  <c r="P472" i="9"/>
  <c r="O472" i="9"/>
  <c r="N472" i="9"/>
  <c r="M472" i="9"/>
  <c r="L472" i="9"/>
  <c r="K472" i="9"/>
  <c r="J472" i="9"/>
  <c r="I472" i="9"/>
  <c r="H472" i="9"/>
  <c r="G472" i="9"/>
  <c r="F472" i="9"/>
  <c r="Q471" i="9"/>
  <c r="P471" i="9"/>
  <c r="O471" i="9"/>
  <c r="N471" i="9"/>
  <c r="M471" i="9"/>
  <c r="L471" i="9"/>
  <c r="K471" i="9"/>
  <c r="J471" i="9"/>
  <c r="I471" i="9"/>
  <c r="H471" i="9"/>
  <c r="G471" i="9"/>
  <c r="F471" i="9"/>
  <c r="Q470" i="9"/>
  <c r="P470" i="9"/>
  <c r="O470" i="9"/>
  <c r="N470" i="9"/>
  <c r="M470" i="9"/>
  <c r="L470" i="9"/>
  <c r="K470" i="9"/>
  <c r="J470" i="9"/>
  <c r="I470" i="9"/>
  <c r="H470" i="9"/>
  <c r="G470" i="9"/>
  <c r="F470" i="9"/>
  <c r="Q467" i="9"/>
  <c r="P467" i="9"/>
  <c r="O467" i="9"/>
  <c r="N467" i="9"/>
  <c r="M467" i="9"/>
  <c r="L467" i="9"/>
  <c r="K467" i="9"/>
  <c r="J467" i="9"/>
  <c r="I467" i="9"/>
  <c r="H467" i="9"/>
  <c r="G467" i="9"/>
  <c r="F467" i="9"/>
  <c r="Q466" i="9"/>
  <c r="P466" i="9"/>
  <c r="O466" i="9"/>
  <c r="N466" i="9"/>
  <c r="M466" i="9"/>
  <c r="L466" i="9"/>
  <c r="K466" i="9"/>
  <c r="J466" i="9"/>
  <c r="I466" i="9"/>
  <c r="H466" i="9"/>
  <c r="G466" i="9"/>
  <c r="F466" i="9"/>
  <c r="Q465" i="9"/>
  <c r="P465" i="9"/>
  <c r="O465" i="9"/>
  <c r="N465" i="9"/>
  <c r="M465" i="9"/>
  <c r="L465" i="9"/>
  <c r="K465" i="9"/>
  <c r="J465" i="9"/>
  <c r="I465" i="9"/>
  <c r="H465" i="9"/>
  <c r="G465" i="9"/>
  <c r="F465" i="9"/>
  <c r="Q464" i="9"/>
  <c r="P464" i="9"/>
  <c r="O464" i="9"/>
  <c r="N464" i="9"/>
  <c r="M464" i="9"/>
  <c r="L464" i="9"/>
  <c r="K464" i="9"/>
  <c r="J464" i="9"/>
  <c r="I464" i="9"/>
  <c r="H464" i="9"/>
  <c r="G464" i="9"/>
  <c r="F464" i="9"/>
  <c r="Q463" i="9"/>
  <c r="P463" i="9"/>
  <c r="O463" i="9"/>
  <c r="N463" i="9"/>
  <c r="M463" i="9"/>
  <c r="L463" i="9"/>
  <c r="K463" i="9"/>
  <c r="J463" i="9"/>
  <c r="I463" i="9"/>
  <c r="H463" i="9"/>
  <c r="G463" i="9"/>
  <c r="F463" i="9"/>
  <c r="B481" i="9"/>
  <c r="A481" i="9"/>
  <c r="B480" i="9"/>
  <c r="A480" i="9"/>
  <c r="B479" i="9"/>
  <c r="A479" i="9"/>
  <c r="B478" i="9"/>
  <c r="A478" i="9"/>
  <c r="B477" i="9"/>
  <c r="A477" i="9"/>
  <c r="B476" i="9"/>
  <c r="A476" i="9"/>
  <c r="B475" i="9"/>
  <c r="A475" i="9"/>
  <c r="B474" i="9"/>
  <c r="A474" i="9"/>
  <c r="B473" i="9"/>
  <c r="A473" i="9"/>
  <c r="B472" i="9"/>
  <c r="A472" i="9"/>
  <c r="B471" i="9"/>
  <c r="A471" i="9"/>
  <c r="B470" i="9"/>
  <c r="A470" i="9"/>
  <c r="B469" i="9"/>
  <c r="A469" i="9"/>
  <c r="B468" i="9"/>
  <c r="A468" i="9"/>
  <c r="B467" i="9"/>
  <c r="A467" i="9"/>
  <c r="B466" i="9"/>
  <c r="A466" i="9"/>
  <c r="B465" i="9"/>
  <c r="A465" i="9"/>
  <c r="B464" i="9"/>
  <c r="A464" i="9"/>
  <c r="B463" i="9"/>
  <c r="A463" i="9"/>
  <c r="B462" i="9"/>
  <c r="A462" i="9"/>
  <c r="Q461" i="9"/>
  <c r="P461" i="9"/>
  <c r="O461" i="9"/>
  <c r="N461" i="9"/>
  <c r="M461" i="9"/>
  <c r="L461" i="9"/>
  <c r="K461" i="9"/>
  <c r="J461" i="9"/>
  <c r="I461" i="9"/>
  <c r="H461" i="9"/>
  <c r="G461" i="9"/>
  <c r="F461" i="9"/>
  <c r="Q460" i="9"/>
  <c r="P460" i="9"/>
  <c r="O460" i="9"/>
  <c r="N460" i="9"/>
  <c r="M460" i="9"/>
  <c r="L460" i="9"/>
  <c r="K460" i="9"/>
  <c r="J460" i="9"/>
  <c r="I460" i="9"/>
  <c r="H460" i="9"/>
  <c r="G460" i="9"/>
  <c r="F460" i="9"/>
  <c r="Q459" i="9"/>
  <c r="P459" i="9"/>
  <c r="O459" i="9"/>
  <c r="N459" i="9"/>
  <c r="M459" i="9"/>
  <c r="L459" i="9"/>
  <c r="K459" i="9"/>
  <c r="J459" i="9"/>
  <c r="I459" i="9"/>
  <c r="H459" i="9"/>
  <c r="G459" i="9"/>
  <c r="F459" i="9"/>
  <c r="Q458" i="9"/>
  <c r="P458" i="9"/>
  <c r="O458" i="9"/>
  <c r="N458" i="9"/>
  <c r="M458" i="9"/>
  <c r="L458" i="9"/>
  <c r="K458" i="9"/>
  <c r="J458" i="9"/>
  <c r="I458" i="9"/>
  <c r="H458" i="9"/>
  <c r="G458" i="9"/>
  <c r="F458" i="9"/>
  <c r="Q457" i="9"/>
  <c r="P457" i="9"/>
  <c r="O457" i="9"/>
  <c r="N457" i="9"/>
  <c r="M457" i="9"/>
  <c r="L457" i="9"/>
  <c r="K457" i="9"/>
  <c r="J457" i="9"/>
  <c r="I457" i="9"/>
  <c r="H457" i="9"/>
  <c r="G457" i="9"/>
  <c r="F457" i="9"/>
  <c r="Q454" i="9"/>
  <c r="P454" i="9"/>
  <c r="O454" i="9"/>
  <c r="N454" i="9"/>
  <c r="M454" i="9"/>
  <c r="L454" i="9"/>
  <c r="K454" i="9"/>
  <c r="J454" i="9"/>
  <c r="I454" i="9"/>
  <c r="H454" i="9"/>
  <c r="G454" i="9"/>
  <c r="F454" i="9"/>
  <c r="Q453" i="9"/>
  <c r="P453" i="9"/>
  <c r="O453" i="9"/>
  <c r="N453" i="9"/>
  <c r="M453" i="9"/>
  <c r="L453" i="9"/>
  <c r="K453" i="9"/>
  <c r="J453" i="9"/>
  <c r="I453" i="9"/>
  <c r="H453" i="9"/>
  <c r="G453" i="9"/>
  <c r="F453" i="9"/>
  <c r="Q452" i="9"/>
  <c r="P452" i="9"/>
  <c r="O452" i="9"/>
  <c r="N452" i="9"/>
  <c r="M452" i="9"/>
  <c r="L452" i="9"/>
  <c r="K452" i="9"/>
  <c r="J452" i="9"/>
  <c r="I452" i="9"/>
  <c r="H452" i="9"/>
  <c r="G452" i="9"/>
  <c r="F452" i="9"/>
  <c r="Q451" i="9"/>
  <c r="P451" i="9"/>
  <c r="O451" i="9"/>
  <c r="N451" i="9"/>
  <c r="M451" i="9"/>
  <c r="L451" i="9"/>
  <c r="K451" i="9"/>
  <c r="J451" i="9"/>
  <c r="I451" i="9"/>
  <c r="H451" i="9"/>
  <c r="G451" i="9"/>
  <c r="F451" i="9"/>
  <c r="Q450" i="9"/>
  <c r="P450" i="9"/>
  <c r="O450" i="9"/>
  <c r="N450" i="9"/>
  <c r="M450" i="9"/>
  <c r="L450" i="9"/>
  <c r="K450" i="9"/>
  <c r="J450" i="9"/>
  <c r="I450" i="9"/>
  <c r="H450" i="9"/>
  <c r="G450" i="9"/>
  <c r="F450" i="9"/>
  <c r="Q447" i="9"/>
  <c r="P447" i="9"/>
  <c r="O447" i="9"/>
  <c r="N447" i="9"/>
  <c r="M447" i="9"/>
  <c r="L447" i="9"/>
  <c r="K447" i="9"/>
  <c r="J447" i="9"/>
  <c r="I447" i="9"/>
  <c r="H447" i="9"/>
  <c r="G447" i="9"/>
  <c r="F447" i="9"/>
  <c r="Q446" i="9"/>
  <c r="P446" i="9"/>
  <c r="O446" i="9"/>
  <c r="N446" i="9"/>
  <c r="M446" i="9"/>
  <c r="L446" i="9"/>
  <c r="K446" i="9"/>
  <c r="J446" i="9"/>
  <c r="I446" i="9"/>
  <c r="H446" i="9"/>
  <c r="G446" i="9"/>
  <c r="F446" i="9"/>
  <c r="Q445" i="9"/>
  <c r="P445" i="9"/>
  <c r="O445" i="9"/>
  <c r="N445" i="9"/>
  <c r="M445" i="9"/>
  <c r="L445" i="9"/>
  <c r="K445" i="9"/>
  <c r="J445" i="9"/>
  <c r="I445" i="9"/>
  <c r="H445" i="9"/>
  <c r="G445" i="9"/>
  <c r="F445" i="9"/>
  <c r="Q444" i="9"/>
  <c r="P444" i="9"/>
  <c r="O444" i="9"/>
  <c r="N444" i="9"/>
  <c r="M444" i="9"/>
  <c r="L444" i="9"/>
  <c r="K444" i="9"/>
  <c r="J444" i="9"/>
  <c r="I444" i="9"/>
  <c r="H444" i="9"/>
  <c r="G444" i="9"/>
  <c r="F444" i="9"/>
  <c r="Q443" i="9"/>
  <c r="P443" i="9"/>
  <c r="O443" i="9"/>
  <c r="N443" i="9"/>
  <c r="M443" i="9"/>
  <c r="L443" i="9"/>
  <c r="K443" i="9"/>
  <c r="J443" i="9"/>
  <c r="I443" i="9"/>
  <c r="H443" i="9"/>
  <c r="G443" i="9"/>
  <c r="F443" i="9"/>
  <c r="B461" i="9"/>
  <c r="A461" i="9"/>
  <c r="B460" i="9"/>
  <c r="A460" i="9"/>
  <c r="B459" i="9"/>
  <c r="A459" i="9"/>
  <c r="B458" i="9"/>
  <c r="A458" i="9"/>
  <c r="B457" i="9"/>
  <c r="A457" i="9"/>
  <c r="B456" i="9"/>
  <c r="A456" i="9"/>
  <c r="B455" i="9"/>
  <c r="A455" i="9"/>
  <c r="B454" i="9"/>
  <c r="A454" i="9"/>
  <c r="B453" i="9"/>
  <c r="A453" i="9"/>
  <c r="B452" i="9"/>
  <c r="A452" i="9"/>
  <c r="B451" i="9"/>
  <c r="A451" i="9"/>
  <c r="B450" i="9"/>
  <c r="A450" i="9"/>
  <c r="B449" i="9"/>
  <c r="A449" i="9"/>
  <c r="B448" i="9"/>
  <c r="A448" i="9"/>
  <c r="B447" i="9"/>
  <c r="A447" i="9"/>
  <c r="B446" i="9"/>
  <c r="A446" i="9"/>
  <c r="B445" i="9"/>
  <c r="A445" i="9"/>
  <c r="B444" i="9"/>
  <c r="A444" i="9"/>
  <c r="B443" i="9"/>
  <c r="A443" i="9"/>
  <c r="B442" i="9"/>
  <c r="A442" i="9"/>
  <c r="Q441" i="9"/>
  <c r="P441" i="9"/>
  <c r="O441" i="9"/>
  <c r="N441" i="9"/>
  <c r="M441" i="9"/>
  <c r="L441" i="9"/>
  <c r="K441" i="9"/>
  <c r="J441" i="9"/>
  <c r="I441" i="9"/>
  <c r="H441" i="9"/>
  <c r="G441" i="9"/>
  <c r="F441" i="9"/>
  <c r="Q440" i="9"/>
  <c r="P440" i="9"/>
  <c r="O440" i="9"/>
  <c r="N440" i="9"/>
  <c r="M440" i="9"/>
  <c r="L440" i="9"/>
  <c r="K440" i="9"/>
  <c r="J440" i="9"/>
  <c r="I440" i="9"/>
  <c r="H440" i="9"/>
  <c r="G440" i="9"/>
  <c r="F440" i="9"/>
  <c r="Q439" i="9"/>
  <c r="P439" i="9"/>
  <c r="O439" i="9"/>
  <c r="N439" i="9"/>
  <c r="M439" i="9"/>
  <c r="L439" i="9"/>
  <c r="K439" i="9"/>
  <c r="J439" i="9"/>
  <c r="I439" i="9"/>
  <c r="H439" i="9"/>
  <c r="G439" i="9"/>
  <c r="F439" i="9"/>
  <c r="Q438" i="9"/>
  <c r="P438" i="9"/>
  <c r="O438" i="9"/>
  <c r="N438" i="9"/>
  <c r="M438" i="9"/>
  <c r="L438" i="9"/>
  <c r="K438" i="9"/>
  <c r="J438" i="9"/>
  <c r="I438" i="9"/>
  <c r="H438" i="9"/>
  <c r="G438" i="9"/>
  <c r="F438" i="9"/>
  <c r="Q437" i="9"/>
  <c r="P437" i="9"/>
  <c r="O437" i="9"/>
  <c r="N437" i="9"/>
  <c r="M437" i="9"/>
  <c r="L437" i="9"/>
  <c r="K437" i="9"/>
  <c r="J437" i="9"/>
  <c r="I437" i="9"/>
  <c r="H437" i="9"/>
  <c r="G437" i="9"/>
  <c r="F437" i="9"/>
  <c r="Q434" i="9"/>
  <c r="P434" i="9"/>
  <c r="O434" i="9"/>
  <c r="N434" i="9"/>
  <c r="M434" i="9"/>
  <c r="L434" i="9"/>
  <c r="K434" i="9"/>
  <c r="J434" i="9"/>
  <c r="I434" i="9"/>
  <c r="H434" i="9"/>
  <c r="G434" i="9"/>
  <c r="F434" i="9"/>
  <c r="Q433" i="9"/>
  <c r="P433" i="9"/>
  <c r="O433" i="9"/>
  <c r="N433" i="9"/>
  <c r="M433" i="9"/>
  <c r="L433" i="9"/>
  <c r="K433" i="9"/>
  <c r="J433" i="9"/>
  <c r="I433" i="9"/>
  <c r="H433" i="9"/>
  <c r="G433" i="9"/>
  <c r="F433" i="9"/>
  <c r="Q432" i="9"/>
  <c r="P432" i="9"/>
  <c r="O432" i="9"/>
  <c r="N432" i="9"/>
  <c r="M432" i="9"/>
  <c r="L432" i="9"/>
  <c r="K432" i="9"/>
  <c r="J432" i="9"/>
  <c r="I432" i="9"/>
  <c r="H432" i="9"/>
  <c r="G432" i="9"/>
  <c r="F432" i="9"/>
  <c r="Q431" i="9"/>
  <c r="P431" i="9"/>
  <c r="O431" i="9"/>
  <c r="N431" i="9"/>
  <c r="M431" i="9"/>
  <c r="L431" i="9"/>
  <c r="K431" i="9"/>
  <c r="J431" i="9"/>
  <c r="I431" i="9"/>
  <c r="H431" i="9"/>
  <c r="G431" i="9"/>
  <c r="F431" i="9"/>
  <c r="Q430" i="9"/>
  <c r="P430" i="9"/>
  <c r="O430" i="9"/>
  <c r="N430" i="9"/>
  <c r="M430" i="9"/>
  <c r="L430" i="9"/>
  <c r="K430" i="9"/>
  <c r="J430" i="9"/>
  <c r="I430" i="9"/>
  <c r="H430" i="9"/>
  <c r="G430" i="9"/>
  <c r="F430" i="9"/>
  <c r="Q427" i="9"/>
  <c r="P427" i="9"/>
  <c r="O427" i="9"/>
  <c r="N427" i="9"/>
  <c r="M427" i="9"/>
  <c r="L427" i="9"/>
  <c r="K427" i="9"/>
  <c r="J427" i="9"/>
  <c r="I427" i="9"/>
  <c r="H427" i="9"/>
  <c r="G427" i="9"/>
  <c r="F427" i="9"/>
  <c r="Q426" i="9"/>
  <c r="P426" i="9"/>
  <c r="O426" i="9"/>
  <c r="N426" i="9"/>
  <c r="M426" i="9"/>
  <c r="L426" i="9"/>
  <c r="K426" i="9"/>
  <c r="J426" i="9"/>
  <c r="I426" i="9"/>
  <c r="H426" i="9"/>
  <c r="G426" i="9"/>
  <c r="F426" i="9"/>
  <c r="Q425" i="9"/>
  <c r="P425" i="9"/>
  <c r="O425" i="9"/>
  <c r="N425" i="9"/>
  <c r="M425" i="9"/>
  <c r="L425" i="9"/>
  <c r="K425" i="9"/>
  <c r="J425" i="9"/>
  <c r="I425" i="9"/>
  <c r="H425" i="9"/>
  <c r="G425" i="9"/>
  <c r="F425" i="9"/>
  <c r="Q424" i="9"/>
  <c r="P424" i="9"/>
  <c r="O424" i="9"/>
  <c r="N424" i="9"/>
  <c r="M424" i="9"/>
  <c r="L424" i="9"/>
  <c r="K424" i="9"/>
  <c r="J424" i="9"/>
  <c r="I424" i="9"/>
  <c r="H424" i="9"/>
  <c r="G424" i="9"/>
  <c r="F424" i="9"/>
  <c r="Q423" i="9"/>
  <c r="P423" i="9"/>
  <c r="O423" i="9"/>
  <c r="N423" i="9"/>
  <c r="M423" i="9"/>
  <c r="L423" i="9"/>
  <c r="K423" i="9"/>
  <c r="J423" i="9"/>
  <c r="I423" i="9"/>
  <c r="H423" i="9"/>
  <c r="G423" i="9"/>
  <c r="B441" i="9"/>
  <c r="A441" i="9"/>
  <c r="B440" i="9"/>
  <c r="A440" i="9"/>
  <c r="B439" i="9"/>
  <c r="A439" i="9"/>
  <c r="B438" i="9"/>
  <c r="A438" i="9"/>
  <c r="B437" i="9"/>
  <c r="A437" i="9"/>
  <c r="B436" i="9"/>
  <c r="A436" i="9"/>
  <c r="B435" i="9"/>
  <c r="A435" i="9"/>
  <c r="B434" i="9"/>
  <c r="A434" i="9"/>
  <c r="B433" i="9"/>
  <c r="A433" i="9"/>
  <c r="B432" i="9"/>
  <c r="A432" i="9"/>
  <c r="B431" i="9"/>
  <c r="A431" i="9"/>
  <c r="B430" i="9"/>
  <c r="A430" i="9"/>
  <c r="B429" i="9"/>
  <c r="A429" i="9"/>
  <c r="B428" i="9"/>
  <c r="A428" i="9"/>
  <c r="B427" i="9"/>
  <c r="A427" i="9"/>
  <c r="B426" i="9"/>
  <c r="A426" i="9"/>
  <c r="B425" i="9"/>
  <c r="A425" i="9"/>
  <c r="B424" i="9"/>
  <c r="A424" i="9"/>
  <c r="B423" i="9"/>
  <c r="A423" i="9"/>
  <c r="F423" i="9"/>
  <c r="B422" i="9"/>
  <c r="A422" i="9"/>
  <c r="Q421" i="9"/>
  <c r="P421" i="9"/>
  <c r="O421" i="9"/>
  <c r="N421" i="9"/>
  <c r="M421" i="9"/>
  <c r="L421" i="9"/>
  <c r="K421" i="9"/>
  <c r="J421" i="9"/>
  <c r="I421" i="9"/>
  <c r="H421" i="9"/>
  <c r="G421" i="9"/>
  <c r="F421" i="9"/>
  <c r="Q420" i="9"/>
  <c r="P420" i="9"/>
  <c r="O420" i="9"/>
  <c r="N420" i="9"/>
  <c r="M420" i="9"/>
  <c r="L420" i="9"/>
  <c r="K420" i="9"/>
  <c r="J420" i="9"/>
  <c r="I420" i="9"/>
  <c r="H420" i="9"/>
  <c r="G420" i="9"/>
  <c r="F420" i="9"/>
  <c r="Q419" i="9"/>
  <c r="P419" i="9"/>
  <c r="O419" i="9"/>
  <c r="N419" i="9"/>
  <c r="M419" i="9"/>
  <c r="L419" i="9"/>
  <c r="K419" i="9"/>
  <c r="J419" i="9"/>
  <c r="I419" i="9"/>
  <c r="H419" i="9"/>
  <c r="G419" i="9"/>
  <c r="F419" i="9"/>
  <c r="Q418" i="9"/>
  <c r="P418" i="9"/>
  <c r="O418" i="9"/>
  <c r="N418" i="9"/>
  <c r="M418" i="9"/>
  <c r="L418" i="9"/>
  <c r="K418" i="9"/>
  <c r="J418" i="9"/>
  <c r="I418" i="9"/>
  <c r="H418" i="9"/>
  <c r="G418" i="9"/>
  <c r="F418" i="9"/>
  <c r="Q417" i="9"/>
  <c r="P417" i="9"/>
  <c r="O417" i="9"/>
  <c r="N417" i="9"/>
  <c r="M417" i="9"/>
  <c r="L417" i="9"/>
  <c r="K417" i="9"/>
  <c r="J417" i="9"/>
  <c r="I417" i="9"/>
  <c r="H417" i="9"/>
  <c r="G417" i="9"/>
  <c r="F417" i="9"/>
  <c r="Q414" i="9"/>
  <c r="P414" i="9"/>
  <c r="O414" i="9"/>
  <c r="N414" i="9"/>
  <c r="M414" i="9"/>
  <c r="L414" i="9"/>
  <c r="K414" i="9"/>
  <c r="J414" i="9"/>
  <c r="I414" i="9"/>
  <c r="H414" i="9"/>
  <c r="G414" i="9"/>
  <c r="F414" i="9"/>
  <c r="Q413" i="9"/>
  <c r="P413" i="9"/>
  <c r="O413" i="9"/>
  <c r="N413" i="9"/>
  <c r="M413" i="9"/>
  <c r="L413" i="9"/>
  <c r="K413" i="9"/>
  <c r="J413" i="9"/>
  <c r="I413" i="9"/>
  <c r="H413" i="9"/>
  <c r="G413" i="9"/>
  <c r="F413" i="9"/>
  <c r="Q412" i="9"/>
  <c r="P412" i="9"/>
  <c r="O412" i="9"/>
  <c r="N412" i="9"/>
  <c r="M412" i="9"/>
  <c r="L412" i="9"/>
  <c r="K412" i="9"/>
  <c r="J412" i="9"/>
  <c r="I412" i="9"/>
  <c r="H412" i="9"/>
  <c r="G412" i="9"/>
  <c r="F412" i="9"/>
  <c r="Q411" i="9"/>
  <c r="P411" i="9"/>
  <c r="O411" i="9"/>
  <c r="N411" i="9"/>
  <c r="M411" i="9"/>
  <c r="L411" i="9"/>
  <c r="K411" i="9"/>
  <c r="J411" i="9"/>
  <c r="I411" i="9"/>
  <c r="H411" i="9"/>
  <c r="G411" i="9"/>
  <c r="F411" i="9"/>
  <c r="Q410" i="9"/>
  <c r="P410" i="9"/>
  <c r="O410" i="9"/>
  <c r="N410" i="9"/>
  <c r="M410" i="9"/>
  <c r="L410" i="9"/>
  <c r="K410" i="9"/>
  <c r="J410" i="9"/>
  <c r="I410" i="9"/>
  <c r="H410" i="9"/>
  <c r="G410" i="9"/>
  <c r="F410" i="9"/>
  <c r="Q407" i="9"/>
  <c r="P407" i="9"/>
  <c r="O407" i="9"/>
  <c r="N407" i="9"/>
  <c r="M407" i="9"/>
  <c r="L407" i="9"/>
  <c r="K407" i="9"/>
  <c r="J407" i="9"/>
  <c r="I407" i="9"/>
  <c r="H407" i="9"/>
  <c r="G407" i="9"/>
  <c r="F407" i="9"/>
  <c r="Q406" i="9"/>
  <c r="P406" i="9"/>
  <c r="O406" i="9"/>
  <c r="N406" i="9"/>
  <c r="M406" i="9"/>
  <c r="L406" i="9"/>
  <c r="K406" i="9"/>
  <c r="J406" i="9"/>
  <c r="I406" i="9"/>
  <c r="H406" i="9"/>
  <c r="G406" i="9"/>
  <c r="F406" i="9"/>
  <c r="Q405" i="9"/>
  <c r="P405" i="9"/>
  <c r="O405" i="9"/>
  <c r="N405" i="9"/>
  <c r="M405" i="9"/>
  <c r="L405" i="9"/>
  <c r="K405" i="9"/>
  <c r="J405" i="9"/>
  <c r="I405" i="9"/>
  <c r="H405" i="9"/>
  <c r="G405" i="9"/>
  <c r="F405" i="9"/>
  <c r="Q404" i="9"/>
  <c r="P404" i="9"/>
  <c r="O404" i="9"/>
  <c r="N404" i="9"/>
  <c r="M404" i="9"/>
  <c r="L404" i="9"/>
  <c r="K404" i="9"/>
  <c r="J404" i="9"/>
  <c r="I404" i="9"/>
  <c r="H404" i="9"/>
  <c r="G404" i="9"/>
  <c r="F404" i="9"/>
  <c r="Q403" i="9"/>
  <c r="P403" i="9"/>
  <c r="O403" i="9"/>
  <c r="N403" i="9"/>
  <c r="M403" i="9"/>
  <c r="L403" i="9"/>
  <c r="K403" i="9"/>
  <c r="J403" i="9"/>
  <c r="I403" i="9"/>
  <c r="H403" i="9"/>
  <c r="G403" i="9"/>
  <c r="F403" i="9"/>
  <c r="B421" i="9"/>
  <c r="A421" i="9"/>
  <c r="B420" i="9"/>
  <c r="A420" i="9"/>
  <c r="B419" i="9"/>
  <c r="A419" i="9"/>
  <c r="B418" i="9"/>
  <c r="A418" i="9"/>
  <c r="B417" i="9"/>
  <c r="A417" i="9"/>
  <c r="B416" i="9"/>
  <c r="A416" i="9"/>
  <c r="B415" i="9"/>
  <c r="A415" i="9"/>
  <c r="B414" i="9"/>
  <c r="A414" i="9"/>
  <c r="B413" i="9"/>
  <c r="A413" i="9"/>
  <c r="B412" i="9"/>
  <c r="A412" i="9"/>
  <c r="B411" i="9"/>
  <c r="A411" i="9"/>
  <c r="B410" i="9"/>
  <c r="A410" i="9"/>
  <c r="B409" i="9"/>
  <c r="A409" i="9"/>
  <c r="B408" i="9"/>
  <c r="A408" i="9"/>
  <c r="B407" i="9"/>
  <c r="A407" i="9"/>
  <c r="B406" i="9"/>
  <c r="A406" i="9"/>
  <c r="B405" i="9"/>
  <c r="A405" i="9"/>
  <c r="B404" i="9"/>
  <c r="A404" i="9"/>
  <c r="B403" i="9"/>
  <c r="A403" i="9"/>
  <c r="B402" i="9"/>
  <c r="A402" i="9"/>
  <c r="B401" i="9"/>
  <c r="A401" i="9"/>
  <c r="B400" i="9"/>
  <c r="A400" i="9"/>
  <c r="B399" i="9"/>
  <c r="A399" i="9"/>
  <c r="B398" i="9"/>
  <c r="A398" i="9"/>
  <c r="B397" i="9"/>
  <c r="A397" i="9"/>
  <c r="B396" i="9"/>
  <c r="A396" i="9"/>
  <c r="B395" i="9"/>
  <c r="A395" i="9"/>
  <c r="B394" i="9"/>
  <c r="A394" i="9"/>
  <c r="B393" i="9"/>
  <c r="A393" i="9"/>
  <c r="B392" i="9"/>
  <c r="A392" i="9"/>
  <c r="B391" i="9"/>
  <c r="A391" i="9"/>
  <c r="B390" i="9"/>
  <c r="A390" i="9"/>
  <c r="B389" i="9"/>
  <c r="A389" i="9"/>
  <c r="B388" i="9"/>
  <c r="A388" i="9"/>
  <c r="B387" i="9"/>
  <c r="A387" i="9"/>
  <c r="B386" i="9"/>
  <c r="A386" i="9"/>
  <c r="B385" i="9"/>
  <c r="A385" i="9"/>
  <c r="B384" i="9"/>
  <c r="A384" i="9"/>
  <c r="B383" i="9"/>
  <c r="A383" i="9"/>
  <c r="Q401" i="9"/>
  <c r="P401" i="9"/>
  <c r="O401" i="9"/>
  <c r="N401" i="9"/>
  <c r="M401" i="9"/>
  <c r="L401" i="9"/>
  <c r="K401" i="9"/>
  <c r="J401" i="9"/>
  <c r="I401" i="9"/>
  <c r="H401" i="9"/>
  <c r="G401" i="9"/>
  <c r="F401" i="9"/>
  <c r="Q400" i="9"/>
  <c r="P400" i="9"/>
  <c r="O400" i="9"/>
  <c r="N400" i="9"/>
  <c r="M400" i="9"/>
  <c r="L400" i="9"/>
  <c r="K400" i="9"/>
  <c r="J400" i="9"/>
  <c r="I400" i="9"/>
  <c r="H400" i="9"/>
  <c r="G400" i="9"/>
  <c r="F400" i="9"/>
  <c r="Q399" i="9"/>
  <c r="P399" i="9"/>
  <c r="O399" i="9"/>
  <c r="N399" i="9"/>
  <c r="M399" i="9"/>
  <c r="L399" i="9"/>
  <c r="K399" i="9"/>
  <c r="J399" i="9"/>
  <c r="I399" i="9"/>
  <c r="H399" i="9"/>
  <c r="G399" i="9"/>
  <c r="F399" i="9"/>
  <c r="Q398" i="9"/>
  <c r="P398" i="9"/>
  <c r="O398" i="9"/>
  <c r="N398" i="9"/>
  <c r="M398" i="9"/>
  <c r="L398" i="9"/>
  <c r="K398" i="9"/>
  <c r="J398" i="9"/>
  <c r="I398" i="9"/>
  <c r="H398" i="9"/>
  <c r="G398" i="9"/>
  <c r="F398" i="9"/>
  <c r="Q397" i="9"/>
  <c r="P397" i="9"/>
  <c r="O397" i="9"/>
  <c r="N397" i="9"/>
  <c r="M397" i="9"/>
  <c r="L397" i="9"/>
  <c r="K397" i="9"/>
  <c r="J397" i="9"/>
  <c r="I397" i="9"/>
  <c r="H397" i="9"/>
  <c r="G397" i="9"/>
  <c r="F397" i="9"/>
  <c r="Q394" i="9"/>
  <c r="P394" i="9"/>
  <c r="O394" i="9"/>
  <c r="N394" i="9"/>
  <c r="M394" i="9"/>
  <c r="L394" i="9"/>
  <c r="K394" i="9"/>
  <c r="J394" i="9"/>
  <c r="I394" i="9"/>
  <c r="H394" i="9"/>
  <c r="G394" i="9"/>
  <c r="F394" i="9"/>
  <c r="Q393" i="9"/>
  <c r="P393" i="9"/>
  <c r="O393" i="9"/>
  <c r="N393" i="9"/>
  <c r="M393" i="9"/>
  <c r="L393" i="9"/>
  <c r="K393" i="9"/>
  <c r="J393" i="9"/>
  <c r="I393" i="9"/>
  <c r="H393" i="9"/>
  <c r="G393" i="9"/>
  <c r="F393" i="9"/>
  <c r="Q392" i="9"/>
  <c r="P392" i="9"/>
  <c r="O392" i="9"/>
  <c r="N392" i="9"/>
  <c r="M392" i="9"/>
  <c r="L392" i="9"/>
  <c r="K392" i="9"/>
  <c r="J392" i="9"/>
  <c r="I392" i="9"/>
  <c r="H392" i="9"/>
  <c r="G392" i="9"/>
  <c r="F392" i="9"/>
  <c r="Q391" i="9"/>
  <c r="P391" i="9"/>
  <c r="O391" i="9"/>
  <c r="N391" i="9"/>
  <c r="M391" i="9"/>
  <c r="L391" i="9"/>
  <c r="K391" i="9"/>
  <c r="J391" i="9"/>
  <c r="I391" i="9"/>
  <c r="H391" i="9"/>
  <c r="G391" i="9"/>
  <c r="C11" i="8" s="1"/>
  <c r="F391" i="9"/>
  <c r="Q390" i="9"/>
  <c r="P390" i="9"/>
  <c r="O390" i="9"/>
  <c r="N390" i="9"/>
  <c r="M390" i="9"/>
  <c r="L390" i="9"/>
  <c r="K390" i="9"/>
  <c r="J390" i="9"/>
  <c r="I390" i="9"/>
  <c r="H390" i="9"/>
  <c r="G390" i="9"/>
  <c r="F390" i="9"/>
  <c r="Q387" i="9"/>
  <c r="P387" i="9"/>
  <c r="O387" i="9"/>
  <c r="N387" i="9"/>
  <c r="M387" i="9"/>
  <c r="L387" i="9"/>
  <c r="K387" i="9"/>
  <c r="J387" i="9"/>
  <c r="I387" i="9"/>
  <c r="H387" i="9"/>
  <c r="G387" i="9"/>
  <c r="F387" i="9"/>
  <c r="Q386" i="9"/>
  <c r="P386" i="9"/>
  <c r="O386" i="9"/>
  <c r="N386" i="9"/>
  <c r="M386" i="9"/>
  <c r="L386" i="9"/>
  <c r="K386" i="9"/>
  <c r="J386" i="9"/>
  <c r="I386" i="9"/>
  <c r="H386" i="9"/>
  <c r="G386" i="9"/>
  <c r="F386" i="9"/>
  <c r="Q385" i="9"/>
  <c r="P385" i="9"/>
  <c r="O385" i="9"/>
  <c r="K5" i="8" s="1"/>
  <c r="N385" i="9"/>
  <c r="M385" i="9"/>
  <c r="L385" i="9"/>
  <c r="K385" i="9"/>
  <c r="J385" i="9"/>
  <c r="I385" i="9"/>
  <c r="H385" i="9"/>
  <c r="G385" i="9"/>
  <c r="C5" i="8" s="1"/>
  <c r="F385" i="9"/>
  <c r="Q384" i="9"/>
  <c r="P384" i="9"/>
  <c r="O384" i="9"/>
  <c r="N384" i="9"/>
  <c r="M384" i="9"/>
  <c r="L384" i="9"/>
  <c r="K384" i="9"/>
  <c r="G4" i="8" s="1"/>
  <c r="J384" i="9"/>
  <c r="I384" i="9"/>
  <c r="H384" i="9"/>
  <c r="G384" i="9"/>
  <c r="F384" i="9"/>
  <c r="Q383" i="9"/>
  <c r="P383" i="9"/>
  <c r="O383" i="9"/>
  <c r="N383" i="9"/>
  <c r="M383" i="9"/>
  <c r="L383" i="9"/>
  <c r="K383" i="9"/>
  <c r="J383" i="9"/>
  <c r="I383" i="9"/>
  <c r="H383" i="9"/>
  <c r="G383" i="9"/>
  <c r="F383" i="9"/>
  <c r="B382" i="9"/>
  <c r="A382" i="9"/>
  <c r="Q381" i="9"/>
  <c r="P381" i="9"/>
  <c r="O381" i="9"/>
  <c r="N381" i="9"/>
  <c r="M381" i="9"/>
  <c r="L381" i="9"/>
  <c r="K381" i="9"/>
  <c r="J381" i="9"/>
  <c r="I381" i="9"/>
  <c r="H381" i="9"/>
  <c r="G381" i="9"/>
  <c r="F381" i="9"/>
  <c r="Q380" i="9"/>
  <c r="P380" i="9"/>
  <c r="O380" i="9"/>
  <c r="N380" i="9"/>
  <c r="M380" i="9"/>
  <c r="L380" i="9"/>
  <c r="K380" i="9"/>
  <c r="J380" i="9"/>
  <c r="I380" i="9"/>
  <c r="H380" i="9"/>
  <c r="G380" i="9"/>
  <c r="F380" i="9"/>
  <c r="Q379" i="9"/>
  <c r="P379" i="9"/>
  <c r="O379" i="9"/>
  <c r="N379" i="9"/>
  <c r="M379" i="9"/>
  <c r="L379" i="9"/>
  <c r="K379" i="9"/>
  <c r="J379" i="9"/>
  <c r="I379" i="9"/>
  <c r="H379" i="9"/>
  <c r="G379" i="9"/>
  <c r="F379" i="9"/>
  <c r="Q378" i="9"/>
  <c r="P378" i="9"/>
  <c r="O378" i="9"/>
  <c r="N378" i="9"/>
  <c r="M378" i="9"/>
  <c r="L378" i="9"/>
  <c r="K378" i="9"/>
  <c r="J378" i="9"/>
  <c r="I378" i="9"/>
  <c r="H378" i="9"/>
  <c r="G378" i="9"/>
  <c r="F378" i="9"/>
  <c r="Q377" i="9"/>
  <c r="P377" i="9"/>
  <c r="O377" i="9"/>
  <c r="N377" i="9"/>
  <c r="M377" i="9"/>
  <c r="L377" i="9"/>
  <c r="K377" i="9"/>
  <c r="J377" i="9"/>
  <c r="I377" i="9"/>
  <c r="H377" i="9"/>
  <c r="G377" i="9"/>
  <c r="F377" i="9"/>
  <c r="Q374" i="9"/>
  <c r="P374" i="9"/>
  <c r="O374" i="9"/>
  <c r="N374" i="9"/>
  <c r="M374" i="9"/>
  <c r="L374" i="9"/>
  <c r="K374" i="9"/>
  <c r="J374" i="9"/>
  <c r="I374" i="9"/>
  <c r="H374" i="9"/>
  <c r="G374" i="9"/>
  <c r="F374" i="9"/>
  <c r="Q373" i="9"/>
  <c r="P373" i="9"/>
  <c r="O373" i="9"/>
  <c r="N373" i="9"/>
  <c r="M373" i="9"/>
  <c r="L373" i="9"/>
  <c r="K373" i="9"/>
  <c r="J373" i="9"/>
  <c r="I373" i="9"/>
  <c r="H373" i="9"/>
  <c r="G373" i="9"/>
  <c r="F373" i="9"/>
  <c r="Q372" i="9"/>
  <c r="P372" i="9"/>
  <c r="O372" i="9"/>
  <c r="N372" i="9"/>
  <c r="M372" i="9"/>
  <c r="L372" i="9"/>
  <c r="K372" i="9"/>
  <c r="J372" i="9"/>
  <c r="I372" i="9"/>
  <c r="H372" i="9"/>
  <c r="G372" i="9"/>
  <c r="F372" i="9"/>
  <c r="Q371" i="9"/>
  <c r="P371" i="9"/>
  <c r="O371" i="9"/>
  <c r="N371" i="9"/>
  <c r="M371" i="9"/>
  <c r="L371" i="9"/>
  <c r="K371" i="9"/>
  <c r="J371" i="9"/>
  <c r="I371" i="9"/>
  <c r="H371" i="9"/>
  <c r="G371" i="9"/>
  <c r="F371" i="9"/>
  <c r="Q370" i="9"/>
  <c r="P370" i="9"/>
  <c r="O370" i="9"/>
  <c r="N370" i="9"/>
  <c r="M370" i="9"/>
  <c r="L370" i="9"/>
  <c r="K370" i="9"/>
  <c r="J370" i="9"/>
  <c r="I370" i="9"/>
  <c r="H370" i="9"/>
  <c r="G370" i="9"/>
  <c r="F370" i="9"/>
  <c r="Q367" i="9"/>
  <c r="P367" i="9"/>
  <c r="O367" i="9"/>
  <c r="N367" i="9"/>
  <c r="M367" i="9"/>
  <c r="L367" i="9"/>
  <c r="K367" i="9"/>
  <c r="J367" i="9"/>
  <c r="I367" i="9"/>
  <c r="H367" i="9"/>
  <c r="G367" i="9"/>
  <c r="F367" i="9"/>
  <c r="Q366" i="9"/>
  <c r="P366" i="9"/>
  <c r="O366" i="9"/>
  <c r="N366" i="9"/>
  <c r="M366" i="9"/>
  <c r="L366" i="9"/>
  <c r="K366" i="9"/>
  <c r="J366" i="9"/>
  <c r="I366" i="9"/>
  <c r="H366" i="9"/>
  <c r="G366" i="9"/>
  <c r="F366" i="9"/>
  <c r="Q365" i="9"/>
  <c r="P365" i="9"/>
  <c r="O365" i="9"/>
  <c r="N365" i="9"/>
  <c r="M365" i="9"/>
  <c r="L365" i="9"/>
  <c r="K365" i="9"/>
  <c r="J365" i="9"/>
  <c r="I365" i="9"/>
  <c r="H365" i="9"/>
  <c r="G365" i="9"/>
  <c r="F365" i="9"/>
  <c r="Q364" i="9"/>
  <c r="P364" i="9"/>
  <c r="O364" i="9"/>
  <c r="N364" i="9"/>
  <c r="M364" i="9"/>
  <c r="L364" i="9"/>
  <c r="K364" i="9"/>
  <c r="J364" i="9"/>
  <c r="I364" i="9"/>
  <c r="H364" i="9"/>
  <c r="G364" i="9"/>
  <c r="F364" i="9"/>
  <c r="Q363" i="9"/>
  <c r="P363" i="9"/>
  <c r="O363" i="9"/>
  <c r="N363" i="9"/>
  <c r="M363" i="9"/>
  <c r="L363" i="9"/>
  <c r="K363" i="9"/>
  <c r="J363" i="9"/>
  <c r="I363" i="9"/>
  <c r="H363" i="9"/>
  <c r="G363" i="9"/>
  <c r="F363" i="9"/>
  <c r="B381" i="9"/>
  <c r="A381" i="9"/>
  <c r="B380" i="9"/>
  <c r="A380" i="9"/>
  <c r="B379" i="9"/>
  <c r="A379" i="9"/>
  <c r="B378" i="9"/>
  <c r="A378" i="9"/>
  <c r="B377" i="9"/>
  <c r="A377" i="9"/>
  <c r="B376" i="9"/>
  <c r="A376" i="9"/>
  <c r="B375" i="9"/>
  <c r="A375" i="9"/>
  <c r="B374" i="9"/>
  <c r="A374" i="9"/>
  <c r="B373" i="9"/>
  <c r="A373" i="9"/>
  <c r="B372" i="9"/>
  <c r="A372" i="9"/>
  <c r="B371" i="9"/>
  <c r="A371" i="9"/>
  <c r="B370" i="9"/>
  <c r="A370" i="9"/>
  <c r="B369" i="9"/>
  <c r="A369" i="9"/>
  <c r="B368" i="9"/>
  <c r="A368" i="9"/>
  <c r="B367" i="9"/>
  <c r="A367" i="9"/>
  <c r="B366" i="9"/>
  <c r="A366" i="9"/>
  <c r="B365" i="9"/>
  <c r="A365" i="9"/>
  <c r="B364" i="9"/>
  <c r="A364" i="9"/>
  <c r="B363" i="9"/>
  <c r="A363" i="9"/>
  <c r="B362" i="9"/>
  <c r="A362" i="9"/>
  <c r="B361" i="9"/>
  <c r="A361" i="9"/>
  <c r="B360" i="9"/>
  <c r="A360" i="9"/>
  <c r="B359" i="9"/>
  <c r="A359" i="9"/>
  <c r="B358" i="9"/>
  <c r="A358" i="9"/>
  <c r="B357" i="9"/>
  <c r="A357" i="9"/>
  <c r="B356" i="9"/>
  <c r="A356" i="9"/>
  <c r="B355" i="9"/>
  <c r="A355" i="9"/>
  <c r="B354" i="9"/>
  <c r="A354" i="9"/>
  <c r="B353" i="9"/>
  <c r="A353" i="9"/>
  <c r="B352" i="9"/>
  <c r="A352" i="9"/>
  <c r="B351" i="9"/>
  <c r="A351" i="9"/>
  <c r="B350" i="9"/>
  <c r="A350" i="9"/>
  <c r="B349" i="9"/>
  <c r="A349" i="9"/>
  <c r="B348" i="9"/>
  <c r="A348" i="9"/>
  <c r="B347" i="9"/>
  <c r="A347" i="9"/>
  <c r="B346" i="9"/>
  <c r="A346" i="9"/>
  <c r="B345" i="9"/>
  <c r="A345" i="9"/>
  <c r="B344" i="9"/>
  <c r="A344" i="9"/>
  <c r="B343" i="9"/>
  <c r="A343" i="9"/>
  <c r="Q361" i="9"/>
  <c r="P361" i="9"/>
  <c r="O361" i="9"/>
  <c r="N361" i="9"/>
  <c r="M361" i="9"/>
  <c r="L361" i="9"/>
  <c r="K361" i="9"/>
  <c r="J361" i="9"/>
  <c r="I361" i="9"/>
  <c r="H361" i="9"/>
  <c r="G361" i="9"/>
  <c r="F361" i="9"/>
  <c r="Q360" i="9"/>
  <c r="P360" i="9"/>
  <c r="O360" i="9"/>
  <c r="N360" i="9"/>
  <c r="M360" i="9"/>
  <c r="L360" i="9"/>
  <c r="K360" i="9"/>
  <c r="J360" i="9"/>
  <c r="I360" i="9"/>
  <c r="H360" i="9"/>
  <c r="G360" i="9"/>
  <c r="F360" i="9"/>
  <c r="Q359" i="9"/>
  <c r="P359" i="9"/>
  <c r="O359" i="9"/>
  <c r="N359" i="9"/>
  <c r="M359" i="9"/>
  <c r="L359" i="9"/>
  <c r="K359" i="9"/>
  <c r="J359" i="9"/>
  <c r="I359" i="9"/>
  <c r="H359" i="9"/>
  <c r="G359" i="9"/>
  <c r="F359" i="9"/>
  <c r="Q358" i="9"/>
  <c r="P358" i="9"/>
  <c r="O358" i="9"/>
  <c r="N358" i="9"/>
  <c r="M358" i="9"/>
  <c r="L358" i="9"/>
  <c r="K358" i="9"/>
  <c r="J358" i="9"/>
  <c r="I358" i="9"/>
  <c r="H358" i="9"/>
  <c r="G358" i="9"/>
  <c r="F358" i="9"/>
  <c r="Q357" i="9"/>
  <c r="P357" i="9"/>
  <c r="O357" i="9"/>
  <c r="N357" i="9"/>
  <c r="M357" i="9"/>
  <c r="L357" i="9"/>
  <c r="K357" i="9"/>
  <c r="J357" i="9"/>
  <c r="I357" i="9"/>
  <c r="H357" i="9"/>
  <c r="G357" i="9"/>
  <c r="F357" i="9"/>
  <c r="Q354" i="9"/>
  <c r="P354" i="9"/>
  <c r="O354" i="9"/>
  <c r="N354" i="9"/>
  <c r="M354" i="9"/>
  <c r="L354" i="9"/>
  <c r="K354" i="9"/>
  <c r="J354" i="9"/>
  <c r="I354" i="9"/>
  <c r="H354" i="9"/>
  <c r="G354" i="9"/>
  <c r="F354" i="9"/>
  <c r="Q353" i="9"/>
  <c r="P353" i="9"/>
  <c r="O353" i="9"/>
  <c r="N353" i="9"/>
  <c r="M353" i="9"/>
  <c r="L353" i="9"/>
  <c r="K353" i="9"/>
  <c r="J353" i="9"/>
  <c r="I353" i="9"/>
  <c r="H353" i="9"/>
  <c r="G353" i="9"/>
  <c r="F353" i="9"/>
  <c r="Q352" i="9"/>
  <c r="P352" i="9"/>
  <c r="O352" i="9"/>
  <c r="N352" i="9"/>
  <c r="M352" i="9"/>
  <c r="L352" i="9"/>
  <c r="K352" i="9"/>
  <c r="J352" i="9"/>
  <c r="I352" i="9"/>
  <c r="H352" i="9"/>
  <c r="G352" i="9"/>
  <c r="F352" i="9"/>
  <c r="Q351" i="9"/>
  <c r="P351" i="9"/>
  <c r="O351" i="9"/>
  <c r="N351" i="9"/>
  <c r="M351" i="9"/>
  <c r="L351" i="9"/>
  <c r="K351" i="9"/>
  <c r="J351" i="9"/>
  <c r="I351" i="9"/>
  <c r="H351" i="9"/>
  <c r="G351" i="9"/>
  <c r="F351" i="9"/>
  <c r="Q350" i="9"/>
  <c r="P350" i="9"/>
  <c r="O350" i="9"/>
  <c r="N350" i="9"/>
  <c r="M350" i="9"/>
  <c r="L350" i="9"/>
  <c r="K350" i="9"/>
  <c r="J350" i="9"/>
  <c r="I350" i="9"/>
  <c r="H350" i="9"/>
  <c r="G350" i="9"/>
  <c r="F350" i="9"/>
  <c r="Q347" i="9"/>
  <c r="P347" i="9"/>
  <c r="O347" i="9"/>
  <c r="N347" i="9"/>
  <c r="M347" i="9"/>
  <c r="L347" i="9"/>
  <c r="K347" i="9"/>
  <c r="J347" i="9"/>
  <c r="I347" i="9"/>
  <c r="H347" i="9"/>
  <c r="G347" i="9"/>
  <c r="F347" i="9"/>
  <c r="Q346" i="9"/>
  <c r="P346" i="9"/>
  <c r="O346" i="9"/>
  <c r="N346" i="9"/>
  <c r="M346" i="9"/>
  <c r="L346" i="9"/>
  <c r="K346" i="9"/>
  <c r="J346" i="9"/>
  <c r="I346" i="9"/>
  <c r="H346" i="9"/>
  <c r="G346" i="9"/>
  <c r="F346" i="9"/>
  <c r="Q345" i="9"/>
  <c r="P345" i="9"/>
  <c r="O345" i="9"/>
  <c r="N345" i="9"/>
  <c r="M345" i="9"/>
  <c r="L345" i="9"/>
  <c r="K345" i="9"/>
  <c r="J345" i="9"/>
  <c r="I345" i="9"/>
  <c r="H345" i="9"/>
  <c r="G345" i="9"/>
  <c r="F345" i="9"/>
  <c r="Q344" i="9"/>
  <c r="P344" i="9"/>
  <c r="O344" i="9"/>
  <c r="N344" i="9"/>
  <c r="M344" i="9"/>
  <c r="L344" i="9"/>
  <c r="K344" i="9"/>
  <c r="J344" i="9"/>
  <c r="I344" i="9"/>
  <c r="H344" i="9"/>
  <c r="G344" i="9"/>
  <c r="F344" i="9"/>
  <c r="Q343" i="9"/>
  <c r="P343" i="9"/>
  <c r="O343" i="9"/>
  <c r="N343" i="9"/>
  <c r="M343" i="9"/>
  <c r="L343" i="9"/>
  <c r="K343" i="9"/>
  <c r="J343" i="9"/>
  <c r="I343" i="9"/>
  <c r="H343" i="9"/>
  <c r="G343" i="9"/>
  <c r="F343" i="9"/>
  <c r="B342" i="9"/>
  <c r="A342" i="9"/>
  <c r="B341" i="9"/>
  <c r="A341" i="9"/>
  <c r="B340" i="9"/>
  <c r="A340" i="9"/>
  <c r="B339" i="9"/>
  <c r="A339" i="9"/>
  <c r="B338" i="9"/>
  <c r="A338" i="9"/>
  <c r="B337" i="9"/>
  <c r="A337" i="9"/>
  <c r="B336" i="9"/>
  <c r="A336" i="9"/>
  <c r="B335" i="9"/>
  <c r="A335" i="9"/>
  <c r="B334" i="9"/>
  <c r="A334" i="9"/>
  <c r="B333" i="9"/>
  <c r="A333" i="9"/>
  <c r="B332" i="9"/>
  <c r="A332" i="9"/>
  <c r="B331" i="9"/>
  <c r="A331" i="9"/>
  <c r="B330" i="9"/>
  <c r="A330" i="9"/>
  <c r="B329" i="9"/>
  <c r="A329" i="9"/>
  <c r="B328" i="9"/>
  <c r="A328" i="9"/>
  <c r="B327" i="9"/>
  <c r="A327" i="9"/>
  <c r="B326" i="9"/>
  <c r="A326" i="9"/>
  <c r="B325" i="9"/>
  <c r="A325" i="9"/>
  <c r="B324" i="9"/>
  <c r="A324" i="9"/>
  <c r="B323" i="9"/>
  <c r="A323" i="9"/>
  <c r="Q341" i="9"/>
  <c r="P341" i="9"/>
  <c r="O341" i="9"/>
  <c r="N341" i="9"/>
  <c r="M341" i="9"/>
  <c r="L341" i="9"/>
  <c r="K341" i="9"/>
  <c r="J341" i="9"/>
  <c r="I341" i="9"/>
  <c r="H341" i="9"/>
  <c r="G341" i="9"/>
  <c r="F341" i="9"/>
  <c r="Q340" i="9"/>
  <c r="P340" i="9"/>
  <c r="O340" i="9"/>
  <c r="N340" i="9"/>
  <c r="M340" i="9"/>
  <c r="L340" i="9"/>
  <c r="K340" i="9"/>
  <c r="J340" i="9"/>
  <c r="I340" i="9"/>
  <c r="H340" i="9"/>
  <c r="G340" i="9"/>
  <c r="F340" i="9"/>
  <c r="Q339" i="9"/>
  <c r="P339" i="9"/>
  <c r="O339" i="9"/>
  <c r="N339" i="9"/>
  <c r="M339" i="9"/>
  <c r="L339" i="9"/>
  <c r="K339" i="9"/>
  <c r="J339" i="9"/>
  <c r="I339" i="9"/>
  <c r="H339" i="9"/>
  <c r="G339" i="9"/>
  <c r="F339" i="9"/>
  <c r="Q338" i="9"/>
  <c r="P338" i="9"/>
  <c r="O338" i="9"/>
  <c r="N338" i="9"/>
  <c r="M338" i="9"/>
  <c r="L338" i="9"/>
  <c r="K338" i="9"/>
  <c r="J338" i="9"/>
  <c r="I338" i="9"/>
  <c r="H338" i="9"/>
  <c r="G338" i="9"/>
  <c r="F338" i="9"/>
  <c r="Q337" i="9"/>
  <c r="P337" i="9"/>
  <c r="O337" i="9"/>
  <c r="N337" i="9"/>
  <c r="M337" i="9"/>
  <c r="L337" i="9"/>
  <c r="K337" i="9"/>
  <c r="J337" i="9"/>
  <c r="I337" i="9"/>
  <c r="H337" i="9"/>
  <c r="G337" i="9"/>
  <c r="F337" i="9"/>
  <c r="Q334" i="9"/>
  <c r="P334" i="9"/>
  <c r="O334" i="9"/>
  <c r="N334" i="9"/>
  <c r="M334" i="9"/>
  <c r="L334" i="9"/>
  <c r="K334" i="9"/>
  <c r="J334" i="9"/>
  <c r="I334" i="9"/>
  <c r="H334" i="9"/>
  <c r="G334" i="9"/>
  <c r="F334" i="9"/>
  <c r="Q333" i="9"/>
  <c r="P333" i="9"/>
  <c r="O333" i="9"/>
  <c r="N333" i="9"/>
  <c r="M333" i="9"/>
  <c r="L333" i="9"/>
  <c r="K333" i="9"/>
  <c r="J333" i="9"/>
  <c r="I333" i="9"/>
  <c r="H333" i="9"/>
  <c r="G333" i="9"/>
  <c r="F333" i="9"/>
  <c r="Q332" i="9"/>
  <c r="P332" i="9"/>
  <c r="O332" i="9"/>
  <c r="N332" i="9"/>
  <c r="M332" i="9"/>
  <c r="L332" i="9"/>
  <c r="K332" i="9"/>
  <c r="J332" i="9"/>
  <c r="I332" i="9"/>
  <c r="H332" i="9"/>
  <c r="G332" i="9"/>
  <c r="F332" i="9"/>
  <c r="Q331" i="9"/>
  <c r="P331" i="9"/>
  <c r="O331" i="9"/>
  <c r="N331" i="9"/>
  <c r="M331" i="9"/>
  <c r="L331" i="9"/>
  <c r="K331" i="9"/>
  <c r="J331" i="9"/>
  <c r="I331" i="9"/>
  <c r="H331" i="9"/>
  <c r="G331" i="9"/>
  <c r="F331" i="9"/>
  <c r="Q330" i="9"/>
  <c r="P330" i="9"/>
  <c r="O330" i="9"/>
  <c r="N330" i="9"/>
  <c r="M330" i="9"/>
  <c r="L330" i="9"/>
  <c r="K330" i="9"/>
  <c r="J330" i="9"/>
  <c r="I330" i="9"/>
  <c r="H330" i="9"/>
  <c r="G330" i="9"/>
  <c r="F330" i="9"/>
  <c r="Q327" i="9"/>
  <c r="P327" i="9"/>
  <c r="O327" i="9"/>
  <c r="N327" i="9"/>
  <c r="M327" i="9"/>
  <c r="L327" i="9"/>
  <c r="K327" i="9"/>
  <c r="J327" i="9"/>
  <c r="I327" i="9"/>
  <c r="H327" i="9"/>
  <c r="G327" i="9"/>
  <c r="F327" i="9"/>
  <c r="Q326" i="9"/>
  <c r="P326" i="9"/>
  <c r="O326" i="9"/>
  <c r="N326" i="9"/>
  <c r="M326" i="9"/>
  <c r="L326" i="9"/>
  <c r="K326" i="9"/>
  <c r="J326" i="9"/>
  <c r="I326" i="9"/>
  <c r="H326" i="9"/>
  <c r="G326" i="9"/>
  <c r="F326" i="9"/>
  <c r="Q325" i="9"/>
  <c r="P325" i="9"/>
  <c r="O325" i="9"/>
  <c r="N325" i="9"/>
  <c r="M325" i="9"/>
  <c r="L325" i="9"/>
  <c r="K325" i="9"/>
  <c r="J325" i="9"/>
  <c r="I325" i="9"/>
  <c r="H325" i="9"/>
  <c r="G325" i="9"/>
  <c r="F325" i="9"/>
  <c r="Q324" i="9"/>
  <c r="P324" i="9"/>
  <c r="O324" i="9"/>
  <c r="N324" i="9"/>
  <c r="M324" i="9"/>
  <c r="L324" i="9"/>
  <c r="K324" i="9"/>
  <c r="J324" i="9"/>
  <c r="I324" i="9"/>
  <c r="H324" i="9"/>
  <c r="G324" i="9"/>
  <c r="F324" i="9"/>
  <c r="Q323" i="9"/>
  <c r="P323" i="9"/>
  <c r="O323" i="9"/>
  <c r="N323" i="9"/>
  <c r="M323" i="9"/>
  <c r="L323" i="9"/>
  <c r="K323" i="9"/>
  <c r="J323" i="9"/>
  <c r="I323" i="9"/>
  <c r="H323" i="9"/>
  <c r="G323" i="9"/>
  <c r="F323" i="9"/>
  <c r="B322" i="9"/>
  <c r="A322" i="9"/>
  <c r="Q321" i="9"/>
  <c r="P321" i="9"/>
  <c r="O321" i="9"/>
  <c r="N321" i="9"/>
  <c r="M321" i="9"/>
  <c r="L321" i="9"/>
  <c r="K321" i="9"/>
  <c r="J321" i="9"/>
  <c r="I321" i="9"/>
  <c r="H321" i="9"/>
  <c r="G321" i="9"/>
  <c r="F321" i="9"/>
  <c r="Q320" i="9"/>
  <c r="P320" i="9"/>
  <c r="O320" i="9"/>
  <c r="N320" i="9"/>
  <c r="M320" i="9"/>
  <c r="L320" i="9"/>
  <c r="K320" i="9"/>
  <c r="J320" i="9"/>
  <c r="I320" i="9"/>
  <c r="H320" i="9"/>
  <c r="G320" i="9"/>
  <c r="F320" i="9"/>
  <c r="Q319" i="9"/>
  <c r="P319" i="9"/>
  <c r="O319" i="9"/>
  <c r="N319" i="9"/>
  <c r="M319" i="9"/>
  <c r="L319" i="9"/>
  <c r="K319" i="9"/>
  <c r="J319" i="9"/>
  <c r="I319" i="9"/>
  <c r="H319" i="9"/>
  <c r="G319" i="9"/>
  <c r="F319" i="9"/>
  <c r="Q318" i="9"/>
  <c r="P318" i="9"/>
  <c r="O318" i="9"/>
  <c r="N318" i="9"/>
  <c r="M318" i="9"/>
  <c r="L318" i="9"/>
  <c r="K318" i="9"/>
  <c r="J318" i="9"/>
  <c r="I318" i="9"/>
  <c r="H318" i="9"/>
  <c r="G318" i="9"/>
  <c r="F318" i="9"/>
  <c r="Q317" i="9"/>
  <c r="P317" i="9"/>
  <c r="O317" i="9"/>
  <c r="N317" i="9"/>
  <c r="M317" i="9"/>
  <c r="L317" i="9"/>
  <c r="K317" i="9"/>
  <c r="J317" i="9"/>
  <c r="I317" i="9"/>
  <c r="H317" i="9"/>
  <c r="G317" i="9"/>
  <c r="F317" i="9"/>
  <c r="Q314" i="9"/>
  <c r="P314" i="9"/>
  <c r="O314" i="9"/>
  <c r="N314" i="9"/>
  <c r="M314" i="9"/>
  <c r="L314" i="9"/>
  <c r="K314" i="9"/>
  <c r="J314" i="9"/>
  <c r="I314" i="9"/>
  <c r="H314" i="9"/>
  <c r="G314" i="9"/>
  <c r="F314" i="9"/>
  <c r="Q313" i="9"/>
  <c r="P313" i="9"/>
  <c r="O313" i="9"/>
  <c r="N313" i="9"/>
  <c r="M313" i="9"/>
  <c r="L313" i="9"/>
  <c r="K313" i="9"/>
  <c r="J313" i="9"/>
  <c r="I313" i="9"/>
  <c r="H313" i="9"/>
  <c r="G313" i="9"/>
  <c r="F313" i="9"/>
  <c r="Q312" i="9"/>
  <c r="P312" i="9"/>
  <c r="O312" i="9"/>
  <c r="N312" i="9"/>
  <c r="M312" i="9"/>
  <c r="L312" i="9"/>
  <c r="K312" i="9"/>
  <c r="J312" i="9"/>
  <c r="I312" i="9"/>
  <c r="H312" i="9"/>
  <c r="G312" i="9"/>
  <c r="F312" i="9"/>
  <c r="Q311" i="9"/>
  <c r="P311" i="9"/>
  <c r="O311" i="9"/>
  <c r="N311" i="9"/>
  <c r="M311" i="9"/>
  <c r="L311" i="9"/>
  <c r="K311" i="9"/>
  <c r="J311" i="9"/>
  <c r="I311" i="9"/>
  <c r="H311" i="9"/>
  <c r="G311" i="9"/>
  <c r="F311" i="9"/>
  <c r="Q310" i="9"/>
  <c r="P310" i="9"/>
  <c r="O310" i="9"/>
  <c r="N310" i="9"/>
  <c r="M310" i="9"/>
  <c r="L310" i="9"/>
  <c r="K310" i="9"/>
  <c r="J310" i="9"/>
  <c r="I310" i="9"/>
  <c r="H310" i="9"/>
  <c r="G310" i="9"/>
  <c r="F310" i="9"/>
  <c r="Q307" i="9"/>
  <c r="P307" i="9"/>
  <c r="O307" i="9"/>
  <c r="N307" i="9"/>
  <c r="M307" i="9"/>
  <c r="L307" i="9"/>
  <c r="K307" i="9"/>
  <c r="J307" i="9"/>
  <c r="I307" i="9"/>
  <c r="H307" i="9"/>
  <c r="G307" i="9"/>
  <c r="F307" i="9"/>
  <c r="Q306" i="9"/>
  <c r="P306" i="9"/>
  <c r="O306" i="9"/>
  <c r="N306" i="9"/>
  <c r="M306" i="9"/>
  <c r="L306" i="9"/>
  <c r="K306" i="9"/>
  <c r="J306" i="9"/>
  <c r="I306" i="9"/>
  <c r="H306" i="9"/>
  <c r="G306" i="9"/>
  <c r="F306" i="9"/>
  <c r="Q305" i="9"/>
  <c r="P305" i="9"/>
  <c r="O305" i="9"/>
  <c r="N305" i="9"/>
  <c r="M305" i="9"/>
  <c r="L305" i="9"/>
  <c r="K305" i="9"/>
  <c r="J305" i="9"/>
  <c r="I305" i="9"/>
  <c r="H305" i="9"/>
  <c r="G305" i="9"/>
  <c r="F305" i="9"/>
  <c r="Q304" i="9"/>
  <c r="P304" i="9"/>
  <c r="O304" i="9"/>
  <c r="N304" i="9"/>
  <c r="M304" i="9"/>
  <c r="L304" i="9"/>
  <c r="K304" i="9"/>
  <c r="J304" i="9"/>
  <c r="I304" i="9"/>
  <c r="H304" i="9"/>
  <c r="G304" i="9"/>
  <c r="F304" i="9"/>
  <c r="Q303" i="9"/>
  <c r="P303" i="9"/>
  <c r="O303" i="9"/>
  <c r="N303" i="9"/>
  <c r="M303" i="9"/>
  <c r="L303" i="9"/>
  <c r="K303" i="9"/>
  <c r="J303" i="9"/>
  <c r="I303" i="9"/>
  <c r="H303" i="9"/>
  <c r="G303" i="9"/>
  <c r="F303" i="9"/>
  <c r="B321" i="9"/>
  <c r="A321" i="9"/>
  <c r="B320" i="9"/>
  <c r="A320" i="9"/>
  <c r="B319" i="9"/>
  <c r="A319" i="9"/>
  <c r="B318" i="9"/>
  <c r="A318" i="9"/>
  <c r="B317" i="9"/>
  <c r="A317" i="9"/>
  <c r="B316" i="9"/>
  <c r="A316" i="9"/>
  <c r="B315" i="9"/>
  <c r="A315" i="9"/>
  <c r="B314" i="9"/>
  <c r="A314" i="9"/>
  <c r="B313" i="9"/>
  <c r="A313" i="9"/>
  <c r="B312" i="9"/>
  <c r="A312" i="9"/>
  <c r="B311" i="9"/>
  <c r="A311" i="9"/>
  <c r="B310" i="9"/>
  <c r="A310" i="9"/>
  <c r="B309" i="9"/>
  <c r="A309" i="9"/>
  <c r="B308" i="9"/>
  <c r="A308" i="9"/>
  <c r="B307" i="9"/>
  <c r="A307" i="9"/>
  <c r="B306" i="9"/>
  <c r="A306" i="9"/>
  <c r="B305" i="9"/>
  <c r="A305" i="9"/>
  <c r="B304" i="9"/>
  <c r="A304" i="9"/>
  <c r="B303" i="9"/>
  <c r="A303" i="9"/>
  <c r="B302" i="9"/>
  <c r="A302" i="9"/>
  <c r="Q301" i="9"/>
  <c r="P301" i="9"/>
  <c r="O301" i="9"/>
  <c r="N301" i="9"/>
  <c r="M301" i="9"/>
  <c r="L301" i="9"/>
  <c r="K301" i="9"/>
  <c r="J301" i="9"/>
  <c r="I301" i="9"/>
  <c r="H301" i="9"/>
  <c r="G301" i="9"/>
  <c r="F301" i="9"/>
  <c r="Q300" i="9"/>
  <c r="P300" i="9"/>
  <c r="O300" i="9"/>
  <c r="N300" i="9"/>
  <c r="M300" i="9"/>
  <c r="L300" i="9"/>
  <c r="K300" i="9"/>
  <c r="J300" i="9"/>
  <c r="I300" i="9"/>
  <c r="H300" i="9"/>
  <c r="G300" i="9"/>
  <c r="F300" i="9"/>
  <c r="Q299" i="9"/>
  <c r="P299" i="9"/>
  <c r="O299" i="9"/>
  <c r="N299" i="9"/>
  <c r="M299" i="9"/>
  <c r="L299" i="9"/>
  <c r="K299" i="9"/>
  <c r="J299" i="9"/>
  <c r="I299" i="9"/>
  <c r="H299" i="9"/>
  <c r="G299" i="9"/>
  <c r="F299" i="9"/>
  <c r="Q298" i="9"/>
  <c r="P298" i="9"/>
  <c r="O298" i="9"/>
  <c r="N298" i="9"/>
  <c r="M298" i="9"/>
  <c r="L298" i="9"/>
  <c r="K298" i="9"/>
  <c r="J298" i="9"/>
  <c r="I298" i="9"/>
  <c r="H298" i="9"/>
  <c r="G298" i="9"/>
  <c r="F298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Q294" i="9"/>
  <c r="P294" i="9"/>
  <c r="O294" i="9"/>
  <c r="N294" i="9"/>
  <c r="M294" i="9"/>
  <c r="L294" i="9"/>
  <c r="K294" i="9"/>
  <c r="J294" i="9"/>
  <c r="I294" i="9"/>
  <c r="H294" i="9"/>
  <c r="G294" i="9"/>
  <c r="F294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Q291" i="9"/>
  <c r="P291" i="9"/>
  <c r="O291" i="9"/>
  <c r="N291" i="9"/>
  <c r="M291" i="9"/>
  <c r="L291" i="9"/>
  <c r="K291" i="9"/>
  <c r="J291" i="9"/>
  <c r="I291" i="9"/>
  <c r="H291" i="9"/>
  <c r="G291" i="9"/>
  <c r="F291" i="9"/>
  <c r="Q290" i="9"/>
  <c r="P290" i="9"/>
  <c r="O290" i="9"/>
  <c r="N290" i="9"/>
  <c r="M290" i="9"/>
  <c r="L290" i="9"/>
  <c r="K290" i="9"/>
  <c r="J290" i="9"/>
  <c r="I290" i="9"/>
  <c r="H290" i="9"/>
  <c r="G290" i="9"/>
  <c r="F290" i="9"/>
  <c r="Q287" i="9"/>
  <c r="P287" i="9"/>
  <c r="O287" i="9"/>
  <c r="N287" i="9"/>
  <c r="M287" i="9"/>
  <c r="L287" i="9"/>
  <c r="K287" i="9"/>
  <c r="J287" i="9"/>
  <c r="I287" i="9"/>
  <c r="H287" i="9"/>
  <c r="G287" i="9"/>
  <c r="F287" i="9"/>
  <c r="Q286" i="9"/>
  <c r="P286" i="9"/>
  <c r="O286" i="9"/>
  <c r="N286" i="9"/>
  <c r="M286" i="9"/>
  <c r="L286" i="9"/>
  <c r="K286" i="9"/>
  <c r="J286" i="9"/>
  <c r="I286" i="9"/>
  <c r="H286" i="9"/>
  <c r="G286" i="9"/>
  <c r="F286" i="9"/>
  <c r="Q285" i="9"/>
  <c r="P285" i="9"/>
  <c r="O285" i="9"/>
  <c r="N285" i="9"/>
  <c r="M285" i="9"/>
  <c r="L285" i="9"/>
  <c r="K285" i="9"/>
  <c r="J285" i="9"/>
  <c r="I285" i="9"/>
  <c r="H285" i="9"/>
  <c r="G285" i="9"/>
  <c r="F285" i="9"/>
  <c r="Q284" i="9"/>
  <c r="P284" i="9"/>
  <c r="O284" i="9"/>
  <c r="N284" i="9"/>
  <c r="M284" i="9"/>
  <c r="L284" i="9"/>
  <c r="K284" i="9"/>
  <c r="J284" i="9"/>
  <c r="I284" i="9"/>
  <c r="H284" i="9"/>
  <c r="G284" i="9"/>
  <c r="F284" i="9"/>
  <c r="Q283" i="9"/>
  <c r="P283" i="9"/>
  <c r="O283" i="9"/>
  <c r="N283" i="9"/>
  <c r="M283" i="9"/>
  <c r="L283" i="9"/>
  <c r="K283" i="9"/>
  <c r="J283" i="9"/>
  <c r="I283" i="9"/>
  <c r="H283" i="9"/>
  <c r="G283" i="9"/>
  <c r="F283" i="9"/>
  <c r="B301" i="9"/>
  <c r="A301" i="9"/>
  <c r="B300" i="9"/>
  <c r="A300" i="9"/>
  <c r="B299" i="9"/>
  <c r="A299" i="9"/>
  <c r="B298" i="9"/>
  <c r="A298" i="9"/>
  <c r="B297" i="9"/>
  <c r="A297" i="9"/>
  <c r="B296" i="9"/>
  <c r="A296" i="9"/>
  <c r="B295" i="9"/>
  <c r="A295" i="9"/>
  <c r="B294" i="9"/>
  <c r="A294" i="9"/>
  <c r="B293" i="9"/>
  <c r="A293" i="9"/>
  <c r="B292" i="9"/>
  <c r="A292" i="9"/>
  <c r="B291" i="9"/>
  <c r="A291" i="9"/>
  <c r="B290" i="9"/>
  <c r="A290" i="9"/>
  <c r="B289" i="9"/>
  <c r="A289" i="9"/>
  <c r="B288" i="9"/>
  <c r="A288" i="9"/>
  <c r="B287" i="9"/>
  <c r="A287" i="9"/>
  <c r="B286" i="9"/>
  <c r="A286" i="9"/>
  <c r="B285" i="9"/>
  <c r="A285" i="9"/>
  <c r="B284" i="9"/>
  <c r="A284" i="9"/>
  <c r="B283" i="9"/>
  <c r="A283" i="9"/>
  <c r="B282" i="9"/>
  <c r="A282" i="9"/>
  <c r="Q281" i="9"/>
  <c r="P281" i="9"/>
  <c r="O281" i="9"/>
  <c r="N281" i="9"/>
  <c r="M281" i="9"/>
  <c r="L281" i="9"/>
  <c r="K281" i="9"/>
  <c r="J281" i="9"/>
  <c r="I281" i="9"/>
  <c r="H281" i="9"/>
  <c r="G281" i="9"/>
  <c r="F281" i="9"/>
  <c r="Q280" i="9"/>
  <c r="P280" i="9"/>
  <c r="O280" i="9"/>
  <c r="N280" i="9"/>
  <c r="M280" i="9"/>
  <c r="L280" i="9"/>
  <c r="K280" i="9"/>
  <c r="J280" i="9"/>
  <c r="I280" i="9"/>
  <c r="H280" i="9"/>
  <c r="G280" i="9"/>
  <c r="F280" i="9"/>
  <c r="Q279" i="9"/>
  <c r="P279" i="9"/>
  <c r="O279" i="9"/>
  <c r="N279" i="9"/>
  <c r="M279" i="9"/>
  <c r="L279" i="9"/>
  <c r="K279" i="9"/>
  <c r="J279" i="9"/>
  <c r="I279" i="9"/>
  <c r="H279" i="9"/>
  <c r="G279" i="9"/>
  <c r="F279" i="9"/>
  <c r="Q278" i="9"/>
  <c r="P278" i="9"/>
  <c r="O278" i="9"/>
  <c r="N278" i="9"/>
  <c r="M278" i="9"/>
  <c r="L278" i="9"/>
  <c r="K278" i="9"/>
  <c r="J278" i="9"/>
  <c r="I278" i="9"/>
  <c r="H278" i="9"/>
  <c r="G278" i="9"/>
  <c r="F278" i="9"/>
  <c r="Q277" i="9"/>
  <c r="P277" i="9"/>
  <c r="O277" i="9"/>
  <c r="N277" i="9"/>
  <c r="M277" i="9"/>
  <c r="L277" i="9"/>
  <c r="K277" i="9"/>
  <c r="J277" i="9"/>
  <c r="I277" i="9"/>
  <c r="H277" i="9"/>
  <c r="G277" i="9"/>
  <c r="F277" i="9"/>
  <c r="Q274" i="9"/>
  <c r="P274" i="9"/>
  <c r="O274" i="9"/>
  <c r="N274" i="9"/>
  <c r="M274" i="9"/>
  <c r="L274" i="9"/>
  <c r="K274" i="9"/>
  <c r="J274" i="9"/>
  <c r="I274" i="9"/>
  <c r="H274" i="9"/>
  <c r="G274" i="9"/>
  <c r="F274" i="9"/>
  <c r="Q273" i="9"/>
  <c r="P273" i="9"/>
  <c r="O273" i="9"/>
  <c r="N273" i="9"/>
  <c r="M273" i="9"/>
  <c r="L273" i="9"/>
  <c r="K273" i="9"/>
  <c r="J273" i="9"/>
  <c r="I273" i="9"/>
  <c r="H273" i="9"/>
  <c r="G273" i="9"/>
  <c r="F273" i="9"/>
  <c r="Q272" i="9"/>
  <c r="P272" i="9"/>
  <c r="O272" i="9"/>
  <c r="N272" i="9"/>
  <c r="M272" i="9"/>
  <c r="L272" i="9"/>
  <c r="K272" i="9"/>
  <c r="J272" i="9"/>
  <c r="I272" i="9"/>
  <c r="H272" i="9"/>
  <c r="G272" i="9"/>
  <c r="F272" i="9"/>
  <c r="Q271" i="9"/>
  <c r="P271" i="9"/>
  <c r="O271" i="9"/>
  <c r="N271" i="9"/>
  <c r="M271" i="9"/>
  <c r="L271" i="9"/>
  <c r="K271" i="9"/>
  <c r="J271" i="9"/>
  <c r="I271" i="9"/>
  <c r="H271" i="9"/>
  <c r="G271" i="9"/>
  <c r="F271" i="9"/>
  <c r="Q270" i="9"/>
  <c r="P270" i="9"/>
  <c r="O270" i="9"/>
  <c r="N270" i="9"/>
  <c r="M270" i="9"/>
  <c r="L270" i="9"/>
  <c r="K270" i="9"/>
  <c r="J270" i="9"/>
  <c r="I270" i="9"/>
  <c r="H270" i="9"/>
  <c r="G270" i="9"/>
  <c r="F270" i="9"/>
  <c r="Q267" i="9"/>
  <c r="P267" i="9"/>
  <c r="O267" i="9"/>
  <c r="N267" i="9"/>
  <c r="M267" i="9"/>
  <c r="L267" i="9"/>
  <c r="K267" i="9"/>
  <c r="J267" i="9"/>
  <c r="I267" i="9"/>
  <c r="H267" i="9"/>
  <c r="G267" i="9"/>
  <c r="F267" i="9"/>
  <c r="Q266" i="9"/>
  <c r="P266" i="9"/>
  <c r="O266" i="9"/>
  <c r="N266" i="9"/>
  <c r="M266" i="9"/>
  <c r="L266" i="9"/>
  <c r="K266" i="9"/>
  <c r="J266" i="9"/>
  <c r="I266" i="9"/>
  <c r="H266" i="9"/>
  <c r="G266" i="9"/>
  <c r="F266" i="9"/>
  <c r="Q265" i="9"/>
  <c r="P265" i="9"/>
  <c r="O265" i="9"/>
  <c r="N265" i="9"/>
  <c r="M265" i="9"/>
  <c r="L265" i="9"/>
  <c r="K265" i="9"/>
  <c r="J265" i="9"/>
  <c r="I265" i="9"/>
  <c r="H265" i="9"/>
  <c r="G265" i="9"/>
  <c r="F265" i="9"/>
  <c r="Q264" i="9"/>
  <c r="P264" i="9"/>
  <c r="O264" i="9"/>
  <c r="N264" i="9"/>
  <c r="M264" i="9"/>
  <c r="L264" i="9"/>
  <c r="K264" i="9"/>
  <c r="J264" i="9"/>
  <c r="I264" i="9"/>
  <c r="H264" i="9"/>
  <c r="G264" i="9"/>
  <c r="F264" i="9"/>
  <c r="Q263" i="9"/>
  <c r="P263" i="9"/>
  <c r="O263" i="9"/>
  <c r="N263" i="9"/>
  <c r="M263" i="9"/>
  <c r="L263" i="9"/>
  <c r="K263" i="9"/>
  <c r="J263" i="9"/>
  <c r="I263" i="9"/>
  <c r="H263" i="9"/>
  <c r="G263" i="9"/>
  <c r="F263" i="9"/>
  <c r="B281" i="9"/>
  <c r="A281" i="9"/>
  <c r="B280" i="9"/>
  <c r="A280" i="9"/>
  <c r="B279" i="9"/>
  <c r="A279" i="9"/>
  <c r="B278" i="9"/>
  <c r="A278" i="9"/>
  <c r="B277" i="9"/>
  <c r="A277" i="9"/>
  <c r="B276" i="9"/>
  <c r="A276" i="9"/>
  <c r="B275" i="9"/>
  <c r="A275" i="9"/>
  <c r="B274" i="9"/>
  <c r="A274" i="9"/>
  <c r="B273" i="9"/>
  <c r="A273" i="9"/>
  <c r="B272" i="9"/>
  <c r="A272" i="9"/>
  <c r="B271" i="9"/>
  <c r="A271" i="9"/>
  <c r="B270" i="9"/>
  <c r="A270" i="9"/>
  <c r="B269" i="9"/>
  <c r="A269" i="9"/>
  <c r="B268" i="9"/>
  <c r="A268" i="9"/>
  <c r="B267" i="9"/>
  <c r="A267" i="9"/>
  <c r="B266" i="9"/>
  <c r="A266" i="9"/>
  <c r="B265" i="9"/>
  <c r="A265" i="9"/>
  <c r="B264" i="9"/>
  <c r="A264" i="9"/>
  <c r="B263" i="9"/>
  <c r="A263" i="9"/>
  <c r="B262" i="9"/>
  <c r="A262" i="9"/>
  <c r="Q261" i="9"/>
  <c r="P261" i="9"/>
  <c r="O261" i="9"/>
  <c r="N261" i="9"/>
  <c r="M261" i="9"/>
  <c r="L261" i="9"/>
  <c r="K261" i="9"/>
  <c r="J261" i="9"/>
  <c r="I261" i="9"/>
  <c r="H261" i="9"/>
  <c r="G261" i="9"/>
  <c r="F261" i="9"/>
  <c r="Q260" i="9"/>
  <c r="P260" i="9"/>
  <c r="O260" i="9"/>
  <c r="N260" i="9"/>
  <c r="M260" i="9"/>
  <c r="L260" i="9"/>
  <c r="K260" i="9"/>
  <c r="J260" i="9"/>
  <c r="I260" i="9"/>
  <c r="H260" i="9"/>
  <c r="G260" i="9"/>
  <c r="F260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Q258" i="9"/>
  <c r="P258" i="9"/>
  <c r="O258" i="9"/>
  <c r="N258" i="9"/>
  <c r="M258" i="9"/>
  <c r="L258" i="9"/>
  <c r="K258" i="9"/>
  <c r="J258" i="9"/>
  <c r="I258" i="9"/>
  <c r="H258" i="9"/>
  <c r="G258" i="9"/>
  <c r="F258" i="9"/>
  <c r="Q257" i="9"/>
  <c r="P257" i="9"/>
  <c r="O257" i="9"/>
  <c r="N257" i="9"/>
  <c r="M257" i="9"/>
  <c r="L257" i="9"/>
  <c r="K257" i="9"/>
  <c r="J257" i="9"/>
  <c r="I257" i="9"/>
  <c r="H257" i="9"/>
  <c r="G257" i="9"/>
  <c r="F257" i="9"/>
  <c r="Q254" i="9"/>
  <c r="P254" i="9"/>
  <c r="O254" i="9"/>
  <c r="N254" i="9"/>
  <c r="M254" i="9"/>
  <c r="L254" i="9"/>
  <c r="K254" i="9"/>
  <c r="J254" i="9"/>
  <c r="I254" i="9"/>
  <c r="H254" i="9"/>
  <c r="G254" i="9"/>
  <c r="F254" i="9"/>
  <c r="Q253" i="9"/>
  <c r="P253" i="9"/>
  <c r="O253" i="9"/>
  <c r="N253" i="9"/>
  <c r="M253" i="9"/>
  <c r="L253" i="9"/>
  <c r="K253" i="9"/>
  <c r="J253" i="9"/>
  <c r="I253" i="9"/>
  <c r="H253" i="9"/>
  <c r="G253" i="9"/>
  <c r="F253" i="9"/>
  <c r="Q252" i="9"/>
  <c r="P252" i="9"/>
  <c r="O252" i="9"/>
  <c r="N252" i="9"/>
  <c r="M252" i="9"/>
  <c r="L252" i="9"/>
  <c r="K252" i="9"/>
  <c r="J252" i="9"/>
  <c r="I252" i="9"/>
  <c r="H252" i="9"/>
  <c r="G252" i="9"/>
  <c r="F252" i="9"/>
  <c r="Q251" i="9"/>
  <c r="P251" i="9"/>
  <c r="O251" i="9"/>
  <c r="N251" i="9"/>
  <c r="M251" i="9"/>
  <c r="L251" i="9"/>
  <c r="K251" i="9"/>
  <c r="J251" i="9"/>
  <c r="I251" i="9"/>
  <c r="H251" i="9"/>
  <c r="G251" i="9"/>
  <c r="F251" i="9"/>
  <c r="Q250" i="9"/>
  <c r="P250" i="9"/>
  <c r="O250" i="9"/>
  <c r="N250" i="9"/>
  <c r="M250" i="9"/>
  <c r="L250" i="9"/>
  <c r="K250" i="9"/>
  <c r="J250" i="9"/>
  <c r="I250" i="9"/>
  <c r="H250" i="9"/>
  <c r="G250" i="9"/>
  <c r="F250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Q246" i="9"/>
  <c r="P246" i="9"/>
  <c r="O246" i="9"/>
  <c r="N246" i="9"/>
  <c r="M246" i="9"/>
  <c r="L246" i="9"/>
  <c r="K246" i="9"/>
  <c r="J246" i="9"/>
  <c r="I246" i="9"/>
  <c r="H246" i="9"/>
  <c r="G246" i="9"/>
  <c r="F246" i="9"/>
  <c r="Q245" i="9"/>
  <c r="P245" i="9"/>
  <c r="O245" i="9"/>
  <c r="N245" i="9"/>
  <c r="M245" i="9"/>
  <c r="L245" i="9"/>
  <c r="K245" i="9"/>
  <c r="J245" i="9"/>
  <c r="I245" i="9"/>
  <c r="H245" i="9"/>
  <c r="G245" i="9"/>
  <c r="F245" i="9"/>
  <c r="Q244" i="9"/>
  <c r="P244" i="9"/>
  <c r="O244" i="9"/>
  <c r="N244" i="9"/>
  <c r="M244" i="9"/>
  <c r="L244" i="9"/>
  <c r="K244" i="9"/>
  <c r="J244" i="9"/>
  <c r="I244" i="9"/>
  <c r="H244" i="9"/>
  <c r="G244" i="9"/>
  <c r="F244" i="9"/>
  <c r="Q243" i="9"/>
  <c r="P243" i="9"/>
  <c r="O243" i="9"/>
  <c r="N243" i="9"/>
  <c r="M243" i="9"/>
  <c r="L243" i="9"/>
  <c r="K243" i="9"/>
  <c r="J243" i="9"/>
  <c r="I243" i="9"/>
  <c r="H243" i="9"/>
  <c r="G243" i="9"/>
  <c r="F243" i="9"/>
  <c r="B261" i="9"/>
  <c r="A261" i="9"/>
  <c r="B260" i="9"/>
  <c r="A260" i="9"/>
  <c r="B259" i="9"/>
  <c r="A259" i="9"/>
  <c r="B258" i="9"/>
  <c r="A258" i="9"/>
  <c r="B257" i="9"/>
  <c r="A257" i="9"/>
  <c r="B256" i="9"/>
  <c r="A256" i="9"/>
  <c r="B255" i="9"/>
  <c r="A255" i="9"/>
  <c r="B254" i="9"/>
  <c r="A254" i="9"/>
  <c r="B253" i="9"/>
  <c r="A253" i="9"/>
  <c r="B252" i="9"/>
  <c r="A252" i="9"/>
  <c r="B251" i="9"/>
  <c r="A251" i="9"/>
  <c r="B250" i="9"/>
  <c r="A250" i="9"/>
  <c r="B249" i="9"/>
  <c r="A249" i="9"/>
  <c r="B248" i="9"/>
  <c r="A248" i="9"/>
  <c r="B247" i="9"/>
  <c r="A247" i="9"/>
  <c r="B246" i="9"/>
  <c r="A246" i="9"/>
  <c r="B245" i="9"/>
  <c r="A245" i="9"/>
  <c r="B244" i="9"/>
  <c r="A244" i="9"/>
  <c r="B243" i="9"/>
  <c r="A243" i="9"/>
  <c r="B242" i="9"/>
  <c r="A242" i="9"/>
  <c r="Q241" i="9"/>
  <c r="P241" i="9"/>
  <c r="O241" i="9"/>
  <c r="N241" i="9"/>
  <c r="M241" i="9"/>
  <c r="L241" i="9"/>
  <c r="K241" i="9"/>
  <c r="J241" i="9"/>
  <c r="I241" i="9"/>
  <c r="H241" i="9"/>
  <c r="G241" i="9"/>
  <c r="F241" i="9"/>
  <c r="Q240" i="9"/>
  <c r="P240" i="9"/>
  <c r="O240" i="9"/>
  <c r="N240" i="9"/>
  <c r="M240" i="9"/>
  <c r="L240" i="9"/>
  <c r="K240" i="9"/>
  <c r="J240" i="9"/>
  <c r="I240" i="9"/>
  <c r="H240" i="9"/>
  <c r="G240" i="9"/>
  <c r="F240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Q234" i="9"/>
  <c r="P234" i="9"/>
  <c r="O234" i="9"/>
  <c r="N234" i="9"/>
  <c r="M234" i="9"/>
  <c r="L234" i="9"/>
  <c r="K234" i="9"/>
  <c r="J234" i="9"/>
  <c r="I234" i="9"/>
  <c r="H234" i="9"/>
  <c r="G234" i="9"/>
  <c r="F234" i="9"/>
  <c r="Q233" i="9"/>
  <c r="P233" i="9"/>
  <c r="O233" i="9"/>
  <c r="N233" i="9"/>
  <c r="M233" i="9"/>
  <c r="L233" i="9"/>
  <c r="K233" i="9"/>
  <c r="J233" i="9"/>
  <c r="I233" i="9"/>
  <c r="H233" i="9"/>
  <c r="G233" i="9"/>
  <c r="F233" i="9"/>
  <c r="Q232" i="9"/>
  <c r="P232" i="9"/>
  <c r="O232" i="9"/>
  <c r="N232" i="9"/>
  <c r="M232" i="9"/>
  <c r="L232" i="9"/>
  <c r="K232" i="9"/>
  <c r="J232" i="9"/>
  <c r="I232" i="9"/>
  <c r="H232" i="9"/>
  <c r="G232" i="9"/>
  <c r="F232" i="9"/>
  <c r="Q231" i="9"/>
  <c r="P231" i="9"/>
  <c r="O231" i="9"/>
  <c r="N231" i="9"/>
  <c r="M231" i="9"/>
  <c r="L231" i="9"/>
  <c r="K231" i="9"/>
  <c r="J231" i="9"/>
  <c r="I231" i="9"/>
  <c r="H231" i="9"/>
  <c r="G231" i="9"/>
  <c r="F231" i="9"/>
  <c r="Q230" i="9"/>
  <c r="P230" i="9"/>
  <c r="O230" i="9"/>
  <c r="N230" i="9"/>
  <c r="M230" i="9"/>
  <c r="L230" i="9"/>
  <c r="K230" i="9"/>
  <c r="J230" i="9"/>
  <c r="I230" i="9"/>
  <c r="H230" i="9"/>
  <c r="G230" i="9"/>
  <c r="F230" i="9"/>
  <c r="Q227" i="9"/>
  <c r="P227" i="9"/>
  <c r="O227" i="9"/>
  <c r="N227" i="9"/>
  <c r="M227" i="9"/>
  <c r="L227" i="9"/>
  <c r="K227" i="9"/>
  <c r="J227" i="9"/>
  <c r="I227" i="9"/>
  <c r="H227" i="9"/>
  <c r="G227" i="9"/>
  <c r="F227" i="9"/>
  <c r="Q226" i="9"/>
  <c r="P226" i="9"/>
  <c r="O226" i="9"/>
  <c r="N226" i="9"/>
  <c r="M226" i="9"/>
  <c r="L226" i="9"/>
  <c r="K226" i="9"/>
  <c r="J226" i="9"/>
  <c r="I226" i="9"/>
  <c r="H226" i="9"/>
  <c r="G226" i="9"/>
  <c r="F226" i="9"/>
  <c r="Q225" i="9"/>
  <c r="P225" i="9"/>
  <c r="O225" i="9"/>
  <c r="N225" i="9"/>
  <c r="M225" i="9"/>
  <c r="L225" i="9"/>
  <c r="K225" i="9"/>
  <c r="J225" i="9"/>
  <c r="I225" i="9"/>
  <c r="H225" i="9"/>
  <c r="G225" i="9"/>
  <c r="F225" i="9"/>
  <c r="Q224" i="9"/>
  <c r="P224" i="9"/>
  <c r="O224" i="9"/>
  <c r="N224" i="9"/>
  <c r="M224" i="9"/>
  <c r="L224" i="9"/>
  <c r="K224" i="9"/>
  <c r="J224" i="9"/>
  <c r="I224" i="9"/>
  <c r="H224" i="9"/>
  <c r="G224" i="9"/>
  <c r="F224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Q221" i="9"/>
  <c r="P221" i="9"/>
  <c r="O221" i="9"/>
  <c r="N221" i="9"/>
  <c r="M221" i="9"/>
  <c r="L221" i="9"/>
  <c r="K221" i="9"/>
  <c r="J221" i="9"/>
  <c r="I221" i="9"/>
  <c r="H221" i="9"/>
  <c r="G221" i="9"/>
  <c r="F221" i="9"/>
  <c r="Q220" i="9"/>
  <c r="P220" i="9"/>
  <c r="O220" i="9"/>
  <c r="N220" i="9"/>
  <c r="M220" i="9"/>
  <c r="L220" i="9"/>
  <c r="K220" i="9"/>
  <c r="J220" i="9"/>
  <c r="I220" i="9"/>
  <c r="H220" i="9"/>
  <c r="G220" i="9"/>
  <c r="F220" i="9"/>
  <c r="Q219" i="9"/>
  <c r="P219" i="9"/>
  <c r="O219" i="9"/>
  <c r="N219" i="9"/>
  <c r="M219" i="9"/>
  <c r="L219" i="9"/>
  <c r="K219" i="9"/>
  <c r="J219" i="9"/>
  <c r="I219" i="9"/>
  <c r="H219" i="9"/>
  <c r="G219" i="9"/>
  <c r="F219" i="9"/>
  <c r="Q218" i="9"/>
  <c r="P218" i="9"/>
  <c r="O218" i="9"/>
  <c r="N218" i="9"/>
  <c r="M218" i="9"/>
  <c r="L218" i="9"/>
  <c r="K218" i="9"/>
  <c r="J218" i="9"/>
  <c r="I218" i="9"/>
  <c r="H218" i="9"/>
  <c r="G218" i="9"/>
  <c r="F218" i="9"/>
  <c r="Q217" i="9"/>
  <c r="P217" i="9"/>
  <c r="O217" i="9"/>
  <c r="N217" i="9"/>
  <c r="M217" i="9"/>
  <c r="L217" i="9"/>
  <c r="K217" i="9"/>
  <c r="J217" i="9"/>
  <c r="I217" i="9"/>
  <c r="H217" i="9"/>
  <c r="G217" i="9"/>
  <c r="F217" i="9"/>
  <c r="Q214" i="9"/>
  <c r="P214" i="9"/>
  <c r="O214" i="9"/>
  <c r="N214" i="9"/>
  <c r="M214" i="9"/>
  <c r="L214" i="9"/>
  <c r="K214" i="9"/>
  <c r="J214" i="9"/>
  <c r="I214" i="9"/>
  <c r="H214" i="9"/>
  <c r="G214" i="9"/>
  <c r="F214" i="9"/>
  <c r="Q213" i="9"/>
  <c r="P213" i="9"/>
  <c r="O213" i="9"/>
  <c r="N213" i="9"/>
  <c r="M213" i="9"/>
  <c r="L213" i="9"/>
  <c r="K213" i="9"/>
  <c r="J213" i="9"/>
  <c r="I213" i="9"/>
  <c r="H213" i="9"/>
  <c r="G213" i="9"/>
  <c r="F213" i="9"/>
  <c r="Q212" i="9"/>
  <c r="P212" i="9"/>
  <c r="O212" i="9"/>
  <c r="N212" i="9"/>
  <c r="M212" i="9"/>
  <c r="L212" i="9"/>
  <c r="K212" i="9"/>
  <c r="J212" i="9"/>
  <c r="I212" i="9"/>
  <c r="H212" i="9"/>
  <c r="G212" i="9"/>
  <c r="F212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Q210" i="9"/>
  <c r="P210" i="9"/>
  <c r="O210" i="9"/>
  <c r="N210" i="9"/>
  <c r="M210" i="9"/>
  <c r="L210" i="9"/>
  <c r="K210" i="9"/>
  <c r="J210" i="9"/>
  <c r="I210" i="9"/>
  <c r="H210" i="9"/>
  <c r="G210" i="9"/>
  <c r="F210" i="9"/>
  <c r="Q207" i="9"/>
  <c r="P207" i="9"/>
  <c r="O207" i="9"/>
  <c r="N207" i="9"/>
  <c r="M207" i="9"/>
  <c r="L207" i="9"/>
  <c r="K207" i="9"/>
  <c r="J207" i="9"/>
  <c r="I207" i="9"/>
  <c r="H207" i="9"/>
  <c r="G207" i="9"/>
  <c r="F207" i="9"/>
  <c r="Q206" i="9"/>
  <c r="P206" i="9"/>
  <c r="O206" i="9"/>
  <c r="N206" i="9"/>
  <c r="M206" i="9"/>
  <c r="L206" i="9"/>
  <c r="K206" i="9"/>
  <c r="J206" i="9"/>
  <c r="I206" i="9"/>
  <c r="H206" i="9"/>
  <c r="G206" i="9"/>
  <c r="F206" i="9"/>
  <c r="Q205" i="9"/>
  <c r="P205" i="9"/>
  <c r="O205" i="9"/>
  <c r="N205" i="9"/>
  <c r="M205" i="9"/>
  <c r="L205" i="9"/>
  <c r="K205" i="9"/>
  <c r="J205" i="9"/>
  <c r="I205" i="9"/>
  <c r="H205" i="9"/>
  <c r="G205" i="9"/>
  <c r="F205" i="9"/>
  <c r="Q204" i="9"/>
  <c r="P204" i="9"/>
  <c r="O204" i="9"/>
  <c r="N204" i="9"/>
  <c r="M204" i="9"/>
  <c r="L204" i="9"/>
  <c r="K204" i="9"/>
  <c r="J204" i="9"/>
  <c r="I204" i="9"/>
  <c r="H204" i="9"/>
  <c r="G204" i="9"/>
  <c r="F204" i="9"/>
  <c r="Q203" i="9"/>
  <c r="P203" i="9"/>
  <c r="O203" i="9"/>
  <c r="N203" i="9"/>
  <c r="M203" i="9"/>
  <c r="L203" i="9"/>
  <c r="K203" i="9"/>
  <c r="J203" i="9"/>
  <c r="I203" i="9"/>
  <c r="H203" i="9"/>
  <c r="G203" i="9"/>
  <c r="F203" i="9"/>
  <c r="Q201" i="9"/>
  <c r="P201" i="9"/>
  <c r="O201" i="9"/>
  <c r="N201" i="9"/>
  <c r="M201" i="9"/>
  <c r="L201" i="9"/>
  <c r="K201" i="9"/>
  <c r="J201" i="9"/>
  <c r="I201" i="9"/>
  <c r="H201" i="9"/>
  <c r="G201" i="9"/>
  <c r="F201" i="9"/>
  <c r="Q200" i="9"/>
  <c r="P200" i="9"/>
  <c r="O200" i="9"/>
  <c r="N200" i="9"/>
  <c r="M200" i="9"/>
  <c r="L200" i="9"/>
  <c r="K200" i="9"/>
  <c r="J200" i="9"/>
  <c r="I200" i="9"/>
  <c r="H200" i="9"/>
  <c r="G200" i="9"/>
  <c r="F200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Q198" i="9"/>
  <c r="P198" i="9"/>
  <c r="O198" i="9"/>
  <c r="N198" i="9"/>
  <c r="M198" i="9"/>
  <c r="L198" i="9"/>
  <c r="K198" i="9"/>
  <c r="J198" i="9"/>
  <c r="I198" i="9"/>
  <c r="H198" i="9"/>
  <c r="G198" i="9"/>
  <c r="F198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Q191" i="9"/>
  <c r="P191" i="9"/>
  <c r="O191" i="9"/>
  <c r="N191" i="9"/>
  <c r="M191" i="9"/>
  <c r="L191" i="9"/>
  <c r="K191" i="9"/>
  <c r="J191" i="9"/>
  <c r="I191" i="9"/>
  <c r="H191" i="9"/>
  <c r="G191" i="9"/>
  <c r="F191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Q186" i="9"/>
  <c r="P186" i="9"/>
  <c r="O186" i="9"/>
  <c r="N186" i="9"/>
  <c r="M186" i="9"/>
  <c r="L186" i="9"/>
  <c r="K186" i="9"/>
  <c r="J186" i="9"/>
  <c r="I186" i="9"/>
  <c r="H186" i="9"/>
  <c r="G186" i="9"/>
  <c r="F186" i="9"/>
  <c r="Q185" i="9"/>
  <c r="P185" i="9"/>
  <c r="O185" i="9"/>
  <c r="N185" i="9"/>
  <c r="M185" i="9"/>
  <c r="L185" i="9"/>
  <c r="K185" i="9"/>
  <c r="J185" i="9"/>
  <c r="I185" i="9"/>
  <c r="H185" i="9"/>
  <c r="G185" i="9"/>
  <c r="F185" i="9"/>
  <c r="Q184" i="9"/>
  <c r="P184" i="9"/>
  <c r="O184" i="9"/>
  <c r="N184" i="9"/>
  <c r="M184" i="9"/>
  <c r="L184" i="9"/>
  <c r="K184" i="9"/>
  <c r="J184" i="9"/>
  <c r="I184" i="9"/>
  <c r="H184" i="9"/>
  <c r="G184" i="9"/>
  <c r="F184" i="9"/>
  <c r="Q183" i="9"/>
  <c r="P183" i="9"/>
  <c r="O183" i="9"/>
  <c r="N183" i="9"/>
  <c r="M183" i="9"/>
  <c r="L183" i="9"/>
  <c r="K183" i="9"/>
  <c r="J183" i="9"/>
  <c r="I183" i="9"/>
  <c r="H183" i="9"/>
  <c r="G183" i="9"/>
  <c r="F183" i="9"/>
  <c r="B241" i="9"/>
  <c r="A241" i="9"/>
  <c r="B240" i="9"/>
  <c r="A240" i="9"/>
  <c r="B239" i="9"/>
  <c r="A239" i="9"/>
  <c r="B238" i="9"/>
  <c r="A238" i="9"/>
  <c r="B237" i="9"/>
  <c r="A237" i="9"/>
  <c r="B236" i="9"/>
  <c r="A236" i="9"/>
  <c r="B235" i="9"/>
  <c r="A235" i="9"/>
  <c r="B234" i="9"/>
  <c r="A234" i="9"/>
  <c r="B233" i="9"/>
  <c r="A233" i="9"/>
  <c r="B232" i="9"/>
  <c r="A232" i="9"/>
  <c r="B231" i="9"/>
  <c r="A231" i="9"/>
  <c r="B230" i="9"/>
  <c r="A230" i="9"/>
  <c r="B229" i="9"/>
  <c r="A229" i="9"/>
  <c r="B228" i="9"/>
  <c r="A228" i="9"/>
  <c r="B227" i="9"/>
  <c r="A227" i="9"/>
  <c r="B226" i="9"/>
  <c r="A226" i="9"/>
  <c r="B225" i="9"/>
  <c r="A225" i="9"/>
  <c r="B224" i="9"/>
  <c r="A224" i="9"/>
  <c r="B223" i="9"/>
  <c r="A223" i="9"/>
  <c r="B222" i="9"/>
  <c r="A222" i="9"/>
  <c r="B201" i="9"/>
  <c r="A201" i="9"/>
  <c r="B200" i="9"/>
  <c r="A200" i="9"/>
  <c r="B199" i="9"/>
  <c r="A199" i="9"/>
  <c r="B198" i="9"/>
  <c r="A198" i="9"/>
  <c r="B197" i="9"/>
  <c r="A197" i="9"/>
  <c r="B196" i="9"/>
  <c r="A196" i="9"/>
  <c r="B195" i="9"/>
  <c r="A195" i="9"/>
  <c r="B194" i="9"/>
  <c r="A194" i="9"/>
  <c r="B193" i="9"/>
  <c r="A193" i="9"/>
  <c r="B192" i="9"/>
  <c r="A192" i="9"/>
  <c r="B191" i="9"/>
  <c r="A191" i="9"/>
  <c r="B190" i="9"/>
  <c r="A190" i="9"/>
  <c r="B189" i="9"/>
  <c r="A189" i="9"/>
  <c r="B188" i="9"/>
  <c r="A188" i="9"/>
  <c r="B187" i="9"/>
  <c r="A187" i="9"/>
  <c r="B186" i="9"/>
  <c r="A186" i="9"/>
  <c r="B185" i="9"/>
  <c r="A185" i="9"/>
  <c r="B184" i="9"/>
  <c r="A184" i="9"/>
  <c r="B183" i="9"/>
  <c r="A183" i="9"/>
  <c r="B221" i="9"/>
  <c r="A221" i="9"/>
  <c r="B220" i="9"/>
  <c r="A220" i="9"/>
  <c r="B219" i="9"/>
  <c r="A219" i="9"/>
  <c r="B218" i="9"/>
  <c r="A218" i="9"/>
  <c r="B217" i="9"/>
  <c r="A217" i="9"/>
  <c r="B216" i="9"/>
  <c r="A216" i="9"/>
  <c r="B215" i="9"/>
  <c r="A215" i="9"/>
  <c r="B214" i="9"/>
  <c r="A214" i="9"/>
  <c r="B213" i="9"/>
  <c r="A213" i="9"/>
  <c r="B212" i="9"/>
  <c r="A212" i="9"/>
  <c r="B211" i="9"/>
  <c r="A211" i="9"/>
  <c r="B210" i="9"/>
  <c r="A210" i="9"/>
  <c r="B209" i="9"/>
  <c r="A209" i="9"/>
  <c r="B208" i="9"/>
  <c r="A208" i="9"/>
  <c r="B207" i="9"/>
  <c r="A207" i="9"/>
  <c r="B206" i="9"/>
  <c r="A206" i="9"/>
  <c r="B205" i="9"/>
  <c r="A205" i="9"/>
  <c r="B204" i="9"/>
  <c r="A204" i="9"/>
  <c r="B203" i="9"/>
  <c r="A203" i="9"/>
  <c r="B202" i="9"/>
  <c r="A202" i="9"/>
  <c r="B182" i="9"/>
  <c r="A182" i="9"/>
  <c r="Q181" i="9"/>
  <c r="P181" i="9"/>
  <c r="O181" i="9"/>
  <c r="N181" i="9"/>
  <c r="M181" i="9"/>
  <c r="L181" i="9"/>
  <c r="K181" i="9"/>
  <c r="J181" i="9"/>
  <c r="I181" i="9"/>
  <c r="H181" i="9"/>
  <c r="G181" i="9"/>
  <c r="F181" i="9"/>
  <c r="Q180" i="9"/>
  <c r="P180" i="9"/>
  <c r="O180" i="9"/>
  <c r="N180" i="9"/>
  <c r="M180" i="9"/>
  <c r="L180" i="9"/>
  <c r="K180" i="9"/>
  <c r="J180" i="9"/>
  <c r="I180" i="9"/>
  <c r="H180" i="9"/>
  <c r="G180" i="9"/>
  <c r="F180" i="9"/>
  <c r="Q179" i="9"/>
  <c r="P179" i="9"/>
  <c r="O179" i="9"/>
  <c r="N179" i="9"/>
  <c r="M179" i="9"/>
  <c r="L179" i="9"/>
  <c r="K179" i="9"/>
  <c r="J179" i="9"/>
  <c r="I179" i="9"/>
  <c r="H179" i="9"/>
  <c r="G179" i="9"/>
  <c r="F179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Q166" i="9"/>
  <c r="P166" i="9"/>
  <c r="O166" i="9"/>
  <c r="N166" i="9"/>
  <c r="M166" i="9"/>
  <c r="L166" i="9"/>
  <c r="K166" i="9"/>
  <c r="J166" i="9"/>
  <c r="I166" i="9"/>
  <c r="H166" i="9"/>
  <c r="G166" i="9"/>
  <c r="F166" i="9"/>
  <c r="Q165" i="9"/>
  <c r="P165" i="9"/>
  <c r="O165" i="9"/>
  <c r="N165" i="9"/>
  <c r="M165" i="9"/>
  <c r="L165" i="9"/>
  <c r="K165" i="9"/>
  <c r="J165" i="9"/>
  <c r="I165" i="9"/>
  <c r="H165" i="9"/>
  <c r="G165" i="9"/>
  <c r="F165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B181" i="9"/>
  <c r="A181" i="9"/>
  <c r="B180" i="9"/>
  <c r="A180" i="9"/>
  <c r="B179" i="9"/>
  <c r="A179" i="9"/>
  <c r="B178" i="9"/>
  <c r="A178" i="9"/>
  <c r="B177" i="9"/>
  <c r="A177" i="9"/>
  <c r="B176" i="9"/>
  <c r="A176" i="9"/>
  <c r="B175" i="9"/>
  <c r="A175" i="9"/>
  <c r="B174" i="9"/>
  <c r="A174" i="9"/>
  <c r="B173" i="9"/>
  <c r="A173" i="9"/>
  <c r="B172" i="9"/>
  <c r="A172" i="9"/>
  <c r="B171" i="9"/>
  <c r="A171" i="9"/>
  <c r="B170" i="9"/>
  <c r="A170" i="9"/>
  <c r="B169" i="9"/>
  <c r="A169" i="9"/>
  <c r="B168" i="9"/>
  <c r="A168" i="9"/>
  <c r="B167" i="9"/>
  <c r="A167" i="9"/>
  <c r="B166" i="9"/>
  <c r="A166" i="9"/>
  <c r="B165" i="9"/>
  <c r="A165" i="9"/>
  <c r="B164" i="9"/>
  <c r="A164" i="9"/>
  <c r="B163" i="9"/>
  <c r="A163" i="9"/>
  <c r="B162" i="9"/>
  <c r="A162" i="9"/>
  <c r="Q161" i="9"/>
  <c r="P161" i="9"/>
  <c r="O161" i="9"/>
  <c r="N161" i="9"/>
  <c r="M161" i="9"/>
  <c r="L161" i="9"/>
  <c r="K161" i="9"/>
  <c r="J161" i="9"/>
  <c r="I161" i="9"/>
  <c r="H161" i="9"/>
  <c r="G161" i="9"/>
  <c r="F161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B161" i="9"/>
  <c r="A161" i="9"/>
  <c r="B160" i="9"/>
  <c r="A160" i="9"/>
  <c r="B159" i="9"/>
  <c r="A159" i="9"/>
  <c r="B158" i="9"/>
  <c r="A158" i="9"/>
  <c r="B157" i="9"/>
  <c r="A157" i="9"/>
  <c r="B156" i="9"/>
  <c r="A156" i="9"/>
  <c r="B155" i="9"/>
  <c r="A155" i="9"/>
  <c r="B154" i="9"/>
  <c r="A154" i="9"/>
  <c r="B153" i="9"/>
  <c r="A153" i="9"/>
  <c r="B152" i="9"/>
  <c r="A152" i="9"/>
  <c r="B151" i="9"/>
  <c r="A151" i="9"/>
  <c r="B150" i="9"/>
  <c r="A150" i="9"/>
  <c r="B149" i="9"/>
  <c r="A149" i="9"/>
  <c r="B148" i="9"/>
  <c r="A148" i="9"/>
  <c r="B147" i="9"/>
  <c r="A147" i="9"/>
  <c r="B146" i="9"/>
  <c r="A146" i="9"/>
  <c r="B145" i="9"/>
  <c r="A145" i="9"/>
  <c r="B144" i="9"/>
  <c r="A144" i="9"/>
  <c r="B143" i="9"/>
  <c r="A143" i="9"/>
  <c r="B142" i="9"/>
  <c r="A142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B141" i="9"/>
  <c r="A141" i="9"/>
  <c r="B140" i="9"/>
  <c r="A140" i="9"/>
  <c r="B139" i="9"/>
  <c r="A139" i="9"/>
  <c r="B138" i="9"/>
  <c r="A138" i="9"/>
  <c r="B137" i="9"/>
  <c r="A137" i="9"/>
  <c r="B136" i="9"/>
  <c r="A136" i="9"/>
  <c r="B135" i="9"/>
  <c r="A135" i="9"/>
  <c r="B134" i="9"/>
  <c r="A134" i="9"/>
  <c r="B133" i="9"/>
  <c r="A133" i="9"/>
  <c r="B132" i="9"/>
  <c r="A132" i="9"/>
  <c r="B131" i="9"/>
  <c r="A131" i="9"/>
  <c r="B130" i="9"/>
  <c r="A130" i="9"/>
  <c r="B129" i="9"/>
  <c r="A129" i="9"/>
  <c r="B128" i="9"/>
  <c r="A128" i="9"/>
  <c r="B127" i="9"/>
  <c r="A127" i="9"/>
  <c r="B126" i="9"/>
  <c r="A126" i="9"/>
  <c r="B125" i="9"/>
  <c r="A125" i="9"/>
  <c r="B124" i="9"/>
  <c r="A124" i="9"/>
  <c r="B123" i="9"/>
  <c r="A123" i="9"/>
  <c r="B122" i="9"/>
  <c r="A122" i="9"/>
  <c r="B61" i="9"/>
  <c r="A61" i="9"/>
  <c r="B60" i="9"/>
  <c r="A60" i="9"/>
  <c r="B59" i="9"/>
  <c r="A59" i="9"/>
  <c r="B58" i="9"/>
  <c r="A58" i="9"/>
  <c r="B57" i="9"/>
  <c r="A57" i="9"/>
  <c r="B56" i="9"/>
  <c r="A56" i="9"/>
  <c r="B55" i="9"/>
  <c r="A55" i="9"/>
  <c r="B54" i="9"/>
  <c r="A54" i="9"/>
  <c r="B53" i="9"/>
  <c r="A53" i="9"/>
  <c r="B52" i="9"/>
  <c r="A52" i="9"/>
  <c r="B51" i="9"/>
  <c r="A51" i="9"/>
  <c r="B50" i="9"/>
  <c r="A50" i="9"/>
  <c r="B49" i="9"/>
  <c r="A49" i="9"/>
  <c r="B48" i="9"/>
  <c r="A48" i="9"/>
  <c r="B47" i="9"/>
  <c r="A47" i="9"/>
  <c r="B46" i="9"/>
  <c r="A46" i="9"/>
  <c r="B45" i="9"/>
  <c r="A45" i="9"/>
  <c r="B44" i="9"/>
  <c r="A44" i="9"/>
  <c r="B43" i="9"/>
  <c r="A43" i="9"/>
  <c r="B42" i="9"/>
  <c r="A42" i="9"/>
  <c r="B41" i="9"/>
  <c r="A41" i="9"/>
  <c r="B40" i="9"/>
  <c r="A40" i="9"/>
  <c r="B39" i="9"/>
  <c r="A39" i="9"/>
  <c r="B38" i="9"/>
  <c r="A38" i="9"/>
  <c r="B37" i="9"/>
  <c r="A37" i="9"/>
  <c r="B36" i="9"/>
  <c r="A36" i="9"/>
  <c r="B35" i="9"/>
  <c r="A35" i="9"/>
  <c r="B34" i="9"/>
  <c r="A34" i="9"/>
  <c r="B33" i="9"/>
  <c r="A33" i="9"/>
  <c r="B32" i="9"/>
  <c r="A32" i="9"/>
  <c r="B31" i="9"/>
  <c r="A31" i="9"/>
  <c r="B30" i="9"/>
  <c r="A30" i="9"/>
  <c r="B29" i="9"/>
  <c r="A29" i="9"/>
  <c r="B28" i="9"/>
  <c r="A28" i="9"/>
  <c r="B27" i="9"/>
  <c r="A27" i="9"/>
  <c r="B26" i="9"/>
  <c r="A26" i="9"/>
  <c r="B25" i="9"/>
  <c r="A25" i="9"/>
  <c r="B24" i="9"/>
  <c r="A24" i="9"/>
  <c r="B23" i="9"/>
  <c r="A23" i="9"/>
  <c r="B22" i="9"/>
  <c r="A22" i="9"/>
  <c r="Q21" i="9"/>
  <c r="P21" i="9"/>
  <c r="O21" i="9"/>
  <c r="N21" i="9"/>
  <c r="M21" i="9"/>
  <c r="L21" i="9"/>
  <c r="K21" i="9"/>
  <c r="J21" i="9"/>
  <c r="I21" i="9"/>
  <c r="H21" i="9"/>
  <c r="G21" i="9"/>
  <c r="Q20" i="9"/>
  <c r="P20" i="9"/>
  <c r="O20" i="9"/>
  <c r="N20" i="9"/>
  <c r="M20" i="9"/>
  <c r="L20" i="9"/>
  <c r="K20" i="9"/>
  <c r="J20" i="9"/>
  <c r="I20" i="9"/>
  <c r="H20" i="9"/>
  <c r="G20" i="9"/>
  <c r="Q19" i="9"/>
  <c r="P19" i="9"/>
  <c r="O19" i="9"/>
  <c r="N19" i="9"/>
  <c r="M19" i="9"/>
  <c r="L19" i="9"/>
  <c r="K19" i="9"/>
  <c r="J19" i="9"/>
  <c r="I19" i="9"/>
  <c r="H19" i="9"/>
  <c r="G19" i="9"/>
  <c r="Q18" i="9"/>
  <c r="P18" i="9"/>
  <c r="O18" i="9"/>
  <c r="N18" i="9"/>
  <c r="M18" i="9"/>
  <c r="L18" i="9"/>
  <c r="K18" i="9"/>
  <c r="J18" i="9"/>
  <c r="I18" i="9"/>
  <c r="H18" i="9"/>
  <c r="G18" i="9"/>
  <c r="Q17" i="9"/>
  <c r="P17" i="9"/>
  <c r="O17" i="9"/>
  <c r="N17" i="9"/>
  <c r="M17" i="9"/>
  <c r="L17" i="9"/>
  <c r="K17" i="9"/>
  <c r="J17" i="9"/>
  <c r="I17" i="9"/>
  <c r="H17" i="9"/>
  <c r="G17" i="9"/>
  <c r="Q14" i="9"/>
  <c r="P14" i="9"/>
  <c r="O14" i="9"/>
  <c r="N14" i="9"/>
  <c r="M14" i="9"/>
  <c r="L14" i="9"/>
  <c r="K14" i="9"/>
  <c r="J14" i="9"/>
  <c r="I14" i="9"/>
  <c r="H14" i="9"/>
  <c r="G14" i="9"/>
  <c r="Q13" i="9"/>
  <c r="P13" i="9"/>
  <c r="O13" i="9"/>
  <c r="N13" i="9"/>
  <c r="M13" i="9"/>
  <c r="L13" i="9"/>
  <c r="K13" i="9"/>
  <c r="J13" i="9"/>
  <c r="I13" i="9"/>
  <c r="H13" i="9"/>
  <c r="G13" i="9"/>
  <c r="Q12" i="9"/>
  <c r="P12" i="9"/>
  <c r="O12" i="9"/>
  <c r="N12" i="9"/>
  <c r="M12" i="9"/>
  <c r="L12" i="9"/>
  <c r="K12" i="9"/>
  <c r="J12" i="9"/>
  <c r="I12" i="9"/>
  <c r="H12" i="9"/>
  <c r="G12" i="9"/>
  <c r="Q11" i="9"/>
  <c r="P11" i="9"/>
  <c r="O11" i="9"/>
  <c r="N11" i="9"/>
  <c r="M11" i="9"/>
  <c r="L11" i="9"/>
  <c r="K11" i="9"/>
  <c r="J11" i="9"/>
  <c r="I11" i="9"/>
  <c r="H11" i="9"/>
  <c r="G11" i="9"/>
  <c r="Q10" i="9"/>
  <c r="P10" i="9"/>
  <c r="O10" i="9"/>
  <c r="N10" i="9"/>
  <c r="M10" i="9"/>
  <c r="L10" i="9"/>
  <c r="K10" i="9"/>
  <c r="J10" i="9"/>
  <c r="I10" i="9"/>
  <c r="H10" i="9"/>
  <c r="G10" i="9"/>
  <c r="Q7" i="9"/>
  <c r="P7" i="9"/>
  <c r="O7" i="9"/>
  <c r="N7" i="9"/>
  <c r="M7" i="9"/>
  <c r="L7" i="9"/>
  <c r="K7" i="9"/>
  <c r="J7" i="9"/>
  <c r="I7" i="9"/>
  <c r="H7" i="9"/>
  <c r="G7" i="9"/>
  <c r="Q6" i="9"/>
  <c r="P6" i="9"/>
  <c r="O6" i="9"/>
  <c r="N6" i="9"/>
  <c r="M6" i="9"/>
  <c r="L6" i="9"/>
  <c r="K6" i="9"/>
  <c r="J6" i="9"/>
  <c r="I6" i="9"/>
  <c r="H6" i="9"/>
  <c r="G6" i="9"/>
  <c r="Q5" i="9"/>
  <c r="P5" i="9"/>
  <c r="O5" i="9"/>
  <c r="N5" i="9"/>
  <c r="M5" i="9"/>
  <c r="L5" i="9"/>
  <c r="K5" i="9"/>
  <c r="J5" i="9"/>
  <c r="I5" i="9"/>
  <c r="H5" i="9"/>
  <c r="G5" i="9"/>
  <c r="Q4" i="9"/>
  <c r="P4" i="9"/>
  <c r="O4" i="9"/>
  <c r="N4" i="9"/>
  <c r="M4" i="9"/>
  <c r="L4" i="9"/>
  <c r="K4" i="9"/>
  <c r="J4" i="9"/>
  <c r="I4" i="9"/>
  <c r="H4" i="9"/>
  <c r="G4" i="9"/>
  <c r="Q3" i="9"/>
  <c r="P3" i="9"/>
  <c r="O3" i="9"/>
  <c r="N3" i="9"/>
  <c r="M3" i="9"/>
  <c r="L3" i="9"/>
  <c r="K3" i="9"/>
  <c r="J3" i="9"/>
  <c r="I3" i="9"/>
  <c r="H3" i="9"/>
  <c r="G3" i="9"/>
  <c r="F21" i="9"/>
  <c r="F20" i="9"/>
  <c r="F19" i="9"/>
  <c r="F18" i="9"/>
  <c r="F17" i="9"/>
  <c r="F14" i="9"/>
  <c r="F13" i="9"/>
  <c r="F12" i="9"/>
  <c r="F11" i="9"/>
  <c r="F10" i="9"/>
  <c r="F7" i="9"/>
  <c r="F6" i="9"/>
  <c r="F5" i="9"/>
  <c r="F4" i="9"/>
  <c r="F3" i="9"/>
  <c r="B21" i="9"/>
  <c r="A21" i="9"/>
  <c r="B20" i="9"/>
  <c r="A20" i="9"/>
  <c r="B19" i="9"/>
  <c r="A19" i="9"/>
  <c r="B18" i="9"/>
  <c r="A18" i="9"/>
  <c r="B17" i="9"/>
  <c r="A17" i="9"/>
  <c r="B16" i="9"/>
  <c r="A16" i="9"/>
  <c r="B15" i="9"/>
  <c r="A15" i="9"/>
  <c r="B14" i="9"/>
  <c r="A14" i="9"/>
  <c r="B13" i="9"/>
  <c r="A13" i="9"/>
  <c r="B12" i="9"/>
  <c r="A12" i="9"/>
  <c r="B11" i="9"/>
  <c r="A11" i="9"/>
  <c r="B10" i="9"/>
  <c r="A10" i="9"/>
  <c r="B9" i="9"/>
  <c r="A9" i="9"/>
  <c r="B8" i="9"/>
  <c r="A8" i="9"/>
  <c r="B7" i="9"/>
  <c r="A7" i="9"/>
  <c r="B6" i="9"/>
  <c r="A6" i="9"/>
  <c r="B5" i="9"/>
  <c r="A5" i="9"/>
  <c r="B4" i="9"/>
  <c r="A4" i="9"/>
  <c r="B3" i="9"/>
  <c r="A3" i="9"/>
  <c r="B2" i="9"/>
  <c r="A2" i="9"/>
  <c r="J4" i="8" l="1"/>
  <c r="B4" i="8"/>
  <c r="G18" i="8"/>
  <c r="K11" i="8"/>
  <c r="G12" i="8"/>
  <c r="F11" i="8"/>
  <c r="F5" i="8"/>
  <c r="B18" i="8"/>
  <c r="D4" i="8"/>
  <c r="L4" i="8"/>
  <c r="H5" i="8"/>
  <c r="H11" i="8"/>
  <c r="D12" i="8"/>
  <c r="L12" i="8"/>
  <c r="D18" i="8"/>
  <c r="L18" i="8"/>
  <c r="H19" i="8"/>
  <c r="J12" i="8"/>
  <c r="E4" i="8"/>
  <c r="M4" i="8"/>
  <c r="I5" i="8"/>
  <c r="I11" i="8"/>
  <c r="E12" i="8"/>
  <c r="M12" i="8"/>
  <c r="E18" i="8"/>
  <c r="M18" i="8"/>
  <c r="I19" i="8"/>
  <c r="F4" i="8"/>
  <c r="B5" i="8"/>
  <c r="J5" i="8"/>
  <c r="B11" i="8"/>
  <c r="J11" i="8"/>
  <c r="F12" i="8"/>
  <c r="F18" i="8"/>
  <c r="B19" i="8"/>
  <c r="J19" i="8"/>
  <c r="C19" i="8"/>
  <c r="K19" i="8"/>
  <c r="H4" i="8"/>
  <c r="D5" i="8"/>
  <c r="L5" i="8"/>
  <c r="D11" i="8"/>
  <c r="L11" i="8"/>
  <c r="H12" i="8"/>
  <c r="H18" i="8"/>
  <c r="D19" i="8"/>
  <c r="L19" i="8"/>
  <c r="I4" i="8"/>
  <c r="E5" i="8"/>
  <c r="M5" i="8"/>
  <c r="E11" i="8"/>
  <c r="M11" i="8"/>
  <c r="I12" i="8"/>
  <c r="I18" i="8"/>
  <c r="E19" i="8"/>
  <c r="M19" i="8"/>
  <c r="J18" i="8"/>
  <c r="F19" i="8"/>
  <c r="B12" i="8"/>
  <c r="C4" i="8"/>
  <c r="K4" i="8"/>
  <c r="G5" i="8"/>
  <c r="G11" i="8"/>
  <c r="C12" i="8"/>
  <c r="K12" i="8"/>
  <c r="C18" i="8"/>
  <c r="K18" i="8"/>
  <c r="G19" i="8"/>
  <c r="D3" i="8"/>
  <c r="L3" i="8"/>
  <c r="H10" i="8"/>
  <c r="D17" i="8"/>
  <c r="L17" i="8"/>
  <c r="J3" i="8"/>
  <c r="M3" i="8"/>
  <c r="E17" i="8"/>
  <c r="M17" i="8"/>
  <c r="B3" i="8"/>
  <c r="E3" i="8"/>
  <c r="I10" i="8"/>
  <c r="B17" i="8"/>
  <c r="G3" i="8"/>
  <c r="K10" i="8"/>
  <c r="G17" i="8"/>
  <c r="J17" i="8"/>
  <c r="C10" i="8"/>
  <c r="F10" i="8"/>
  <c r="I3" i="8"/>
  <c r="E10" i="8"/>
  <c r="M10" i="8"/>
  <c r="I17" i="8"/>
  <c r="C3" i="8"/>
  <c r="K3" i="8"/>
  <c r="G10" i="8"/>
  <c r="C17" i="8"/>
  <c r="K17" i="8"/>
  <c r="F3" i="8"/>
  <c r="B10" i="8"/>
  <c r="J10" i="8"/>
  <c r="F17" i="8"/>
  <c r="H3" i="8"/>
  <c r="D10" i="8"/>
  <c r="L10" i="8"/>
  <c r="H17" i="8"/>
  <c r="CC22" i="7"/>
  <c r="CC21" i="7"/>
  <c r="CC20" i="7"/>
  <c r="CC19" i="7"/>
  <c r="CC18" i="7"/>
  <c r="CC15" i="7"/>
  <c r="CC14" i="7"/>
  <c r="CC13" i="7"/>
  <c r="CC12" i="7"/>
  <c r="CC11" i="7"/>
  <c r="CA36" i="7"/>
  <c r="CA35" i="7"/>
  <c r="CA34" i="7"/>
  <c r="CA33" i="7"/>
  <c r="CA32" i="7"/>
  <c r="CC29" i="7"/>
  <c r="CC28" i="7"/>
  <c r="CC27" i="7"/>
  <c r="CC26" i="7"/>
  <c r="CC25" i="7"/>
  <c r="CC36" i="7"/>
  <c r="CC35" i="7"/>
  <c r="CC34" i="7"/>
  <c r="CC33" i="7"/>
  <c r="CC32" i="7"/>
  <c r="CC43" i="7"/>
  <c r="CC42" i="7"/>
  <c r="CC41" i="7"/>
  <c r="CC40" i="7"/>
  <c r="CC39" i="7"/>
  <c r="CC50" i="7"/>
  <c r="CC49" i="7"/>
  <c r="CC48" i="7"/>
  <c r="CC47" i="7"/>
  <c r="CC46" i="7"/>
  <c r="CC57" i="7"/>
  <c r="CC56" i="7"/>
  <c r="CC55" i="7"/>
  <c r="CC54" i="7"/>
  <c r="CC53" i="7"/>
  <c r="CC64" i="7"/>
  <c r="CC63" i="7"/>
  <c r="CC62" i="7"/>
  <c r="CC61" i="7"/>
  <c r="CC60" i="7"/>
  <c r="CC71" i="7"/>
  <c r="CC70" i="7"/>
  <c r="CC69" i="7"/>
  <c r="CC68" i="7"/>
  <c r="CC67" i="7"/>
  <c r="CC78" i="7"/>
  <c r="CC77" i="7"/>
  <c r="CC76" i="7"/>
  <c r="CC75" i="7"/>
  <c r="CC74" i="7"/>
  <c r="CC85" i="7"/>
  <c r="CC84" i="7"/>
  <c r="CC83" i="7"/>
  <c r="CC82" i="7"/>
  <c r="CC81" i="7"/>
  <c r="CC8" i="7"/>
  <c r="CC7" i="7"/>
  <c r="CC6" i="7"/>
  <c r="CC5" i="7"/>
  <c r="CA29" i="7"/>
  <c r="BZ29" i="7"/>
  <c r="BY29" i="7"/>
  <c r="CA28" i="7"/>
  <c r="BZ28" i="7"/>
  <c r="BY28" i="7"/>
  <c r="CA27" i="7"/>
  <c r="BZ27" i="7"/>
  <c r="BY27" i="7"/>
  <c r="CA26" i="7"/>
  <c r="BZ26" i="7"/>
  <c r="BY26" i="7"/>
  <c r="CA25" i="7"/>
  <c r="BZ25" i="7"/>
  <c r="BY25" i="7"/>
  <c r="CA22" i="7"/>
  <c r="BZ22" i="7"/>
  <c r="BY22" i="7"/>
  <c r="CA21" i="7"/>
  <c r="BZ21" i="7"/>
  <c r="BY21" i="7"/>
  <c r="CA20" i="7"/>
  <c r="BZ20" i="7"/>
  <c r="BY20" i="7"/>
  <c r="CA19" i="7"/>
  <c r="BZ19" i="7"/>
  <c r="BY19" i="7"/>
  <c r="CA18" i="7"/>
  <c r="BZ18" i="7"/>
  <c r="BY18" i="7"/>
  <c r="CA15" i="7"/>
  <c r="BZ15" i="7"/>
  <c r="BY15" i="7"/>
  <c r="CA14" i="7"/>
  <c r="BZ14" i="7"/>
  <c r="BY14" i="7"/>
  <c r="CA13" i="7"/>
  <c r="BZ13" i="7"/>
  <c r="BY13" i="7"/>
  <c r="CA12" i="7"/>
  <c r="BZ12" i="7"/>
  <c r="BY12" i="7"/>
  <c r="CA11" i="7"/>
  <c r="BZ11" i="7"/>
  <c r="BY11" i="7"/>
  <c r="BZ36" i="7"/>
  <c r="BY36" i="7"/>
  <c r="BZ35" i="7"/>
  <c r="BY35" i="7"/>
  <c r="BZ34" i="7"/>
  <c r="BY34" i="7"/>
  <c r="BZ33" i="7"/>
  <c r="BY33" i="7"/>
  <c r="BZ32" i="7"/>
  <c r="BY32" i="7"/>
  <c r="CA43" i="7"/>
  <c r="BZ43" i="7"/>
  <c r="BY43" i="7"/>
  <c r="CA42" i="7"/>
  <c r="BZ42" i="7"/>
  <c r="BY42" i="7"/>
  <c r="CA41" i="7"/>
  <c r="BZ41" i="7"/>
  <c r="BY41" i="7"/>
  <c r="CA40" i="7"/>
  <c r="BZ40" i="7"/>
  <c r="BY40" i="7"/>
  <c r="CA39" i="7"/>
  <c r="BZ39" i="7"/>
  <c r="BY39" i="7"/>
  <c r="CA50" i="7"/>
  <c r="BZ50" i="7"/>
  <c r="BY50" i="7"/>
  <c r="CA49" i="7"/>
  <c r="BZ49" i="7"/>
  <c r="BY49" i="7"/>
  <c r="CA48" i="7"/>
  <c r="BZ48" i="7"/>
  <c r="BY48" i="7"/>
  <c r="CA47" i="7"/>
  <c r="BZ47" i="7"/>
  <c r="BY47" i="7"/>
  <c r="CA46" i="7"/>
  <c r="BZ46" i="7"/>
  <c r="BY46" i="7"/>
  <c r="CA57" i="7"/>
  <c r="BZ57" i="7"/>
  <c r="BY57" i="7"/>
  <c r="CA56" i="7"/>
  <c r="BZ56" i="7"/>
  <c r="BY56" i="7"/>
  <c r="CA55" i="7"/>
  <c r="BZ55" i="7"/>
  <c r="BY55" i="7"/>
  <c r="CA54" i="7"/>
  <c r="BZ54" i="7"/>
  <c r="BY54" i="7"/>
  <c r="CA53" i="7"/>
  <c r="BZ53" i="7"/>
  <c r="BY53" i="7"/>
  <c r="CA64" i="7"/>
  <c r="BZ64" i="7"/>
  <c r="BY64" i="7"/>
  <c r="CA63" i="7"/>
  <c r="BZ63" i="7"/>
  <c r="BY63" i="7"/>
  <c r="CA62" i="7"/>
  <c r="BZ62" i="7"/>
  <c r="BY62" i="7"/>
  <c r="CA61" i="7"/>
  <c r="BZ61" i="7"/>
  <c r="BY61" i="7"/>
  <c r="CA60" i="7"/>
  <c r="BZ60" i="7"/>
  <c r="BY60" i="7"/>
  <c r="CA71" i="7"/>
  <c r="BZ71" i="7"/>
  <c r="BY71" i="7"/>
  <c r="CA70" i="7"/>
  <c r="BZ70" i="7"/>
  <c r="BY70" i="7"/>
  <c r="CA69" i="7"/>
  <c r="BZ69" i="7"/>
  <c r="BY69" i="7"/>
  <c r="CA68" i="7"/>
  <c r="BZ68" i="7"/>
  <c r="BY68" i="7"/>
  <c r="CA67" i="7"/>
  <c r="BZ67" i="7"/>
  <c r="BY67" i="7"/>
  <c r="CA78" i="7"/>
  <c r="BZ78" i="7"/>
  <c r="BY78" i="7"/>
  <c r="CA77" i="7"/>
  <c r="BZ77" i="7"/>
  <c r="BY77" i="7"/>
  <c r="CA76" i="7"/>
  <c r="BZ76" i="7"/>
  <c r="BY76" i="7"/>
  <c r="CA75" i="7"/>
  <c r="BZ75" i="7"/>
  <c r="BY75" i="7"/>
  <c r="CA74" i="7"/>
  <c r="BZ74" i="7"/>
  <c r="BY74" i="7"/>
  <c r="CA85" i="7"/>
  <c r="BZ85" i="7"/>
  <c r="BY85" i="7"/>
  <c r="CA84" i="7"/>
  <c r="BZ84" i="7"/>
  <c r="BY84" i="7"/>
  <c r="CA83" i="7"/>
  <c r="BZ83" i="7"/>
  <c r="BY83" i="7"/>
  <c r="CA82" i="7"/>
  <c r="BZ82" i="7"/>
  <c r="BY82" i="7"/>
  <c r="CA81" i="7"/>
  <c r="BZ81" i="7"/>
  <c r="BY81" i="7"/>
  <c r="CA8" i="7"/>
  <c r="BZ8" i="7"/>
  <c r="BY8" i="7"/>
  <c r="CA7" i="7"/>
  <c r="BZ7" i="7"/>
  <c r="BY7" i="7"/>
  <c r="CA6" i="7"/>
  <c r="BZ6" i="7"/>
  <c r="BY6" i="7"/>
  <c r="CA5" i="7"/>
  <c r="BZ5" i="7"/>
  <c r="BY5" i="7"/>
  <c r="CC4" i="7"/>
  <c r="CA4" i="7"/>
  <c r="BZ4" i="7"/>
  <c r="BY4" i="7"/>
  <c r="BW57" i="7"/>
  <c r="BV57" i="7"/>
  <c r="BU57" i="7"/>
  <c r="BT57" i="7"/>
  <c r="BW56" i="7"/>
  <c r="BV56" i="7"/>
  <c r="BU56" i="7"/>
  <c r="BT56" i="7"/>
  <c r="BW55" i="7"/>
  <c r="BV55" i="7"/>
  <c r="BU55" i="7"/>
  <c r="BT55" i="7"/>
  <c r="BW54" i="7"/>
  <c r="BV54" i="7"/>
  <c r="BU54" i="7"/>
  <c r="BT54" i="7"/>
  <c r="BW53" i="7"/>
  <c r="BV53" i="7"/>
  <c r="BU53" i="7"/>
  <c r="BT53" i="7"/>
  <c r="BW50" i="7"/>
  <c r="BV50" i="7"/>
  <c r="BU50" i="7"/>
  <c r="BT50" i="7"/>
  <c r="BW49" i="7"/>
  <c r="BV49" i="7"/>
  <c r="BU49" i="7"/>
  <c r="BT49" i="7"/>
  <c r="BW48" i="7"/>
  <c r="BV48" i="7"/>
  <c r="BU48" i="7"/>
  <c r="BT48" i="7"/>
  <c r="BW47" i="7"/>
  <c r="BV47" i="7"/>
  <c r="BU47" i="7"/>
  <c r="BT47" i="7"/>
  <c r="BW46" i="7"/>
  <c r="BV46" i="7"/>
  <c r="BU46" i="7"/>
  <c r="BT46" i="7"/>
  <c r="BW43" i="7"/>
  <c r="BV43" i="7"/>
  <c r="BU43" i="7"/>
  <c r="BT43" i="7"/>
  <c r="BW42" i="7"/>
  <c r="BV42" i="7"/>
  <c r="BU42" i="7"/>
  <c r="BT42" i="7"/>
  <c r="BW41" i="7"/>
  <c r="BV41" i="7"/>
  <c r="BU41" i="7"/>
  <c r="BT41" i="7"/>
  <c r="BW40" i="7"/>
  <c r="BV40" i="7"/>
  <c r="BU40" i="7"/>
  <c r="BT40" i="7"/>
  <c r="BW39" i="7"/>
  <c r="BV39" i="7"/>
  <c r="BU39" i="7"/>
  <c r="BT39" i="7"/>
  <c r="BW36" i="7"/>
  <c r="BV36" i="7"/>
  <c r="BU36" i="7"/>
  <c r="BT36" i="7"/>
  <c r="BW35" i="7"/>
  <c r="BV35" i="7"/>
  <c r="BU35" i="7"/>
  <c r="BT35" i="7"/>
  <c r="BW34" i="7"/>
  <c r="BV34" i="7"/>
  <c r="BU34" i="7"/>
  <c r="BT34" i="7"/>
  <c r="BW33" i="7"/>
  <c r="BV33" i="7"/>
  <c r="BU33" i="7"/>
  <c r="BT33" i="7"/>
  <c r="BW32" i="7"/>
  <c r="BV32" i="7"/>
  <c r="BU32" i="7"/>
  <c r="BT32" i="7"/>
  <c r="BW29" i="7"/>
  <c r="BV29" i="7"/>
  <c r="BU29" i="7"/>
  <c r="BT29" i="7"/>
  <c r="BW28" i="7"/>
  <c r="BV28" i="7"/>
  <c r="BU28" i="7"/>
  <c r="BT28" i="7"/>
  <c r="BW27" i="7"/>
  <c r="BV27" i="7"/>
  <c r="BU27" i="7"/>
  <c r="BT27" i="7"/>
  <c r="BW26" i="7"/>
  <c r="BV26" i="7"/>
  <c r="BU26" i="7"/>
  <c r="BT26" i="7"/>
  <c r="BW25" i="7"/>
  <c r="BV25" i="7"/>
  <c r="BU25" i="7"/>
  <c r="BT25" i="7"/>
  <c r="BW22" i="7"/>
  <c r="BV22" i="7"/>
  <c r="BU22" i="7"/>
  <c r="BT22" i="7"/>
  <c r="BW21" i="7"/>
  <c r="BV21" i="7"/>
  <c r="BU21" i="7"/>
  <c r="BT21" i="7"/>
  <c r="BW20" i="7"/>
  <c r="BV20" i="7"/>
  <c r="BU20" i="7"/>
  <c r="BT20" i="7"/>
  <c r="BW19" i="7"/>
  <c r="BV19" i="7"/>
  <c r="BU19" i="7"/>
  <c r="BT19" i="7"/>
  <c r="BW18" i="7"/>
  <c r="BV18" i="7"/>
  <c r="BU18" i="7"/>
  <c r="BT18" i="7"/>
  <c r="BW15" i="7"/>
  <c r="BV15" i="7"/>
  <c r="BU15" i="7"/>
  <c r="BT15" i="7"/>
  <c r="BW14" i="7"/>
  <c r="BV14" i="7"/>
  <c r="BU14" i="7"/>
  <c r="BT14" i="7"/>
  <c r="BW13" i="7"/>
  <c r="BV13" i="7"/>
  <c r="BU13" i="7"/>
  <c r="BT13" i="7"/>
  <c r="BW12" i="7"/>
  <c r="BV12" i="7"/>
  <c r="BU12" i="7"/>
  <c r="BT12" i="7"/>
  <c r="BW11" i="7"/>
  <c r="BV11" i="7"/>
  <c r="BU11" i="7"/>
  <c r="BT11" i="7"/>
  <c r="BW64" i="7"/>
  <c r="BV64" i="7"/>
  <c r="BU64" i="7"/>
  <c r="BT64" i="7"/>
  <c r="BW63" i="7"/>
  <c r="BV63" i="7"/>
  <c r="BU63" i="7"/>
  <c r="BT63" i="7"/>
  <c r="BW62" i="7"/>
  <c r="BV62" i="7"/>
  <c r="BU62" i="7"/>
  <c r="BT62" i="7"/>
  <c r="BW61" i="7"/>
  <c r="BV61" i="7"/>
  <c r="BU61" i="7"/>
  <c r="BT61" i="7"/>
  <c r="BW60" i="7"/>
  <c r="BV60" i="7"/>
  <c r="BU60" i="7"/>
  <c r="BT60" i="7"/>
  <c r="BW71" i="7"/>
  <c r="BV71" i="7"/>
  <c r="BU71" i="7"/>
  <c r="BT71" i="7"/>
  <c r="BW70" i="7"/>
  <c r="BV70" i="7"/>
  <c r="BU70" i="7"/>
  <c r="BT70" i="7"/>
  <c r="BW69" i="7"/>
  <c r="BV69" i="7"/>
  <c r="BU69" i="7"/>
  <c r="BT69" i="7"/>
  <c r="BW68" i="7"/>
  <c r="BV68" i="7"/>
  <c r="BU68" i="7"/>
  <c r="BT68" i="7"/>
  <c r="BW67" i="7"/>
  <c r="BV67" i="7"/>
  <c r="BU67" i="7"/>
  <c r="BT67" i="7"/>
  <c r="BW85" i="7"/>
  <c r="BV85" i="7"/>
  <c r="BU85" i="7"/>
  <c r="BT85" i="7"/>
  <c r="BW84" i="7"/>
  <c r="BV84" i="7"/>
  <c r="BU84" i="7"/>
  <c r="BT84" i="7"/>
  <c r="BW83" i="7"/>
  <c r="BV83" i="7"/>
  <c r="BU83" i="7"/>
  <c r="BT83" i="7"/>
  <c r="BW82" i="7"/>
  <c r="BV82" i="7"/>
  <c r="BU82" i="7"/>
  <c r="BT82" i="7"/>
  <c r="BW78" i="7"/>
  <c r="BV78" i="7"/>
  <c r="BU78" i="7"/>
  <c r="BT78" i="7"/>
  <c r="BW77" i="7"/>
  <c r="BV77" i="7"/>
  <c r="BU77" i="7"/>
  <c r="BT77" i="7"/>
  <c r="BW76" i="7"/>
  <c r="BV76" i="7"/>
  <c r="BU76" i="7"/>
  <c r="BT76" i="7"/>
  <c r="BW75" i="7"/>
  <c r="BV75" i="7"/>
  <c r="BU75" i="7"/>
  <c r="BT75" i="7"/>
  <c r="BW74" i="7"/>
  <c r="BV74" i="7"/>
  <c r="BU74" i="7"/>
  <c r="BT74" i="7"/>
  <c r="BW81" i="7"/>
  <c r="BV81" i="7"/>
  <c r="BU81" i="7"/>
  <c r="BT81" i="7"/>
  <c r="BW8" i="7"/>
  <c r="BV8" i="7"/>
  <c r="BU8" i="7"/>
  <c r="BT8" i="7"/>
  <c r="BW7" i="7"/>
  <c r="BV7" i="7"/>
  <c r="BU7" i="7"/>
  <c r="BT7" i="7"/>
  <c r="BW6" i="7"/>
  <c r="BV6" i="7"/>
  <c r="BU6" i="7"/>
  <c r="BT6" i="7"/>
  <c r="BW5" i="7"/>
  <c r="BV5" i="7"/>
  <c r="BU5" i="7"/>
  <c r="BT5" i="7"/>
  <c r="BW4" i="7"/>
  <c r="BV4" i="7"/>
  <c r="C6" i="8" l="1"/>
  <c r="K6" i="8"/>
  <c r="J13" i="8"/>
  <c r="F6" i="8"/>
  <c r="J20" i="8"/>
  <c r="I6" i="8"/>
  <c r="J6" i="8"/>
  <c r="L6" i="8"/>
  <c r="D6" i="8"/>
  <c r="M13" i="8"/>
  <c r="G6" i="8"/>
  <c r="F13" i="8"/>
  <c r="M20" i="8"/>
  <c r="I13" i="8"/>
  <c r="D13" i="8"/>
  <c r="H6" i="8"/>
  <c r="L20" i="8"/>
  <c r="E6" i="8"/>
  <c r="H13" i="8"/>
  <c r="I20" i="8"/>
  <c r="B20" i="8"/>
  <c r="E13" i="8"/>
  <c r="G20" i="8"/>
  <c r="L13" i="8"/>
  <c r="K20" i="8"/>
  <c r="E20" i="8"/>
  <c r="G13" i="8"/>
  <c r="D20" i="8"/>
  <c r="B13" i="8"/>
  <c r="H20" i="8"/>
  <c r="C13" i="8"/>
  <c r="C20" i="8"/>
  <c r="K13" i="8"/>
  <c r="M6" i="8"/>
  <c r="F20" i="8"/>
  <c r="BU4" i="7"/>
  <c r="BT4" i="7"/>
  <c r="BK71" i="7"/>
  <c r="BJ71" i="7"/>
  <c r="BK70" i="7"/>
  <c r="BJ70" i="7"/>
  <c r="BK69" i="7"/>
  <c r="BJ69" i="7"/>
  <c r="BK68" i="7"/>
  <c r="BJ68" i="7"/>
  <c r="BK78" i="7"/>
  <c r="BJ78" i="7"/>
  <c r="BK77" i="7"/>
  <c r="BJ77" i="7"/>
  <c r="BK76" i="7"/>
  <c r="BJ76" i="7"/>
  <c r="BK75" i="7"/>
  <c r="BJ75" i="7"/>
  <c r="BK85" i="7"/>
  <c r="BJ85" i="7"/>
  <c r="BK84" i="7"/>
  <c r="BJ84" i="7"/>
  <c r="BK83" i="7"/>
  <c r="BJ83" i="7"/>
  <c r="BK82" i="7"/>
  <c r="BJ82" i="7"/>
  <c r="BP85" i="7"/>
  <c r="BQ85" i="7"/>
  <c r="BO85" i="7"/>
  <c r="BN85" i="7"/>
  <c r="BM85" i="7"/>
  <c r="BP84" i="7"/>
  <c r="BQ84" i="7"/>
  <c r="BO84" i="7"/>
  <c r="BN84" i="7"/>
  <c r="BM84" i="7"/>
  <c r="BP83" i="7"/>
  <c r="BQ83" i="7"/>
  <c r="BO83" i="7"/>
  <c r="BN83" i="7"/>
  <c r="BM83" i="7"/>
  <c r="BP82" i="7"/>
  <c r="BQ82" i="7"/>
  <c r="BO82" i="7"/>
  <c r="BN82" i="7"/>
  <c r="BM82" i="7"/>
  <c r="BP78" i="7"/>
  <c r="BQ78" i="7"/>
  <c r="BO78" i="7"/>
  <c r="BN78" i="7"/>
  <c r="BM78" i="7"/>
  <c r="BP77" i="7"/>
  <c r="BQ77" i="7"/>
  <c r="BO77" i="7"/>
  <c r="BN77" i="7"/>
  <c r="BM77" i="7"/>
  <c r="BP76" i="7"/>
  <c r="BQ76" i="7"/>
  <c r="BO76" i="7"/>
  <c r="BN76" i="7"/>
  <c r="BM76" i="7"/>
  <c r="BP75" i="7"/>
  <c r="BQ75" i="7"/>
  <c r="BO75" i="7"/>
  <c r="BN75" i="7"/>
  <c r="BM75" i="7"/>
  <c r="BP71" i="7"/>
  <c r="BQ71" i="7"/>
  <c r="BO71" i="7"/>
  <c r="BN71" i="7"/>
  <c r="BM71" i="7"/>
  <c r="BP70" i="7"/>
  <c r="BQ70" i="7"/>
  <c r="BO70" i="7"/>
  <c r="BN70" i="7"/>
  <c r="BM70" i="7"/>
  <c r="BP69" i="7"/>
  <c r="BQ69" i="7"/>
  <c r="BO69" i="7"/>
  <c r="BN69" i="7"/>
  <c r="BM69" i="7"/>
  <c r="BP68" i="7"/>
  <c r="BQ68" i="7"/>
  <c r="BO68" i="7"/>
  <c r="BN68" i="7"/>
  <c r="BM68" i="7"/>
  <c r="BP64" i="7"/>
  <c r="BQ64" i="7"/>
  <c r="BO64" i="7"/>
  <c r="BN64" i="7"/>
  <c r="BM64" i="7"/>
  <c r="BP63" i="7"/>
  <c r="BQ63" i="7"/>
  <c r="BO63" i="7"/>
  <c r="BN63" i="7"/>
  <c r="BM63" i="7"/>
  <c r="BP62" i="7"/>
  <c r="BQ62" i="7"/>
  <c r="BO62" i="7"/>
  <c r="BN62" i="7"/>
  <c r="BM62" i="7"/>
  <c r="BP61" i="7"/>
  <c r="BQ61" i="7"/>
  <c r="BO61" i="7"/>
  <c r="BN61" i="7"/>
  <c r="BM61" i="7"/>
  <c r="BP67" i="7"/>
  <c r="BQ67" i="7"/>
  <c r="BO67" i="7"/>
  <c r="BP74" i="7"/>
  <c r="BQ74" i="7"/>
  <c r="BO74" i="7"/>
  <c r="BP81" i="7"/>
  <c r="BQ81" i="7"/>
  <c r="BO81" i="7"/>
  <c r="BP60" i="7"/>
  <c r="BQ60" i="7"/>
  <c r="BO60" i="7"/>
  <c r="BP57" i="7"/>
  <c r="BQ57" i="7"/>
  <c r="BO57" i="7"/>
  <c r="BN57" i="7"/>
  <c r="BM57" i="7"/>
  <c r="BP56" i="7"/>
  <c r="BQ56" i="7"/>
  <c r="BO56" i="7"/>
  <c r="BN56" i="7"/>
  <c r="BM56" i="7"/>
  <c r="BP55" i="7"/>
  <c r="BQ55" i="7"/>
  <c r="BO55" i="7"/>
  <c r="BN55" i="7"/>
  <c r="BM55" i="7"/>
  <c r="BP54" i="7"/>
  <c r="BQ54" i="7"/>
  <c r="BO54" i="7"/>
  <c r="BN54" i="7"/>
  <c r="BM54" i="7"/>
  <c r="BP50" i="7"/>
  <c r="BQ50" i="7"/>
  <c r="BO50" i="7"/>
  <c r="BN50" i="7"/>
  <c r="BM50" i="7"/>
  <c r="BP49" i="7"/>
  <c r="BQ49" i="7"/>
  <c r="BO49" i="7"/>
  <c r="BN49" i="7"/>
  <c r="BM49" i="7"/>
  <c r="BP48" i="7"/>
  <c r="BQ48" i="7"/>
  <c r="BO48" i="7"/>
  <c r="BN48" i="7"/>
  <c r="BM48" i="7"/>
  <c r="BP47" i="7"/>
  <c r="BQ47" i="7"/>
  <c r="BO47" i="7"/>
  <c r="BN47" i="7"/>
  <c r="BM47" i="7"/>
  <c r="BP53" i="7"/>
  <c r="BQ53" i="7"/>
  <c r="BO53" i="7"/>
  <c r="BP46" i="7"/>
  <c r="BQ46" i="7"/>
  <c r="BO46" i="7"/>
  <c r="BP43" i="7"/>
  <c r="BQ43" i="7"/>
  <c r="BO43" i="7"/>
  <c r="BN43" i="7"/>
  <c r="BM43" i="7"/>
  <c r="BP42" i="7"/>
  <c r="BQ42" i="7"/>
  <c r="BO42" i="7"/>
  <c r="BN42" i="7"/>
  <c r="BM42" i="7"/>
  <c r="BP41" i="7"/>
  <c r="BQ41" i="7"/>
  <c r="BO41" i="7"/>
  <c r="BN41" i="7"/>
  <c r="BM41" i="7"/>
  <c r="BP40" i="7"/>
  <c r="BQ40" i="7"/>
  <c r="BO40" i="7"/>
  <c r="BN40" i="7"/>
  <c r="BM40" i="7"/>
  <c r="BP36" i="7"/>
  <c r="BQ36" i="7"/>
  <c r="BO36" i="7"/>
  <c r="BN36" i="7"/>
  <c r="BM36" i="7"/>
  <c r="BP35" i="7"/>
  <c r="BQ35" i="7"/>
  <c r="BO35" i="7"/>
  <c r="BN35" i="7"/>
  <c r="BM35" i="7"/>
  <c r="BP34" i="7"/>
  <c r="BQ34" i="7"/>
  <c r="BO34" i="7"/>
  <c r="BN34" i="7"/>
  <c r="BM34" i="7"/>
  <c r="BP33" i="7"/>
  <c r="BQ33" i="7"/>
  <c r="BO33" i="7"/>
  <c r="BN33" i="7"/>
  <c r="BM33" i="7"/>
  <c r="BP39" i="7"/>
  <c r="BQ39" i="7"/>
  <c r="BO39" i="7"/>
  <c r="BP32" i="7"/>
  <c r="BQ32" i="7"/>
  <c r="BO32" i="7"/>
  <c r="BP29" i="7"/>
  <c r="BQ29" i="7"/>
  <c r="BO29" i="7"/>
  <c r="BN29" i="7"/>
  <c r="BP28" i="7"/>
  <c r="BQ28" i="7"/>
  <c r="BO28" i="7"/>
  <c r="BN28" i="7"/>
  <c r="BP27" i="7"/>
  <c r="BQ27" i="7"/>
  <c r="BO27" i="7"/>
  <c r="BN27" i="7"/>
  <c r="BP26" i="7"/>
  <c r="BQ26" i="7"/>
  <c r="BO26" i="7"/>
  <c r="BN26" i="7"/>
  <c r="BP22" i="7"/>
  <c r="BQ22" i="7"/>
  <c r="BO22" i="7"/>
  <c r="BN22" i="7"/>
  <c r="BM22" i="7"/>
  <c r="BP21" i="7"/>
  <c r="BQ21" i="7"/>
  <c r="BO21" i="7"/>
  <c r="BN21" i="7"/>
  <c r="BM21" i="7"/>
  <c r="BP20" i="7"/>
  <c r="BQ20" i="7"/>
  <c r="BO20" i="7"/>
  <c r="BN20" i="7"/>
  <c r="BM20" i="7"/>
  <c r="BP19" i="7"/>
  <c r="BQ19" i="7"/>
  <c r="BO19" i="7"/>
  <c r="BN19" i="7"/>
  <c r="BM19" i="7"/>
  <c r="BP25" i="7"/>
  <c r="BQ25" i="7"/>
  <c r="BO25" i="7"/>
  <c r="BP18" i="7"/>
  <c r="BQ18" i="7"/>
  <c r="BO18" i="7"/>
  <c r="BP15" i="7"/>
  <c r="BQ15" i="7"/>
  <c r="BO15" i="7"/>
  <c r="BN15" i="7"/>
  <c r="BM15" i="7"/>
  <c r="BP14" i="7"/>
  <c r="BQ14" i="7"/>
  <c r="BO14" i="7"/>
  <c r="BN14" i="7"/>
  <c r="BM14" i="7"/>
  <c r="BP13" i="7"/>
  <c r="BQ13" i="7"/>
  <c r="BO13" i="7"/>
  <c r="BN13" i="7"/>
  <c r="BM13" i="7"/>
  <c r="BP12" i="7"/>
  <c r="BQ12" i="7"/>
  <c r="BO12" i="7"/>
  <c r="BN12" i="7"/>
  <c r="BM12" i="7"/>
  <c r="BP11" i="7"/>
  <c r="BQ11" i="7"/>
  <c r="BO11" i="7"/>
  <c r="BP8" i="7"/>
  <c r="BQ8" i="7"/>
  <c r="BO8" i="7"/>
  <c r="BP7" i="7"/>
  <c r="BQ7" i="7"/>
  <c r="BO7" i="7"/>
  <c r="BP6" i="7"/>
  <c r="BQ6" i="7"/>
  <c r="BO6" i="7"/>
  <c r="BP5" i="7"/>
  <c r="BQ5" i="7"/>
  <c r="BO5" i="7"/>
  <c r="BP4" i="7"/>
  <c r="BQ4" i="7"/>
  <c r="BO4" i="7"/>
  <c r="BN81" i="7"/>
  <c r="BM81" i="7"/>
  <c r="BN74" i="7"/>
  <c r="BM74" i="7"/>
  <c r="BN67" i="7"/>
  <c r="BM67" i="7"/>
  <c r="BN60" i="7"/>
  <c r="BM60" i="7"/>
  <c r="BN53" i="7"/>
  <c r="BM53" i="7"/>
  <c r="BN46" i="7"/>
  <c r="BM46" i="7"/>
  <c r="BN39" i="7"/>
  <c r="BM39" i="7"/>
  <c r="BN32" i="7"/>
  <c r="BM32" i="7"/>
  <c r="BN25" i="7"/>
  <c r="BN18" i="7"/>
  <c r="BM18" i="7"/>
  <c r="BN11" i="7"/>
  <c r="BM11" i="7"/>
  <c r="BK64" i="7"/>
  <c r="BJ64" i="7"/>
  <c r="BK63" i="7"/>
  <c r="BJ63" i="7"/>
  <c r="BK62" i="7"/>
  <c r="BJ62" i="7"/>
  <c r="BK61" i="7"/>
  <c r="BJ61" i="7"/>
  <c r="BK60" i="7"/>
  <c r="BJ60" i="7"/>
  <c r="BK57" i="7"/>
  <c r="BJ57" i="7"/>
  <c r="BK56" i="7"/>
  <c r="BJ56" i="7"/>
  <c r="BK55" i="7"/>
  <c r="BJ55" i="7"/>
  <c r="BK54" i="7"/>
  <c r="BJ54" i="7"/>
  <c r="BK53" i="7"/>
  <c r="BJ53" i="7"/>
  <c r="BK50" i="7"/>
  <c r="BJ50" i="7"/>
  <c r="BK49" i="7"/>
  <c r="BJ49" i="7"/>
  <c r="BK48" i="7"/>
  <c r="BJ48" i="7"/>
  <c r="BK47" i="7"/>
  <c r="BJ47" i="7"/>
  <c r="BK46" i="7"/>
  <c r="BJ46" i="7"/>
  <c r="BK43" i="7"/>
  <c r="BJ43" i="7"/>
  <c r="BK42" i="7"/>
  <c r="BJ42" i="7"/>
  <c r="BK41" i="7"/>
  <c r="BJ41" i="7"/>
  <c r="BK40" i="7"/>
  <c r="BJ40" i="7"/>
  <c r="BK39" i="7"/>
  <c r="BJ39" i="7"/>
  <c r="BK36" i="7"/>
  <c r="BJ36" i="7"/>
  <c r="BK35" i="7"/>
  <c r="BJ35" i="7"/>
  <c r="BK34" i="7"/>
  <c r="BJ34" i="7"/>
  <c r="BK33" i="7"/>
  <c r="BJ33" i="7"/>
  <c r="BK32" i="7"/>
  <c r="BJ32" i="7"/>
  <c r="BK29" i="7"/>
  <c r="BJ29" i="7"/>
  <c r="BK28" i="7"/>
  <c r="BJ28" i="7"/>
  <c r="BK27" i="7"/>
  <c r="BJ27" i="7"/>
  <c r="BK26" i="7"/>
  <c r="BJ26" i="7"/>
  <c r="BK25" i="7"/>
  <c r="BJ25" i="7"/>
  <c r="BK22" i="7"/>
  <c r="BJ22" i="7"/>
  <c r="BK21" i="7"/>
  <c r="BJ21" i="7"/>
  <c r="BK20" i="7"/>
  <c r="BJ20" i="7"/>
  <c r="BK19" i="7"/>
  <c r="BJ19" i="7"/>
  <c r="BK15" i="7"/>
  <c r="BJ15" i="7"/>
  <c r="BK14" i="7"/>
  <c r="BJ14" i="7"/>
  <c r="BK13" i="7"/>
  <c r="BJ13" i="7"/>
  <c r="BK12" i="7"/>
  <c r="BJ12" i="7"/>
  <c r="BK18" i="7"/>
  <c r="BJ18" i="7"/>
  <c r="BK11" i="7"/>
  <c r="BJ11" i="7"/>
  <c r="BK67" i="7"/>
  <c r="BJ67" i="7"/>
  <c r="BK74" i="7"/>
  <c r="BJ74" i="7"/>
  <c r="BK81" i="7"/>
  <c r="BJ81" i="7"/>
  <c r="BN8" i="7"/>
  <c r="BM8" i="7"/>
  <c r="BN7" i="7"/>
  <c r="BM7" i="7"/>
  <c r="BN6" i="7"/>
  <c r="BM6" i="7"/>
  <c r="BN5" i="7"/>
  <c r="BM5" i="7"/>
  <c r="BK8" i="7"/>
  <c r="BJ8" i="7"/>
  <c r="BK7" i="7"/>
  <c r="BJ7" i="7"/>
  <c r="BK6" i="7"/>
  <c r="BJ6" i="7"/>
  <c r="BK5" i="7"/>
  <c r="BJ5" i="7"/>
  <c r="BN4" i="7"/>
  <c r="BM4" i="7"/>
  <c r="BK4" i="7"/>
  <c r="BJ4" i="7"/>
  <c r="BG85" i="7"/>
  <c r="BF85" i="7"/>
  <c r="BD85" i="7"/>
  <c r="BB85" i="7"/>
  <c r="BA85" i="7"/>
  <c r="AZ85" i="7"/>
  <c r="AY85" i="7"/>
  <c r="BG84" i="7"/>
  <c r="BF84" i="7"/>
  <c r="BD84" i="7"/>
  <c r="BB84" i="7"/>
  <c r="BA84" i="7"/>
  <c r="AZ84" i="7"/>
  <c r="AY84" i="7"/>
  <c r="BG83" i="7"/>
  <c r="BF83" i="7"/>
  <c r="BD83" i="7"/>
  <c r="BB83" i="7"/>
  <c r="BA83" i="7"/>
  <c r="AZ83" i="7"/>
  <c r="AY83" i="7"/>
  <c r="BG82" i="7"/>
  <c r="BF82" i="7"/>
  <c r="BD82" i="7"/>
  <c r="BB82" i="7"/>
  <c r="BA82" i="7"/>
  <c r="AZ82" i="7"/>
  <c r="AY82" i="7"/>
  <c r="BG81" i="7"/>
  <c r="BF81" i="7"/>
  <c r="BD81" i="7"/>
  <c r="BB81" i="7"/>
  <c r="BA81" i="7"/>
  <c r="AZ81" i="7"/>
  <c r="AY81" i="7"/>
  <c r="BG78" i="7"/>
  <c r="BF78" i="7"/>
  <c r="BD78" i="7"/>
  <c r="BB78" i="7"/>
  <c r="BA78" i="7"/>
  <c r="AZ78" i="7"/>
  <c r="AY78" i="7"/>
  <c r="BG77" i="7"/>
  <c r="BF77" i="7"/>
  <c r="BD77" i="7"/>
  <c r="BB77" i="7"/>
  <c r="BA77" i="7"/>
  <c r="AZ77" i="7"/>
  <c r="AY77" i="7"/>
  <c r="BG76" i="7"/>
  <c r="BF76" i="7"/>
  <c r="BD76" i="7"/>
  <c r="BB76" i="7"/>
  <c r="BA76" i="7"/>
  <c r="AZ76" i="7"/>
  <c r="AY76" i="7"/>
  <c r="BG75" i="7"/>
  <c r="BF75" i="7"/>
  <c r="BD75" i="7"/>
  <c r="BB75" i="7"/>
  <c r="BA75" i="7"/>
  <c r="AZ75" i="7"/>
  <c r="AY75" i="7"/>
  <c r="BG74" i="7"/>
  <c r="BF74" i="7"/>
  <c r="BD74" i="7"/>
  <c r="BB74" i="7"/>
  <c r="BA74" i="7"/>
  <c r="AZ74" i="7"/>
  <c r="AY74" i="7"/>
  <c r="BG71" i="7"/>
  <c r="BF71" i="7"/>
  <c r="BD71" i="7"/>
  <c r="BB71" i="7"/>
  <c r="BA71" i="7"/>
  <c r="AZ71" i="7"/>
  <c r="AY71" i="7"/>
  <c r="BG70" i="7"/>
  <c r="BF70" i="7"/>
  <c r="BD70" i="7"/>
  <c r="BB70" i="7"/>
  <c r="BA70" i="7"/>
  <c r="AZ70" i="7"/>
  <c r="AY70" i="7"/>
  <c r="BG69" i="7"/>
  <c r="BF69" i="7"/>
  <c r="BD69" i="7"/>
  <c r="BB69" i="7"/>
  <c r="BA69" i="7"/>
  <c r="AZ69" i="7"/>
  <c r="AY69" i="7"/>
  <c r="BG68" i="7"/>
  <c r="BF68" i="7"/>
  <c r="BD68" i="7"/>
  <c r="BB68" i="7"/>
  <c r="BA68" i="7"/>
  <c r="AZ68" i="7"/>
  <c r="AY68" i="7"/>
  <c r="BG67" i="7"/>
  <c r="BF67" i="7"/>
  <c r="BD67" i="7"/>
  <c r="BB67" i="7"/>
  <c r="BA67" i="7"/>
  <c r="AZ67" i="7"/>
  <c r="AY67" i="7"/>
  <c r="BG64" i="7"/>
  <c r="BF64" i="7"/>
  <c r="BD64" i="7"/>
  <c r="BB64" i="7"/>
  <c r="BA64" i="7"/>
  <c r="AZ64" i="7"/>
  <c r="AY64" i="7"/>
  <c r="BG63" i="7"/>
  <c r="BF63" i="7"/>
  <c r="BD63" i="7"/>
  <c r="BB63" i="7"/>
  <c r="BA63" i="7"/>
  <c r="AZ63" i="7"/>
  <c r="AY63" i="7"/>
  <c r="BG62" i="7"/>
  <c r="BF62" i="7"/>
  <c r="BD62" i="7"/>
  <c r="BB62" i="7"/>
  <c r="BA62" i="7"/>
  <c r="AZ62" i="7"/>
  <c r="AY62" i="7"/>
  <c r="BG61" i="7"/>
  <c r="BF61" i="7"/>
  <c r="BD61" i="7"/>
  <c r="BB61" i="7"/>
  <c r="BA61" i="7"/>
  <c r="AZ61" i="7"/>
  <c r="AY61" i="7"/>
  <c r="BG60" i="7"/>
  <c r="BF60" i="7"/>
  <c r="BD60" i="7"/>
  <c r="BB60" i="7"/>
  <c r="BA60" i="7"/>
  <c r="AZ60" i="7"/>
  <c r="AY60" i="7"/>
  <c r="BG57" i="7"/>
  <c r="BF57" i="7"/>
  <c r="BD57" i="7"/>
  <c r="BB57" i="7"/>
  <c r="BA57" i="7"/>
  <c r="AZ57" i="7"/>
  <c r="AY57" i="7"/>
  <c r="BG56" i="7"/>
  <c r="BF56" i="7"/>
  <c r="BD56" i="7"/>
  <c r="BB56" i="7"/>
  <c r="BA56" i="7"/>
  <c r="AZ56" i="7"/>
  <c r="AY56" i="7"/>
  <c r="BG55" i="7"/>
  <c r="BF55" i="7"/>
  <c r="BD55" i="7"/>
  <c r="BB55" i="7"/>
  <c r="BA55" i="7"/>
  <c r="AZ55" i="7"/>
  <c r="AY55" i="7"/>
  <c r="BG54" i="7"/>
  <c r="BF54" i="7"/>
  <c r="BD54" i="7"/>
  <c r="BB54" i="7"/>
  <c r="BA54" i="7"/>
  <c r="AZ54" i="7"/>
  <c r="AY54" i="7"/>
  <c r="BG53" i="7"/>
  <c r="BF53" i="7"/>
  <c r="BD53" i="7"/>
  <c r="BB53" i="7"/>
  <c r="BA53" i="7"/>
  <c r="AZ53" i="7"/>
  <c r="AY53" i="7"/>
  <c r="BG50" i="7"/>
  <c r="BF50" i="7"/>
  <c r="BD50" i="7"/>
  <c r="BB50" i="7"/>
  <c r="BA50" i="7"/>
  <c r="AZ50" i="7"/>
  <c r="AY50" i="7"/>
  <c r="BH50" i="7" s="1"/>
  <c r="BH223" i="7" s="1"/>
  <c r="BG49" i="7"/>
  <c r="BF49" i="7"/>
  <c r="BD49" i="7"/>
  <c r="BB49" i="7"/>
  <c r="BA49" i="7"/>
  <c r="AZ49" i="7"/>
  <c r="AY49" i="7"/>
  <c r="BG48" i="7"/>
  <c r="BF48" i="7"/>
  <c r="BD48" i="7"/>
  <c r="BB48" i="7"/>
  <c r="BA48" i="7"/>
  <c r="AZ48" i="7"/>
  <c r="AY48" i="7"/>
  <c r="BG47" i="7"/>
  <c r="BF47" i="7"/>
  <c r="BD47" i="7"/>
  <c r="BB47" i="7"/>
  <c r="BA47" i="7"/>
  <c r="AZ47" i="7"/>
  <c r="AY47" i="7"/>
  <c r="BG46" i="7"/>
  <c r="BF46" i="7"/>
  <c r="BD46" i="7"/>
  <c r="BB46" i="7"/>
  <c r="BA46" i="7"/>
  <c r="AZ46" i="7"/>
  <c r="AY46" i="7"/>
  <c r="BG43" i="7"/>
  <c r="BF43" i="7"/>
  <c r="BD43" i="7"/>
  <c r="BB43" i="7"/>
  <c r="BA43" i="7"/>
  <c r="AZ43" i="7"/>
  <c r="AY43" i="7"/>
  <c r="BG42" i="7"/>
  <c r="BF42" i="7"/>
  <c r="BD42" i="7"/>
  <c r="BB42" i="7"/>
  <c r="BA42" i="7"/>
  <c r="AZ42" i="7"/>
  <c r="AY42" i="7"/>
  <c r="BG41" i="7"/>
  <c r="BF41" i="7"/>
  <c r="BD41" i="7"/>
  <c r="BB41" i="7"/>
  <c r="BA41" i="7"/>
  <c r="AZ41" i="7"/>
  <c r="AY41" i="7"/>
  <c r="BG40" i="7"/>
  <c r="BF40" i="7"/>
  <c r="BD40" i="7"/>
  <c r="BB40" i="7"/>
  <c r="BA40" i="7"/>
  <c r="AZ40" i="7"/>
  <c r="AY40" i="7"/>
  <c r="BG39" i="7"/>
  <c r="BF39" i="7"/>
  <c r="BD39" i="7"/>
  <c r="BB39" i="7"/>
  <c r="BA39" i="7"/>
  <c r="AZ39" i="7"/>
  <c r="AY39" i="7"/>
  <c r="BG36" i="7"/>
  <c r="BF36" i="7"/>
  <c r="BD36" i="7"/>
  <c r="BB36" i="7"/>
  <c r="BA36" i="7"/>
  <c r="AZ36" i="7"/>
  <c r="AY36" i="7"/>
  <c r="BG35" i="7"/>
  <c r="BF35" i="7"/>
  <c r="BD35" i="7"/>
  <c r="BB35" i="7"/>
  <c r="BA35" i="7"/>
  <c r="AZ35" i="7"/>
  <c r="AY35" i="7"/>
  <c r="BG34" i="7"/>
  <c r="BF34" i="7"/>
  <c r="BD34" i="7"/>
  <c r="BB34" i="7"/>
  <c r="BA34" i="7"/>
  <c r="AZ34" i="7"/>
  <c r="AY34" i="7"/>
  <c r="BG33" i="7"/>
  <c r="BF33" i="7"/>
  <c r="BD33" i="7"/>
  <c r="BB33" i="7"/>
  <c r="BA33" i="7"/>
  <c r="AZ33" i="7"/>
  <c r="AY33" i="7"/>
  <c r="BG32" i="7"/>
  <c r="BF32" i="7"/>
  <c r="BD32" i="7"/>
  <c r="BB32" i="7"/>
  <c r="BA32" i="7"/>
  <c r="AZ32" i="7"/>
  <c r="AY32" i="7"/>
  <c r="BH62" i="7" l="1"/>
  <c r="BH235" i="7" s="1"/>
  <c r="BH74" i="7"/>
  <c r="BH247" i="7" s="1"/>
  <c r="BH84" i="7"/>
  <c r="BH257" i="7" s="1"/>
  <c r="BH39" i="7"/>
  <c r="BH212" i="7" s="1"/>
  <c r="BH49" i="7"/>
  <c r="BH222" i="7" s="1"/>
  <c r="BH61" i="7"/>
  <c r="BH234" i="7" s="1"/>
  <c r="BH71" i="7"/>
  <c r="BH244" i="7" s="1"/>
  <c r="BH83" i="7"/>
  <c r="BH256" i="7" s="1"/>
  <c r="BH40" i="7"/>
  <c r="BH213" i="7" s="1"/>
  <c r="BH48" i="7"/>
  <c r="BH221" i="7" s="1"/>
  <c r="BH47" i="7"/>
  <c r="BH220" i="7" s="1"/>
  <c r="BH34" i="7"/>
  <c r="BH207" i="7" s="1"/>
  <c r="BH46" i="7"/>
  <c r="BH219" i="7" s="1"/>
  <c r="BH56" i="7"/>
  <c r="BH229" i="7" s="1"/>
  <c r="BH68" i="7"/>
  <c r="BH241" i="7" s="1"/>
  <c r="BH78" i="7"/>
  <c r="BH251" i="7" s="1"/>
  <c r="BH36" i="7"/>
  <c r="BH209" i="7" s="1"/>
  <c r="BH70" i="7"/>
  <c r="BH243" i="7" s="1"/>
  <c r="BH82" i="7"/>
  <c r="BH255" i="7" s="1"/>
  <c r="BH33" i="7"/>
  <c r="BH206" i="7" s="1"/>
  <c r="BH43" i="7"/>
  <c r="BH216" i="7" s="1"/>
  <c r="BH55" i="7"/>
  <c r="BH228" i="7" s="1"/>
  <c r="BH67" i="7"/>
  <c r="BH240" i="7" s="1"/>
  <c r="BH77" i="7"/>
  <c r="BH250" i="7" s="1"/>
  <c r="BH35" i="7"/>
  <c r="BH208" i="7" s="1"/>
  <c r="BH81" i="7"/>
  <c r="BH254" i="7" s="1"/>
  <c r="BH32" i="7"/>
  <c r="BH205" i="7" s="1"/>
  <c r="BH42" i="7"/>
  <c r="BH215" i="7" s="1"/>
  <c r="BH54" i="7"/>
  <c r="BH227" i="7" s="1"/>
  <c r="BH64" i="7"/>
  <c r="BH237" i="7" s="1"/>
  <c r="BH76" i="7"/>
  <c r="BH249" i="7" s="1"/>
  <c r="BH60" i="7"/>
  <c r="BH233" i="7" s="1"/>
  <c r="BH57" i="7"/>
  <c r="BH230" i="7" s="1"/>
  <c r="BH69" i="7"/>
  <c r="BH242" i="7" s="1"/>
  <c r="BH41" i="7"/>
  <c r="BH214" i="7" s="1"/>
  <c r="BH53" i="7"/>
  <c r="BH226" i="7" s="1"/>
  <c r="BH63" i="7"/>
  <c r="BH236" i="7" s="1"/>
  <c r="BH75" i="7"/>
  <c r="BH248" i="7" s="1"/>
  <c r="BH85" i="7"/>
  <c r="BH258" i="7" s="1"/>
  <c r="K7" i="8"/>
  <c r="C7" i="8"/>
  <c r="F7" i="8"/>
  <c r="J14" i="8"/>
  <c r="J21" i="8"/>
  <c r="I7" i="8"/>
  <c r="J7" i="8"/>
  <c r="E7" i="8"/>
  <c r="D14" i="8"/>
  <c r="G7" i="8"/>
  <c r="M21" i="8"/>
  <c r="D7" i="8"/>
  <c r="L7" i="8"/>
  <c r="H7" i="8"/>
  <c r="M14" i="8"/>
  <c r="F14" i="8"/>
  <c r="E14" i="8"/>
  <c r="I14" i="8"/>
  <c r="B21" i="8"/>
  <c r="H14" i="8"/>
  <c r="I21" i="8"/>
  <c r="L21" i="8"/>
  <c r="G21" i="8"/>
  <c r="K21" i="8"/>
  <c r="C14" i="8"/>
  <c r="D21" i="8"/>
  <c r="G14" i="8"/>
  <c r="B14" i="8"/>
  <c r="M7" i="8"/>
  <c r="L14" i="8"/>
  <c r="H21" i="8"/>
  <c r="C21" i="8"/>
  <c r="E21" i="8"/>
  <c r="F21" i="8"/>
  <c r="K14" i="8"/>
  <c r="BG29" i="7"/>
  <c r="BF29" i="7"/>
  <c r="BD29" i="7"/>
  <c r="BB29" i="7"/>
  <c r="BA29" i="7"/>
  <c r="AZ29" i="7"/>
  <c r="AY29" i="7"/>
  <c r="BG28" i="7"/>
  <c r="BF28" i="7"/>
  <c r="BD28" i="7"/>
  <c r="BB28" i="7"/>
  <c r="BA28" i="7"/>
  <c r="AZ28" i="7"/>
  <c r="AY28" i="7"/>
  <c r="BG27" i="7"/>
  <c r="BF27" i="7"/>
  <c r="BD27" i="7"/>
  <c r="BB27" i="7"/>
  <c r="BA27" i="7"/>
  <c r="AZ27" i="7"/>
  <c r="AY27" i="7"/>
  <c r="BG26" i="7"/>
  <c r="BF26" i="7"/>
  <c r="BD26" i="7"/>
  <c r="BB26" i="7"/>
  <c r="BA26" i="7"/>
  <c r="AZ26" i="7"/>
  <c r="AY26" i="7"/>
  <c r="BG25" i="7"/>
  <c r="BF25" i="7"/>
  <c r="BD25" i="7"/>
  <c r="BB25" i="7"/>
  <c r="BA25" i="7"/>
  <c r="AZ25" i="7"/>
  <c r="AY25" i="7"/>
  <c r="BG22" i="7"/>
  <c r="BF22" i="7"/>
  <c r="BD22" i="7"/>
  <c r="BB22" i="7"/>
  <c r="BA22" i="7"/>
  <c r="AZ22" i="7"/>
  <c r="AY22" i="7"/>
  <c r="BG21" i="7"/>
  <c r="BF21" i="7"/>
  <c r="BD21" i="7"/>
  <c r="BB21" i="7"/>
  <c r="BA21" i="7"/>
  <c r="AZ21" i="7"/>
  <c r="AY21" i="7"/>
  <c r="BG20" i="7"/>
  <c r="BF20" i="7"/>
  <c r="BD20" i="7"/>
  <c r="BB20" i="7"/>
  <c r="BA20" i="7"/>
  <c r="AZ20" i="7"/>
  <c r="AY20" i="7"/>
  <c r="BG19" i="7"/>
  <c r="BF19" i="7"/>
  <c r="BD19" i="7"/>
  <c r="BB19" i="7"/>
  <c r="BA19" i="7"/>
  <c r="AZ19" i="7"/>
  <c r="AY19" i="7"/>
  <c r="BG18" i="7"/>
  <c r="BF18" i="7"/>
  <c r="BD18" i="7"/>
  <c r="BB18" i="7"/>
  <c r="BA18" i="7"/>
  <c r="AZ18" i="7"/>
  <c r="AY18" i="7"/>
  <c r="BG15" i="7"/>
  <c r="BF15" i="7"/>
  <c r="BD15" i="7"/>
  <c r="BB15" i="7"/>
  <c r="BA15" i="7"/>
  <c r="AZ15" i="7"/>
  <c r="AY15" i="7"/>
  <c r="BG14" i="7"/>
  <c r="BF14" i="7"/>
  <c r="BD14" i="7"/>
  <c r="BB14" i="7"/>
  <c r="BA14" i="7"/>
  <c r="AZ14" i="7"/>
  <c r="AY14" i="7"/>
  <c r="BG13" i="7"/>
  <c r="BF13" i="7"/>
  <c r="BD13" i="7"/>
  <c r="BB13" i="7"/>
  <c r="BA13" i="7"/>
  <c r="AZ13" i="7"/>
  <c r="AY13" i="7"/>
  <c r="BG12" i="7"/>
  <c r="BF12" i="7"/>
  <c r="BD12" i="7"/>
  <c r="BB12" i="7"/>
  <c r="BA12" i="7"/>
  <c r="AZ12" i="7"/>
  <c r="AY12" i="7"/>
  <c r="BG11" i="7"/>
  <c r="BF11" i="7"/>
  <c r="BD11" i="7"/>
  <c r="BB11" i="7"/>
  <c r="BA11" i="7"/>
  <c r="AZ11" i="7"/>
  <c r="AY11" i="7"/>
  <c r="BG8" i="7"/>
  <c r="BF8" i="7"/>
  <c r="BD8" i="7"/>
  <c r="BB8" i="7"/>
  <c r="BA8" i="7"/>
  <c r="AZ8" i="7"/>
  <c r="AY8" i="7"/>
  <c r="BG7" i="7"/>
  <c r="BF7" i="7"/>
  <c r="BD7" i="7"/>
  <c r="BB7" i="7"/>
  <c r="BA7" i="7"/>
  <c r="AZ7" i="7"/>
  <c r="AY7" i="7"/>
  <c r="BG6" i="7"/>
  <c r="BF6" i="7"/>
  <c r="BD6" i="7"/>
  <c r="BB6" i="7"/>
  <c r="BA6" i="7"/>
  <c r="AZ6" i="7"/>
  <c r="AY6" i="7"/>
  <c r="BG5" i="7"/>
  <c r="BF5" i="7"/>
  <c r="BD5" i="7"/>
  <c r="BB5" i="7"/>
  <c r="BA5" i="7"/>
  <c r="AZ5" i="7"/>
  <c r="AY5" i="7"/>
  <c r="BG4" i="7"/>
  <c r="BF4" i="7"/>
  <c r="BD4" i="7"/>
  <c r="BB4" i="7"/>
  <c r="BA4" i="7"/>
  <c r="AZ4" i="7"/>
  <c r="AY4" i="7"/>
  <c r="AI50" i="7"/>
  <c r="AH50" i="7"/>
  <c r="AG50" i="7"/>
  <c r="AI49" i="7"/>
  <c r="AH49" i="7"/>
  <c r="AG49" i="7"/>
  <c r="AI48" i="7"/>
  <c r="AH48" i="7"/>
  <c r="AG48" i="7"/>
  <c r="AI47" i="7"/>
  <c r="AH47" i="7"/>
  <c r="AG47" i="7"/>
  <c r="AI46" i="7"/>
  <c r="AH46" i="7"/>
  <c r="AG46" i="7"/>
  <c r="AI43" i="7"/>
  <c r="AH43" i="7"/>
  <c r="AG43" i="7"/>
  <c r="AI42" i="7"/>
  <c r="AH42" i="7"/>
  <c r="AG42" i="7"/>
  <c r="AI41" i="7"/>
  <c r="AH41" i="7"/>
  <c r="AG41" i="7"/>
  <c r="AI40" i="7"/>
  <c r="AH40" i="7"/>
  <c r="AG40" i="7"/>
  <c r="AI39" i="7"/>
  <c r="AH39" i="7"/>
  <c r="AG39" i="7"/>
  <c r="AI36" i="7"/>
  <c r="AH36" i="7"/>
  <c r="AG36" i="7"/>
  <c r="AI35" i="7"/>
  <c r="AH35" i="7"/>
  <c r="AG35" i="7"/>
  <c r="AI34" i="7"/>
  <c r="AH34" i="7"/>
  <c r="AG34" i="7"/>
  <c r="AI33" i="7"/>
  <c r="AH33" i="7"/>
  <c r="AG33" i="7"/>
  <c r="AI32" i="7"/>
  <c r="AH32" i="7"/>
  <c r="AG32" i="7"/>
  <c r="AI29" i="7"/>
  <c r="AH29" i="7"/>
  <c r="AG29" i="7"/>
  <c r="AI28" i="7"/>
  <c r="AH28" i="7"/>
  <c r="AG28" i="7"/>
  <c r="AI27" i="7"/>
  <c r="AH27" i="7"/>
  <c r="AG27" i="7"/>
  <c r="AI26" i="7"/>
  <c r="AH26" i="7"/>
  <c r="AG26" i="7"/>
  <c r="AI25" i="7"/>
  <c r="AH25" i="7"/>
  <c r="AG25" i="7"/>
  <c r="AI22" i="7"/>
  <c r="AH22" i="7"/>
  <c r="AG22" i="7"/>
  <c r="AI21" i="7"/>
  <c r="AH21" i="7"/>
  <c r="AG21" i="7"/>
  <c r="AI20" i="7"/>
  <c r="AH20" i="7"/>
  <c r="AG20" i="7"/>
  <c r="AI19" i="7"/>
  <c r="AH19" i="7"/>
  <c r="AG19" i="7"/>
  <c r="AI18" i="7"/>
  <c r="AH18" i="7"/>
  <c r="AG18" i="7"/>
  <c r="AI15" i="7"/>
  <c r="AH15" i="7"/>
  <c r="AG15" i="7"/>
  <c r="AI14" i="7"/>
  <c r="AH14" i="7"/>
  <c r="AG14" i="7"/>
  <c r="AI13" i="7"/>
  <c r="AH13" i="7"/>
  <c r="AG13" i="7"/>
  <c r="AI12" i="7"/>
  <c r="AH12" i="7"/>
  <c r="AG12" i="7"/>
  <c r="AI11" i="7"/>
  <c r="AH11" i="7"/>
  <c r="AG11" i="7"/>
  <c r="AI57" i="7"/>
  <c r="AH57" i="7"/>
  <c r="AG57" i="7"/>
  <c r="AI56" i="7"/>
  <c r="AH56" i="7"/>
  <c r="AG56" i="7"/>
  <c r="AI55" i="7"/>
  <c r="AH55" i="7"/>
  <c r="AG55" i="7"/>
  <c r="AI54" i="7"/>
  <c r="AH54" i="7"/>
  <c r="AG54" i="7"/>
  <c r="AI53" i="7"/>
  <c r="AH53" i="7"/>
  <c r="AG53" i="7"/>
  <c r="AI64" i="7"/>
  <c r="AH64" i="7"/>
  <c r="AG64" i="7"/>
  <c r="AI63" i="7"/>
  <c r="AH63" i="7"/>
  <c r="AG63" i="7"/>
  <c r="AI62" i="7"/>
  <c r="AH62" i="7"/>
  <c r="AG62" i="7"/>
  <c r="AI61" i="7"/>
  <c r="AH61" i="7"/>
  <c r="AG61" i="7"/>
  <c r="AI60" i="7"/>
  <c r="AH60" i="7"/>
  <c r="AG60" i="7"/>
  <c r="AI71" i="7"/>
  <c r="AH71" i="7"/>
  <c r="AG71" i="7"/>
  <c r="AI70" i="7"/>
  <c r="AH70" i="7"/>
  <c r="AG70" i="7"/>
  <c r="AI69" i="7"/>
  <c r="AH69" i="7"/>
  <c r="AG69" i="7"/>
  <c r="AI68" i="7"/>
  <c r="AH68" i="7"/>
  <c r="AG68" i="7"/>
  <c r="AI67" i="7"/>
  <c r="AH67" i="7"/>
  <c r="AG67" i="7"/>
  <c r="AI78" i="7"/>
  <c r="AH78" i="7"/>
  <c r="AG78" i="7"/>
  <c r="AI77" i="7"/>
  <c r="AH77" i="7"/>
  <c r="AG77" i="7"/>
  <c r="AI76" i="7"/>
  <c r="AH76" i="7"/>
  <c r="AG76" i="7"/>
  <c r="AI75" i="7"/>
  <c r="AH75" i="7"/>
  <c r="AG75" i="7"/>
  <c r="AI74" i="7"/>
  <c r="AH74" i="7"/>
  <c r="AG74" i="7"/>
  <c r="AI85" i="7"/>
  <c r="AH85" i="7"/>
  <c r="AG85" i="7"/>
  <c r="AI84" i="7"/>
  <c r="AH84" i="7"/>
  <c r="AG84" i="7"/>
  <c r="AI83" i="7"/>
  <c r="AH83" i="7"/>
  <c r="AG83" i="7"/>
  <c r="AI82" i="7"/>
  <c r="AH82" i="7"/>
  <c r="AG82" i="7"/>
  <c r="AI81" i="7"/>
  <c r="AH81" i="7"/>
  <c r="AG81" i="7"/>
  <c r="AI8" i="7"/>
  <c r="AH8" i="7"/>
  <c r="AG8" i="7"/>
  <c r="AI7" i="7"/>
  <c r="AH7" i="7"/>
  <c r="AG7" i="7"/>
  <c r="AI6" i="7"/>
  <c r="AH6" i="7"/>
  <c r="AG6" i="7"/>
  <c r="AI5" i="7"/>
  <c r="AH5" i="7"/>
  <c r="AG5" i="7"/>
  <c r="AH4" i="7"/>
  <c r="AI4" i="7"/>
  <c r="AG4" i="7"/>
  <c r="AV85" i="7"/>
  <c r="AV84" i="7"/>
  <c r="AV83" i="7"/>
  <c r="AV82" i="7"/>
  <c r="AV78" i="7"/>
  <c r="AV77" i="7"/>
  <c r="AV76" i="7"/>
  <c r="AV75" i="7"/>
  <c r="AV71" i="7"/>
  <c r="AV70" i="7"/>
  <c r="AV69" i="7"/>
  <c r="AV68" i="7"/>
  <c r="AV64" i="7"/>
  <c r="AV63" i="7"/>
  <c r="AV62" i="7"/>
  <c r="AV61" i="7"/>
  <c r="AV57" i="7"/>
  <c r="AV56" i="7"/>
  <c r="AV55" i="7"/>
  <c r="AV54" i="7"/>
  <c r="AV50" i="7"/>
  <c r="AV49" i="7"/>
  <c r="AV48" i="7"/>
  <c r="AV47" i="7"/>
  <c r="AV43" i="7"/>
  <c r="AV42" i="7"/>
  <c r="AV41" i="7"/>
  <c r="AV40" i="7"/>
  <c r="AV36" i="7"/>
  <c r="AV35" i="7"/>
  <c r="AV34" i="7"/>
  <c r="AV33" i="7"/>
  <c r="AV29" i="7"/>
  <c r="AV28" i="7"/>
  <c r="AV27" i="7"/>
  <c r="AV26" i="7"/>
  <c r="AV22" i="7"/>
  <c r="AV21" i="7"/>
  <c r="AV20" i="7"/>
  <c r="AV19" i="7"/>
  <c r="AV15" i="7"/>
  <c r="AV14" i="7"/>
  <c r="AV13" i="7"/>
  <c r="AV12" i="7"/>
  <c r="AV25" i="7"/>
  <c r="AV18" i="7"/>
  <c r="AV11" i="7"/>
  <c r="AV32" i="7"/>
  <c r="AV39" i="7"/>
  <c r="AV46" i="7"/>
  <c r="AV53" i="7"/>
  <c r="AV60" i="7"/>
  <c r="AV67" i="7"/>
  <c r="AV74" i="7"/>
  <c r="AV81" i="7"/>
  <c r="AV8" i="7"/>
  <c r="AV7" i="7"/>
  <c r="AV6" i="7"/>
  <c r="AV5" i="7"/>
  <c r="AV4" i="7"/>
  <c r="AT85" i="7"/>
  <c r="AS85" i="7"/>
  <c r="AR85" i="7"/>
  <c r="AT84" i="7"/>
  <c r="AS84" i="7"/>
  <c r="AR84" i="7"/>
  <c r="AT83" i="7"/>
  <c r="AS83" i="7"/>
  <c r="AR83" i="7"/>
  <c r="AT82" i="7"/>
  <c r="AS82" i="7"/>
  <c r="AR82" i="7"/>
  <c r="AT81" i="7"/>
  <c r="AS81" i="7"/>
  <c r="AR81" i="7"/>
  <c r="AT78" i="7"/>
  <c r="AS78" i="7"/>
  <c r="AR78" i="7"/>
  <c r="AT77" i="7"/>
  <c r="AS77" i="7"/>
  <c r="AR77" i="7"/>
  <c r="AT76" i="7"/>
  <c r="AS76" i="7"/>
  <c r="AR76" i="7"/>
  <c r="AT75" i="7"/>
  <c r="AS75" i="7"/>
  <c r="AR75" i="7"/>
  <c r="AT74" i="7"/>
  <c r="AS74" i="7"/>
  <c r="AR74" i="7"/>
  <c r="AT71" i="7"/>
  <c r="AS71" i="7"/>
  <c r="AR71" i="7"/>
  <c r="AT70" i="7"/>
  <c r="AS70" i="7"/>
  <c r="AR70" i="7"/>
  <c r="AT69" i="7"/>
  <c r="AS69" i="7"/>
  <c r="AR69" i="7"/>
  <c r="AT68" i="7"/>
  <c r="AS68" i="7"/>
  <c r="AR68" i="7"/>
  <c r="AT67" i="7"/>
  <c r="AS67" i="7"/>
  <c r="AR67" i="7"/>
  <c r="AT64" i="7"/>
  <c r="AS64" i="7"/>
  <c r="AR64" i="7"/>
  <c r="AT63" i="7"/>
  <c r="AS63" i="7"/>
  <c r="AR63" i="7"/>
  <c r="AT62" i="7"/>
  <c r="AS62" i="7"/>
  <c r="AR62" i="7"/>
  <c r="AT61" i="7"/>
  <c r="AS61" i="7"/>
  <c r="AR61" i="7"/>
  <c r="AT60" i="7"/>
  <c r="AS60" i="7"/>
  <c r="AR60" i="7"/>
  <c r="AT57" i="7"/>
  <c r="AS57" i="7"/>
  <c r="AR57" i="7"/>
  <c r="AT56" i="7"/>
  <c r="AS56" i="7"/>
  <c r="AR56" i="7"/>
  <c r="AT55" i="7"/>
  <c r="AS55" i="7"/>
  <c r="AR55" i="7"/>
  <c r="AT54" i="7"/>
  <c r="AS54" i="7"/>
  <c r="AR54" i="7"/>
  <c r="AT53" i="7"/>
  <c r="AS53" i="7"/>
  <c r="AR53" i="7"/>
  <c r="AT50" i="7"/>
  <c r="AS50" i="7"/>
  <c r="AR50" i="7"/>
  <c r="AT49" i="7"/>
  <c r="AS49" i="7"/>
  <c r="AR49" i="7"/>
  <c r="AT48" i="7"/>
  <c r="AS48" i="7"/>
  <c r="AR48" i="7"/>
  <c r="AT47" i="7"/>
  <c r="AS47" i="7"/>
  <c r="AR47" i="7"/>
  <c r="AT46" i="7"/>
  <c r="AS46" i="7"/>
  <c r="AR46" i="7"/>
  <c r="AT43" i="7"/>
  <c r="AS43" i="7"/>
  <c r="AR43" i="7"/>
  <c r="AT42" i="7"/>
  <c r="AS42" i="7"/>
  <c r="AR42" i="7"/>
  <c r="AT41" i="7"/>
  <c r="AS41" i="7"/>
  <c r="AR41" i="7"/>
  <c r="AT40" i="7"/>
  <c r="AS40" i="7"/>
  <c r="AR40" i="7"/>
  <c r="AT39" i="7"/>
  <c r="AS39" i="7"/>
  <c r="AR39" i="7"/>
  <c r="AT36" i="7"/>
  <c r="AS36" i="7"/>
  <c r="AR36" i="7"/>
  <c r="AT35" i="7"/>
  <c r="AS35" i="7"/>
  <c r="AR35" i="7"/>
  <c r="AT34" i="7"/>
  <c r="AS34" i="7"/>
  <c r="AR34" i="7"/>
  <c r="AT33" i="7"/>
  <c r="AS33" i="7"/>
  <c r="AR33" i="7"/>
  <c r="AT32" i="7"/>
  <c r="AS32" i="7"/>
  <c r="AR32" i="7"/>
  <c r="AT29" i="7"/>
  <c r="AS29" i="7"/>
  <c r="AR29" i="7"/>
  <c r="AT28" i="7"/>
  <c r="AS28" i="7"/>
  <c r="AR28" i="7"/>
  <c r="AT27" i="7"/>
  <c r="AS27" i="7"/>
  <c r="AR27" i="7"/>
  <c r="AT26" i="7"/>
  <c r="AS26" i="7"/>
  <c r="AR26" i="7"/>
  <c r="AT25" i="7"/>
  <c r="AS25" i="7"/>
  <c r="AR25" i="7"/>
  <c r="AT22" i="7"/>
  <c r="AS22" i="7"/>
  <c r="AR22" i="7"/>
  <c r="AT21" i="7"/>
  <c r="AS21" i="7"/>
  <c r="AR21" i="7"/>
  <c r="AT20" i="7"/>
  <c r="AS20" i="7"/>
  <c r="AR20" i="7"/>
  <c r="AT19" i="7"/>
  <c r="AS19" i="7"/>
  <c r="AR19" i="7"/>
  <c r="AT18" i="7"/>
  <c r="AS18" i="7"/>
  <c r="AR18" i="7"/>
  <c r="AT15" i="7"/>
  <c r="AS15" i="7"/>
  <c r="AR15" i="7"/>
  <c r="AT14" i="7"/>
  <c r="AS14" i="7"/>
  <c r="AR14" i="7"/>
  <c r="AT13" i="7"/>
  <c r="AS13" i="7"/>
  <c r="AR13" i="7"/>
  <c r="AT12" i="7"/>
  <c r="AS12" i="7"/>
  <c r="AR12" i="7"/>
  <c r="AT11" i="7"/>
  <c r="AS11" i="7"/>
  <c r="AR11" i="7"/>
  <c r="AT8" i="7"/>
  <c r="AS8" i="7"/>
  <c r="AR8" i="7"/>
  <c r="AT7" i="7"/>
  <c r="AS7" i="7"/>
  <c r="AR7" i="7"/>
  <c r="AT6" i="7"/>
  <c r="AS6" i="7"/>
  <c r="AR6" i="7"/>
  <c r="AT5" i="7"/>
  <c r="AS5" i="7"/>
  <c r="AR5" i="7"/>
  <c r="AT4" i="7"/>
  <c r="AS4" i="7"/>
  <c r="AR4" i="7"/>
  <c r="AU54" i="7" l="1"/>
  <c r="AU227" i="7" s="1"/>
  <c r="AU12" i="7"/>
  <c r="AU185" i="7" s="1"/>
  <c r="AU34" i="7"/>
  <c r="AU207" i="7" s="1"/>
  <c r="AU46" i="7"/>
  <c r="AU219" i="7" s="1"/>
  <c r="AU68" i="7"/>
  <c r="AU241" i="7" s="1"/>
  <c r="BH6" i="7"/>
  <c r="BH179" i="7" s="1"/>
  <c r="BH18" i="7"/>
  <c r="BH191" i="7" s="1"/>
  <c r="BH28" i="7"/>
  <c r="BH201" i="7" s="1"/>
  <c r="AU5" i="7"/>
  <c r="AU178" i="7" s="1"/>
  <c r="AU27" i="7"/>
  <c r="AU200" i="7" s="1"/>
  <c r="AU39" i="7"/>
  <c r="AU212" i="7" s="1"/>
  <c r="AU61" i="7"/>
  <c r="AU234" i="7" s="1"/>
  <c r="AU83" i="7"/>
  <c r="AU256" i="7" s="1"/>
  <c r="BH5" i="7"/>
  <c r="BH178" i="7" s="1"/>
  <c r="BH15" i="7"/>
  <c r="BH188" i="7" s="1"/>
  <c r="BH27" i="7"/>
  <c r="BH200" i="7" s="1"/>
  <c r="BH13" i="7"/>
  <c r="BH186" i="7" s="1"/>
  <c r="AU6" i="7"/>
  <c r="AU179" i="7" s="1"/>
  <c r="AU18" i="7"/>
  <c r="AU191" i="7" s="1"/>
  <c r="AU40" i="7"/>
  <c r="AU213" i="7" s="1"/>
  <c r="AU62" i="7"/>
  <c r="AU235" i="7" s="1"/>
  <c r="AU74" i="7"/>
  <c r="AU247" i="7" s="1"/>
  <c r="BH12" i="7"/>
  <c r="BH185" i="7" s="1"/>
  <c r="BH22" i="7"/>
  <c r="BH195" i="7" s="1"/>
  <c r="AU20" i="7"/>
  <c r="AU193" i="7" s="1"/>
  <c r="AU76" i="7"/>
  <c r="AU249" i="7" s="1"/>
  <c r="BH4" i="7"/>
  <c r="BH177" i="7" s="1"/>
  <c r="AU13" i="7"/>
  <c r="AU186" i="7" s="1"/>
  <c r="AU47" i="7"/>
  <c r="AU220" i="7" s="1"/>
  <c r="AU69" i="7"/>
  <c r="AU242" i="7" s="1"/>
  <c r="BH25" i="7"/>
  <c r="BH198" i="7" s="1"/>
  <c r="AU11" i="7"/>
  <c r="AU184" i="7" s="1"/>
  <c r="AU33" i="7"/>
  <c r="AU206" i="7" s="1"/>
  <c r="AU55" i="7"/>
  <c r="AU228" i="7" s="1"/>
  <c r="AU67" i="7"/>
  <c r="AU240" i="7" s="1"/>
  <c r="BH11" i="7"/>
  <c r="BH184" i="7" s="1"/>
  <c r="BH21" i="7"/>
  <c r="BH194" i="7" s="1"/>
  <c r="AU4" i="7"/>
  <c r="AU177" i="7" s="1"/>
  <c r="AU26" i="7"/>
  <c r="AU199" i="7" s="1"/>
  <c r="AU48" i="7"/>
  <c r="AU221" i="7" s="1"/>
  <c r="AU60" i="7"/>
  <c r="AU233" i="7" s="1"/>
  <c r="AU82" i="7"/>
  <c r="AU255" i="7" s="1"/>
  <c r="BH8" i="7"/>
  <c r="BH181" i="7" s="1"/>
  <c r="BH20" i="7"/>
  <c r="BH193" i="7" s="1"/>
  <c r="AU32" i="7"/>
  <c r="AU205" i="7" s="1"/>
  <c r="BH14" i="7"/>
  <c r="BH187" i="7" s="1"/>
  <c r="BH26" i="7"/>
  <c r="BH199" i="7" s="1"/>
  <c r="AU25" i="7"/>
  <c r="AU198" i="7" s="1"/>
  <c r="AU81" i="7"/>
  <c r="AU254" i="7" s="1"/>
  <c r="AU19" i="7"/>
  <c r="AU192" i="7" s="1"/>
  <c r="AU41" i="7"/>
  <c r="AU214" i="7" s="1"/>
  <c r="AU53" i="7"/>
  <c r="AU226" i="7" s="1"/>
  <c r="AU75" i="7"/>
  <c r="AU248" i="7" s="1"/>
  <c r="BH7" i="7"/>
  <c r="BH180" i="7" s="1"/>
  <c r="BH19" i="7"/>
  <c r="BH192" i="7" s="1"/>
  <c r="BH29" i="7"/>
  <c r="BH202" i="7" s="1"/>
  <c r="AW67" i="7"/>
  <c r="AW240" i="7" s="1"/>
  <c r="AW4" i="7"/>
  <c r="AW177" i="7" s="1"/>
  <c r="AW60" i="7"/>
  <c r="AW233" i="7" s="1"/>
  <c r="AW12" i="7"/>
  <c r="AW185" i="7" s="1"/>
  <c r="AW26" i="7"/>
  <c r="AW199" i="7" s="1"/>
  <c r="AW40" i="7"/>
  <c r="AW213" i="7" s="1"/>
  <c r="AW54" i="7"/>
  <c r="AW227" i="7" s="1"/>
  <c r="AW68" i="7"/>
  <c r="AW241" i="7" s="1"/>
  <c r="AW82" i="7"/>
  <c r="AW255" i="7" s="1"/>
  <c r="AW25" i="7"/>
  <c r="AW198" i="7" s="1"/>
  <c r="AW5" i="7"/>
  <c r="AW178" i="7" s="1"/>
  <c r="AW53" i="7"/>
  <c r="AW226" i="7" s="1"/>
  <c r="AW13" i="7"/>
  <c r="AW186" i="7" s="1"/>
  <c r="AW27" i="7"/>
  <c r="AW200" i="7" s="1"/>
  <c r="AW41" i="7"/>
  <c r="AW214" i="7" s="1"/>
  <c r="AW55" i="7"/>
  <c r="AW228" i="7" s="1"/>
  <c r="AW69" i="7"/>
  <c r="AW242" i="7" s="1"/>
  <c r="AW83" i="7"/>
  <c r="AW256" i="7" s="1"/>
  <c r="AW39" i="7"/>
  <c r="AW212" i="7" s="1"/>
  <c r="AW46" i="7"/>
  <c r="AW219" i="7" s="1"/>
  <c r="AW32" i="7"/>
  <c r="AW205" i="7" s="1"/>
  <c r="AW19" i="7"/>
  <c r="AW192" i="7" s="1"/>
  <c r="AW33" i="7"/>
  <c r="AW206" i="7" s="1"/>
  <c r="AW47" i="7"/>
  <c r="AW220" i="7" s="1"/>
  <c r="AW61" i="7"/>
  <c r="AW234" i="7" s="1"/>
  <c r="AW75" i="7"/>
  <c r="AW248" i="7" s="1"/>
  <c r="AW6" i="7"/>
  <c r="AW179" i="7" s="1"/>
  <c r="AW81" i="7"/>
  <c r="AW254" i="7" s="1"/>
  <c r="AW11" i="7"/>
  <c r="AW184" i="7" s="1"/>
  <c r="AW20" i="7"/>
  <c r="AW193" i="7" s="1"/>
  <c r="AW34" i="7"/>
  <c r="AW207" i="7" s="1"/>
  <c r="AW48" i="7"/>
  <c r="AW221" i="7" s="1"/>
  <c r="AW62" i="7"/>
  <c r="AW235" i="7" s="1"/>
  <c r="AW76" i="7"/>
  <c r="AW249" i="7" s="1"/>
  <c r="AW74" i="7"/>
  <c r="AW247" i="7" s="1"/>
  <c r="AW18" i="7"/>
  <c r="AW191" i="7" s="1"/>
  <c r="AW28" i="7"/>
  <c r="AW201" i="7" s="1"/>
  <c r="AW77" i="7"/>
  <c r="AW250" i="7" s="1"/>
  <c r="AP43" i="7"/>
  <c r="AN43" i="7"/>
  <c r="AM43" i="7"/>
  <c r="AL43" i="7"/>
  <c r="AP42" i="7"/>
  <c r="AN42" i="7"/>
  <c r="AM42" i="7"/>
  <c r="AL42" i="7"/>
  <c r="AP41" i="7"/>
  <c r="AN41" i="7"/>
  <c r="AM41" i="7"/>
  <c r="AL41" i="7"/>
  <c r="AP40" i="7"/>
  <c r="AN40" i="7"/>
  <c r="AM40" i="7"/>
  <c r="AL40" i="7"/>
  <c r="AP39" i="7"/>
  <c r="AN39" i="7"/>
  <c r="AM39" i="7"/>
  <c r="AL39" i="7"/>
  <c r="AP36" i="7"/>
  <c r="AN36" i="7"/>
  <c r="AM36" i="7"/>
  <c r="AL36" i="7"/>
  <c r="AP35" i="7"/>
  <c r="AN35" i="7"/>
  <c r="AM35" i="7"/>
  <c r="AL35" i="7"/>
  <c r="AP34" i="7"/>
  <c r="AN34" i="7"/>
  <c r="AM34" i="7"/>
  <c r="AL34" i="7"/>
  <c r="AP33" i="7"/>
  <c r="AN33" i="7"/>
  <c r="AM33" i="7"/>
  <c r="AL33" i="7"/>
  <c r="AP32" i="7"/>
  <c r="AN32" i="7"/>
  <c r="AM32" i="7"/>
  <c r="AL32" i="7"/>
  <c r="AP29" i="7"/>
  <c r="AN29" i="7"/>
  <c r="AM29" i="7"/>
  <c r="AL29" i="7"/>
  <c r="AP28" i="7"/>
  <c r="AN28" i="7"/>
  <c r="AM28" i="7"/>
  <c r="AL28" i="7"/>
  <c r="AP27" i="7"/>
  <c r="AN27" i="7"/>
  <c r="AM27" i="7"/>
  <c r="AL27" i="7"/>
  <c r="AP26" i="7"/>
  <c r="AN26" i="7"/>
  <c r="AM26" i="7"/>
  <c r="AL26" i="7"/>
  <c r="AP25" i="7"/>
  <c r="AN25" i="7"/>
  <c r="AM25" i="7"/>
  <c r="AL25" i="7"/>
  <c r="AP22" i="7"/>
  <c r="AN22" i="7"/>
  <c r="AM22" i="7"/>
  <c r="AL22" i="7"/>
  <c r="AP21" i="7"/>
  <c r="AN21" i="7"/>
  <c r="AM21" i="7"/>
  <c r="AL21" i="7"/>
  <c r="AP20" i="7"/>
  <c r="AN20" i="7"/>
  <c r="AM20" i="7"/>
  <c r="AL20" i="7"/>
  <c r="AP19" i="7"/>
  <c r="AN19" i="7"/>
  <c r="AM19" i="7"/>
  <c r="AL19" i="7"/>
  <c r="AP18" i="7"/>
  <c r="AN18" i="7"/>
  <c r="AM18" i="7"/>
  <c r="AL18" i="7"/>
  <c r="AP15" i="7"/>
  <c r="AN15" i="7"/>
  <c r="AM15" i="7"/>
  <c r="AL15" i="7"/>
  <c r="AP14" i="7"/>
  <c r="AN14" i="7"/>
  <c r="AM14" i="7"/>
  <c r="AL14" i="7"/>
  <c r="AP13" i="7"/>
  <c r="AN13" i="7"/>
  <c r="AM13" i="7"/>
  <c r="AL13" i="7"/>
  <c r="AP12" i="7"/>
  <c r="AN12" i="7"/>
  <c r="AM12" i="7"/>
  <c r="AL12" i="7"/>
  <c r="AP11" i="7"/>
  <c r="AN11" i="7"/>
  <c r="AM11" i="7"/>
  <c r="AL11" i="7"/>
  <c r="AP50" i="7"/>
  <c r="AN50" i="7"/>
  <c r="AM50" i="7"/>
  <c r="AL50" i="7"/>
  <c r="AP49" i="7"/>
  <c r="AN49" i="7"/>
  <c r="AM49" i="7"/>
  <c r="AL49" i="7"/>
  <c r="AP48" i="7"/>
  <c r="AN48" i="7"/>
  <c r="AM48" i="7"/>
  <c r="AL48" i="7"/>
  <c r="AP47" i="7"/>
  <c r="AN47" i="7"/>
  <c r="AM47" i="7"/>
  <c r="AL47" i="7"/>
  <c r="AP46" i="7"/>
  <c r="AN46" i="7"/>
  <c r="AM46" i="7"/>
  <c r="AL46" i="7"/>
  <c r="AP57" i="7"/>
  <c r="AN57" i="7"/>
  <c r="AM57" i="7"/>
  <c r="AL57" i="7"/>
  <c r="AP56" i="7"/>
  <c r="AN56" i="7"/>
  <c r="AM56" i="7"/>
  <c r="AL56" i="7"/>
  <c r="AP55" i="7"/>
  <c r="AN55" i="7"/>
  <c r="AM55" i="7"/>
  <c r="AL55" i="7"/>
  <c r="AP54" i="7"/>
  <c r="AN54" i="7"/>
  <c r="AM54" i="7"/>
  <c r="AL54" i="7"/>
  <c r="AP53" i="7"/>
  <c r="AN53" i="7"/>
  <c r="AM53" i="7"/>
  <c r="AL53" i="7"/>
  <c r="AP64" i="7"/>
  <c r="AN64" i="7"/>
  <c r="AM64" i="7"/>
  <c r="AL64" i="7"/>
  <c r="AP63" i="7"/>
  <c r="AN63" i="7"/>
  <c r="AM63" i="7"/>
  <c r="AL63" i="7"/>
  <c r="AP62" i="7"/>
  <c r="AN62" i="7"/>
  <c r="AM62" i="7"/>
  <c r="AL62" i="7"/>
  <c r="AP61" i="7"/>
  <c r="AN61" i="7"/>
  <c r="AM61" i="7"/>
  <c r="AL61" i="7"/>
  <c r="AP60" i="7"/>
  <c r="AN60" i="7"/>
  <c r="AM60" i="7"/>
  <c r="AL60" i="7"/>
  <c r="AP71" i="7"/>
  <c r="AN71" i="7"/>
  <c r="AM71" i="7"/>
  <c r="AL71" i="7"/>
  <c r="AP70" i="7"/>
  <c r="AN70" i="7"/>
  <c r="AM70" i="7"/>
  <c r="AL70" i="7"/>
  <c r="AP69" i="7"/>
  <c r="AN69" i="7"/>
  <c r="AM69" i="7"/>
  <c r="AL69" i="7"/>
  <c r="AP68" i="7"/>
  <c r="AN68" i="7"/>
  <c r="AM68" i="7"/>
  <c r="AL68" i="7"/>
  <c r="AP67" i="7"/>
  <c r="AN67" i="7"/>
  <c r="AM67" i="7"/>
  <c r="AL67" i="7"/>
  <c r="AP78" i="7"/>
  <c r="AN78" i="7"/>
  <c r="AM78" i="7"/>
  <c r="AL78" i="7"/>
  <c r="AP77" i="7"/>
  <c r="AN77" i="7"/>
  <c r="AM77" i="7"/>
  <c r="AL77" i="7"/>
  <c r="AP76" i="7"/>
  <c r="AN76" i="7"/>
  <c r="AM76" i="7"/>
  <c r="AL76" i="7"/>
  <c r="AP75" i="7"/>
  <c r="AN75" i="7"/>
  <c r="AM75" i="7"/>
  <c r="AL75" i="7"/>
  <c r="AP74" i="7"/>
  <c r="AN74" i="7"/>
  <c r="AM74" i="7"/>
  <c r="AL74" i="7"/>
  <c r="AP85" i="7"/>
  <c r="AN85" i="7"/>
  <c r="AM85" i="7"/>
  <c r="AL85" i="7"/>
  <c r="AP84" i="7"/>
  <c r="AN84" i="7"/>
  <c r="AM84" i="7"/>
  <c r="AL84" i="7"/>
  <c r="AP83" i="7"/>
  <c r="AN83" i="7"/>
  <c r="AM83" i="7"/>
  <c r="AL83" i="7"/>
  <c r="AP82" i="7"/>
  <c r="AN82" i="7"/>
  <c r="AM82" i="7"/>
  <c r="AL82" i="7"/>
  <c r="AP81" i="7"/>
  <c r="AN81" i="7"/>
  <c r="AM81" i="7"/>
  <c r="AL81" i="7"/>
  <c r="AP8" i="7"/>
  <c r="AN8" i="7"/>
  <c r="AM8" i="7"/>
  <c r="AL8" i="7"/>
  <c r="AP7" i="7"/>
  <c r="AN7" i="7"/>
  <c r="AM7" i="7"/>
  <c r="AL7" i="7"/>
  <c r="AP6" i="7"/>
  <c r="AN6" i="7"/>
  <c r="AM6" i="7"/>
  <c r="AL6" i="7"/>
  <c r="AP5" i="7"/>
  <c r="AN5" i="7"/>
  <c r="AM5" i="7"/>
  <c r="AL5" i="7"/>
  <c r="AN4" i="7"/>
  <c r="AP4" i="7"/>
  <c r="AM4" i="7"/>
  <c r="AL4" i="7"/>
  <c r="S85" i="7"/>
  <c r="S84" i="7"/>
  <c r="S83" i="7"/>
  <c r="S82" i="7"/>
  <c r="S81" i="7"/>
  <c r="S78" i="7"/>
  <c r="S77" i="7"/>
  <c r="S76" i="7"/>
  <c r="S75" i="7"/>
  <c r="S74" i="7"/>
  <c r="S71" i="7"/>
  <c r="S70" i="7"/>
  <c r="S69" i="7"/>
  <c r="S68" i="7"/>
  <c r="S67" i="7"/>
  <c r="S64" i="7"/>
  <c r="S63" i="7"/>
  <c r="S62" i="7"/>
  <c r="S61" i="7"/>
  <c r="S60" i="7"/>
  <c r="S57" i="7"/>
  <c r="S56" i="7"/>
  <c r="S55" i="7"/>
  <c r="S54" i="7"/>
  <c r="S53" i="7"/>
  <c r="S50" i="7"/>
  <c r="S49" i="7"/>
  <c r="S48" i="7"/>
  <c r="S47" i="7"/>
  <c r="S46" i="7"/>
  <c r="S43" i="7"/>
  <c r="S42" i="7"/>
  <c r="S41" i="7"/>
  <c r="S40" i="7"/>
  <c r="S39" i="7"/>
  <c r="S36" i="7"/>
  <c r="S35" i="7"/>
  <c r="S34" i="7"/>
  <c r="S33" i="7"/>
  <c r="S32" i="7"/>
  <c r="S29" i="7"/>
  <c r="S28" i="7"/>
  <c r="S27" i="7"/>
  <c r="S26" i="7"/>
  <c r="S25" i="7"/>
  <c r="S22" i="7"/>
  <c r="S21" i="7"/>
  <c r="S20" i="7"/>
  <c r="S19" i="7"/>
  <c r="S18" i="7"/>
  <c r="S15" i="7"/>
  <c r="S14" i="7"/>
  <c r="S13" i="7"/>
  <c r="S12" i="7"/>
  <c r="S11" i="7"/>
  <c r="S8" i="7"/>
  <c r="S7" i="7"/>
  <c r="S6" i="7"/>
  <c r="S5" i="7"/>
  <c r="S4" i="7"/>
  <c r="AE64" i="7"/>
  <c r="AD64" i="7"/>
  <c r="AE63" i="7"/>
  <c r="AD63" i="7"/>
  <c r="AE62" i="7"/>
  <c r="AD62" i="7"/>
  <c r="AE61" i="7"/>
  <c r="AD61" i="7"/>
  <c r="AE60" i="7"/>
  <c r="AD60" i="7"/>
  <c r="AE57" i="7"/>
  <c r="AD57" i="7"/>
  <c r="AE56" i="7"/>
  <c r="AD56" i="7"/>
  <c r="AE55" i="7"/>
  <c r="AD55" i="7"/>
  <c r="AE54" i="7"/>
  <c r="AD54" i="7"/>
  <c r="AE50" i="7"/>
  <c r="AD50" i="7"/>
  <c r="AE49" i="7"/>
  <c r="AD49" i="7"/>
  <c r="AE48" i="7"/>
  <c r="AD48" i="7"/>
  <c r="AE47" i="7"/>
  <c r="AD47" i="7"/>
  <c r="AE53" i="7"/>
  <c r="AD53" i="7"/>
  <c r="AE46" i="7"/>
  <c r="AD46" i="7"/>
  <c r="AE43" i="7"/>
  <c r="AD43" i="7"/>
  <c r="AE42" i="7"/>
  <c r="AD42" i="7"/>
  <c r="AE41" i="7"/>
  <c r="AD41" i="7"/>
  <c r="AE40" i="7"/>
  <c r="AD40" i="7"/>
  <c r="AE36" i="7"/>
  <c r="AD36" i="7"/>
  <c r="AE35" i="7"/>
  <c r="AD35" i="7"/>
  <c r="AE34" i="7"/>
  <c r="AD34" i="7"/>
  <c r="AE33" i="7"/>
  <c r="AD33" i="7"/>
  <c r="AE39" i="7"/>
  <c r="AD39" i="7"/>
  <c r="AE32" i="7"/>
  <c r="AD32" i="7"/>
  <c r="AE29" i="7"/>
  <c r="AD29" i="7"/>
  <c r="AE28" i="7"/>
  <c r="AD28" i="7"/>
  <c r="AE27" i="7"/>
  <c r="AD27" i="7"/>
  <c r="AE26" i="7"/>
  <c r="AD26" i="7"/>
  <c r="AE25" i="7"/>
  <c r="AD25" i="7"/>
  <c r="AE22" i="7"/>
  <c r="AD22" i="7"/>
  <c r="AE21" i="7"/>
  <c r="AD21" i="7"/>
  <c r="AE20" i="7"/>
  <c r="AD20" i="7"/>
  <c r="AE19" i="7"/>
  <c r="AD19" i="7"/>
  <c r="AE18" i="7"/>
  <c r="AD18" i="7"/>
  <c r="AE15" i="7"/>
  <c r="AD15" i="7"/>
  <c r="AE14" i="7"/>
  <c r="AD14" i="7"/>
  <c r="AE13" i="7"/>
  <c r="AD13" i="7"/>
  <c r="AE12" i="7"/>
  <c r="AD12" i="7"/>
  <c r="AE11" i="7"/>
  <c r="AD11" i="7"/>
  <c r="AE85" i="7"/>
  <c r="AD85" i="7"/>
  <c r="AE84" i="7"/>
  <c r="AD84" i="7"/>
  <c r="AE83" i="7"/>
  <c r="AD83" i="7"/>
  <c r="AE82" i="7"/>
  <c r="AD82" i="7"/>
  <c r="AE78" i="7"/>
  <c r="AD78" i="7"/>
  <c r="AE77" i="7"/>
  <c r="AD77" i="7"/>
  <c r="AE76" i="7"/>
  <c r="AD76" i="7"/>
  <c r="AE75" i="7"/>
  <c r="AD75" i="7"/>
  <c r="AE71" i="7"/>
  <c r="AD71" i="7"/>
  <c r="AE70" i="7"/>
  <c r="AD70" i="7"/>
  <c r="AE69" i="7"/>
  <c r="AD69" i="7"/>
  <c r="AE68" i="7"/>
  <c r="AD68" i="7"/>
  <c r="AE67" i="7"/>
  <c r="AD67" i="7"/>
  <c r="AE74" i="7"/>
  <c r="AD74" i="7"/>
  <c r="AE81" i="7"/>
  <c r="AD81" i="7"/>
  <c r="AE8" i="7"/>
  <c r="AD8" i="7"/>
  <c r="AE7" i="7"/>
  <c r="AD7" i="7"/>
  <c r="AE6" i="7"/>
  <c r="AD6" i="7"/>
  <c r="AE5" i="7"/>
  <c r="AD5" i="7"/>
  <c r="AD4" i="7"/>
  <c r="AE4" i="7"/>
  <c r="AB43" i="7"/>
  <c r="AA43" i="7"/>
  <c r="Z43" i="7"/>
  <c r="AB42" i="7"/>
  <c r="AA42" i="7"/>
  <c r="Z42" i="7"/>
  <c r="AB41" i="7"/>
  <c r="AA41" i="7"/>
  <c r="Z41" i="7"/>
  <c r="AB40" i="7"/>
  <c r="AA40" i="7"/>
  <c r="Z40" i="7"/>
  <c r="AB39" i="7"/>
  <c r="AA39" i="7"/>
  <c r="Z39" i="7"/>
  <c r="AB36" i="7"/>
  <c r="AA36" i="7"/>
  <c r="Z36" i="7"/>
  <c r="AB35" i="7"/>
  <c r="AA35" i="7"/>
  <c r="Z35" i="7"/>
  <c r="AB34" i="7"/>
  <c r="AA34" i="7"/>
  <c r="Z34" i="7"/>
  <c r="AB33" i="7"/>
  <c r="AA33" i="7"/>
  <c r="Z33" i="7"/>
  <c r="AB32" i="7"/>
  <c r="AA32" i="7"/>
  <c r="Z32" i="7"/>
  <c r="AB29" i="7"/>
  <c r="AA29" i="7"/>
  <c r="Z29" i="7"/>
  <c r="AB28" i="7"/>
  <c r="AA28" i="7"/>
  <c r="Z28" i="7"/>
  <c r="AB27" i="7"/>
  <c r="AA27" i="7"/>
  <c r="Z27" i="7"/>
  <c r="AB26" i="7"/>
  <c r="AA26" i="7"/>
  <c r="Z26" i="7"/>
  <c r="AB25" i="7"/>
  <c r="AA25" i="7"/>
  <c r="Z25" i="7"/>
  <c r="AB22" i="7"/>
  <c r="AA22" i="7"/>
  <c r="Z22" i="7"/>
  <c r="AB21" i="7"/>
  <c r="AA21" i="7"/>
  <c r="Z21" i="7"/>
  <c r="AB20" i="7"/>
  <c r="AA20" i="7"/>
  <c r="Z20" i="7"/>
  <c r="AB19" i="7"/>
  <c r="AA19" i="7"/>
  <c r="Z19" i="7"/>
  <c r="AB18" i="7"/>
  <c r="AA18" i="7"/>
  <c r="Z18" i="7"/>
  <c r="AA15" i="7"/>
  <c r="Z15" i="7"/>
  <c r="AA14" i="7"/>
  <c r="Z14" i="7"/>
  <c r="AA13" i="7"/>
  <c r="Z13" i="7"/>
  <c r="AA12" i="7"/>
  <c r="Z12" i="7"/>
  <c r="AA11" i="7"/>
  <c r="Z11" i="7"/>
  <c r="AB8" i="7"/>
  <c r="AA8" i="7"/>
  <c r="Z8" i="7"/>
  <c r="AB7" i="7"/>
  <c r="AA7" i="7"/>
  <c r="Z7" i="7"/>
  <c r="AB6" i="7"/>
  <c r="AA6" i="7"/>
  <c r="Z6" i="7"/>
  <c r="AB5" i="7"/>
  <c r="AA5" i="7"/>
  <c r="Z5" i="7"/>
  <c r="AB50" i="7"/>
  <c r="AA50" i="7"/>
  <c r="Z50" i="7"/>
  <c r="AB49" i="7"/>
  <c r="AA49" i="7"/>
  <c r="Z49" i="7"/>
  <c r="AB48" i="7"/>
  <c r="AA48" i="7"/>
  <c r="Z48" i="7"/>
  <c r="AB47" i="7"/>
  <c r="AA47" i="7"/>
  <c r="Z47" i="7"/>
  <c r="AB46" i="7"/>
  <c r="AA46" i="7"/>
  <c r="Z46" i="7"/>
  <c r="AB57" i="7"/>
  <c r="AA57" i="7"/>
  <c r="Z57" i="7"/>
  <c r="AB56" i="7"/>
  <c r="AA56" i="7"/>
  <c r="Z56" i="7"/>
  <c r="AB55" i="7"/>
  <c r="AA55" i="7"/>
  <c r="Z55" i="7"/>
  <c r="AB54" i="7"/>
  <c r="AA54" i="7"/>
  <c r="Z54" i="7"/>
  <c r="AB53" i="7"/>
  <c r="AA53" i="7"/>
  <c r="Z53" i="7"/>
  <c r="AB64" i="7"/>
  <c r="AA64" i="7"/>
  <c r="Z64" i="7"/>
  <c r="AB63" i="7"/>
  <c r="AA63" i="7"/>
  <c r="Z63" i="7"/>
  <c r="AB62" i="7"/>
  <c r="AA62" i="7"/>
  <c r="Z62" i="7"/>
  <c r="AB61" i="7"/>
  <c r="AA61" i="7"/>
  <c r="Z61" i="7"/>
  <c r="AB60" i="7"/>
  <c r="AA60" i="7"/>
  <c r="Z60" i="7"/>
  <c r="AB71" i="7"/>
  <c r="AA71" i="7"/>
  <c r="Z71" i="7"/>
  <c r="AB70" i="7"/>
  <c r="AA70" i="7"/>
  <c r="Z70" i="7"/>
  <c r="AB69" i="7"/>
  <c r="AA69" i="7"/>
  <c r="Z69" i="7"/>
  <c r="AB68" i="7"/>
  <c r="AA68" i="7"/>
  <c r="Z68" i="7"/>
  <c r="AB67" i="7"/>
  <c r="AA67" i="7"/>
  <c r="Z67" i="7"/>
  <c r="AB78" i="7"/>
  <c r="AA78" i="7"/>
  <c r="Z78" i="7"/>
  <c r="AB77" i="7"/>
  <c r="AA77" i="7"/>
  <c r="Z77" i="7"/>
  <c r="AB76" i="7"/>
  <c r="AA76" i="7"/>
  <c r="Z76" i="7"/>
  <c r="AB75" i="7"/>
  <c r="AA75" i="7"/>
  <c r="Z75" i="7"/>
  <c r="AB74" i="7"/>
  <c r="AA74" i="7"/>
  <c r="Z74" i="7"/>
  <c r="AB85" i="7"/>
  <c r="AA85" i="7"/>
  <c r="Z85" i="7"/>
  <c r="AB84" i="7"/>
  <c r="AA84" i="7"/>
  <c r="Z84" i="7"/>
  <c r="AB83" i="7"/>
  <c r="AA83" i="7"/>
  <c r="Z83" i="7"/>
  <c r="AB82" i="7"/>
  <c r="AA82" i="7"/>
  <c r="Z82" i="7"/>
  <c r="AB81" i="7"/>
  <c r="AA81" i="7"/>
  <c r="Z81" i="7"/>
  <c r="AB4" i="7"/>
  <c r="AA4" i="7"/>
  <c r="Z4" i="7"/>
  <c r="X71" i="7"/>
  <c r="W71" i="7"/>
  <c r="V71" i="7"/>
  <c r="U71" i="7"/>
  <c r="X70" i="7"/>
  <c r="W70" i="7"/>
  <c r="V70" i="7"/>
  <c r="U70" i="7"/>
  <c r="X69" i="7"/>
  <c r="W69" i="7"/>
  <c r="V69" i="7"/>
  <c r="U69" i="7"/>
  <c r="X68" i="7"/>
  <c r="W68" i="7"/>
  <c r="V68" i="7"/>
  <c r="U68" i="7"/>
  <c r="X67" i="7"/>
  <c r="W67" i="7"/>
  <c r="V67" i="7"/>
  <c r="U67" i="7"/>
  <c r="X64" i="7"/>
  <c r="W64" i="7"/>
  <c r="V64" i="7"/>
  <c r="U64" i="7"/>
  <c r="X63" i="7"/>
  <c r="W63" i="7"/>
  <c r="V63" i="7"/>
  <c r="U63" i="7"/>
  <c r="X62" i="7"/>
  <c r="W62" i="7"/>
  <c r="V62" i="7"/>
  <c r="U62" i="7"/>
  <c r="X61" i="7"/>
  <c r="W61" i="7"/>
  <c r="V61" i="7"/>
  <c r="U61" i="7"/>
  <c r="X60" i="7"/>
  <c r="W60" i="7"/>
  <c r="V60" i="7"/>
  <c r="U60" i="7"/>
  <c r="X57" i="7"/>
  <c r="W57" i="7"/>
  <c r="V57" i="7"/>
  <c r="U57" i="7"/>
  <c r="X56" i="7"/>
  <c r="W56" i="7"/>
  <c r="V56" i="7"/>
  <c r="U56" i="7"/>
  <c r="X55" i="7"/>
  <c r="W55" i="7"/>
  <c r="V55" i="7"/>
  <c r="U55" i="7"/>
  <c r="X54" i="7"/>
  <c r="W54" i="7"/>
  <c r="V54" i="7"/>
  <c r="U54" i="7"/>
  <c r="X53" i="7"/>
  <c r="W53" i="7"/>
  <c r="V53" i="7"/>
  <c r="U53" i="7"/>
  <c r="X50" i="7"/>
  <c r="W50" i="7"/>
  <c r="V50" i="7"/>
  <c r="U50" i="7"/>
  <c r="X49" i="7"/>
  <c r="W49" i="7"/>
  <c r="V49" i="7"/>
  <c r="U49" i="7"/>
  <c r="X48" i="7"/>
  <c r="W48" i="7"/>
  <c r="V48" i="7"/>
  <c r="U48" i="7"/>
  <c r="X47" i="7"/>
  <c r="W47" i="7"/>
  <c r="V47" i="7"/>
  <c r="U47" i="7"/>
  <c r="X46" i="7"/>
  <c r="W46" i="7"/>
  <c r="V46" i="7"/>
  <c r="U46" i="7"/>
  <c r="X43" i="7"/>
  <c r="W43" i="7"/>
  <c r="V43" i="7"/>
  <c r="U43" i="7"/>
  <c r="X42" i="7"/>
  <c r="W42" i="7"/>
  <c r="V42" i="7"/>
  <c r="U42" i="7"/>
  <c r="X41" i="7"/>
  <c r="W41" i="7"/>
  <c r="V41" i="7"/>
  <c r="U41" i="7"/>
  <c r="X40" i="7"/>
  <c r="W40" i="7"/>
  <c r="V40" i="7"/>
  <c r="U40" i="7"/>
  <c r="X39" i="7"/>
  <c r="W39" i="7"/>
  <c r="V39" i="7"/>
  <c r="U39" i="7"/>
  <c r="X36" i="7"/>
  <c r="W36" i="7"/>
  <c r="V36" i="7"/>
  <c r="U36" i="7"/>
  <c r="X35" i="7"/>
  <c r="W35" i="7"/>
  <c r="V35" i="7"/>
  <c r="U35" i="7"/>
  <c r="X34" i="7"/>
  <c r="W34" i="7"/>
  <c r="V34" i="7"/>
  <c r="U34" i="7"/>
  <c r="X33" i="7"/>
  <c r="W33" i="7"/>
  <c r="V33" i="7"/>
  <c r="U33" i="7"/>
  <c r="X32" i="7"/>
  <c r="W32" i="7"/>
  <c r="V32" i="7"/>
  <c r="U32" i="7"/>
  <c r="W29" i="7"/>
  <c r="V29" i="7"/>
  <c r="U29" i="7"/>
  <c r="W28" i="7"/>
  <c r="V28" i="7"/>
  <c r="U28" i="7"/>
  <c r="W27" i="7"/>
  <c r="V27" i="7"/>
  <c r="U27" i="7"/>
  <c r="W26" i="7"/>
  <c r="V26" i="7"/>
  <c r="U26" i="7"/>
  <c r="W25" i="7"/>
  <c r="V25" i="7"/>
  <c r="U25" i="7"/>
  <c r="X22" i="7"/>
  <c r="W22" i="7"/>
  <c r="V22" i="7"/>
  <c r="U22" i="7"/>
  <c r="X21" i="7"/>
  <c r="W21" i="7"/>
  <c r="V21" i="7"/>
  <c r="U21" i="7"/>
  <c r="X20" i="7"/>
  <c r="W20" i="7"/>
  <c r="V20" i="7"/>
  <c r="U20" i="7"/>
  <c r="X19" i="7"/>
  <c r="W19" i="7"/>
  <c r="V19" i="7"/>
  <c r="U19" i="7"/>
  <c r="X18" i="7"/>
  <c r="W18" i="7"/>
  <c r="V18" i="7"/>
  <c r="U18" i="7"/>
  <c r="X15" i="7"/>
  <c r="W15" i="7"/>
  <c r="V15" i="7"/>
  <c r="U15" i="7"/>
  <c r="X14" i="7"/>
  <c r="W14" i="7"/>
  <c r="V14" i="7"/>
  <c r="U14" i="7"/>
  <c r="X13" i="7"/>
  <c r="W13" i="7"/>
  <c r="V13" i="7"/>
  <c r="U13" i="7"/>
  <c r="X12" i="7"/>
  <c r="W12" i="7"/>
  <c r="V12" i="7"/>
  <c r="U12" i="7"/>
  <c r="X11" i="7"/>
  <c r="W11" i="7"/>
  <c r="V11" i="7"/>
  <c r="U11" i="7"/>
  <c r="X78" i="7"/>
  <c r="W78" i="7"/>
  <c r="V78" i="7"/>
  <c r="U78" i="7"/>
  <c r="X77" i="7"/>
  <c r="W77" i="7"/>
  <c r="V77" i="7"/>
  <c r="U77" i="7"/>
  <c r="X76" i="7"/>
  <c r="W76" i="7"/>
  <c r="V76" i="7"/>
  <c r="U76" i="7"/>
  <c r="X75" i="7"/>
  <c r="W75" i="7"/>
  <c r="V75" i="7"/>
  <c r="U75" i="7"/>
  <c r="X74" i="7"/>
  <c r="W74" i="7"/>
  <c r="U74" i="7"/>
  <c r="V74" i="7"/>
  <c r="X85" i="7"/>
  <c r="W85" i="7"/>
  <c r="V85" i="7"/>
  <c r="U85" i="7"/>
  <c r="X84" i="7"/>
  <c r="W84" i="7"/>
  <c r="V84" i="7"/>
  <c r="U84" i="7"/>
  <c r="X83" i="7"/>
  <c r="W83" i="7"/>
  <c r="V83" i="7"/>
  <c r="U83" i="7"/>
  <c r="X82" i="7"/>
  <c r="W82" i="7"/>
  <c r="V82" i="7"/>
  <c r="U82" i="7"/>
  <c r="X81" i="7"/>
  <c r="W81" i="7"/>
  <c r="V81" i="7"/>
  <c r="U81" i="7"/>
  <c r="X8" i="7"/>
  <c r="W8" i="7"/>
  <c r="V8" i="7"/>
  <c r="U8" i="7"/>
  <c r="X7" i="7"/>
  <c r="W7" i="7"/>
  <c r="V7" i="7"/>
  <c r="U7" i="7"/>
  <c r="X6" i="7"/>
  <c r="W6" i="7"/>
  <c r="V6" i="7"/>
  <c r="U6" i="7"/>
  <c r="X5" i="7"/>
  <c r="W5" i="7"/>
  <c r="V5" i="7"/>
  <c r="U5" i="7"/>
  <c r="X4" i="7"/>
  <c r="W4" i="7"/>
  <c r="V4" i="7"/>
  <c r="U4" i="7"/>
  <c r="Q71" i="7"/>
  <c r="P71" i="7"/>
  <c r="O71" i="7"/>
  <c r="N71" i="7"/>
  <c r="Q70" i="7"/>
  <c r="P70" i="7"/>
  <c r="O70" i="7"/>
  <c r="N70" i="7"/>
  <c r="Q69" i="7"/>
  <c r="P69" i="7"/>
  <c r="O69" i="7"/>
  <c r="N69" i="7"/>
  <c r="Q68" i="7"/>
  <c r="P68" i="7"/>
  <c r="O68" i="7"/>
  <c r="N68" i="7"/>
  <c r="Q67" i="7"/>
  <c r="P67" i="7"/>
  <c r="O67" i="7"/>
  <c r="N67" i="7"/>
  <c r="Q78" i="7"/>
  <c r="P78" i="7"/>
  <c r="O78" i="7"/>
  <c r="N78" i="7"/>
  <c r="Q77" i="7"/>
  <c r="P77" i="7"/>
  <c r="O77" i="7"/>
  <c r="N77" i="7"/>
  <c r="Q76" i="7"/>
  <c r="P76" i="7"/>
  <c r="O76" i="7"/>
  <c r="N76" i="7"/>
  <c r="Q75" i="7"/>
  <c r="P75" i="7"/>
  <c r="O75" i="7"/>
  <c r="N75" i="7"/>
  <c r="Q74" i="7"/>
  <c r="P74" i="7"/>
  <c r="O74" i="7"/>
  <c r="N74" i="7"/>
  <c r="Q85" i="7"/>
  <c r="P85" i="7"/>
  <c r="O85" i="7"/>
  <c r="N85" i="7"/>
  <c r="Q84" i="7"/>
  <c r="P84" i="7"/>
  <c r="O84" i="7"/>
  <c r="N84" i="7"/>
  <c r="Q83" i="7"/>
  <c r="P83" i="7"/>
  <c r="O83" i="7"/>
  <c r="N83" i="7"/>
  <c r="Q82" i="7"/>
  <c r="P82" i="7"/>
  <c r="O82" i="7"/>
  <c r="N82" i="7"/>
  <c r="N81" i="7"/>
  <c r="Q81" i="7"/>
  <c r="P81" i="7"/>
  <c r="O81" i="7"/>
  <c r="Q64" i="7"/>
  <c r="P64" i="7"/>
  <c r="O64" i="7"/>
  <c r="N64" i="7"/>
  <c r="Q63" i="7"/>
  <c r="P63" i="7"/>
  <c r="O63" i="7"/>
  <c r="N63" i="7"/>
  <c r="Q62" i="7"/>
  <c r="P62" i="7"/>
  <c r="O62" i="7"/>
  <c r="N62" i="7"/>
  <c r="Q61" i="7"/>
  <c r="P61" i="7"/>
  <c r="O61" i="7"/>
  <c r="N61" i="7"/>
  <c r="Q60" i="7"/>
  <c r="P60" i="7"/>
  <c r="O60" i="7"/>
  <c r="N60" i="7"/>
  <c r="Q57" i="7"/>
  <c r="P57" i="7"/>
  <c r="O57" i="7"/>
  <c r="N57" i="7"/>
  <c r="Q56" i="7"/>
  <c r="P56" i="7"/>
  <c r="O56" i="7"/>
  <c r="N56" i="7"/>
  <c r="Q55" i="7"/>
  <c r="P55" i="7"/>
  <c r="O55" i="7"/>
  <c r="N55" i="7"/>
  <c r="Q54" i="7"/>
  <c r="P54" i="7"/>
  <c r="O54" i="7"/>
  <c r="N54" i="7"/>
  <c r="Q53" i="7"/>
  <c r="P53" i="7"/>
  <c r="O53" i="7"/>
  <c r="N53" i="7"/>
  <c r="Q50" i="7"/>
  <c r="P50" i="7"/>
  <c r="O50" i="7"/>
  <c r="N50" i="7"/>
  <c r="Q49" i="7"/>
  <c r="P49" i="7"/>
  <c r="O49" i="7"/>
  <c r="N49" i="7"/>
  <c r="Q48" i="7"/>
  <c r="P48" i="7"/>
  <c r="O48" i="7"/>
  <c r="N48" i="7"/>
  <c r="Q47" i="7"/>
  <c r="P47" i="7"/>
  <c r="O47" i="7"/>
  <c r="N47" i="7"/>
  <c r="Q46" i="7"/>
  <c r="P46" i="7"/>
  <c r="O46" i="7"/>
  <c r="N46" i="7"/>
  <c r="Q43" i="7"/>
  <c r="P43" i="7"/>
  <c r="O43" i="7"/>
  <c r="N43" i="7"/>
  <c r="Q42" i="7"/>
  <c r="P42" i="7"/>
  <c r="O42" i="7"/>
  <c r="N42" i="7"/>
  <c r="Q41" i="7"/>
  <c r="P41" i="7"/>
  <c r="O41" i="7"/>
  <c r="N41" i="7"/>
  <c r="Q40" i="7"/>
  <c r="P40" i="7"/>
  <c r="O40" i="7"/>
  <c r="N40" i="7"/>
  <c r="Q39" i="7"/>
  <c r="P39" i="7"/>
  <c r="O39" i="7"/>
  <c r="N39" i="7"/>
  <c r="Q36" i="7"/>
  <c r="P36" i="7"/>
  <c r="O36" i="7"/>
  <c r="N36" i="7"/>
  <c r="Q35" i="7"/>
  <c r="P35" i="7"/>
  <c r="O35" i="7"/>
  <c r="N35" i="7"/>
  <c r="Q34" i="7"/>
  <c r="P34" i="7"/>
  <c r="O34" i="7"/>
  <c r="N34" i="7"/>
  <c r="Q33" i="7"/>
  <c r="P33" i="7"/>
  <c r="O33" i="7"/>
  <c r="N33" i="7"/>
  <c r="Q32" i="7"/>
  <c r="P32" i="7"/>
  <c r="O32" i="7"/>
  <c r="N32" i="7"/>
  <c r="O29" i="7"/>
  <c r="N29" i="7"/>
  <c r="O28" i="7"/>
  <c r="N28" i="7"/>
  <c r="O27" i="7"/>
  <c r="N27" i="7"/>
  <c r="O26" i="7"/>
  <c r="N26" i="7"/>
  <c r="N25" i="7"/>
  <c r="P25" i="7"/>
  <c r="O25" i="7"/>
  <c r="Q22" i="7"/>
  <c r="P22" i="7"/>
  <c r="O22" i="7"/>
  <c r="N22" i="7"/>
  <c r="Q21" i="7"/>
  <c r="P21" i="7"/>
  <c r="O21" i="7"/>
  <c r="N21" i="7"/>
  <c r="Q20" i="7"/>
  <c r="P20" i="7"/>
  <c r="O20" i="7"/>
  <c r="N20" i="7"/>
  <c r="Q19" i="7"/>
  <c r="P19" i="7"/>
  <c r="O19" i="7"/>
  <c r="N19" i="7"/>
  <c r="Q18" i="7"/>
  <c r="P18" i="7"/>
  <c r="O18" i="7"/>
  <c r="N18" i="7"/>
  <c r="Q15" i="7"/>
  <c r="P15" i="7"/>
  <c r="O15" i="7"/>
  <c r="N15" i="7"/>
  <c r="Q14" i="7"/>
  <c r="P14" i="7"/>
  <c r="O14" i="7"/>
  <c r="N14" i="7"/>
  <c r="Q13" i="7"/>
  <c r="P13" i="7"/>
  <c r="O13" i="7"/>
  <c r="N13" i="7"/>
  <c r="Q12" i="7"/>
  <c r="P12" i="7"/>
  <c r="O12" i="7"/>
  <c r="N12" i="7"/>
  <c r="Q11" i="7"/>
  <c r="P11" i="7"/>
  <c r="O11" i="7"/>
  <c r="N11" i="7"/>
  <c r="Q8" i="7"/>
  <c r="P8" i="7"/>
  <c r="O8" i="7"/>
  <c r="N8" i="7"/>
  <c r="Q7" i="7"/>
  <c r="P7" i="7"/>
  <c r="O7" i="7"/>
  <c r="N7" i="7"/>
  <c r="Q6" i="7"/>
  <c r="P6" i="7"/>
  <c r="O6" i="7"/>
  <c r="N6" i="7"/>
  <c r="Q5" i="7"/>
  <c r="P5" i="7"/>
  <c r="O5" i="7"/>
  <c r="N5" i="7"/>
  <c r="Q4" i="7"/>
  <c r="P4" i="7"/>
  <c r="AW70" i="7" l="1"/>
  <c r="AW243" i="7" s="1"/>
  <c r="AU77" i="7"/>
  <c r="AU250" i="7" s="1"/>
  <c r="AU35" i="7"/>
  <c r="AU208" i="7" s="1"/>
  <c r="AU63" i="7"/>
  <c r="AU236" i="7" s="1"/>
  <c r="AU42" i="7"/>
  <c r="AU215" i="7" s="1"/>
  <c r="AW63" i="7"/>
  <c r="AW236" i="7" s="1"/>
  <c r="AW49" i="7"/>
  <c r="AW222" i="7" s="1"/>
  <c r="AU28" i="7"/>
  <c r="AU201" i="7" s="1"/>
  <c r="AU14" i="7"/>
  <c r="AU187" i="7" s="1"/>
  <c r="AU49" i="7"/>
  <c r="AU222" i="7" s="1"/>
  <c r="AU84" i="7"/>
  <c r="AU257" i="7" s="1"/>
  <c r="AU70" i="7"/>
  <c r="AU243" i="7" s="1"/>
  <c r="AU56" i="7"/>
  <c r="AU229" i="7" s="1"/>
  <c r="AU21" i="7"/>
  <c r="AU194" i="7" s="1"/>
  <c r="AU7" i="7"/>
  <c r="AU180" i="7" s="1"/>
  <c r="AW35" i="7"/>
  <c r="AW208" i="7" s="1"/>
  <c r="AW21" i="7"/>
  <c r="AW194" i="7" s="1"/>
  <c r="AW7" i="7"/>
  <c r="AW180" i="7" s="1"/>
  <c r="AW14" i="7"/>
  <c r="AW187" i="7" s="1"/>
  <c r="AW84" i="7"/>
  <c r="AW257" i="7" s="1"/>
  <c r="AW64" i="7"/>
  <c r="AW237" i="7" s="1"/>
  <c r="AW56" i="7"/>
  <c r="AW229" i="7" s="1"/>
  <c r="AW50" i="7"/>
  <c r="AW223" i="7" s="1"/>
  <c r="AW42" i="7"/>
  <c r="AW215" i="7" s="1"/>
  <c r="AW78" i="7"/>
  <c r="AW251" i="7" s="1"/>
  <c r="AW29" i="7"/>
  <c r="AW202" i="7" s="1"/>
  <c r="R13" i="7"/>
  <c r="R186" i="7" s="1"/>
  <c r="R19" i="7"/>
  <c r="R192" i="7" s="1"/>
  <c r="R33" i="7"/>
  <c r="R206" i="7" s="1"/>
  <c r="R39" i="7"/>
  <c r="R212" i="7" s="1"/>
  <c r="R47" i="7"/>
  <c r="R220" i="7" s="1"/>
  <c r="R55" i="7"/>
  <c r="R228" i="7" s="1"/>
  <c r="R61" i="7"/>
  <c r="R234" i="7" s="1"/>
  <c r="R83" i="7"/>
  <c r="R256" i="7" s="1"/>
  <c r="R75" i="7"/>
  <c r="R248" i="7" s="1"/>
  <c r="R69" i="7"/>
  <c r="R242" i="7" s="1"/>
  <c r="R11" i="7"/>
  <c r="R184" i="7" s="1"/>
  <c r="R27" i="7"/>
  <c r="R200" i="7" s="1"/>
  <c r="R12" i="7"/>
  <c r="R185" i="7" s="1"/>
  <c r="R40" i="7"/>
  <c r="R213" i="7" s="1"/>
  <c r="R54" i="7"/>
  <c r="R227" i="7" s="1"/>
  <c r="R74" i="7"/>
  <c r="R247" i="7" s="1"/>
  <c r="R25" i="7"/>
  <c r="R198" i="7" s="1"/>
  <c r="R81" i="7"/>
  <c r="R254" i="7" s="1"/>
  <c r="R20" i="7"/>
  <c r="R193" i="7" s="1"/>
  <c r="R32" i="7"/>
  <c r="R205" i="7" s="1"/>
  <c r="R48" i="7"/>
  <c r="R221" i="7" s="1"/>
  <c r="R6" i="7"/>
  <c r="R179" i="7" s="1"/>
  <c r="R18" i="7"/>
  <c r="R191" i="7" s="1"/>
  <c r="R26" i="7"/>
  <c r="R199" i="7" s="1"/>
  <c r="R34" i="7"/>
  <c r="R207" i="7" s="1"/>
  <c r="R46" i="7"/>
  <c r="R219" i="7" s="1"/>
  <c r="R60" i="7"/>
  <c r="R233" i="7" s="1"/>
  <c r="R62" i="7"/>
  <c r="R235" i="7" s="1"/>
  <c r="R82" i="7"/>
  <c r="R255" i="7" s="1"/>
  <c r="R76" i="7"/>
  <c r="R249" i="7" s="1"/>
  <c r="R68" i="7"/>
  <c r="R241" i="7" s="1"/>
  <c r="R5" i="7"/>
  <c r="R178" i="7" s="1"/>
  <c r="R41" i="7"/>
  <c r="R214" i="7" s="1"/>
  <c r="R53" i="7"/>
  <c r="R226" i="7" s="1"/>
  <c r="R67" i="7"/>
  <c r="R240" i="7" s="1"/>
  <c r="O4" i="7"/>
  <c r="N4" i="7"/>
  <c r="G64" i="7"/>
  <c r="F64" i="7"/>
  <c r="G63" i="7"/>
  <c r="F63" i="7"/>
  <c r="G62" i="7"/>
  <c r="F62" i="7"/>
  <c r="G61" i="7"/>
  <c r="F61" i="7"/>
  <c r="G60" i="7"/>
  <c r="F60" i="7"/>
  <c r="G57" i="7"/>
  <c r="F57" i="7"/>
  <c r="G56" i="7"/>
  <c r="F56" i="7"/>
  <c r="G55" i="7"/>
  <c r="F55" i="7"/>
  <c r="G54" i="7"/>
  <c r="F54" i="7"/>
  <c r="G53" i="7"/>
  <c r="F53" i="7"/>
  <c r="G50" i="7"/>
  <c r="F50" i="7"/>
  <c r="G49" i="7"/>
  <c r="F49" i="7"/>
  <c r="G48" i="7"/>
  <c r="F48" i="7"/>
  <c r="G47" i="7"/>
  <c r="F47" i="7"/>
  <c r="G46" i="7"/>
  <c r="F46" i="7"/>
  <c r="G43" i="7"/>
  <c r="F43" i="7"/>
  <c r="G42" i="7"/>
  <c r="F42" i="7"/>
  <c r="G41" i="7"/>
  <c r="F41" i="7"/>
  <c r="G40" i="7"/>
  <c r="F40" i="7"/>
  <c r="G39" i="7"/>
  <c r="F39" i="7"/>
  <c r="G36" i="7"/>
  <c r="F36" i="7"/>
  <c r="G35" i="7"/>
  <c r="F35" i="7"/>
  <c r="G34" i="7"/>
  <c r="F34" i="7"/>
  <c r="G33" i="7"/>
  <c r="F33" i="7"/>
  <c r="G32" i="7"/>
  <c r="F32" i="7"/>
  <c r="G29" i="7"/>
  <c r="F29" i="7"/>
  <c r="G28" i="7"/>
  <c r="F28" i="7"/>
  <c r="G27" i="7"/>
  <c r="F27" i="7"/>
  <c r="G26" i="7"/>
  <c r="F26" i="7"/>
  <c r="G25" i="7"/>
  <c r="F25" i="7"/>
  <c r="G22" i="7"/>
  <c r="F22" i="7"/>
  <c r="G21" i="7"/>
  <c r="F21" i="7"/>
  <c r="G20" i="7"/>
  <c r="F20" i="7"/>
  <c r="G19" i="7"/>
  <c r="F19" i="7"/>
  <c r="G18" i="7"/>
  <c r="F18" i="7"/>
  <c r="G15" i="7"/>
  <c r="F15" i="7"/>
  <c r="G14" i="7"/>
  <c r="F14" i="7"/>
  <c r="G13" i="7"/>
  <c r="F13" i="7"/>
  <c r="G12" i="7"/>
  <c r="F12" i="7"/>
  <c r="G71" i="7"/>
  <c r="F71" i="7"/>
  <c r="G70" i="7"/>
  <c r="F70" i="7"/>
  <c r="G69" i="7"/>
  <c r="F69" i="7"/>
  <c r="G68" i="7"/>
  <c r="F68" i="7"/>
  <c r="G67" i="7"/>
  <c r="F67" i="7"/>
  <c r="G78" i="7"/>
  <c r="F78" i="7"/>
  <c r="G77" i="7"/>
  <c r="F77" i="7"/>
  <c r="G76" i="7"/>
  <c r="F76" i="7"/>
  <c r="G75" i="7"/>
  <c r="F75" i="7"/>
  <c r="G74" i="7"/>
  <c r="F74" i="7"/>
  <c r="G85" i="7"/>
  <c r="F85" i="7"/>
  <c r="G84" i="7"/>
  <c r="F84" i="7"/>
  <c r="G83" i="7"/>
  <c r="F83" i="7"/>
  <c r="G82" i="7"/>
  <c r="F82" i="7"/>
  <c r="G81" i="7"/>
  <c r="F81" i="7"/>
  <c r="G11" i="7"/>
  <c r="F11" i="7"/>
  <c r="G8" i="7"/>
  <c r="F8" i="7"/>
  <c r="G7" i="7"/>
  <c r="F7" i="7"/>
  <c r="G6" i="7"/>
  <c r="F6" i="7"/>
  <c r="G5" i="7"/>
  <c r="F5" i="7"/>
  <c r="G4" i="7"/>
  <c r="F4" i="7"/>
  <c r="E85" i="7"/>
  <c r="E84" i="7"/>
  <c r="E83" i="7"/>
  <c r="E82" i="7"/>
  <c r="E81" i="7"/>
  <c r="E78" i="7"/>
  <c r="E77" i="7"/>
  <c r="E76" i="7"/>
  <c r="E75" i="7"/>
  <c r="E74" i="7"/>
  <c r="E71" i="7"/>
  <c r="E70" i="7"/>
  <c r="E69" i="7"/>
  <c r="E68" i="7"/>
  <c r="E67" i="7"/>
  <c r="E64" i="7"/>
  <c r="E63" i="7"/>
  <c r="E62" i="7"/>
  <c r="E61" i="7"/>
  <c r="E60" i="7"/>
  <c r="E57" i="7"/>
  <c r="E56" i="7"/>
  <c r="E55" i="7"/>
  <c r="E54" i="7"/>
  <c r="E53" i="7"/>
  <c r="E50" i="7"/>
  <c r="E49" i="7"/>
  <c r="E48" i="7"/>
  <c r="E47" i="7"/>
  <c r="E46" i="7"/>
  <c r="E43" i="7"/>
  <c r="E42" i="7"/>
  <c r="E41" i="7"/>
  <c r="E40" i="7"/>
  <c r="E39" i="7"/>
  <c r="E36" i="7"/>
  <c r="E35" i="7"/>
  <c r="E34" i="7"/>
  <c r="E33" i="7"/>
  <c r="E32" i="7"/>
  <c r="E29" i="7"/>
  <c r="E28" i="7"/>
  <c r="E27" i="7"/>
  <c r="E26" i="7"/>
  <c r="E25" i="7"/>
  <c r="E22" i="7"/>
  <c r="E21" i="7"/>
  <c r="E20" i="7"/>
  <c r="E19" i="7"/>
  <c r="E18" i="7"/>
  <c r="E15" i="7"/>
  <c r="E14" i="7"/>
  <c r="E13" i="7"/>
  <c r="E12" i="7"/>
  <c r="E11" i="7"/>
  <c r="E8" i="7"/>
  <c r="E7" i="7"/>
  <c r="E6" i="7"/>
  <c r="E5" i="7"/>
  <c r="E4" i="7"/>
  <c r="D85" i="7"/>
  <c r="D84" i="7"/>
  <c r="D83" i="7"/>
  <c r="D82" i="7"/>
  <c r="D81" i="7"/>
  <c r="D78" i="7"/>
  <c r="D77" i="7"/>
  <c r="D76" i="7"/>
  <c r="D75" i="7"/>
  <c r="D74" i="7"/>
  <c r="D71" i="7"/>
  <c r="D70" i="7"/>
  <c r="D69" i="7"/>
  <c r="D68" i="7"/>
  <c r="D67" i="7"/>
  <c r="D64" i="7"/>
  <c r="D63" i="7"/>
  <c r="D62" i="7"/>
  <c r="D61" i="7"/>
  <c r="D60" i="7"/>
  <c r="D57" i="7"/>
  <c r="D56" i="7"/>
  <c r="D55" i="7"/>
  <c r="D54" i="7"/>
  <c r="D53" i="7"/>
  <c r="D50" i="7"/>
  <c r="D49" i="7"/>
  <c r="D48" i="7"/>
  <c r="D47" i="7"/>
  <c r="D46" i="7"/>
  <c r="D43" i="7"/>
  <c r="D42" i="7"/>
  <c r="D41" i="7"/>
  <c r="D40" i="7"/>
  <c r="D39" i="7"/>
  <c r="D36" i="7"/>
  <c r="D35" i="7"/>
  <c r="D34" i="7"/>
  <c r="D33" i="7"/>
  <c r="D32" i="7"/>
  <c r="D29" i="7"/>
  <c r="D28" i="7"/>
  <c r="D27" i="7"/>
  <c r="D26" i="7"/>
  <c r="D25" i="7"/>
  <c r="D22" i="7"/>
  <c r="D21" i="7"/>
  <c r="D20" i="7"/>
  <c r="D19" i="7"/>
  <c r="D18" i="7"/>
  <c r="D15" i="7"/>
  <c r="D14" i="7"/>
  <c r="D13" i="7"/>
  <c r="D12" i="7"/>
  <c r="D11" i="7"/>
  <c r="D8" i="7"/>
  <c r="D7" i="7"/>
  <c r="D6" i="7"/>
  <c r="D5" i="7"/>
  <c r="D4" i="7"/>
  <c r="C85" i="7"/>
  <c r="C84" i="7"/>
  <c r="C83" i="7"/>
  <c r="C82" i="7"/>
  <c r="C81" i="7"/>
  <c r="C78" i="7"/>
  <c r="C77" i="7"/>
  <c r="C76" i="7"/>
  <c r="C75" i="7"/>
  <c r="C74" i="7"/>
  <c r="C71" i="7"/>
  <c r="C70" i="7"/>
  <c r="C69" i="7"/>
  <c r="C68" i="7"/>
  <c r="C67" i="7"/>
  <c r="C64" i="7"/>
  <c r="C63" i="7"/>
  <c r="C62" i="7"/>
  <c r="C61" i="7"/>
  <c r="C60" i="7"/>
  <c r="C57" i="7"/>
  <c r="C56" i="7"/>
  <c r="C55" i="7"/>
  <c r="C54" i="7"/>
  <c r="C53" i="7"/>
  <c r="C50" i="7"/>
  <c r="C49" i="7"/>
  <c r="C48" i="7"/>
  <c r="C47" i="7"/>
  <c r="C46" i="7"/>
  <c r="C43" i="7"/>
  <c r="C42" i="7"/>
  <c r="C41" i="7"/>
  <c r="C40" i="7"/>
  <c r="C39" i="7"/>
  <c r="C36" i="7"/>
  <c r="C35" i="7"/>
  <c r="C34" i="7"/>
  <c r="C33" i="7"/>
  <c r="C32" i="7"/>
  <c r="C29" i="7"/>
  <c r="C28" i="7"/>
  <c r="C27" i="7"/>
  <c r="C26" i="7"/>
  <c r="C25" i="7"/>
  <c r="C22" i="7"/>
  <c r="C21" i="7"/>
  <c r="C20" i="7"/>
  <c r="C19" i="7"/>
  <c r="C18" i="7"/>
  <c r="C15" i="7"/>
  <c r="C14" i="7"/>
  <c r="C13" i="7"/>
  <c r="C12" i="7"/>
  <c r="C11" i="7"/>
  <c r="C8" i="7"/>
  <c r="C7" i="7"/>
  <c r="C6" i="7"/>
  <c r="C5" i="7"/>
  <c r="C4" i="7"/>
  <c r="C177" i="7" s="1"/>
  <c r="CD83" i="7"/>
  <c r="CD256" i="7" s="1"/>
  <c r="CD82" i="7"/>
  <c r="CD255" i="7" s="1"/>
  <c r="CD81" i="7"/>
  <c r="CD254" i="7" s="1"/>
  <c r="CD76" i="7"/>
  <c r="CD249" i="7" s="1"/>
  <c r="CD75" i="7"/>
  <c r="CD248" i="7" s="1"/>
  <c r="CD74" i="7"/>
  <c r="CD247" i="7" s="1"/>
  <c r="CD69" i="7"/>
  <c r="CD242" i="7" s="1"/>
  <c r="CD68" i="7"/>
  <c r="CD241" i="7" s="1"/>
  <c r="CD67" i="7"/>
  <c r="CD240" i="7" s="1"/>
  <c r="CD62" i="7"/>
  <c r="CD235" i="7" s="1"/>
  <c r="CD61" i="7"/>
  <c r="CD234" i="7" s="1"/>
  <c r="CD60" i="7"/>
  <c r="CD233" i="7" s="1"/>
  <c r="CD55" i="7"/>
  <c r="CD228" i="7" s="1"/>
  <c r="CD54" i="7"/>
  <c r="CD227" i="7" s="1"/>
  <c r="CD53" i="7"/>
  <c r="CD226" i="7" s="1"/>
  <c r="CD48" i="7"/>
  <c r="CD221" i="7" s="1"/>
  <c r="CD47" i="7"/>
  <c r="CD220" i="7" s="1"/>
  <c r="CD46" i="7"/>
  <c r="CD219" i="7" s="1"/>
  <c r="CD41" i="7"/>
  <c r="CD214" i="7" s="1"/>
  <c r="CD40" i="7"/>
  <c r="CD213" i="7" s="1"/>
  <c r="CD39" i="7"/>
  <c r="CD212" i="7" s="1"/>
  <c r="CD34" i="7"/>
  <c r="CD207" i="7" s="1"/>
  <c r="CD33" i="7"/>
  <c r="CD206" i="7" s="1"/>
  <c r="CD32" i="7"/>
  <c r="CD205" i="7" s="1"/>
  <c r="CD27" i="7"/>
  <c r="CD200" i="7" s="1"/>
  <c r="CD26" i="7"/>
  <c r="CD199" i="7" s="1"/>
  <c r="CD25" i="7"/>
  <c r="CD198" i="7" s="1"/>
  <c r="CD20" i="7"/>
  <c r="CD193" i="7" s="1"/>
  <c r="CD19" i="7"/>
  <c r="CD192" i="7" s="1"/>
  <c r="CD18" i="7"/>
  <c r="CD191" i="7" s="1"/>
  <c r="CD13" i="7"/>
  <c r="CD186" i="7" s="1"/>
  <c r="CD12" i="7"/>
  <c r="CD185" i="7" s="1"/>
  <c r="CD11" i="7"/>
  <c r="CD184" i="7" s="1"/>
  <c r="CD6" i="7"/>
  <c r="CD179" i="7" s="1"/>
  <c r="CD5" i="7"/>
  <c r="CD178" i="7" s="1"/>
  <c r="CD4" i="7"/>
  <c r="CD177" i="7" s="1"/>
  <c r="CB83" i="7"/>
  <c r="CB256" i="7" s="1"/>
  <c r="CB82" i="7"/>
  <c r="CB255" i="7" s="1"/>
  <c r="CB81" i="7"/>
  <c r="CB254" i="7" s="1"/>
  <c r="CB76" i="7"/>
  <c r="CB249" i="7" s="1"/>
  <c r="CB75" i="7"/>
  <c r="CB248" i="7" s="1"/>
  <c r="CB74" i="7"/>
  <c r="CB247" i="7" s="1"/>
  <c r="CB69" i="7"/>
  <c r="CB242" i="7" s="1"/>
  <c r="CB68" i="7"/>
  <c r="CB241" i="7" s="1"/>
  <c r="CB67" i="7"/>
  <c r="CB240" i="7" s="1"/>
  <c r="CB62" i="7"/>
  <c r="CB235" i="7" s="1"/>
  <c r="CB61" i="7"/>
  <c r="CB234" i="7" s="1"/>
  <c r="CB60" i="7"/>
  <c r="CB233" i="7" s="1"/>
  <c r="CB55" i="7"/>
  <c r="CB228" i="7" s="1"/>
  <c r="CB54" i="7"/>
  <c r="CB227" i="7" s="1"/>
  <c r="CB53" i="7"/>
  <c r="CB226" i="7" s="1"/>
  <c r="CB48" i="7"/>
  <c r="CB221" i="7" s="1"/>
  <c r="CB47" i="7"/>
  <c r="CB220" i="7" s="1"/>
  <c r="CB46" i="7"/>
  <c r="CB219" i="7" s="1"/>
  <c r="CB41" i="7"/>
  <c r="CB214" i="7" s="1"/>
  <c r="CB40" i="7"/>
  <c r="CB213" i="7" s="1"/>
  <c r="CB39" i="7"/>
  <c r="CB212" i="7" s="1"/>
  <c r="CB34" i="7"/>
  <c r="CB207" i="7" s="1"/>
  <c r="CB33" i="7"/>
  <c r="CB206" i="7" s="1"/>
  <c r="CB32" i="7"/>
  <c r="CB205" i="7" s="1"/>
  <c r="CB27" i="7"/>
  <c r="CB200" i="7" s="1"/>
  <c r="CB26" i="7"/>
  <c r="CB199" i="7" s="1"/>
  <c r="CB25" i="7"/>
  <c r="CB198" i="7" s="1"/>
  <c r="CB20" i="7"/>
  <c r="CB193" i="7" s="1"/>
  <c r="CB19" i="7"/>
  <c r="CB192" i="7" s="1"/>
  <c r="CB18" i="7"/>
  <c r="CB191" i="7" s="1"/>
  <c r="CB13" i="7"/>
  <c r="CB186" i="7" s="1"/>
  <c r="CB12" i="7"/>
  <c r="CB185" i="7" s="1"/>
  <c r="CB11" i="7"/>
  <c r="CB184" i="7" s="1"/>
  <c r="CB6" i="7"/>
  <c r="CB179" i="7" s="1"/>
  <c r="CB5" i="7"/>
  <c r="CB178" i="7" s="1"/>
  <c r="CB4" i="7"/>
  <c r="CB177" i="7" s="1"/>
  <c r="BL83" i="7"/>
  <c r="BL256" i="7" s="1"/>
  <c r="BL82" i="7"/>
  <c r="BL255" i="7" s="1"/>
  <c r="BL81" i="7"/>
  <c r="BL254" i="7" s="1"/>
  <c r="BL76" i="7"/>
  <c r="BL249" i="7" s="1"/>
  <c r="BL75" i="7"/>
  <c r="BL248" i="7" s="1"/>
  <c r="BL74" i="7"/>
  <c r="BL247" i="7" s="1"/>
  <c r="BL69" i="7"/>
  <c r="BL242" i="7" s="1"/>
  <c r="BL68" i="7"/>
  <c r="BL241" i="7" s="1"/>
  <c r="BL67" i="7"/>
  <c r="BL240" i="7" s="1"/>
  <c r="BL62" i="7"/>
  <c r="BL235" i="7" s="1"/>
  <c r="BL61" i="7"/>
  <c r="BL234" i="7" s="1"/>
  <c r="BL60" i="7"/>
  <c r="BL233" i="7" s="1"/>
  <c r="BL55" i="7"/>
  <c r="BL228" i="7" s="1"/>
  <c r="BL54" i="7"/>
  <c r="BL227" i="7" s="1"/>
  <c r="BL53" i="7"/>
  <c r="BL226" i="7" s="1"/>
  <c r="BL48" i="7"/>
  <c r="BL221" i="7" s="1"/>
  <c r="BL47" i="7"/>
  <c r="BL220" i="7" s="1"/>
  <c r="BL46" i="7"/>
  <c r="BL219" i="7" s="1"/>
  <c r="BL41" i="7"/>
  <c r="BL214" i="7" s="1"/>
  <c r="BL40" i="7"/>
  <c r="BL213" i="7" s="1"/>
  <c r="BL39" i="7"/>
  <c r="BL212" i="7" s="1"/>
  <c r="BL34" i="7"/>
  <c r="BL207" i="7" s="1"/>
  <c r="BL33" i="7"/>
  <c r="BL206" i="7" s="1"/>
  <c r="BL32" i="7"/>
  <c r="BL205" i="7" s="1"/>
  <c r="BL27" i="7"/>
  <c r="BL200" i="7" s="1"/>
  <c r="BL26" i="7"/>
  <c r="BL199" i="7" s="1"/>
  <c r="BL25" i="7"/>
  <c r="BL198" i="7" s="1"/>
  <c r="BL20" i="7"/>
  <c r="BL193" i="7" s="1"/>
  <c r="BL19" i="7"/>
  <c r="BL192" i="7" s="1"/>
  <c r="BL18" i="7"/>
  <c r="BL191" i="7" s="1"/>
  <c r="BL13" i="7"/>
  <c r="BL186" i="7" s="1"/>
  <c r="BL12" i="7"/>
  <c r="BL185" i="7" s="1"/>
  <c r="BL11" i="7"/>
  <c r="BL184" i="7" s="1"/>
  <c r="BL6" i="7"/>
  <c r="BL179" i="7" s="1"/>
  <c r="BL5" i="7"/>
  <c r="BL178" i="7" s="1"/>
  <c r="BL4" i="7"/>
  <c r="BL177" i="7" s="1"/>
  <c r="AJ83" i="7"/>
  <c r="AJ256" i="7" s="1"/>
  <c r="AJ82" i="7"/>
  <c r="AJ255" i="7" s="1"/>
  <c r="AJ81" i="7"/>
  <c r="AJ254" i="7" s="1"/>
  <c r="AJ76" i="7"/>
  <c r="AJ249" i="7" s="1"/>
  <c r="AJ75" i="7"/>
  <c r="AJ248" i="7" s="1"/>
  <c r="AJ74" i="7"/>
  <c r="AJ247" i="7" s="1"/>
  <c r="AJ69" i="7"/>
  <c r="AJ242" i="7" s="1"/>
  <c r="AJ68" i="7"/>
  <c r="AJ241" i="7" s="1"/>
  <c r="AJ67" i="7"/>
  <c r="AJ240" i="7" s="1"/>
  <c r="AJ62" i="7"/>
  <c r="AJ235" i="7" s="1"/>
  <c r="AJ61" i="7"/>
  <c r="AJ234" i="7" s="1"/>
  <c r="AJ60" i="7"/>
  <c r="AJ233" i="7" s="1"/>
  <c r="AJ55" i="7"/>
  <c r="AJ228" i="7" s="1"/>
  <c r="AJ54" i="7"/>
  <c r="AJ227" i="7" s="1"/>
  <c r="AJ53" i="7"/>
  <c r="AJ226" i="7" s="1"/>
  <c r="AJ48" i="7"/>
  <c r="AJ221" i="7" s="1"/>
  <c r="AJ47" i="7"/>
  <c r="AJ220" i="7" s="1"/>
  <c r="AJ46" i="7"/>
  <c r="AJ219" i="7" s="1"/>
  <c r="AJ41" i="7"/>
  <c r="AJ214" i="7" s="1"/>
  <c r="AJ40" i="7"/>
  <c r="AJ213" i="7" s="1"/>
  <c r="AJ39" i="7"/>
  <c r="AJ212" i="7" s="1"/>
  <c r="AJ34" i="7"/>
  <c r="AJ207" i="7" s="1"/>
  <c r="AJ33" i="7"/>
  <c r="AJ206" i="7" s="1"/>
  <c r="AJ32" i="7"/>
  <c r="AJ205" i="7" s="1"/>
  <c r="AJ27" i="7"/>
  <c r="AJ200" i="7" s="1"/>
  <c r="AJ26" i="7"/>
  <c r="AJ199" i="7" s="1"/>
  <c r="AJ25" i="7"/>
  <c r="AJ198" i="7" s="1"/>
  <c r="AJ20" i="7"/>
  <c r="AJ193" i="7" s="1"/>
  <c r="AJ19" i="7"/>
  <c r="AJ192" i="7" s="1"/>
  <c r="AJ18" i="7"/>
  <c r="AJ191" i="7" s="1"/>
  <c r="AJ13" i="7"/>
  <c r="AJ186" i="7" s="1"/>
  <c r="AJ12" i="7"/>
  <c r="AJ185" i="7" s="1"/>
  <c r="AJ11" i="7"/>
  <c r="AJ184" i="7" s="1"/>
  <c r="AJ6" i="7"/>
  <c r="AJ179" i="7" s="1"/>
  <c r="AJ5" i="7"/>
  <c r="AJ178" i="7" s="1"/>
  <c r="AJ4" i="7"/>
  <c r="AJ177" i="7" s="1"/>
  <c r="AF83" i="7"/>
  <c r="AF256" i="7" s="1"/>
  <c r="AF82" i="7"/>
  <c r="AF255" i="7" s="1"/>
  <c r="AF81" i="7"/>
  <c r="AF254" i="7" s="1"/>
  <c r="AF76" i="7"/>
  <c r="AF249" i="7" s="1"/>
  <c r="AF75" i="7"/>
  <c r="AF248" i="7" s="1"/>
  <c r="AF74" i="7"/>
  <c r="AF247" i="7" s="1"/>
  <c r="AF69" i="7"/>
  <c r="AF242" i="7" s="1"/>
  <c r="AF68" i="7"/>
  <c r="AF241" i="7" s="1"/>
  <c r="AF67" i="7"/>
  <c r="AF240" i="7" s="1"/>
  <c r="AF62" i="7"/>
  <c r="AF235" i="7" s="1"/>
  <c r="AF61" i="7"/>
  <c r="AF234" i="7" s="1"/>
  <c r="AF60" i="7"/>
  <c r="AF233" i="7" s="1"/>
  <c r="AF55" i="7"/>
  <c r="AF228" i="7" s="1"/>
  <c r="AF54" i="7"/>
  <c r="AF227" i="7" s="1"/>
  <c r="AF53" i="7"/>
  <c r="AF226" i="7" s="1"/>
  <c r="AF48" i="7"/>
  <c r="AF221" i="7" s="1"/>
  <c r="AF47" i="7"/>
  <c r="AF220" i="7" s="1"/>
  <c r="AF46" i="7"/>
  <c r="AF219" i="7" s="1"/>
  <c r="AF41" i="7"/>
  <c r="AF214" i="7" s="1"/>
  <c r="AF40" i="7"/>
  <c r="AF213" i="7" s="1"/>
  <c r="AF39" i="7"/>
  <c r="AF212" i="7" s="1"/>
  <c r="AF34" i="7"/>
  <c r="AF207" i="7" s="1"/>
  <c r="AF33" i="7"/>
  <c r="AF206" i="7" s="1"/>
  <c r="AF32" i="7"/>
  <c r="AF205" i="7" s="1"/>
  <c r="AF27" i="7"/>
  <c r="AF200" i="7" s="1"/>
  <c r="AF26" i="7"/>
  <c r="AF199" i="7" s="1"/>
  <c r="AF25" i="7"/>
  <c r="AF198" i="7" s="1"/>
  <c r="AF20" i="7"/>
  <c r="AF193" i="7" s="1"/>
  <c r="AF19" i="7"/>
  <c r="AF192" i="7" s="1"/>
  <c r="AF18" i="7"/>
  <c r="AF191" i="7" s="1"/>
  <c r="AF13" i="7"/>
  <c r="AF186" i="7" s="1"/>
  <c r="AF12" i="7"/>
  <c r="AF185" i="7" s="1"/>
  <c r="AF11" i="7"/>
  <c r="AF184" i="7" s="1"/>
  <c r="AF6" i="7"/>
  <c r="AF179" i="7" s="1"/>
  <c r="AF5" i="7"/>
  <c r="AF178" i="7" s="1"/>
  <c r="AF4" i="7"/>
  <c r="AF177" i="7" s="1"/>
  <c r="AQ83" i="7"/>
  <c r="AQ256" i="7" s="1"/>
  <c r="AQ82" i="7"/>
  <c r="AQ255" i="7" s="1"/>
  <c r="AQ81" i="7"/>
  <c r="AQ254" i="7" s="1"/>
  <c r="AQ76" i="7"/>
  <c r="AQ249" i="7" s="1"/>
  <c r="AQ75" i="7"/>
  <c r="AQ248" i="7" s="1"/>
  <c r="AQ74" i="7"/>
  <c r="AQ247" i="7" s="1"/>
  <c r="AQ69" i="7"/>
  <c r="AQ242" i="7" s="1"/>
  <c r="AQ68" i="7"/>
  <c r="AQ241" i="7" s="1"/>
  <c r="AQ67" i="7"/>
  <c r="AQ240" i="7" s="1"/>
  <c r="AQ62" i="7"/>
  <c r="AQ235" i="7" s="1"/>
  <c r="AQ61" i="7"/>
  <c r="AQ234" i="7" s="1"/>
  <c r="AQ60" i="7"/>
  <c r="AQ233" i="7" s="1"/>
  <c r="AQ55" i="7"/>
  <c r="AQ228" i="7" s="1"/>
  <c r="AQ54" i="7"/>
  <c r="AQ227" i="7" s="1"/>
  <c r="AQ53" i="7"/>
  <c r="AQ226" i="7" s="1"/>
  <c r="AQ48" i="7"/>
  <c r="AQ221" i="7" s="1"/>
  <c r="AQ47" i="7"/>
  <c r="AQ220" i="7" s="1"/>
  <c r="AQ46" i="7"/>
  <c r="AQ219" i="7" s="1"/>
  <c r="AQ41" i="7"/>
  <c r="AQ214" i="7" s="1"/>
  <c r="AQ40" i="7"/>
  <c r="AQ213" i="7" s="1"/>
  <c r="AQ39" i="7"/>
  <c r="AQ212" i="7" s="1"/>
  <c r="AQ34" i="7"/>
  <c r="AQ207" i="7" s="1"/>
  <c r="AQ33" i="7"/>
  <c r="AQ206" i="7" s="1"/>
  <c r="AQ32" i="7"/>
  <c r="AQ205" i="7" s="1"/>
  <c r="AQ27" i="7"/>
  <c r="AQ200" i="7" s="1"/>
  <c r="AQ26" i="7"/>
  <c r="AQ199" i="7" s="1"/>
  <c r="AQ25" i="7"/>
  <c r="AQ198" i="7" s="1"/>
  <c r="AQ20" i="7"/>
  <c r="AQ193" i="7" s="1"/>
  <c r="AQ19" i="7"/>
  <c r="AQ192" i="7" s="1"/>
  <c r="AQ18" i="7"/>
  <c r="AQ191" i="7" s="1"/>
  <c r="AQ13" i="7"/>
  <c r="AQ186" i="7" s="1"/>
  <c r="AQ12" i="7"/>
  <c r="AQ185" i="7" s="1"/>
  <c r="AQ11" i="7"/>
  <c r="AQ184" i="7" s="1"/>
  <c r="AQ6" i="7"/>
  <c r="AQ179" i="7" s="1"/>
  <c r="AQ5" i="7"/>
  <c r="AQ178" i="7" s="1"/>
  <c r="AQ4" i="7"/>
  <c r="AQ177" i="7" s="1"/>
  <c r="T83" i="7"/>
  <c r="T256" i="7" s="1"/>
  <c r="AC83" i="7"/>
  <c r="AC256" i="7" s="1"/>
  <c r="T82" i="7"/>
  <c r="T255" i="7" s="1"/>
  <c r="AC82" i="7"/>
  <c r="AC255" i="7" s="1"/>
  <c r="T81" i="7"/>
  <c r="T254" i="7" s="1"/>
  <c r="AC81" i="7"/>
  <c r="AC254" i="7" s="1"/>
  <c r="T76" i="7"/>
  <c r="T249" i="7" s="1"/>
  <c r="AC76" i="7"/>
  <c r="AC249" i="7" s="1"/>
  <c r="T75" i="7"/>
  <c r="T248" i="7" s="1"/>
  <c r="AC75" i="7"/>
  <c r="AC248" i="7" s="1"/>
  <c r="T74" i="7"/>
  <c r="T247" i="7" s="1"/>
  <c r="AC74" i="7"/>
  <c r="AC247" i="7" s="1"/>
  <c r="T69" i="7"/>
  <c r="T242" i="7" s="1"/>
  <c r="AC69" i="7"/>
  <c r="AC242" i="7" s="1"/>
  <c r="T68" i="7"/>
  <c r="T241" i="7" s="1"/>
  <c r="AC68" i="7"/>
  <c r="AC241" i="7" s="1"/>
  <c r="T67" i="7"/>
  <c r="T240" i="7" s="1"/>
  <c r="AC67" i="7"/>
  <c r="AC240" i="7" s="1"/>
  <c r="T62" i="7"/>
  <c r="T235" i="7" s="1"/>
  <c r="AC62" i="7"/>
  <c r="AC235" i="7" s="1"/>
  <c r="T61" i="7"/>
  <c r="T234" i="7" s="1"/>
  <c r="AC61" i="7"/>
  <c r="AC234" i="7" s="1"/>
  <c r="T60" i="7"/>
  <c r="T233" i="7" s="1"/>
  <c r="AC60" i="7"/>
  <c r="AC233" i="7" s="1"/>
  <c r="T55" i="7"/>
  <c r="T228" i="7" s="1"/>
  <c r="AC55" i="7"/>
  <c r="AC228" i="7" s="1"/>
  <c r="T54" i="7"/>
  <c r="T227" i="7" s="1"/>
  <c r="AC54" i="7"/>
  <c r="AC227" i="7" s="1"/>
  <c r="T53" i="7"/>
  <c r="T226" i="7" s="1"/>
  <c r="AC53" i="7"/>
  <c r="AC226" i="7" s="1"/>
  <c r="T48" i="7"/>
  <c r="T221" i="7" s="1"/>
  <c r="AC48" i="7"/>
  <c r="AC221" i="7" s="1"/>
  <c r="T47" i="7"/>
  <c r="T220" i="7" s="1"/>
  <c r="AC47" i="7"/>
  <c r="AC220" i="7" s="1"/>
  <c r="T46" i="7"/>
  <c r="T219" i="7" s="1"/>
  <c r="AC46" i="7"/>
  <c r="AC219" i="7" s="1"/>
  <c r="T41" i="7"/>
  <c r="T214" i="7" s="1"/>
  <c r="AC41" i="7"/>
  <c r="AC214" i="7" s="1"/>
  <c r="T40" i="7"/>
  <c r="T213" i="7" s="1"/>
  <c r="AC40" i="7"/>
  <c r="AC213" i="7" s="1"/>
  <c r="T39" i="7"/>
  <c r="T212" i="7" s="1"/>
  <c r="AC39" i="7"/>
  <c r="AC212" i="7" s="1"/>
  <c r="T34" i="7"/>
  <c r="T207" i="7" s="1"/>
  <c r="AC34" i="7"/>
  <c r="AC207" i="7" s="1"/>
  <c r="T33" i="7"/>
  <c r="T206" i="7" s="1"/>
  <c r="AC33" i="7"/>
  <c r="AC206" i="7" s="1"/>
  <c r="T32" i="7"/>
  <c r="T205" i="7" s="1"/>
  <c r="AC32" i="7"/>
  <c r="AC205" i="7" s="1"/>
  <c r="T27" i="7"/>
  <c r="T200" i="7" s="1"/>
  <c r="AC27" i="7"/>
  <c r="AC200" i="7" s="1"/>
  <c r="T26" i="7"/>
  <c r="T199" i="7" s="1"/>
  <c r="AC26" i="7"/>
  <c r="AC199" i="7" s="1"/>
  <c r="T25" i="7"/>
  <c r="T198" i="7" s="1"/>
  <c r="AC25" i="7"/>
  <c r="AC198" i="7" s="1"/>
  <c r="T20" i="7"/>
  <c r="T193" i="7" s="1"/>
  <c r="AC20" i="7"/>
  <c r="AC193" i="7" s="1"/>
  <c r="T19" i="7"/>
  <c r="T192" i="7" s="1"/>
  <c r="AC19" i="7"/>
  <c r="AC192" i="7" s="1"/>
  <c r="T18" i="7"/>
  <c r="T191" i="7" s="1"/>
  <c r="AC18" i="7"/>
  <c r="AC191" i="7" s="1"/>
  <c r="T13" i="7"/>
  <c r="T186" i="7" s="1"/>
  <c r="AC13" i="7"/>
  <c r="AC186" i="7" s="1"/>
  <c r="T12" i="7"/>
  <c r="T185" i="7" s="1"/>
  <c r="AC12" i="7"/>
  <c r="AC185" i="7" s="1"/>
  <c r="T11" i="7"/>
  <c r="T184" i="7" s="1"/>
  <c r="AC11" i="7"/>
  <c r="AC184" i="7" s="1"/>
  <c r="T6" i="7"/>
  <c r="T179" i="7" s="1"/>
  <c r="T5" i="7"/>
  <c r="T178" i="7" s="1"/>
  <c r="T4" i="7"/>
  <c r="T177" i="7" s="1"/>
  <c r="AC6" i="7"/>
  <c r="AC179" i="7" s="1"/>
  <c r="AC5" i="7"/>
  <c r="AC178" i="7" s="1"/>
  <c r="AC4" i="7"/>
  <c r="AC177" i="7" s="1"/>
  <c r="Y83" i="7"/>
  <c r="Y256" i="7" s="1"/>
  <c r="Y82" i="7"/>
  <c r="Y255" i="7" s="1"/>
  <c r="Y81" i="7"/>
  <c r="Y254" i="7" s="1"/>
  <c r="Y76" i="7"/>
  <c r="Y249" i="7" s="1"/>
  <c r="Y75" i="7"/>
  <c r="Y248" i="7" s="1"/>
  <c r="Y74" i="7"/>
  <c r="Y247" i="7" s="1"/>
  <c r="Y69" i="7"/>
  <c r="Y242" i="7" s="1"/>
  <c r="Y68" i="7"/>
  <c r="Y241" i="7" s="1"/>
  <c r="Y67" i="7"/>
  <c r="Y240" i="7" s="1"/>
  <c r="Y62" i="7"/>
  <c r="Y235" i="7" s="1"/>
  <c r="Y61" i="7"/>
  <c r="Y234" i="7" s="1"/>
  <c r="Y60" i="7"/>
  <c r="Y233" i="7" s="1"/>
  <c r="Y55" i="7"/>
  <c r="Y228" i="7" s="1"/>
  <c r="Y54" i="7"/>
  <c r="Y227" i="7" s="1"/>
  <c r="Y53" i="7"/>
  <c r="Y226" i="7" s="1"/>
  <c r="Y48" i="7"/>
  <c r="Y221" i="7" s="1"/>
  <c r="Y47" i="7"/>
  <c r="Y220" i="7" s="1"/>
  <c r="Y46" i="7"/>
  <c r="Y219" i="7" s="1"/>
  <c r="Y41" i="7"/>
  <c r="Y214" i="7" s="1"/>
  <c r="Y40" i="7"/>
  <c r="Y213" i="7" s="1"/>
  <c r="Y39" i="7"/>
  <c r="Y212" i="7" s="1"/>
  <c r="Y34" i="7"/>
  <c r="Y207" i="7" s="1"/>
  <c r="Y33" i="7"/>
  <c r="Y206" i="7" s="1"/>
  <c r="Y32" i="7"/>
  <c r="Y205" i="7" s="1"/>
  <c r="Y27" i="7"/>
  <c r="Y200" i="7" s="1"/>
  <c r="Y26" i="7"/>
  <c r="Y199" i="7" s="1"/>
  <c r="Y25" i="7"/>
  <c r="Y198" i="7" s="1"/>
  <c r="Y20" i="7"/>
  <c r="Y193" i="7" s="1"/>
  <c r="Y19" i="7"/>
  <c r="Y192" i="7" s="1"/>
  <c r="Y18" i="7"/>
  <c r="Y191" i="7" s="1"/>
  <c r="Y13" i="7"/>
  <c r="Y186" i="7" s="1"/>
  <c r="Y12" i="7"/>
  <c r="Y185" i="7" s="1"/>
  <c r="Y11" i="7"/>
  <c r="Y184" i="7" s="1"/>
  <c r="Y6" i="7"/>
  <c r="Y179" i="7" s="1"/>
  <c r="Y5" i="7"/>
  <c r="Y178" i="7" s="1"/>
  <c r="Y4" i="7"/>
  <c r="Y177" i="7" s="1"/>
  <c r="AW71" i="7" l="1"/>
  <c r="AW244" i="7" s="1"/>
  <c r="AX61" i="7"/>
  <c r="AX234" i="7" s="1"/>
  <c r="AX62" i="7"/>
  <c r="AX235" i="7" s="1"/>
  <c r="AX18" i="7"/>
  <c r="AX191" i="7" s="1"/>
  <c r="AX54" i="7"/>
  <c r="AX227" i="7" s="1"/>
  <c r="AX39" i="7"/>
  <c r="AX212" i="7" s="1"/>
  <c r="AK75" i="7"/>
  <c r="AK248" i="7" s="1"/>
  <c r="AU22" i="7"/>
  <c r="AU195" i="7" s="1"/>
  <c r="AX81" i="7"/>
  <c r="AX254" i="7" s="1"/>
  <c r="AU57" i="7"/>
  <c r="AU230" i="7" s="1"/>
  <c r="AX26" i="7"/>
  <c r="AX199" i="7" s="1"/>
  <c r="AX34" i="7"/>
  <c r="AX207" i="7" s="1"/>
  <c r="AX74" i="7"/>
  <c r="AX247" i="7" s="1"/>
  <c r="AX19" i="7"/>
  <c r="AX192" i="7" s="1"/>
  <c r="AX55" i="7"/>
  <c r="AX228" i="7" s="1"/>
  <c r="AX75" i="7"/>
  <c r="AX248" i="7" s="1"/>
  <c r="AX4" i="7"/>
  <c r="AX177" i="7" s="1"/>
  <c r="AX20" i="7"/>
  <c r="AX193" i="7" s="1"/>
  <c r="AX40" i="7"/>
  <c r="AX213" i="7" s="1"/>
  <c r="AX60" i="7"/>
  <c r="AX233" i="7" s="1"/>
  <c r="AX76" i="7"/>
  <c r="AX249" i="7" s="1"/>
  <c r="AU50" i="7"/>
  <c r="AU223" i="7" s="1"/>
  <c r="AU43" i="7"/>
  <c r="AU216" i="7" s="1"/>
  <c r="AX25" i="7"/>
  <c r="AX198" i="7" s="1"/>
  <c r="AU64" i="7"/>
  <c r="AU237" i="7" s="1"/>
  <c r="AX11" i="7"/>
  <c r="AX184" i="7" s="1"/>
  <c r="AX27" i="7"/>
  <c r="AX200" i="7" s="1"/>
  <c r="AX47" i="7"/>
  <c r="AX220" i="7" s="1"/>
  <c r="AX67" i="7"/>
  <c r="AX240" i="7" s="1"/>
  <c r="AX83" i="7"/>
  <c r="AX256" i="7" s="1"/>
  <c r="AX41" i="7"/>
  <c r="AX214" i="7" s="1"/>
  <c r="AX6" i="7"/>
  <c r="AX179" i="7" s="1"/>
  <c r="AX46" i="7"/>
  <c r="AX219" i="7" s="1"/>
  <c r="AU15" i="7"/>
  <c r="AU188" i="7" s="1"/>
  <c r="AX12" i="7"/>
  <c r="AX185" i="7" s="1"/>
  <c r="AX32" i="7"/>
  <c r="AX205" i="7" s="1"/>
  <c r="AX48" i="7"/>
  <c r="AX221" i="7" s="1"/>
  <c r="AX68" i="7"/>
  <c r="AX241" i="7" s="1"/>
  <c r="AU71" i="7"/>
  <c r="AU244" i="7" s="1"/>
  <c r="AU29" i="7"/>
  <c r="AU202" i="7" s="1"/>
  <c r="AU36" i="7"/>
  <c r="AU209" i="7" s="1"/>
  <c r="AX5" i="7"/>
  <c r="AX178" i="7" s="1"/>
  <c r="AX82" i="7"/>
  <c r="AX255" i="7" s="1"/>
  <c r="AX13" i="7"/>
  <c r="AX186" i="7" s="1"/>
  <c r="AX33" i="7"/>
  <c r="AX206" i="7" s="1"/>
  <c r="AX53" i="7"/>
  <c r="AX226" i="7" s="1"/>
  <c r="AX69" i="7"/>
  <c r="AX242" i="7" s="1"/>
  <c r="AU78" i="7"/>
  <c r="AU251" i="7" s="1"/>
  <c r="AU8" i="7"/>
  <c r="AU181" i="7" s="1"/>
  <c r="AU85" i="7"/>
  <c r="AU258" i="7" s="1"/>
  <c r="BI11" i="7"/>
  <c r="BI184" i="7" s="1"/>
  <c r="BI27" i="7"/>
  <c r="BI200" i="7" s="1"/>
  <c r="BI47" i="7"/>
  <c r="BI220" i="7" s="1"/>
  <c r="BI67" i="7"/>
  <c r="BI240" i="7" s="1"/>
  <c r="BI83" i="7"/>
  <c r="BI256" i="7" s="1"/>
  <c r="AW85" i="7"/>
  <c r="AW258" i="7" s="1"/>
  <c r="BI32" i="7"/>
  <c r="BI205" i="7" s="1"/>
  <c r="AW15" i="7"/>
  <c r="AW188" i="7" s="1"/>
  <c r="BI13" i="7"/>
  <c r="BI186" i="7" s="1"/>
  <c r="BI53" i="7"/>
  <c r="BI226" i="7" s="1"/>
  <c r="AW43" i="7"/>
  <c r="AW216" i="7" s="1"/>
  <c r="BI68" i="7"/>
  <c r="BI241" i="7" s="1"/>
  <c r="BI18" i="7"/>
  <c r="BI191" i="7" s="1"/>
  <c r="BI34" i="7"/>
  <c r="BI207" i="7" s="1"/>
  <c r="BI74" i="7"/>
  <c r="BI247" i="7" s="1"/>
  <c r="AW8" i="7"/>
  <c r="AW181" i="7" s="1"/>
  <c r="BI39" i="7"/>
  <c r="BI212" i="7" s="1"/>
  <c r="BI55" i="7"/>
  <c r="BI228" i="7" s="1"/>
  <c r="BI4" i="7"/>
  <c r="BI177" i="7" s="1"/>
  <c r="BI20" i="7"/>
  <c r="BI193" i="7" s="1"/>
  <c r="BI40" i="7"/>
  <c r="BI213" i="7" s="1"/>
  <c r="BI60" i="7"/>
  <c r="BI233" i="7" s="1"/>
  <c r="BI76" i="7"/>
  <c r="BI249" i="7" s="1"/>
  <c r="AW57" i="7"/>
  <c r="AW230" i="7" s="1"/>
  <c r="BI5" i="7"/>
  <c r="BI178" i="7" s="1"/>
  <c r="BI25" i="7"/>
  <c r="BI198" i="7" s="1"/>
  <c r="BI41" i="7"/>
  <c r="BI214" i="7" s="1"/>
  <c r="BI81" i="7"/>
  <c r="BI254" i="7" s="1"/>
  <c r="AW22" i="7"/>
  <c r="AW195" i="7" s="1"/>
  <c r="BI6" i="7"/>
  <c r="BI179" i="7" s="1"/>
  <c r="BI26" i="7"/>
  <c r="BI199" i="7" s="1"/>
  <c r="BI46" i="7"/>
  <c r="BI219" i="7" s="1"/>
  <c r="BI62" i="7"/>
  <c r="BI235" i="7" s="1"/>
  <c r="BI82" i="7"/>
  <c r="BI255" i="7" s="1"/>
  <c r="AW36" i="7"/>
  <c r="AW209" i="7" s="1"/>
  <c r="BL28" i="7"/>
  <c r="BL201" i="7" s="1"/>
  <c r="BL84" i="7"/>
  <c r="BL257" i="7" s="1"/>
  <c r="CB56" i="7"/>
  <c r="CB229" i="7" s="1"/>
  <c r="CD63" i="7"/>
  <c r="CD236" i="7" s="1"/>
  <c r="H62" i="7"/>
  <c r="H235" i="7" s="1"/>
  <c r="BL70" i="7"/>
  <c r="BL243" i="7" s="1"/>
  <c r="BL14" i="7"/>
  <c r="BL187" i="7" s="1"/>
  <c r="BL7" i="7"/>
  <c r="BL180" i="7" s="1"/>
  <c r="R28" i="7"/>
  <c r="R201" i="7" s="1"/>
  <c r="R56" i="7"/>
  <c r="R229" i="7" s="1"/>
  <c r="R49" i="7"/>
  <c r="R222" i="7" s="1"/>
  <c r="M41" i="7"/>
  <c r="M214" i="7" s="1"/>
  <c r="R70" i="7"/>
  <c r="R243" i="7" s="1"/>
  <c r="R4" i="7"/>
  <c r="R177" i="7" s="1"/>
  <c r="R21" i="7"/>
  <c r="R194" i="7" s="1"/>
  <c r="R35" i="7"/>
  <c r="R208" i="7" s="1"/>
  <c r="R77" i="7"/>
  <c r="R250" i="7" s="1"/>
  <c r="R42" i="7"/>
  <c r="R215" i="7" s="1"/>
  <c r="R84" i="7"/>
  <c r="R257" i="7" s="1"/>
  <c r="R14" i="7"/>
  <c r="R187" i="7" s="1"/>
  <c r="R63" i="7"/>
  <c r="R236" i="7" s="1"/>
  <c r="AF28" i="7"/>
  <c r="AF201" i="7" s="1"/>
  <c r="AF84" i="7"/>
  <c r="AF257" i="7" s="1"/>
  <c r="H6" i="7"/>
  <c r="H179" i="7" s="1"/>
  <c r="H26" i="7"/>
  <c r="H199" i="7" s="1"/>
  <c r="H75" i="7"/>
  <c r="H248" i="7" s="1"/>
  <c r="M4" i="7"/>
  <c r="M177" i="7" s="1"/>
  <c r="M6" i="7"/>
  <c r="M179" i="7" s="1"/>
  <c r="M82" i="7"/>
  <c r="M255" i="7" s="1"/>
  <c r="M68" i="7"/>
  <c r="M241" i="7" s="1"/>
  <c r="M62" i="7"/>
  <c r="M235" i="7" s="1"/>
  <c r="M12" i="7"/>
  <c r="M185" i="7" s="1"/>
  <c r="M26" i="7"/>
  <c r="M199" i="7" s="1"/>
  <c r="M34" i="7"/>
  <c r="M207" i="7" s="1"/>
  <c r="M54" i="7"/>
  <c r="M227" i="7" s="1"/>
  <c r="CB63" i="7"/>
  <c r="CB236" i="7" s="1"/>
  <c r="M61" i="7"/>
  <c r="M234" i="7" s="1"/>
  <c r="CB49" i="7"/>
  <c r="CB222" i="7" s="1"/>
  <c r="CD21" i="7"/>
  <c r="CD194" i="7" s="1"/>
  <c r="CD77" i="7"/>
  <c r="CD250" i="7" s="1"/>
  <c r="CB70" i="7"/>
  <c r="CB243" i="7" s="1"/>
  <c r="CD14" i="7"/>
  <c r="CD187" i="7" s="1"/>
  <c r="H48" i="7"/>
  <c r="H221" i="7" s="1"/>
  <c r="H20" i="7"/>
  <c r="H193" i="7" s="1"/>
  <c r="M83" i="7"/>
  <c r="M256" i="7" s="1"/>
  <c r="M75" i="7"/>
  <c r="M248" i="7" s="1"/>
  <c r="Y35" i="7"/>
  <c r="Y208" i="7" s="1"/>
  <c r="H27" i="7"/>
  <c r="H200" i="7" s="1"/>
  <c r="H83" i="7"/>
  <c r="H256" i="7" s="1"/>
  <c r="H47" i="7"/>
  <c r="H220" i="7" s="1"/>
  <c r="M55" i="7"/>
  <c r="M228" i="7" s="1"/>
  <c r="H76" i="7"/>
  <c r="H249" i="7" s="1"/>
  <c r="H32" i="7"/>
  <c r="H205" i="7" s="1"/>
  <c r="H33" i="7"/>
  <c r="H206" i="7" s="1"/>
  <c r="M40" i="7"/>
  <c r="M213" i="7" s="1"/>
  <c r="H54" i="7"/>
  <c r="H227" i="7" s="1"/>
  <c r="H34" i="7"/>
  <c r="H207" i="7" s="1"/>
  <c r="M76" i="7"/>
  <c r="M249" i="7" s="1"/>
  <c r="H40" i="7"/>
  <c r="H213" i="7" s="1"/>
  <c r="M20" i="7"/>
  <c r="M193" i="7" s="1"/>
  <c r="M48" i="7"/>
  <c r="M221" i="7" s="1"/>
  <c r="H69" i="7"/>
  <c r="H242" i="7" s="1"/>
  <c r="H19" i="7"/>
  <c r="H192" i="7" s="1"/>
  <c r="M5" i="7"/>
  <c r="M178" i="7" s="1"/>
  <c r="M19" i="7"/>
  <c r="M192" i="7" s="1"/>
  <c r="M27" i="7"/>
  <c r="M200" i="7" s="1"/>
  <c r="M33" i="7"/>
  <c r="M206" i="7" s="1"/>
  <c r="M47" i="7"/>
  <c r="M220" i="7" s="1"/>
  <c r="M13" i="7"/>
  <c r="M186" i="7" s="1"/>
  <c r="M69" i="7"/>
  <c r="M242" i="7" s="1"/>
  <c r="M53" i="7"/>
  <c r="M226" i="7" s="1"/>
  <c r="M46" i="7"/>
  <c r="M219" i="7" s="1"/>
  <c r="M39" i="7"/>
  <c r="M212" i="7" s="1"/>
  <c r="M32" i="7"/>
  <c r="M205" i="7" s="1"/>
  <c r="M25" i="7"/>
  <c r="M198" i="7" s="1"/>
  <c r="M18" i="7"/>
  <c r="M191" i="7" s="1"/>
  <c r="M11" i="7"/>
  <c r="M184" i="7" s="1"/>
  <c r="M60" i="7"/>
  <c r="M233" i="7" s="1"/>
  <c r="M67" i="7"/>
  <c r="M240" i="7" s="1"/>
  <c r="M74" i="7"/>
  <c r="M247" i="7" s="1"/>
  <c r="M81" i="7"/>
  <c r="M254" i="7" s="1"/>
  <c r="H61" i="7"/>
  <c r="H234" i="7" s="1"/>
  <c r="H55" i="7"/>
  <c r="H228" i="7" s="1"/>
  <c r="H41" i="7"/>
  <c r="H214" i="7" s="1"/>
  <c r="H13" i="7"/>
  <c r="H186" i="7" s="1"/>
  <c r="H12" i="7"/>
  <c r="H185" i="7" s="1"/>
  <c r="H68" i="7"/>
  <c r="H241" i="7" s="1"/>
  <c r="H74" i="7"/>
  <c r="H247" i="7" s="1"/>
  <c r="H67" i="7"/>
  <c r="H240" i="7" s="1"/>
  <c r="H5" i="7"/>
  <c r="H178" i="7" s="1"/>
  <c r="H25" i="7"/>
  <c r="H198" i="7" s="1"/>
  <c r="H82" i="7"/>
  <c r="H255" i="7" s="1"/>
  <c r="H81" i="7"/>
  <c r="H254" i="7" s="1"/>
  <c r="H60" i="7"/>
  <c r="H233" i="7" s="1"/>
  <c r="H53" i="7"/>
  <c r="H226" i="7" s="1"/>
  <c r="H46" i="7"/>
  <c r="H219" i="7" s="1"/>
  <c r="H39" i="7"/>
  <c r="H212" i="7" s="1"/>
  <c r="H18" i="7"/>
  <c r="H191" i="7" s="1"/>
  <c r="H11" i="7"/>
  <c r="H184" i="7" s="1"/>
  <c r="H4" i="7"/>
  <c r="H177" i="7" s="1"/>
  <c r="CB84" i="7"/>
  <c r="CB257" i="7" s="1"/>
  <c r="CD56" i="7"/>
  <c r="CD229" i="7" s="1"/>
  <c r="T56" i="7"/>
  <c r="T229" i="7" s="1"/>
  <c r="BL77" i="7"/>
  <c r="BL250" i="7" s="1"/>
  <c r="AQ56" i="7"/>
  <c r="AQ229" i="7" s="1"/>
  <c r="AF56" i="7"/>
  <c r="AF229" i="7" s="1"/>
  <c r="CD7" i="7"/>
  <c r="CD180" i="7" s="1"/>
  <c r="AJ70" i="7"/>
  <c r="AJ243" i="7" s="1"/>
  <c r="BL49" i="7"/>
  <c r="BL222" i="7" s="1"/>
  <c r="CB21" i="7"/>
  <c r="CB194" i="7" s="1"/>
  <c r="CD28" i="7"/>
  <c r="CD201" i="7" s="1"/>
  <c r="AQ21" i="7"/>
  <c r="AQ194" i="7" s="1"/>
  <c r="BL63" i="7"/>
  <c r="BL236" i="7" s="1"/>
  <c r="CD35" i="7"/>
  <c r="CD208" i="7" s="1"/>
  <c r="CB35" i="7"/>
  <c r="CB208" i="7" s="1"/>
  <c r="T35" i="7"/>
  <c r="T208" i="7" s="1"/>
  <c r="T7" i="7"/>
  <c r="T180" i="7" s="1"/>
  <c r="T63" i="7"/>
  <c r="T236" i="7" s="1"/>
  <c r="AF49" i="7"/>
  <c r="AF222" i="7" s="1"/>
  <c r="CB42" i="7"/>
  <c r="CB215" i="7" s="1"/>
  <c r="CB77" i="7"/>
  <c r="CB250" i="7" s="1"/>
  <c r="T28" i="7"/>
  <c r="T201" i="7" s="1"/>
  <c r="AC84" i="7"/>
  <c r="AC257" i="7" s="1"/>
  <c r="AQ35" i="7"/>
  <c r="AQ208" i="7" s="1"/>
  <c r="AF35" i="7"/>
  <c r="AF208" i="7" s="1"/>
  <c r="AJ7" i="7"/>
  <c r="AJ180" i="7" s="1"/>
  <c r="CB7" i="7"/>
  <c r="CB180" i="7" s="1"/>
  <c r="CD70" i="7"/>
  <c r="CD243" i="7" s="1"/>
  <c r="CD42" i="7"/>
  <c r="CD215" i="7" s="1"/>
  <c r="CD49" i="7"/>
  <c r="CD222" i="7" s="1"/>
  <c r="CD84" i="7"/>
  <c r="CD257" i="7" s="1"/>
  <c r="CB28" i="7"/>
  <c r="CB201" i="7" s="1"/>
  <c r="CB14" i="7"/>
  <c r="CB187" i="7" s="1"/>
  <c r="BL85" i="7"/>
  <c r="BL258" i="7" s="1"/>
  <c r="BL21" i="7"/>
  <c r="BL194" i="7" s="1"/>
  <c r="BL42" i="7"/>
  <c r="BL215" i="7" s="1"/>
  <c r="AJ84" i="7"/>
  <c r="AJ257" i="7" s="1"/>
  <c r="AF21" i="7"/>
  <c r="AF194" i="7" s="1"/>
  <c r="AC63" i="7"/>
  <c r="AC236" i="7" s="1"/>
  <c r="AC28" i="7"/>
  <c r="AC201" i="7" s="1"/>
  <c r="R7" i="7"/>
  <c r="R180" i="7" s="1"/>
  <c r="Y7" i="7"/>
  <c r="Y180" i="7" s="1"/>
  <c r="AQ70" i="7"/>
  <c r="AQ243" i="7" s="1"/>
  <c r="AF14" i="7"/>
  <c r="AF187" i="7" s="1"/>
  <c r="AF70" i="7"/>
  <c r="AF243" i="7" s="1"/>
  <c r="AJ42" i="7"/>
  <c r="AJ215" i="7" s="1"/>
  <c r="BI61" i="7"/>
  <c r="BI234" i="7" s="1"/>
  <c r="BL56" i="7"/>
  <c r="BL229" i="7" s="1"/>
  <c r="BI54" i="7"/>
  <c r="BI227" i="7" s="1"/>
  <c r="AC49" i="7"/>
  <c r="AC222" i="7" s="1"/>
  <c r="AC7" i="7"/>
  <c r="AC180" i="7" s="1"/>
  <c r="T14" i="7"/>
  <c r="T187" i="7" s="1"/>
  <c r="AQ42" i="7"/>
  <c r="AQ215" i="7" s="1"/>
  <c r="AC14" i="7"/>
  <c r="AC187" i="7" s="1"/>
  <c r="AQ7" i="7"/>
  <c r="AQ180" i="7" s="1"/>
  <c r="AQ63" i="7"/>
  <c r="AQ236" i="7" s="1"/>
  <c r="BL35" i="7"/>
  <c r="BL208" i="7" s="1"/>
  <c r="BI69" i="7"/>
  <c r="BI242" i="7" s="1"/>
  <c r="BI75" i="7"/>
  <c r="BI248" i="7" s="1"/>
  <c r="BI48" i="7"/>
  <c r="BI221" i="7" s="1"/>
  <c r="BI33" i="7"/>
  <c r="BI206" i="7" s="1"/>
  <c r="BI12" i="7"/>
  <c r="BI185" i="7" s="1"/>
  <c r="BI19" i="7"/>
  <c r="BI192" i="7" s="1"/>
  <c r="AJ28" i="7"/>
  <c r="AJ201" i="7" s="1"/>
  <c r="AF29" i="7"/>
  <c r="AF202" i="7" s="1"/>
  <c r="T49" i="7"/>
  <c r="T222" i="7" s="1"/>
  <c r="AC77" i="7"/>
  <c r="AC250" i="7" s="1"/>
  <c r="AQ14" i="7"/>
  <c r="AQ187" i="7" s="1"/>
  <c r="AQ84" i="7"/>
  <c r="AQ257" i="7" s="1"/>
  <c r="AC21" i="7"/>
  <c r="AC194" i="7" s="1"/>
  <c r="T70" i="7"/>
  <c r="T243" i="7" s="1"/>
  <c r="AJ21" i="7"/>
  <c r="AJ194" i="7" s="1"/>
  <c r="AJ56" i="7"/>
  <c r="AJ229" i="7" s="1"/>
  <c r="AC35" i="7"/>
  <c r="AC208" i="7" s="1"/>
  <c r="T21" i="7"/>
  <c r="T194" i="7" s="1"/>
  <c r="AC56" i="7"/>
  <c r="AC229" i="7" s="1"/>
  <c r="AJ77" i="7"/>
  <c r="AJ250" i="7" s="1"/>
  <c r="AQ28" i="7"/>
  <c r="AQ201" i="7" s="1"/>
  <c r="AQ77" i="7"/>
  <c r="AQ250" i="7" s="1"/>
  <c r="AF7" i="7"/>
  <c r="AF180" i="7" s="1"/>
  <c r="AF42" i="7"/>
  <c r="AF215" i="7" s="1"/>
  <c r="AF77" i="7"/>
  <c r="AF250" i="7" s="1"/>
  <c r="AJ63" i="7"/>
  <c r="AJ236" i="7" s="1"/>
  <c r="AC42" i="7"/>
  <c r="AC215" i="7" s="1"/>
  <c r="T84" i="7"/>
  <c r="T257" i="7" s="1"/>
  <c r="AJ35" i="7"/>
  <c r="AJ208" i="7" s="1"/>
  <c r="AJ49" i="7"/>
  <c r="AJ222" i="7" s="1"/>
  <c r="Y84" i="7"/>
  <c r="Y257" i="7" s="1"/>
  <c r="T42" i="7"/>
  <c r="T215" i="7" s="1"/>
  <c r="AC70" i="7"/>
  <c r="AC243" i="7" s="1"/>
  <c r="T77" i="7"/>
  <c r="T250" i="7" s="1"/>
  <c r="AQ49" i="7"/>
  <c r="AQ222" i="7" s="1"/>
  <c r="AF63" i="7"/>
  <c r="AF236" i="7" s="1"/>
  <c r="AJ14" i="7"/>
  <c r="AJ187" i="7" s="1"/>
  <c r="Y14" i="7"/>
  <c r="Y187" i="7" s="1"/>
  <c r="Y21" i="7"/>
  <c r="Y194" i="7" s="1"/>
  <c r="Y56" i="7"/>
  <c r="Y229" i="7" s="1"/>
  <c r="Y77" i="7"/>
  <c r="Y250" i="7" s="1"/>
  <c r="Y42" i="7"/>
  <c r="Y215" i="7" s="1"/>
  <c r="Y63" i="7"/>
  <c r="Y236" i="7" s="1"/>
  <c r="Y70" i="7"/>
  <c r="Y243" i="7" s="1"/>
  <c r="Y28" i="7"/>
  <c r="Y201" i="7" s="1"/>
  <c r="Y49" i="7"/>
  <c r="Y222" i="7" s="1"/>
  <c r="D16" i="4"/>
  <c r="D15" i="4"/>
  <c r="D14" i="4"/>
  <c r="D22" i="3"/>
  <c r="AK62" i="7" l="1"/>
  <c r="AK235" i="7" s="1"/>
  <c r="AK53" i="7"/>
  <c r="AK226" i="7" s="1"/>
  <c r="AK82" i="7"/>
  <c r="AK255" i="7" s="1"/>
  <c r="AK60" i="7"/>
  <c r="AK233" i="7" s="1"/>
  <c r="AK5" i="7"/>
  <c r="AK178" i="7" s="1"/>
  <c r="AK68" i="7"/>
  <c r="AK241" i="7" s="1"/>
  <c r="AK47" i="7"/>
  <c r="AK220" i="7" s="1"/>
  <c r="AK67" i="7"/>
  <c r="AK240" i="7" s="1"/>
  <c r="AK54" i="7"/>
  <c r="AK227" i="7" s="1"/>
  <c r="AK12" i="7"/>
  <c r="AK185" i="7" s="1"/>
  <c r="AX70" i="7"/>
  <c r="AX243" i="7" s="1"/>
  <c r="AX63" i="7"/>
  <c r="AX236" i="7" s="1"/>
  <c r="AX35" i="7"/>
  <c r="AX208" i="7" s="1"/>
  <c r="AK18" i="7"/>
  <c r="AK191" i="7" s="1"/>
  <c r="AK40" i="7"/>
  <c r="AK213" i="7" s="1"/>
  <c r="AK25" i="7"/>
  <c r="AK198" i="7" s="1"/>
  <c r="AX28" i="7"/>
  <c r="AX201" i="7" s="1"/>
  <c r="AX7" i="7"/>
  <c r="AX180" i="7" s="1"/>
  <c r="AX84" i="7"/>
  <c r="AX257" i="7" s="1"/>
  <c r="AX21" i="7"/>
  <c r="AX194" i="7" s="1"/>
  <c r="AK74" i="7"/>
  <c r="AK247" i="7" s="1"/>
  <c r="AK13" i="7"/>
  <c r="AK186" i="7" s="1"/>
  <c r="AK48" i="7"/>
  <c r="AK221" i="7" s="1"/>
  <c r="AK6" i="7"/>
  <c r="AK179" i="7" s="1"/>
  <c r="AK27" i="7"/>
  <c r="AK200" i="7" s="1"/>
  <c r="AK46" i="7"/>
  <c r="AK219" i="7" s="1"/>
  <c r="AK39" i="7"/>
  <c r="AK212" i="7" s="1"/>
  <c r="AK33" i="7"/>
  <c r="AK206" i="7" s="1"/>
  <c r="AK55" i="7"/>
  <c r="AK228" i="7" s="1"/>
  <c r="AX49" i="7"/>
  <c r="AX222" i="7" s="1"/>
  <c r="AX14" i="7"/>
  <c r="AX187" i="7" s="1"/>
  <c r="AX42" i="7"/>
  <c r="AX215" i="7" s="1"/>
  <c r="AK20" i="7"/>
  <c r="AK193" i="7" s="1"/>
  <c r="AK41" i="7"/>
  <c r="AK214" i="7" s="1"/>
  <c r="AK69" i="7"/>
  <c r="AK242" i="7" s="1"/>
  <c r="AK26" i="7"/>
  <c r="AK199" i="7" s="1"/>
  <c r="AK32" i="7"/>
  <c r="AK205" i="7" s="1"/>
  <c r="AK83" i="7"/>
  <c r="AK256" i="7" s="1"/>
  <c r="AK61" i="7"/>
  <c r="AK234" i="7" s="1"/>
  <c r="AK76" i="7"/>
  <c r="AK249" i="7" s="1"/>
  <c r="AK4" i="7"/>
  <c r="AK177" i="7" s="1"/>
  <c r="AK19" i="7"/>
  <c r="AK192" i="7" s="1"/>
  <c r="AX77" i="7"/>
  <c r="AX250" i="7" s="1"/>
  <c r="AK81" i="7"/>
  <c r="AK254" i="7" s="1"/>
  <c r="AX56" i="7"/>
  <c r="AX229" i="7" s="1"/>
  <c r="AK34" i="7"/>
  <c r="AK207" i="7" s="1"/>
  <c r="AK11" i="7"/>
  <c r="AK184" i="7" s="1"/>
  <c r="CE76" i="7"/>
  <c r="CE249" i="7" s="1"/>
  <c r="CE75" i="7"/>
  <c r="CE248" i="7" s="1"/>
  <c r="CE60" i="7"/>
  <c r="CE233" i="7" s="1"/>
  <c r="CE55" i="7"/>
  <c r="CE228" i="7" s="1"/>
  <c r="CE53" i="7"/>
  <c r="CE226" i="7" s="1"/>
  <c r="CE62" i="7"/>
  <c r="CE235" i="7" s="1"/>
  <c r="CE26" i="7"/>
  <c r="CE199" i="7" s="1"/>
  <c r="CE11" i="7"/>
  <c r="CE184" i="7" s="1"/>
  <c r="CE12" i="7"/>
  <c r="CE185" i="7" s="1"/>
  <c r="CE20" i="7"/>
  <c r="CE193" i="7" s="1"/>
  <c r="AJ22" i="7"/>
  <c r="AJ195" i="7" s="1"/>
  <c r="BL43" i="7"/>
  <c r="BL216" i="7" s="1"/>
  <c r="CB15" i="7"/>
  <c r="CB188" i="7" s="1"/>
  <c r="T29" i="7"/>
  <c r="T202" i="7" s="1"/>
  <c r="BL50" i="7"/>
  <c r="BL223" i="7" s="1"/>
  <c r="Y36" i="7"/>
  <c r="Y209" i="7" s="1"/>
  <c r="AF85" i="7"/>
  <c r="AF258" i="7" s="1"/>
  <c r="Y29" i="7"/>
  <c r="Y202" i="7" s="1"/>
  <c r="Y15" i="7"/>
  <c r="Y188" i="7" s="1"/>
  <c r="AQ50" i="7"/>
  <c r="AJ36" i="7"/>
  <c r="AJ209" i="7" s="1"/>
  <c r="AF78" i="7"/>
  <c r="AF251" i="7" s="1"/>
  <c r="T71" i="7"/>
  <c r="T244" i="7" s="1"/>
  <c r="BI70" i="7"/>
  <c r="BI243" i="7" s="1"/>
  <c r="AF15" i="7"/>
  <c r="AF188" i="7" s="1"/>
  <c r="BL22" i="7"/>
  <c r="BL195" i="7" s="1"/>
  <c r="CB29" i="7"/>
  <c r="CB202" i="7" s="1"/>
  <c r="CB78" i="7"/>
  <c r="CB251" i="7" s="1"/>
  <c r="AJ71" i="7"/>
  <c r="AJ244" i="7" s="1"/>
  <c r="BI84" i="7"/>
  <c r="BI257" i="7" s="1"/>
  <c r="CB50" i="7"/>
  <c r="CB223" i="7" s="1"/>
  <c r="BL8" i="7"/>
  <c r="BL181" i="7" s="1"/>
  <c r="AF64" i="7"/>
  <c r="AF237" i="7" s="1"/>
  <c r="AQ8" i="7"/>
  <c r="AQ181" i="7" s="1"/>
  <c r="T85" i="7"/>
  <c r="T258" i="7" s="1"/>
  <c r="AQ71" i="7"/>
  <c r="CD85" i="7"/>
  <c r="CD258" i="7" s="1"/>
  <c r="T36" i="7"/>
  <c r="T209" i="7" s="1"/>
  <c r="BL78" i="7"/>
  <c r="BL251" i="7" s="1"/>
  <c r="BL15" i="7"/>
  <c r="BL188" i="7" s="1"/>
  <c r="BL29" i="7"/>
  <c r="BL202" i="7" s="1"/>
  <c r="Y64" i="7"/>
  <c r="Y237" i="7" s="1"/>
  <c r="AF8" i="7"/>
  <c r="AF181" i="7" s="1"/>
  <c r="BI21" i="7"/>
  <c r="BI194" i="7" s="1"/>
  <c r="BL36" i="7"/>
  <c r="BL209" i="7" s="1"/>
  <c r="AQ43" i="7"/>
  <c r="Y8" i="7"/>
  <c r="Y181" i="7" s="1"/>
  <c r="AF22" i="7"/>
  <c r="AF195" i="7" s="1"/>
  <c r="CD50" i="7"/>
  <c r="CD223" i="7" s="1"/>
  <c r="AF36" i="7"/>
  <c r="AF209" i="7" s="1"/>
  <c r="CB36" i="7"/>
  <c r="CB209" i="7" s="1"/>
  <c r="CD29" i="7"/>
  <c r="CD202" i="7" s="1"/>
  <c r="CD8" i="7"/>
  <c r="CD181" i="7" s="1"/>
  <c r="T57" i="7"/>
  <c r="T230" i="7" s="1"/>
  <c r="CB64" i="7"/>
  <c r="CB237" i="7" s="1"/>
  <c r="BL71" i="7"/>
  <c r="BL244" i="7" s="1"/>
  <c r="T15" i="7"/>
  <c r="T188" i="7" s="1"/>
  <c r="Y50" i="7"/>
  <c r="Y223" i="7" s="1"/>
  <c r="AF71" i="7"/>
  <c r="AF244" i="7" s="1"/>
  <c r="T78" i="7"/>
  <c r="T251" i="7" s="1"/>
  <c r="AQ22" i="7"/>
  <c r="AJ85" i="7"/>
  <c r="AJ258" i="7" s="1"/>
  <c r="Y78" i="7"/>
  <c r="Y251" i="7" s="1"/>
  <c r="Y85" i="7"/>
  <c r="Y258" i="7" s="1"/>
  <c r="AJ64" i="7"/>
  <c r="AJ237" i="7" s="1"/>
  <c r="AQ78" i="7"/>
  <c r="AJ29" i="7"/>
  <c r="AJ202" i="7" s="1"/>
  <c r="BI63" i="7"/>
  <c r="BI236" i="7" s="1"/>
  <c r="CD71" i="7"/>
  <c r="CD244" i="7" s="1"/>
  <c r="CD36" i="7"/>
  <c r="CD209" i="7" s="1"/>
  <c r="AF57" i="7"/>
  <c r="AF230" i="7" s="1"/>
  <c r="CB85" i="7"/>
  <c r="CB258" i="7" s="1"/>
  <c r="CD15" i="7"/>
  <c r="CD188" i="7" s="1"/>
  <c r="AJ50" i="7"/>
  <c r="AJ223" i="7" s="1"/>
  <c r="BI77" i="7"/>
  <c r="BI250" i="7" s="1"/>
  <c r="AF43" i="7"/>
  <c r="AF216" i="7" s="1"/>
  <c r="T50" i="7"/>
  <c r="T223" i="7" s="1"/>
  <c r="CB43" i="7"/>
  <c r="CB216" i="7" s="1"/>
  <c r="Y43" i="7"/>
  <c r="Y216" i="7" s="1"/>
  <c r="BI14" i="7"/>
  <c r="BI187" i="7" s="1"/>
  <c r="CD43" i="7"/>
  <c r="CD216" i="7" s="1"/>
  <c r="CB22" i="7"/>
  <c r="CB195" i="7" s="1"/>
  <c r="Y57" i="7"/>
  <c r="Y230" i="7" s="1"/>
  <c r="AQ29" i="7"/>
  <c r="BI35" i="7"/>
  <c r="BI208" i="7" s="1"/>
  <c r="BI28" i="7"/>
  <c r="BI201" i="7" s="1"/>
  <c r="BI42" i="7"/>
  <c r="BI215" i="7" s="1"/>
  <c r="CB8" i="7"/>
  <c r="CB181" i="7" s="1"/>
  <c r="AQ36" i="7"/>
  <c r="AF50" i="7"/>
  <c r="AF223" i="7" s="1"/>
  <c r="CB71" i="7"/>
  <c r="CB244" i="7" s="1"/>
  <c r="CD64" i="7"/>
  <c r="CD237" i="7" s="1"/>
  <c r="AQ15" i="7"/>
  <c r="Y71" i="7"/>
  <c r="Y244" i="7" s="1"/>
  <c r="BI56" i="7"/>
  <c r="BI229" i="7" s="1"/>
  <c r="AJ8" i="7"/>
  <c r="AJ181" i="7" s="1"/>
  <c r="T43" i="7"/>
  <c r="T216" i="7" s="1"/>
  <c r="T22" i="7"/>
  <c r="T195" i="7" s="1"/>
  <c r="BL57" i="7"/>
  <c r="BL230" i="7" s="1"/>
  <c r="CD57" i="7"/>
  <c r="CD230" i="7" s="1"/>
  <c r="Y22" i="7"/>
  <c r="Y195" i="7" s="1"/>
  <c r="AJ15" i="7"/>
  <c r="AJ188" i="7" s="1"/>
  <c r="AJ78" i="7"/>
  <c r="AJ251" i="7" s="1"/>
  <c r="AJ57" i="7"/>
  <c r="AJ230" i="7" s="1"/>
  <c r="AQ85" i="7"/>
  <c r="BI49" i="7"/>
  <c r="BI222" i="7" s="1"/>
  <c r="AQ64" i="7"/>
  <c r="AJ43" i="7"/>
  <c r="AJ216" i="7" s="1"/>
  <c r="T64" i="7"/>
  <c r="T237" i="7" s="1"/>
  <c r="BL64" i="7"/>
  <c r="BL237" i="7" s="1"/>
  <c r="BI7" i="7"/>
  <c r="BI180" i="7" s="1"/>
  <c r="CD78" i="7"/>
  <c r="CD251" i="7" s="1"/>
  <c r="CB57" i="7"/>
  <c r="CB230" i="7" s="1"/>
  <c r="T8" i="7"/>
  <c r="T181" i="7" s="1"/>
  <c r="AQ57" i="7"/>
  <c r="CD22" i="7"/>
  <c r="CD195" i="7" s="1"/>
  <c r="AC71" i="7"/>
  <c r="AC244" i="7" s="1"/>
  <c r="AC43" i="7"/>
  <c r="AC216" i="7" s="1"/>
  <c r="AC57" i="7"/>
  <c r="AC230" i="7" s="1"/>
  <c r="AC8" i="7"/>
  <c r="AC181" i="7" s="1"/>
  <c r="AC29" i="7"/>
  <c r="AC202" i="7" s="1"/>
  <c r="AC85" i="7"/>
  <c r="AC258" i="7" s="1"/>
  <c r="AC50" i="7"/>
  <c r="AC223" i="7" s="1"/>
  <c r="AC64" i="7"/>
  <c r="AC237" i="7" s="1"/>
  <c r="AC36" i="7"/>
  <c r="AC209" i="7" s="1"/>
  <c r="AC78" i="7"/>
  <c r="AC251" i="7" s="1"/>
  <c r="AC15" i="7"/>
  <c r="AC188" i="7" s="1"/>
  <c r="AC22" i="7"/>
  <c r="AC195" i="7" s="1"/>
  <c r="M77" i="7"/>
  <c r="M250" i="7" s="1"/>
  <c r="R57" i="7"/>
  <c r="R230" i="7" s="1"/>
  <c r="R50" i="7"/>
  <c r="R223" i="7" s="1"/>
  <c r="R22" i="7"/>
  <c r="R195" i="7" s="1"/>
  <c r="R43" i="7"/>
  <c r="R216" i="7" s="1"/>
  <c r="R36" i="7"/>
  <c r="R209" i="7" s="1"/>
  <c r="R8" i="7"/>
  <c r="R181" i="7" s="1"/>
  <c r="R64" i="7"/>
  <c r="R237" i="7" s="1"/>
  <c r="R78" i="7"/>
  <c r="R251" i="7" s="1"/>
  <c r="R29" i="7"/>
  <c r="R202" i="7" s="1"/>
  <c r="R15" i="7"/>
  <c r="R188" i="7" s="1"/>
  <c r="R71" i="7"/>
  <c r="R244" i="7" s="1"/>
  <c r="R85" i="7"/>
  <c r="R258" i="7" s="1"/>
  <c r="B6" i="8"/>
  <c r="M7" i="7"/>
  <c r="M180" i="7" s="1"/>
  <c r="M63" i="7"/>
  <c r="M236" i="7" s="1"/>
  <c r="M42" i="7"/>
  <c r="M215" i="7" s="1"/>
  <c r="H49" i="7"/>
  <c r="H222" i="7" s="1"/>
  <c r="H21" i="7"/>
  <c r="H194" i="7" s="1"/>
  <c r="H70" i="7"/>
  <c r="H243" i="7" s="1"/>
  <c r="M49" i="7"/>
  <c r="M222" i="7" s="1"/>
  <c r="M35" i="7"/>
  <c r="M208" i="7" s="1"/>
  <c r="M28" i="7"/>
  <c r="M201" i="7" s="1"/>
  <c r="M14" i="7"/>
  <c r="M187" i="7" s="1"/>
  <c r="H84" i="7"/>
  <c r="H257" i="7" s="1"/>
  <c r="H28" i="7"/>
  <c r="H201" i="7" s="1"/>
  <c r="M84" i="7"/>
  <c r="M257" i="7" s="1"/>
  <c r="H77" i="7"/>
  <c r="H250" i="7" s="1"/>
  <c r="M70" i="7"/>
  <c r="M243" i="7" s="1"/>
  <c r="M56" i="7"/>
  <c r="M229" i="7" s="1"/>
  <c r="H63" i="7"/>
  <c r="H236" i="7" s="1"/>
  <c r="M21" i="7"/>
  <c r="M194" i="7" s="1"/>
  <c r="H35" i="7"/>
  <c r="H208" i="7" s="1"/>
  <c r="H7" i="7"/>
  <c r="H180" i="7" s="1"/>
  <c r="H42" i="7"/>
  <c r="H215" i="7" s="1"/>
  <c r="H56" i="7"/>
  <c r="H229" i="7" s="1"/>
  <c r="H14" i="7"/>
  <c r="H187" i="7" s="1"/>
  <c r="D21" i="3"/>
  <c r="D12" i="4"/>
  <c r="D11" i="4"/>
  <c r="D10" i="4"/>
  <c r="CE34" i="7" l="1"/>
  <c r="CE207" i="7" s="1"/>
  <c r="CE47" i="7"/>
  <c r="CE220" i="7" s="1"/>
  <c r="CE68" i="7"/>
  <c r="CE241" i="7" s="1"/>
  <c r="CE6" i="7"/>
  <c r="CE179" i="7" s="1"/>
  <c r="CE40" i="7"/>
  <c r="CE213" i="7" s="1"/>
  <c r="CE81" i="7"/>
  <c r="CE254" i="7" s="1"/>
  <c r="CE25" i="7"/>
  <c r="CE198" i="7" s="1"/>
  <c r="CE48" i="7"/>
  <c r="CE221" i="7" s="1"/>
  <c r="CE67" i="7"/>
  <c r="CE240" i="7" s="1"/>
  <c r="AX43" i="7"/>
  <c r="AX216" i="7" s="1"/>
  <c r="AQ216" i="7"/>
  <c r="CE41" i="7"/>
  <c r="CE214" i="7" s="1"/>
  <c r="CE74" i="7"/>
  <c r="CE247" i="7" s="1"/>
  <c r="AX15" i="7"/>
  <c r="AX188" i="7" s="1"/>
  <c r="AQ188" i="7"/>
  <c r="AX22" i="7"/>
  <c r="AX195" i="7" s="1"/>
  <c r="AQ195" i="7"/>
  <c r="CE69" i="7"/>
  <c r="CE242" i="7" s="1"/>
  <c r="CE19" i="7"/>
  <c r="CE192" i="7" s="1"/>
  <c r="AX29" i="7"/>
  <c r="AX202" i="7" s="1"/>
  <c r="AQ202" i="7"/>
  <c r="AX71" i="7"/>
  <c r="AX244" i="7" s="1"/>
  <c r="AQ244" i="7"/>
  <c r="AX50" i="7"/>
  <c r="AX223" i="7" s="1"/>
  <c r="AQ223" i="7"/>
  <c r="CE32" i="7"/>
  <c r="CE205" i="7" s="1"/>
  <c r="AX57" i="7"/>
  <c r="AX230" i="7" s="1"/>
  <c r="AQ230" i="7"/>
  <c r="AX64" i="7"/>
  <c r="AX237" i="7" s="1"/>
  <c r="AQ237" i="7"/>
  <c r="CE27" i="7"/>
  <c r="CE200" i="7" s="1"/>
  <c r="CE46" i="7"/>
  <c r="CE219" i="7" s="1"/>
  <c r="AX78" i="7"/>
  <c r="AX251" i="7" s="1"/>
  <c r="AQ251" i="7"/>
  <c r="CE82" i="7"/>
  <c r="CE255" i="7" s="1"/>
  <c r="AK63" i="7"/>
  <c r="AK236" i="7" s="1"/>
  <c r="AX85" i="7"/>
  <c r="AX258" i="7" s="1"/>
  <c r="AQ258" i="7"/>
  <c r="AX36" i="7"/>
  <c r="AX209" i="7" s="1"/>
  <c r="AQ209" i="7"/>
  <c r="CE5" i="7"/>
  <c r="CE178" i="7" s="1"/>
  <c r="CE54" i="7"/>
  <c r="CE227" i="7" s="1"/>
  <c r="AX8" i="7"/>
  <c r="AX181" i="7" s="1"/>
  <c r="AK84" i="7"/>
  <c r="AK257" i="7" s="1"/>
  <c r="AK28" i="7"/>
  <c r="AK201" i="7" s="1"/>
  <c r="CE61" i="7"/>
  <c r="CE234" i="7" s="1"/>
  <c r="AK42" i="7"/>
  <c r="AK215" i="7" s="1"/>
  <c r="AK70" i="7"/>
  <c r="AK243" i="7" s="1"/>
  <c r="AK49" i="7"/>
  <c r="AK222" i="7" s="1"/>
  <c r="CE4" i="7"/>
  <c r="CE177" i="7" s="1"/>
  <c r="CE18" i="7"/>
  <c r="CE191" i="7" s="1"/>
  <c r="AK14" i="7"/>
  <c r="AK187" i="7" s="1"/>
  <c r="AK21" i="7"/>
  <c r="AK194" i="7" s="1"/>
  <c r="CE33" i="7"/>
  <c r="CE206" i="7" s="1"/>
  <c r="AK35" i="7"/>
  <c r="AK208" i="7" s="1"/>
  <c r="CE39" i="7"/>
  <c r="CE212" i="7" s="1"/>
  <c r="CE83" i="7"/>
  <c r="CE256" i="7" s="1"/>
  <c r="AK77" i="7"/>
  <c r="AK250" i="7" s="1"/>
  <c r="AK56" i="7"/>
  <c r="AK229" i="7" s="1"/>
  <c r="CE13" i="7"/>
  <c r="CE186" i="7" s="1"/>
  <c r="AK7" i="7"/>
  <c r="AK180" i="7" s="1"/>
  <c r="CE77" i="7"/>
  <c r="CE250" i="7" s="1"/>
  <c r="CE63" i="7"/>
  <c r="CE236" i="7" s="1"/>
  <c r="CE28" i="7"/>
  <c r="CE201" i="7" s="1"/>
  <c r="BI50" i="7"/>
  <c r="BI223" i="7" s="1"/>
  <c r="BI22" i="7"/>
  <c r="BI195" i="7" s="1"/>
  <c r="BI36" i="7"/>
  <c r="BI209" i="7" s="1"/>
  <c r="BI43" i="7"/>
  <c r="BI216" i="7" s="1"/>
  <c r="BI57" i="7"/>
  <c r="BI230" i="7" s="1"/>
  <c r="BI29" i="7"/>
  <c r="BI202" i="7" s="1"/>
  <c r="BI15" i="7"/>
  <c r="BI188" i="7" s="1"/>
  <c r="BI78" i="7"/>
  <c r="BI251" i="7" s="1"/>
  <c r="BI8" i="7"/>
  <c r="BI181" i="7" s="1"/>
  <c r="BI85" i="7"/>
  <c r="BI258" i="7" s="1"/>
  <c r="BI71" i="7"/>
  <c r="BI244" i="7" s="1"/>
  <c r="BI64" i="7"/>
  <c r="BI237" i="7" s="1"/>
  <c r="M50" i="7"/>
  <c r="M43" i="7"/>
  <c r="M216" i="7" s="1"/>
  <c r="B7" i="8"/>
  <c r="H50" i="7"/>
  <c r="H223" i="7" s="1"/>
  <c r="M78" i="7"/>
  <c r="M57" i="7"/>
  <c r="H29" i="7"/>
  <c r="H202" i="7" s="1"/>
  <c r="M64" i="7"/>
  <c r="M29" i="7"/>
  <c r="M71" i="7"/>
  <c r="M36" i="7"/>
  <c r="M15" i="7"/>
  <c r="M22" i="7"/>
  <c r="M195" i="7" s="1"/>
  <c r="M85" i="7"/>
  <c r="M8" i="7"/>
  <c r="M181" i="7" s="1"/>
  <c r="H78" i="7"/>
  <c r="H251" i="7" s="1"/>
  <c r="H22" i="7"/>
  <c r="H15" i="7"/>
  <c r="H188" i="7" s="1"/>
  <c r="H43" i="7"/>
  <c r="H85" i="7"/>
  <c r="H258" i="7" s="1"/>
  <c r="H64" i="7"/>
  <c r="H237" i="7" s="1"/>
  <c r="H57" i="7"/>
  <c r="H230" i="7" s="1"/>
  <c r="H8" i="7"/>
  <c r="H181" i="7" s="1"/>
  <c r="H71" i="7"/>
  <c r="H244" i="7" s="1"/>
  <c r="H36" i="7"/>
  <c r="H209" i="7" s="1"/>
  <c r="CE70" i="7" l="1"/>
  <c r="CE243" i="7" s="1"/>
  <c r="CE7" i="7"/>
  <c r="CE180" i="7" s="1"/>
  <c r="CE21" i="7"/>
  <c r="CE194" i="7" s="1"/>
  <c r="AK43" i="7"/>
  <c r="AK216" i="7" s="1"/>
  <c r="H216" i="7"/>
  <c r="AK64" i="7"/>
  <c r="AK237" i="7" s="1"/>
  <c r="M237" i="7"/>
  <c r="AK85" i="7"/>
  <c r="AK258" i="7" s="1"/>
  <c r="M258" i="7"/>
  <c r="AK57" i="7"/>
  <c r="AK230" i="7" s="1"/>
  <c r="M230" i="7"/>
  <c r="AK78" i="7"/>
  <c r="AK251" i="7" s="1"/>
  <c r="M251" i="7"/>
  <c r="CE84" i="7"/>
  <c r="CE257" i="7" s="1"/>
  <c r="AK36" i="7"/>
  <c r="AK209" i="7" s="1"/>
  <c r="M209" i="7"/>
  <c r="AK15" i="7"/>
  <c r="AK188" i="7" s="1"/>
  <c r="M188" i="7"/>
  <c r="AK71" i="7"/>
  <c r="AK244" i="7" s="1"/>
  <c r="M244" i="7"/>
  <c r="AK22" i="7"/>
  <c r="AK195" i="7" s="1"/>
  <c r="H195" i="7"/>
  <c r="AK29" i="7"/>
  <c r="AK202" i="7" s="1"/>
  <c r="M202" i="7"/>
  <c r="AK50" i="7"/>
  <c r="AK223" i="7" s="1"/>
  <c r="M223" i="7"/>
  <c r="CE49" i="7"/>
  <c r="CE222" i="7" s="1"/>
  <c r="CE43" i="7"/>
  <c r="CE216" i="7" s="1"/>
  <c r="CE42" i="7"/>
  <c r="CE215" i="7" s="1"/>
  <c r="CE85" i="7"/>
  <c r="CE258" i="7" s="1"/>
  <c r="AK8" i="7"/>
  <c r="AK181" i="7" s="1"/>
  <c r="CE14" i="7"/>
  <c r="CE187" i="7" s="1"/>
  <c r="CE50" i="7"/>
  <c r="CE223" i="7" s="1"/>
  <c r="CE78" i="7"/>
  <c r="CE251" i="7" s="1"/>
  <c r="CE35" i="7"/>
  <c r="CE208" i="7" s="1"/>
  <c r="CE56" i="7"/>
  <c r="CE229" i="7" s="1"/>
  <c r="D39" i="4"/>
  <c r="D27" i="3"/>
  <c r="CE36" i="7" l="1"/>
  <c r="CE209" i="7" s="1"/>
  <c r="CE64" i="7"/>
  <c r="CE237" i="7" s="1"/>
  <c r="CE29" i="7"/>
  <c r="CE202" i="7" s="1"/>
  <c r="CE22" i="7"/>
  <c r="CE195" i="7" s="1"/>
  <c r="CE71" i="7"/>
  <c r="CE244" i="7" s="1"/>
  <c r="CE57" i="7"/>
  <c r="CE230" i="7" s="1"/>
  <c r="CE15" i="7"/>
  <c r="CE188" i="7" s="1"/>
  <c r="CE8" i="7"/>
  <c r="CE181" i="7" s="1"/>
  <c r="D24" i="4"/>
  <c r="D23" i="4"/>
  <c r="D7" i="6"/>
  <c r="C8" i="6" l="1"/>
  <c r="C7" i="6"/>
  <c r="D17" i="5"/>
  <c r="C16" i="5"/>
  <c r="D15" i="5"/>
  <c r="D14" i="5"/>
  <c r="C13" i="5"/>
  <c r="D12" i="5"/>
  <c r="D11" i="5"/>
  <c r="D10" i="5"/>
  <c r="D9" i="5"/>
  <c r="D8" i="5"/>
  <c r="C7" i="5"/>
  <c r="D52" i="4"/>
  <c r="D51" i="4"/>
  <c r="D50" i="4"/>
  <c r="D49" i="4"/>
  <c r="D48" i="4"/>
  <c r="C47" i="4"/>
  <c r="D46" i="4"/>
  <c r="D45" i="4"/>
  <c r="C44" i="4"/>
  <c r="D43" i="4"/>
  <c r="D42" i="4"/>
  <c r="D41" i="4"/>
  <c r="C40" i="4"/>
  <c r="D37" i="4"/>
  <c r="D36" i="4"/>
  <c r="D35" i="4"/>
  <c r="C34" i="4"/>
  <c r="D33" i="4"/>
  <c r="D31" i="4"/>
  <c r="D30" i="4"/>
  <c r="D29" i="4"/>
  <c r="C28" i="4"/>
  <c r="D27" i="4"/>
  <c r="D22" i="4"/>
  <c r="D21" i="4"/>
  <c r="D19" i="4"/>
  <c r="D18" i="4"/>
  <c r="C17" i="4"/>
  <c r="D13" i="3"/>
  <c r="D9" i="3"/>
  <c r="D8" i="3"/>
  <c r="D26" i="3"/>
  <c r="D24" i="3"/>
  <c r="D20" i="3"/>
  <c r="D19" i="3"/>
  <c r="C18" i="3"/>
  <c r="D11" i="3"/>
  <c r="D8" i="6" l="1"/>
  <c r="D26" i="4"/>
  <c r="C25" i="4"/>
  <c r="C20" i="4"/>
  <c r="C12" i="3"/>
  <c r="D15" i="3" l="1"/>
  <c r="C14" i="3"/>
  <c r="AT1" i="3" l="1"/>
  <c r="AX1" i="3" s="1"/>
  <c r="J1" i="3"/>
  <c r="N1" i="3" s="1"/>
  <c r="R1" i="3" s="1"/>
  <c r="V1" i="3" s="1"/>
  <c r="Z1" i="3" s="1"/>
  <c r="AD1" i="3" s="1"/>
  <c r="AH1" i="3" s="1"/>
  <c r="AL1" i="3" s="1"/>
  <c r="C7" i="3"/>
</calcChain>
</file>

<file path=xl/sharedStrings.xml><?xml version="1.0" encoding="utf-8"?>
<sst xmlns="http://schemas.openxmlformats.org/spreadsheetml/2006/main" count="3700" uniqueCount="237">
  <si>
    <t>Tên phòng
名前課</t>
  </si>
  <si>
    <t>Tên bộ phận
名前部</t>
  </si>
  <si>
    <t>Mã TK
コード</t>
  </si>
  <si>
    <t>人員</t>
  </si>
  <si>
    <t>→　１＝日本語(tiếng nhật)、２＝ベトナム語(tiếng việt)</t>
  </si>
  <si>
    <t>Bộ phận chế tạo máy in</t>
  </si>
  <si>
    <t>Bộ phận CT mực in</t>
  </si>
  <si>
    <t>Chế tạo mực in</t>
  </si>
  <si>
    <t>Kỹ thuật sản xuất mực in</t>
  </si>
  <si>
    <t>Kỹ thuật khuôn</t>
  </si>
  <si>
    <t>Bộ phận QLSX</t>
  </si>
  <si>
    <t>Quản lý sản xuất</t>
  </si>
  <si>
    <t>Quản lý lợi nhuận</t>
  </si>
  <si>
    <t>Quản lý dữ liệu</t>
  </si>
  <si>
    <t>Bộ phận KTCT</t>
  </si>
  <si>
    <t>Kỹ thuật chế tạo cơ khí 1</t>
  </si>
  <si>
    <t>Kỹ thuật chế tạo cơ khí 2</t>
  </si>
  <si>
    <t>Kỹ thuật chế tạo điện</t>
  </si>
  <si>
    <t>Phòng Kĩ thuật linh kiện</t>
  </si>
  <si>
    <t>Bộ phận KTSX</t>
  </si>
  <si>
    <t>Bộ phận ĐBCL</t>
  </si>
  <si>
    <t>Đảm bảo chất lượng</t>
  </si>
  <si>
    <t>Bộ phận vật tư</t>
  </si>
  <si>
    <t>Vật tư 1</t>
  </si>
  <si>
    <t>Vật tư 2</t>
  </si>
  <si>
    <t>Vật tư 3</t>
  </si>
  <si>
    <t>Quản lý vật tư</t>
  </si>
  <si>
    <t>Bộ phận HCNS</t>
  </si>
  <si>
    <t>Hành chính</t>
  </si>
  <si>
    <t>Nhân sự</t>
  </si>
  <si>
    <t>Thiết bị</t>
  </si>
  <si>
    <t>Bộ phận QLKD</t>
  </si>
  <si>
    <t>Kế toán</t>
  </si>
  <si>
    <t>Quản lý kinh doanh</t>
  </si>
  <si>
    <t>Hệ thống thông tin</t>
  </si>
  <si>
    <t>トナー製造部</t>
  </si>
  <si>
    <t>トナー製造課</t>
  </si>
  <si>
    <t>トナー生産技術課</t>
  </si>
  <si>
    <t>部品製造部</t>
  </si>
  <si>
    <t>部品製造課</t>
  </si>
  <si>
    <t>金型技術課</t>
  </si>
  <si>
    <t>生産管理部</t>
  </si>
  <si>
    <t>生産管理課</t>
  </si>
  <si>
    <t>採算管理課</t>
  </si>
  <si>
    <t>マスター管理課</t>
  </si>
  <si>
    <t>製造技術部</t>
  </si>
  <si>
    <t>メカ製造技術1課</t>
  </si>
  <si>
    <t>メカ製造技術2課</t>
  </si>
  <si>
    <t>電気製造技術課</t>
  </si>
  <si>
    <t>部品技術課</t>
  </si>
  <si>
    <t>生産技術部</t>
  </si>
  <si>
    <t>製品開発部</t>
  </si>
  <si>
    <t>品質保証部</t>
  </si>
  <si>
    <t>品質保証課</t>
  </si>
  <si>
    <t>第1資材課</t>
  </si>
  <si>
    <t>第2資材課</t>
  </si>
  <si>
    <t>第3資材課</t>
  </si>
  <si>
    <t>資材管理課</t>
  </si>
  <si>
    <t>総務人事部</t>
  </si>
  <si>
    <t>総務課</t>
  </si>
  <si>
    <t>人事課</t>
  </si>
  <si>
    <t>施設課</t>
  </si>
  <si>
    <t>経営管理部</t>
  </si>
  <si>
    <t>会計課</t>
  </si>
  <si>
    <t>経営管理課</t>
  </si>
  <si>
    <t>情報システム課</t>
  </si>
  <si>
    <t>Quản lý máy in</t>
  </si>
  <si>
    <t>Quản lý mực</t>
  </si>
  <si>
    <t>Chế tạo linh kiện</t>
  </si>
  <si>
    <t>Bộ phận phát triển</t>
  </si>
  <si>
    <t>原価センター</t>
  </si>
  <si>
    <t>残業時間</t>
  </si>
  <si>
    <t>Nhân viên
スタップ</t>
  </si>
  <si>
    <t>Công nhân
ワーカー</t>
  </si>
  <si>
    <t>Chế tạo máy in 1</t>
  </si>
  <si>
    <t>Chế tạo máy in 2</t>
  </si>
  <si>
    <t>RPS製造課</t>
  </si>
  <si>
    <t>外製品質管理部</t>
  </si>
  <si>
    <t>生産技術1課</t>
  </si>
  <si>
    <t>生産技術2課</t>
  </si>
  <si>
    <t>貿易管理課</t>
  </si>
  <si>
    <t>Chế tạo RPS</t>
  </si>
  <si>
    <t>Bộ phận QLCL máy</t>
  </si>
  <si>
    <t>Bộ phận QLCL hàng ngoài</t>
  </si>
  <si>
    <t>Phòng Quản lý xuất nhập khẩu</t>
  </si>
  <si>
    <t>Quản lý xuất nhập khẩu</t>
  </si>
  <si>
    <t>工程品質管理1課</t>
  </si>
  <si>
    <t>工程品質管理2課</t>
  </si>
  <si>
    <t>生産革新課</t>
  </si>
  <si>
    <t>外製管理課</t>
  </si>
  <si>
    <t>物流管理課</t>
  </si>
  <si>
    <t>物流部</t>
  </si>
  <si>
    <t>製品保証課</t>
  </si>
  <si>
    <t>第4資材課</t>
  </si>
  <si>
    <t>Quản lý chất lượng công đoạn 1</t>
  </si>
  <si>
    <t>Quản lý chất lượng công đoạn 2</t>
  </si>
  <si>
    <t>Quản lý xuất nhập hàng hóa</t>
  </si>
  <si>
    <t>Đổi mới sản xuất</t>
  </si>
  <si>
    <t>Phòng Quản lý linh kiện ngoài</t>
  </si>
  <si>
    <t>Đảm bảo sản phẩm</t>
  </si>
  <si>
    <t>Vật tư 4</t>
  </si>
  <si>
    <t>Bộ phận xuất nhập hàng hóa</t>
  </si>
  <si>
    <t>MD1課</t>
  </si>
  <si>
    <t>MD2課</t>
  </si>
  <si>
    <t>EI1課</t>
  </si>
  <si>
    <t>部品管理課</t>
  </si>
  <si>
    <t>製品管理課</t>
  </si>
  <si>
    <t>Quản lý linh kiện</t>
  </si>
  <si>
    <t>機器製造部</t>
  </si>
  <si>
    <t>機器製造2課</t>
  </si>
  <si>
    <t>機器製造管理課</t>
  </si>
  <si>
    <t>Chế tạo máy 3</t>
  </si>
  <si>
    <t>機器製造3課</t>
  </si>
  <si>
    <t>工程品質管理部</t>
  </si>
  <si>
    <t>トナー製造管理課</t>
  </si>
  <si>
    <t>Bộ phận chế tạo linh kiện</t>
  </si>
  <si>
    <t>Quản lý chế tạo linh kiện</t>
  </si>
  <si>
    <t>部品製造管理課</t>
  </si>
  <si>
    <t>Quản lý chất lượng</t>
  </si>
  <si>
    <t>品質管理課</t>
  </si>
  <si>
    <t>Quản lý thành phẩm</t>
  </si>
  <si>
    <t>Bộ phận cải tiến chế tạo</t>
  </si>
  <si>
    <t>製造改善部</t>
  </si>
  <si>
    <t>Kỹ thuật chế tạo cơ khí 3</t>
  </si>
  <si>
    <t>メカ製造技術3課</t>
  </si>
  <si>
    <t>1412000089 </t>
  </si>
  <si>
    <t>Kỹ thuật sản xuất1</t>
  </si>
  <si>
    <t>Kỹ thuật sản xuất2</t>
  </si>
  <si>
    <t>Kỹ thuật sản xuất3</t>
  </si>
  <si>
    <t>生産技術3課</t>
  </si>
  <si>
    <t>Phòng MD 1</t>
  </si>
  <si>
    <t>Phòng MD 2</t>
  </si>
  <si>
    <t>Phòng EI 1</t>
  </si>
  <si>
    <t>Phòng MD3</t>
  </si>
  <si>
    <t>MD3課</t>
  </si>
  <si>
    <t>Bộ phận xúc tiến giải pháp CNTT</t>
  </si>
  <si>
    <t>IT ソリューション推進部</t>
  </si>
  <si>
    <t>TỔNG CỘNG</t>
  </si>
  <si>
    <t>合計</t>
  </si>
  <si>
    <t>G5以上</t>
  </si>
  <si>
    <t>G7, G6</t>
  </si>
  <si>
    <t>Công nhân
G7, G6</t>
  </si>
  <si>
    <t>トナー品質管理課</t>
  </si>
  <si>
    <t>機器製造1課</t>
  </si>
  <si>
    <t>Phòng quản lý chất lượng mực in</t>
  </si>
  <si>
    <t xml:space="preserve">Kiểm tra linh kiện 1 </t>
  </si>
  <si>
    <t>部品検査1課</t>
  </si>
  <si>
    <t>Kiểm tra linh kiện 2</t>
  </si>
  <si>
    <t>部品検査2課</t>
  </si>
  <si>
    <t>Phòng ESD1</t>
  </si>
  <si>
    <t>ESD1課</t>
  </si>
  <si>
    <t>Phát triển nhân lực</t>
  </si>
  <si>
    <t>人材開発課</t>
  </si>
  <si>
    <t>Quản lý rủi ro</t>
  </si>
  <si>
    <t>リスクマネジメント課</t>
  </si>
  <si>
    <t>An ninh</t>
  </si>
  <si>
    <t>保安課</t>
  </si>
  <si>
    <t>資材部</t>
  </si>
  <si>
    <t>Dự tính  Thời gian làm thêm (người Việt )
残業時間（ローカル社員）
(1/4/2023 ~ 30/4/2023)</t>
  </si>
  <si>
    <t>Dự tính  Số người Việt
人員合計
(1/4/2023 ~ 30/4/2023)</t>
  </si>
  <si>
    <t>Dự tính  Thời gian làm thêm (người Việt )
残業時間（ローカル社員）
(1/5/2023 ~ 31/5/2023)</t>
  </si>
  <si>
    <t>Dự tính  Số người Việt
人員合計
(1/5/2023 ~ 31/5/2023)</t>
  </si>
  <si>
    <t>Dự tính  Thời gian làm thêm (người Việt )
残業時間（ローカル社員）
(1/6/2023 ~ 30/6/2023)</t>
  </si>
  <si>
    <t>Dự tính  Số người Việt
人員合計
(1/6/2023 ~ 30/6/2023)</t>
  </si>
  <si>
    <t>Dự tính  Thời gian làm thêm (người Việt )
残業時間（ローカル社員）
(1/7/2023 ~ 31/7/2023)</t>
  </si>
  <si>
    <t>Dự tính  Số người Việt
人員合計
(1/7/2023 ~ 31/7/2023)</t>
  </si>
  <si>
    <t>Dự tính  Thời gian làm thêm (người Việt )
残業時間（ローカル社員）
(1/8/2023 ~ 31/8/2023)</t>
  </si>
  <si>
    <t>Dự tính  Số người Việt
人員合計
(1/8/2023 ~ 31/8/2023)</t>
  </si>
  <si>
    <t>Dự tính  Thời gian làm thêm (người Việt )
残業時間（ローカル社員）
(1/9/2023 ~ 30/9/2023)</t>
  </si>
  <si>
    <t>Dự tính  Số người Việt
人員合計
(1/9/2023 ~ 30/9/2023)</t>
  </si>
  <si>
    <t>Dự tính  Thời gian làm thêm(người Việt )
残業時間（ローカル社員）
(1/10/2023 ~ 31/10/2023)</t>
  </si>
  <si>
    <t>Dự tính  Số người Việt
人員合計
(1/10/2023 ~ 31/10/2023)</t>
  </si>
  <si>
    <t>Dự tính  Thời gian làm thêm (người Việt )
残業時間（ローカル社員）
(1/11/2023 ~ 30/11/2023)</t>
  </si>
  <si>
    <t>Dự tính  Số người Việt
人員合計
(1/11/2023 ~ 30/11/2023)</t>
  </si>
  <si>
    <t>Dự tính  Thời gian làm thêm (người Việt )
残業時間（ローカル社員）
(1/12/2023 ~ 31/12/2023)</t>
  </si>
  <si>
    <t>Dự tính  Số người Việt
人員合計
(1/12/2023 ~ 31/12/2023)</t>
  </si>
  <si>
    <t>Dự tính  Thời gian làm thêm (người Việt )
残業時間（ローカル社員）
(1/1/2024 ~ 31/1/2024)</t>
  </si>
  <si>
    <t>Dự tính  Số người Việt
人員合計
(1/1/2024 ~ 31/1/2024)</t>
  </si>
  <si>
    <t>Dự tính  Thời gian làm thêm (người Việt )
残業時間（ローカル社員）
(1/2/2024 ~ 28/2/2024)</t>
  </si>
  <si>
    <t>Dự tính  Số người Việt
人員合計
(1/2/2024~ 28/2/2024)</t>
  </si>
  <si>
    <t>Dự tính  Thời gian làm thêm (người Việt )
残業時間（ローカル社員）
(1/3/2024 ~ 31/3/2024)</t>
  </si>
  <si>
    <t>Dự tính  Số người Việt
人員合計
(1/3/2024~ 31/3/2024)</t>
  </si>
  <si>
    <t>Quản lý OC</t>
  </si>
  <si>
    <t>OC管理課</t>
  </si>
  <si>
    <t>Phòng ESD2</t>
  </si>
  <si>
    <t>ESD2課</t>
  </si>
  <si>
    <t>部品技術部</t>
  </si>
  <si>
    <t>Phòng MD4</t>
  </si>
  <si>
    <t>MD4課</t>
  </si>
  <si>
    <t>トナー製造部計</t>
  </si>
  <si>
    <t>製品開発本部</t>
  </si>
  <si>
    <t>資材管理部</t>
  </si>
  <si>
    <t>ITソリューション推進部</t>
  </si>
  <si>
    <t>KDTVN合計</t>
  </si>
  <si>
    <t>出向社員</t>
  </si>
  <si>
    <t>ローカル社員</t>
  </si>
  <si>
    <t>人員合計</t>
  </si>
  <si>
    <t>CHECK</t>
  </si>
  <si>
    <t>差異</t>
  </si>
  <si>
    <t>FY2026_MP</t>
  </si>
  <si>
    <t>電工製造課</t>
  </si>
  <si>
    <t>電工製造部</t>
  </si>
  <si>
    <t>定時間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</si>
  <si>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</si>
  <si>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</si>
  <si>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</si>
  <si>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</si>
  <si>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</si>
  <si>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</si>
  <si>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</si>
  <si>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</si>
  <si>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</si>
  <si>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</si>
  <si>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</si>
  <si>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</si>
  <si>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定時間合計</t>
  </si>
  <si>
    <t>残業時間合計</t>
  </si>
  <si>
    <t>Xem lại công thức</t>
  </si>
  <si>
    <t>TOTAL</t>
  </si>
  <si>
    <t>機器工程品質管理部</t>
  </si>
  <si>
    <t>製造本部</t>
  </si>
  <si>
    <t>Phòng MD5</t>
  </si>
  <si>
    <t>MD5課</t>
  </si>
  <si>
    <t>14120000ZZ</t>
  </si>
  <si>
    <t>Kỹ thuật chế tạo cơ khí 4</t>
  </si>
  <si>
    <t>メカ製造技術4課</t>
  </si>
  <si>
    <t>141200008YY</t>
  </si>
  <si>
    <t>Phòng EI 2</t>
  </si>
  <si>
    <t>EI2課</t>
  </si>
  <si>
    <t>14120000XX</t>
  </si>
  <si>
    <t>Code</t>
  </si>
  <si>
    <t>tên</t>
  </si>
  <si>
    <t>Type1</t>
  </si>
  <si>
    <t>Type2</t>
  </si>
  <si>
    <t>a</t>
  </si>
  <si>
    <t>機器製造部　</t>
  </si>
  <si>
    <t>生産技術本部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</si>
</sst>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_);[Red]\(#,##0.0\)"/>
    <numFmt numFmtId="167" formatCode="0\”\月\”"/>
    <numFmt numFmtId="168" formatCode="0\月"/>
    <numFmt numFmtId="169" formatCode="_-* #,##0.00_-;\-* #,##0.00_-;_-* &quot;-&quot;_-;_-@_-"/>
    <numFmt numFmtId="170" formatCode="0&quot;月&quot;"/>
    <numFmt numFmtId="171" formatCode="#,##0_ ;[Red]\-#,##0\ "/>
    <numFmt numFmtId="172" formatCode="#,##0_ ;[Red]\-#,##0_)"/>
    <numFmt numFmtId="173" formatCode="_-* #,##0.0_-;\-* #,##0.0_-;_-* &quot;-&quot;_-;_-@_-"/>
  </numFmts>
  <fonts count="73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Times New Roman"/>
      <family val="1"/>
    </font>
    <font>
      <sz val="10"/>
      <color indexed="8"/>
      <name val="Times"/>
      <family val="1"/>
    </font>
    <font>
      <sz val="10"/>
      <name val="Times"/>
      <family val="1"/>
    </font>
    <font>
      <b/>
      <sz val="10"/>
      <name val="Times"/>
      <family val="1"/>
    </font>
    <font>
      <b/>
      <sz val="10"/>
      <color indexed="8"/>
      <name val="Times"/>
      <family val="1"/>
    </font>
    <font>
      <b/>
      <sz val="10"/>
      <color indexed="8"/>
      <name val="Times New Roman"/>
      <family val="1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4"/>
      <name val="ＭＳ 明朝"/>
      <family val="1"/>
      <charset val="128"/>
    </font>
    <font>
      <b/>
      <sz val="10"/>
      <color rgb="FFFF0000"/>
      <name val="Times"/>
      <family val="1"/>
    </font>
    <font>
      <b/>
      <sz val="16"/>
      <name val="ＭＳ Ｐゴシック"/>
      <family val="3"/>
      <charset val="128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6"/>
      <color theme="1"/>
      <name val="Meiryo UI"/>
      <family val="3"/>
      <charset val="128"/>
    </font>
    <font>
      <sz val="11"/>
      <name val="Calibri"/>
      <family val="2"/>
      <scheme val="minor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Times"/>
      <family val="1"/>
    </font>
    <font>
      <sz val="19"/>
      <name val="Calibri"/>
      <family val="2"/>
      <scheme val="minor"/>
    </font>
    <font>
      <sz val="8"/>
      <color theme="0"/>
      <name val="Calibri"/>
      <family val="3"/>
      <charset val="128"/>
      <scheme val="minor"/>
    </font>
    <font>
      <sz val="11"/>
      <color theme="0"/>
      <name val="Calibri"/>
      <family val="3"/>
      <charset val="128"/>
      <scheme val="minor"/>
    </font>
    <font>
      <sz val="16"/>
      <name val="Calibri"/>
      <family val="3"/>
      <charset val="128"/>
      <scheme val="minor"/>
    </font>
    <font>
      <sz val="20"/>
      <color theme="1"/>
      <name val="Calibri"/>
      <family val="2"/>
      <charset val="128"/>
      <scheme val="minor"/>
    </font>
    <font>
      <sz val="12"/>
      <name val="Times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20"/>
      <name val="Calibri"/>
      <family val="2"/>
      <charset val="128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96">
    <xf numFmtId="0" fontId="0" fillId="0" borderId="0" applyNumberFormat="0" applyFill="0" applyBorder="0" applyAlignment="0" applyProtection="0"/>
    <xf numFmtId="40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0" fontId="12" fillId="0" borderId="0">
      <alignment vertical="center"/>
    </xf>
    <xf numFmtId="0" fontId="4" fillId="0" borderId="0"/>
    <xf numFmtId="0" fontId="13" fillId="0" borderId="0"/>
    <xf numFmtId="0" fontId="4" fillId="0" borderId="0">
      <alignment vertical="center"/>
    </xf>
    <xf numFmtId="0" fontId="3" fillId="0" borderId="0"/>
    <xf numFmtId="9" fontId="4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0" fontId="16" fillId="0" borderId="0" applyBorder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6" fillId="0" borderId="0" applyBorder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1" borderId="0" applyNumberFormat="0" applyBorder="0" applyAlignment="0" applyProtection="0"/>
    <xf numFmtId="0" fontId="11" fillId="24" borderId="0" applyNumberFormat="0" applyBorder="0" applyAlignment="0" applyProtection="0"/>
    <xf numFmtId="0" fontId="11" fillId="27" borderId="0" applyNumberFormat="0" applyBorder="0" applyAlignment="0" applyProtection="0"/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9" fillId="2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20" fillId="19" borderId="0" applyNumberFormat="0" applyBorder="0" applyAlignment="0" applyProtection="0"/>
    <xf numFmtId="0" fontId="21" fillId="36" borderId="16" applyNumberFormat="0" applyAlignment="0" applyProtection="0"/>
    <xf numFmtId="0" fontId="22" fillId="37" borderId="17" applyNumberFormat="0" applyAlignment="0" applyProtection="0"/>
    <xf numFmtId="38" fontId="4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>
      <alignment vertical="center"/>
    </xf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20" borderId="0" applyNumberFormat="0" applyBorder="0" applyAlignment="0" applyProtection="0"/>
    <xf numFmtId="0" fontId="25" fillId="0" borderId="18" applyNumberFormat="0" applyFill="0" applyAlignment="0" applyProtection="0"/>
    <xf numFmtId="0" fontId="26" fillId="0" borderId="19" applyNumberFormat="0" applyFill="0" applyAlignment="0" applyProtection="0"/>
    <xf numFmtId="0" fontId="27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28" fillId="23" borderId="16" applyNumberFormat="0" applyAlignment="0" applyProtection="0"/>
    <xf numFmtId="0" fontId="29" fillId="0" borderId="21" applyNumberFormat="0" applyFill="0" applyAlignment="0" applyProtection="0"/>
    <xf numFmtId="0" fontId="30" fillId="38" borderId="0" applyNumberFormat="0" applyBorder="0" applyAlignment="0" applyProtection="0"/>
    <xf numFmtId="0" fontId="12" fillId="0" borderId="0">
      <alignment vertical="center"/>
    </xf>
    <xf numFmtId="0" fontId="31" fillId="0" borderId="0">
      <alignment vertical="top"/>
    </xf>
    <xf numFmtId="0" fontId="4" fillId="39" borderId="22" applyNumberFormat="0" applyFont="0" applyAlignment="0" applyProtection="0"/>
    <xf numFmtId="0" fontId="32" fillId="36" borderId="23" applyNumberFormat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24" applyNumberFormat="0" applyFill="0" applyAlignment="0" applyProtection="0"/>
    <xf numFmtId="0" fontId="35" fillId="0" borderId="0" applyNumberFormat="0" applyFill="0" applyBorder="0" applyAlignment="0" applyProtection="0"/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7" borderId="17" applyNumberFormat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0" fontId="4" fillId="39" borderId="22" applyNumberFormat="0" applyFont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1" fillId="36" borderId="23" applyNumberFormat="0" applyAlignment="0" applyProtection="0">
      <alignment vertical="center"/>
    </xf>
    <xf numFmtId="0" fontId="42" fillId="0" borderId="0"/>
    <xf numFmtId="0" fontId="43" fillId="19" borderId="0" applyNumberFormat="0" applyBorder="0" applyAlignment="0" applyProtection="0">
      <alignment vertical="center"/>
    </xf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36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24" applyNumberFormat="0" applyFill="0" applyAlignment="0" applyProtection="0">
      <alignment vertical="center"/>
    </xf>
    <xf numFmtId="41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" fillId="0" borderId="0" applyBorder="0"/>
  </cellStyleXfs>
  <cellXfs count="227">
    <xf numFmtId="0" fontId="0" fillId="0" borderId="0" xfId="0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5" fillId="2" borderId="0" xfId="0" applyFont="1" applyFill="1" applyProtection="1"/>
    <xf numFmtId="1" fontId="10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/>
    </xf>
    <xf numFmtId="0" fontId="8" fillId="0" borderId="5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left"/>
    </xf>
    <xf numFmtId="0" fontId="14" fillId="0" borderId="0" xfId="0" applyFont="1" applyBorder="1" applyAlignment="1">
      <alignment horizontal="center" vertical="center" wrapText="1"/>
    </xf>
    <xf numFmtId="165" fontId="0" fillId="0" borderId="0" xfId="0" applyNumberFormat="1"/>
    <xf numFmtId="3" fontId="0" fillId="0" borderId="0" xfId="0" applyNumberFormat="1"/>
    <xf numFmtId="0" fontId="9" fillId="0" borderId="12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Continuous" vertical="center" wrapText="1"/>
    </xf>
    <xf numFmtId="0" fontId="9" fillId="5" borderId="11" xfId="0" applyFont="1" applyFill="1" applyBorder="1" applyAlignment="1">
      <alignment horizontal="centerContinuous" vertical="center" wrapText="1"/>
    </xf>
    <xf numFmtId="0" fontId="9" fillId="6" borderId="0" xfId="0" applyFont="1" applyFill="1" applyBorder="1" applyAlignment="1">
      <alignment horizontal="centerContinuous" vertical="center" wrapText="1"/>
    </xf>
    <xf numFmtId="0" fontId="9" fillId="6" borderId="12" xfId="0" applyFont="1" applyFill="1" applyBorder="1" applyAlignment="1">
      <alignment horizontal="centerContinuous" vertical="center" wrapText="1"/>
    </xf>
    <xf numFmtId="0" fontId="9" fillId="5" borderId="9" xfId="0" applyFont="1" applyFill="1" applyBorder="1" applyAlignment="1">
      <alignment horizontal="centerContinuous" vertical="center" wrapText="1"/>
    </xf>
    <xf numFmtId="168" fontId="15" fillId="7" borderId="6" xfId="0" applyNumberFormat="1" applyFont="1" applyFill="1" applyBorder="1" applyAlignment="1">
      <alignment horizontal="centerContinuous"/>
    </xf>
    <xf numFmtId="167" fontId="15" fillId="7" borderId="13" xfId="0" applyNumberFormat="1" applyFont="1" applyFill="1" applyBorder="1" applyAlignment="1">
      <alignment horizontal="centerContinuous"/>
    </xf>
    <xf numFmtId="167" fontId="15" fillId="7" borderId="7" xfId="0" applyNumberFormat="1" applyFont="1" applyFill="1" applyBorder="1" applyAlignment="1">
      <alignment horizontal="centerContinuous"/>
    </xf>
    <xf numFmtId="168" fontId="15" fillId="4" borderId="6" xfId="0" applyNumberFormat="1" applyFont="1" applyFill="1" applyBorder="1" applyAlignment="1">
      <alignment horizontal="centerContinuous"/>
    </xf>
    <xf numFmtId="167" fontId="15" fillId="4" borderId="13" xfId="0" applyNumberFormat="1" applyFont="1" applyFill="1" applyBorder="1" applyAlignment="1">
      <alignment horizontal="centerContinuous"/>
    </xf>
    <xf numFmtId="167" fontId="15" fillId="4" borderId="7" xfId="0" applyNumberFormat="1" applyFont="1" applyFill="1" applyBorder="1" applyAlignment="1">
      <alignment horizontal="centerContinuous"/>
    </xf>
    <xf numFmtId="168" fontId="15" fillId="8" borderId="6" xfId="0" applyNumberFormat="1" applyFont="1" applyFill="1" applyBorder="1" applyAlignment="1">
      <alignment horizontal="centerContinuous"/>
    </xf>
    <xf numFmtId="167" fontId="15" fillId="8" borderId="13" xfId="0" applyNumberFormat="1" applyFont="1" applyFill="1" applyBorder="1" applyAlignment="1">
      <alignment horizontal="centerContinuous"/>
    </xf>
    <xf numFmtId="167" fontId="15" fillId="8" borderId="7" xfId="0" applyNumberFormat="1" applyFont="1" applyFill="1" applyBorder="1" applyAlignment="1">
      <alignment horizontal="centerContinuous"/>
    </xf>
    <xf numFmtId="168" fontId="15" fillId="9" borderId="6" xfId="0" applyNumberFormat="1" applyFont="1" applyFill="1" applyBorder="1" applyAlignment="1">
      <alignment horizontal="centerContinuous"/>
    </xf>
    <xf numFmtId="167" fontId="15" fillId="9" borderId="13" xfId="0" applyNumberFormat="1" applyFont="1" applyFill="1" applyBorder="1" applyAlignment="1">
      <alignment horizontal="centerContinuous"/>
    </xf>
    <xf numFmtId="167" fontId="15" fillId="9" borderId="7" xfId="0" applyNumberFormat="1" applyFont="1" applyFill="1" applyBorder="1" applyAlignment="1">
      <alignment horizontal="centerContinuous"/>
    </xf>
    <xf numFmtId="168" fontId="15" fillId="10" borderId="6" xfId="0" applyNumberFormat="1" applyFont="1" applyFill="1" applyBorder="1" applyAlignment="1">
      <alignment horizontal="centerContinuous"/>
    </xf>
    <xf numFmtId="167" fontId="15" fillId="10" borderId="13" xfId="0" applyNumberFormat="1" applyFont="1" applyFill="1" applyBorder="1" applyAlignment="1">
      <alignment horizontal="centerContinuous"/>
    </xf>
    <xf numFmtId="167" fontId="15" fillId="10" borderId="7" xfId="0" applyNumberFormat="1" applyFont="1" applyFill="1" applyBorder="1" applyAlignment="1">
      <alignment horizontal="centerContinuous"/>
    </xf>
    <xf numFmtId="168" fontId="15" fillId="11" borderId="6" xfId="0" applyNumberFormat="1" applyFont="1" applyFill="1" applyBorder="1" applyAlignment="1">
      <alignment horizontal="centerContinuous"/>
    </xf>
    <xf numFmtId="167" fontId="15" fillId="11" borderId="13" xfId="0" applyNumberFormat="1" applyFont="1" applyFill="1" applyBorder="1" applyAlignment="1">
      <alignment horizontal="centerContinuous"/>
    </xf>
    <xf numFmtId="167" fontId="15" fillId="11" borderId="7" xfId="0" applyNumberFormat="1" applyFont="1" applyFill="1" applyBorder="1" applyAlignment="1">
      <alignment horizontal="centerContinuous"/>
    </xf>
    <xf numFmtId="168" fontId="15" fillId="12" borderId="6" xfId="0" applyNumberFormat="1" applyFont="1" applyFill="1" applyBorder="1" applyAlignment="1">
      <alignment horizontal="centerContinuous"/>
    </xf>
    <xf numFmtId="167" fontId="15" fillId="12" borderId="13" xfId="0" applyNumberFormat="1" applyFont="1" applyFill="1" applyBorder="1" applyAlignment="1">
      <alignment horizontal="centerContinuous"/>
    </xf>
    <xf numFmtId="167" fontId="15" fillId="12" borderId="7" xfId="0" applyNumberFormat="1" applyFont="1" applyFill="1" applyBorder="1" applyAlignment="1">
      <alignment horizontal="centerContinuous"/>
    </xf>
    <xf numFmtId="168" fontId="15" fillId="13" borderId="6" xfId="0" applyNumberFormat="1" applyFont="1" applyFill="1" applyBorder="1" applyAlignment="1">
      <alignment horizontal="centerContinuous"/>
    </xf>
    <xf numFmtId="167" fontId="15" fillId="13" borderId="13" xfId="0" applyNumberFormat="1" applyFont="1" applyFill="1" applyBorder="1" applyAlignment="1">
      <alignment horizontal="centerContinuous"/>
    </xf>
    <xf numFmtId="167" fontId="15" fillId="13" borderId="7" xfId="0" applyNumberFormat="1" applyFont="1" applyFill="1" applyBorder="1" applyAlignment="1">
      <alignment horizontal="centerContinuous"/>
    </xf>
    <xf numFmtId="168" fontId="15" fillId="14" borderId="6" xfId="0" applyNumberFormat="1" applyFont="1" applyFill="1" applyBorder="1" applyAlignment="1">
      <alignment horizontal="centerContinuous"/>
    </xf>
    <xf numFmtId="167" fontId="15" fillId="14" borderId="13" xfId="0" applyNumberFormat="1" applyFont="1" applyFill="1" applyBorder="1" applyAlignment="1">
      <alignment horizontal="centerContinuous"/>
    </xf>
    <xf numFmtId="167" fontId="15" fillId="14" borderId="7" xfId="0" applyNumberFormat="1" applyFont="1" applyFill="1" applyBorder="1" applyAlignment="1">
      <alignment horizontal="centerContinuous"/>
    </xf>
    <xf numFmtId="168" fontId="15" fillId="15" borderId="6" xfId="0" applyNumberFormat="1" applyFont="1" applyFill="1" applyBorder="1" applyAlignment="1">
      <alignment horizontal="centerContinuous"/>
    </xf>
    <xf numFmtId="167" fontId="15" fillId="15" borderId="13" xfId="0" applyNumberFormat="1" applyFont="1" applyFill="1" applyBorder="1" applyAlignment="1">
      <alignment horizontal="centerContinuous"/>
    </xf>
    <xf numFmtId="167" fontId="15" fillId="15" borderId="7" xfId="0" applyNumberFormat="1" applyFont="1" applyFill="1" applyBorder="1" applyAlignment="1">
      <alignment horizontal="centerContinuous"/>
    </xf>
    <xf numFmtId="168" fontId="15" fillId="16" borderId="6" xfId="0" applyNumberFormat="1" applyFont="1" applyFill="1" applyBorder="1" applyAlignment="1">
      <alignment horizontal="centerContinuous"/>
    </xf>
    <xf numFmtId="167" fontId="15" fillId="16" borderId="13" xfId="0" applyNumberFormat="1" applyFont="1" applyFill="1" applyBorder="1" applyAlignment="1">
      <alignment horizontal="centerContinuous"/>
    </xf>
    <xf numFmtId="167" fontId="15" fillId="16" borderId="7" xfId="0" applyNumberFormat="1" applyFont="1" applyFill="1" applyBorder="1" applyAlignment="1">
      <alignment horizontal="centerContinuous"/>
    </xf>
    <xf numFmtId="168" fontId="15" fillId="17" borderId="6" xfId="0" applyNumberFormat="1" applyFont="1" applyFill="1" applyBorder="1" applyAlignment="1">
      <alignment horizontal="centerContinuous"/>
    </xf>
    <xf numFmtId="167" fontId="15" fillId="17" borderId="13" xfId="0" applyNumberFormat="1" applyFont="1" applyFill="1" applyBorder="1" applyAlignment="1">
      <alignment horizontal="centerContinuous"/>
    </xf>
    <xf numFmtId="167" fontId="15" fillId="17" borderId="7" xfId="0" applyNumberFormat="1" applyFont="1" applyFill="1" applyBorder="1" applyAlignment="1">
      <alignment horizontal="centerContinuous"/>
    </xf>
    <xf numFmtId="0" fontId="6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" xfId="0" applyFont="1" applyBorder="1" applyAlignment="1">
      <alignment horizontal="right" vertical="center"/>
    </xf>
    <xf numFmtId="166" fontId="7" fillId="0" borderId="4" xfId="1" applyNumberFormat="1" applyFont="1" applyBorder="1" applyAlignment="1"/>
    <xf numFmtId="169" fontId="8" fillId="0" borderId="3" xfId="191" applyNumberFormat="1" applyFont="1" applyBorder="1" applyAlignment="1">
      <alignment vertical="center"/>
    </xf>
    <xf numFmtId="169" fontId="7" fillId="0" borderId="2" xfId="191" applyNumberFormat="1" applyFont="1" applyBorder="1" applyAlignment="1">
      <alignment vertical="center"/>
    </xf>
    <xf numFmtId="169" fontId="7" fillId="0" borderId="1" xfId="191" applyNumberFormat="1" applyFont="1" applyBorder="1" applyAlignment="1">
      <alignment vertical="center"/>
    </xf>
    <xf numFmtId="169" fontId="7" fillId="0" borderId="5" xfId="191" applyNumberFormat="1" applyFont="1" applyBorder="1" applyAlignment="1">
      <alignment vertical="center"/>
    </xf>
    <xf numFmtId="169" fontId="7" fillId="0" borderId="25" xfId="191" applyNumberFormat="1" applyFont="1" applyBorder="1" applyAlignment="1">
      <alignment vertical="center"/>
    </xf>
    <xf numFmtId="169" fontId="7" fillId="0" borderId="3" xfId="191" applyNumberFormat="1" applyFont="1" applyBorder="1" applyAlignment="1">
      <alignment vertical="center"/>
    </xf>
    <xf numFmtId="169" fontId="8" fillId="0" borderId="5" xfId="191" applyNumberFormat="1" applyFont="1" applyBorder="1" applyAlignment="1">
      <alignment vertical="center"/>
    </xf>
    <xf numFmtId="0" fontId="6" fillId="0" borderId="26" xfId="0" applyFont="1" applyBorder="1" applyAlignment="1">
      <alignment horizontal="center" vertical="center"/>
    </xf>
    <xf numFmtId="0" fontId="6" fillId="0" borderId="26" xfId="0" applyFont="1" applyBorder="1" applyAlignment="1">
      <alignment vertical="center"/>
    </xf>
    <xf numFmtId="166" fontId="0" fillId="0" borderId="0" xfId="0" applyNumberFormat="1"/>
    <xf numFmtId="0" fontId="6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69" fontId="7" fillId="0" borderId="27" xfId="191" applyNumberFormat="1" applyFont="1" applyBorder="1" applyAlignment="1">
      <alignment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vertical="center"/>
    </xf>
    <xf numFmtId="170" fontId="52" fillId="0" borderId="0" xfId="192" applyNumberFormat="1" applyFont="1" applyAlignment="1">
      <alignment vertical="center"/>
    </xf>
    <xf numFmtId="0" fontId="2" fillId="0" borderId="0" xfId="192"/>
    <xf numFmtId="170" fontId="53" fillId="0" borderId="0" xfId="192" applyNumberFormat="1" applyFont="1"/>
    <xf numFmtId="0" fontId="54" fillId="0" borderId="6" xfId="195" applyFont="1" applyBorder="1" applyAlignment="1">
      <alignment horizontal="center"/>
    </xf>
    <xf numFmtId="0" fontId="55" fillId="0" borderId="28" xfId="192" applyFont="1" applyBorder="1" applyAlignment="1" applyProtection="1">
      <alignment horizontal="center" vertical="center" wrapText="1"/>
      <protection locked="0"/>
    </xf>
    <xf numFmtId="0" fontId="55" fillId="0" borderId="29" xfId="192" applyFont="1" applyBorder="1" applyAlignment="1" applyProtection="1">
      <alignment horizontal="center" vertical="center" wrapText="1"/>
      <protection locked="0"/>
    </xf>
    <xf numFmtId="0" fontId="55" fillId="40" borderId="28" xfId="192" applyFont="1" applyFill="1" applyBorder="1" applyAlignment="1" applyProtection="1">
      <alignment horizontal="center" vertical="center" wrapText="1"/>
      <protection locked="0"/>
    </xf>
    <xf numFmtId="0" fontId="55" fillId="0" borderId="30" xfId="192" applyFont="1" applyBorder="1" applyAlignment="1" applyProtection="1">
      <alignment horizontal="center" vertical="center" wrapText="1"/>
      <protection locked="0"/>
    </xf>
    <xf numFmtId="0" fontId="55" fillId="40" borderId="31" xfId="192" applyFont="1" applyFill="1" applyBorder="1" applyAlignment="1" applyProtection="1">
      <alignment horizontal="center" vertical="center" wrapText="1"/>
      <protection locked="0"/>
    </xf>
    <xf numFmtId="170" fontId="56" fillId="4" borderId="6" xfId="192" applyNumberFormat="1" applyFont="1" applyFill="1" applyBorder="1"/>
    <xf numFmtId="3" fontId="54" fillId="40" borderId="4" xfId="195" applyNumberFormat="1" applyFont="1" applyFill="1" applyBorder="1" applyAlignment="1" applyProtection="1">
      <alignment vertical="center"/>
      <protection locked="0"/>
    </xf>
    <xf numFmtId="3" fontId="55" fillId="40" borderId="32" xfId="2" applyNumberFormat="1" applyFont="1" applyFill="1" applyBorder="1" applyAlignment="1" applyProtection="1">
      <protection locked="0"/>
    </xf>
    <xf numFmtId="170" fontId="57" fillId="0" borderId="0" xfId="192" applyNumberFormat="1" applyFont="1"/>
    <xf numFmtId="3" fontId="3" fillId="0" borderId="4" xfId="195" applyNumberFormat="1" applyFont="1" applyBorder="1" applyAlignment="1" applyProtection="1">
      <alignment vertical="center"/>
      <protection locked="0"/>
    </xf>
    <xf numFmtId="3" fontId="55" fillId="0" borderId="7" xfId="193" applyNumberFormat="1" applyFont="1" applyFill="1" applyBorder="1" applyAlignment="1" applyProtection="1"/>
    <xf numFmtId="3" fontId="55" fillId="40" borderId="33" xfId="193" applyNumberFormat="1" applyFont="1" applyFill="1" applyBorder="1" applyAlignment="1" applyProtection="1"/>
    <xf numFmtId="3" fontId="3" fillId="0" borderId="3" xfId="195" applyNumberFormat="1" applyFont="1" applyBorder="1" applyAlignment="1" applyProtection="1">
      <alignment horizontal="right" vertical="center"/>
      <protection locked="0"/>
    </xf>
    <xf numFmtId="3" fontId="3" fillId="0" borderId="2" xfId="195" applyNumberFormat="1" applyFont="1" applyBorder="1" applyAlignment="1" applyProtection="1">
      <alignment horizontal="right" vertical="center"/>
      <protection locked="0"/>
    </xf>
    <xf numFmtId="3" fontId="55" fillId="40" borderId="34" xfId="193" applyNumberFormat="1" applyFont="1" applyFill="1" applyBorder="1" applyAlignment="1" applyProtection="1"/>
    <xf numFmtId="3" fontId="55" fillId="0" borderId="35" xfId="193" applyNumberFormat="1" applyFont="1" applyFill="1" applyBorder="1" applyAlignment="1" applyProtection="1"/>
    <xf numFmtId="3" fontId="3" fillId="0" borderId="1" xfId="195" applyNumberFormat="1" applyFont="1" applyBorder="1" applyAlignment="1" applyProtection="1">
      <alignment vertical="center"/>
      <protection locked="0"/>
    </xf>
    <xf numFmtId="3" fontId="55" fillId="0" borderId="36" xfId="193" applyNumberFormat="1" applyFont="1" applyFill="1" applyBorder="1" applyAlignment="1" applyProtection="1"/>
    <xf numFmtId="3" fontId="55" fillId="40" borderId="37" xfId="193" applyNumberFormat="1" applyFont="1" applyFill="1" applyBorder="1" applyAlignment="1" applyProtection="1"/>
    <xf numFmtId="3" fontId="4" fillId="0" borderId="4" xfId="195" applyNumberFormat="1" applyBorder="1" applyAlignment="1" applyProtection="1">
      <alignment vertical="center"/>
      <protection locked="0"/>
    </xf>
    <xf numFmtId="3" fontId="55" fillId="0" borderId="7" xfId="2" applyNumberFormat="1" applyFont="1" applyFill="1" applyBorder="1" applyAlignment="1" applyProtection="1"/>
    <xf numFmtId="3" fontId="55" fillId="40" borderId="38" xfId="2" applyNumberFormat="1" applyFont="1" applyFill="1" applyBorder="1" applyAlignment="1" applyProtection="1"/>
    <xf numFmtId="170" fontId="58" fillId="0" borderId="0" xfId="192" applyNumberFormat="1" applyFont="1"/>
    <xf numFmtId="3" fontId="2" fillId="0" borderId="0" xfId="192" applyNumberFormat="1" applyAlignment="1">
      <alignment vertical="center"/>
    </xf>
    <xf numFmtId="3" fontId="55" fillId="0" borderId="0" xfId="192" applyNumberFormat="1" applyFont="1" applyProtection="1">
      <protection locked="0"/>
    </xf>
    <xf numFmtId="3" fontId="55" fillId="40" borderId="13" xfId="2" applyNumberFormat="1" applyFont="1" applyFill="1" applyBorder="1" applyAlignment="1" applyProtection="1">
      <protection locked="0"/>
    </xf>
    <xf numFmtId="3" fontId="55" fillId="40" borderId="39" xfId="2" applyNumberFormat="1" applyFont="1" applyFill="1" applyBorder="1" applyAlignment="1" applyProtection="1">
      <protection locked="0"/>
    </xf>
    <xf numFmtId="3" fontId="55" fillId="40" borderId="40" xfId="2" applyNumberFormat="1" applyFont="1" applyFill="1" applyBorder="1" applyAlignment="1" applyProtection="1">
      <protection locked="0"/>
    </xf>
    <xf numFmtId="3" fontId="55" fillId="0" borderId="12" xfId="193" applyNumberFormat="1" applyFont="1" applyFill="1" applyBorder="1" applyAlignment="1" applyProtection="1"/>
    <xf numFmtId="0" fontId="2" fillId="0" borderId="0" xfId="192" applyAlignment="1">
      <alignment vertical="center"/>
    </xf>
    <xf numFmtId="0" fontId="55" fillId="0" borderId="0" xfId="192" applyFont="1" applyProtection="1">
      <protection locked="0"/>
    </xf>
    <xf numFmtId="0" fontId="59" fillId="4" borderId="0" xfId="0" applyFont="1" applyFill="1" applyBorder="1" applyAlignment="1" applyProtection="1">
      <alignment horizontal="distributed"/>
    </xf>
    <xf numFmtId="170" fontId="60" fillId="3" borderId="0" xfId="192" applyNumberFormat="1" applyFont="1" applyFill="1"/>
    <xf numFmtId="170" fontId="61" fillId="0" borderId="0" xfId="0" applyNumberFormat="1" applyFont="1"/>
    <xf numFmtId="3" fontId="12" fillId="0" borderId="4" xfId="195" applyNumberFormat="1" applyFont="1" applyBorder="1" applyAlignment="1" applyProtection="1">
      <alignment vertical="center"/>
      <protection locked="0"/>
    </xf>
    <xf numFmtId="3" fontId="55" fillId="0" borderId="7" xfId="1" applyNumberFormat="1" applyFont="1" applyFill="1" applyBorder="1" applyAlignment="1" applyProtection="1"/>
    <xf numFmtId="3" fontId="55" fillId="40" borderId="33" xfId="1" applyNumberFormat="1" applyFont="1" applyFill="1" applyBorder="1" applyAlignment="1" applyProtection="1"/>
    <xf numFmtId="3" fontId="12" fillId="0" borderId="3" xfId="195" applyNumberFormat="1" applyFont="1" applyBorder="1" applyAlignment="1" applyProtection="1">
      <alignment horizontal="right" vertical="center"/>
      <protection locked="0"/>
    </xf>
    <xf numFmtId="3" fontId="55" fillId="0" borderId="12" xfId="1" applyNumberFormat="1" applyFont="1" applyFill="1" applyBorder="1" applyAlignment="1" applyProtection="1"/>
    <xf numFmtId="3" fontId="55" fillId="40" borderId="41" xfId="1" applyNumberFormat="1" applyFont="1" applyFill="1" applyBorder="1" applyAlignment="1" applyProtection="1"/>
    <xf numFmtId="3" fontId="12" fillId="0" borderId="2" xfId="195" applyNumberFormat="1" applyFont="1" applyBorder="1" applyAlignment="1" applyProtection="1">
      <alignment horizontal="right" vertical="center"/>
      <protection locked="0"/>
    </xf>
    <xf numFmtId="3" fontId="55" fillId="0" borderId="35" xfId="1" applyNumberFormat="1" applyFont="1" applyFill="1" applyBorder="1" applyAlignment="1" applyProtection="1"/>
    <xf numFmtId="3" fontId="55" fillId="40" borderId="34" xfId="1" applyNumberFormat="1" applyFont="1" applyFill="1" applyBorder="1" applyAlignment="1" applyProtection="1"/>
    <xf numFmtId="3" fontId="12" fillId="0" borderId="1" xfId="195" applyNumberFormat="1" applyFont="1" applyBorder="1" applyAlignment="1" applyProtection="1">
      <alignment vertical="center"/>
      <protection locked="0"/>
    </xf>
    <xf numFmtId="3" fontId="55" fillId="0" borderId="36" xfId="1" applyNumberFormat="1" applyFont="1" applyFill="1" applyBorder="1" applyAlignment="1" applyProtection="1"/>
    <xf numFmtId="3" fontId="55" fillId="40" borderId="37" xfId="1" applyNumberFormat="1" applyFont="1" applyFill="1" applyBorder="1" applyAlignment="1" applyProtection="1"/>
    <xf numFmtId="170" fontId="62" fillId="0" borderId="0" xfId="0" applyNumberFormat="1" applyFont="1"/>
    <xf numFmtId="3" fontId="0" fillId="0" borderId="0" xfId="0" applyNumberFormat="1" applyAlignment="1">
      <alignment vertical="center"/>
    </xf>
    <xf numFmtId="3" fontId="55" fillId="0" borderId="0" xfId="0" applyNumberFormat="1" applyFont="1" applyProtection="1">
      <protection locked="0"/>
    </xf>
    <xf numFmtId="170" fontId="63" fillId="4" borderId="6" xfId="0" applyNumberFormat="1" applyFont="1" applyFill="1" applyBorder="1"/>
    <xf numFmtId="3" fontId="4" fillId="0" borderId="0" xfId="195" applyNumberFormat="1" applyBorder="1" applyAlignment="1" applyProtection="1">
      <alignment vertical="center"/>
      <protection locked="0"/>
    </xf>
    <xf numFmtId="3" fontId="55" fillId="0" borderId="0" xfId="2" applyNumberFormat="1" applyFont="1" applyFill="1" applyBorder="1" applyAlignment="1" applyProtection="1"/>
    <xf numFmtId="3" fontId="55" fillId="40" borderId="0" xfId="2" applyNumberFormat="1" applyFont="1" applyFill="1" applyBorder="1" applyAlignment="1" applyProtection="1"/>
    <xf numFmtId="0" fontId="64" fillId="3" borderId="0" xfId="192" applyFont="1" applyFill="1"/>
    <xf numFmtId="170" fontId="63" fillId="8" borderId="6" xfId="0" applyNumberFormat="1" applyFont="1" applyFill="1" applyBorder="1"/>
    <xf numFmtId="3" fontId="54" fillId="8" borderId="4" xfId="195" applyNumberFormat="1" applyFont="1" applyFill="1" applyBorder="1" applyAlignment="1" applyProtection="1">
      <alignment vertical="center"/>
      <protection locked="0"/>
    </xf>
    <xf numFmtId="170" fontId="61" fillId="8" borderId="0" xfId="0" applyNumberFormat="1" applyFont="1" applyFill="1"/>
    <xf numFmtId="3" fontId="12" fillId="8" borderId="4" xfId="195" applyNumberFormat="1" applyFont="1" applyFill="1" applyBorder="1" applyAlignment="1" applyProtection="1">
      <alignment vertical="center"/>
      <protection locked="0"/>
    </xf>
    <xf numFmtId="3" fontId="12" fillId="8" borderId="3" xfId="195" applyNumberFormat="1" applyFont="1" applyFill="1" applyBorder="1" applyAlignment="1" applyProtection="1">
      <alignment horizontal="right" vertical="center"/>
      <protection locked="0"/>
    </xf>
    <xf numFmtId="3" fontId="12" fillId="8" borderId="2" xfId="195" applyNumberFormat="1" applyFont="1" applyFill="1" applyBorder="1" applyAlignment="1" applyProtection="1">
      <alignment horizontal="right" vertical="center"/>
      <protection locked="0"/>
    </xf>
    <xf numFmtId="3" fontId="12" fillId="8" borderId="1" xfId="195" applyNumberFormat="1" applyFont="1" applyFill="1" applyBorder="1" applyAlignment="1" applyProtection="1">
      <alignment vertical="center"/>
      <protection locked="0"/>
    </xf>
    <xf numFmtId="3" fontId="4" fillId="8" borderId="4" xfId="195" applyNumberFormat="1" applyFill="1" applyBorder="1" applyAlignment="1" applyProtection="1">
      <alignment vertical="center"/>
      <protection locked="0"/>
    </xf>
    <xf numFmtId="170" fontId="62" fillId="8" borderId="0" xfId="0" applyNumberFormat="1" applyFont="1" applyFill="1"/>
    <xf numFmtId="3" fontId="0" fillId="8" borderId="0" xfId="0" applyNumberFormat="1" applyFill="1" applyAlignment="1">
      <alignment vertical="center"/>
    </xf>
    <xf numFmtId="3" fontId="65" fillId="0" borderId="0" xfId="0" applyNumberFormat="1" applyFont="1" applyFill="1" applyBorder="1" applyAlignment="1" applyProtection="1">
      <alignment horizontal="distributed"/>
    </xf>
    <xf numFmtId="170" fontId="66" fillId="41" borderId="6" xfId="192" applyNumberFormat="1" applyFont="1" applyFill="1" applyBorder="1" applyAlignment="1">
      <alignment horizontal="center" vertical="center" wrapText="1"/>
    </xf>
    <xf numFmtId="171" fontId="67" fillId="42" borderId="32" xfId="194" applyNumberFormat="1" applyFont="1" applyFill="1" applyBorder="1" applyAlignment="1" applyProtection="1"/>
    <xf numFmtId="172" fontId="53" fillId="2" borderId="4" xfId="193" applyNumberFormat="1" applyFont="1" applyFill="1" applyBorder="1" applyAlignment="1" applyProtection="1">
      <alignment vertical="center"/>
      <protection locked="0"/>
    </xf>
    <xf numFmtId="172" fontId="53" fillId="2" borderId="42" xfId="193" applyNumberFormat="1" applyFont="1" applyFill="1" applyBorder="1" applyAlignment="1" applyProtection="1">
      <alignment horizontal="right" vertical="center"/>
      <protection locked="0"/>
    </xf>
    <xf numFmtId="172" fontId="53" fillId="2" borderId="43" xfId="193" applyNumberFormat="1" applyFont="1" applyFill="1" applyBorder="1" applyAlignment="1" applyProtection="1">
      <alignment horizontal="right" vertical="center"/>
      <protection locked="0"/>
    </xf>
    <xf numFmtId="172" fontId="53" fillId="2" borderId="44" xfId="193" applyNumberFormat="1" applyFont="1" applyFill="1" applyBorder="1" applyAlignment="1" applyProtection="1">
      <alignment vertical="center"/>
    </xf>
    <xf numFmtId="172" fontId="67" fillId="43" borderId="45" xfId="193" applyNumberFormat="1" applyFont="1" applyFill="1" applyBorder="1" applyAlignment="1" applyProtection="1">
      <alignment vertical="center"/>
    </xf>
    <xf numFmtId="172" fontId="67" fillId="0" borderId="32" xfId="193" applyNumberFormat="1" applyFont="1" applyFill="1" applyBorder="1" applyAlignment="1" applyProtection="1">
      <alignment vertical="center"/>
    </xf>
    <xf numFmtId="172" fontId="67" fillId="0" borderId="0" xfId="193" applyNumberFormat="1" applyFont="1" applyFill="1" applyBorder="1" applyAlignment="1" applyProtection="1">
      <alignment vertical="center"/>
    </xf>
    <xf numFmtId="0" fontId="68" fillId="3" borderId="0" xfId="192" applyFont="1" applyFill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44" borderId="4" xfId="0" applyFill="1" applyBorder="1"/>
    <xf numFmtId="169" fontId="0" fillId="0" borderId="4" xfId="191" applyNumberFormat="1" applyFont="1" applyBorder="1"/>
    <xf numFmtId="169" fontId="0" fillId="44" borderId="4" xfId="191" applyNumberFormat="1" applyFont="1" applyFill="1" applyBorder="1"/>
    <xf numFmtId="172" fontId="2" fillId="0" borderId="0" xfId="192" applyNumberFormat="1"/>
    <xf numFmtId="171" fontId="69" fillId="42" borderId="46" xfId="59" applyNumberFormat="1" applyFont="1" applyFill="1" applyBorder="1" applyAlignment="1" applyProtection="1">
      <protection locked="0"/>
    </xf>
    <xf numFmtId="171" fontId="69" fillId="42" borderId="47" xfId="59" applyNumberFormat="1" applyFont="1" applyFill="1" applyBorder="1" applyAlignment="1" applyProtection="1">
      <protection locked="0"/>
    </xf>
    <xf numFmtId="165" fontId="70" fillId="2" borderId="48" xfId="0" applyNumberFormat="1" applyFont="1" applyFill="1" applyBorder="1" applyAlignment="1" applyProtection="1">
      <alignment horizontal="left" vertical="center"/>
      <protection locked="0"/>
    </xf>
    <xf numFmtId="165" fontId="70" fillId="2" borderId="7" xfId="0" applyNumberFormat="1" applyFont="1" applyFill="1" applyBorder="1" applyAlignment="1" applyProtection="1">
      <alignment vertical="center"/>
      <protection locked="0"/>
    </xf>
    <xf numFmtId="165" fontId="70" fillId="2" borderId="49" xfId="0" applyNumberFormat="1" applyFont="1" applyFill="1" applyBorder="1" applyAlignment="1" applyProtection="1">
      <alignment vertical="center"/>
      <protection locked="0"/>
    </xf>
    <xf numFmtId="165" fontId="70" fillId="2" borderId="50" xfId="0" applyNumberFormat="1" applyFont="1" applyFill="1" applyBorder="1" applyAlignment="1" applyProtection="1">
      <alignment vertical="center"/>
      <protection locked="0"/>
    </xf>
    <xf numFmtId="165" fontId="70" fillId="2" borderId="51" xfId="0" applyNumberFormat="1" applyFont="1" applyFill="1" applyBorder="1" applyAlignment="1" applyProtection="1">
      <alignment horizontal="left" vertical="center"/>
      <protection locked="0"/>
    </xf>
    <xf numFmtId="165" fontId="70" fillId="2" borderId="52" xfId="0" applyNumberFormat="1" applyFont="1" applyFill="1" applyBorder="1" applyAlignment="1" applyProtection="1">
      <alignment vertical="center"/>
      <protection locked="0"/>
    </xf>
    <xf numFmtId="165" fontId="70" fillId="2" borderId="53" xfId="0" applyNumberFormat="1" applyFont="1" applyFill="1" applyBorder="1" applyAlignment="1" applyProtection="1">
      <alignment vertical="center"/>
      <protection locked="0"/>
    </xf>
    <xf numFmtId="165" fontId="71" fillId="45" borderId="8" xfId="0" applyNumberFormat="1" applyFont="1" applyFill="1" applyBorder="1" applyAlignment="1" applyProtection="1">
      <protection locked="0"/>
    </xf>
    <xf numFmtId="165" fontId="69" fillId="43" borderId="54" xfId="0" applyNumberFormat="1" applyFont="1" applyFill="1" applyBorder="1" applyAlignment="1" applyProtection="1">
      <alignment vertical="center"/>
      <protection locked="0"/>
    </xf>
    <xf numFmtId="165" fontId="69" fillId="43" borderId="40" xfId="0" applyNumberFormat="1" applyFont="1" applyFill="1" applyBorder="1" applyAlignment="1" applyProtection="1">
      <alignment vertical="center"/>
      <protection locked="0"/>
    </xf>
    <xf numFmtId="0" fontId="70" fillId="2" borderId="0" xfId="0" applyFont="1" applyFill="1" applyBorder="1" applyAlignment="1" applyProtection="1">
      <alignment vertical="center"/>
      <protection locked="0"/>
    </xf>
    <xf numFmtId="0" fontId="70" fillId="2" borderId="48" xfId="0" applyNumberFormat="1" applyFont="1" applyFill="1" applyBorder="1" applyAlignment="1" applyProtection="1">
      <alignment vertical="center"/>
      <protection locked="0"/>
    </xf>
    <xf numFmtId="0" fontId="70" fillId="2" borderId="11" xfId="0" applyNumberFormat="1" applyFont="1" applyFill="1" applyBorder="1" applyAlignment="1" applyProtection="1">
      <alignment vertical="center"/>
      <protection locked="0"/>
    </xf>
    <xf numFmtId="0" fontId="70" fillId="2" borderId="49" xfId="0" applyNumberFormat="1" applyFont="1" applyFill="1" applyBorder="1" applyAlignment="1" applyProtection="1">
      <alignment vertical="center"/>
      <protection locked="0"/>
    </xf>
    <xf numFmtId="0" fontId="70" fillId="2" borderId="51" xfId="0" applyNumberFormat="1" applyFont="1" applyFill="1" applyBorder="1" applyAlignment="1" applyProtection="1">
      <alignment vertical="center"/>
      <protection locked="0"/>
    </xf>
    <xf numFmtId="0" fontId="70" fillId="2" borderId="53" xfId="0" applyNumberFormat="1" applyFont="1" applyFill="1" applyBorder="1" applyAlignment="1" applyProtection="1">
      <alignment vertical="center"/>
      <protection locked="0"/>
    </xf>
    <xf numFmtId="0" fontId="71" fillId="45" borderId="7" xfId="0" applyFont="1" applyFill="1" applyBorder="1" applyAlignment="1" applyProtection="1">
      <protection locked="0"/>
    </xf>
    <xf numFmtId="0" fontId="69" fillId="43" borderId="54" xfId="0" applyNumberFormat="1" applyFont="1" applyFill="1" applyBorder="1" applyAlignment="1" applyProtection="1">
      <alignment vertical="center"/>
      <protection locked="0"/>
    </xf>
    <xf numFmtId="49" fontId="69" fillId="43" borderId="40" xfId="0" applyNumberFormat="1" applyFont="1" applyFill="1" applyBorder="1" applyAlignment="1" applyProtection="1">
      <alignment vertical="center"/>
      <protection locked="0"/>
    </xf>
    <xf numFmtId="165" fontId="70" fillId="2" borderId="50" xfId="0" applyNumberFormat="1" applyFont="1" applyFill="1" applyBorder="1" applyAlignment="1" applyProtection="1">
      <alignment horizontal="left" vertical="center"/>
      <protection locked="0"/>
    </xf>
    <xf numFmtId="165" fontId="70" fillId="2" borderId="52" xfId="0" applyNumberFormat="1" applyFont="1" applyFill="1" applyBorder="1" applyAlignment="1" applyProtection="1">
      <alignment horizontal="left" vertical="center"/>
      <protection locked="0"/>
    </xf>
    <xf numFmtId="170" fontId="72" fillId="41" borderId="55" xfId="0" applyNumberFormat="1" applyFont="1" applyFill="1" applyBorder="1" applyAlignment="1" applyProtection="1">
      <alignment horizontal="center" vertical="center" wrapText="1"/>
    </xf>
    <xf numFmtId="170" fontId="72" fillId="41" borderId="56" xfId="0" applyNumberFormat="1" applyFont="1" applyFill="1" applyBorder="1" applyAlignment="1" applyProtection="1">
      <alignment horizontal="center" vertical="center" wrapText="1"/>
    </xf>
    <xf numFmtId="170" fontId="72" fillId="41" borderId="57" xfId="0" applyNumberFormat="1" applyFont="1" applyFill="1" applyBorder="1" applyAlignment="1" applyProtection="1">
      <alignment horizontal="center" vertical="center" wrapText="1"/>
    </xf>
    <xf numFmtId="170" fontId="72" fillId="41" borderId="58" xfId="0" applyNumberFormat="1" applyFont="1" applyFill="1" applyBorder="1" applyAlignment="1" applyProtection="1">
      <alignment horizontal="center" vertical="center"/>
    </xf>
    <xf numFmtId="170" fontId="72" fillId="41" borderId="56" xfId="0" applyNumberFormat="1" applyFont="1" applyFill="1" applyBorder="1" applyAlignment="1" applyProtection="1">
      <alignment horizontal="center" vertical="center"/>
    </xf>
    <xf numFmtId="170" fontId="72" fillId="41" borderId="57" xfId="0" applyNumberFormat="1" applyFont="1" applyFill="1" applyBorder="1" applyAlignment="1" applyProtection="1">
      <alignment horizontal="center" vertical="center"/>
    </xf>
    <xf numFmtId="41" fontId="0" fillId="0" borderId="4" xfId="191" applyFont="1" applyBorder="1"/>
    <xf numFmtId="173" fontId="0" fillId="0" borderId="4" xfId="191" applyNumberFormat="1" applyFont="1" applyBorder="1"/>
    <xf numFmtId="0" fontId="1" fillId="3" borderId="0" xfId="192" applyFont="1" applyFill="1"/>
    <xf numFmtId="0" fontId="9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vertical="center"/>
    </xf>
    <xf numFmtId="0" fontId="9" fillId="0" borderId="44" xfId="0" applyFont="1" applyBorder="1" applyAlignment="1">
      <alignment horizontal="center" vertical="center"/>
    </xf>
    <xf numFmtId="0" fontId="9" fillId="0" borderId="44" xfId="0" applyFont="1" applyBorder="1" applyAlignment="1">
      <alignment vertical="center"/>
    </xf>
    <xf numFmtId="0" fontId="7" fillId="0" borderId="44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/>
    <xf numFmtId="0" fontId="7" fillId="4" borderId="25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2" fillId="4" borderId="0" xfId="192" applyFill="1"/>
  </cellXfs>
  <cellStyles count="196">
    <cellStyle name="_FY2014 MP作成依頼（KDTCN).1207(3)" xfId="11" xr:uid="{00000000-0005-0000-0000-000000000000}"/>
    <cellStyle name="20% - Accent1 2" xfId="12" xr:uid="{00000000-0005-0000-0000-000001000000}"/>
    <cellStyle name="20% - Accent2 2" xfId="13" xr:uid="{00000000-0005-0000-0000-000002000000}"/>
    <cellStyle name="20% - Accent3 2" xfId="14" xr:uid="{00000000-0005-0000-0000-000003000000}"/>
    <cellStyle name="20% - Accent4 2" xfId="15" xr:uid="{00000000-0005-0000-0000-000004000000}"/>
    <cellStyle name="20% - Accent5 2" xfId="16" xr:uid="{00000000-0005-0000-0000-000005000000}"/>
    <cellStyle name="20% - Accent6 2" xfId="17" xr:uid="{00000000-0005-0000-0000-000006000000}"/>
    <cellStyle name="20% - アクセント 1" xfId="18" xr:uid="{00000000-0005-0000-0000-000007000000}"/>
    <cellStyle name="20% - アクセント 2" xfId="19" xr:uid="{00000000-0005-0000-0000-000008000000}"/>
    <cellStyle name="20% - アクセント 3" xfId="20" xr:uid="{00000000-0005-0000-0000-000009000000}"/>
    <cellStyle name="20% - アクセント 4" xfId="21" xr:uid="{00000000-0005-0000-0000-00000A000000}"/>
    <cellStyle name="20% - アクセント 5" xfId="22" xr:uid="{00000000-0005-0000-0000-00000B000000}"/>
    <cellStyle name="20% - アクセント 6" xfId="23" xr:uid="{00000000-0005-0000-0000-00000C000000}"/>
    <cellStyle name="3232" xfId="24" xr:uid="{00000000-0005-0000-0000-00000D000000}"/>
    <cellStyle name="40% - Accent1 2" xfId="25" xr:uid="{00000000-0005-0000-0000-00000E000000}"/>
    <cellStyle name="40% - Accent2 2" xfId="26" xr:uid="{00000000-0005-0000-0000-00000F000000}"/>
    <cellStyle name="40% - Accent3 2" xfId="27" xr:uid="{00000000-0005-0000-0000-000010000000}"/>
    <cellStyle name="40% - Accent4 2" xfId="28" xr:uid="{00000000-0005-0000-0000-000011000000}"/>
    <cellStyle name="40% - Accent5 2" xfId="29" xr:uid="{00000000-0005-0000-0000-000012000000}"/>
    <cellStyle name="40% - Accent6 2" xfId="30" xr:uid="{00000000-0005-0000-0000-000013000000}"/>
    <cellStyle name="40% - アクセント 1" xfId="31" xr:uid="{00000000-0005-0000-0000-000014000000}"/>
    <cellStyle name="40% - アクセント 2" xfId="32" xr:uid="{00000000-0005-0000-0000-000015000000}"/>
    <cellStyle name="40% - アクセント 3" xfId="33" xr:uid="{00000000-0005-0000-0000-000016000000}"/>
    <cellStyle name="40% - アクセント 4" xfId="34" xr:uid="{00000000-0005-0000-0000-000017000000}"/>
    <cellStyle name="40% - アクセント 5" xfId="35" xr:uid="{00000000-0005-0000-0000-000018000000}"/>
    <cellStyle name="40% - アクセント 6" xfId="36" xr:uid="{00000000-0005-0000-0000-000019000000}"/>
    <cellStyle name="60% - Accent1 2" xfId="37" xr:uid="{00000000-0005-0000-0000-00001A000000}"/>
    <cellStyle name="60% - Accent2 2" xfId="38" xr:uid="{00000000-0005-0000-0000-00001B000000}"/>
    <cellStyle name="60% - Accent3 2" xfId="39" xr:uid="{00000000-0005-0000-0000-00001C000000}"/>
    <cellStyle name="60% - Accent4 2" xfId="40" xr:uid="{00000000-0005-0000-0000-00001D000000}"/>
    <cellStyle name="60% - Accent5 2" xfId="41" xr:uid="{00000000-0005-0000-0000-00001E000000}"/>
    <cellStyle name="60% - Accent6 2" xfId="42" xr:uid="{00000000-0005-0000-0000-00001F000000}"/>
    <cellStyle name="60% - アクセント 1" xfId="43" xr:uid="{00000000-0005-0000-0000-000020000000}"/>
    <cellStyle name="60% - アクセント 2" xfId="44" xr:uid="{00000000-0005-0000-0000-000021000000}"/>
    <cellStyle name="60% - アクセント 3" xfId="45" xr:uid="{00000000-0005-0000-0000-000022000000}"/>
    <cellStyle name="60% - アクセント 4" xfId="46" xr:uid="{00000000-0005-0000-0000-000023000000}"/>
    <cellStyle name="60% - アクセント 5" xfId="47" xr:uid="{00000000-0005-0000-0000-000024000000}"/>
    <cellStyle name="60% - アクセント 6" xfId="48" xr:uid="{00000000-0005-0000-0000-000025000000}"/>
    <cellStyle name="Accent1 2" xfId="49" xr:uid="{00000000-0005-0000-0000-000026000000}"/>
    <cellStyle name="Accent2 2" xfId="50" xr:uid="{00000000-0005-0000-0000-000027000000}"/>
    <cellStyle name="Accent3 2" xfId="51" xr:uid="{00000000-0005-0000-0000-000028000000}"/>
    <cellStyle name="Accent4 2" xfId="52" xr:uid="{00000000-0005-0000-0000-000029000000}"/>
    <cellStyle name="Accent5 2" xfId="53" xr:uid="{00000000-0005-0000-0000-00002A000000}"/>
    <cellStyle name="Accent6 2" xfId="54" xr:uid="{00000000-0005-0000-0000-00002B000000}"/>
    <cellStyle name="Bad 2" xfId="55" xr:uid="{00000000-0005-0000-0000-00002C000000}"/>
    <cellStyle name="Calculation 2" xfId="56" xr:uid="{00000000-0005-0000-0000-00002D000000}"/>
    <cellStyle name="Check Cell 2" xfId="57" xr:uid="{00000000-0005-0000-0000-00002E000000}"/>
    <cellStyle name="Comma" xfId="1" builtinId="3"/>
    <cellStyle name="Comma [0]" xfId="191" builtinId="6"/>
    <cellStyle name="Comma [0] 2" xfId="58" xr:uid="{00000000-0005-0000-0000-000031000000}"/>
    <cellStyle name="Comma [0] 2 2" xfId="59" xr:uid="{00000000-0005-0000-0000-000032000000}"/>
    <cellStyle name="Comma [0] 2 3" xfId="60" xr:uid="{00000000-0005-0000-0000-000033000000}"/>
    <cellStyle name="Comma [0] 2 4" xfId="2" xr:uid="{00000000-0005-0000-0000-000034000000}"/>
    <cellStyle name="Comma [0] 3" xfId="61" xr:uid="{00000000-0005-0000-0000-000035000000}"/>
    <cellStyle name="Comma [0] 4" xfId="194" xr:uid="{00000000-0005-0000-0000-000036000000}"/>
    <cellStyle name="Comma 10" xfId="62" xr:uid="{00000000-0005-0000-0000-000037000000}"/>
    <cellStyle name="Comma 11" xfId="63" xr:uid="{00000000-0005-0000-0000-000038000000}"/>
    <cellStyle name="Comma 12" xfId="64" xr:uid="{00000000-0005-0000-0000-000039000000}"/>
    <cellStyle name="Comma 13" xfId="65" xr:uid="{00000000-0005-0000-0000-00003A000000}"/>
    <cellStyle name="Comma 14" xfId="66" xr:uid="{00000000-0005-0000-0000-00003B000000}"/>
    <cellStyle name="Comma 15" xfId="67" xr:uid="{00000000-0005-0000-0000-00003C000000}"/>
    <cellStyle name="Comma 16" xfId="68" xr:uid="{00000000-0005-0000-0000-00003D000000}"/>
    <cellStyle name="Comma 17" xfId="69" xr:uid="{00000000-0005-0000-0000-00003E000000}"/>
    <cellStyle name="Comma 18" xfId="70" xr:uid="{00000000-0005-0000-0000-00003F000000}"/>
    <cellStyle name="Comma 19" xfId="71" xr:uid="{00000000-0005-0000-0000-000040000000}"/>
    <cellStyle name="Comma 2" xfId="10" xr:uid="{00000000-0005-0000-0000-000041000000}"/>
    <cellStyle name="Comma 2 2" xfId="72" xr:uid="{00000000-0005-0000-0000-000042000000}"/>
    <cellStyle name="Comma 2 3" xfId="3" xr:uid="{00000000-0005-0000-0000-000043000000}"/>
    <cellStyle name="Comma 20" xfId="73" xr:uid="{00000000-0005-0000-0000-000044000000}"/>
    <cellStyle name="Comma 21" xfId="74" xr:uid="{00000000-0005-0000-0000-000045000000}"/>
    <cellStyle name="Comma 22" xfId="75" xr:uid="{00000000-0005-0000-0000-000046000000}"/>
    <cellStyle name="Comma 23" xfId="76" xr:uid="{00000000-0005-0000-0000-000047000000}"/>
    <cellStyle name="Comma 24" xfId="77" xr:uid="{00000000-0005-0000-0000-000048000000}"/>
    <cellStyle name="Comma 25" xfId="78" xr:uid="{00000000-0005-0000-0000-000049000000}"/>
    <cellStyle name="Comma 26" xfId="79" xr:uid="{00000000-0005-0000-0000-00004A000000}"/>
    <cellStyle name="Comma 27" xfId="80" xr:uid="{00000000-0005-0000-0000-00004B000000}"/>
    <cellStyle name="Comma 28" xfId="81" xr:uid="{00000000-0005-0000-0000-00004C000000}"/>
    <cellStyle name="Comma 29" xfId="82" xr:uid="{00000000-0005-0000-0000-00004D000000}"/>
    <cellStyle name="Comma 3" xfId="83" xr:uid="{00000000-0005-0000-0000-00004E000000}"/>
    <cellStyle name="Comma 3 2" xfId="84" xr:uid="{00000000-0005-0000-0000-00004F000000}"/>
    <cellStyle name="Comma 30" xfId="85" xr:uid="{00000000-0005-0000-0000-000050000000}"/>
    <cellStyle name="Comma 31" xfId="86" xr:uid="{00000000-0005-0000-0000-000051000000}"/>
    <cellStyle name="Comma 32" xfId="87" xr:uid="{00000000-0005-0000-0000-000052000000}"/>
    <cellStyle name="Comma 33" xfId="88" xr:uid="{00000000-0005-0000-0000-000053000000}"/>
    <cellStyle name="Comma 34" xfId="89" xr:uid="{00000000-0005-0000-0000-000054000000}"/>
    <cellStyle name="Comma 35" xfId="90" xr:uid="{00000000-0005-0000-0000-000055000000}"/>
    <cellStyle name="Comma 36" xfId="91" xr:uid="{00000000-0005-0000-0000-000056000000}"/>
    <cellStyle name="Comma 37" xfId="92" xr:uid="{00000000-0005-0000-0000-000057000000}"/>
    <cellStyle name="Comma 38" xfId="93" xr:uid="{00000000-0005-0000-0000-000058000000}"/>
    <cellStyle name="Comma 39" xfId="94" xr:uid="{00000000-0005-0000-0000-000059000000}"/>
    <cellStyle name="Comma 4" xfId="95" xr:uid="{00000000-0005-0000-0000-00005A000000}"/>
    <cellStyle name="Comma 40" xfId="96" xr:uid="{00000000-0005-0000-0000-00005B000000}"/>
    <cellStyle name="Comma 41" xfId="97" xr:uid="{00000000-0005-0000-0000-00005C000000}"/>
    <cellStyle name="Comma 42" xfId="98" xr:uid="{00000000-0005-0000-0000-00005D000000}"/>
    <cellStyle name="Comma 43" xfId="99" xr:uid="{00000000-0005-0000-0000-00005E000000}"/>
    <cellStyle name="Comma 44" xfId="100" xr:uid="{00000000-0005-0000-0000-00005F000000}"/>
    <cellStyle name="Comma 45" xfId="101" xr:uid="{00000000-0005-0000-0000-000060000000}"/>
    <cellStyle name="Comma 46" xfId="102" xr:uid="{00000000-0005-0000-0000-000061000000}"/>
    <cellStyle name="Comma 47" xfId="103" xr:uid="{00000000-0005-0000-0000-000062000000}"/>
    <cellStyle name="Comma 48" xfId="104" xr:uid="{00000000-0005-0000-0000-000063000000}"/>
    <cellStyle name="Comma 49" xfId="105" xr:uid="{00000000-0005-0000-0000-000064000000}"/>
    <cellStyle name="Comma 5" xfId="106" xr:uid="{00000000-0005-0000-0000-000065000000}"/>
    <cellStyle name="Comma 50" xfId="107" xr:uid="{00000000-0005-0000-0000-000066000000}"/>
    <cellStyle name="Comma 51" xfId="108" xr:uid="{00000000-0005-0000-0000-000067000000}"/>
    <cellStyle name="Comma 52" xfId="109" xr:uid="{00000000-0005-0000-0000-000068000000}"/>
    <cellStyle name="Comma 53" xfId="110" xr:uid="{00000000-0005-0000-0000-000069000000}"/>
    <cellStyle name="Comma 54" xfId="111" xr:uid="{00000000-0005-0000-0000-00006A000000}"/>
    <cellStyle name="Comma 55" xfId="112" xr:uid="{00000000-0005-0000-0000-00006B000000}"/>
    <cellStyle name="Comma 56" xfId="113" xr:uid="{00000000-0005-0000-0000-00006C000000}"/>
    <cellStyle name="Comma 57" xfId="114" xr:uid="{00000000-0005-0000-0000-00006D000000}"/>
    <cellStyle name="Comma 58" xfId="115" xr:uid="{00000000-0005-0000-0000-00006E000000}"/>
    <cellStyle name="Comma 59" xfId="116" xr:uid="{00000000-0005-0000-0000-00006F000000}"/>
    <cellStyle name="Comma 6" xfId="117" xr:uid="{00000000-0005-0000-0000-000070000000}"/>
    <cellStyle name="Comma 60" xfId="118" xr:uid="{00000000-0005-0000-0000-000071000000}"/>
    <cellStyle name="Comma 61" xfId="119" xr:uid="{00000000-0005-0000-0000-000072000000}"/>
    <cellStyle name="Comma 62" xfId="120" xr:uid="{00000000-0005-0000-0000-000073000000}"/>
    <cellStyle name="Comma 63" xfId="121" xr:uid="{00000000-0005-0000-0000-000074000000}"/>
    <cellStyle name="Comma 64" xfId="122" xr:uid="{00000000-0005-0000-0000-000075000000}"/>
    <cellStyle name="Comma 65" xfId="123" xr:uid="{00000000-0005-0000-0000-000076000000}"/>
    <cellStyle name="Comma 66" xfId="124" xr:uid="{00000000-0005-0000-0000-000077000000}"/>
    <cellStyle name="Comma 67" xfId="125" xr:uid="{00000000-0005-0000-0000-000078000000}"/>
    <cellStyle name="Comma 68" xfId="126" xr:uid="{00000000-0005-0000-0000-000079000000}"/>
    <cellStyle name="Comma 69" xfId="127" xr:uid="{00000000-0005-0000-0000-00007A000000}"/>
    <cellStyle name="Comma 7" xfId="128" xr:uid="{00000000-0005-0000-0000-00007B000000}"/>
    <cellStyle name="Comma 70" xfId="129" xr:uid="{00000000-0005-0000-0000-00007C000000}"/>
    <cellStyle name="Comma 71" xfId="130" xr:uid="{00000000-0005-0000-0000-00007D000000}"/>
    <cellStyle name="Comma 72" xfId="131" xr:uid="{00000000-0005-0000-0000-00007E000000}"/>
    <cellStyle name="Comma 73" xfId="193" xr:uid="{00000000-0005-0000-0000-00007F000000}"/>
    <cellStyle name="Comma 8" xfId="132" xr:uid="{00000000-0005-0000-0000-000080000000}"/>
    <cellStyle name="Comma 9" xfId="133" xr:uid="{00000000-0005-0000-0000-000081000000}"/>
    <cellStyle name="Explanatory Text 2" xfId="134" xr:uid="{00000000-0005-0000-0000-000082000000}"/>
    <cellStyle name="Good 2" xfId="135" xr:uid="{00000000-0005-0000-0000-000083000000}"/>
    <cellStyle name="Heading 1 2" xfId="136" xr:uid="{00000000-0005-0000-0000-000084000000}"/>
    <cellStyle name="Heading 2 2" xfId="137" xr:uid="{00000000-0005-0000-0000-000085000000}"/>
    <cellStyle name="Heading 3 2" xfId="138" xr:uid="{00000000-0005-0000-0000-000086000000}"/>
    <cellStyle name="Heading 4 2" xfId="139" xr:uid="{00000000-0005-0000-0000-000087000000}"/>
    <cellStyle name="Input 2" xfId="140" xr:uid="{00000000-0005-0000-0000-000088000000}"/>
    <cellStyle name="Linked Cell 2" xfId="141" xr:uid="{00000000-0005-0000-0000-000089000000}"/>
    <cellStyle name="Neutral 2" xfId="142" xr:uid="{00000000-0005-0000-0000-00008A000000}"/>
    <cellStyle name="Normal" xfId="0" builtinId="0"/>
    <cellStyle name="Normal 2" xfId="4" xr:uid="{00000000-0005-0000-0000-00008C000000}"/>
    <cellStyle name="Normal 2 2" xfId="143" xr:uid="{00000000-0005-0000-0000-00008D000000}"/>
    <cellStyle name="Normal 2 3" xfId="144" xr:uid="{00000000-0005-0000-0000-00008E000000}"/>
    <cellStyle name="Normal 3" xfId="8" xr:uid="{00000000-0005-0000-0000-00008F000000}"/>
    <cellStyle name="Normal 4" xfId="192" xr:uid="{00000000-0005-0000-0000-000090000000}"/>
    <cellStyle name="Note 2" xfId="145" xr:uid="{00000000-0005-0000-0000-000091000000}"/>
    <cellStyle name="Output 2" xfId="146" xr:uid="{00000000-0005-0000-0000-000092000000}"/>
    <cellStyle name="Percent 2" xfId="147" xr:uid="{00000000-0005-0000-0000-000093000000}"/>
    <cellStyle name="Percent 2 2" xfId="148" xr:uid="{00000000-0005-0000-0000-000094000000}"/>
    <cellStyle name="Percent 2 3" xfId="9" xr:uid="{00000000-0005-0000-0000-000095000000}"/>
    <cellStyle name="Percent 3" xfId="149" xr:uid="{00000000-0005-0000-0000-000096000000}"/>
    <cellStyle name="Title 2" xfId="150" xr:uid="{00000000-0005-0000-0000-000097000000}"/>
    <cellStyle name="Total 2" xfId="151" xr:uid="{00000000-0005-0000-0000-000098000000}"/>
    <cellStyle name="Warning Text 2" xfId="152" xr:uid="{00000000-0005-0000-0000-000099000000}"/>
    <cellStyle name="アクセント 1" xfId="153" xr:uid="{00000000-0005-0000-0000-00009A000000}"/>
    <cellStyle name="アクセント 2" xfId="154" xr:uid="{00000000-0005-0000-0000-00009B000000}"/>
    <cellStyle name="アクセント 3" xfId="155" xr:uid="{00000000-0005-0000-0000-00009C000000}"/>
    <cellStyle name="アクセント 4" xfId="156" xr:uid="{00000000-0005-0000-0000-00009D000000}"/>
    <cellStyle name="アクセント 5" xfId="157" xr:uid="{00000000-0005-0000-0000-00009E000000}"/>
    <cellStyle name="アクセント 6" xfId="158" xr:uid="{00000000-0005-0000-0000-00009F000000}"/>
    <cellStyle name="タイトル" xfId="159" xr:uid="{00000000-0005-0000-0000-0000A0000000}"/>
    <cellStyle name="チェック セル" xfId="160" xr:uid="{00000000-0005-0000-0000-0000A1000000}"/>
    <cellStyle name="どちらでもない" xfId="161" xr:uid="{00000000-0005-0000-0000-0000A2000000}"/>
    <cellStyle name="パーセント 2" xfId="162" xr:uid="{00000000-0005-0000-0000-0000A3000000}"/>
    <cellStyle name="パーセント 3" xfId="163" xr:uid="{00000000-0005-0000-0000-0000A4000000}"/>
    <cellStyle name="メモ" xfId="164" xr:uid="{00000000-0005-0000-0000-0000A5000000}"/>
    <cellStyle name="リンク セル" xfId="165" xr:uid="{00000000-0005-0000-0000-0000A6000000}"/>
    <cellStyle name="悪い" xfId="169" xr:uid="{00000000-0005-0000-0000-0000A7000000}"/>
    <cellStyle name="一般_KMHK FY2008 時間当り採算 2007年4月 ( Month Plan )" xfId="5" xr:uid="{00000000-0005-0000-0000-0000A8000000}"/>
    <cellStyle name="計算" xfId="187" xr:uid="{00000000-0005-0000-0000-0000A9000000}"/>
    <cellStyle name="警告文" xfId="189" xr:uid="{00000000-0005-0000-0000-0000AA000000}"/>
    <cellStyle name="桁区切り [0.00] 2" xfId="170" xr:uid="{00000000-0005-0000-0000-0000AB000000}"/>
    <cellStyle name="桁区切り [0.00] 2 2" xfId="171" xr:uid="{00000000-0005-0000-0000-0000AC000000}"/>
    <cellStyle name="桁区切り 2" xfId="172" xr:uid="{00000000-0005-0000-0000-0000AD000000}"/>
    <cellStyle name="桁区切り 2 2" xfId="173" xr:uid="{00000000-0005-0000-0000-0000AE000000}"/>
    <cellStyle name="桁区切り 2 3" xfId="174" xr:uid="{00000000-0005-0000-0000-0000AF000000}"/>
    <cellStyle name="桁区切り 3" xfId="175" xr:uid="{00000000-0005-0000-0000-0000B0000000}"/>
    <cellStyle name="桁区切り 4" xfId="176" xr:uid="{00000000-0005-0000-0000-0000B1000000}"/>
    <cellStyle name="桁区切り 5" xfId="177" xr:uid="{00000000-0005-0000-0000-0000B2000000}"/>
    <cellStyle name="桁区切り 6" xfId="178" xr:uid="{00000000-0005-0000-0000-0000B3000000}"/>
    <cellStyle name="見出し 1" xfId="183" xr:uid="{00000000-0005-0000-0000-0000B4000000}"/>
    <cellStyle name="見出し 2" xfId="184" xr:uid="{00000000-0005-0000-0000-0000B5000000}"/>
    <cellStyle name="見出し 3" xfId="185" xr:uid="{00000000-0005-0000-0000-0000B6000000}"/>
    <cellStyle name="見出し 4" xfId="186" xr:uid="{00000000-0005-0000-0000-0000B7000000}"/>
    <cellStyle name="集計" xfId="190" xr:uid="{00000000-0005-0000-0000-0000B8000000}"/>
    <cellStyle name="出力" xfId="167" xr:uid="{00000000-0005-0000-0000-0000B9000000}"/>
    <cellStyle name="常规_総生産分析(0605-0606)" xfId="168" xr:uid="{00000000-0005-0000-0000-0000BA000000}"/>
    <cellStyle name="説明文" xfId="188" xr:uid="{00000000-0005-0000-0000-0000BB000000}"/>
    <cellStyle name="入力" xfId="166" xr:uid="{00000000-0005-0000-0000-0000BC000000}"/>
    <cellStyle name="標準 2" xfId="7" xr:uid="{00000000-0005-0000-0000-0000BD000000}"/>
    <cellStyle name="標準 3" xfId="179" xr:uid="{00000000-0005-0000-0000-0000BE000000}"/>
    <cellStyle name="標準 4" xfId="180" xr:uid="{00000000-0005-0000-0000-0000BF000000}"/>
    <cellStyle name="標準_★予定用採算表フォーム（製造課用）" xfId="181" xr:uid="{00000000-0005-0000-0000-0000C0000000}"/>
    <cellStyle name="標準_KDTVN採算表フォーム" xfId="195" xr:uid="{A06D006F-A7F6-447F-8510-44E604DDA2F8}"/>
    <cellStyle name="未定義" xfId="6" xr:uid="{00000000-0005-0000-0000-0000C1000000}"/>
    <cellStyle name="良い" xfId="182" xr:uid="{00000000-0005-0000-0000-0000C2000000}"/>
  </cellStyles>
  <dxfs count="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74" formatCode="&quot;tháng &quot;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75" formatCode="\-"/>
    </dxf>
    <dxf>
      <numFmt numFmtId="175" formatCode="\-"/>
    </dxf>
    <dxf>
      <numFmt numFmtId="175" formatCode="\-"/>
    </dxf>
    <dxf>
      <numFmt numFmtId="175" formatCode="\-"/>
    </dxf>
    <dxf>
      <numFmt numFmtId="175" formatCode="\-"/>
    </dxf>
  </dxfs>
  <tableStyles count="0" defaultTableStyle="TableStyleMedium2" defaultPivotStyle="PivotStyleLight16"/>
  <colors>
    <mruColors>
      <color rgb="FF00CC99"/>
      <color rgb="FFD60093"/>
      <color rgb="FF339933"/>
      <color rgb="FFFFCC99"/>
      <color rgb="FFFF7C80"/>
      <color rgb="FF00FFFF"/>
      <color rgb="FFFF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Relationship Id="rId63" Type="http://schemas.openxmlformats.org/officeDocument/2006/relationships/externalLink" Target="externalLinks/externalLink55.xml"/><Relationship Id="rId68" Type="http://schemas.openxmlformats.org/officeDocument/2006/relationships/externalLink" Target="externalLinks/externalLink60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66" Type="http://schemas.openxmlformats.org/officeDocument/2006/relationships/externalLink" Target="externalLinks/externalLink58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61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externalLink" Target="externalLinks/externalLink57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64" Type="http://schemas.openxmlformats.org/officeDocument/2006/relationships/externalLink" Target="externalLinks/externalLink56.xml"/><Relationship Id="rId69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Relationship Id="rId67" Type="http://schemas.openxmlformats.org/officeDocument/2006/relationships/externalLink" Target="externalLinks/externalLink59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01.KDTVN%20&#27231;&#22120;&#35069;&#36896;1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01.KDTVN%20&#27231;&#22120;&#35069;&#36896;1&#35506;_FY2026&#12510;&#12473;&#12479;&#12540;&#12503;&#12521;&#12531;&#20154;&#21729;&#12539;&#26178;&#38291;&#35336;&#30011;&#34920;(Ver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02.KDTVN%20&#27231;&#22120;&#35069;&#36896;2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02.KDTVN%20&#27231;&#22120;&#35069;&#36896;2&#35506;_FY2026&#12510;&#12473;&#12479;&#12540;&#12503;&#12521;&#12531;&#20154;&#21729;&#12539;&#26178;&#38291;&#35336;&#30011;&#34920;(Ver01)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52.KDTVN%20&#27231;&#22120;&#35069;&#36896;3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52.KDTVN%20&#27231;&#22120;&#35069;&#36896;3&#35506;_FY2026&#12510;&#12473;&#12479;&#12540;&#12503;&#12521;&#12531;&#20154;&#21729;&#12539;&#26178;&#38291;&#35336;&#30011;&#34920;(Ver01)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39.KDTVN%20RPS&#35069;&#36896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39.KDTVN%20RPS&#35069;&#36896;&#35506;_FY2026&#12510;&#12473;&#12479;&#12540;&#12503;&#12521;&#12531;&#20154;&#21729;&#12539;&#26178;&#38291;&#35336;&#30011;&#34920;(Ver0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%20c%20driver%20data\Desktop\New%20folder\FORM%20MP%20FY2026\NS-TG\04.KDTVN%20&#12488;&#12490;&#12540;&#35069;&#36896;&#35506;_FY2026&#12510;&#12473;&#12479;&#12540;&#12503;&#12521;&#12531;&#20154;&#21729;&#12539;&#26178;&#38291;&#35336;&#30011;&#34920;(Ver02)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23.KDTVN%20&#37096;&#21697;&#35069;&#36896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23.KDTVN%20&#37096;&#21697;&#35069;&#36896;&#35506;_FY2026&#12510;&#12473;&#12479;&#12540;&#12503;&#12521;&#12531;&#20154;&#21729;&#12539;&#26178;&#38291;&#35336;&#30011;&#34920;(Ver01)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64.KDTVN%20&#38651;&#24037;&#35069;&#36896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64.KDTVN%20&#38651;&#24037;&#35069;&#36896;&#35506;_FY2026&#12510;&#12473;&#12479;&#12540;&#12503;&#12521;&#12531;&#20154;&#21729;&#12539;&#26178;&#38291;&#35336;&#30011;&#34920;(Ver01)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07.KDTVN%20MD1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07.KDTVN%20MD1&#35506;_FY2026&#12510;&#12473;&#12479;&#12540;&#12503;&#12521;&#12531;&#20154;&#21729;&#12539;&#26178;&#38291;&#35336;&#30011;&#34920;(Ver01)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08.KDTVN%20MD2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08.KDTVN%20MD2&#35506;_FY2026&#12510;&#12473;&#12479;&#12540;&#12503;&#12521;&#12531;&#20154;&#21729;&#12539;&#26178;&#38291;&#35336;&#30011;&#34920;(Ver01)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53.KDTVN%20MD3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53.KDTVN%20MD3&#35506;_FY2026&#12510;&#12473;&#12479;&#12540;&#12503;&#12521;&#12531;&#20154;&#21729;&#12539;&#26178;&#38291;&#35336;&#30011;&#34920;(Ver01)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65.KDTVN%20MD4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65.KDTVN%20MD4&#35506;_FY2026&#12510;&#12473;&#12479;&#12540;&#12503;&#12521;&#12531;&#20154;&#21729;&#12539;&#26178;&#38291;&#35336;&#30011;&#34920;(Ver01)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68.KDTVN%20MD5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68.KDTVN%20MD5&#35506;_FY2026&#12510;&#12473;&#12479;&#12540;&#12503;&#12521;&#12531;&#20154;&#21729;&#12539;&#26178;&#38291;&#35336;&#30011;&#34920;(Ver01)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49.KDTVN%20EI1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49.KDTVN%20EI1&#35506;_FY2026&#12510;&#12473;&#12479;&#12540;&#12503;&#12521;&#12531;&#20154;&#21729;&#12539;&#26178;&#38291;&#35336;&#30011;&#34920;(Ver01)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66.KDTVN%20EI2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66.KDTVN%20EI2&#35506;_FY2026&#12510;&#12473;&#12479;&#12540;&#12503;&#12521;&#12531;&#20154;&#21729;&#12539;&#26178;&#38291;&#35336;&#30011;&#34920;(Ver01)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50.KDTVN%20ESD1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50.KDTVN%20ESD1&#35506;_FY2026&#12510;&#12473;&#12479;&#12540;&#12503;&#12521;&#12531;&#20154;&#21729;&#12539;&#26178;&#38291;&#35336;&#30011;&#34920;(Ver01)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63.KDTVN%20ESD2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63.KDTVN%20ESD2&#35506;_FY2026&#12510;&#12473;&#12479;&#12540;&#12503;&#12521;&#12531;&#20154;&#21729;&#12539;&#26178;&#38291;&#35336;&#30011;&#34920;(Ver01)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03.KDTVN%20&#27231;&#22120;&#35069;&#36896;&#31649;&#2970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03.KDTVN%20&#27231;&#22120;&#35069;&#36896;&#31649;&#29702;&#35506;_FY2026&#12510;&#12473;&#12479;&#12540;&#12503;&#12521;&#12531;&#20154;&#21729;&#12539;&#26178;&#38291;&#35336;&#30011;&#34920;(Ver01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%20c%20driver%20data\Desktop\New%20folder\FORM%20MP%20FY2026\NS-TG\05.KDTVN%20&#12488;&#12490;&#12540;&#29983;&#29987;&#25216;&#34899;&#35506;_FY2026&#12510;&#12473;&#12479;&#12540;&#12503;&#12521;&#12531;&#20154;&#21729;&#12539;&#26178;&#38291;&#35336;&#30011;&#34920;(Ver02)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38.KDTVN%20&#12488;&#12490;&#12540;&#35069;&#36896;&#31649;&#2970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38.KDTVN%20&#12488;&#12490;&#12540;&#35069;&#36896;&#31649;&#29702;&#35506;_FY2026&#12510;&#12473;&#12479;&#12540;&#12503;&#12521;&#12531;&#20154;&#21729;&#12539;&#26178;&#38291;&#35336;&#30011;&#34920;(Ver01)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06.KDTVN%20&#12488;&#12490;&#12540;&#21697;&#36074;&#31649;&#29702;&#35506;_FY2026&#12510;&#12473;&#12479;&#12540;&#12503;&#12521;&#12531;&#20154;&#21729;&#12539;&#26178;&#38291;&#35336;&#30011;&#34920;(Ver02).xls" TargetMode="External"/><Relationship Id="rId1" Type="http://schemas.openxmlformats.org/officeDocument/2006/relationships/externalLinkPath" Target="file:///D:\User%20c%20driver%20data\Desktop\New%20folder\FORM%20MP%20FY2026\NS-TG\06.KDTVN%20&#12488;&#12490;&#12540;&#21697;&#36074;&#31649;&#29702;&#35506;_FY2026&#12510;&#12473;&#12479;&#12540;&#12503;&#12521;&#12531;&#20154;&#21729;&#12539;&#26178;&#38291;&#35336;&#30011;&#34920;(Ver02)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22.KDTVN%20&#37329;&#22411;&#25216;&#34899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22.KDTVN%20&#37329;&#22411;&#25216;&#34899;&#35506;_FY2026&#12510;&#12473;&#12479;&#12540;&#12503;&#12521;&#12531;&#20154;&#21729;&#12539;&#26178;&#38291;&#35336;&#30011;&#34920;(Ver01)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55.KDTVN%20&#37096;&#21697;&#35069;&#36896;&#31649;&#2970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55.KDTVN%20&#37096;&#21697;&#35069;&#36896;&#31649;&#29702;&#35506;_FY2026&#12510;&#12473;&#12479;&#12540;&#12503;&#12521;&#12531;&#20154;&#21729;&#12539;&#26178;&#38291;&#35336;&#30011;&#34920;(Ver01)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56.KDTVN%20&#21697;&#36074;&#31649;&#2970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56.KDTVN%20&#21697;&#36074;&#31649;&#29702;&#35506;_FY2026&#12510;&#12473;&#12479;&#12540;&#12503;&#12521;&#12531;&#20154;&#21729;&#12539;&#26178;&#38291;&#35336;&#30011;&#34920;(Ver01)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09.KDTVN%20&#24037;&#31243;&#21697;&#36074;&#31649;&#29702;1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09.KDTVN%20&#24037;&#31243;&#21697;&#36074;&#31649;&#29702;1&#35506;_FY2026&#12510;&#12473;&#12479;&#12540;&#12503;&#12521;&#12531;&#20154;&#21729;&#12539;&#26178;&#38291;&#35336;&#30011;&#34920;(Ver01)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47.KDTVN%20&#24037;&#31243;&#21697;&#36074;&#31649;&#29702;2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47.KDTVN%20&#24037;&#31243;&#21697;&#36074;&#31649;&#29702;2&#35506;_FY2026&#12510;&#12473;&#12479;&#12540;&#12503;&#12521;&#12531;&#20154;&#21729;&#12539;&#26178;&#38291;&#35336;&#30011;&#34920;(Ver01)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10.KDTVN%20&#29983;&#29987;&#31649;&#2970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10.KDTVN%20&#29983;&#29987;&#31649;&#29702;&#35506;_FY2026&#12510;&#12473;&#12479;&#12540;&#12503;&#12521;&#12531;&#20154;&#21729;&#12539;&#26178;&#38291;&#35336;&#30011;&#34920;(Ver01)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11.KDTVN%20&#25505;&#31639;&#31649;&#2970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11.KDTVN%20&#25505;&#31639;&#31649;&#29702;&#35506;_FY2026&#12510;&#12473;&#12479;&#12540;&#12503;&#12521;&#12531;&#20154;&#21729;&#12539;&#26178;&#38291;&#35336;&#30011;&#34920;(Ver01)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12.KDTVN%20&#12510;&#12473;&#12479;&#12540;&#31649;&#2970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12.KDTVN%20&#12510;&#12473;&#12479;&#12540;&#31649;&#29702;&#35506;_FY2026&#12510;&#12473;&#12479;&#12540;&#12503;&#12521;&#12531;&#20154;&#21729;&#12539;&#26178;&#38291;&#35336;&#30011;&#34920;(Ver01)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61.KDTVN%20OC&#31649;&#2970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61.KDTVN%20OC&#31649;&#29702;&#35506;_FY2026&#12510;&#12473;&#12479;&#12540;&#12503;&#12521;&#12531;&#20154;&#21729;&#12539;&#26178;&#38291;&#35336;&#30011;&#34920;(Ver01)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13.KDTVN%20&#37096;&#21697;&#31649;&#2970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13.KDTVN%20&#37096;&#21697;&#31649;&#29702;&#35506;_FY2026&#12510;&#12473;&#12479;&#12540;&#12503;&#12521;&#12531;&#20154;&#21729;&#12539;&#26178;&#38291;&#35336;&#30011;&#34920;(Ver01)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46.KDTVN%20&#29289;&#27969;&#31649;&#2970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46.KDTVN%20&#29289;&#27969;&#31649;&#29702;&#35506;_FY2026&#12510;&#12473;&#12479;&#12540;&#12503;&#12521;&#12531;&#20154;&#21729;&#12539;&#26178;&#38291;&#35336;&#30011;&#34920;(Ver01)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14.KDTVN%20&#12513;&#12459;&#35069;&#36896;&#25216;&#34899;1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14.KDTVN%20&#12513;&#12459;&#35069;&#36896;&#25216;&#34899;1&#35506;_FY2026&#12510;&#12473;&#12479;&#12540;&#12503;&#12521;&#12531;&#20154;&#21729;&#12539;&#26178;&#38291;&#35336;&#30011;&#34920;(Ver01)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15.KDTVN%20&#12513;&#12459;&#35069;&#36896;&#25216;&#34899;2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15.KDTVN%20&#12513;&#12459;&#35069;&#36896;&#25216;&#34899;2&#35506;_FY2026&#12510;&#12473;&#12479;&#12540;&#12503;&#12521;&#12531;&#20154;&#21729;&#12539;&#26178;&#38291;&#35336;&#30011;&#34920;(Ver01)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57.KDTVN%20&#12513;&#12459;&#35069;&#36896;&#25216;&#34899;3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57.KDTVN%20&#12513;&#12459;&#35069;&#36896;&#25216;&#34899;3&#35506;_FY2026&#12510;&#12473;&#12479;&#12540;&#12503;&#12521;&#12531;&#20154;&#21729;&#12539;&#26178;&#38291;&#35336;&#30011;&#34920;(Ver01)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67.KDTVN%20&#12513;&#12459;&#35069;&#36896;&#25216;&#34899;4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67.KDTVN%20&#12513;&#12459;&#35069;&#36896;&#25216;&#34899;4&#35506;_FY2026&#12510;&#12473;&#12479;&#12540;&#12503;&#12521;&#12531;&#20154;&#21729;&#12539;&#26178;&#38291;&#35336;&#30011;&#34920;(Ver01)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16.KDTVN%20&#38651;&#27671;&#35069;&#36896;&#25216;&#34899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16.KDTVN%20&#38651;&#27671;&#35069;&#36896;&#25216;&#34899;&#35506;_FY2026&#12510;&#12473;&#12479;&#12540;&#12503;&#12521;&#12531;&#20154;&#21729;&#12539;&#26178;&#38291;&#35336;&#30011;&#34920;(Ver01)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18.KDTVN%20&#37096;&#21697;&#26908;&#26619;1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18.KDTVN%20&#37096;&#21697;&#26908;&#26619;1&#35506;_FY2026&#12510;&#12473;&#12479;&#12540;&#12503;&#12521;&#12531;&#20154;&#21729;&#12539;&#26178;&#38291;&#35336;&#30011;&#34920;(Ver01)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59.KDTVN%20&#37096;&#21697;&#26908;&#26619;2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59.KDTVN%20&#37096;&#21697;&#26908;&#26619;2&#35506;_FY2026&#12510;&#12473;&#12479;&#12540;&#12503;&#12521;&#12531;&#20154;&#21729;&#12539;&#26178;&#38291;&#35336;&#30011;&#34920;(Ver01)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40.KDTVN%20&#22806;&#35069;&#31649;&#2970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40.KDTVN%20&#22806;&#35069;&#31649;&#29702;&#35506;_FY2026&#12510;&#12473;&#12479;&#12540;&#12503;&#12521;&#12531;&#20154;&#21729;&#12539;&#26178;&#38291;&#35336;&#30011;&#34920;(Ver01)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20.KDTVN%20&#37096;&#21697;&#25216;&#34899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20.KDTVN%20&#37096;&#21697;&#25216;&#34899;&#35506;_FY2026&#12510;&#12473;&#12479;&#12540;&#12503;&#12521;&#12531;&#20154;&#21729;&#12539;&#26178;&#38291;&#35336;&#30011;&#34920;(Ver01)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42.KDTVN%20&#29983;&#29987;&#25216;&#34899;1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42.KDTVN%20&#29983;&#29987;&#25216;&#34899;1&#35506;_FY2026&#12510;&#12473;&#12479;&#12540;&#12503;&#12521;&#12531;&#20154;&#21729;&#12539;&#26178;&#38291;&#35336;&#30011;&#34920;(Ver01)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43.KDTVN%20&#29983;&#29987;&#25216;&#34899;2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43.KDTVN%20&#29983;&#29987;&#25216;&#34899;2&#35506;_FY2026&#12510;&#12473;&#12479;&#12540;&#12503;&#12521;&#12531;&#20154;&#21729;&#12539;&#26178;&#38291;&#35336;&#30011;&#34920;(Ver01)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54.KDTVN%20&#29983;&#29987;&#25216;&#34899;3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54.KDTVN%20&#29983;&#29987;&#25216;&#34899;3&#35506;_FY2026&#12510;&#12473;&#12479;&#12540;&#12503;&#12521;&#12531;&#20154;&#21729;&#12539;&#26178;&#38291;&#35336;&#30011;&#34920;(Ver01)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24.KDTVN%20&#21697;&#36074;&#20445;&#35388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24.KDTVN%20&#21697;&#36074;&#20445;&#35388;&#35506;_FY2026&#12510;&#12473;&#12479;&#12540;&#12503;&#12521;&#12531;&#20154;&#21729;&#12539;&#26178;&#38291;&#35336;&#30011;&#34920;(Ver01)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25.KDTVN%20&#35069;&#21697;&#20445;&#35388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25.KDTVN%20&#35069;&#21697;&#20445;&#35388;&#35506;_FY2026&#12510;&#12473;&#12479;&#12540;&#12503;&#12521;&#12531;&#20154;&#21729;&#12539;&#26178;&#38291;&#35336;&#30011;&#34920;(Ver01)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26.KDTVN%20&#31532;1&#36039;&#26448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26.KDTVN%20&#31532;1&#36039;&#26448;&#35506;_FY2026&#12510;&#12473;&#12479;&#12540;&#12503;&#12521;&#12531;&#20154;&#21729;&#12539;&#26178;&#38291;&#35336;&#30011;&#34920;(Ver01)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27.KDTVN%20&#31532;2&#36039;&#26448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27.KDTVN%20&#31532;2&#36039;&#26448;&#35506;_FY2026&#12510;&#12473;&#12479;&#12540;&#12503;&#12521;&#12531;&#20154;&#21729;&#12539;&#26178;&#38291;&#35336;&#30011;&#34920;(Ver01)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28.KDTVN%20&#31532;3&#36039;&#26448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28.KDTVN%20&#31532;3&#36039;&#26448;&#35506;_FY2026&#12510;&#12473;&#12479;&#12540;&#12503;&#12521;&#12531;&#20154;&#21729;&#12539;&#26178;&#38291;&#35336;&#30011;&#34920;(Ver01)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44.KDTVN%20&#31532;4&#36039;&#26448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44.KDTVN%20&#31532;4&#36039;&#26448;&#35506;_FY2026&#12510;&#12473;&#12479;&#12540;&#12503;&#12521;&#12531;&#20154;&#21729;&#12539;&#26178;&#38291;&#35336;&#30011;&#34920;(Ver01)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29.KDTVN%20&#36039;&#26448;&#31649;&#2970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29.KDTVN%20&#36039;&#26448;&#31649;&#29702;&#35506;_FY2026&#12510;&#12473;&#12479;&#12540;&#12503;&#12521;&#12531;&#20154;&#21729;&#12539;&#26178;&#38291;&#35336;&#30011;&#34920;(Ver01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%20c%20driver%20data\Desktop\New%20folder\FORM%20MP%20FY2026\NS-TG\30.KDTVN%20&#32207;&#21209;&#35506;_FY2026&#12510;&#12473;&#12479;&#12540;&#12503;&#12521;&#12531;&#20154;&#21729;&#12539;&#26178;&#38291;&#35336;&#30011;&#34920;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31.KDTVN%20&#20154;&#20107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31.KDTVN%20&#20154;&#20107;&#35506;_FY2026&#12510;&#12473;&#12479;&#12540;&#12503;&#12521;&#12531;&#20154;&#21729;&#12539;&#26178;&#38291;&#35336;&#30011;&#34920;(Ver01)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32.KDTVN%20&#26045;&#35373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32.KDTVN%20&#26045;&#35373;&#35506;_FY2026&#12510;&#12473;&#12479;&#12540;&#12503;&#12521;&#12531;&#20154;&#21729;&#12539;&#26178;&#38291;&#35336;&#30011;&#34920;(Ver01)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60.KDTVN%20&#12522;&#12473;&#12463;&#12510;&#12493;&#12472;&#12513;&#12531;&#12488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60.KDTVN%20&#12522;&#12473;&#12463;&#12510;&#12493;&#12472;&#12513;&#12531;&#12488;&#35506;_FY2026&#12510;&#12473;&#12479;&#12540;&#12503;&#12521;&#12531;&#20154;&#21729;&#12539;&#26178;&#38291;&#35336;&#30011;&#34920;(Ver01)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58.KDTVN%20&#20445;&#23433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58.KDTVN%20&#20445;&#23433;&#35506;_FY2026&#12510;&#12473;&#12479;&#12540;&#12503;&#12521;&#12531;&#20154;&#21729;&#12539;&#26178;&#38291;&#35336;&#30011;&#34920;(Ver01)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33.KDTVN%20&#20250;&#35336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33.KDTVN%20&#20250;&#35336;&#35506;_FY2026&#12510;&#12473;&#12479;&#12540;&#12503;&#12521;&#12531;&#20154;&#21729;&#12539;&#26178;&#38291;&#35336;&#30011;&#34920;(Ver01)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34.KDTVN%20&#32076;&#21942;&#31649;&#2970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34.KDTVN%20&#32076;&#21942;&#31649;&#29702;&#35506;_FY2026&#12510;&#12473;&#12479;&#12540;&#12503;&#12521;&#12531;&#20154;&#21729;&#12539;&#26178;&#38291;&#35336;&#30011;&#34920;(Ver01).xls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36.KDTVN%20&#24773;&#22577;&#12471;&#12473;&#12486;&#1251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36.KDTVN%20&#24773;&#22577;&#12471;&#12473;&#12486;&#12512;&#35506;_FY2026&#12510;&#12473;&#12479;&#12540;&#12503;&#12521;&#12531;&#20154;&#21729;&#12539;&#26178;&#38291;&#35336;&#30011;&#34920;(Ver01)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35.KDTVN%20&#36031;&#26131;&#31649;&#2970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35.KDTVN%20&#36031;&#26131;&#31649;&#29702;&#35506;_FY2026&#12510;&#12473;&#12479;&#12540;&#12503;&#12521;&#12531;&#20154;&#21729;&#12539;&#26178;&#38291;&#35336;&#30011;&#34920;(Ver01)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6\NS-TG\45.KDTVN%20&#35069;&#21697;&#31649;&#29702;&#35506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45.KDTVN%20&#35069;&#21697;&#31649;&#29702;&#35506;_FY2026&#12510;&#12473;&#12479;&#12540;&#12503;&#12521;&#12531;&#20154;&#21729;&#12539;&#26178;&#38291;&#35336;&#30011;&#34920;(Ver01)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%20c%20driver%20data\Desktop\New%20folder\FORM%20MP%20FY2025\NS-TG\51.KDTVN%20&#21172;&#20685;&#32068;&#21512;_FY2026&#12510;&#12473;&#12479;&#12540;&#12503;&#12521;&#12531;&#20154;&#21729;&#12539;&#26178;&#38291;&#35336;&#30011;&#34920;(Ver01).xls" TargetMode="External"/><Relationship Id="rId1" Type="http://schemas.openxmlformats.org/officeDocument/2006/relationships/externalLinkPath" Target="file:///D:\User%20c%20driver%20data\Desktop\New%20folder\FORM%20MP%20FY2026\NS-TG\51.KDTVN%20&#21172;&#20685;&#32068;&#21512;_FY2026&#12510;&#12473;&#12479;&#12540;&#12503;&#12521;&#12531;&#20154;&#21729;&#12539;&#26178;&#38291;&#35336;&#30011;&#34920;(Ver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01"/>
    </sheetNames>
    <sheetDataSet>
      <sheetData sheetId="0">
        <row r="5">
          <cell r="A5">
            <v>1412000004</v>
          </cell>
          <cell r="B5" t="str">
            <v>機器製造1課</v>
          </cell>
        </row>
        <row r="10">
          <cell r="C10">
            <v>2</v>
          </cell>
          <cell r="D10">
            <v>2</v>
          </cell>
          <cell r="E10">
            <v>2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  <cell r="K10">
            <v>2</v>
          </cell>
          <cell r="L10">
            <v>2</v>
          </cell>
          <cell r="M10">
            <v>2</v>
          </cell>
          <cell r="N10">
            <v>2</v>
          </cell>
        </row>
        <row r="11">
          <cell r="C11">
            <v>77</v>
          </cell>
          <cell r="D11">
            <v>77</v>
          </cell>
          <cell r="E11">
            <v>77</v>
          </cell>
          <cell r="F11">
            <v>85</v>
          </cell>
          <cell r="G11">
            <v>85</v>
          </cell>
          <cell r="H11">
            <v>85</v>
          </cell>
          <cell r="I11">
            <v>85</v>
          </cell>
          <cell r="J11">
            <v>85</v>
          </cell>
          <cell r="K11">
            <v>85</v>
          </cell>
          <cell r="L11">
            <v>93</v>
          </cell>
          <cell r="M11">
            <v>93</v>
          </cell>
          <cell r="N11">
            <v>93</v>
          </cell>
        </row>
        <row r="12">
          <cell r="C12">
            <v>928</v>
          </cell>
          <cell r="D12">
            <v>965</v>
          </cell>
          <cell r="E12">
            <v>961</v>
          </cell>
          <cell r="F12">
            <v>1105</v>
          </cell>
          <cell r="G12">
            <v>1185</v>
          </cell>
          <cell r="H12">
            <v>1450</v>
          </cell>
          <cell r="I12">
            <v>1751</v>
          </cell>
          <cell r="J12">
            <v>1757</v>
          </cell>
          <cell r="K12">
            <v>1752</v>
          </cell>
          <cell r="L12">
            <v>1772</v>
          </cell>
          <cell r="M12">
            <v>1962</v>
          </cell>
          <cell r="N12">
            <v>1789</v>
          </cell>
        </row>
        <row r="13">
          <cell r="C13">
            <v>1005</v>
          </cell>
          <cell r="D13">
            <v>1042</v>
          </cell>
          <cell r="E13">
            <v>1038</v>
          </cell>
          <cell r="F13">
            <v>1190</v>
          </cell>
          <cell r="G13">
            <v>1270</v>
          </cell>
          <cell r="H13">
            <v>1535</v>
          </cell>
          <cell r="I13">
            <v>1836</v>
          </cell>
          <cell r="J13">
            <v>1842</v>
          </cell>
          <cell r="K13">
            <v>1837</v>
          </cell>
          <cell r="L13">
            <v>1865</v>
          </cell>
          <cell r="M13">
            <v>2055</v>
          </cell>
          <cell r="N13">
            <v>1882</v>
          </cell>
        </row>
        <row r="14">
          <cell r="C14">
            <v>1007</v>
          </cell>
          <cell r="D14">
            <v>1044</v>
          </cell>
          <cell r="E14">
            <v>1040</v>
          </cell>
          <cell r="F14">
            <v>1192</v>
          </cell>
          <cell r="G14">
            <v>1272</v>
          </cell>
          <cell r="H14">
            <v>1537</v>
          </cell>
          <cell r="I14">
            <v>1838</v>
          </cell>
          <cell r="J14">
            <v>1844</v>
          </cell>
          <cell r="K14">
            <v>1839</v>
          </cell>
          <cell r="L14">
            <v>1867</v>
          </cell>
          <cell r="M14">
            <v>2057</v>
          </cell>
          <cell r="N14">
            <v>1884</v>
          </cell>
        </row>
        <row r="17">
          <cell r="C17">
            <v>340</v>
          </cell>
          <cell r="D17">
            <v>323</v>
          </cell>
          <cell r="E17">
            <v>357</v>
          </cell>
          <cell r="F17">
            <v>391</v>
          </cell>
          <cell r="G17">
            <v>340</v>
          </cell>
          <cell r="H17">
            <v>323</v>
          </cell>
          <cell r="I17">
            <v>391</v>
          </cell>
          <cell r="J17">
            <v>340</v>
          </cell>
          <cell r="K17">
            <v>374</v>
          </cell>
          <cell r="L17">
            <v>340</v>
          </cell>
          <cell r="M17">
            <v>255</v>
          </cell>
          <cell r="N17">
            <v>340</v>
          </cell>
        </row>
        <row r="18">
          <cell r="C18">
            <v>13430</v>
          </cell>
          <cell r="D18">
            <v>12759</v>
          </cell>
          <cell r="E18">
            <v>14102</v>
          </cell>
          <cell r="F18">
            <v>17009</v>
          </cell>
          <cell r="G18">
            <v>14790</v>
          </cell>
          <cell r="H18">
            <v>14051</v>
          </cell>
          <cell r="I18">
            <v>17009</v>
          </cell>
          <cell r="J18">
            <v>14790</v>
          </cell>
          <cell r="K18">
            <v>16269</v>
          </cell>
          <cell r="L18">
            <v>16150</v>
          </cell>
          <cell r="M18">
            <v>12113</v>
          </cell>
          <cell r="N18">
            <v>16150</v>
          </cell>
        </row>
        <row r="19">
          <cell r="C19">
            <v>77074</v>
          </cell>
          <cell r="D19">
            <v>76933</v>
          </cell>
          <cell r="E19">
            <v>89856</v>
          </cell>
          <cell r="F19">
            <v>118502</v>
          </cell>
          <cell r="G19">
            <v>112189</v>
          </cell>
          <cell r="H19">
            <v>145429</v>
          </cell>
          <cell r="I19">
            <v>249945</v>
          </cell>
          <cell r="J19">
            <v>161958</v>
          </cell>
          <cell r="K19">
            <v>177584</v>
          </cell>
          <cell r="L19">
            <v>173898</v>
          </cell>
          <cell r="M19">
            <v>141193</v>
          </cell>
          <cell r="N19">
            <v>168487</v>
          </cell>
        </row>
        <row r="20">
          <cell r="C20">
            <v>90504</v>
          </cell>
          <cell r="D20">
            <v>89692</v>
          </cell>
          <cell r="E20">
            <v>103958</v>
          </cell>
          <cell r="F20">
            <v>135511</v>
          </cell>
          <cell r="G20">
            <v>126979</v>
          </cell>
          <cell r="H20">
            <v>159480</v>
          </cell>
          <cell r="I20">
            <v>266954</v>
          </cell>
          <cell r="J20">
            <v>176748</v>
          </cell>
          <cell r="K20">
            <v>193853</v>
          </cell>
          <cell r="L20">
            <v>190048</v>
          </cell>
          <cell r="M20">
            <v>153306</v>
          </cell>
          <cell r="N20">
            <v>184637</v>
          </cell>
        </row>
        <row r="21">
          <cell r="C21">
            <v>90844</v>
          </cell>
          <cell r="D21">
            <v>90015</v>
          </cell>
          <cell r="E21">
            <v>104315</v>
          </cell>
          <cell r="F21">
            <v>135902</v>
          </cell>
          <cell r="G21">
            <v>127319</v>
          </cell>
          <cell r="H21">
            <v>159803</v>
          </cell>
          <cell r="I21">
            <v>267345</v>
          </cell>
          <cell r="J21">
            <v>177088</v>
          </cell>
          <cell r="K21">
            <v>194227</v>
          </cell>
          <cell r="L21">
            <v>190388</v>
          </cell>
          <cell r="M21">
            <v>153561</v>
          </cell>
          <cell r="N21">
            <v>184977</v>
          </cell>
        </row>
        <row r="24">
          <cell r="C24">
            <v>80</v>
          </cell>
          <cell r="D24">
            <v>76</v>
          </cell>
          <cell r="E24">
            <v>84</v>
          </cell>
          <cell r="F24">
            <v>92</v>
          </cell>
          <cell r="G24">
            <v>80</v>
          </cell>
          <cell r="H24">
            <v>76</v>
          </cell>
          <cell r="I24">
            <v>92</v>
          </cell>
          <cell r="J24">
            <v>80</v>
          </cell>
          <cell r="K24">
            <v>88</v>
          </cell>
          <cell r="L24">
            <v>80</v>
          </cell>
          <cell r="M24">
            <v>60</v>
          </cell>
          <cell r="N24">
            <v>80</v>
          </cell>
        </row>
        <row r="25">
          <cell r="C25">
            <v>189</v>
          </cell>
          <cell r="D25">
            <v>221</v>
          </cell>
          <cell r="E25">
            <v>189</v>
          </cell>
          <cell r="F25">
            <v>216</v>
          </cell>
          <cell r="G25">
            <v>300</v>
          </cell>
          <cell r="H25">
            <v>570</v>
          </cell>
          <cell r="I25">
            <v>271</v>
          </cell>
          <cell r="J25">
            <v>281</v>
          </cell>
          <cell r="K25">
            <v>345</v>
          </cell>
          <cell r="L25">
            <v>503</v>
          </cell>
          <cell r="M25">
            <v>1053</v>
          </cell>
          <cell r="N25">
            <v>423</v>
          </cell>
        </row>
        <row r="26">
          <cell r="C26">
            <v>721</v>
          </cell>
          <cell r="D26">
            <v>732</v>
          </cell>
          <cell r="E26">
            <v>709</v>
          </cell>
          <cell r="F26">
            <v>667</v>
          </cell>
          <cell r="G26">
            <v>1081</v>
          </cell>
          <cell r="H26">
            <v>647</v>
          </cell>
          <cell r="I26">
            <v>615</v>
          </cell>
          <cell r="J26">
            <v>665</v>
          </cell>
          <cell r="K26">
            <v>555</v>
          </cell>
          <cell r="L26">
            <v>449</v>
          </cell>
          <cell r="M26">
            <v>3057</v>
          </cell>
          <cell r="N26">
            <v>769</v>
          </cell>
        </row>
        <row r="27">
          <cell r="C27">
            <v>910</v>
          </cell>
          <cell r="D27">
            <v>953</v>
          </cell>
          <cell r="E27">
            <v>898</v>
          </cell>
          <cell r="F27">
            <v>883</v>
          </cell>
          <cell r="G27">
            <v>1381</v>
          </cell>
          <cell r="H27">
            <v>1217</v>
          </cell>
          <cell r="I27">
            <v>886</v>
          </cell>
          <cell r="J27">
            <v>946</v>
          </cell>
          <cell r="K27">
            <v>900</v>
          </cell>
          <cell r="L27">
            <v>952</v>
          </cell>
          <cell r="M27">
            <v>4110</v>
          </cell>
          <cell r="N27">
            <v>1192</v>
          </cell>
        </row>
        <row r="28">
          <cell r="C28">
            <v>990</v>
          </cell>
          <cell r="D28">
            <v>1029</v>
          </cell>
          <cell r="E28">
            <v>982</v>
          </cell>
          <cell r="F28">
            <v>975</v>
          </cell>
          <cell r="G28">
            <v>1461</v>
          </cell>
          <cell r="H28">
            <v>1293</v>
          </cell>
          <cell r="I28">
            <v>978</v>
          </cell>
          <cell r="J28">
            <v>1026</v>
          </cell>
          <cell r="K28">
            <v>988</v>
          </cell>
          <cell r="L28">
            <v>1032</v>
          </cell>
          <cell r="M28">
            <v>4170</v>
          </cell>
          <cell r="N28">
            <v>1272</v>
          </cell>
        </row>
      </sheetData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>
            <v>1412000005</v>
          </cell>
          <cell r="B5" t="str">
            <v>機器製造2課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100</v>
          </cell>
          <cell r="D11">
            <v>100</v>
          </cell>
          <cell r="E11">
            <v>100</v>
          </cell>
          <cell r="F11">
            <v>116</v>
          </cell>
          <cell r="G11">
            <v>116</v>
          </cell>
          <cell r="H11">
            <v>116</v>
          </cell>
          <cell r="I11">
            <v>116</v>
          </cell>
          <cell r="J11">
            <v>116</v>
          </cell>
          <cell r="K11">
            <v>116</v>
          </cell>
          <cell r="L11">
            <v>132</v>
          </cell>
          <cell r="M11">
            <v>132</v>
          </cell>
          <cell r="N11">
            <v>132</v>
          </cell>
        </row>
        <row r="12">
          <cell r="C12">
            <v>1514</v>
          </cell>
          <cell r="D12">
            <v>1454</v>
          </cell>
          <cell r="E12">
            <v>1418</v>
          </cell>
          <cell r="F12">
            <v>1637</v>
          </cell>
          <cell r="G12">
            <v>1688</v>
          </cell>
          <cell r="H12">
            <v>1616</v>
          </cell>
          <cell r="I12">
            <v>1660</v>
          </cell>
          <cell r="J12">
            <v>1761</v>
          </cell>
          <cell r="K12">
            <v>1714</v>
          </cell>
          <cell r="L12">
            <v>1862</v>
          </cell>
          <cell r="M12">
            <v>2010</v>
          </cell>
          <cell r="N12">
            <v>1761</v>
          </cell>
        </row>
        <row r="13">
          <cell r="C13">
            <v>1614</v>
          </cell>
          <cell r="D13">
            <v>1554</v>
          </cell>
          <cell r="E13">
            <v>1518</v>
          </cell>
          <cell r="F13">
            <v>1753</v>
          </cell>
          <cell r="G13">
            <v>1804</v>
          </cell>
          <cell r="H13">
            <v>1732</v>
          </cell>
          <cell r="I13">
            <v>1776</v>
          </cell>
          <cell r="J13">
            <v>1877</v>
          </cell>
          <cell r="K13">
            <v>1830</v>
          </cell>
          <cell r="L13">
            <v>1994</v>
          </cell>
          <cell r="M13">
            <v>2142</v>
          </cell>
          <cell r="N13">
            <v>1893</v>
          </cell>
        </row>
        <row r="14">
          <cell r="C14">
            <v>1614</v>
          </cell>
          <cell r="D14">
            <v>1554</v>
          </cell>
          <cell r="E14">
            <v>1518</v>
          </cell>
          <cell r="F14">
            <v>1753</v>
          </cell>
          <cell r="G14">
            <v>1804</v>
          </cell>
          <cell r="H14">
            <v>1732</v>
          </cell>
          <cell r="I14">
            <v>1776</v>
          </cell>
          <cell r="J14">
            <v>1877</v>
          </cell>
          <cell r="K14">
            <v>1830</v>
          </cell>
          <cell r="L14">
            <v>1994</v>
          </cell>
          <cell r="M14">
            <v>2142</v>
          </cell>
          <cell r="N14">
            <v>1893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17680</v>
          </cell>
          <cell r="D18">
            <v>16796</v>
          </cell>
          <cell r="E18">
            <v>18564</v>
          </cell>
          <cell r="F18">
            <v>23460</v>
          </cell>
          <cell r="G18">
            <v>20400</v>
          </cell>
          <cell r="H18">
            <v>19380</v>
          </cell>
          <cell r="I18">
            <v>23460</v>
          </cell>
          <cell r="J18">
            <v>20400</v>
          </cell>
          <cell r="K18">
            <v>22440</v>
          </cell>
          <cell r="L18">
            <v>23120</v>
          </cell>
          <cell r="M18">
            <v>17340</v>
          </cell>
          <cell r="N18">
            <v>23120</v>
          </cell>
        </row>
        <row r="19">
          <cell r="C19">
            <v>298714</v>
          </cell>
          <cell r="D19">
            <v>275654</v>
          </cell>
          <cell r="E19">
            <v>293133</v>
          </cell>
          <cell r="F19">
            <v>380903</v>
          </cell>
          <cell r="G19">
            <v>332664</v>
          </cell>
          <cell r="H19">
            <v>304855</v>
          </cell>
          <cell r="I19">
            <v>371226</v>
          </cell>
          <cell r="J19">
            <v>345745</v>
          </cell>
          <cell r="K19">
            <v>367426</v>
          </cell>
          <cell r="L19">
            <v>361894</v>
          </cell>
          <cell r="M19">
            <v>293047</v>
          </cell>
          <cell r="N19">
            <v>342991</v>
          </cell>
        </row>
        <row r="20">
          <cell r="C20">
            <v>316394</v>
          </cell>
          <cell r="D20">
            <v>292450</v>
          </cell>
          <cell r="E20">
            <v>311697</v>
          </cell>
          <cell r="F20">
            <v>404363</v>
          </cell>
          <cell r="G20">
            <v>353064</v>
          </cell>
          <cell r="H20">
            <v>324235</v>
          </cell>
          <cell r="I20">
            <v>394686</v>
          </cell>
          <cell r="J20">
            <v>366145</v>
          </cell>
          <cell r="K20">
            <v>389866</v>
          </cell>
          <cell r="L20">
            <v>385014</v>
          </cell>
          <cell r="M20">
            <v>310387</v>
          </cell>
          <cell r="N20">
            <v>366111</v>
          </cell>
        </row>
        <row r="21">
          <cell r="C21">
            <v>316394</v>
          </cell>
          <cell r="D21">
            <v>292450</v>
          </cell>
          <cell r="E21">
            <v>311697</v>
          </cell>
          <cell r="F21">
            <v>404363</v>
          </cell>
          <cell r="G21">
            <v>353064</v>
          </cell>
          <cell r="H21">
            <v>324235</v>
          </cell>
          <cell r="I21">
            <v>394686</v>
          </cell>
          <cell r="J21">
            <v>366145</v>
          </cell>
          <cell r="K21">
            <v>389866</v>
          </cell>
          <cell r="L21">
            <v>385014</v>
          </cell>
          <cell r="M21">
            <v>310387</v>
          </cell>
          <cell r="N21">
            <v>366111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263</v>
          </cell>
          <cell r="D25">
            <v>259</v>
          </cell>
          <cell r="E25">
            <v>267</v>
          </cell>
          <cell r="F25">
            <v>283</v>
          </cell>
          <cell r="G25">
            <v>356</v>
          </cell>
          <cell r="H25">
            <v>939</v>
          </cell>
          <cell r="I25">
            <v>328</v>
          </cell>
          <cell r="J25">
            <v>628</v>
          </cell>
          <cell r="K25">
            <v>288</v>
          </cell>
          <cell r="L25">
            <v>372</v>
          </cell>
          <cell r="M25">
            <v>1323</v>
          </cell>
          <cell r="N25">
            <v>360</v>
          </cell>
        </row>
        <row r="26">
          <cell r="C26">
            <v>2323</v>
          </cell>
          <cell r="D26">
            <v>2947</v>
          </cell>
          <cell r="E26">
            <v>2207</v>
          </cell>
          <cell r="F26">
            <v>2210</v>
          </cell>
          <cell r="G26">
            <v>4741</v>
          </cell>
          <cell r="H26">
            <v>17785</v>
          </cell>
          <cell r="I26">
            <v>3215</v>
          </cell>
          <cell r="J26">
            <v>8836</v>
          </cell>
          <cell r="K26">
            <v>3250</v>
          </cell>
          <cell r="L26">
            <v>7764</v>
          </cell>
          <cell r="M26">
            <v>28373</v>
          </cell>
          <cell r="N26">
            <v>5748</v>
          </cell>
        </row>
        <row r="27">
          <cell r="C27">
            <v>2586</v>
          </cell>
          <cell r="D27">
            <v>3206</v>
          </cell>
          <cell r="E27">
            <v>2474</v>
          </cell>
          <cell r="F27">
            <v>2493</v>
          </cell>
          <cell r="G27">
            <v>5097</v>
          </cell>
          <cell r="H27">
            <v>18724</v>
          </cell>
          <cell r="I27">
            <v>3543</v>
          </cell>
          <cell r="J27">
            <v>9464</v>
          </cell>
          <cell r="K27">
            <v>3538</v>
          </cell>
          <cell r="L27">
            <v>8136</v>
          </cell>
          <cell r="M27">
            <v>29696</v>
          </cell>
          <cell r="N27">
            <v>6108</v>
          </cell>
        </row>
        <row r="28">
          <cell r="C28">
            <v>2586</v>
          </cell>
          <cell r="D28">
            <v>3206</v>
          </cell>
          <cell r="E28">
            <v>2474</v>
          </cell>
          <cell r="F28">
            <v>2493</v>
          </cell>
          <cell r="G28">
            <v>5097</v>
          </cell>
          <cell r="H28">
            <v>18724</v>
          </cell>
          <cell r="I28">
            <v>3543</v>
          </cell>
          <cell r="J28">
            <v>9464</v>
          </cell>
          <cell r="K28">
            <v>3538</v>
          </cell>
          <cell r="L28">
            <v>8136</v>
          </cell>
          <cell r="M28">
            <v>29696</v>
          </cell>
          <cell r="N28">
            <v>6108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>
            <v>1412000081</v>
          </cell>
          <cell r="B5" t="str">
            <v>機器製造3課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81</v>
          </cell>
          <cell r="D11">
            <v>81</v>
          </cell>
          <cell r="E11">
            <v>81</v>
          </cell>
          <cell r="F11">
            <v>90</v>
          </cell>
          <cell r="G11">
            <v>90</v>
          </cell>
          <cell r="H11">
            <v>90</v>
          </cell>
          <cell r="I11">
            <v>90</v>
          </cell>
          <cell r="J11">
            <v>90</v>
          </cell>
          <cell r="K11">
            <v>90</v>
          </cell>
          <cell r="L11">
            <v>99</v>
          </cell>
          <cell r="M11">
            <v>99</v>
          </cell>
          <cell r="N11">
            <v>99</v>
          </cell>
        </row>
        <row r="12">
          <cell r="C12">
            <v>1024</v>
          </cell>
          <cell r="D12">
            <v>1000</v>
          </cell>
          <cell r="E12">
            <v>905</v>
          </cell>
          <cell r="F12">
            <v>1014</v>
          </cell>
          <cell r="G12">
            <v>1058</v>
          </cell>
          <cell r="H12">
            <v>1070</v>
          </cell>
          <cell r="I12">
            <v>1067</v>
          </cell>
          <cell r="J12">
            <v>1068</v>
          </cell>
          <cell r="K12">
            <v>1061</v>
          </cell>
          <cell r="L12">
            <v>1095</v>
          </cell>
          <cell r="M12">
            <v>1168</v>
          </cell>
          <cell r="N12">
            <v>1123</v>
          </cell>
        </row>
        <row r="13">
          <cell r="C13">
            <v>1105</v>
          </cell>
          <cell r="D13">
            <v>1081</v>
          </cell>
          <cell r="E13">
            <v>986</v>
          </cell>
          <cell r="F13">
            <v>1104</v>
          </cell>
          <cell r="G13">
            <v>1148</v>
          </cell>
          <cell r="H13">
            <v>1160</v>
          </cell>
          <cell r="I13">
            <v>1157</v>
          </cell>
          <cell r="J13">
            <v>1158</v>
          </cell>
          <cell r="K13">
            <v>1151</v>
          </cell>
          <cell r="L13">
            <v>1194</v>
          </cell>
          <cell r="M13">
            <v>1267</v>
          </cell>
          <cell r="N13">
            <v>1222</v>
          </cell>
        </row>
        <row r="14">
          <cell r="C14">
            <v>1105</v>
          </cell>
          <cell r="D14">
            <v>1081</v>
          </cell>
          <cell r="E14">
            <v>986</v>
          </cell>
          <cell r="F14">
            <v>1104</v>
          </cell>
          <cell r="G14">
            <v>1148</v>
          </cell>
          <cell r="H14">
            <v>1160</v>
          </cell>
          <cell r="I14">
            <v>1157</v>
          </cell>
          <cell r="J14">
            <v>1158</v>
          </cell>
          <cell r="K14">
            <v>1151</v>
          </cell>
          <cell r="L14">
            <v>1194</v>
          </cell>
          <cell r="M14">
            <v>1267</v>
          </cell>
          <cell r="N14">
            <v>1222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14280</v>
          </cell>
          <cell r="D18">
            <v>13566</v>
          </cell>
          <cell r="E18">
            <v>14994</v>
          </cell>
          <cell r="F18">
            <v>18181.5</v>
          </cell>
          <cell r="G18">
            <v>15810</v>
          </cell>
          <cell r="H18">
            <v>15019.5</v>
          </cell>
          <cell r="I18">
            <v>18181.5</v>
          </cell>
          <cell r="J18">
            <v>15810</v>
          </cell>
          <cell r="K18">
            <v>17391</v>
          </cell>
          <cell r="L18">
            <v>17340</v>
          </cell>
          <cell r="M18">
            <v>13005</v>
          </cell>
          <cell r="N18">
            <v>17340</v>
          </cell>
        </row>
        <row r="19">
          <cell r="C19">
            <v>176298</v>
          </cell>
          <cell r="D19">
            <v>163102.5</v>
          </cell>
          <cell r="E19">
            <v>163526.5</v>
          </cell>
          <cell r="F19">
            <v>200249</v>
          </cell>
          <cell r="G19">
            <v>181900</v>
          </cell>
          <cell r="H19">
            <v>174133</v>
          </cell>
          <cell r="I19">
            <v>218387</v>
          </cell>
          <cell r="J19">
            <v>183337</v>
          </cell>
          <cell r="K19">
            <v>199980</v>
          </cell>
          <cell r="L19">
            <v>187806</v>
          </cell>
          <cell r="M19">
            <v>149423.5</v>
          </cell>
          <cell r="N19">
            <v>211381</v>
          </cell>
        </row>
        <row r="20">
          <cell r="C20">
            <v>190578</v>
          </cell>
          <cell r="D20">
            <v>176668.5</v>
          </cell>
          <cell r="E20">
            <v>178520.5</v>
          </cell>
          <cell r="F20">
            <v>218430.5</v>
          </cell>
          <cell r="G20">
            <v>197710</v>
          </cell>
          <cell r="H20">
            <v>189152.5</v>
          </cell>
          <cell r="I20">
            <v>236568.5</v>
          </cell>
          <cell r="J20">
            <v>199147</v>
          </cell>
          <cell r="K20">
            <v>217371</v>
          </cell>
          <cell r="L20">
            <v>205146</v>
          </cell>
          <cell r="M20">
            <v>162428.5</v>
          </cell>
          <cell r="N20">
            <v>228721</v>
          </cell>
        </row>
        <row r="21">
          <cell r="C21">
            <v>190578</v>
          </cell>
          <cell r="D21">
            <v>176668.5</v>
          </cell>
          <cell r="E21">
            <v>178520.5</v>
          </cell>
          <cell r="F21">
            <v>218430.5</v>
          </cell>
          <cell r="G21">
            <v>197710</v>
          </cell>
          <cell r="H21">
            <v>189152.5</v>
          </cell>
          <cell r="I21">
            <v>236568.5</v>
          </cell>
          <cell r="J21">
            <v>199147</v>
          </cell>
          <cell r="K21">
            <v>217371</v>
          </cell>
          <cell r="L21">
            <v>205146</v>
          </cell>
          <cell r="M21">
            <v>162428.5</v>
          </cell>
          <cell r="N21">
            <v>228721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143</v>
          </cell>
          <cell r="D25">
            <v>137</v>
          </cell>
          <cell r="E25">
            <v>149</v>
          </cell>
          <cell r="F25">
            <v>161</v>
          </cell>
          <cell r="G25">
            <v>427</v>
          </cell>
          <cell r="H25">
            <v>1095</v>
          </cell>
          <cell r="I25">
            <v>258</v>
          </cell>
          <cell r="J25">
            <v>529</v>
          </cell>
          <cell r="K25">
            <v>745</v>
          </cell>
          <cell r="L25">
            <v>1013</v>
          </cell>
          <cell r="M25">
            <v>1952</v>
          </cell>
          <cell r="N25">
            <v>1669</v>
          </cell>
        </row>
        <row r="26">
          <cell r="C26">
            <v>391</v>
          </cell>
          <cell r="D26">
            <v>391</v>
          </cell>
          <cell r="E26">
            <v>391</v>
          </cell>
          <cell r="F26">
            <v>690</v>
          </cell>
          <cell r="G26">
            <v>5273</v>
          </cell>
          <cell r="H26">
            <v>16775</v>
          </cell>
          <cell r="I26">
            <v>2817</v>
          </cell>
          <cell r="J26">
            <v>7150</v>
          </cell>
          <cell r="K26">
            <v>11318</v>
          </cell>
          <cell r="L26">
            <v>15487</v>
          </cell>
          <cell r="M26">
            <v>31974</v>
          </cell>
          <cell r="N26">
            <v>26021</v>
          </cell>
        </row>
        <row r="27">
          <cell r="C27">
            <v>534</v>
          </cell>
          <cell r="D27">
            <v>528</v>
          </cell>
          <cell r="E27">
            <v>540</v>
          </cell>
          <cell r="F27">
            <v>851</v>
          </cell>
          <cell r="G27">
            <v>5700</v>
          </cell>
          <cell r="H27">
            <v>17870</v>
          </cell>
          <cell r="I27">
            <v>3075</v>
          </cell>
          <cell r="J27">
            <v>7679</v>
          </cell>
          <cell r="K27">
            <v>12063</v>
          </cell>
          <cell r="L27">
            <v>16500</v>
          </cell>
          <cell r="M27">
            <v>33926</v>
          </cell>
          <cell r="N27">
            <v>27690</v>
          </cell>
        </row>
        <row r="28">
          <cell r="C28">
            <v>534</v>
          </cell>
          <cell r="D28">
            <v>528</v>
          </cell>
          <cell r="E28">
            <v>540</v>
          </cell>
          <cell r="F28">
            <v>851</v>
          </cell>
          <cell r="G28">
            <v>5700</v>
          </cell>
          <cell r="H28">
            <v>17870</v>
          </cell>
          <cell r="I28">
            <v>3075</v>
          </cell>
          <cell r="J28">
            <v>7679</v>
          </cell>
          <cell r="K28">
            <v>12063</v>
          </cell>
          <cell r="L28">
            <v>16500</v>
          </cell>
          <cell r="M28">
            <v>33926</v>
          </cell>
          <cell r="N28">
            <v>27690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39"/>
    </sheetNames>
    <sheetDataSet>
      <sheetData sheetId="0">
        <row r="5">
          <cell r="A5">
            <v>1412000066</v>
          </cell>
          <cell r="B5" t="str">
            <v>RPS製造課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80</v>
          </cell>
          <cell r="D18">
            <v>76</v>
          </cell>
          <cell r="E18">
            <v>84</v>
          </cell>
          <cell r="F18">
            <v>92</v>
          </cell>
          <cell r="G18">
            <v>80</v>
          </cell>
          <cell r="H18">
            <v>76</v>
          </cell>
          <cell r="I18">
            <v>92</v>
          </cell>
          <cell r="J18">
            <v>80</v>
          </cell>
          <cell r="K18">
            <v>88</v>
          </cell>
          <cell r="L18">
            <v>80</v>
          </cell>
          <cell r="M18">
            <v>60</v>
          </cell>
          <cell r="N18">
            <v>80</v>
          </cell>
        </row>
        <row r="19">
          <cell r="C19">
            <v>850</v>
          </cell>
          <cell r="D19">
            <v>807.5</v>
          </cell>
          <cell r="E19">
            <v>892.5</v>
          </cell>
          <cell r="F19">
            <v>977.5</v>
          </cell>
          <cell r="G19">
            <v>850</v>
          </cell>
          <cell r="H19">
            <v>807.5</v>
          </cell>
          <cell r="I19">
            <v>977.5</v>
          </cell>
          <cell r="J19">
            <v>850</v>
          </cell>
          <cell r="K19">
            <v>935</v>
          </cell>
          <cell r="L19">
            <v>850</v>
          </cell>
          <cell r="M19">
            <v>637.5</v>
          </cell>
          <cell r="N19">
            <v>850</v>
          </cell>
        </row>
        <row r="20">
          <cell r="C20">
            <v>930</v>
          </cell>
          <cell r="D20">
            <v>883.5</v>
          </cell>
          <cell r="E20">
            <v>976.5</v>
          </cell>
          <cell r="F20">
            <v>1069.5</v>
          </cell>
          <cell r="G20">
            <v>930</v>
          </cell>
          <cell r="H20">
            <v>883.5</v>
          </cell>
          <cell r="I20">
            <v>1069.5</v>
          </cell>
          <cell r="J20">
            <v>930</v>
          </cell>
          <cell r="K20">
            <v>1023</v>
          </cell>
          <cell r="L20">
            <v>930</v>
          </cell>
          <cell r="M20">
            <v>697.5</v>
          </cell>
          <cell r="N20">
            <v>930</v>
          </cell>
        </row>
        <row r="21">
          <cell r="C21">
            <v>930</v>
          </cell>
          <cell r="D21">
            <v>883.5</v>
          </cell>
          <cell r="E21">
            <v>976.5</v>
          </cell>
          <cell r="F21">
            <v>1069.5</v>
          </cell>
          <cell r="G21">
            <v>930</v>
          </cell>
          <cell r="H21">
            <v>883.5</v>
          </cell>
          <cell r="I21">
            <v>1069.5</v>
          </cell>
          <cell r="J21">
            <v>930</v>
          </cell>
          <cell r="K21">
            <v>1023</v>
          </cell>
          <cell r="L21">
            <v>930</v>
          </cell>
          <cell r="M21">
            <v>697.5</v>
          </cell>
          <cell r="N21">
            <v>930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</sheetData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人員・時間計画"/>
      <sheetName val="DT"/>
      <sheetName val="Sheet6"/>
      <sheetName val="DSNS T1"/>
      <sheetName val="Sheet1"/>
    </sheetNames>
    <sheetDataSet>
      <sheetData sheetId="0">
        <row r="5">
          <cell r="A5">
            <v>1412000034</v>
          </cell>
          <cell r="B5" t="str">
            <v>トナー製造課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22</v>
          </cell>
          <cell r="D11">
            <v>22</v>
          </cell>
          <cell r="E11">
            <v>22</v>
          </cell>
          <cell r="F11">
            <v>22</v>
          </cell>
          <cell r="G11">
            <v>22</v>
          </cell>
          <cell r="H11">
            <v>22</v>
          </cell>
          <cell r="I11">
            <v>22</v>
          </cell>
          <cell r="J11">
            <v>22</v>
          </cell>
          <cell r="K11">
            <v>22</v>
          </cell>
          <cell r="L11">
            <v>22</v>
          </cell>
          <cell r="M11">
            <v>22</v>
          </cell>
          <cell r="N11">
            <v>22</v>
          </cell>
        </row>
        <row r="12">
          <cell r="C12">
            <v>297</v>
          </cell>
          <cell r="D12">
            <v>297</v>
          </cell>
          <cell r="E12">
            <v>298</v>
          </cell>
          <cell r="F12">
            <v>298</v>
          </cell>
          <cell r="G12">
            <v>306</v>
          </cell>
          <cell r="H12">
            <v>314</v>
          </cell>
          <cell r="I12">
            <v>314</v>
          </cell>
          <cell r="J12">
            <v>314</v>
          </cell>
          <cell r="K12">
            <v>314</v>
          </cell>
          <cell r="L12">
            <v>314</v>
          </cell>
          <cell r="M12">
            <v>324</v>
          </cell>
          <cell r="N12">
            <v>324</v>
          </cell>
        </row>
        <row r="13">
          <cell r="C13">
            <v>319</v>
          </cell>
          <cell r="D13">
            <v>319</v>
          </cell>
          <cell r="E13">
            <v>320</v>
          </cell>
          <cell r="F13">
            <v>320</v>
          </cell>
          <cell r="G13">
            <v>328</v>
          </cell>
          <cell r="H13">
            <v>336</v>
          </cell>
          <cell r="I13">
            <v>336</v>
          </cell>
          <cell r="J13">
            <v>336</v>
          </cell>
          <cell r="K13">
            <v>336</v>
          </cell>
          <cell r="L13">
            <v>336</v>
          </cell>
          <cell r="M13">
            <v>346</v>
          </cell>
          <cell r="N13">
            <v>346</v>
          </cell>
        </row>
        <row r="14">
          <cell r="C14">
            <v>320</v>
          </cell>
          <cell r="D14">
            <v>320</v>
          </cell>
          <cell r="E14">
            <v>321</v>
          </cell>
          <cell r="F14">
            <v>321</v>
          </cell>
          <cell r="G14">
            <v>329</v>
          </cell>
          <cell r="H14">
            <v>337</v>
          </cell>
          <cell r="I14">
            <v>337</v>
          </cell>
          <cell r="J14">
            <v>337</v>
          </cell>
          <cell r="K14">
            <v>337</v>
          </cell>
          <cell r="L14">
            <v>337</v>
          </cell>
          <cell r="M14">
            <v>347</v>
          </cell>
          <cell r="N14">
            <v>347</v>
          </cell>
        </row>
        <row r="17">
          <cell r="C17">
            <v>170</v>
          </cell>
          <cell r="D17">
            <v>161.5</v>
          </cell>
          <cell r="E17">
            <v>178.5</v>
          </cell>
          <cell r="F17">
            <v>195.5</v>
          </cell>
          <cell r="G17">
            <v>170</v>
          </cell>
          <cell r="H17">
            <v>161.5</v>
          </cell>
          <cell r="I17">
            <v>195.5</v>
          </cell>
          <cell r="J17">
            <v>170</v>
          </cell>
          <cell r="K17">
            <v>187</v>
          </cell>
          <cell r="L17">
            <v>170</v>
          </cell>
          <cell r="M17">
            <v>127.5</v>
          </cell>
          <cell r="N17">
            <v>170</v>
          </cell>
        </row>
        <row r="18">
          <cell r="C18">
            <v>3456</v>
          </cell>
          <cell r="D18">
            <v>3200</v>
          </cell>
          <cell r="E18">
            <v>3528</v>
          </cell>
          <cell r="F18">
            <v>3854</v>
          </cell>
          <cell r="G18">
            <v>3456</v>
          </cell>
          <cell r="H18">
            <v>3200</v>
          </cell>
          <cell r="I18">
            <v>3854</v>
          </cell>
          <cell r="J18">
            <v>3456</v>
          </cell>
          <cell r="K18">
            <v>3691</v>
          </cell>
          <cell r="L18">
            <v>3456</v>
          </cell>
          <cell r="M18">
            <v>2546</v>
          </cell>
          <cell r="N18">
            <v>3364</v>
          </cell>
        </row>
        <row r="19">
          <cell r="C19">
            <v>46065</v>
          </cell>
          <cell r="D19">
            <v>41877</v>
          </cell>
          <cell r="E19">
            <v>46220</v>
          </cell>
          <cell r="F19">
            <v>50421</v>
          </cell>
          <cell r="G19">
            <v>47461</v>
          </cell>
          <cell r="H19">
            <v>40608</v>
          </cell>
          <cell r="I19">
            <v>53129</v>
          </cell>
          <cell r="J19">
            <v>48701</v>
          </cell>
          <cell r="K19">
            <v>50915</v>
          </cell>
          <cell r="L19">
            <v>48701</v>
          </cell>
          <cell r="M19">
            <v>36547</v>
          </cell>
          <cell r="N19">
            <v>47969</v>
          </cell>
        </row>
        <row r="20">
          <cell r="C20">
            <v>49521</v>
          </cell>
          <cell r="D20">
            <v>45077</v>
          </cell>
          <cell r="E20">
            <v>49748</v>
          </cell>
          <cell r="F20">
            <v>54275</v>
          </cell>
          <cell r="G20">
            <v>50917</v>
          </cell>
          <cell r="H20">
            <v>43808</v>
          </cell>
          <cell r="I20">
            <v>56983</v>
          </cell>
          <cell r="J20">
            <v>52157</v>
          </cell>
          <cell r="K20">
            <v>54606</v>
          </cell>
          <cell r="L20">
            <v>52157</v>
          </cell>
          <cell r="M20">
            <v>39093</v>
          </cell>
          <cell r="N20">
            <v>51333</v>
          </cell>
        </row>
        <row r="21">
          <cell r="C21">
            <v>49691</v>
          </cell>
          <cell r="D21">
            <v>45238.5</v>
          </cell>
          <cell r="E21">
            <v>49926.5</v>
          </cell>
          <cell r="F21">
            <v>54470.5</v>
          </cell>
          <cell r="G21">
            <v>51087</v>
          </cell>
          <cell r="H21">
            <v>43969.5</v>
          </cell>
          <cell r="I21">
            <v>57178.5</v>
          </cell>
          <cell r="J21">
            <v>52327</v>
          </cell>
          <cell r="K21">
            <v>54793</v>
          </cell>
          <cell r="L21">
            <v>52327</v>
          </cell>
          <cell r="M21">
            <v>39220.5</v>
          </cell>
          <cell r="N21">
            <v>51503</v>
          </cell>
        </row>
        <row r="24">
          <cell r="C24">
            <v>40</v>
          </cell>
          <cell r="D24">
            <v>38</v>
          </cell>
          <cell r="E24">
            <v>42</v>
          </cell>
          <cell r="F24">
            <v>46</v>
          </cell>
          <cell r="G24">
            <v>40</v>
          </cell>
          <cell r="H24">
            <v>38</v>
          </cell>
          <cell r="I24">
            <v>46</v>
          </cell>
          <cell r="J24">
            <v>40</v>
          </cell>
          <cell r="K24">
            <v>44</v>
          </cell>
          <cell r="L24">
            <v>40</v>
          </cell>
          <cell r="M24">
            <v>30</v>
          </cell>
          <cell r="N24">
            <v>40</v>
          </cell>
        </row>
        <row r="25">
          <cell r="C25">
            <v>76</v>
          </cell>
          <cell r="D25">
            <v>104</v>
          </cell>
          <cell r="E25">
            <v>112</v>
          </cell>
          <cell r="F25">
            <v>184</v>
          </cell>
          <cell r="G25">
            <v>132</v>
          </cell>
          <cell r="H25">
            <v>136</v>
          </cell>
          <cell r="I25">
            <v>160</v>
          </cell>
          <cell r="J25">
            <v>164</v>
          </cell>
          <cell r="K25">
            <v>132</v>
          </cell>
          <cell r="L25">
            <v>180</v>
          </cell>
          <cell r="M25">
            <v>136</v>
          </cell>
          <cell r="N25">
            <v>124</v>
          </cell>
        </row>
        <row r="26">
          <cell r="C26">
            <v>0</v>
          </cell>
          <cell r="D26">
            <v>720</v>
          </cell>
          <cell r="E26">
            <v>304</v>
          </cell>
          <cell r="F26">
            <v>2384</v>
          </cell>
          <cell r="G26">
            <v>1240</v>
          </cell>
          <cell r="H26">
            <v>2064</v>
          </cell>
          <cell r="I26">
            <v>1656</v>
          </cell>
          <cell r="J26">
            <v>1352</v>
          </cell>
          <cell r="K26">
            <v>1248</v>
          </cell>
          <cell r="L26">
            <v>2376</v>
          </cell>
          <cell r="M26">
            <v>1968</v>
          </cell>
          <cell r="N26">
            <v>936</v>
          </cell>
        </row>
        <row r="27">
          <cell r="C27">
            <v>76</v>
          </cell>
          <cell r="D27">
            <v>824</v>
          </cell>
          <cell r="E27">
            <v>416</v>
          </cell>
          <cell r="F27">
            <v>2568</v>
          </cell>
          <cell r="G27">
            <v>1372</v>
          </cell>
          <cell r="H27">
            <v>2200</v>
          </cell>
          <cell r="I27">
            <v>1816</v>
          </cell>
          <cell r="J27">
            <v>1516</v>
          </cell>
          <cell r="K27">
            <v>1380</v>
          </cell>
          <cell r="L27">
            <v>2556</v>
          </cell>
          <cell r="M27">
            <v>2104</v>
          </cell>
          <cell r="N27">
            <v>1060</v>
          </cell>
        </row>
        <row r="28">
          <cell r="C28">
            <v>116</v>
          </cell>
          <cell r="D28">
            <v>862</v>
          </cell>
          <cell r="E28">
            <v>458</v>
          </cell>
          <cell r="F28">
            <v>2614</v>
          </cell>
          <cell r="G28">
            <v>1412</v>
          </cell>
          <cell r="H28">
            <v>2238</v>
          </cell>
          <cell r="I28">
            <v>1862</v>
          </cell>
          <cell r="J28">
            <v>1556</v>
          </cell>
          <cell r="K28">
            <v>1424</v>
          </cell>
          <cell r="L28">
            <v>2596</v>
          </cell>
          <cell r="M28">
            <v>2134</v>
          </cell>
          <cell r="N28">
            <v>1100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23"/>
    </sheetNames>
    <sheetDataSet>
      <sheetData sheetId="0">
        <row r="5">
          <cell r="A5">
            <v>1412000056</v>
          </cell>
          <cell r="B5" t="str">
            <v>部品製造課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16</v>
          </cell>
          <cell r="D11">
            <v>16</v>
          </cell>
          <cell r="E11">
            <v>16</v>
          </cell>
          <cell r="F11">
            <v>16</v>
          </cell>
          <cell r="G11">
            <v>16</v>
          </cell>
          <cell r="H11">
            <v>16</v>
          </cell>
          <cell r="I11">
            <v>16</v>
          </cell>
          <cell r="J11">
            <v>16</v>
          </cell>
          <cell r="K11">
            <v>16</v>
          </cell>
          <cell r="L11">
            <v>16</v>
          </cell>
          <cell r="M11">
            <v>16</v>
          </cell>
          <cell r="N11">
            <v>16</v>
          </cell>
        </row>
        <row r="12">
          <cell r="C12">
            <v>125</v>
          </cell>
          <cell r="D12">
            <v>125</v>
          </cell>
          <cell r="E12">
            <v>125</v>
          </cell>
          <cell r="F12">
            <v>125</v>
          </cell>
          <cell r="G12">
            <v>125</v>
          </cell>
          <cell r="H12">
            <v>125</v>
          </cell>
          <cell r="I12">
            <v>125</v>
          </cell>
          <cell r="J12">
            <v>125</v>
          </cell>
          <cell r="K12">
            <v>125</v>
          </cell>
          <cell r="L12">
            <v>125</v>
          </cell>
          <cell r="M12">
            <v>125</v>
          </cell>
          <cell r="N12">
            <v>125</v>
          </cell>
        </row>
        <row r="13">
          <cell r="C13">
            <v>141</v>
          </cell>
          <cell r="D13">
            <v>141</v>
          </cell>
          <cell r="E13">
            <v>141</v>
          </cell>
          <cell r="F13">
            <v>141</v>
          </cell>
          <cell r="G13">
            <v>141</v>
          </cell>
          <cell r="H13">
            <v>141</v>
          </cell>
          <cell r="I13">
            <v>141</v>
          </cell>
          <cell r="J13">
            <v>141</v>
          </cell>
          <cell r="K13">
            <v>141</v>
          </cell>
          <cell r="L13">
            <v>141</v>
          </cell>
          <cell r="M13">
            <v>141</v>
          </cell>
          <cell r="N13">
            <v>141</v>
          </cell>
        </row>
        <row r="14">
          <cell r="C14">
            <v>142</v>
          </cell>
          <cell r="D14">
            <v>142</v>
          </cell>
          <cell r="E14">
            <v>142</v>
          </cell>
          <cell r="F14">
            <v>142</v>
          </cell>
          <cell r="G14">
            <v>142</v>
          </cell>
          <cell r="H14">
            <v>142</v>
          </cell>
          <cell r="I14">
            <v>142</v>
          </cell>
          <cell r="J14">
            <v>142</v>
          </cell>
          <cell r="K14">
            <v>142</v>
          </cell>
          <cell r="L14">
            <v>142</v>
          </cell>
          <cell r="M14">
            <v>142</v>
          </cell>
          <cell r="N14">
            <v>142</v>
          </cell>
        </row>
        <row r="17">
          <cell r="C17">
            <v>161.5</v>
          </cell>
          <cell r="D17">
            <v>161.5</v>
          </cell>
          <cell r="E17">
            <v>170</v>
          </cell>
          <cell r="F17">
            <v>153</v>
          </cell>
          <cell r="G17">
            <v>170</v>
          </cell>
          <cell r="H17">
            <v>153</v>
          </cell>
          <cell r="I17">
            <v>195.5</v>
          </cell>
          <cell r="J17">
            <v>161.5</v>
          </cell>
          <cell r="K17">
            <v>187</v>
          </cell>
          <cell r="L17">
            <v>161.5</v>
          </cell>
          <cell r="M17">
            <v>127.5</v>
          </cell>
          <cell r="N17">
            <v>161.5</v>
          </cell>
        </row>
        <row r="18">
          <cell r="C18">
            <v>2556</v>
          </cell>
          <cell r="D18">
            <v>2451</v>
          </cell>
          <cell r="E18">
            <v>2556</v>
          </cell>
          <cell r="F18">
            <v>2661</v>
          </cell>
          <cell r="G18">
            <v>2556</v>
          </cell>
          <cell r="H18">
            <v>2451</v>
          </cell>
          <cell r="I18">
            <v>2661</v>
          </cell>
          <cell r="J18">
            <v>2556</v>
          </cell>
          <cell r="K18">
            <v>2609</v>
          </cell>
          <cell r="L18">
            <v>2504</v>
          </cell>
          <cell r="M18">
            <v>2241</v>
          </cell>
          <cell r="N18">
            <v>2504</v>
          </cell>
        </row>
        <row r="19">
          <cell r="C19">
            <v>19274</v>
          </cell>
          <cell r="D19">
            <v>17784</v>
          </cell>
          <cell r="E19">
            <v>19209.5</v>
          </cell>
          <cell r="F19">
            <v>20956.5</v>
          </cell>
          <cell r="G19">
            <v>19411.5</v>
          </cell>
          <cell r="H19">
            <v>17926.5</v>
          </cell>
          <cell r="I19">
            <v>21039</v>
          </cell>
          <cell r="J19">
            <v>19634</v>
          </cell>
          <cell r="K19">
            <v>20297</v>
          </cell>
          <cell r="L19">
            <v>18992.5</v>
          </cell>
          <cell r="M19">
            <v>15298.5</v>
          </cell>
          <cell r="N19">
            <v>19011.5</v>
          </cell>
        </row>
        <row r="20">
          <cell r="C20">
            <v>21830</v>
          </cell>
          <cell r="D20">
            <v>20235</v>
          </cell>
          <cell r="E20">
            <v>21765.5</v>
          </cell>
          <cell r="F20">
            <v>23617.5</v>
          </cell>
          <cell r="G20">
            <v>21967.5</v>
          </cell>
          <cell r="H20">
            <v>20377.5</v>
          </cell>
          <cell r="I20">
            <v>23700</v>
          </cell>
          <cell r="J20">
            <v>22190</v>
          </cell>
          <cell r="K20">
            <v>22906</v>
          </cell>
          <cell r="L20">
            <v>21496.5</v>
          </cell>
          <cell r="M20">
            <v>17539.5</v>
          </cell>
          <cell r="N20">
            <v>21515.5</v>
          </cell>
        </row>
        <row r="21">
          <cell r="C21">
            <v>21991.5</v>
          </cell>
          <cell r="D21">
            <v>20396.5</v>
          </cell>
          <cell r="E21">
            <v>21935.5</v>
          </cell>
          <cell r="F21">
            <v>23770.5</v>
          </cell>
          <cell r="G21">
            <v>22137.5</v>
          </cell>
          <cell r="H21">
            <v>20530.5</v>
          </cell>
          <cell r="I21">
            <v>23895.5</v>
          </cell>
          <cell r="J21">
            <v>22351.5</v>
          </cell>
          <cell r="K21">
            <v>23093</v>
          </cell>
          <cell r="L21">
            <v>21658</v>
          </cell>
          <cell r="M21">
            <v>17667</v>
          </cell>
          <cell r="N21">
            <v>21677</v>
          </cell>
        </row>
        <row r="24">
          <cell r="C24">
            <v>38</v>
          </cell>
          <cell r="D24">
            <v>38</v>
          </cell>
          <cell r="E24">
            <v>40</v>
          </cell>
          <cell r="F24">
            <v>36</v>
          </cell>
          <cell r="G24">
            <v>40</v>
          </cell>
          <cell r="H24">
            <v>36</v>
          </cell>
          <cell r="I24">
            <v>46</v>
          </cell>
          <cell r="J24">
            <v>38</v>
          </cell>
          <cell r="K24">
            <v>44</v>
          </cell>
          <cell r="L24">
            <v>38</v>
          </cell>
          <cell r="M24">
            <v>30</v>
          </cell>
          <cell r="N24">
            <v>38</v>
          </cell>
        </row>
        <row r="25">
          <cell r="C25">
            <v>56</v>
          </cell>
          <cell r="D25">
            <v>56</v>
          </cell>
          <cell r="E25">
            <v>56</v>
          </cell>
          <cell r="F25">
            <v>172</v>
          </cell>
          <cell r="G25">
            <v>112</v>
          </cell>
          <cell r="H25">
            <v>112</v>
          </cell>
          <cell r="I25">
            <v>116</v>
          </cell>
          <cell r="J25">
            <v>116</v>
          </cell>
          <cell r="K25">
            <v>112</v>
          </cell>
          <cell r="L25">
            <v>56</v>
          </cell>
          <cell r="M25">
            <v>172</v>
          </cell>
          <cell r="N25">
            <v>172</v>
          </cell>
        </row>
        <row r="26">
          <cell r="C26">
            <v>1300</v>
          </cell>
          <cell r="D26">
            <v>1300</v>
          </cell>
          <cell r="E26">
            <v>1300</v>
          </cell>
          <cell r="F26">
            <v>1300</v>
          </cell>
          <cell r="G26">
            <v>1400</v>
          </cell>
          <cell r="H26">
            <v>1400</v>
          </cell>
          <cell r="I26">
            <v>1300</v>
          </cell>
          <cell r="J26">
            <v>1400</v>
          </cell>
          <cell r="K26">
            <v>1300</v>
          </cell>
          <cell r="L26">
            <v>1300</v>
          </cell>
          <cell r="M26">
            <v>1400</v>
          </cell>
          <cell r="N26">
            <v>1400</v>
          </cell>
        </row>
        <row r="27">
          <cell r="C27">
            <v>1356</v>
          </cell>
          <cell r="D27">
            <v>1356</v>
          </cell>
          <cell r="E27">
            <v>1356</v>
          </cell>
          <cell r="F27">
            <v>1472</v>
          </cell>
          <cell r="G27">
            <v>1512</v>
          </cell>
          <cell r="H27">
            <v>1512</v>
          </cell>
          <cell r="I27">
            <v>1416</v>
          </cell>
          <cell r="J27">
            <v>1516</v>
          </cell>
          <cell r="K27">
            <v>1412</v>
          </cell>
          <cell r="L27">
            <v>1356</v>
          </cell>
          <cell r="M27">
            <v>1572</v>
          </cell>
          <cell r="N27">
            <v>1572</v>
          </cell>
        </row>
        <row r="28">
          <cell r="C28">
            <v>1394</v>
          </cell>
          <cell r="D28">
            <v>1394</v>
          </cell>
          <cell r="E28">
            <v>1396</v>
          </cell>
          <cell r="F28">
            <v>1508</v>
          </cell>
          <cell r="G28">
            <v>1552</v>
          </cell>
          <cell r="H28">
            <v>1548</v>
          </cell>
          <cell r="I28">
            <v>1462</v>
          </cell>
          <cell r="J28">
            <v>1554</v>
          </cell>
          <cell r="K28">
            <v>1456</v>
          </cell>
          <cell r="L28">
            <v>1394</v>
          </cell>
          <cell r="M28">
            <v>1602</v>
          </cell>
          <cell r="N28">
            <v>1610</v>
          </cell>
        </row>
      </sheetData>
      <sheetData sheetId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 "/>
      <sheetName val="Sheet1"/>
      <sheetName val="人員・時間計画"/>
    </sheetNames>
    <sheetDataSet>
      <sheetData sheetId="0">
        <row r="5">
          <cell r="A5">
            <v>1412000098</v>
          </cell>
          <cell r="B5" t="str">
            <v>電工製造課</v>
          </cell>
        </row>
        <row r="10">
          <cell r="C10">
            <v>2</v>
          </cell>
          <cell r="D10">
            <v>2</v>
          </cell>
          <cell r="E10">
            <v>2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  <cell r="K10">
            <v>2</v>
          </cell>
          <cell r="L10">
            <v>2</v>
          </cell>
          <cell r="M10">
            <v>2</v>
          </cell>
          <cell r="N10">
            <v>2</v>
          </cell>
        </row>
        <row r="11">
          <cell r="C11">
            <v>15</v>
          </cell>
          <cell r="D11">
            <v>15</v>
          </cell>
          <cell r="E11">
            <v>15</v>
          </cell>
          <cell r="F11">
            <v>15</v>
          </cell>
          <cell r="G11">
            <v>15</v>
          </cell>
          <cell r="H11">
            <v>15</v>
          </cell>
          <cell r="I11">
            <v>15</v>
          </cell>
          <cell r="J11">
            <v>15</v>
          </cell>
          <cell r="K11">
            <v>15</v>
          </cell>
          <cell r="L11">
            <v>15</v>
          </cell>
          <cell r="M11">
            <v>15</v>
          </cell>
          <cell r="N11">
            <v>15</v>
          </cell>
        </row>
        <row r="12">
          <cell r="C12">
            <v>14</v>
          </cell>
          <cell r="D12">
            <v>14</v>
          </cell>
          <cell r="E12">
            <v>14</v>
          </cell>
          <cell r="F12">
            <v>29</v>
          </cell>
          <cell r="G12">
            <v>29</v>
          </cell>
          <cell r="H12">
            <v>29</v>
          </cell>
          <cell r="I12">
            <v>30</v>
          </cell>
          <cell r="J12">
            <v>30</v>
          </cell>
          <cell r="K12">
            <v>30</v>
          </cell>
          <cell r="L12">
            <v>43</v>
          </cell>
          <cell r="M12">
            <v>43</v>
          </cell>
          <cell r="N12">
            <v>43</v>
          </cell>
        </row>
        <row r="13">
          <cell r="C13">
            <v>29</v>
          </cell>
          <cell r="D13">
            <v>29</v>
          </cell>
          <cell r="E13">
            <v>29</v>
          </cell>
          <cell r="F13">
            <v>44</v>
          </cell>
          <cell r="G13">
            <v>44</v>
          </cell>
          <cell r="H13">
            <v>44</v>
          </cell>
          <cell r="I13">
            <v>45</v>
          </cell>
          <cell r="J13">
            <v>45</v>
          </cell>
          <cell r="K13">
            <v>45</v>
          </cell>
          <cell r="L13">
            <v>58</v>
          </cell>
          <cell r="M13">
            <v>58</v>
          </cell>
          <cell r="N13">
            <v>58</v>
          </cell>
        </row>
        <row r="14">
          <cell r="C14">
            <v>31</v>
          </cell>
          <cell r="D14">
            <v>31</v>
          </cell>
          <cell r="E14">
            <v>31</v>
          </cell>
          <cell r="F14">
            <v>46</v>
          </cell>
          <cell r="G14">
            <v>46</v>
          </cell>
          <cell r="H14">
            <v>46</v>
          </cell>
          <cell r="I14">
            <v>47</v>
          </cell>
          <cell r="J14">
            <v>47</v>
          </cell>
          <cell r="K14">
            <v>47</v>
          </cell>
          <cell r="L14">
            <v>60</v>
          </cell>
          <cell r="M14">
            <v>60</v>
          </cell>
          <cell r="N14">
            <v>60</v>
          </cell>
        </row>
        <row r="17">
          <cell r="C17">
            <v>306</v>
          </cell>
          <cell r="D17">
            <v>323</v>
          </cell>
          <cell r="E17">
            <v>357</v>
          </cell>
          <cell r="F17">
            <v>391</v>
          </cell>
          <cell r="G17">
            <v>306</v>
          </cell>
          <cell r="H17">
            <v>323</v>
          </cell>
          <cell r="I17">
            <v>348.5</v>
          </cell>
          <cell r="J17">
            <v>340</v>
          </cell>
          <cell r="K17">
            <v>365.5</v>
          </cell>
          <cell r="L17">
            <v>289</v>
          </cell>
          <cell r="M17">
            <v>195.5</v>
          </cell>
          <cell r="N17">
            <v>340</v>
          </cell>
        </row>
        <row r="18">
          <cell r="C18">
            <v>2499</v>
          </cell>
          <cell r="D18">
            <v>2374</v>
          </cell>
          <cell r="E18">
            <v>2624</v>
          </cell>
          <cell r="F18">
            <v>2874</v>
          </cell>
          <cell r="G18">
            <v>2499</v>
          </cell>
          <cell r="H18">
            <v>2374</v>
          </cell>
          <cell r="I18">
            <v>2874</v>
          </cell>
          <cell r="J18">
            <v>2499</v>
          </cell>
          <cell r="K18">
            <v>2749</v>
          </cell>
          <cell r="L18">
            <v>2499</v>
          </cell>
          <cell r="M18">
            <v>1874</v>
          </cell>
          <cell r="N18">
            <v>2499</v>
          </cell>
        </row>
        <row r="19">
          <cell r="C19">
            <v>2332</v>
          </cell>
          <cell r="D19">
            <v>2216</v>
          </cell>
          <cell r="E19">
            <v>2449</v>
          </cell>
          <cell r="F19">
            <v>5556</v>
          </cell>
          <cell r="G19">
            <v>4831</v>
          </cell>
          <cell r="H19">
            <v>4590</v>
          </cell>
          <cell r="I19">
            <v>5748</v>
          </cell>
          <cell r="J19">
            <v>4998</v>
          </cell>
          <cell r="K19">
            <v>5498</v>
          </cell>
          <cell r="L19">
            <v>7164</v>
          </cell>
          <cell r="M19">
            <v>5373</v>
          </cell>
          <cell r="N19">
            <v>7164</v>
          </cell>
        </row>
        <row r="20">
          <cell r="C20">
            <v>4831</v>
          </cell>
          <cell r="D20">
            <v>4590</v>
          </cell>
          <cell r="E20">
            <v>5073</v>
          </cell>
          <cell r="F20">
            <v>8430</v>
          </cell>
          <cell r="G20">
            <v>7330</v>
          </cell>
          <cell r="H20">
            <v>6964</v>
          </cell>
          <cell r="I20">
            <v>8622</v>
          </cell>
          <cell r="J20">
            <v>7497</v>
          </cell>
          <cell r="K20">
            <v>8247</v>
          </cell>
          <cell r="L20">
            <v>9663</v>
          </cell>
          <cell r="M20">
            <v>7247</v>
          </cell>
          <cell r="N20">
            <v>9663</v>
          </cell>
        </row>
        <row r="21">
          <cell r="C21">
            <v>5137</v>
          </cell>
          <cell r="D21">
            <v>4913</v>
          </cell>
          <cell r="E21">
            <v>5430</v>
          </cell>
          <cell r="F21">
            <v>8821</v>
          </cell>
          <cell r="G21">
            <v>7636</v>
          </cell>
          <cell r="H21">
            <v>7287</v>
          </cell>
          <cell r="I21">
            <v>8970.5</v>
          </cell>
          <cell r="J21">
            <v>7837</v>
          </cell>
          <cell r="K21">
            <v>8612.5</v>
          </cell>
          <cell r="L21">
            <v>9952</v>
          </cell>
          <cell r="M21">
            <v>7442.5</v>
          </cell>
          <cell r="N21">
            <v>10003</v>
          </cell>
        </row>
        <row r="24">
          <cell r="C24">
            <v>72</v>
          </cell>
          <cell r="D24">
            <v>76</v>
          </cell>
          <cell r="E24">
            <v>84</v>
          </cell>
          <cell r="F24">
            <v>92</v>
          </cell>
          <cell r="G24">
            <v>72</v>
          </cell>
          <cell r="H24">
            <v>76</v>
          </cell>
          <cell r="I24">
            <v>82</v>
          </cell>
          <cell r="J24">
            <v>80</v>
          </cell>
          <cell r="K24">
            <v>86</v>
          </cell>
          <cell r="L24">
            <v>68</v>
          </cell>
          <cell r="M24">
            <v>46</v>
          </cell>
          <cell r="N24">
            <v>80</v>
          </cell>
        </row>
        <row r="25">
          <cell r="C25">
            <v>147</v>
          </cell>
          <cell r="D25">
            <v>245</v>
          </cell>
          <cell r="E25">
            <v>234</v>
          </cell>
          <cell r="F25">
            <v>467</v>
          </cell>
          <cell r="G25">
            <v>352</v>
          </cell>
          <cell r="H25">
            <v>38</v>
          </cell>
          <cell r="I25">
            <v>46</v>
          </cell>
          <cell r="J25">
            <v>40</v>
          </cell>
          <cell r="K25">
            <v>42</v>
          </cell>
          <cell r="L25">
            <v>40</v>
          </cell>
          <cell r="M25">
            <v>419</v>
          </cell>
          <cell r="N25">
            <v>40</v>
          </cell>
        </row>
        <row r="26">
          <cell r="C26">
            <v>107</v>
          </cell>
          <cell r="D26">
            <v>207</v>
          </cell>
          <cell r="E26">
            <v>192</v>
          </cell>
          <cell r="F26">
            <v>421</v>
          </cell>
          <cell r="G26">
            <v>312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389</v>
          </cell>
          <cell r="N26">
            <v>0</v>
          </cell>
        </row>
        <row r="27">
          <cell r="C27">
            <v>254</v>
          </cell>
          <cell r="D27">
            <v>452</v>
          </cell>
          <cell r="E27">
            <v>426</v>
          </cell>
          <cell r="F27">
            <v>888</v>
          </cell>
          <cell r="G27">
            <v>664</v>
          </cell>
          <cell r="H27">
            <v>38</v>
          </cell>
          <cell r="I27">
            <v>46</v>
          </cell>
          <cell r="J27">
            <v>40</v>
          </cell>
          <cell r="K27">
            <v>42</v>
          </cell>
          <cell r="L27">
            <v>40</v>
          </cell>
          <cell r="M27">
            <v>808</v>
          </cell>
          <cell r="N27">
            <v>40</v>
          </cell>
        </row>
        <row r="28">
          <cell r="C28">
            <v>326</v>
          </cell>
          <cell r="D28">
            <v>528</v>
          </cell>
          <cell r="E28">
            <v>510</v>
          </cell>
          <cell r="F28">
            <v>980</v>
          </cell>
          <cell r="G28">
            <v>736</v>
          </cell>
          <cell r="H28">
            <v>114</v>
          </cell>
          <cell r="I28">
            <v>128</v>
          </cell>
          <cell r="J28">
            <v>120</v>
          </cell>
          <cell r="K28">
            <v>128</v>
          </cell>
          <cell r="L28">
            <v>108</v>
          </cell>
          <cell r="M28">
            <v>854</v>
          </cell>
          <cell r="N28">
            <v>120</v>
          </cell>
        </row>
      </sheetData>
      <sheetData sheetId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07"/>
    </sheetNames>
    <sheetDataSet>
      <sheetData sheetId="0">
        <row r="5">
          <cell r="A5">
            <v>1412000050</v>
          </cell>
          <cell r="B5" t="str">
            <v>MD1課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8</v>
          </cell>
          <cell r="D11">
            <v>8</v>
          </cell>
          <cell r="E11">
            <v>8</v>
          </cell>
          <cell r="F11">
            <v>8</v>
          </cell>
          <cell r="G11">
            <v>8</v>
          </cell>
          <cell r="H11">
            <v>9</v>
          </cell>
          <cell r="I11">
            <v>9</v>
          </cell>
          <cell r="J11">
            <v>9</v>
          </cell>
          <cell r="K11">
            <v>9</v>
          </cell>
          <cell r="L11">
            <v>9</v>
          </cell>
          <cell r="M11">
            <v>9</v>
          </cell>
          <cell r="N11">
            <v>9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8</v>
          </cell>
          <cell r="D13">
            <v>8</v>
          </cell>
          <cell r="E13">
            <v>8</v>
          </cell>
          <cell r="F13">
            <v>8</v>
          </cell>
          <cell r="G13">
            <v>8</v>
          </cell>
          <cell r="H13">
            <v>9</v>
          </cell>
          <cell r="I13">
            <v>9</v>
          </cell>
          <cell r="J13">
            <v>9</v>
          </cell>
          <cell r="K13">
            <v>9</v>
          </cell>
          <cell r="L13">
            <v>9</v>
          </cell>
          <cell r="M13">
            <v>9</v>
          </cell>
          <cell r="N13">
            <v>9</v>
          </cell>
        </row>
        <row r="14">
          <cell r="C14">
            <v>8</v>
          </cell>
          <cell r="D14">
            <v>8</v>
          </cell>
          <cell r="E14">
            <v>8</v>
          </cell>
          <cell r="F14">
            <v>8</v>
          </cell>
          <cell r="G14">
            <v>8</v>
          </cell>
          <cell r="H14">
            <v>9</v>
          </cell>
          <cell r="I14">
            <v>9</v>
          </cell>
          <cell r="J14">
            <v>9</v>
          </cell>
          <cell r="K14">
            <v>9</v>
          </cell>
          <cell r="L14">
            <v>9</v>
          </cell>
          <cell r="M14">
            <v>9</v>
          </cell>
          <cell r="N14">
            <v>9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1292</v>
          </cell>
          <cell r="D18">
            <v>1224</v>
          </cell>
          <cell r="E18">
            <v>1360</v>
          </cell>
          <cell r="F18">
            <v>1496</v>
          </cell>
          <cell r="G18">
            <v>1292</v>
          </cell>
          <cell r="H18">
            <v>1377</v>
          </cell>
          <cell r="I18">
            <v>1683</v>
          </cell>
          <cell r="J18">
            <v>1453.5</v>
          </cell>
          <cell r="K18">
            <v>1606.5</v>
          </cell>
          <cell r="L18">
            <v>1453.5</v>
          </cell>
          <cell r="M18">
            <v>1071</v>
          </cell>
          <cell r="N18">
            <v>1453.5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1292</v>
          </cell>
          <cell r="D20">
            <v>1224</v>
          </cell>
          <cell r="E20">
            <v>1360</v>
          </cell>
          <cell r="F20">
            <v>1496</v>
          </cell>
          <cell r="G20">
            <v>1292</v>
          </cell>
          <cell r="H20">
            <v>1377</v>
          </cell>
          <cell r="I20">
            <v>1683</v>
          </cell>
          <cell r="J20">
            <v>1453.5</v>
          </cell>
          <cell r="K20">
            <v>1606.5</v>
          </cell>
          <cell r="L20">
            <v>1453.5</v>
          </cell>
          <cell r="M20">
            <v>1071</v>
          </cell>
          <cell r="N20">
            <v>1453.5</v>
          </cell>
        </row>
        <row r="21">
          <cell r="C21">
            <v>1292</v>
          </cell>
          <cell r="D21">
            <v>1224</v>
          </cell>
          <cell r="E21">
            <v>1360</v>
          </cell>
          <cell r="F21">
            <v>1496</v>
          </cell>
          <cell r="G21">
            <v>1292</v>
          </cell>
          <cell r="H21">
            <v>1377</v>
          </cell>
          <cell r="I21">
            <v>1683</v>
          </cell>
          <cell r="J21">
            <v>1453.5</v>
          </cell>
          <cell r="K21">
            <v>1606.5</v>
          </cell>
          <cell r="L21">
            <v>1453.5</v>
          </cell>
          <cell r="M21">
            <v>1071</v>
          </cell>
          <cell r="N21">
            <v>1453.5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170</v>
          </cell>
          <cell r="D25">
            <v>166</v>
          </cell>
          <cell r="E25">
            <v>174</v>
          </cell>
          <cell r="F25">
            <v>182</v>
          </cell>
          <cell r="G25">
            <v>170</v>
          </cell>
          <cell r="H25">
            <v>166</v>
          </cell>
          <cell r="I25">
            <v>182</v>
          </cell>
          <cell r="J25">
            <v>170</v>
          </cell>
          <cell r="K25">
            <v>178</v>
          </cell>
          <cell r="L25">
            <v>170</v>
          </cell>
          <cell r="M25">
            <v>150</v>
          </cell>
          <cell r="N25">
            <v>170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>
            <v>170</v>
          </cell>
          <cell r="D27">
            <v>166</v>
          </cell>
          <cell r="E27">
            <v>174</v>
          </cell>
          <cell r="F27">
            <v>182</v>
          </cell>
          <cell r="G27">
            <v>170</v>
          </cell>
          <cell r="H27">
            <v>166</v>
          </cell>
          <cell r="I27">
            <v>182</v>
          </cell>
          <cell r="J27">
            <v>170</v>
          </cell>
          <cell r="K27">
            <v>178</v>
          </cell>
          <cell r="L27">
            <v>170</v>
          </cell>
          <cell r="M27">
            <v>150</v>
          </cell>
          <cell r="N27">
            <v>170</v>
          </cell>
        </row>
        <row r="28">
          <cell r="C28">
            <v>170</v>
          </cell>
          <cell r="D28">
            <v>166</v>
          </cell>
          <cell r="E28">
            <v>174</v>
          </cell>
          <cell r="F28">
            <v>182</v>
          </cell>
          <cell r="G28">
            <v>170</v>
          </cell>
          <cell r="H28">
            <v>166</v>
          </cell>
          <cell r="I28">
            <v>182</v>
          </cell>
          <cell r="J28">
            <v>170</v>
          </cell>
          <cell r="K28">
            <v>178</v>
          </cell>
          <cell r="L28">
            <v>170</v>
          </cell>
          <cell r="M28">
            <v>150</v>
          </cell>
          <cell r="N28">
            <v>170</v>
          </cell>
        </row>
      </sheetData>
      <sheetData sheetId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08"/>
    </sheetNames>
    <sheetDataSet>
      <sheetData sheetId="0">
        <row r="5">
          <cell r="A5">
            <v>1412000077</v>
          </cell>
          <cell r="B5" t="str">
            <v>MD2課</v>
          </cell>
        </row>
        <row r="10">
          <cell r="C10">
            <v>9</v>
          </cell>
          <cell r="D10">
            <v>9</v>
          </cell>
          <cell r="E10">
            <v>9</v>
          </cell>
          <cell r="F10">
            <v>9</v>
          </cell>
          <cell r="G10">
            <v>9</v>
          </cell>
          <cell r="H10">
            <v>9</v>
          </cell>
          <cell r="I10">
            <v>11</v>
          </cell>
          <cell r="J10">
            <v>11</v>
          </cell>
          <cell r="K10">
            <v>11</v>
          </cell>
          <cell r="L10">
            <v>11</v>
          </cell>
          <cell r="M10">
            <v>11</v>
          </cell>
          <cell r="N10">
            <v>11</v>
          </cell>
        </row>
        <row r="11">
          <cell r="C11">
            <v>9</v>
          </cell>
          <cell r="D11">
            <v>9</v>
          </cell>
          <cell r="E11">
            <v>9</v>
          </cell>
          <cell r="F11">
            <v>9</v>
          </cell>
          <cell r="G11">
            <v>9</v>
          </cell>
          <cell r="H11">
            <v>9</v>
          </cell>
          <cell r="I11">
            <v>9</v>
          </cell>
          <cell r="J11">
            <v>9</v>
          </cell>
          <cell r="K11">
            <v>9</v>
          </cell>
          <cell r="L11">
            <v>9</v>
          </cell>
          <cell r="M11">
            <v>9</v>
          </cell>
          <cell r="N11">
            <v>9</v>
          </cell>
        </row>
        <row r="13">
          <cell r="C13">
            <v>9</v>
          </cell>
          <cell r="D13">
            <v>9</v>
          </cell>
          <cell r="E13">
            <v>9</v>
          </cell>
          <cell r="F13">
            <v>9</v>
          </cell>
          <cell r="G13">
            <v>9</v>
          </cell>
          <cell r="H13">
            <v>9</v>
          </cell>
          <cell r="I13">
            <v>9</v>
          </cell>
          <cell r="J13">
            <v>9</v>
          </cell>
          <cell r="K13">
            <v>9</v>
          </cell>
          <cell r="L13">
            <v>9</v>
          </cell>
          <cell r="M13">
            <v>9</v>
          </cell>
          <cell r="N13">
            <v>9</v>
          </cell>
        </row>
        <row r="14">
          <cell r="C14">
            <v>18</v>
          </cell>
          <cell r="D14">
            <v>18</v>
          </cell>
          <cell r="E14">
            <v>18</v>
          </cell>
          <cell r="F14">
            <v>18</v>
          </cell>
          <cell r="G14">
            <v>18</v>
          </cell>
          <cell r="H14">
            <v>18</v>
          </cell>
          <cell r="I14">
            <v>20</v>
          </cell>
          <cell r="J14">
            <v>20</v>
          </cell>
          <cell r="K14">
            <v>20</v>
          </cell>
          <cell r="L14">
            <v>20</v>
          </cell>
          <cell r="M14">
            <v>20</v>
          </cell>
          <cell r="N14">
            <v>20</v>
          </cell>
        </row>
        <row r="17">
          <cell r="C17">
            <v>1521.5</v>
          </cell>
          <cell r="D17">
            <v>1445</v>
          </cell>
          <cell r="E17">
            <v>1598</v>
          </cell>
          <cell r="F17">
            <v>1751</v>
          </cell>
          <cell r="G17">
            <v>1521.5</v>
          </cell>
          <cell r="H17">
            <v>1445</v>
          </cell>
          <cell r="I17">
            <v>2142</v>
          </cell>
          <cell r="J17">
            <v>1861.5</v>
          </cell>
          <cell r="K17">
            <v>2048.5</v>
          </cell>
          <cell r="L17">
            <v>1861.5</v>
          </cell>
          <cell r="M17">
            <v>1351.5</v>
          </cell>
          <cell r="N17">
            <v>1861.5</v>
          </cell>
        </row>
        <row r="18">
          <cell r="C18">
            <v>1470.5</v>
          </cell>
          <cell r="D18">
            <v>1394</v>
          </cell>
          <cell r="E18">
            <v>1547</v>
          </cell>
          <cell r="F18">
            <v>1700</v>
          </cell>
          <cell r="G18">
            <v>1470.5</v>
          </cell>
          <cell r="H18">
            <v>1394</v>
          </cell>
          <cell r="I18">
            <v>1700</v>
          </cell>
          <cell r="J18">
            <v>1470.5</v>
          </cell>
          <cell r="K18">
            <v>1623.5</v>
          </cell>
          <cell r="L18">
            <v>1470.5</v>
          </cell>
          <cell r="M18">
            <v>1088</v>
          </cell>
          <cell r="N18">
            <v>1470.5</v>
          </cell>
        </row>
        <row r="20">
          <cell r="C20">
            <v>1470.5</v>
          </cell>
          <cell r="D20">
            <v>1394</v>
          </cell>
          <cell r="E20">
            <v>1547</v>
          </cell>
          <cell r="F20">
            <v>1700</v>
          </cell>
          <cell r="G20">
            <v>1470.5</v>
          </cell>
          <cell r="H20">
            <v>1394</v>
          </cell>
          <cell r="I20">
            <v>1700</v>
          </cell>
          <cell r="J20">
            <v>1470.5</v>
          </cell>
          <cell r="K20">
            <v>1623.5</v>
          </cell>
          <cell r="L20">
            <v>1470.5</v>
          </cell>
          <cell r="M20">
            <v>1088</v>
          </cell>
          <cell r="N20">
            <v>1470.5</v>
          </cell>
        </row>
        <row r="21">
          <cell r="C21">
            <v>2992</v>
          </cell>
          <cell r="D21">
            <v>2839</v>
          </cell>
          <cell r="E21">
            <v>3145</v>
          </cell>
          <cell r="F21">
            <v>3451</v>
          </cell>
          <cell r="G21">
            <v>2992</v>
          </cell>
          <cell r="H21">
            <v>2839</v>
          </cell>
          <cell r="I21">
            <v>3842</v>
          </cell>
          <cell r="J21">
            <v>3332</v>
          </cell>
          <cell r="K21">
            <v>3672</v>
          </cell>
          <cell r="L21">
            <v>3332</v>
          </cell>
          <cell r="M21">
            <v>2439.5</v>
          </cell>
          <cell r="N21">
            <v>3332</v>
          </cell>
        </row>
        <row r="24">
          <cell r="C24">
            <v>358</v>
          </cell>
          <cell r="D24">
            <v>340</v>
          </cell>
          <cell r="E24">
            <v>376</v>
          </cell>
          <cell r="F24">
            <v>412</v>
          </cell>
          <cell r="G24">
            <v>358</v>
          </cell>
          <cell r="H24">
            <v>340</v>
          </cell>
          <cell r="I24">
            <v>504</v>
          </cell>
          <cell r="J24">
            <v>438</v>
          </cell>
          <cell r="K24">
            <v>482</v>
          </cell>
          <cell r="L24">
            <v>438</v>
          </cell>
          <cell r="M24">
            <v>318</v>
          </cell>
          <cell r="N24">
            <v>438</v>
          </cell>
        </row>
        <row r="25">
          <cell r="C25">
            <v>144</v>
          </cell>
          <cell r="D25">
            <v>142</v>
          </cell>
          <cell r="E25">
            <v>146</v>
          </cell>
          <cell r="F25">
            <v>150</v>
          </cell>
          <cell r="G25">
            <v>144</v>
          </cell>
          <cell r="H25">
            <v>142</v>
          </cell>
          <cell r="I25">
            <v>150</v>
          </cell>
          <cell r="J25">
            <v>144</v>
          </cell>
          <cell r="K25">
            <v>148</v>
          </cell>
          <cell r="L25">
            <v>144</v>
          </cell>
          <cell r="M25">
            <v>134</v>
          </cell>
          <cell r="N25">
            <v>144</v>
          </cell>
        </row>
        <row r="27">
          <cell r="C27">
            <v>144</v>
          </cell>
          <cell r="D27">
            <v>142</v>
          </cell>
          <cell r="E27">
            <v>146</v>
          </cell>
          <cell r="F27">
            <v>150</v>
          </cell>
          <cell r="G27">
            <v>144</v>
          </cell>
          <cell r="H27">
            <v>142</v>
          </cell>
          <cell r="I27">
            <v>150</v>
          </cell>
          <cell r="J27">
            <v>144</v>
          </cell>
          <cell r="K27">
            <v>148</v>
          </cell>
          <cell r="L27">
            <v>144</v>
          </cell>
          <cell r="M27">
            <v>134</v>
          </cell>
          <cell r="N27">
            <v>144</v>
          </cell>
        </row>
        <row r="28">
          <cell r="C28">
            <v>502</v>
          </cell>
          <cell r="D28">
            <v>482</v>
          </cell>
          <cell r="E28">
            <v>522</v>
          </cell>
          <cell r="F28">
            <v>562</v>
          </cell>
          <cell r="G28">
            <v>502</v>
          </cell>
          <cell r="H28">
            <v>482</v>
          </cell>
          <cell r="I28">
            <v>654</v>
          </cell>
          <cell r="J28">
            <v>582</v>
          </cell>
          <cell r="K28">
            <v>630</v>
          </cell>
          <cell r="L28">
            <v>582</v>
          </cell>
          <cell r="M28">
            <v>452</v>
          </cell>
          <cell r="N28">
            <v>582</v>
          </cell>
        </row>
      </sheetData>
      <sheetData sheetId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>
            <v>1412000083</v>
          </cell>
          <cell r="B5" t="str">
            <v>MD3課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11</v>
          </cell>
          <cell r="D11">
            <v>11</v>
          </cell>
          <cell r="E11">
            <v>11</v>
          </cell>
          <cell r="F11">
            <v>11</v>
          </cell>
          <cell r="G11">
            <v>11</v>
          </cell>
          <cell r="H11">
            <v>11</v>
          </cell>
          <cell r="I11">
            <v>11</v>
          </cell>
          <cell r="J11">
            <v>11</v>
          </cell>
          <cell r="K11">
            <v>11</v>
          </cell>
          <cell r="L11">
            <v>11</v>
          </cell>
          <cell r="M11">
            <v>11</v>
          </cell>
          <cell r="N11">
            <v>11</v>
          </cell>
        </row>
        <row r="13">
          <cell r="C13">
            <v>11</v>
          </cell>
          <cell r="D13">
            <v>11</v>
          </cell>
          <cell r="E13">
            <v>11</v>
          </cell>
          <cell r="F13">
            <v>11</v>
          </cell>
          <cell r="G13">
            <v>11</v>
          </cell>
          <cell r="H13">
            <v>11</v>
          </cell>
          <cell r="I13">
            <v>11</v>
          </cell>
          <cell r="J13">
            <v>11</v>
          </cell>
          <cell r="K13">
            <v>11</v>
          </cell>
          <cell r="L13">
            <v>11</v>
          </cell>
          <cell r="M13">
            <v>11</v>
          </cell>
          <cell r="N13">
            <v>11</v>
          </cell>
        </row>
        <row r="14">
          <cell r="C14">
            <v>12</v>
          </cell>
          <cell r="D14">
            <v>12</v>
          </cell>
          <cell r="E14">
            <v>12</v>
          </cell>
          <cell r="F14">
            <v>12</v>
          </cell>
          <cell r="G14">
            <v>12</v>
          </cell>
          <cell r="H14">
            <v>12</v>
          </cell>
          <cell r="I14">
            <v>12</v>
          </cell>
          <cell r="J14">
            <v>12</v>
          </cell>
          <cell r="K14">
            <v>12</v>
          </cell>
          <cell r="L14">
            <v>12</v>
          </cell>
          <cell r="M14">
            <v>12</v>
          </cell>
          <cell r="N14">
            <v>12</v>
          </cell>
        </row>
        <row r="17">
          <cell r="C17">
            <v>161.5</v>
          </cell>
          <cell r="D17">
            <v>153</v>
          </cell>
          <cell r="E17">
            <v>170</v>
          </cell>
          <cell r="F17">
            <v>187</v>
          </cell>
          <cell r="G17">
            <v>161.5</v>
          </cell>
          <cell r="H17">
            <v>153</v>
          </cell>
          <cell r="I17">
            <v>187</v>
          </cell>
          <cell r="J17">
            <v>170</v>
          </cell>
          <cell r="K17">
            <v>187</v>
          </cell>
          <cell r="L17">
            <v>170</v>
          </cell>
          <cell r="M17">
            <v>127.5</v>
          </cell>
          <cell r="N17">
            <v>170</v>
          </cell>
        </row>
        <row r="18">
          <cell r="C18">
            <v>1836</v>
          </cell>
          <cell r="D18">
            <v>1700</v>
          </cell>
          <cell r="E18">
            <v>1887</v>
          </cell>
          <cell r="F18">
            <v>2074</v>
          </cell>
          <cell r="G18">
            <v>1793.5</v>
          </cell>
          <cell r="H18">
            <v>1700</v>
          </cell>
          <cell r="I18">
            <v>2074</v>
          </cell>
          <cell r="J18">
            <v>1793.5</v>
          </cell>
          <cell r="K18">
            <v>1980.5</v>
          </cell>
          <cell r="L18">
            <v>1793.5</v>
          </cell>
          <cell r="M18">
            <v>1326</v>
          </cell>
          <cell r="N18">
            <v>1793.5</v>
          </cell>
        </row>
        <row r="20">
          <cell r="C20">
            <v>1836</v>
          </cell>
          <cell r="D20">
            <v>1700</v>
          </cell>
          <cell r="E20">
            <v>1887</v>
          </cell>
          <cell r="F20">
            <v>2074</v>
          </cell>
          <cell r="G20">
            <v>1793.5</v>
          </cell>
          <cell r="H20">
            <v>1700</v>
          </cell>
          <cell r="I20">
            <v>2074</v>
          </cell>
          <cell r="J20">
            <v>1793.5</v>
          </cell>
          <cell r="K20">
            <v>1980.5</v>
          </cell>
          <cell r="L20">
            <v>1793.5</v>
          </cell>
          <cell r="M20">
            <v>1326</v>
          </cell>
          <cell r="N20">
            <v>1793.5</v>
          </cell>
        </row>
        <row r="21">
          <cell r="C21">
            <v>1997.5</v>
          </cell>
          <cell r="D21">
            <v>1853</v>
          </cell>
          <cell r="E21">
            <v>2057</v>
          </cell>
          <cell r="F21">
            <v>2261</v>
          </cell>
          <cell r="G21">
            <v>1955</v>
          </cell>
          <cell r="H21">
            <v>1853</v>
          </cell>
          <cell r="I21">
            <v>2261</v>
          </cell>
          <cell r="J21">
            <v>1963.5</v>
          </cell>
          <cell r="K21">
            <v>2167.5</v>
          </cell>
          <cell r="L21">
            <v>1963.5</v>
          </cell>
          <cell r="M21">
            <v>1453.5</v>
          </cell>
          <cell r="N21">
            <v>1963.5</v>
          </cell>
        </row>
        <row r="24">
          <cell r="C24">
            <v>38</v>
          </cell>
          <cell r="D24">
            <v>36</v>
          </cell>
          <cell r="E24">
            <v>40</v>
          </cell>
          <cell r="F24">
            <v>44</v>
          </cell>
          <cell r="G24">
            <v>38</v>
          </cell>
          <cell r="H24">
            <v>36</v>
          </cell>
          <cell r="I24">
            <v>44</v>
          </cell>
          <cell r="J24">
            <v>40</v>
          </cell>
          <cell r="K24">
            <v>44</v>
          </cell>
          <cell r="L24">
            <v>40</v>
          </cell>
          <cell r="M24">
            <v>30</v>
          </cell>
          <cell r="N24">
            <v>40</v>
          </cell>
        </row>
        <row r="25">
          <cell r="C25">
            <v>130</v>
          </cell>
          <cell r="D25">
            <v>128</v>
          </cell>
          <cell r="E25">
            <v>132</v>
          </cell>
          <cell r="F25">
            <v>136</v>
          </cell>
          <cell r="G25">
            <v>140</v>
          </cell>
          <cell r="H25">
            <v>138</v>
          </cell>
          <cell r="I25">
            <v>146</v>
          </cell>
          <cell r="J25">
            <v>140</v>
          </cell>
          <cell r="K25">
            <v>144</v>
          </cell>
          <cell r="L25">
            <v>140</v>
          </cell>
          <cell r="M25">
            <v>130</v>
          </cell>
          <cell r="N25">
            <v>140</v>
          </cell>
        </row>
        <row r="27">
          <cell r="C27">
            <v>130</v>
          </cell>
          <cell r="D27">
            <v>128</v>
          </cell>
          <cell r="E27">
            <v>132</v>
          </cell>
          <cell r="F27">
            <v>136</v>
          </cell>
          <cell r="G27">
            <v>140</v>
          </cell>
          <cell r="H27">
            <v>138</v>
          </cell>
          <cell r="I27">
            <v>146</v>
          </cell>
          <cell r="J27">
            <v>140</v>
          </cell>
          <cell r="K27">
            <v>144</v>
          </cell>
          <cell r="L27">
            <v>140</v>
          </cell>
          <cell r="M27">
            <v>130</v>
          </cell>
          <cell r="N27">
            <v>140</v>
          </cell>
        </row>
        <row r="28">
          <cell r="C28">
            <v>168</v>
          </cell>
          <cell r="D28">
            <v>164</v>
          </cell>
          <cell r="E28">
            <v>172</v>
          </cell>
          <cell r="F28">
            <v>180</v>
          </cell>
          <cell r="G28">
            <v>178</v>
          </cell>
          <cell r="H28">
            <v>174</v>
          </cell>
          <cell r="I28">
            <v>190</v>
          </cell>
          <cell r="J28">
            <v>180</v>
          </cell>
          <cell r="K28">
            <v>188</v>
          </cell>
          <cell r="L28">
            <v>180</v>
          </cell>
          <cell r="M28">
            <v>160</v>
          </cell>
          <cell r="N28">
            <v>180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65"/>
    </sheetNames>
    <sheetDataSet>
      <sheetData sheetId="0">
        <row r="5">
          <cell r="A5">
            <v>1412000099</v>
          </cell>
          <cell r="B5" t="str">
            <v>MD4課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15</v>
          </cell>
          <cell r="D11">
            <v>15</v>
          </cell>
          <cell r="E11">
            <v>15</v>
          </cell>
          <cell r="F11">
            <v>15</v>
          </cell>
          <cell r="G11">
            <v>15</v>
          </cell>
          <cell r="H11">
            <v>15</v>
          </cell>
          <cell r="I11">
            <v>15</v>
          </cell>
          <cell r="J11">
            <v>15</v>
          </cell>
          <cell r="K11">
            <v>15</v>
          </cell>
          <cell r="L11">
            <v>15</v>
          </cell>
          <cell r="M11">
            <v>15</v>
          </cell>
          <cell r="N11">
            <v>15</v>
          </cell>
        </row>
        <row r="13">
          <cell r="C13">
            <v>15</v>
          </cell>
          <cell r="D13">
            <v>15</v>
          </cell>
          <cell r="E13">
            <v>15</v>
          </cell>
          <cell r="F13">
            <v>15</v>
          </cell>
          <cell r="G13">
            <v>15</v>
          </cell>
          <cell r="H13">
            <v>15</v>
          </cell>
          <cell r="I13">
            <v>15</v>
          </cell>
          <cell r="J13">
            <v>15</v>
          </cell>
          <cell r="K13">
            <v>15</v>
          </cell>
          <cell r="L13">
            <v>15</v>
          </cell>
          <cell r="M13">
            <v>15</v>
          </cell>
          <cell r="N13">
            <v>15</v>
          </cell>
        </row>
        <row r="14">
          <cell r="C14">
            <v>16</v>
          </cell>
          <cell r="D14">
            <v>16</v>
          </cell>
          <cell r="E14">
            <v>16</v>
          </cell>
          <cell r="F14">
            <v>16</v>
          </cell>
          <cell r="G14">
            <v>16</v>
          </cell>
          <cell r="H14">
            <v>16</v>
          </cell>
          <cell r="I14">
            <v>16</v>
          </cell>
          <cell r="J14">
            <v>16</v>
          </cell>
          <cell r="K14">
            <v>16</v>
          </cell>
          <cell r="L14">
            <v>16</v>
          </cell>
          <cell r="M14">
            <v>16</v>
          </cell>
          <cell r="N14">
            <v>16</v>
          </cell>
        </row>
        <row r="17">
          <cell r="C17">
            <v>170</v>
          </cell>
          <cell r="D17">
            <v>161.5</v>
          </cell>
          <cell r="E17">
            <v>178.5</v>
          </cell>
          <cell r="F17">
            <v>195.5</v>
          </cell>
          <cell r="G17">
            <v>161.5</v>
          </cell>
          <cell r="H17">
            <v>127.5</v>
          </cell>
          <cell r="I17">
            <v>195.5</v>
          </cell>
          <cell r="J17">
            <v>170</v>
          </cell>
          <cell r="K17">
            <v>187</v>
          </cell>
          <cell r="L17">
            <v>144.5</v>
          </cell>
          <cell r="M17">
            <v>110.5</v>
          </cell>
          <cell r="N17">
            <v>170</v>
          </cell>
        </row>
        <row r="18">
          <cell r="C18">
            <v>2448</v>
          </cell>
          <cell r="D18">
            <v>2320.5</v>
          </cell>
          <cell r="E18">
            <v>2575.5</v>
          </cell>
          <cell r="F18">
            <v>2830.5</v>
          </cell>
          <cell r="G18">
            <v>2448</v>
          </cell>
          <cell r="H18">
            <v>2320.5</v>
          </cell>
          <cell r="I18">
            <v>2830.5</v>
          </cell>
          <cell r="J18">
            <v>2448</v>
          </cell>
          <cell r="K18">
            <v>2703</v>
          </cell>
          <cell r="L18">
            <v>2448</v>
          </cell>
          <cell r="M18">
            <v>1810.5</v>
          </cell>
          <cell r="N18">
            <v>2448</v>
          </cell>
        </row>
        <row r="20">
          <cell r="C20">
            <v>2448</v>
          </cell>
          <cell r="D20">
            <v>2320.5</v>
          </cell>
          <cell r="E20">
            <v>2575.5</v>
          </cell>
          <cell r="F20">
            <v>2830.5</v>
          </cell>
          <cell r="G20">
            <v>2448</v>
          </cell>
          <cell r="H20">
            <v>2320.5</v>
          </cell>
          <cell r="I20">
            <v>2830.5</v>
          </cell>
          <cell r="J20">
            <v>2448</v>
          </cell>
          <cell r="K20">
            <v>2703</v>
          </cell>
          <cell r="L20">
            <v>2448</v>
          </cell>
          <cell r="M20">
            <v>1810.5</v>
          </cell>
          <cell r="N20">
            <v>2448</v>
          </cell>
        </row>
        <row r="21">
          <cell r="C21">
            <v>2618</v>
          </cell>
          <cell r="D21">
            <v>2482</v>
          </cell>
          <cell r="E21">
            <v>2754</v>
          </cell>
          <cell r="F21">
            <v>3026</v>
          </cell>
          <cell r="G21">
            <v>2609.5</v>
          </cell>
          <cell r="H21">
            <v>2448</v>
          </cell>
          <cell r="I21">
            <v>3026</v>
          </cell>
          <cell r="J21">
            <v>2618</v>
          </cell>
          <cell r="K21">
            <v>2890</v>
          </cell>
          <cell r="L21">
            <v>2592.5</v>
          </cell>
          <cell r="M21">
            <v>1921</v>
          </cell>
          <cell r="N21">
            <v>2618</v>
          </cell>
        </row>
        <row r="24">
          <cell r="C24">
            <v>40</v>
          </cell>
          <cell r="D24">
            <v>38</v>
          </cell>
          <cell r="E24">
            <v>42</v>
          </cell>
          <cell r="F24">
            <v>46</v>
          </cell>
          <cell r="G24">
            <v>38</v>
          </cell>
          <cell r="H24">
            <v>30</v>
          </cell>
          <cell r="I24">
            <v>46</v>
          </cell>
          <cell r="J24">
            <v>40</v>
          </cell>
          <cell r="K24">
            <v>44</v>
          </cell>
          <cell r="L24">
            <v>34</v>
          </cell>
          <cell r="M24">
            <v>26</v>
          </cell>
          <cell r="N24">
            <v>40</v>
          </cell>
        </row>
        <row r="25">
          <cell r="C25">
            <v>124</v>
          </cell>
          <cell r="D25">
            <v>122</v>
          </cell>
          <cell r="E25">
            <v>114</v>
          </cell>
          <cell r="F25">
            <v>118</v>
          </cell>
          <cell r="G25">
            <v>112</v>
          </cell>
          <cell r="H25">
            <v>110</v>
          </cell>
          <cell r="I25">
            <v>118</v>
          </cell>
          <cell r="J25">
            <v>112</v>
          </cell>
          <cell r="K25">
            <v>116</v>
          </cell>
          <cell r="L25">
            <v>112</v>
          </cell>
          <cell r="M25">
            <v>102</v>
          </cell>
          <cell r="N25">
            <v>112</v>
          </cell>
        </row>
        <row r="27">
          <cell r="C27">
            <v>124</v>
          </cell>
          <cell r="D27">
            <v>122</v>
          </cell>
          <cell r="E27">
            <v>114</v>
          </cell>
          <cell r="F27">
            <v>118</v>
          </cell>
          <cell r="G27">
            <v>112</v>
          </cell>
          <cell r="H27">
            <v>110</v>
          </cell>
          <cell r="I27">
            <v>118</v>
          </cell>
          <cell r="J27">
            <v>112</v>
          </cell>
          <cell r="K27">
            <v>116</v>
          </cell>
          <cell r="L27">
            <v>112</v>
          </cell>
          <cell r="M27">
            <v>102</v>
          </cell>
          <cell r="N27">
            <v>112</v>
          </cell>
        </row>
        <row r="28">
          <cell r="C28">
            <v>164</v>
          </cell>
          <cell r="D28">
            <v>160</v>
          </cell>
          <cell r="E28">
            <v>156</v>
          </cell>
          <cell r="F28">
            <v>164</v>
          </cell>
          <cell r="G28">
            <v>150</v>
          </cell>
          <cell r="H28">
            <v>140</v>
          </cell>
          <cell r="I28">
            <v>164</v>
          </cell>
          <cell r="J28">
            <v>152</v>
          </cell>
          <cell r="K28">
            <v>160</v>
          </cell>
          <cell r="L28">
            <v>146</v>
          </cell>
          <cell r="M28">
            <v>128</v>
          </cell>
          <cell r="N28">
            <v>152</v>
          </cell>
        </row>
      </sheetData>
      <sheetData sheetId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 t="str">
            <v>14120000ZZ</v>
          </cell>
          <cell r="B5" t="str">
            <v>MD5課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7</v>
          </cell>
          <cell r="D11">
            <v>7</v>
          </cell>
          <cell r="E11">
            <v>7</v>
          </cell>
          <cell r="F11">
            <v>7</v>
          </cell>
          <cell r="G11">
            <v>7</v>
          </cell>
          <cell r="H11">
            <v>7</v>
          </cell>
          <cell r="I11">
            <v>7</v>
          </cell>
          <cell r="J11">
            <v>7</v>
          </cell>
          <cell r="K11">
            <v>7</v>
          </cell>
          <cell r="L11">
            <v>7</v>
          </cell>
          <cell r="M11">
            <v>7</v>
          </cell>
          <cell r="N11">
            <v>7</v>
          </cell>
        </row>
        <row r="13">
          <cell r="C13">
            <v>7</v>
          </cell>
          <cell r="D13">
            <v>7</v>
          </cell>
          <cell r="E13">
            <v>7</v>
          </cell>
          <cell r="F13">
            <v>7</v>
          </cell>
          <cell r="G13">
            <v>7</v>
          </cell>
          <cell r="H13">
            <v>7</v>
          </cell>
          <cell r="I13">
            <v>7</v>
          </cell>
          <cell r="J13">
            <v>7</v>
          </cell>
          <cell r="K13">
            <v>7</v>
          </cell>
          <cell r="L13">
            <v>7</v>
          </cell>
          <cell r="M13">
            <v>7</v>
          </cell>
          <cell r="N13">
            <v>7</v>
          </cell>
        </row>
        <row r="14">
          <cell r="C14">
            <v>8</v>
          </cell>
          <cell r="D14">
            <v>8</v>
          </cell>
          <cell r="E14">
            <v>8</v>
          </cell>
          <cell r="F14">
            <v>8</v>
          </cell>
          <cell r="G14">
            <v>8</v>
          </cell>
          <cell r="H14">
            <v>8</v>
          </cell>
          <cell r="I14">
            <v>8</v>
          </cell>
          <cell r="J14">
            <v>8</v>
          </cell>
          <cell r="K14">
            <v>8</v>
          </cell>
          <cell r="L14">
            <v>8</v>
          </cell>
          <cell r="M14">
            <v>8</v>
          </cell>
          <cell r="N14">
            <v>8</v>
          </cell>
        </row>
        <row r="17">
          <cell r="C17">
            <v>170</v>
          </cell>
          <cell r="D17">
            <v>161.5</v>
          </cell>
          <cell r="E17">
            <v>178.5</v>
          </cell>
          <cell r="F17">
            <v>195.5</v>
          </cell>
          <cell r="G17">
            <v>170</v>
          </cell>
          <cell r="H17">
            <v>161.5</v>
          </cell>
          <cell r="I17">
            <v>195.5</v>
          </cell>
          <cell r="J17">
            <v>170</v>
          </cell>
          <cell r="K17">
            <v>187</v>
          </cell>
          <cell r="L17">
            <v>170</v>
          </cell>
          <cell r="M17">
            <v>127.5</v>
          </cell>
          <cell r="N17">
            <v>170</v>
          </cell>
        </row>
        <row r="18">
          <cell r="C18">
            <v>1190</v>
          </cell>
          <cell r="D18">
            <v>1130.5</v>
          </cell>
          <cell r="E18">
            <v>1249.5</v>
          </cell>
          <cell r="F18">
            <v>1368.5</v>
          </cell>
          <cell r="G18">
            <v>1190</v>
          </cell>
          <cell r="H18">
            <v>1130.5</v>
          </cell>
          <cell r="I18">
            <v>1368.5</v>
          </cell>
          <cell r="J18">
            <v>1190</v>
          </cell>
          <cell r="K18">
            <v>1309</v>
          </cell>
          <cell r="L18">
            <v>1190</v>
          </cell>
          <cell r="M18">
            <v>892.5</v>
          </cell>
          <cell r="N18">
            <v>1190</v>
          </cell>
        </row>
        <row r="20">
          <cell r="C20">
            <v>1190</v>
          </cell>
          <cell r="D20">
            <v>1130.5</v>
          </cell>
          <cell r="E20">
            <v>1249.5</v>
          </cell>
          <cell r="F20">
            <v>1368.5</v>
          </cell>
          <cell r="G20">
            <v>1190</v>
          </cell>
          <cell r="H20">
            <v>1130.5</v>
          </cell>
          <cell r="I20">
            <v>1368.5</v>
          </cell>
          <cell r="J20">
            <v>1190</v>
          </cell>
          <cell r="K20">
            <v>1309</v>
          </cell>
          <cell r="L20">
            <v>1190</v>
          </cell>
          <cell r="M20">
            <v>892.5</v>
          </cell>
          <cell r="N20">
            <v>1190</v>
          </cell>
        </row>
        <row r="21">
          <cell r="C21">
            <v>1360</v>
          </cell>
          <cell r="D21">
            <v>1292</v>
          </cell>
          <cell r="E21">
            <v>1428</v>
          </cell>
          <cell r="F21">
            <v>1564</v>
          </cell>
          <cell r="G21">
            <v>1360</v>
          </cell>
          <cell r="H21">
            <v>1292</v>
          </cell>
          <cell r="I21">
            <v>1564</v>
          </cell>
          <cell r="J21">
            <v>1360</v>
          </cell>
          <cell r="K21">
            <v>1496</v>
          </cell>
          <cell r="L21">
            <v>1360</v>
          </cell>
          <cell r="M21">
            <v>1020</v>
          </cell>
          <cell r="N21">
            <v>1360</v>
          </cell>
        </row>
        <row r="24">
          <cell r="C24">
            <v>40</v>
          </cell>
          <cell r="D24">
            <v>38</v>
          </cell>
          <cell r="E24">
            <v>42</v>
          </cell>
          <cell r="F24">
            <v>46</v>
          </cell>
          <cell r="G24">
            <v>40</v>
          </cell>
          <cell r="H24">
            <v>38</v>
          </cell>
          <cell r="I24">
            <v>46</v>
          </cell>
          <cell r="J24">
            <v>40</v>
          </cell>
          <cell r="K24">
            <v>44</v>
          </cell>
          <cell r="L24">
            <v>40</v>
          </cell>
          <cell r="M24">
            <v>30</v>
          </cell>
          <cell r="N24">
            <v>40</v>
          </cell>
        </row>
        <row r="25">
          <cell r="C25">
            <v>180</v>
          </cell>
          <cell r="D25">
            <v>171</v>
          </cell>
          <cell r="E25">
            <v>189</v>
          </cell>
          <cell r="F25">
            <v>207</v>
          </cell>
          <cell r="G25">
            <v>180</v>
          </cell>
          <cell r="H25">
            <v>171</v>
          </cell>
          <cell r="I25">
            <v>207</v>
          </cell>
          <cell r="J25">
            <v>180</v>
          </cell>
          <cell r="K25">
            <v>198</v>
          </cell>
          <cell r="L25">
            <v>180</v>
          </cell>
          <cell r="M25">
            <v>135</v>
          </cell>
          <cell r="N25">
            <v>180</v>
          </cell>
        </row>
        <row r="27">
          <cell r="C27">
            <v>180</v>
          </cell>
          <cell r="D27">
            <v>171</v>
          </cell>
          <cell r="E27">
            <v>189</v>
          </cell>
          <cell r="F27">
            <v>207</v>
          </cell>
          <cell r="G27">
            <v>180</v>
          </cell>
          <cell r="H27">
            <v>171</v>
          </cell>
          <cell r="I27">
            <v>207</v>
          </cell>
          <cell r="J27">
            <v>180</v>
          </cell>
          <cell r="K27">
            <v>198</v>
          </cell>
          <cell r="L27">
            <v>180</v>
          </cell>
          <cell r="M27">
            <v>135</v>
          </cell>
          <cell r="N27">
            <v>180</v>
          </cell>
        </row>
        <row r="28">
          <cell r="C28">
            <v>220</v>
          </cell>
          <cell r="D28">
            <v>209</v>
          </cell>
          <cell r="E28">
            <v>231</v>
          </cell>
          <cell r="F28">
            <v>253</v>
          </cell>
          <cell r="G28">
            <v>220</v>
          </cell>
          <cell r="H28">
            <v>209</v>
          </cell>
          <cell r="I28">
            <v>253</v>
          </cell>
          <cell r="J28">
            <v>220</v>
          </cell>
          <cell r="K28">
            <v>242</v>
          </cell>
          <cell r="L28">
            <v>220</v>
          </cell>
          <cell r="M28">
            <v>165</v>
          </cell>
          <cell r="N28">
            <v>220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49"/>
    </sheetNames>
    <sheetDataSet>
      <sheetData sheetId="0">
        <row r="5">
          <cell r="A5">
            <v>1412000057</v>
          </cell>
          <cell r="B5" t="str">
            <v>EI1課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9</v>
          </cell>
          <cell r="D11">
            <v>9</v>
          </cell>
          <cell r="E11">
            <v>9</v>
          </cell>
          <cell r="F11">
            <v>9</v>
          </cell>
          <cell r="G11">
            <v>9</v>
          </cell>
          <cell r="H11">
            <v>10</v>
          </cell>
          <cell r="I11">
            <v>10</v>
          </cell>
          <cell r="J11">
            <v>10</v>
          </cell>
          <cell r="K11">
            <v>10</v>
          </cell>
          <cell r="L11">
            <v>10</v>
          </cell>
          <cell r="M11">
            <v>10</v>
          </cell>
          <cell r="N11">
            <v>10</v>
          </cell>
        </row>
        <row r="13">
          <cell r="C13">
            <v>9</v>
          </cell>
          <cell r="D13">
            <v>9</v>
          </cell>
          <cell r="E13">
            <v>9</v>
          </cell>
          <cell r="F13">
            <v>9</v>
          </cell>
          <cell r="G13">
            <v>9</v>
          </cell>
          <cell r="H13">
            <v>10</v>
          </cell>
          <cell r="I13">
            <v>10</v>
          </cell>
          <cell r="J13">
            <v>10</v>
          </cell>
          <cell r="K13">
            <v>10</v>
          </cell>
          <cell r="L13">
            <v>10</v>
          </cell>
          <cell r="M13">
            <v>10</v>
          </cell>
          <cell r="N13">
            <v>10</v>
          </cell>
        </row>
        <row r="14">
          <cell r="C14">
            <v>9</v>
          </cell>
          <cell r="D14">
            <v>9</v>
          </cell>
          <cell r="E14">
            <v>9</v>
          </cell>
          <cell r="F14">
            <v>9</v>
          </cell>
          <cell r="G14">
            <v>9</v>
          </cell>
          <cell r="H14">
            <v>10</v>
          </cell>
          <cell r="I14">
            <v>10</v>
          </cell>
          <cell r="J14">
            <v>10</v>
          </cell>
          <cell r="K14">
            <v>10</v>
          </cell>
          <cell r="L14">
            <v>10</v>
          </cell>
          <cell r="M14">
            <v>10</v>
          </cell>
          <cell r="N14">
            <v>10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1487.5</v>
          </cell>
          <cell r="D18">
            <v>1411</v>
          </cell>
          <cell r="E18">
            <v>1564</v>
          </cell>
          <cell r="F18">
            <v>1717</v>
          </cell>
          <cell r="G18">
            <v>1487.5</v>
          </cell>
          <cell r="H18">
            <v>1572.5</v>
          </cell>
          <cell r="I18">
            <v>1912.5</v>
          </cell>
          <cell r="J18">
            <v>1657.5</v>
          </cell>
          <cell r="K18">
            <v>1827.5</v>
          </cell>
          <cell r="L18">
            <v>1657.5</v>
          </cell>
          <cell r="M18">
            <v>1232.5</v>
          </cell>
          <cell r="N18">
            <v>1657.5</v>
          </cell>
        </row>
        <row r="20">
          <cell r="C20">
            <v>1487.5</v>
          </cell>
          <cell r="D20">
            <v>1411</v>
          </cell>
          <cell r="E20">
            <v>1564</v>
          </cell>
          <cell r="F20">
            <v>1717</v>
          </cell>
          <cell r="G20">
            <v>1487.5</v>
          </cell>
          <cell r="H20">
            <v>1572.5</v>
          </cell>
          <cell r="I20">
            <v>1912.5</v>
          </cell>
          <cell r="J20">
            <v>1657.5</v>
          </cell>
          <cell r="K20">
            <v>1827.5</v>
          </cell>
          <cell r="L20">
            <v>1657.5</v>
          </cell>
          <cell r="M20">
            <v>1232.5</v>
          </cell>
          <cell r="N20">
            <v>1657.5</v>
          </cell>
        </row>
        <row r="21">
          <cell r="C21">
            <v>1487.5</v>
          </cell>
          <cell r="D21">
            <v>1411</v>
          </cell>
          <cell r="E21">
            <v>1564</v>
          </cell>
          <cell r="F21">
            <v>1717</v>
          </cell>
          <cell r="G21">
            <v>1487.5</v>
          </cell>
          <cell r="H21">
            <v>1572.5</v>
          </cell>
          <cell r="I21">
            <v>1912.5</v>
          </cell>
          <cell r="J21">
            <v>1657.5</v>
          </cell>
          <cell r="K21">
            <v>1827.5</v>
          </cell>
          <cell r="L21">
            <v>1657.5</v>
          </cell>
          <cell r="M21">
            <v>1232.5</v>
          </cell>
          <cell r="N21">
            <v>1657.5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180</v>
          </cell>
          <cell r="D25">
            <v>178</v>
          </cell>
          <cell r="E25">
            <v>182</v>
          </cell>
          <cell r="F25">
            <v>186</v>
          </cell>
          <cell r="G25">
            <v>180</v>
          </cell>
          <cell r="H25">
            <v>178</v>
          </cell>
          <cell r="I25">
            <v>186</v>
          </cell>
          <cell r="J25">
            <v>180</v>
          </cell>
          <cell r="K25">
            <v>184</v>
          </cell>
          <cell r="L25">
            <v>180</v>
          </cell>
          <cell r="M25">
            <v>170</v>
          </cell>
          <cell r="N25">
            <v>180</v>
          </cell>
        </row>
        <row r="27">
          <cell r="C27">
            <v>180</v>
          </cell>
          <cell r="D27">
            <v>178</v>
          </cell>
          <cell r="E27">
            <v>182</v>
          </cell>
          <cell r="F27">
            <v>186</v>
          </cell>
          <cell r="G27">
            <v>180</v>
          </cell>
          <cell r="H27">
            <v>178</v>
          </cell>
          <cell r="I27">
            <v>186</v>
          </cell>
          <cell r="J27">
            <v>180</v>
          </cell>
          <cell r="K27">
            <v>184</v>
          </cell>
          <cell r="L27">
            <v>180</v>
          </cell>
          <cell r="M27">
            <v>170</v>
          </cell>
          <cell r="N27">
            <v>180</v>
          </cell>
        </row>
        <row r="28">
          <cell r="C28">
            <v>180</v>
          </cell>
          <cell r="D28">
            <v>178</v>
          </cell>
          <cell r="E28">
            <v>182</v>
          </cell>
          <cell r="F28">
            <v>186</v>
          </cell>
          <cell r="G28">
            <v>180</v>
          </cell>
          <cell r="H28">
            <v>178</v>
          </cell>
          <cell r="I28">
            <v>186</v>
          </cell>
          <cell r="J28">
            <v>180</v>
          </cell>
          <cell r="K28">
            <v>184</v>
          </cell>
          <cell r="L28">
            <v>180</v>
          </cell>
          <cell r="M28">
            <v>170</v>
          </cell>
          <cell r="N28">
            <v>180</v>
          </cell>
        </row>
      </sheetData>
      <sheetData sheetId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 t="str">
            <v>14120000XX</v>
          </cell>
          <cell r="B5" t="str">
            <v>EI2課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7</v>
          </cell>
          <cell r="D11">
            <v>7</v>
          </cell>
          <cell r="E11">
            <v>7</v>
          </cell>
          <cell r="F11">
            <v>7</v>
          </cell>
          <cell r="G11">
            <v>7</v>
          </cell>
          <cell r="H11">
            <v>8</v>
          </cell>
          <cell r="I11">
            <v>8</v>
          </cell>
          <cell r="J11">
            <v>8</v>
          </cell>
          <cell r="K11">
            <v>8</v>
          </cell>
          <cell r="L11">
            <v>8</v>
          </cell>
          <cell r="M11">
            <v>8</v>
          </cell>
          <cell r="N11">
            <v>8</v>
          </cell>
        </row>
        <row r="13">
          <cell r="C13">
            <v>7</v>
          </cell>
          <cell r="D13">
            <v>7</v>
          </cell>
          <cell r="E13">
            <v>7</v>
          </cell>
          <cell r="F13">
            <v>7</v>
          </cell>
          <cell r="G13">
            <v>7</v>
          </cell>
          <cell r="H13">
            <v>8</v>
          </cell>
          <cell r="I13">
            <v>8</v>
          </cell>
          <cell r="J13">
            <v>8</v>
          </cell>
          <cell r="K13">
            <v>8</v>
          </cell>
          <cell r="L13">
            <v>8</v>
          </cell>
          <cell r="M13">
            <v>8</v>
          </cell>
          <cell r="N13">
            <v>8</v>
          </cell>
        </row>
        <row r="14">
          <cell r="C14">
            <v>8</v>
          </cell>
          <cell r="D14">
            <v>8</v>
          </cell>
          <cell r="E14">
            <v>8</v>
          </cell>
          <cell r="F14">
            <v>8</v>
          </cell>
          <cell r="G14">
            <v>8</v>
          </cell>
          <cell r="H14">
            <v>9</v>
          </cell>
          <cell r="I14">
            <v>9</v>
          </cell>
          <cell r="J14">
            <v>9</v>
          </cell>
          <cell r="K14">
            <v>9</v>
          </cell>
          <cell r="L14">
            <v>9</v>
          </cell>
          <cell r="M14">
            <v>9</v>
          </cell>
          <cell r="N14">
            <v>9</v>
          </cell>
        </row>
        <row r="17">
          <cell r="C17">
            <v>170</v>
          </cell>
          <cell r="D17">
            <v>161.5</v>
          </cell>
          <cell r="E17">
            <v>178.5</v>
          </cell>
          <cell r="F17">
            <v>195.5</v>
          </cell>
          <cell r="G17">
            <v>170</v>
          </cell>
          <cell r="H17">
            <v>161.5</v>
          </cell>
          <cell r="I17">
            <v>195.5</v>
          </cell>
          <cell r="J17">
            <v>170</v>
          </cell>
          <cell r="K17">
            <v>187</v>
          </cell>
          <cell r="L17">
            <v>127.5</v>
          </cell>
          <cell r="M17">
            <v>127.5</v>
          </cell>
          <cell r="N17">
            <v>170</v>
          </cell>
        </row>
        <row r="18">
          <cell r="C18">
            <v>1156</v>
          </cell>
          <cell r="D18">
            <v>1096.5</v>
          </cell>
          <cell r="E18">
            <v>1215.5</v>
          </cell>
          <cell r="F18">
            <v>1334.5</v>
          </cell>
          <cell r="G18">
            <v>1156</v>
          </cell>
          <cell r="H18">
            <v>1258</v>
          </cell>
          <cell r="I18">
            <v>1530</v>
          </cell>
          <cell r="J18">
            <v>1326</v>
          </cell>
          <cell r="K18">
            <v>1462</v>
          </cell>
          <cell r="L18">
            <v>1326</v>
          </cell>
          <cell r="M18">
            <v>986</v>
          </cell>
          <cell r="N18">
            <v>1326</v>
          </cell>
        </row>
        <row r="20">
          <cell r="C20">
            <v>1156</v>
          </cell>
          <cell r="D20">
            <v>1096.5</v>
          </cell>
          <cell r="E20">
            <v>1215.5</v>
          </cell>
          <cell r="F20">
            <v>1334.5</v>
          </cell>
          <cell r="G20">
            <v>1156</v>
          </cell>
          <cell r="H20">
            <v>1258</v>
          </cell>
          <cell r="I20">
            <v>1530</v>
          </cell>
          <cell r="J20">
            <v>1326</v>
          </cell>
          <cell r="K20">
            <v>1462</v>
          </cell>
          <cell r="L20">
            <v>1326</v>
          </cell>
          <cell r="M20">
            <v>986</v>
          </cell>
          <cell r="N20">
            <v>1326</v>
          </cell>
        </row>
        <row r="21">
          <cell r="C21">
            <v>1326</v>
          </cell>
          <cell r="D21">
            <v>1258</v>
          </cell>
          <cell r="E21">
            <v>1394</v>
          </cell>
          <cell r="F21">
            <v>1530</v>
          </cell>
          <cell r="G21">
            <v>1326</v>
          </cell>
          <cell r="H21">
            <v>1419.5</v>
          </cell>
          <cell r="I21">
            <v>1725.5</v>
          </cell>
          <cell r="J21">
            <v>1496</v>
          </cell>
          <cell r="K21">
            <v>1649</v>
          </cell>
          <cell r="L21">
            <v>1453.5</v>
          </cell>
          <cell r="M21">
            <v>1113.5</v>
          </cell>
          <cell r="N21">
            <v>1496</v>
          </cell>
        </row>
        <row r="24">
          <cell r="C24">
            <v>40</v>
          </cell>
          <cell r="D24">
            <v>38</v>
          </cell>
          <cell r="E24">
            <v>42</v>
          </cell>
          <cell r="F24">
            <v>46</v>
          </cell>
          <cell r="G24">
            <v>40</v>
          </cell>
          <cell r="H24">
            <v>38</v>
          </cell>
          <cell r="I24">
            <v>46</v>
          </cell>
          <cell r="J24">
            <v>40</v>
          </cell>
          <cell r="K24">
            <v>44</v>
          </cell>
          <cell r="L24">
            <v>30</v>
          </cell>
          <cell r="M24">
            <v>30</v>
          </cell>
          <cell r="N24">
            <v>40</v>
          </cell>
        </row>
        <row r="25">
          <cell r="C25">
            <v>100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>
            <v>100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</row>
        <row r="27">
          <cell r="C27">
            <v>100</v>
          </cell>
          <cell r="D27">
            <v>100</v>
          </cell>
          <cell r="E27">
            <v>100</v>
          </cell>
          <cell r="F27">
            <v>100</v>
          </cell>
          <cell r="G27">
            <v>100</v>
          </cell>
          <cell r="H27">
            <v>100</v>
          </cell>
          <cell r="I27">
            <v>100</v>
          </cell>
          <cell r="J27">
            <v>100</v>
          </cell>
          <cell r="K27">
            <v>100</v>
          </cell>
          <cell r="L27">
            <v>100</v>
          </cell>
          <cell r="M27">
            <v>100</v>
          </cell>
          <cell r="N27">
            <v>100</v>
          </cell>
        </row>
        <row r="28">
          <cell r="C28">
            <v>140</v>
          </cell>
          <cell r="D28">
            <v>138</v>
          </cell>
          <cell r="E28">
            <v>142</v>
          </cell>
          <cell r="F28">
            <v>146</v>
          </cell>
          <cell r="G28">
            <v>140</v>
          </cell>
          <cell r="H28">
            <v>138</v>
          </cell>
          <cell r="I28">
            <v>146</v>
          </cell>
          <cell r="J28">
            <v>140</v>
          </cell>
          <cell r="K28">
            <v>144</v>
          </cell>
          <cell r="L28">
            <v>130</v>
          </cell>
          <cell r="M28">
            <v>130</v>
          </cell>
          <cell r="N28">
            <v>140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50"/>
    </sheetNames>
    <sheetDataSet>
      <sheetData sheetId="0">
        <row r="5">
          <cell r="A5">
            <v>1412000078</v>
          </cell>
          <cell r="B5" t="str">
            <v>ESD1課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2</v>
          </cell>
          <cell r="J10">
            <v>2</v>
          </cell>
          <cell r="K10">
            <v>2</v>
          </cell>
          <cell r="L10">
            <v>2</v>
          </cell>
          <cell r="M10">
            <v>2</v>
          </cell>
          <cell r="N10">
            <v>2</v>
          </cell>
        </row>
        <row r="11">
          <cell r="C11">
            <v>11</v>
          </cell>
          <cell r="D11">
            <v>11</v>
          </cell>
          <cell r="E11">
            <v>11</v>
          </cell>
          <cell r="F11">
            <v>11</v>
          </cell>
          <cell r="G11">
            <v>11</v>
          </cell>
          <cell r="H11">
            <v>13</v>
          </cell>
          <cell r="I11">
            <v>13</v>
          </cell>
          <cell r="J11">
            <v>13</v>
          </cell>
          <cell r="K11">
            <v>13</v>
          </cell>
          <cell r="L11">
            <v>13</v>
          </cell>
          <cell r="M11">
            <v>13</v>
          </cell>
          <cell r="N11">
            <v>13</v>
          </cell>
        </row>
        <row r="13">
          <cell r="C13">
            <v>11</v>
          </cell>
          <cell r="D13">
            <v>11</v>
          </cell>
          <cell r="E13">
            <v>11</v>
          </cell>
          <cell r="F13">
            <v>11</v>
          </cell>
          <cell r="G13">
            <v>11</v>
          </cell>
          <cell r="H13">
            <v>13</v>
          </cell>
          <cell r="I13">
            <v>13</v>
          </cell>
          <cell r="J13">
            <v>13</v>
          </cell>
          <cell r="K13">
            <v>13</v>
          </cell>
          <cell r="L13">
            <v>13</v>
          </cell>
          <cell r="M13">
            <v>13</v>
          </cell>
          <cell r="N13">
            <v>13</v>
          </cell>
        </row>
        <row r="14">
          <cell r="C14">
            <v>12</v>
          </cell>
          <cell r="D14">
            <v>12</v>
          </cell>
          <cell r="E14">
            <v>12</v>
          </cell>
          <cell r="F14">
            <v>12</v>
          </cell>
          <cell r="G14">
            <v>12</v>
          </cell>
          <cell r="H14">
            <v>14</v>
          </cell>
          <cell r="I14">
            <v>15</v>
          </cell>
          <cell r="J14">
            <v>15</v>
          </cell>
          <cell r="K14">
            <v>15</v>
          </cell>
          <cell r="L14">
            <v>15</v>
          </cell>
          <cell r="M14">
            <v>15</v>
          </cell>
          <cell r="N14">
            <v>15</v>
          </cell>
        </row>
        <row r="17">
          <cell r="C17">
            <v>153</v>
          </cell>
          <cell r="D17">
            <v>144.5</v>
          </cell>
          <cell r="E17">
            <v>170</v>
          </cell>
          <cell r="F17">
            <v>187</v>
          </cell>
          <cell r="G17">
            <v>119</v>
          </cell>
          <cell r="H17">
            <v>153</v>
          </cell>
          <cell r="I17">
            <v>382.5</v>
          </cell>
          <cell r="J17">
            <v>331.5</v>
          </cell>
          <cell r="K17">
            <v>365.5</v>
          </cell>
          <cell r="L17">
            <v>289</v>
          </cell>
          <cell r="M17">
            <v>246.5</v>
          </cell>
          <cell r="N17">
            <v>331.5</v>
          </cell>
        </row>
        <row r="18">
          <cell r="C18">
            <v>1793.5</v>
          </cell>
          <cell r="D18">
            <v>1700</v>
          </cell>
          <cell r="E18">
            <v>1887</v>
          </cell>
          <cell r="F18">
            <v>2074</v>
          </cell>
          <cell r="G18">
            <v>1793.5</v>
          </cell>
          <cell r="H18">
            <v>2014.5</v>
          </cell>
          <cell r="I18">
            <v>2456.5</v>
          </cell>
          <cell r="J18">
            <v>2125</v>
          </cell>
          <cell r="K18">
            <v>2346</v>
          </cell>
          <cell r="L18">
            <v>2125</v>
          </cell>
          <cell r="M18">
            <v>1572.5</v>
          </cell>
          <cell r="N18">
            <v>2125</v>
          </cell>
        </row>
        <row r="20">
          <cell r="C20">
            <v>1793.5</v>
          </cell>
          <cell r="D20">
            <v>1700</v>
          </cell>
          <cell r="E20">
            <v>1887</v>
          </cell>
          <cell r="F20">
            <v>2074</v>
          </cell>
          <cell r="G20">
            <v>1793.5</v>
          </cell>
          <cell r="H20">
            <v>2014.5</v>
          </cell>
          <cell r="I20">
            <v>2456.5</v>
          </cell>
          <cell r="J20">
            <v>2125</v>
          </cell>
          <cell r="K20">
            <v>2346</v>
          </cell>
          <cell r="L20">
            <v>2125</v>
          </cell>
          <cell r="M20">
            <v>1572.5</v>
          </cell>
          <cell r="N20">
            <v>2125</v>
          </cell>
        </row>
        <row r="21">
          <cell r="C21">
            <v>1946.5</v>
          </cell>
          <cell r="D21">
            <v>1844.5</v>
          </cell>
          <cell r="E21">
            <v>2057</v>
          </cell>
          <cell r="F21">
            <v>2261</v>
          </cell>
          <cell r="G21">
            <v>1912.5</v>
          </cell>
          <cell r="H21">
            <v>2167.5</v>
          </cell>
          <cell r="I21">
            <v>2839</v>
          </cell>
          <cell r="J21">
            <v>2456.5</v>
          </cell>
          <cell r="K21">
            <v>2711.5</v>
          </cell>
          <cell r="L21">
            <v>2414</v>
          </cell>
          <cell r="M21">
            <v>1819</v>
          </cell>
          <cell r="N21">
            <v>2456.5</v>
          </cell>
        </row>
        <row r="24">
          <cell r="C24">
            <v>36</v>
          </cell>
          <cell r="D24">
            <v>34</v>
          </cell>
          <cell r="E24">
            <v>40</v>
          </cell>
          <cell r="F24">
            <v>44</v>
          </cell>
          <cell r="G24">
            <v>28</v>
          </cell>
          <cell r="H24">
            <v>36</v>
          </cell>
          <cell r="I24">
            <v>90</v>
          </cell>
          <cell r="J24">
            <v>78</v>
          </cell>
          <cell r="K24">
            <v>86</v>
          </cell>
          <cell r="L24">
            <v>68</v>
          </cell>
          <cell r="M24">
            <v>58</v>
          </cell>
          <cell r="N24">
            <v>78</v>
          </cell>
        </row>
        <row r="25">
          <cell r="C25">
            <v>148</v>
          </cell>
          <cell r="D25">
            <v>146</v>
          </cell>
          <cell r="E25">
            <v>150</v>
          </cell>
          <cell r="F25">
            <v>154</v>
          </cell>
          <cell r="G25">
            <v>148</v>
          </cell>
          <cell r="H25">
            <v>146</v>
          </cell>
          <cell r="I25">
            <v>181</v>
          </cell>
          <cell r="J25">
            <v>175</v>
          </cell>
          <cell r="K25">
            <v>179</v>
          </cell>
          <cell r="L25">
            <v>175</v>
          </cell>
          <cell r="M25">
            <v>165</v>
          </cell>
          <cell r="N25">
            <v>175</v>
          </cell>
        </row>
        <row r="27">
          <cell r="C27">
            <v>148</v>
          </cell>
          <cell r="D27">
            <v>146</v>
          </cell>
          <cell r="E27">
            <v>150</v>
          </cell>
          <cell r="F27">
            <v>154</v>
          </cell>
          <cell r="G27">
            <v>148</v>
          </cell>
          <cell r="H27">
            <v>146</v>
          </cell>
          <cell r="I27">
            <v>181</v>
          </cell>
          <cell r="J27">
            <v>175</v>
          </cell>
          <cell r="K27">
            <v>179</v>
          </cell>
          <cell r="L27">
            <v>175</v>
          </cell>
          <cell r="M27">
            <v>165</v>
          </cell>
          <cell r="N27">
            <v>175</v>
          </cell>
        </row>
        <row r="28">
          <cell r="C28">
            <v>184</v>
          </cell>
          <cell r="D28">
            <v>180</v>
          </cell>
          <cell r="E28">
            <v>190</v>
          </cell>
          <cell r="F28">
            <v>198</v>
          </cell>
          <cell r="G28">
            <v>176</v>
          </cell>
          <cell r="H28">
            <v>182</v>
          </cell>
          <cell r="I28">
            <v>271</v>
          </cell>
          <cell r="J28">
            <v>253</v>
          </cell>
          <cell r="K28">
            <v>265</v>
          </cell>
          <cell r="L28">
            <v>243</v>
          </cell>
          <cell r="M28">
            <v>223</v>
          </cell>
          <cell r="N28">
            <v>253</v>
          </cell>
        </row>
      </sheetData>
      <sheetData sheetId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63"/>
    </sheetNames>
    <sheetDataSet>
      <sheetData sheetId="0">
        <row r="5">
          <cell r="A5">
            <v>1412000096</v>
          </cell>
          <cell r="B5" t="str">
            <v>ESD2課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10</v>
          </cell>
          <cell r="D11">
            <v>10</v>
          </cell>
          <cell r="E11">
            <v>10</v>
          </cell>
          <cell r="F11">
            <v>10</v>
          </cell>
          <cell r="G11">
            <v>10</v>
          </cell>
          <cell r="H11">
            <v>12</v>
          </cell>
          <cell r="I11">
            <v>12</v>
          </cell>
          <cell r="J11">
            <v>12</v>
          </cell>
          <cell r="K11">
            <v>12</v>
          </cell>
          <cell r="L11">
            <v>12</v>
          </cell>
          <cell r="M11">
            <v>12</v>
          </cell>
          <cell r="N11">
            <v>12</v>
          </cell>
        </row>
        <row r="13">
          <cell r="C13">
            <v>10</v>
          </cell>
          <cell r="D13">
            <v>10</v>
          </cell>
          <cell r="E13">
            <v>10</v>
          </cell>
          <cell r="F13">
            <v>10</v>
          </cell>
          <cell r="G13">
            <v>10</v>
          </cell>
          <cell r="H13">
            <v>12</v>
          </cell>
          <cell r="I13">
            <v>12</v>
          </cell>
          <cell r="J13">
            <v>12</v>
          </cell>
          <cell r="K13">
            <v>12</v>
          </cell>
          <cell r="L13">
            <v>12</v>
          </cell>
          <cell r="M13">
            <v>12</v>
          </cell>
          <cell r="N13">
            <v>12</v>
          </cell>
        </row>
        <row r="14">
          <cell r="C14">
            <v>10</v>
          </cell>
          <cell r="D14">
            <v>10</v>
          </cell>
          <cell r="E14">
            <v>10</v>
          </cell>
          <cell r="F14">
            <v>10</v>
          </cell>
          <cell r="G14">
            <v>10</v>
          </cell>
          <cell r="H14">
            <v>12</v>
          </cell>
          <cell r="I14">
            <v>12</v>
          </cell>
          <cell r="J14">
            <v>12</v>
          </cell>
          <cell r="K14">
            <v>12</v>
          </cell>
          <cell r="L14">
            <v>12</v>
          </cell>
          <cell r="M14">
            <v>12</v>
          </cell>
          <cell r="N14">
            <v>12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1632</v>
          </cell>
          <cell r="D18">
            <v>1547</v>
          </cell>
          <cell r="E18">
            <v>1717</v>
          </cell>
          <cell r="F18">
            <v>1887</v>
          </cell>
          <cell r="G18">
            <v>1632</v>
          </cell>
          <cell r="H18">
            <v>1853</v>
          </cell>
          <cell r="I18">
            <v>2261</v>
          </cell>
          <cell r="J18">
            <v>1955</v>
          </cell>
          <cell r="K18">
            <v>2159</v>
          </cell>
          <cell r="L18">
            <v>1955</v>
          </cell>
          <cell r="M18">
            <v>1445</v>
          </cell>
          <cell r="N18">
            <v>1955</v>
          </cell>
        </row>
        <row r="20">
          <cell r="C20">
            <v>1632</v>
          </cell>
          <cell r="D20">
            <v>1547</v>
          </cell>
          <cell r="E20">
            <v>1717</v>
          </cell>
          <cell r="F20">
            <v>1887</v>
          </cell>
          <cell r="G20">
            <v>1632</v>
          </cell>
          <cell r="H20">
            <v>1853</v>
          </cell>
          <cell r="I20">
            <v>2261</v>
          </cell>
          <cell r="J20">
            <v>1955</v>
          </cell>
          <cell r="K20">
            <v>2159</v>
          </cell>
          <cell r="L20">
            <v>1955</v>
          </cell>
          <cell r="M20">
            <v>1445</v>
          </cell>
          <cell r="N20">
            <v>1955</v>
          </cell>
        </row>
        <row r="21">
          <cell r="C21">
            <v>1632</v>
          </cell>
          <cell r="D21">
            <v>1547</v>
          </cell>
          <cell r="E21">
            <v>1717</v>
          </cell>
          <cell r="F21">
            <v>1887</v>
          </cell>
          <cell r="G21">
            <v>1632</v>
          </cell>
          <cell r="H21">
            <v>1853</v>
          </cell>
          <cell r="I21">
            <v>2261</v>
          </cell>
          <cell r="J21">
            <v>1955</v>
          </cell>
          <cell r="K21">
            <v>2159</v>
          </cell>
          <cell r="L21">
            <v>1955</v>
          </cell>
          <cell r="M21">
            <v>1445</v>
          </cell>
          <cell r="N21">
            <v>1955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160</v>
          </cell>
          <cell r="D25">
            <v>158</v>
          </cell>
          <cell r="E25">
            <v>162</v>
          </cell>
          <cell r="F25">
            <v>166</v>
          </cell>
          <cell r="G25">
            <v>160</v>
          </cell>
          <cell r="H25">
            <v>158</v>
          </cell>
          <cell r="I25">
            <v>166</v>
          </cell>
          <cell r="J25">
            <v>160</v>
          </cell>
          <cell r="K25">
            <v>164</v>
          </cell>
          <cell r="L25">
            <v>160</v>
          </cell>
          <cell r="M25">
            <v>150</v>
          </cell>
          <cell r="N25">
            <v>160</v>
          </cell>
        </row>
        <row r="27">
          <cell r="C27">
            <v>160</v>
          </cell>
          <cell r="D27">
            <v>158</v>
          </cell>
          <cell r="E27">
            <v>162</v>
          </cell>
          <cell r="F27">
            <v>166</v>
          </cell>
          <cell r="G27">
            <v>160</v>
          </cell>
          <cell r="H27">
            <v>158</v>
          </cell>
          <cell r="I27">
            <v>166</v>
          </cell>
          <cell r="J27">
            <v>160</v>
          </cell>
          <cell r="K27">
            <v>164</v>
          </cell>
          <cell r="L27">
            <v>160</v>
          </cell>
          <cell r="M27">
            <v>150</v>
          </cell>
          <cell r="N27">
            <v>160</v>
          </cell>
        </row>
        <row r="28">
          <cell r="C28">
            <v>160</v>
          </cell>
          <cell r="D28">
            <v>158</v>
          </cell>
          <cell r="E28">
            <v>162</v>
          </cell>
          <cell r="F28">
            <v>166</v>
          </cell>
          <cell r="G28">
            <v>160</v>
          </cell>
          <cell r="H28">
            <v>158</v>
          </cell>
          <cell r="I28">
            <v>166</v>
          </cell>
          <cell r="J28">
            <v>160</v>
          </cell>
          <cell r="K28">
            <v>164</v>
          </cell>
          <cell r="L28">
            <v>160</v>
          </cell>
          <cell r="M28">
            <v>150</v>
          </cell>
          <cell r="N28">
            <v>160</v>
          </cell>
        </row>
      </sheetData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>
            <v>1412000062</v>
          </cell>
          <cell r="B5" t="str">
            <v>機器製造管理課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21</v>
          </cell>
          <cell r="D11">
            <v>21</v>
          </cell>
          <cell r="E11">
            <v>21</v>
          </cell>
          <cell r="F11">
            <v>21</v>
          </cell>
          <cell r="G11">
            <v>21</v>
          </cell>
          <cell r="H11">
            <v>21</v>
          </cell>
          <cell r="I11">
            <v>21</v>
          </cell>
          <cell r="J11">
            <v>21</v>
          </cell>
          <cell r="K11">
            <v>21</v>
          </cell>
          <cell r="L11">
            <v>21</v>
          </cell>
          <cell r="M11">
            <v>21</v>
          </cell>
          <cell r="N11">
            <v>21</v>
          </cell>
        </row>
        <row r="12">
          <cell r="C12">
            <v>7</v>
          </cell>
          <cell r="D12">
            <v>7</v>
          </cell>
          <cell r="E12">
            <v>7</v>
          </cell>
          <cell r="F12">
            <v>7</v>
          </cell>
          <cell r="G12">
            <v>7</v>
          </cell>
          <cell r="H12">
            <v>7</v>
          </cell>
          <cell r="I12">
            <v>7</v>
          </cell>
          <cell r="J12">
            <v>7</v>
          </cell>
          <cell r="K12">
            <v>7</v>
          </cell>
          <cell r="L12">
            <v>7</v>
          </cell>
          <cell r="M12">
            <v>7</v>
          </cell>
          <cell r="N12">
            <v>7</v>
          </cell>
        </row>
        <row r="13">
          <cell r="C13">
            <v>28</v>
          </cell>
          <cell r="D13">
            <v>28</v>
          </cell>
          <cell r="E13">
            <v>28</v>
          </cell>
          <cell r="F13">
            <v>28</v>
          </cell>
          <cell r="G13">
            <v>28</v>
          </cell>
          <cell r="H13">
            <v>28</v>
          </cell>
          <cell r="I13">
            <v>28</v>
          </cell>
          <cell r="J13">
            <v>28</v>
          </cell>
          <cell r="K13">
            <v>28</v>
          </cell>
          <cell r="L13">
            <v>28</v>
          </cell>
          <cell r="M13">
            <v>28</v>
          </cell>
          <cell r="N13">
            <v>28</v>
          </cell>
        </row>
        <row r="14">
          <cell r="C14">
            <v>28</v>
          </cell>
          <cell r="D14">
            <v>28</v>
          </cell>
          <cell r="E14">
            <v>28</v>
          </cell>
          <cell r="F14">
            <v>28</v>
          </cell>
          <cell r="G14">
            <v>28</v>
          </cell>
          <cell r="H14">
            <v>28</v>
          </cell>
          <cell r="I14">
            <v>28</v>
          </cell>
          <cell r="J14">
            <v>28</v>
          </cell>
          <cell r="K14">
            <v>28</v>
          </cell>
          <cell r="L14">
            <v>28</v>
          </cell>
          <cell r="M14">
            <v>28</v>
          </cell>
          <cell r="N14">
            <v>28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3499</v>
          </cell>
          <cell r="D18">
            <v>3001</v>
          </cell>
          <cell r="E18">
            <v>3317</v>
          </cell>
          <cell r="F18">
            <v>3632</v>
          </cell>
          <cell r="G18">
            <v>3159</v>
          </cell>
          <cell r="H18">
            <v>3001</v>
          </cell>
          <cell r="I18">
            <v>3632</v>
          </cell>
          <cell r="J18">
            <v>3459</v>
          </cell>
          <cell r="K18">
            <v>3804</v>
          </cell>
          <cell r="L18">
            <v>3459</v>
          </cell>
          <cell r="M18">
            <v>2594</v>
          </cell>
          <cell r="N18">
            <v>3459</v>
          </cell>
        </row>
        <row r="19">
          <cell r="C19">
            <v>1146</v>
          </cell>
          <cell r="D19">
            <v>927.5</v>
          </cell>
          <cell r="E19">
            <v>1025.5</v>
          </cell>
          <cell r="F19">
            <v>1122.5</v>
          </cell>
          <cell r="G19">
            <v>976</v>
          </cell>
          <cell r="H19">
            <v>927.5</v>
          </cell>
          <cell r="I19">
            <v>1145.5</v>
          </cell>
          <cell r="J19">
            <v>996</v>
          </cell>
          <cell r="K19">
            <v>1261</v>
          </cell>
          <cell r="L19">
            <v>1146</v>
          </cell>
          <cell r="M19">
            <v>860</v>
          </cell>
          <cell r="N19">
            <v>1146</v>
          </cell>
        </row>
        <row r="20">
          <cell r="C20">
            <v>4645</v>
          </cell>
          <cell r="D20">
            <v>3928.5</v>
          </cell>
          <cell r="E20">
            <v>4342.5</v>
          </cell>
          <cell r="F20">
            <v>4754.5</v>
          </cell>
          <cell r="G20">
            <v>4135</v>
          </cell>
          <cell r="H20">
            <v>3928.5</v>
          </cell>
          <cell r="I20">
            <v>4777.5</v>
          </cell>
          <cell r="J20">
            <v>4455</v>
          </cell>
          <cell r="K20">
            <v>5065</v>
          </cell>
          <cell r="L20">
            <v>4605</v>
          </cell>
          <cell r="M20">
            <v>3454</v>
          </cell>
          <cell r="N20">
            <v>4605</v>
          </cell>
        </row>
        <row r="21">
          <cell r="C21">
            <v>4645</v>
          </cell>
          <cell r="D21">
            <v>3928.5</v>
          </cell>
          <cell r="E21">
            <v>4342.5</v>
          </cell>
          <cell r="F21">
            <v>4754.5</v>
          </cell>
          <cell r="G21">
            <v>4135</v>
          </cell>
          <cell r="H21">
            <v>3928.5</v>
          </cell>
          <cell r="I21">
            <v>4777.5</v>
          </cell>
          <cell r="J21">
            <v>4455</v>
          </cell>
          <cell r="K21">
            <v>5065</v>
          </cell>
          <cell r="L21">
            <v>4605</v>
          </cell>
          <cell r="M21">
            <v>3454</v>
          </cell>
          <cell r="N21">
            <v>4605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200</v>
          </cell>
          <cell r="D25">
            <v>200</v>
          </cell>
          <cell r="E25">
            <v>200</v>
          </cell>
          <cell r="F25">
            <v>200</v>
          </cell>
          <cell r="G25">
            <v>200</v>
          </cell>
          <cell r="H25">
            <v>200</v>
          </cell>
          <cell r="I25">
            <v>200</v>
          </cell>
          <cell r="J25">
            <v>200</v>
          </cell>
          <cell r="K25">
            <v>200</v>
          </cell>
          <cell r="L25">
            <v>200</v>
          </cell>
          <cell r="M25">
            <v>100</v>
          </cell>
          <cell r="N25">
            <v>200</v>
          </cell>
        </row>
        <row r="26">
          <cell r="C26">
            <v>100</v>
          </cell>
          <cell r="D26">
            <v>100</v>
          </cell>
          <cell r="E26">
            <v>100</v>
          </cell>
          <cell r="F26">
            <v>100</v>
          </cell>
          <cell r="G26">
            <v>100</v>
          </cell>
          <cell r="H26">
            <v>100</v>
          </cell>
          <cell r="I26">
            <v>100</v>
          </cell>
          <cell r="J26">
            <v>100</v>
          </cell>
          <cell r="K26">
            <v>100</v>
          </cell>
          <cell r="L26">
            <v>100</v>
          </cell>
          <cell r="M26">
            <v>80</v>
          </cell>
          <cell r="N26">
            <v>100</v>
          </cell>
        </row>
        <row r="27">
          <cell r="C27">
            <v>300</v>
          </cell>
          <cell r="D27">
            <v>300</v>
          </cell>
          <cell r="E27">
            <v>300</v>
          </cell>
          <cell r="F27">
            <v>300</v>
          </cell>
          <cell r="G27">
            <v>300</v>
          </cell>
          <cell r="H27">
            <v>300</v>
          </cell>
          <cell r="I27">
            <v>300</v>
          </cell>
          <cell r="J27">
            <v>300</v>
          </cell>
          <cell r="K27">
            <v>300</v>
          </cell>
          <cell r="L27">
            <v>300</v>
          </cell>
          <cell r="M27">
            <v>180</v>
          </cell>
          <cell r="N27">
            <v>300</v>
          </cell>
        </row>
        <row r="28">
          <cell r="C28">
            <v>300</v>
          </cell>
          <cell r="D28">
            <v>300</v>
          </cell>
          <cell r="E28">
            <v>300</v>
          </cell>
          <cell r="F28">
            <v>300</v>
          </cell>
          <cell r="G28">
            <v>300</v>
          </cell>
          <cell r="H28">
            <v>300</v>
          </cell>
          <cell r="I28">
            <v>300</v>
          </cell>
          <cell r="J28">
            <v>300</v>
          </cell>
          <cell r="K28">
            <v>300</v>
          </cell>
          <cell r="L28">
            <v>300</v>
          </cell>
          <cell r="M28">
            <v>180</v>
          </cell>
          <cell r="N28">
            <v>300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人員・時間計画"/>
      <sheetName val="Thời gian"/>
      <sheetName val="DS"/>
      <sheetName val="tăng ca"/>
      <sheetName val="Sheet1"/>
    </sheetNames>
    <sheetDataSet>
      <sheetData sheetId="0">
        <row r="5">
          <cell r="A5">
            <v>1412000048</v>
          </cell>
          <cell r="B5" t="str">
            <v>トナー生産技術課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14</v>
          </cell>
          <cell r="D11">
            <v>14</v>
          </cell>
          <cell r="E11">
            <v>14</v>
          </cell>
          <cell r="F11">
            <v>14</v>
          </cell>
          <cell r="G11">
            <v>14</v>
          </cell>
          <cell r="H11">
            <v>14</v>
          </cell>
          <cell r="I11">
            <v>14</v>
          </cell>
          <cell r="J11">
            <v>14</v>
          </cell>
          <cell r="K11">
            <v>14</v>
          </cell>
          <cell r="L11">
            <v>14</v>
          </cell>
          <cell r="M11">
            <v>14</v>
          </cell>
          <cell r="N11">
            <v>14</v>
          </cell>
        </row>
        <row r="12">
          <cell r="C12">
            <v>10</v>
          </cell>
          <cell r="D12">
            <v>10</v>
          </cell>
          <cell r="E12">
            <v>11</v>
          </cell>
          <cell r="F12">
            <v>11</v>
          </cell>
          <cell r="G12">
            <v>11</v>
          </cell>
          <cell r="H12">
            <v>11</v>
          </cell>
          <cell r="I12">
            <v>11</v>
          </cell>
          <cell r="J12">
            <v>11</v>
          </cell>
          <cell r="K12">
            <v>11</v>
          </cell>
          <cell r="L12">
            <v>11</v>
          </cell>
          <cell r="M12">
            <v>11</v>
          </cell>
          <cell r="N12">
            <v>11</v>
          </cell>
        </row>
        <row r="13">
          <cell r="C13">
            <v>24</v>
          </cell>
          <cell r="D13">
            <v>24</v>
          </cell>
          <cell r="E13">
            <v>25</v>
          </cell>
          <cell r="F13">
            <v>25</v>
          </cell>
          <cell r="G13">
            <v>25</v>
          </cell>
          <cell r="H13">
            <v>25</v>
          </cell>
          <cell r="I13">
            <v>25</v>
          </cell>
          <cell r="J13">
            <v>25</v>
          </cell>
          <cell r="K13">
            <v>25</v>
          </cell>
          <cell r="L13">
            <v>25</v>
          </cell>
          <cell r="M13">
            <v>25</v>
          </cell>
          <cell r="N13">
            <v>25</v>
          </cell>
        </row>
        <row r="14">
          <cell r="C14">
            <v>24</v>
          </cell>
          <cell r="D14">
            <v>24</v>
          </cell>
          <cell r="E14">
            <v>25</v>
          </cell>
          <cell r="F14">
            <v>25</v>
          </cell>
          <cell r="G14">
            <v>25</v>
          </cell>
          <cell r="H14">
            <v>25</v>
          </cell>
          <cell r="I14">
            <v>25</v>
          </cell>
          <cell r="J14">
            <v>25</v>
          </cell>
          <cell r="K14">
            <v>25</v>
          </cell>
          <cell r="L14">
            <v>25</v>
          </cell>
          <cell r="M14">
            <v>25</v>
          </cell>
          <cell r="N14">
            <v>25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2275</v>
          </cell>
          <cell r="D18">
            <v>2148</v>
          </cell>
          <cell r="E18">
            <v>2373</v>
          </cell>
          <cell r="F18">
            <v>2598</v>
          </cell>
          <cell r="G18">
            <v>2275</v>
          </cell>
          <cell r="H18">
            <v>2148</v>
          </cell>
          <cell r="I18">
            <v>2598</v>
          </cell>
          <cell r="J18">
            <v>2275</v>
          </cell>
          <cell r="K18">
            <v>2485</v>
          </cell>
          <cell r="L18">
            <v>2275</v>
          </cell>
          <cell r="M18">
            <v>1699</v>
          </cell>
          <cell r="N18">
            <v>2261</v>
          </cell>
        </row>
        <row r="19">
          <cell r="C19">
            <v>1584</v>
          </cell>
          <cell r="D19">
            <v>1440</v>
          </cell>
          <cell r="E19">
            <v>1742</v>
          </cell>
          <cell r="F19">
            <v>1901</v>
          </cell>
          <cell r="G19">
            <v>1742</v>
          </cell>
          <cell r="H19">
            <v>1584</v>
          </cell>
          <cell r="I19">
            <v>1901</v>
          </cell>
          <cell r="J19">
            <v>1742</v>
          </cell>
          <cell r="K19">
            <v>1822</v>
          </cell>
          <cell r="L19">
            <v>1742</v>
          </cell>
          <cell r="M19">
            <v>1267</v>
          </cell>
          <cell r="N19">
            <v>1663</v>
          </cell>
        </row>
        <row r="20">
          <cell r="C20">
            <v>3859</v>
          </cell>
          <cell r="D20">
            <v>3588</v>
          </cell>
          <cell r="E20">
            <v>4115</v>
          </cell>
          <cell r="F20">
            <v>4499</v>
          </cell>
          <cell r="G20">
            <v>4017</v>
          </cell>
          <cell r="H20">
            <v>3732</v>
          </cell>
          <cell r="I20">
            <v>4499</v>
          </cell>
          <cell r="J20">
            <v>4017</v>
          </cell>
          <cell r="K20">
            <v>4307</v>
          </cell>
          <cell r="L20">
            <v>4017</v>
          </cell>
          <cell r="M20">
            <v>2966</v>
          </cell>
          <cell r="N20">
            <v>3924</v>
          </cell>
        </row>
        <row r="21">
          <cell r="C21">
            <v>3859</v>
          </cell>
          <cell r="D21">
            <v>3588</v>
          </cell>
          <cell r="E21">
            <v>4115</v>
          </cell>
          <cell r="F21">
            <v>4499</v>
          </cell>
          <cell r="G21">
            <v>4017</v>
          </cell>
          <cell r="H21">
            <v>3732</v>
          </cell>
          <cell r="I21">
            <v>4499</v>
          </cell>
          <cell r="J21">
            <v>4017</v>
          </cell>
          <cell r="K21">
            <v>4307</v>
          </cell>
          <cell r="L21">
            <v>4017</v>
          </cell>
          <cell r="M21">
            <v>2966</v>
          </cell>
          <cell r="N21">
            <v>3924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38</v>
          </cell>
          <cell r="D25">
            <v>52</v>
          </cell>
          <cell r="E25">
            <v>40</v>
          </cell>
          <cell r="F25">
            <v>60</v>
          </cell>
          <cell r="G25">
            <v>54</v>
          </cell>
          <cell r="H25">
            <v>60</v>
          </cell>
          <cell r="I25">
            <v>68</v>
          </cell>
          <cell r="J25">
            <v>54</v>
          </cell>
          <cell r="K25">
            <v>58</v>
          </cell>
          <cell r="L25">
            <v>54</v>
          </cell>
          <cell r="M25">
            <v>44</v>
          </cell>
          <cell r="N25">
            <v>54</v>
          </cell>
        </row>
        <row r="26">
          <cell r="C26">
            <v>0</v>
          </cell>
          <cell r="D26">
            <v>24</v>
          </cell>
          <cell r="E26">
            <v>0</v>
          </cell>
          <cell r="F26">
            <v>16</v>
          </cell>
          <cell r="G26">
            <v>16</v>
          </cell>
          <cell r="H26">
            <v>24</v>
          </cell>
          <cell r="I26">
            <v>24</v>
          </cell>
          <cell r="J26">
            <v>16</v>
          </cell>
          <cell r="K26">
            <v>16</v>
          </cell>
          <cell r="L26">
            <v>16</v>
          </cell>
          <cell r="M26">
            <v>16</v>
          </cell>
          <cell r="N26">
            <v>16</v>
          </cell>
        </row>
        <row r="27">
          <cell r="C27">
            <v>38</v>
          </cell>
          <cell r="D27">
            <v>76</v>
          </cell>
          <cell r="E27">
            <v>40</v>
          </cell>
          <cell r="F27">
            <v>76</v>
          </cell>
          <cell r="G27">
            <v>70</v>
          </cell>
          <cell r="H27">
            <v>84</v>
          </cell>
          <cell r="I27">
            <v>92</v>
          </cell>
          <cell r="J27">
            <v>70</v>
          </cell>
          <cell r="K27">
            <v>74</v>
          </cell>
          <cell r="L27">
            <v>70</v>
          </cell>
          <cell r="M27">
            <v>60</v>
          </cell>
          <cell r="N27">
            <v>70</v>
          </cell>
        </row>
        <row r="28">
          <cell r="C28">
            <v>38</v>
          </cell>
          <cell r="D28">
            <v>76</v>
          </cell>
          <cell r="E28">
            <v>40</v>
          </cell>
          <cell r="F28">
            <v>76</v>
          </cell>
          <cell r="G28">
            <v>70</v>
          </cell>
          <cell r="H28">
            <v>84</v>
          </cell>
          <cell r="I28">
            <v>92</v>
          </cell>
          <cell r="J28">
            <v>70</v>
          </cell>
          <cell r="K28">
            <v>74</v>
          </cell>
          <cell r="L28">
            <v>70</v>
          </cell>
          <cell r="M28">
            <v>60</v>
          </cell>
          <cell r="N28">
            <v>70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Thời gian"/>
      <sheetName val="DS"/>
      <sheetName val="SS-NS"/>
      <sheetName val="Sheet1"/>
    </sheetNames>
    <sheetDataSet>
      <sheetData sheetId="0">
        <row r="5">
          <cell r="A5">
            <v>1412000063</v>
          </cell>
          <cell r="B5" t="str">
            <v>トナー製造管理課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7</v>
          </cell>
          <cell r="D11">
            <v>6</v>
          </cell>
          <cell r="E11">
            <v>5</v>
          </cell>
          <cell r="F11">
            <v>6</v>
          </cell>
          <cell r="G11">
            <v>6</v>
          </cell>
          <cell r="H11">
            <v>6</v>
          </cell>
          <cell r="I11">
            <v>6</v>
          </cell>
          <cell r="J11">
            <v>6</v>
          </cell>
          <cell r="K11">
            <v>5</v>
          </cell>
          <cell r="L11">
            <v>5</v>
          </cell>
          <cell r="M11">
            <v>5</v>
          </cell>
          <cell r="N11">
            <v>5</v>
          </cell>
        </row>
        <row r="12">
          <cell r="C12">
            <v>6</v>
          </cell>
          <cell r="D12">
            <v>6</v>
          </cell>
          <cell r="E12">
            <v>4</v>
          </cell>
          <cell r="F12">
            <v>3</v>
          </cell>
          <cell r="G12">
            <v>3</v>
          </cell>
          <cell r="H12">
            <v>3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3</v>
          </cell>
          <cell r="N12">
            <v>3</v>
          </cell>
        </row>
        <row r="13">
          <cell r="C13">
            <v>13</v>
          </cell>
          <cell r="D13">
            <v>12</v>
          </cell>
          <cell r="E13">
            <v>9</v>
          </cell>
          <cell r="F13">
            <v>9</v>
          </cell>
          <cell r="G13">
            <v>9</v>
          </cell>
          <cell r="H13">
            <v>9</v>
          </cell>
          <cell r="I13">
            <v>9</v>
          </cell>
          <cell r="J13">
            <v>9</v>
          </cell>
          <cell r="K13">
            <v>8</v>
          </cell>
          <cell r="L13">
            <v>8</v>
          </cell>
          <cell r="M13">
            <v>8</v>
          </cell>
          <cell r="N13">
            <v>8</v>
          </cell>
        </row>
        <row r="14">
          <cell r="C14">
            <v>13</v>
          </cell>
          <cell r="D14">
            <v>12</v>
          </cell>
          <cell r="E14">
            <v>9</v>
          </cell>
          <cell r="F14">
            <v>9</v>
          </cell>
          <cell r="G14">
            <v>9</v>
          </cell>
          <cell r="H14">
            <v>9</v>
          </cell>
          <cell r="I14">
            <v>9</v>
          </cell>
          <cell r="J14">
            <v>9</v>
          </cell>
          <cell r="K14">
            <v>8</v>
          </cell>
          <cell r="L14">
            <v>8</v>
          </cell>
          <cell r="M14">
            <v>8</v>
          </cell>
          <cell r="N14">
            <v>8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816</v>
          </cell>
          <cell r="D18">
            <v>775</v>
          </cell>
          <cell r="E18">
            <v>857</v>
          </cell>
          <cell r="F18">
            <v>938</v>
          </cell>
          <cell r="G18">
            <v>816</v>
          </cell>
          <cell r="H18">
            <v>775</v>
          </cell>
          <cell r="I18">
            <v>938</v>
          </cell>
          <cell r="J18">
            <v>816</v>
          </cell>
          <cell r="K18">
            <v>898</v>
          </cell>
          <cell r="L18">
            <v>816</v>
          </cell>
          <cell r="M18">
            <v>612</v>
          </cell>
          <cell r="N18">
            <v>816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816</v>
          </cell>
          <cell r="D20">
            <v>775</v>
          </cell>
          <cell r="E20">
            <v>857</v>
          </cell>
          <cell r="F20">
            <v>938</v>
          </cell>
          <cell r="G20">
            <v>816</v>
          </cell>
          <cell r="H20">
            <v>775</v>
          </cell>
          <cell r="I20">
            <v>938</v>
          </cell>
          <cell r="J20">
            <v>816</v>
          </cell>
          <cell r="K20">
            <v>898</v>
          </cell>
          <cell r="L20">
            <v>816</v>
          </cell>
          <cell r="M20">
            <v>612</v>
          </cell>
          <cell r="N20">
            <v>816</v>
          </cell>
        </row>
        <row r="21">
          <cell r="C21">
            <v>816</v>
          </cell>
          <cell r="D21">
            <v>775</v>
          </cell>
          <cell r="E21">
            <v>857</v>
          </cell>
          <cell r="F21">
            <v>938</v>
          </cell>
          <cell r="G21">
            <v>816</v>
          </cell>
          <cell r="H21">
            <v>775</v>
          </cell>
          <cell r="I21">
            <v>938</v>
          </cell>
          <cell r="J21">
            <v>816</v>
          </cell>
          <cell r="K21">
            <v>898</v>
          </cell>
          <cell r="L21">
            <v>816</v>
          </cell>
          <cell r="M21">
            <v>612</v>
          </cell>
          <cell r="N21">
            <v>816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Thời gian"/>
      <sheetName val="DS"/>
      <sheetName val="tăng ca"/>
      <sheetName val="Sheet1"/>
    </sheetNames>
    <sheetDataSet>
      <sheetData sheetId="0">
        <row r="5">
          <cell r="A5">
            <v>1412000055</v>
          </cell>
          <cell r="B5" t="str">
            <v>トナー品質管理課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11</v>
          </cell>
          <cell r="D11">
            <v>11</v>
          </cell>
          <cell r="E11">
            <v>11</v>
          </cell>
          <cell r="F11">
            <v>10</v>
          </cell>
          <cell r="G11">
            <v>10</v>
          </cell>
          <cell r="H11">
            <v>10</v>
          </cell>
          <cell r="I11">
            <v>10</v>
          </cell>
          <cell r="J11">
            <v>10</v>
          </cell>
          <cell r="K11">
            <v>11</v>
          </cell>
          <cell r="L11">
            <v>11</v>
          </cell>
          <cell r="M11">
            <v>11</v>
          </cell>
          <cell r="N11">
            <v>11</v>
          </cell>
        </row>
        <row r="12">
          <cell r="C12">
            <v>14</v>
          </cell>
          <cell r="D12">
            <v>14</v>
          </cell>
          <cell r="E12">
            <v>14</v>
          </cell>
          <cell r="F12">
            <v>14</v>
          </cell>
          <cell r="G12">
            <v>15</v>
          </cell>
          <cell r="H12">
            <v>17</v>
          </cell>
          <cell r="I12">
            <v>17</v>
          </cell>
          <cell r="J12">
            <v>17</v>
          </cell>
          <cell r="K12">
            <v>17</v>
          </cell>
          <cell r="L12">
            <v>17</v>
          </cell>
          <cell r="M12">
            <v>17</v>
          </cell>
          <cell r="N12">
            <v>19</v>
          </cell>
        </row>
        <row r="13">
          <cell r="C13">
            <v>25</v>
          </cell>
          <cell r="D13">
            <v>25</v>
          </cell>
          <cell r="E13">
            <v>25</v>
          </cell>
          <cell r="F13">
            <v>24</v>
          </cell>
          <cell r="G13">
            <v>25</v>
          </cell>
          <cell r="H13">
            <v>27</v>
          </cell>
          <cell r="I13">
            <v>27</v>
          </cell>
          <cell r="J13">
            <v>27</v>
          </cell>
          <cell r="K13">
            <v>28</v>
          </cell>
          <cell r="L13">
            <v>28</v>
          </cell>
          <cell r="M13">
            <v>28</v>
          </cell>
          <cell r="N13">
            <v>30</v>
          </cell>
        </row>
        <row r="14">
          <cell r="C14">
            <v>25</v>
          </cell>
          <cell r="D14">
            <v>25</v>
          </cell>
          <cell r="E14">
            <v>25</v>
          </cell>
          <cell r="F14">
            <v>24</v>
          </cell>
          <cell r="G14">
            <v>25</v>
          </cell>
          <cell r="H14">
            <v>27</v>
          </cell>
          <cell r="I14">
            <v>27</v>
          </cell>
          <cell r="J14">
            <v>27</v>
          </cell>
          <cell r="K14">
            <v>28</v>
          </cell>
          <cell r="L14">
            <v>28</v>
          </cell>
          <cell r="M14">
            <v>28</v>
          </cell>
          <cell r="N14">
            <v>30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1757</v>
          </cell>
          <cell r="D18">
            <v>1617</v>
          </cell>
          <cell r="E18">
            <v>1781</v>
          </cell>
          <cell r="F18">
            <v>1758</v>
          </cell>
          <cell r="G18">
            <v>1594</v>
          </cell>
          <cell r="H18">
            <v>1462</v>
          </cell>
          <cell r="I18">
            <v>1758</v>
          </cell>
          <cell r="J18">
            <v>1594</v>
          </cell>
          <cell r="K18">
            <v>1863</v>
          </cell>
          <cell r="L18">
            <v>1757</v>
          </cell>
          <cell r="M18">
            <v>1289</v>
          </cell>
          <cell r="N18">
            <v>1699</v>
          </cell>
        </row>
        <row r="19">
          <cell r="C19">
            <v>2218</v>
          </cell>
          <cell r="D19">
            <v>2016</v>
          </cell>
          <cell r="E19">
            <v>2218</v>
          </cell>
          <cell r="F19">
            <v>2419</v>
          </cell>
          <cell r="G19">
            <v>2376</v>
          </cell>
          <cell r="H19">
            <v>2448</v>
          </cell>
          <cell r="I19">
            <v>2938</v>
          </cell>
          <cell r="J19">
            <v>2693</v>
          </cell>
          <cell r="K19">
            <v>2815</v>
          </cell>
          <cell r="L19">
            <v>2693</v>
          </cell>
          <cell r="M19">
            <v>1958</v>
          </cell>
          <cell r="N19">
            <v>2873</v>
          </cell>
        </row>
        <row r="20">
          <cell r="C20">
            <v>3975</v>
          </cell>
          <cell r="D20">
            <v>3633</v>
          </cell>
          <cell r="E20">
            <v>3999</v>
          </cell>
          <cell r="F20">
            <v>4177</v>
          </cell>
          <cell r="G20">
            <v>3970</v>
          </cell>
          <cell r="H20">
            <v>3910</v>
          </cell>
          <cell r="I20">
            <v>4696</v>
          </cell>
          <cell r="J20">
            <v>4287</v>
          </cell>
          <cell r="K20">
            <v>4678</v>
          </cell>
          <cell r="L20">
            <v>4450</v>
          </cell>
          <cell r="M20">
            <v>3247</v>
          </cell>
          <cell r="N20">
            <v>4572</v>
          </cell>
        </row>
        <row r="21">
          <cell r="C21">
            <v>3975</v>
          </cell>
          <cell r="D21">
            <v>3633</v>
          </cell>
          <cell r="E21">
            <v>3999</v>
          </cell>
          <cell r="F21">
            <v>4177</v>
          </cell>
          <cell r="G21">
            <v>3970</v>
          </cell>
          <cell r="H21">
            <v>3910</v>
          </cell>
          <cell r="I21">
            <v>4696</v>
          </cell>
          <cell r="J21">
            <v>4287</v>
          </cell>
          <cell r="K21">
            <v>4678</v>
          </cell>
          <cell r="L21">
            <v>4450</v>
          </cell>
          <cell r="M21">
            <v>3247</v>
          </cell>
          <cell r="N21">
            <v>4572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38</v>
          </cell>
          <cell r="D25">
            <v>60</v>
          </cell>
          <cell r="E25">
            <v>40</v>
          </cell>
          <cell r="F25">
            <v>68</v>
          </cell>
          <cell r="G25">
            <v>62</v>
          </cell>
          <cell r="H25">
            <v>60</v>
          </cell>
          <cell r="I25">
            <v>68</v>
          </cell>
          <cell r="J25">
            <v>62</v>
          </cell>
          <cell r="K25">
            <v>66</v>
          </cell>
          <cell r="L25">
            <v>62</v>
          </cell>
          <cell r="M25">
            <v>52</v>
          </cell>
          <cell r="N25">
            <v>38</v>
          </cell>
        </row>
        <row r="26">
          <cell r="C26">
            <v>0</v>
          </cell>
          <cell r="D26">
            <v>24</v>
          </cell>
          <cell r="E26">
            <v>24</v>
          </cell>
          <cell r="F26">
            <v>176</v>
          </cell>
          <cell r="G26">
            <v>24</v>
          </cell>
          <cell r="H26">
            <v>48</v>
          </cell>
          <cell r="I26">
            <v>48</v>
          </cell>
          <cell r="J26">
            <v>24</v>
          </cell>
          <cell r="K26">
            <v>24</v>
          </cell>
          <cell r="L26">
            <v>176</v>
          </cell>
          <cell r="M26">
            <v>152</v>
          </cell>
          <cell r="N26">
            <v>72</v>
          </cell>
        </row>
        <row r="27">
          <cell r="C27">
            <v>38</v>
          </cell>
          <cell r="D27">
            <v>84</v>
          </cell>
          <cell r="E27">
            <v>64</v>
          </cell>
          <cell r="F27">
            <v>244</v>
          </cell>
          <cell r="G27">
            <v>86</v>
          </cell>
          <cell r="H27">
            <v>108</v>
          </cell>
          <cell r="I27">
            <v>116</v>
          </cell>
          <cell r="J27">
            <v>86</v>
          </cell>
          <cell r="K27">
            <v>90</v>
          </cell>
          <cell r="L27">
            <v>238</v>
          </cell>
          <cell r="M27">
            <v>204</v>
          </cell>
          <cell r="N27">
            <v>110</v>
          </cell>
        </row>
        <row r="28">
          <cell r="C28">
            <v>38</v>
          </cell>
          <cell r="D28">
            <v>84</v>
          </cell>
          <cell r="E28">
            <v>64</v>
          </cell>
          <cell r="F28">
            <v>244</v>
          </cell>
          <cell r="G28">
            <v>86</v>
          </cell>
          <cell r="H28">
            <v>108</v>
          </cell>
          <cell r="I28">
            <v>116</v>
          </cell>
          <cell r="J28">
            <v>86</v>
          </cell>
          <cell r="K28">
            <v>90</v>
          </cell>
          <cell r="L28">
            <v>238</v>
          </cell>
          <cell r="M28">
            <v>204</v>
          </cell>
          <cell r="N28">
            <v>110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ế hoạch số người - thời gian"/>
      <sheetName val="Sheet1"/>
      <sheetName val="人員・時間計画"/>
    </sheetNames>
    <sheetDataSet>
      <sheetData sheetId="0">
        <row r="5">
          <cell r="A5">
            <v>1412000044</v>
          </cell>
          <cell r="B5" t="str">
            <v>Phòng kỹ thuật khuôn</v>
          </cell>
        </row>
        <row r="10">
          <cell r="C10">
            <v>2</v>
          </cell>
          <cell r="D10">
            <v>2</v>
          </cell>
          <cell r="E10">
            <v>2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  <cell r="K10">
            <v>2</v>
          </cell>
          <cell r="L10">
            <v>2</v>
          </cell>
          <cell r="M10">
            <v>2</v>
          </cell>
          <cell r="N10">
            <v>2</v>
          </cell>
        </row>
        <row r="11">
          <cell r="C11">
            <v>23</v>
          </cell>
          <cell r="D11">
            <v>23</v>
          </cell>
          <cell r="E11">
            <v>23</v>
          </cell>
          <cell r="F11">
            <v>23</v>
          </cell>
          <cell r="G11">
            <v>23</v>
          </cell>
          <cell r="H11">
            <v>23</v>
          </cell>
          <cell r="I11">
            <v>23</v>
          </cell>
          <cell r="J11">
            <v>23</v>
          </cell>
          <cell r="K11">
            <v>23</v>
          </cell>
          <cell r="L11">
            <v>23</v>
          </cell>
          <cell r="M11">
            <v>23</v>
          </cell>
          <cell r="N11">
            <v>23</v>
          </cell>
        </row>
        <row r="12">
          <cell r="C12">
            <v>9</v>
          </cell>
          <cell r="D12">
            <v>9</v>
          </cell>
          <cell r="E12">
            <v>9</v>
          </cell>
          <cell r="F12">
            <v>9</v>
          </cell>
          <cell r="G12">
            <v>9</v>
          </cell>
          <cell r="H12">
            <v>9</v>
          </cell>
          <cell r="I12">
            <v>9</v>
          </cell>
          <cell r="J12">
            <v>9</v>
          </cell>
          <cell r="K12">
            <v>9</v>
          </cell>
          <cell r="L12">
            <v>9</v>
          </cell>
          <cell r="M12">
            <v>9</v>
          </cell>
          <cell r="N12">
            <v>9</v>
          </cell>
        </row>
        <row r="13">
          <cell r="C13">
            <v>32</v>
          </cell>
          <cell r="D13">
            <v>32</v>
          </cell>
          <cell r="E13">
            <v>32</v>
          </cell>
          <cell r="F13">
            <v>32</v>
          </cell>
          <cell r="G13">
            <v>32</v>
          </cell>
          <cell r="H13">
            <v>32</v>
          </cell>
          <cell r="I13">
            <v>32</v>
          </cell>
          <cell r="J13">
            <v>32</v>
          </cell>
          <cell r="K13">
            <v>32</v>
          </cell>
          <cell r="L13">
            <v>32</v>
          </cell>
          <cell r="M13">
            <v>32</v>
          </cell>
          <cell r="N13">
            <v>32</v>
          </cell>
        </row>
        <row r="14">
          <cell r="C14">
            <v>34</v>
          </cell>
          <cell r="D14">
            <v>34</v>
          </cell>
          <cell r="E14">
            <v>34</v>
          </cell>
          <cell r="F14">
            <v>34</v>
          </cell>
          <cell r="G14">
            <v>34</v>
          </cell>
          <cell r="H14">
            <v>34</v>
          </cell>
          <cell r="I14">
            <v>34</v>
          </cell>
          <cell r="J14">
            <v>34</v>
          </cell>
          <cell r="K14">
            <v>34</v>
          </cell>
          <cell r="L14">
            <v>34</v>
          </cell>
          <cell r="M14">
            <v>34</v>
          </cell>
          <cell r="N14">
            <v>34</v>
          </cell>
        </row>
        <row r="17">
          <cell r="C17">
            <v>340</v>
          </cell>
          <cell r="D17">
            <v>323</v>
          </cell>
          <cell r="E17">
            <v>357</v>
          </cell>
          <cell r="F17">
            <v>391</v>
          </cell>
          <cell r="G17">
            <v>255</v>
          </cell>
          <cell r="H17">
            <v>323</v>
          </cell>
          <cell r="I17">
            <v>391</v>
          </cell>
          <cell r="J17">
            <v>340</v>
          </cell>
          <cell r="K17">
            <v>374</v>
          </cell>
          <cell r="L17">
            <v>340</v>
          </cell>
          <cell r="M17">
            <v>170</v>
          </cell>
          <cell r="N17">
            <v>340</v>
          </cell>
        </row>
        <row r="18">
          <cell r="C18">
            <v>3658</v>
          </cell>
          <cell r="D18">
            <v>3393</v>
          </cell>
          <cell r="E18">
            <v>3760</v>
          </cell>
          <cell r="F18">
            <v>4127</v>
          </cell>
          <cell r="G18">
            <v>3666.5</v>
          </cell>
          <cell r="H18">
            <v>3376</v>
          </cell>
          <cell r="I18">
            <v>4127</v>
          </cell>
          <cell r="J18">
            <v>3666.5</v>
          </cell>
          <cell r="K18">
            <v>3943.5</v>
          </cell>
          <cell r="L18">
            <v>3576.5</v>
          </cell>
          <cell r="M18">
            <v>2642</v>
          </cell>
          <cell r="N18">
            <v>3568</v>
          </cell>
        </row>
        <row r="19">
          <cell r="C19">
            <v>1425.5</v>
          </cell>
          <cell r="D19">
            <v>1303.5</v>
          </cell>
          <cell r="E19">
            <v>1442.5</v>
          </cell>
          <cell r="F19">
            <v>1581.5</v>
          </cell>
          <cell r="G19">
            <v>1425.5</v>
          </cell>
          <cell r="H19">
            <v>1303.5</v>
          </cell>
          <cell r="I19">
            <v>1581.5</v>
          </cell>
          <cell r="J19">
            <v>1425.5</v>
          </cell>
          <cell r="K19">
            <v>1512</v>
          </cell>
          <cell r="L19">
            <v>1373</v>
          </cell>
          <cell r="M19">
            <v>1025.5</v>
          </cell>
          <cell r="N19">
            <v>1373</v>
          </cell>
        </row>
        <row r="20">
          <cell r="C20">
            <v>5083.5</v>
          </cell>
          <cell r="D20">
            <v>4696.5</v>
          </cell>
          <cell r="E20">
            <v>5202.5</v>
          </cell>
          <cell r="F20">
            <v>5708.5</v>
          </cell>
          <cell r="G20">
            <v>5092</v>
          </cell>
          <cell r="H20">
            <v>4679.5</v>
          </cell>
          <cell r="I20">
            <v>5708.5</v>
          </cell>
          <cell r="J20">
            <v>5092</v>
          </cell>
          <cell r="K20">
            <v>5455.5</v>
          </cell>
          <cell r="L20">
            <v>4949.5</v>
          </cell>
          <cell r="M20">
            <v>3667.5</v>
          </cell>
          <cell r="N20">
            <v>4941</v>
          </cell>
        </row>
        <row r="21">
          <cell r="C21">
            <v>5423.5</v>
          </cell>
          <cell r="D21">
            <v>5019.5</v>
          </cell>
          <cell r="E21">
            <v>5559.5</v>
          </cell>
          <cell r="F21">
            <v>6099.5</v>
          </cell>
          <cell r="G21">
            <v>5347</v>
          </cell>
          <cell r="H21">
            <v>5002.5</v>
          </cell>
          <cell r="I21">
            <v>6099.5</v>
          </cell>
          <cell r="J21">
            <v>5432</v>
          </cell>
          <cell r="K21">
            <v>5829.5</v>
          </cell>
          <cell r="L21">
            <v>5289.5</v>
          </cell>
          <cell r="M21">
            <v>3837.5</v>
          </cell>
          <cell r="N21">
            <v>5281</v>
          </cell>
        </row>
        <row r="24">
          <cell r="C24">
            <v>80</v>
          </cell>
          <cell r="D24">
            <v>76</v>
          </cell>
          <cell r="E24">
            <v>84</v>
          </cell>
          <cell r="F24">
            <v>92</v>
          </cell>
          <cell r="G24">
            <v>60</v>
          </cell>
          <cell r="H24">
            <v>76</v>
          </cell>
          <cell r="I24">
            <v>92</v>
          </cell>
          <cell r="J24">
            <v>80</v>
          </cell>
          <cell r="K24">
            <v>88</v>
          </cell>
          <cell r="L24">
            <v>80</v>
          </cell>
          <cell r="M24">
            <v>40</v>
          </cell>
          <cell r="N24">
            <v>80</v>
          </cell>
        </row>
        <row r="25">
          <cell r="C25">
            <v>230</v>
          </cell>
          <cell r="D25">
            <v>226</v>
          </cell>
          <cell r="E25">
            <v>234</v>
          </cell>
          <cell r="F25">
            <v>392</v>
          </cell>
          <cell r="G25">
            <v>230</v>
          </cell>
          <cell r="H25">
            <v>226</v>
          </cell>
          <cell r="I25">
            <v>392</v>
          </cell>
          <cell r="J25">
            <v>404</v>
          </cell>
          <cell r="K25">
            <v>238</v>
          </cell>
          <cell r="L25">
            <v>230</v>
          </cell>
          <cell r="M25">
            <v>360</v>
          </cell>
          <cell r="N25">
            <v>380</v>
          </cell>
        </row>
        <row r="26">
          <cell r="C26">
            <v>100</v>
          </cell>
          <cell r="D26">
            <v>100</v>
          </cell>
          <cell r="E26">
            <v>100</v>
          </cell>
          <cell r="F26">
            <v>100</v>
          </cell>
          <cell r="G26">
            <v>100</v>
          </cell>
          <cell r="H26">
            <v>100</v>
          </cell>
          <cell r="I26">
            <v>100</v>
          </cell>
          <cell r="J26">
            <v>114</v>
          </cell>
          <cell r="K26">
            <v>106</v>
          </cell>
          <cell r="L26">
            <v>100</v>
          </cell>
          <cell r="M26">
            <v>100</v>
          </cell>
          <cell r="N26">
            <v>100</v>
          </cell>
        </row>
        <row r="27">
          <cell r="C27">
            <v>330</v>
          </cell>
          <cell r="D27">
            <v>326</v>
          </cell>
          <cell r="E27">
            <v>334</v>
          </cell>
          <cell r="F27">
            <v>492</v>
          </cell>
          <cell r="G27">
            <v>330</v>
          </cell>
          <cell r="H27">
            <v>326</v>
          </cell>
          <cell r="I27">
            <v>492</v>
          </cell>
          <cell r="J27">
            <v>518</v>
          </cell>
          <cell r="K27">
            <v>344</v>
          </cell>
          <cell r="L27">
            <v>330</v>
          </cell>
          <cell r="M27">
            <v>460</v>
          </cell>
          <cell r="N27">
            <v>480</v>
          </cell>
        </row>
        <row r="28">
          <cell r="C28">
            <v>410</v>
          </cell>
          <cell r="D28">
            <v>402</v>
          </cell>
          <cell r="E28">
            <v>418</v>
          </cell>
          <cell r="F28">
            <v>584</v>
          </cell>
          <cell r="G28">
            <v>390</v>
          </cell>
          <cell r="H28">
            <v>402</v>
          </cell>
          <cell r="I28">
            <v>584</v>
          </cell>
          <cell r="J28">
            <v>598</v>
          </cell>
          <cell r="K28">
            <v>432</v>
          </cell>
          <cell r="L28">
            <v>410</v>
          </cell>
          <cell r="M28">
            <v>500</v>
          </cell>
          <cell r="N28">
            <v>560</v>
          </cell>
        </row>
      </sheetData>
      <sheetData sheetId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55"/>
    </sheetNames>
    <sheetDataSet>
      <sheetData sheetId="0">
        <row r="5">
          <cell r="A5">
            <v>1412000087</v>
          </cell>
          <cell r="B5" t="str">
            <v>部品製造管理課</v>
          </cell>
        </row>
        <row r="11">
          <cell r="C11">
            <v>9</v>
          </cell>
          <cell r="D11">
            <v>9</v>
          </cell>
          <cell r="E11">
            <v>9</v>
          </cell>
          <cell r="F11">
            <v>9</v>
          </cell>
          <cell r="G11">
            <v>9</v>
          </cell>
          <cell r="H11">
            <v>9</v>
          </cell>
          <cell r="I11">
            <v>9</v>
          </cell>
          <cell r="J11">
            <v>9</v>
          </cell>
          <cell r="K11">
            <v>9</v>
          </cell>
          <cell r="L11">
            <v>9</v>
          </cell>
          <cell r="M11">
            <v>9</v>
          </cell>
          <cell r="N11">
            <v>9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9</v>
          </cell>
          <cell r="D13">
            <v>9</v>
          </cell>
          <cell r="E13">
            <v>9</v>
          </cell>
          <cell r="F13">
            <v>9</v>
          </cell>
          <cell r="G13">
            <v>9</v>
          </cell>
          <cell r="H13">
            <v>9</v>
          </cell>
          <cell r="I13">
            <v>9</v>
          </cell>
          <cell r="J13">
            <v>9</v>
          </cell>
          <cell r="K13">
            <v>9</v>
          </cell>
          <cell r="L13">
            <v>9</v>
          </cell>
          <cell r="M13">
            <v>9</v>
          </cell>
          <cell r="N13">
            <v>9</v>
          </cell>
        </row>
        <row r="14">
          <cell r="C14">
            <v>9</v>
          </cell>
          <cell r="D14">
            <v>9</v>
          </cell>
          <cell r="E14">
            <v>9</v>
          </cell>
          <cell r="F14">
            <v>9</v>
          </cell>
          <cell r="G14">
            <v>9</v>
          </cell>
          <cell r="H14">
            <v>9</v>
          </cell>
          <cell r="I14">
            <v>9</v>
          </cell>
          <cell r="J14">
            <v>9</v>
          </cell>
          <cell r="K14">
            <v>9</v>
          </cell>
          <cell r="L14">
            <v>9</v>
          </cell>
          <cell r="M14">
            <v>9</v>
          </cell>
          <cell r="N14">
            <v>9</v>
          </cell>
        </row>
        <row r="18">
          <cell r="C18">
            <v>1453.5</v>
          </cell>
          <cell r="D18">
            <v>1377</v>
          </cell>
          <cell r="E18">
            <v>1530</v>
          </cell>
          <cell r="F18">
            <v>1683</v>
          </cell>
          <cell r="G18">
            <v>1453.5</v>
          </cell>
          <cell r="H18">
            <v>1377</v>
          </cell>
          <cell r="I18">
            <v>1683</v>
          </cell>
          <cell r="J18">
            <v>1292</v>
          </cell>
          <cell r="K18">
            <v>1428</v>
          </cell>
          <cell r="L18">
            <v>1130.5</v>
          </cell>
          <cell r="M18">
            <v>833</v>
          </cell>
          <cell r="N18">
            <v>1130.5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1453.5</v>
          </cell>
          <cell r="D20">
            <v>1377</v>
          </cell>
          <cell r="E20">
            <v>1530</v>
          </cell>
          <cell r="F20">
            <v>1683</v>
          </cell>
          <cell r="G20">
            <v>1453.5</v>
          </cell>
          <cell r="H20">
            <v>1377</v>
          </cell>
          <cell r="I20">
            <v>1683</v>
          </cell>
          <cell r="J20">
            <v>1292</v>
          </cell>
          <cell r="K20">
            <v>1428</v>
          </cell>
          <cell r="L20">
            <v>1130.5</v>
          </cell>
          <cell r="M20">
            <v>833</v>
          </cell>
          <cell r="N20">
            <v>1130.5</v>
          </cell>
        </row>
        <row r="21">
          <cell r="C21">
            <v>1453.5</v>
          </cell>
          <cell r="D21">
            <v>1377</v>
          </cell>
          <cell r="E21">
            <v>1530</v>
          </cell>
          <cell r="F21">
            <v>1683</v>
          </cell>
          <cell r="G21">
            <v>1453.5</v>
          </cell>
          <cell r="H21">
            <v>1377</v>
          </cell>
          <cell r="I21">
            <v>1683</v>
          </cell>
          <cell r="J21">
            <v>1292</v>
          </cell>
          <cell r="K21">
            <v>1428</v>
          </cell>
          <cell r="L21">
            <v>1130.5</v>
          </cell>
          <cell r="M21">
            <v>833</v>
          </cell>
          <cell r="N21">
            <v>1130.5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</sheetData>
      <sheetData sheetId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56"/>
    </sheetNames>
    <sheetDataSet>
      <sheetData sheetId="0">
        <row r="5">
          <cell r="A5">
            <v>1412000088</v>
          </cell>
          <cell r="B5" t="str">
            <v>品質管理課</v>
          </cell>
        </row>
        <row r="11">
          <cell r="C11">
            <v>12</v>
          </cell>
          <cell r="D11">
            <v>12</v>
          </cell>
          <cell r="E11">
            <v>12</v>
          </cell>
          <cell r="F11">
            <v>12</v>
          </cell>
          <cell r="G11">
            <v>12</v>
          </cell>
          <cell r="H11">
            <v>12</v>
          </cell>
          <cell r="I11">
            <v>12</v>
          </cell>
          <cell r="J11">
            <v>12</v>
          </cell>
          <cell r="K11">
            <v>12</v>
          </cell>
          <cell r="L11">
            <v>12</v>
          </cell>
          <cell r="M11">
            <v>12</v>
          </cell>
          <cell r="N11">
            <v>12</v>
          </cell>
        </row>
        <row r="12">
          <cell r="C12">
            <v>13</v>
          </cell>
          <cell r="D12">
            <v>13</v>
          </cell>
          <cell r="E12">
            <v>13</v>
          </cell>
          <cell r="F12">
            <v>13</v>
          </cell>
          <cell r="G12">
            <v>13</v>
          </cell>
          <cell r="H12">
            <v>13</v>
          </cell>
          <cell r="I12">
            <v>13</v>
          </cell>
          <cell r="J12">
            <v>13</v>
          </cell>
          <cell r="K12">
            <v>13</v>
          </cell>
          <cell r="L12">
            <v>13</v>
          </cell>
          <cell r="M12">
            <v>13</v>
          </cell>
          <cell r="N12">
            <v>13</v>
          </cell>
        </row>
        <row r="13">
          <cell r="C13">
            <v>25</v>
          </cell>
          <cell r="D13">
            <v>25</v>
          </cell>
          <cell r="E13">
            <v>25</v>
          </cell>
          <cell r="F13">
            <v>25</v>
          </cell>
          <cell r="G13">
            <v>25</v>
          </cell>
          <cell r="H13">
            <v>25</v>
          </cell>
          <cell r="I13">
            <v>25</v>
          </cell>
          <cell r="J13">
            <v>25</v>
          </cell>
          <cell r="K13">
            <v>25</v>
          </cell>
          <cell r="L13">
            <v>25</v>
          </cell>
          <cell r="M13">
            <v>25</v>
          </cell>
          <cell r="N13">
            <v>25</v>
          </cell>
        </row>
        <row r="14">
          <cell r="C14">
            <v>25</v>
          </cell>
          <cell r="D14">
            <v>25</v>
          </cell>
          <cell r="E14">
            <v>25</v>
          </cell>
          <cell r="F14">
            <v>25</v>
          </cell>
          <cell r="G14">
            <v>25</v>
          </cell>
          <cell r="H14">
            <v>25</v>
          </cell>
          <cell r="I14">
            <v>25</v>
          </cell>
          <cell r="J14">
            <v>25</v>
          </cell>
          <cell r="K14">
            <v>25</v>
          </cell>
          <cell r="L14">
            <v>25</v>
          </cell>
          <cell r="M14">
            <v>25</v>
          </cell>
          <cell r="N14">
            <v>25</v>
          </cell>
        </row>
        <row r="18">
          <cell r="C18">
            <v>1927</v>
          </cell>
          <cell r="D18">
            <v>1806</v>
          </cell>
          <cell r="E18">
            <v>1834.5</v>
          </cell>
          <cell r="F18">
            <v>2015.5</v>
          </cell>
          <cell r="G18">
            <v>1765.5</v>
          </cell>
          <cell r="H18">
            <v>1696.5</v>
          </cell>
          <cell r="I18">
            <v>2013.5</v>
          </cell>
          <cell r="J18">
            <v>1764.5</v>
          </cell>
          <cell r="K18">
            <v>2081</v>
          </cell>
          <cell r="L18">
            <v>1885</v>
          </cell>
          <cell r="M18">
            <v>1395</v>
          </cell>
          <cell r="N18">
            <v>1885</v>
          </cell>
        </row>
        <row r="19">
          <cell r="C19">
            <v>2021.5</v>
          </cell>
          <cell r="D19">
            <v>1866.5</v>
          </cell>
          <cell r="E19">
            <v>1896</v>
          </cell>
          <cell r="F19">
            <v>2099</v>
          </cell>
          <cell r="G19">
            <v>1898</v>
          </cell>
          <cell r="H19">
            <v>1731</v>
          </cell>
          <cell r="I19">
            <v>2099</v>
          </cell>
          <cell r="J19">
            <v>1898</v>
          </cell>
          <cell r="K19">
            <v>2164.5</v>
          </cell>
          <cell r="L19">
            <v>1965.5</v>
          </cell>
          <cell r="M19">
            <v>1477</v>
          </cell>
          <cell r="N19">
            <v>1965.5</v>
          </cell>
        </row>
        <row r="20">
          <cell r="C20">
            <v>3948.5</v>
          </cell>
          <cell r="D20">
            <v>3672.5</v>
          </cell>
          <cell r="E20">
            <v>3730.5</v>
          </cell>
          <cell r="F20">
            <v>4114.5</v>
          </cell>
          <cell r="G20">
            <v>3663.5</v>
          </cell>
          <cell r="H20">
            <v>3427.5</v>
          </cell>
          <cell r="I20">
            <v>4112.5</v>
          </cell>
          <cell r="J20">
            <v>3662.5</v>
          </cell>
          <cell r="K20">
            <v>4245.5</v>
          </cell>
          <cell r="L20">
            <v>3850.5</v>
          </cell>
          <cell r="M20">
            <v>2872</v>
          </cell>
          <cell r="N20">
            <v>3850.5</v>
          </cell>
        </row>
        <row r="21">
          <cell r="C21">
            <v>3948.5</v>
          </cell>
          <cell r="D21">
            <v>3672.5</v>
          </cell>
          <cell r="E21">
            <v>3730.5</v>
          </cell>
          <cell r="F21">
            <v>4114.5</v>
          </cell>
          <cell r="G21">
            <v>3663.5</v>
          </cell>
          <cell r="H21">
            <v>3427.5</v>
          </cell>
          <cell r="I21">
            <v>4112.5</v>
          </cell>
          <cell r="J21">
            <v>3662.5</v>
          </cell>
          <cell r="K21">
            <v>4245.5</v>
          </cell>
          <cell r="L21">
            <v>3850.5</v>
          </cell>
          <cell r="M21">
            <v>2872</v>
          </cell>
          <cell r="N21">
            <v>3850.5</v>
          </cell>
        </row>
        <row r="25">
          <cell r="C25">
            <v>36</v>
          </cell>
          <cell r="D25">
            <v>34</v>
          </cell>
          <cell r="E25">
            <v>38</v>
          </cell>
          <cell r="F25">
            <v>42</v>
          </cell>
          <cell r="G25">
            <v>36</v>
          </cell>
          <cell r="H25">
            <v>34</v>
          </cell>
          <cell r="I25">
            <v>42</v>
          </cell>
          <cell r="J25">
            <v>36</v>
          </cell>
          <cell r="K25">
            <v>40</v>
          </cell>
          <cell r="L25">
            <v>36</v>
          </cell>
          <cell r="M25">
            <v>26</v>
          </cell>
          <cell r="N25">
            <v>36</v>
          </cell>
        </row>
        <row r="26">
          <cell r="C26">
            <v>48</v>
          </cell>
          <cell r="D26">
            <v>48</v>
          </cell>
          <cell r="E26">
            <v>48</v>
          </cell>
          <cell r="F26">
            <v>48</v>
          </cell>
          <cell r="G26">
            <v>48</v>
          </cell>
          <cell r="H26">
            <v>48</v>
          </cell>
          <cell r="I26">
            <v>48</v>
          </cell>
          <cell r="J26">
            <v>48</v>
          </cell>
          <cell r="K26">
            <v>48</v>
          </cell>
          <cell r="L26">
            <v>48</v>
          </cell>
          <cell r="M26">
            <v>48</v>
          </cell>
          <cell r="N26">
            <v>48</v>
          </cell>
        </row>
        <row r="27">
          <cell r="C27">
            <v>84</v>
          </cell>
          <cell r="D27">
            <v>82</v>
          </cell>
          <cell r="E27">
            <v>86</v>
          </cell>
          <cell r="F27">
            <v>90</v>
          </cell>
          <cell r="G27">
            <v>84</v>
          </cell>
          <cell r="H27">
            <v>82</v>
          </cell>
          <cell r="I27">
            <v>90</v>
          </cell>
          <cell r="J27">
            <v>84</v>
          </cell>
          <cell r="K27">
            <v>88</v>
          </cell>
          <cell r="L27">
            <v>84</v>
          </cell>
          <cell r="M27">
            <v>74</v>
          </cell>
          <cell r="N27">
            <v>84</v>
          </cell>
        </row>
        <row r="28">
          <cell r="C28">
            <v>84</v>
          </cell>
          <cell r="D28">
            <v>82</v>
          </cell>
          <cell r="E28">
            <v>86</v>
          </cell>
          <cell r="F28">
            <v>90</v>
          </cell>
          <cell r="G28">
            <v>84</v>
          </cell>
          <cell r="H28">
            <v>82</v>
          </cell>
          <cell r="I28">
            <v>90</v>
          </cell>
          <cell r="J28">
            <v>84</v>
          </cell>
          <cell r="K28">
            <v>88</v>
          </cell>
          <cell r="L28">
            <v>84</v>
          </cell>
          <cell r="M28">
            <v>74</v>
          </cell>
          <cell r="N28">
            <v>84</v>
          </cell>
        </row>
      </sheetData>
      <sheetData sheetId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09"/>
    </sheetNames>
    <sheetDataSet>
      <sheetData sheetId="0">
        <row r="5">
          <cell r="A5">
            <v>1412000053</v>
          </cell>
          <cell r="B5" t="str">
            <v>工程品質管理1課</v>
          </cell>
        </row>
        <row r="10">
          <cell r="C10">
            <v>2</v>
          </cell>
          <cell r="D10">
            <v>2</v>
          </cell>
          <cell r="E10">
            <v>2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  <cell r="K10">
            <v>2</v>
          </cell>
          <cell r="L10">
            <v>2</v>
          </cell>
          <cell r="M10">
            <v>2</v>
          </cell>
          <cell r="N10">
            <v>2</v>
          </cell>
        </row>
        <row r="11">
          <cell r="C11">
            <v>94</v>
          </cell>
          <cell r="D11">
            <v>94</v>
          </cell>
          <cell r="E11">
            <v>94</v>
          </cell>
          <cell r="F11">
            <v>102</v>
          </cell>
          <cell r="G11">
            <v>102</v>
          </cell>
          <cell r="H11">
            <v>102</v>
          </cell>
          <cell r="I11">
            <v>103</v>
          </cell>
          <cell r="J11">
            <v>103</v>
          </cell>
          <cell r="K11">
            <v>103</v>
          </cell>
          <cell r="L11">
            <v>110</v>
          </cell>
          <cell r="M11">
            <v>110</v>
          </cell>
          <cell r="N11">
            <v>110</v>
          </cell>
        </row>
        <row r="12">
          <cell r="C12">
            <v>102</v>
          </cell>
          <cell r="D12">
            <v>102</v>
          </cell>
          <cell r="E12">
            <v>102</v>
          </cell>
          <cell r="F12">
            <v>94</v>
          </cell>
          <cell r="G12">
            <v>94</v>
          </cell>
          <cell r="H12">
            <v>94</v>
          </cell>
          <cell r="I12">
            <v>97</v>
          </cell>
          <cell r="J12">
            <v>97</v>
          </cell>
          <cell r="K12">
            <v>97</v>
          </cell>
          <cell r="L12">
            <v>91</v>
          </cell>
          <cell r="M12">
            <v>108</v>
          </cell>
          <cell r="N12">
            <v>108</v>
          </cell>
        </row>
        <row r="13">
          <cell r="C13">
            <v>196</v>
          </cell>
          <cell r="D13">
            <v>196</v>
          </cell>
          <cell r="E13">
            <v>196</v>
          </cell>
          <cell r="F13">
            <v>196</v>
          </cell>
          <cell r="G13">
            <v>196</v>
          </cell>
          <cell r="H13">
            <v>196</v>
          </cell>
          <cell r="I13">
            <v>200</v>
          </cell>
          <cell r="J13">
            <v>200</v>
          </cell>
          <cell r="K13">
            <v>200</v>
          </cell>
          <cell r="L13">
            <v>201</v>
          </cell>
          <cell r="M13">
            <v>218</v>
          </cell>
          <cell r="N13">
            <v>218</v>
          </cell>
        </row>
        <row r="14">
          <cell r="C14">
            <v>198</v>
          </cell>
          <cell r="D14">
            <v>198</v>
          </cell>
          <cell r="E14">
            <v>198</v>
          </cell>
          <cell r="F14">
            <v>198</v>
          </cell>
          <cell r="G14">
            <v>198</v>
          </cell>
          <cell r="H14">
            <v>198</v>
          </cell>
          <cell r="I14">
            <v>202</v>
          </cell>
          <cell r="J14">
            <v>202</v>
          </cell>
          <cell r="K14">
            <v>202</v>
          </cell>
          <cell r="L14">
            <v>203</v>
          </cell>
          <cell r="M14">
            <v>220</v>
          </cell>
          <cell r="N14">
            <v>220</v>
          </cell>
        </row>
        <row r="17">
          <cell r="C17">
            <v>323</v>
          </cell>
          <cell r="D17">
            <v>323</v>
          </cell>
          <cell r="E17">
            <v>357</v>
          </cell>
          <cell r="F17">
            <v>391</v>
          </cell>
          <cell r="G17">
            <v>297.5</v>
          </cell>
          <cell r="H17">
            <v>306</v>
          </cell>
          <cell r="I17">
            <v>391</v>
          </cell>
          <cell r="J17">
            <v>340</v>
          </cell>
          <cell r="K17">
            <v>357</v>
          </cell>
          <cell r="L17">
            <v>306</v>
          </cell>
          <cell r="M17">
            <v>255</v>
          </cell>
          <cell r="N17">
            <v>340</v>
          </cell>
        </row>
        <row r="18">
          <cell r="C18">
            <v>15021</v>
          </cell>
          <cell r="D18">
            <v>14270</v>
          </cell>
          <cell r="E18">
            <v>15772</v>
          </cell>
          <cell r="F18">
            <v>18745</v>
          </cell>
          <cell r="G18">
            <v>16300</v>
          </cell>
          <cell r="H18">
            <v>15485</v>
          </cell>
          <cell r="I18">
            <v>18928</v>
          </cell>
          <cell r="J18">
            <v>16459</v>
          </cell>
          <cell r="K18">
            <v>18105</v>
          </cell>
          <cell r="L18">
            <v>17578</v>
          </cell>
          <cell r="M18">
            <v>13184</v>
          </cell>
          <cell r="N18">
            <v>17578</v>
          </cell>
        </row>
        <row r="19">
          <cell r="C19">
            <v>16300</v>
          </cell>
          <cell r="D19">
            <v>15485</v>
          </cell>
          <cell r="E19">
            <v>17115</v>
          </cell>
          <cell r="F19">
            <v>17274</v>
          </cell>
          <cell r="G19">
            <v>15021</v>
          </cell>
          <cell r="H19">
            <v>14270</v>
          </cell>
          <cell r="I19">
            <v>17826</v>
          </cell>
          <cell r="J19">
            <v>15501</v>
          </cell>
          <cell r="K19">
            <v>17051</v>
          </cell>
          <cell r="L19">
            <v>14542</v>
          </cell>
          <cell r="M19">
            <v>12944</v>
          </cell>
          <cell r="N19">
            <v>17258</v>
          </cell>
        </row>
        <row r="20">
          <cell r="C20">
            <v>31321</v>
          </cell>
          <cell r="D20">
            <v>29755</v>
          </cell>
          <cell r="E20">
            <v>32887</v>
          </cell>
          <cell r="F20">
            <v>36019</v>
          </cell>
          <cell r="G20">
            <v>31321</v>
          </cell>
          <cell r="H20">
            <v>29755</v>
          </cell>
          <cell r="I20">
            <v>36754</v>
          </cell>
          <cell r="J20">
            <v>31960</v>
          </cell>
          <cell r="K20">
            <v>35156</v>
          </cell>
          <cell r="L20">
            <v>32120</v>
          </cell>
          <cell r="M20">
            <v>26128</v>
          </cell>
          <cell r="N20">
            <v>34836</v>
          </cell>
        </row>
        <row r="21">
          <cell r="C21">
            <v>31644</v>
          </cell>
          <cell r="D21">
            <v>30078</v>
          </cell>
          <cell r="E21">
            <v>33244</v>
          </cell>
          <cell r="F21">
            <v>36410</v>
          </cell>
          <cell r="G21">
            <v>31618.5</v>
          </cell>
          <cell r="H21">
            <v>30061</v>
          </cell>
          <cell r="I21">
            <v>37145</v>
          </cell>
          <cell r="J21">
            <v>32300</v>
          </cell>
          <cell r="K21">
            <v>35513</v>
          </cell>
          <cell r="L21">
            <v>32426</v>
          </cell>
          <cell r="M21">
            <v>26383</v>
          </cell>
          <cell r="N21">
            <v>35176</v>
          </cell>
        </row>
        <row r="24">
          <cell r="C24">
            <v>76</v>
          </cell>
          <cell r="D24">
            <v>76</v>
          </cell>
          <cell r="E24">
            <v>84</v>
          </cell>
          <cell r="F24">
            <v>92</v>
          </cell>
          <cell r="G24">
            <v>70</v>
          </cell>
          <cell r="H24">
            <v>72</v>
          </cell>
          <cell r="I24">
            <v>92</v>
          </cell>
          <cell r="J24">
            <v>80</v>
          </cell>
          <cell r="K24">
            <v>84</v>
          </cell>
          <cell r="L24">
            <v>72</v>
          </cell>
          <cell r="M24">
            <v>60</v>
          </cell>
          <cell r="N24">
            <v>80</v>
          </cell>
        </row>
        <row r="25">
          <cell r="C25">
            <v>2395</v>
          </cell>
          <cell r="D25">
            <v>2389</v>
          </cell>
          <cell r="E25">
            <v>2401</v>
          </cell>
          <cell r="F25">
            <v>2613</v>
          </cell>
          <cell r="G25">
            <v>2595</v>
          </cell>
          <cell r="H25">
            <v>2589</v>
          </cell>
          <cell r="I25">
            <v>2638</v>
          </cell>
          <cell r="J25">
            <v>2620</v>
          </cell>
          <cell r="K25">
            <v>2632</v>
          </cell>
          <cell r="L25">
            <v>2795</v>
          </cell>
          <cell r="M25">
            <v>2765</v>
          </cell>
          <cell r="N25">
            <v>2795</v>
          </cell>
        </row>
        <row r="26">
          <cell r="C26">
            <v>2550</v>
          </cell>
          <cell r="D26">
            <v>2550</v>
          </cell>
          <cell r="E26">
            <v>2550</v>
          </cell>
          <cell r="F26">
            <v>2350</v>
          </cell>
          <cell r="G26">
            <v>2350</v>
          </cell>
          <cell r="H26">
            <v>2350</v>
          </cell>
          <cell r="I26">
            <v>2425</v>
          </cell>
          <cell r="J26">
            <v>2425</v>
          </cell>
          <cell r="K26">
            <v>2425</v>
          </cell>
          <cell r="L26">
            <v>2275</v>
          </cell>
          <cell r="M26">
            <v>2700</v>
          </cell>
          <cell r="N26">
            <v>2700</v>
          </cell>
        </row>
        <row r="27">
          <cell r="C27">
            <v>4945</v>
          </cell>
          <cell r="D27">
            <v>4939</v>
          </cell>
          <cell r="E27">
            <v>4951</v>
          </cell>
          <cell r="F27">
            <v>4963</v>
          </cell>
          <cell r="G27">
            <v>4945</v>
          </cell>
          <cell r="H27">
            <v>4939</v>
          </cell>
          <cell r="I27">
            <v>5063</v>
          </cell>
          <cell r="J27">
            <v>5045</v>
          </cell>
          <cell r="K27">
            <v>5057</v>
          </cell>
          <cell r="L27">
            <v>5070</v>
          </cell>
          <cell r="M27">
            <v>5465</v>
          </cell>
          <cell r="N27">
            <v>5495</v>
          </cell>
        </row>
        <row r="28">
          <cell r="C28">
            <v>5021</v>
          </cell>
          <cell r="D28">
            <v>5015</v>
          </cell>
          <cell r="E28">
            <v>5035</v>
          </cell>
          <cell r="F28">
            <v>5055</v>
          </cell>
          <cell r="G28">
            <v>5015</v>
          </cell>
          <cell r="H28">
            <v>5011</v>
          </cell>
          <cell r="I28">
            <v>5155</v>
          </cell>
          <cell r="J28">
            <v>5125</v>
          </cell>
          <cell r="K28">
            <v>5141</v>
          </cell>
          <cell r="L28">
            <v>5142</v>
          </cell>
          <cell r="M28">
            <v>5525</v>
          </cell>
          <cell r="N28">
            <v>5575</v>
          </cell>
        </row>
      </sheetData>
      <sheetData sheetId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2"/>
      <sheetName val="Sheet1"/>
    </sheetNames>
    <sheetDataSet>
      <sheetData sheetId="0">
        <row r="5">
          <cell r="A5">
            <v>1412000075</v>
          </cell>
          <cell r="B5" t="str">
            <v>工程品質管理2課</v>
          </cell>
        </row>
        <row r="11">
          <cell r="C11">
            <v>7</v>
          </cell>
          <cell r="D11">
            <v>7</v>
          </cell>
          <cell r="E11">
            <v>7</v>
          </cell>
          <cell r="F11">
            <v>7</v>
          </cell>
          <cell r="G11">
            <v>7</v>
          </cell>
          <cell r="H11">
            <v>7</v>
          </cell>
          <cell r="I11">
            <v>7</v>
          </cell>
          <cell r="J11">
            <v>7</v>
          </cell>
          <cell r="K11">
            <v>7</v>
          </cell>
          <cell r="L11">
            <v>8</v>
          </cell>
          <cell r="M11">
            <v>8</v>
          </cell>
          <cell r="N11">
            <v>8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2</v>
          </cell>
          <cell r="J12">
            <v>2</v>
          </cell>
          <cell r="K12">
            <v>2</v>
          </cell>
          <cell r="L12">
            <v>1</v>
          </cell>
          <cell r="M12">
            <v>1</v>
          </cell>
          <cell r="N12">
            <v>1</v>
          </cell>
        </row>
        <row r="13">
          <cell r="C13">
            <v>8</v>
          </cell>
          <cell r="D13">
            <v>8</v>
          </cell>
          <cell r="E13">
            <v>8</v>
          </cell>
          <cell r="F13">
            <v>8</v>
          </cell>
          <cell r="G13">
            <v>8</v>
          </cell>
          <cell r="H13">
            <v>8</v>
          </cell>
          <cell r="I13">
            <v>9</v>
          </cell>
          <cell r="J13">
            <v>9</v>
          </cell>
          <cell r="K13">
            <v>9</v>
          </cell>
          <cell r="L13">
            <v>9</v>
          </cell>
          <cell r="M13">
            <v>9</v>
          </cell>
          <cell r="N13">
            <v>9</v>
          </cell>
        </row>
        <row r="14">
          <cell r="C14">
            <v>8</v>
          </cell>
          <cell r="D14">
            <v>8</v>
          </cell>
          <cell r="E14">
            <v>8</v>
          </cell>
          <cell r="F14">
            <v>8</v>
          </cell>
          <cell r="G14">
            <v>8</v>
          </cell>
          <cell r="H14">
            <v>8</v>
          </cell>
          <cell r="I14">
            <v>9</v>
          </cell>
          <cell r="J14">
            <v>9</v>
          </cell>
          <cell r="K14">
            <v>9</v>
          </cell>
          <cell r="L14">
            <v>9</v>
          </cell>
          <cell r="M14">
            <v>9</v>
          </cell>
          <cell r="N14">
            <v>9</v>
          </cell>
        </row>
        <row r="18">
          <cell r="C18">
            <v>1131</v>
          </cell>
          <cell r="D18">
            <v>1074</v>
          </cell>
          <cell r="E18">
            <v>1187</v>
          </cell>
          <cell r="F18">
            <v>1300</v>
          </cell>
          <cell r="G18">
            <v>1131</v>
          </cell>
          <cell r="H18">
            <v>1074</v>
          </cell>
          <cell r="I18">
            <v>1300</v>
          </cell>
          <cell r="J18">
            <v>1131</v>
          </cell>
          <cell r="K18">
            <v>1244</v>
          </cell>
          <cell r="L18">
            <v>1292</v>
          </cell>
          <cell r="M18">
            <v>969</v>
          </cell>
          <cell r="N18">
            <v>1292</v>
          </cell>
        </row>
        <row r="19">
          <cell r="C19">
            <v>162</v>
          </cell>
          <cell r="D19">
            <v>153</v>
          </cell>
          <cell r="E19">
            <v>170</v>
          </cell>
          <cell r="F19">
            <v>186</v>
          </cell>
          <cell r="G19">
            <v>162</v>
          </cell>
          <cell r="H19">
            <v>153</v>
          </cell>
          <cell r="I19">
            <v>371</v>
          </cell>
          <cell r="J19">
            <v>323</v>
          </cell>
          <cell r="K19">
            <v>355</v>
          </cell>
          <cell r="L19">
            <v>162</v>
          </cell>
          <cell r="M19">
            <v>121</v>
          </cell>
          <cell r="N19">
            <v>162</v>
          </cell>
        </row>
        <row r="20">
          <cell r="C20">
            <v>1293</v>
          </cell>
          <cell r="D20">
            <v>1227</v>
          </cell>
          <cell r="E20">
            <v>1357</v>
          </cell>
          <cell r="F20">
            <v>1486</v>
          </cell>
          <cell r="G20">
            <v>1293</v>
          </cell>
          <cell r="H20">
            <v>1227</v>
          </cell>
          <cell r="I20">
            <v>1671</v>
          </cell>
          <cell r="J20">
            <v>1454</v>
          </cell>
          <cell r="K20">
            <v>1599</v>
          </cell>
          <cell r="L20">
            <v>1454</v>
          </cell>
          <cell r="M20">
            <v>1090</v>
          </cell>
          <cell r="N20">
            <v>1454</v>
          </cell>
        </row>
        <row r="21">
          <cell r="C21">
            <v>1293</v>
          </cell>
          <cell r="D21">
            <v>1227</v>
          </cell>
          <cell r="E21">
            <v>1357</v>
          </cell>
          <cell r="F21">
            <v>1486</v>
          </cell>
          <cell r="G21">
            <v>1293</v>
          </cell>
          <cell r="H21">
            <v>1227</v>
          </cell>
          <cell r="I21">
            <v>1671</v>
          </cell>
          <cell r="J21">
            <v>1454</v>
          </cell>
          <cell r="K21">
            <v>1599</v>
          </cell>
          <cell r="L21">
            <v>1454</v>
          </cell>
          <cell r="M21">
            <v>1090</v>
          </cell>
          <cell r="N21">
            <v>1454</v>
          </cell>
        </row>
        <row r="25">
          <cell r="C25">
            <v>48</v>
          </cell>
          <cell r="D25">
            <v>46</v>
          </cell>
          <cell r="E25">
            <v>50</v>
          </cell>
          <cell r="F25">
            <v>54</v>
          </cell>
          <cell r="G25">
            <v>48</v>
          </cell>
          <cell r="H25">
            <v>46</v>
          </cell>
          <cell r="I25">
            <v>54</v>
          </cell>
          <cell r="J25">
            <v>48</v>
          </cell>
          <cell r="K25">
            <v>52</v>
          </cell>
          <cell r="L25">
            <v>48</v>
          </cell>
          <cell r="M25">
            <v>38</v>
          </cell>
          <cell r="N25">
            <v>48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>
            <v>48</v>
          </cell>
          <cell r="D27">
            <v>46</v>
          </cell>
          <cell r="E27">
            <v>50</v>
          </cell>
          <cell r="F27">
            <v>54</v>
          </cell>
          <cell r="G27">
            <v>48</v>
          </cell>
          <cell r="H27">
            <v>46</v>
          </cell>
          <cell r="I27">
            <v>54</v>
          </cell>
          <cell r="J27">
            <v>48</v>
          </cell>
          <cell r="K27">
            <v>52</v>
          </cell>
          <cell r="L27">
            <v>48</v>
          </cell>
          <cell r="M27">
            <v>38</v>
          </cell>
          <cell r="N27">
            <v>48</v>
          </cell>
        </row>
        <row r="28">
          <cell r="C28">
            <v>48</v>
          </cell>
          <cell r="D28">
            <v>46</v>
          </cell>
          <cell r="E28">
            <v>50</v>
          </cell>
          <cell r="F28">
            <v>54</v>
          </cell>
          <cell r="G28">
            <v>48</v>
          </cell>
          <cell r="H28">
            <v>46</v>
          </cell>
          <cell r="I28">
            <v>54</v>
          </cell>
          <cell r="J28">
            <v>48</v>
          </cell>
          <cell r="K28">
            <v>52</v>
          </cell>
          <cell r="L28">
            <v>48</v>
          </cell>
          <cell r="M28">
            <v>38</v>
          </cell>
          <cell r="N28">
            <v>48</v>
          </cell>
        </row>
      </sheetData>
      <sheetData sheetId="1"/>
      <sheetData sheetId="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2"/>
      <sheetName val="Sheet1"/>
    </sheetNames>
    <sheetDataSet>
      <sheetData sheetId="0">
        <row r="5">
          <cell r="A5">
            <v>1412000008</v>
          </cell>
          <cell r="B5" t="str">
            <v>生産管理課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10</v>
          </cell>
          <cell r="D11">
            <v>10</v>
          </cell>
          <cell r="E11">
            <v>10</v>
          </cell>
          <cell r="F11">
            <v>10</v>
          </cell>
          <cell r="G11">
            <v>10</v>
          </cell>
          <cell r="H11">
            <v>10</v>
          </cell>
          <cell r="I11">
            <v>10</v>
          </cell>
          <cell r="J11">
            <v>10</v>
          </cell>
          <cell r="K11">
            <v>10</v>
          </cell>
          <cell r="L11">
            <v>10</v>
          </cell>
          <cell r="M11">
            <v>10</v>
          </cell>
          <cell r="N11">
            <v>10</v>
          </cell>
        </row>
        <row r="13">
          <cell r="C13">
            <v>10</v>
          </cell>
          <cell r="D13">
            <v>10</v>
          </cell>
          <cell r="E13">
            <v>10</v>
          </cell>
          <cell r="F13">
            <v>10</v>
          </cell>
          <cell r="G13">
            <v>10</v>
          </cell>
          <cell r="H13">
            <v>10</v>
          </cell>
          <cell r="I13">
            <v>10</v>
          </cell>
          <cell r="J13">
            <v>10</v>
          </cell>
          <cell r="K13">
            <v>10</v>
          </cell>
          <cell r="L13">
            <v>10</v>
          </cell>
          <cell r="M13">
            <v>10</v>
          </cell>
          <cell r="N13">
            <v>10</v>
          </cell>
        </row>
        <row r="14">
          <cell r="C14">
            <v>11</v>
          </cell>
          <cell r="D14">
            <v>11</v>
          </cell>
          <cell r="E14">
            <v>11</v>
          </cell>
          <cell r="F14">
            <v>11</v>
          </cell>
          <cell r="G14">
            <v>11</v>
          </cell>
          <cell r="H14">
            <v>11</v>
          </cell>
          <cell r="I14">
            <v>11</v>
          </cell>
          <cell r="J14">
            <v>11</v>
          </cell>
          <cell r="K14">
            <v>11</v>
          </cell>
          <cell r="L14">
            <v>11</v>
          </cell>
          <cell r="M14">
            <v>11</v>
          </cell>
          <cell r="N14">
            <v>11</v>
          </cell>
        </row>
        <row r="17">
          <cell r="C17">
            <v>170</v>
          </cell>
          <cell r="D17">
            <v>161.5</v>
          </cell>
          <cell r="E17">
            <v>136</v>
          </cell>
          <cell r="F17">
            <v>195.5</v>
          </cell>
          <cell r="G17">
            <v>170</v>
          </cell>
          <cell r="H17">
            <v>161.5</v>
          </cell>
          <cell r="I17">
            <v>195.5</v>
          </cell>
          <cell r="J17">
            <v>170</v>
          </cell>
          <cell r="K17">
            <v>144.5</v>
          </cell>
          <cell r="L17">
            <v>170</v>
          </cell>
          <cell r="M17">
            <v>127.5</v>
          </cell>
          <cell r="N17">
            <v>170</v>
          </cell>
        </row>
        <row r="18">
          <cell r="C18">
            <v>1445</v>
          </cell>
          <cell r="D18">
            <v>1534.25</v>
          </cell>
          <cell r="E18">
            <v>1700</v>
          </cell>
          <cell r="F18">
            <v>1865.75</v>
          </cell>
          <cell r="G18">
            <v>1602.25</v>
          </cell>
          <cell r="H18">
            <v>1521.5</v>
          </cell>
          <cell r="I18">
            <v>1861.5</v>
          </cell>
          <cell r="J18">
            <v>1606.5</v>
          </cell>
          <cell r="K18">
            <v>1776.5</v>
          </cell>
          <cell r="L18">
            <v>1615</v>
          </cell>
          <cell r="M18">
            <v>1190</v>
          </cell>
          <cell r="N18">
            <v>1615</v>
          </cell>
        </row>
        <row r="20">
          <cell r="C20">
            <v>1445</v>
          </cell>
          <cell r="D20">
            <v>1534.25</v>
          </cell>
          <cell r="E20">
            <v>1700</v>
          </cell>
          <cell r="F20">
            <v>1865.75</v>
          </cell>
          <cell r="G20">
            <v>1602.25</v>
          </cell>
          <cell r="H20">
            <v>1521.5</v>
          </cell>
          <cell r="I20">
            <v>1861.5</v>
          </cell>
          <cell r="J20">
            <v>1606.5</v>
          </cell>
          <cell r="K20">
            <v>1776.5</v>
          </cell>
          <cell r="L20">
            <v>1615</v>
          </cell>
          <cell r="M20">
            <v>1190</v>
          </cell>
          <cell r="N20">
            <v>1615</v>
          </cell>
        </row>
        <row r="21">
          <cell r="C21">
            <v>1615</v>
          </cell>
          <cell r="D21">
            <v>1695.75</v>
          </cell>
          <cell r="E21">
            <v>1836</v>
          </cell>
          <cell r="F21">
            <v>2061.25</v>
          </cell>
          <cell r="G21">
            <v>1772.25</v>
          </cell>
          <cell r="H21">
            <v>1683</v>
          </cell>
          <cell r="I21">
            <v>2057</v>
          </cell>
          <cell r="J21">
            <v>1776.5</v>
          </cell>
          <cell r="K21">
            <v>1921</v>
          </cell>
          <cell r="L21">
            <v>1785</v>
          </cell>
          <cell r="M21">
            <v>1317.5</v>
          </cell>
          <cell r="N21">
            <v>1785</v>
          </cell>
        </row>
        <row r="24">
          <cell r="C24">
            <v>40</v>
          </cell>
          <cell r="D24">
            <v>38</v>
          </cell>
          <cell r="E24">
            <v>32</v>
          </cell>
          <cell r="F24">
            <v>46</v>
          </cell>
          <cell r="G24">
            <v>40</v>
          </cell>
          <cell r="H24">
            <v>38</v>
          </cell>
          <cell r="I24">
            <v>46</v>
          </cell>
          <cell r="J24">
            <v>40</v>
          </cell>
          <cell r="K24">
            <v>34</v>
          </cell>
          <cell r="L24">
            <v>40</v>
          </cell>
          <cell r="M24">
            <v>30</v>
          </cell>
          <cell r="N24">
            <v>40</v>
          </cell>
        </row>
        <row r="25">
          <cell r="C25">
            <v>112</v>
          </cell>
          <cell r="D25">
            <v>108</v>
          </cell>
          <cell r="E25">
            <v>120</v>
          </cell>
          <cell r="F25">
            <v>132</v>
          </cell>
          <cell r="G25">
            <v>124</v>
          </cell>
          <cell r="H25">
            <v>108</v>
          </cell>
          <cell r="I25">
            <v>132</v>
          </cell>
          <cell r="J25">
            <v>112</v>
          </cell>
          <cell r="K25">
            <v>124</v>
          </cell>
          <cell r="L25">
            <v>114</v>
          </cell>
          <cell r="M25">
            <v>94</v>
          </cell>
          <cell r="N25">
            <v>114</v>
          </cell>
        </row>
        <row r="27">
          <cell r="C27">
            <v>112</v>
          </cell>
          <cell r="D27">
            <v>108</v>
          </cell>
          <cell r="E27">
            <v>120</v>
          </cell>
          <cell r="F27">
            <v>132</v>
          </cell>
          <cell r="G27">
            <v>124</v>
          </cell>
          <cell r="H27">
            <v>108</v>
          </cell>
          <cell r="I27">
            <v>132</v>
          </cell>
          <cell r="J27">
            <v>112</v>
          </cell>
          <cell r="K27">
            <v>124</v>
          </cell>
          <cell r="L27">
            <v>114</v>
          </cell>
          <cell r="M27">
            <v>94</v>
          </cell>
          <cell r="N27">
            <v>114</v>
          </cell>
        </row>
        <row r="28">
          <cell r="C28">
            <v>152</v>
          </cell>
          <cell r="D28">
            <v>146</v>
          </cell>
          <cell r="E28">
            <v>152</v>
          </cell>
          <cell r="F28">
            <v>178</v>
          </cell>
          <cell r="G28">
            <v>164</v>
          </cell>
          <cell r="H28">
            <v>146</v>
          </cell>
          <cell r="I28">
            <v>178</v>
          </cell>
          <cell r="J28">
            <v>152</v>
          </cell>
          <cell r="K28">
            <v>158</v>
          </cell>
          <cell r="L28">
            <v>154</v>
          </cell>
          <cell r="M28">
            <v>124</v>
          </cell>
          <cell r="N28">
            <v>154</v>
          </cell>
        </row>
      </sheetData>
      <sheetData sheetId="1"/>
      <sheetData sheetId="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>
            <v>1412000010</v>
          </cell>
          <cell r="B5" t="str">
            <v>採算管理課</v>
          </cell>
        </row>
        <row r="11">
          <cell r="C11">
            <v>6</v>
          </cell>
          <cell r="D11">
            <v>6</v>
          </cell>
          <cell r="E11">
            <v>6</v>
          </cell>
          <cell r="F11">
            <v>6</v>
          </cell>
          <cell r="G11">
            <v>6</v>
          </cell>
          <cell r="H11">
            <v>6</v>
          </cell>
          <cell r="I11">
            <v>6</v>
          </cell>
          <cell r="J11">
            <v>6</v>
          </cell>
          <cell r="K11">
            <v>6</v>
          </cell>
          <cell r="L11">
            <v>6</v>
          </cell>
          <cell r="M11">
            <v>6</v>
          </cell>
          <cell r="N11">
            <v>6</v>
          </cell>
        </row>
        <row r="13">
          <cell r="C13">
            <v>6</v>
          </cell>
          <cell r="D13">
            <v>6</v>
          </cell>
          <cell r="E13">
            <v>6</v>
          </cell>
          <cell r="F13">
            <v>6</v>
          </cell>
          <cell r="G13">
            <v>6</v>
          </cell>
          <cell r="H13">
            <v>6</v>
          </cell>
          <cell r="I13">
            <v>6</v>
          </cell>
          <cell r="J13">
            <v>6</v>
          </cell>
          <cell r="K13">
            <v>6</v>
          </cell>
          <cell r="L13">
            <v>6</v>
          </cell>
          <cell r="M13">
            <v>6</v>
          </cell>
          <cell r="N13">
            <v>6</v>
          </cell>
        </row>
        <row r="14">
          <cell r="C14">
            <v>6</v>
          </cell>
          <cell r="D14">
            <v>6</v>
          </cell>
          <cell r="E14">
            <v>6</v>
          </cell>
          <cell r="F14">
            <v>6</v>
          </cell>
          <cell r="G14">
            <v>6</v>
          </cell>
          <cell r="H14">
            <v>6</v>
          </cell>
          <cell r="I14">
            <v>6</v>
          </cell>
          <cell r="J14">
            <v>6</v>
          </cell>
          <cell r="K14">
            <v>6</v>
          </cell>
          <cell r="L14">
            <v>6</v>
          </cell>
          <cell r="M14">
            <v>6</v>
          </cell>
          <cell r="N14">
            <v>6</v>
          </cell>
        </row>
        <row r="18">
          <cell r="C18">
            <v>969</v>
          </cell>
          <cell r="D18">
            <v>918</v>
          </cell>
          <cell r="E18">
            <v>1020</v>
          </cell>
          <cell r="F18">
            <v>1122</v>
          </cell>
          <cell r="G18">
            <v>969</v>
          </cell>
          <cell r="H18">
            <v>918</v>
          </cell>
          <cell r="I18">
            <v>1122</v>
          </cell>
          <cell r="J18">
            <v>969</v>
          </cell>
          <cell r="K18">
            <v>1071</v>
          </cell>
          <cell r="L18">
            <v>969</v>
          </cell>
          <cell r="M18">
            <v>765</v>
          </cell>
          <cell r="N18">
            <v>969</v>
          </cell>
        </row>
        <row r="20">
          <cell r="C20">
            <v>969</v>
          </cell>
          <cell r="D20">
            <v>918</v>
          </cell>
          <cell r="E20">
            <v>1020</v>
          </cell>
          <cell r="F20">
            <v>1122</v>
          </cell>
          <cell r="G20">
            <v>969</v>
          </cell>
          <cell r="H20">
            <v>918</v>
          </cell>
          <cell r="I20">
            <v>1122</v>
          </cell>
          <cell r="J20">
            <v>969</v>
          </cell>
          <cell r="K20">
            <v>1071</v>
          </cell>
          <cell r="L20">
            <v>969</v>
          </cell>
          <cell r="M20">
            <v>765</v>
          </cell>
          <cell r="N20">
            <v>969</v>
          </cell>
        </row>
        <row r="21">
          <cell r="C21">
            <v>969</v>
          </cell>
          <cell r="D21">
            <v>918</v>
          </cell>
          <cell r="E21">
            <v>1020</v>
          </cell>
          <cell r="F21">
            <v>1122</v>
          </cell>
          <cell r="G21">
            <v>969</v>
          </cell>
          <cell r="H21">
            <v>918</v>
          </cell>
          <cell r="I21">
            <v>1122</v>
          </cell>
          <cell r="J21">
            <v>969</v>
          </cell>
          <cell r="K21">
            <v>1071</v>
          </cell>
          <cell r="L21">
            <v>969</v>
          </cell>
          <cell r="M21">
            <v>765</v>
          </cell>
          <cell r="N21">
            <v>969</v>
          </cell>
        </row>
        <row r="25">
          <cell r="C25">
            <v>76</v>
          </cell>
          <cell r="D25">
            <v>72</v>
          </cell>
          <cell r="E25">
            <v>80</v>
          </cell>
          <cell r="F25">
            <v>88</v>
          </cell>
          <cell r="G25">
            <v>76</v>
          </cell>
          <cell r="H25">
            <v>84.75</v>
          </cell>
          <cell r="I25">
            <v>88</v>
          </cell>
          <cell r="J25">
            <v>76</v>
          </cell>
          <cell r="K25">
            <v>84</v>
          </cell>
          <cell r="L25">
            <v>76</v>
          </cell>
          <cell r="M25">
            <v>60</v>
          </cell>
          <cell r="N25">
            <v>88.75</v>
          </cell>
        </row>
        <row r="27">
          <cell r="C27">
            <v>76</v>
          </cell>
          <cell r="D27">
            <v>72</v>
          </cell>
          <cell r="E27">
            <v>80</v>
          </cell>
          <cell r="F27">
            <v>88</v>
          </cell>
          <cell r="G27">
            <v>76</v>
          </cell>
          <cell r="H27">
            <v>84.75</v>
          </cell>
          <cell r="I27">
            <v>88</v>
          </cell>
          <cell r="J27">
            <v>76</v>
          </cell>
          <cell r="K27">
            <v>84</v>
          </cell>
          <cell r="L27">
            <v>76</v>
          </cell>
          <cell r="M27">
            <v>60</v>
          </cell>
          <cell r="N27">
            <v>88.75</v>
          </cell>
        </row>
        <row r="28">
          <cell r="C28">
            <v>76</v>
          </cell>
          <cell r="D28">
            <v>72</v>
          </cell>
          <cell r="E28">
            <v>80</v>
          </cell>
          <cell r="F28">
            <v>88</v>
          </cell>
          <cell r="G28">
            <v>76</v>
          </cell>
          <cell r="H28">
            <v>84.75</v>
          </cell>
          <cell r="I28">
            <v>88</v>
          </cell>
          <cell r="J28">
            <v>76</v>
          </cell>
          <cell r="K28">
            <v>84</v>
          </cell>
          <cell r="L28">
            <v>76</v>
          </cell>
          <cell r="M28">
            <v>60</v>
          </cell>
          <cell r="N28">
            <v>88.75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>
            <v>1412000054</v>
          </cell>
          <cell r="B5" t="str">
            <v>マスター管理課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15</v>
          </cell>
          <cell r="D11">
            <v>16</v>
          </cell>
          <cell r="E11">
            <v>16</v>
          </cell>
          <cell r="F11">
            <v>16</v>
          </cell>
          <cell r="G11">
            <v>16</v>
          </cell>
          <cell r="H11">
            <v>16</v>
          </cell>
          <cell r="I11">
            <v>16</v>
          </cell>
          <cell r="J11">
            <v>16</v>
          </cell>
          <cell r="K11">
            <v>16</v>
          </cell>
          <cell r="L11">
            <v>16</v>
          </cell>
          <cell r="M11">
            <v>16</v>
          </cell>
          <cell r="N11">
            <v>16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</row>
        <row r="13">
          <cell r="C13">
            <v>16</v>
          </cell>
          <cell r="D13">
            <v>17</v>
          </cell>
          <cell r="E13">
            <v>17</v>
          </cell>
          <cell r="F13">
            <v>17</v>
          </cell>
          <cell r="G13">
            <v>17</v>
          </cell>
          <cell r="H13">
            <v>17</v>
          </cell>
          <cell r="I13">
            <v>17</v>
          </cell>
          <cell r="J13">
            <v>17</v>
          </cell>
          <cell r="K13">
            <v>17</v>
          </cell>
          <cell r="L13">
            <v>17</v>
          </cell>
          <cell r="M13">
            <v>17</v>
          </cell>
          <cell r="N13">
            <v>17</v>
          </cell>
        </row>
        <row r="14">
          <cell r="C14">
            <v>16</v>
          </cell>
          <cell r="D14">
            <v>17</v>
          </cell>
          <cell r="E14">
            <v>17</v>
          </cell>
          <cell r="F14">
            <v>17</v>
          </cell>
          <cell r="G14">
            <v>17</v>
          </cell>
          <cell r="H14">
            <v>17</v>
          </cell>
          <cell r="I14">
            <v>17</v>
          </cell>
          <cell r="J14">
            <v>17</v>
          </cell>
          <cell r="K14">
            <v>17</v>
          </cell>
          <cell r="L14">
            <v>17</v>
          </cell>
          <cell r="M14">
            <v>17</v>
          </cell>
          <cell r="N14">
            <v>17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2246</v>
          </cell>
          <cell r="D18">
            <v>2415</v>
          </cell>
          <cell r="E18">
            <v>2685</v>
          </cell>
          <cell r="F18">
            <v>2768</v>
          </cell>
          <cell r="G18">
            <v>2388.5</v>
          </cell>
          <cell r="H18">
            <v>2262</v>
          </cell>
          <cell r="I18">
            <v>2783</v>
          </cell>
          <cell r="J18">
            <v>2422.5</v>
          </cell>
          <cell r="K18">
            <v>2677.5</v>
          </cell>
          <cell r="L18">
            <v>2569</v>
          </cell>
          <cell r="M18">
            <v>1889</v>
          </cell>
          <cell r="N18">
            <v>2569</v>
          </cell>
        </row>
        <row r="19">
          <cell r="C19">
            <v>161.5</v>
          </cell>
          <cell r="D19">
            <v>153</v>
          </cell>
          <cell r="E19">
            <v>170</v>
          </cell>
          <cell r="F19">
            <v>187</v>
          </cell>
          <cell r="G19">
            <v>161.5</v>
          </cell>
          <cell r="H19">
            <v>153</v>
          </cell>
          <cell r="I19">
            <v>187</v>
          </cell>
          <cell r="J19">
            <v>161.5</v>
          </cell>
          <cell r="K19">
            <v>178.5</v>
          </cell>
          <cell r="L19">
            <v>161.5</v>
          </cell>
          <cell r="M19">
            <v>119</v>
          </cell>
          <cell r="N19">
            <v>161.5</v>
          </cell>
        </row>
        <row r="20">
          <cell r="C20">
            <v>2407.5</v>
          </cell>
          <cell r="D20">
            <v>2568</v>
          </cell>
          <cell r="E20">
            <v>2855</v>
          </cell>
          <cell r="F20">
            <v>2955</v>
          </cell>
          <cell r="G20">
            <v>2550</v>
          </cell>
          <cell r="H20">
            <v>2415</v>
          </cell>
          <cell r="I20">
            <v>2970</v>
          </cell>
          <cell r="J20">
            <v>2584</v>
          </cell>
          <cell r="K20">
            <v>2856</v>
          </cell>
          <cell r="L20">
            <v>2730.5</v>
          </cell>
          <cell r="M20">
            <v>2008</v>
          </cell>
          <cell r="N20">
            <v>2730.5</v>
          </cell>
        </row>
        <row r="21">
          <cell r="C21">
            <v>2407.5</v>
          </cell>
          <cell r="D21">
            <v>2568</v>
          </cell>
          <cell r="E21">
            <v>2855</v>
          </cell>
          <cell r="F21">
            <v>2955</v>
          </cell>
          <cell r="G21">
            <v>2550</v>
          </cell>
          <cell r="H21">
            <v>2415</v>
          </cell>
          <cell r="I21">
            <v>2970</v>
          </cell>
          <cell r="J21">
            <v>2584</v>
          </cell>
          <cell r="K21">
            <v>2856</v>
          </cell>
          <cell r="L21">
            <v>2730.5</v>
          </cell>
          <cell r="M21">
            <v>2008</v>
          </cell>
          <cell r="N21">
            <v>2730.5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152</v>
          </cell>
          <cell r="D25">
            <v>144</v>
          </cell>
          <cell r="E25">
            <v>160</v>
          </cell>
          <cell r="F25">
            <v>176</v>
          </cell>
          <cell r="G25">
            <v>177.5</v>
          </cell>
          <cell r="H25">
            <v>144</v>
          </cell>
          <cell r="I25">
            <v>176</v>
          </cell>
          <cell r="J25">
            <v>152</v>
          </cell>
          <cell r="K25">
            <v>168</v>
          </cell>
          <cell r="L25">
            <v>152</v>
          </cell>
          <cell r="M25">
            <v>137.5</v>
          </cell>
          <cell r="N25">
            <v>152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>
            <v>152</v>
          </cell>
          <cell r="D27">
            <v>144</v>
          </cell>
          <cell r="E27">
            <v>160</v>
          </cell>
          <cell r="F27">
            <v>176</v>
          </cell>
          <cell r="G27">
            <v>177.5</v>
          </cell>
          <cell r="H27">
            <v>144</v>
          </cell>
          <cell r="I27">
            <v>176</v>
          </cell>
          <cell r="J27">
            <v>152</v>
          </cell>
          <cell r="K27">
            <v>168</v>
          </cell>
          <cell r="L27">
            <v>152</v>
          </cell>
          <cell r="M27">
            <v>137.5</v>
          </cell>
          <cell r="N27">
            <v>152</v>
          </cell>
        </row>
        <row r="28">
          <cell r="C28">
            <v>152</v>
          </cell>
          <cell r="D28">
            <v>144</v>
          </cell>
          <cell r="E28">
            <v>160</v>
          </cell>
          <cell r="F28">
            <v>176</v>
          </cell>
          <cell r="G28">
            <v>177.5</v>
          </cell>
          <cell r="H28">
            <v>144</v>
          </cell>
          <cell r="I28">
            <v>176</v>
          </cell>
          <cell r="J28">
            <v>152</v>
          </cell>
          <cell r="K28">
            <v>168</v>
          </cell>
          <cell r="L28">
            <v>152</v>
          </cell>
          <cell r="M28">
            <v>137.5</v>
          </cell>
          <cell r="N28">
            <v>152</v>
          </cell>
        </row>
      </sheetData>
      <sheetData sheetId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61"/>
    </sheetNames>
    <sheetDataSet>
      <sheetData sheetId="0">
        <row r="5">
          <cell r="A5">
            <v>1412000094</v>
          </cell>
          <cell r="B5" t="str">
            <v>OC管理課</v>
          </cell>
        </row>
        <row r="11">
          <cell r="C11">
            <v>3</v>
          </cell>
          <cell r="D11">
            <v>3</v>
          </cell>
          <cell r="E11">
            <v>3</v>
          </cell>
          <cell r="F11">
            <v>3</v>
          </cell>
          <cell r="G11">
            <v>3</v>
          </cell>
          <cell r="H11">
            <v>3</v>
          </cell>
          <cell r="I11">
            <v>3</v>
          </cell>
          <cell r="J11">
            <v>3</v>
          </cell>
          <cell r="K11">
            <v>3</v>
          </cell>
          <cell r="L11">
            <v>3</v>
          </cell>
          <cell r="M11">
            <v>3</v>
          </cell>
          <cell r="N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3</v>
          </cell>
          <cell r="D13">
            <v>3</v>
          </cell>
          <cell r="E13">
            <v>3</v>
          </cell>
          <cell r="F13">
            <v>3</v>
          </cell>
          <cell r="G13">
            <v>3</v>
          </cell>
          <cell r="H13">
            <v>3</v>
          </cell>
          <cell r="I13">
            <v>3</v>
          </cell>
          <cell r="J13">
            <v>3</v>
          </cell>
          <cell r="K13">
            <v>3</v>
          </cell>
          <cell r="L13">
            <v>3</v>
          </cell>
          <cell r="M13">
            <v>3</v>
          </cell>
          <cell r="N13">
            <v>3</v>
          </cell>
        </row>
        <row r="14">
          <cell r="C14">
            <v>3</v>
          </cell>
          <cell r="D14">
            <v>3</v>
          </cell>
          <cell r="E14">
            <v>3</v>
          </cell>
          <cell r="F14">
            <v>3</v>
          </cell>
          <cell r="G14">
            <v>3</v>
          </cell>
          <cell r="H14">
            <v>3</v>
          </cell>
          <cell r="I14">
            <v>3</v>
          </cell>
          <cell r="J14">
            <v>3</v>
          </cell>
          <cell r="K14">
            <v>3</v>
          </cell>
          <cell r="L14">
            <v>3</v>
          </cell>
          <cell r="M14">
            <v>3</v>
          </cell>
          <cell r="N14">
            <v>3</v>
          </cell>
        </row>
        <row r="18">
          <cell r="C18">
            <v>510</v>
          </cell>
          <cell r="D18">
            <v>484.5</v>
          </cell>
          <cell r="E18">
            <v>535.5</v>
          </cell>
          <cell r="F18">
            <v>586.5</v>
          </cell>
          <cell r="G18">
            <v>510</v>
          </cell>
          <cell r="H18">
            <v>484.5</v>
          </cell>
          <cell r="I18">
            <v>586.5</v>
          </cell>
          <cell r="J18">
            <v>510</v>
          </cell>
          <cell r="K18">
            <v>561</v>
          </cell>
          <cell r="L18">
            <v>510</v>
          </cell>
          <cell r="M18">
            <v>382.5</v>
          </cell>
          <cell r="N18">
            <v>510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510</v>
          </cell>
          <cell r="D20">
            <v>484.5</v>
          </cell>
          <cell r="E20">
            <v>535.5</v>
          </cell>
          <cell r="F20">
            <v>586.5</v>
          </cell>
          <cell r="G20">
            <v>510</v>
          </cell>
          <cell r="H20">
            <v>484.5</v>
          </cell>
          <cell r="I20">
            <v>586.5</v>
          </cell>
          <cell r="J20">
            <v>510</v>
          </cell>
          <cell r="K20">
            <v>561</v>
          </cell>
          <cell r="L20">
            <v>510</v>
          </cell>
          <cell r="M20">
            <v>382.5</v>
          </cell>
          <cell r="N20">
            <v>510</v>
          </cell>
        </row>
        <row r="21">
          <cell r="C21">
            <v>510</v>
          </cell>
          <cell r="D21">
            <v>484.5</v>
          </cell>
          <cell r="E21">
            <v>535.5</v>
          </cell>
          <cell r="F21">
            <v>586.5</v>
          </cell>
          <cell r="G21">
            <v>510</v>
          </cell>
          <cell r="H21">
            <v>484.5</v>
          </cell>
          <cell r="I21">
            <v>586.5</v>
          </cell>
          <cell r="J21">
            <v>510</v>
          </cell>
          <cell r="K21">
            <v>561</v>
          </cell>
          <cell r="L21">
            <v>510</v>
          </cell>
          <cell r="M21">
            <v>382.5</v>
          </cell>
          <cell r="N21">
            <v>510</v>
          </cell>
        </row>
        <row r="25">
          <cell r="C25">
            <v>40</v>
          </cell>
          <cell r="D25">
            <v>38</v>
          </cell>
          <cell r="E25">
            <v>42</v>
          </cell>
          <cell r="F25">
            <v>46</v>
          </cell>
          <cell r="G25">
            <v>40</v>
          </cell>
          <cell r="H25">
            <v>38</v>
          </cell>
          <cell r="I25">
            <v>46</v>
          </cell>
          <cell r="J25">
            <v>40</v>
          </cell>
          <cell r="K25">
            <v>44</v>
          </cell>
          <cell r="L25">
            <v>40</v>
          </cell>
          <cell r="M25">
            <v>30</v>
          </cell>
          <cell r="N25">
            <v>40</v>
          </cell>
        </row>
        <row r="26">
          <cell r="G26">
            <v>4</v>
          </cell>
          <cell r="M26">
            <v>4</v>
          </cell>
        </row>
        <row r="27">
          <cell r="C27">
            <v>40</v>
          </cell>
          <cell r="D27">
            <v>38</v>
          </cell>
          <cell r="E27">
            <v>42</v>
          </cell>
          <cell r="F27">
            <v>46</v>
          </cell>
          <cell r="G27">
            <v>44</v>
          </cell>
          <cell r="H27">
            <v>38</v>
          </cell>
          <cell r="I27">
            <v>46</v>
          </cell>
          <cell r="J27">
            <v>40</v>
          </cell>
          <cell r="K27">
            <v>44</v>
          </cell>
          <cell r="L27">
            <v>40</v>
          </cell>
          <cell r="M27">
            <v>34</v>
          </cell>
          <cell r="N27">
            <v>40</v>
          </cell>
        </row>
        <row r="28">
          <cell r="C28">
            <v>40</v>
          </cell>
          <cell r="D28">
            <v>38</v>
          </cell>
          <cell r="E28">
            <v>42</v>
          </cell>
          <cell r="F28">
            <v>46</v>
          </cell>
          <cell r="G28">
            <v>44</v>
          </cell>
          <cell r="H28">
            <v>38</v>
          </cell>
          <cell r="I28">
            <v>46</v>
          </cell>
          <cell r="J28">
            <v>40</v>
          </cell>
          <cell r="K28">
            <v>44</v>
          </cell>
          <cell r="L28">
            <v>40</v>
          </cell>
          <cell r="M28">
            <v>34</v>
          </cell>
          <cell r="N28">
            <v>40</v>
          </cell>
        </row>
      </sheetData>
      <sheetData sheetId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13"/>
      <sheetName val="Kế hoạch số người - thời gian"/>
    </sheetNames>
    <sheetDataSet>
      <sheetData sheetId="0">
        <row r="5">
          <cell r="A5">
            <v>1412000036</v>
          </cell>
          <cell r="B5" t="str">
            <v>部品管理課</v>
          </cell>
        </row>
        <row r="11">
          <cell r="C11">
            <v>35</v>
          </cell>
          <cell r="D11">
            <v>35</v>
          </cell>
          <cell r="E11">
            <v>35</v>
          </cell>
          <cell r="F11">
            <v>38</v>
          </cell>
          <cell r="G11">
            <v>38</v>
          </cell>
          <cell r="H11">
            <v>38</v>
          </cell>
          <cell r="I11">
            <v>38</v>
          </cell>
          <cell r="J11">
            <v>38</v>
          </cell>
          <cell r="K11">
            <v>38</v>
          </cell>
          <cell r="L11">
            <v>38</v>
          </cell>
          <cell r="M11">
            <v>38</v>
          </cell>
          <cell r="N11">
            <v>38</v>
          </cell>
        </row>
        <row r="12">
          <cell r="C12">
            <v>348</v>
          </cell>
          <cell r="D12">
            <v>344</v>
          </cell>
          <cell r="E12">
            <v>342</v>
          </cell>
          <cell r="F12">
            <v>337</v>
          </cell>
          <cell r="G12">
            <v>337</v>
          </cell>
          <cell r="H12">
            <v>336</v>
          </cell>
          <cell r="I12">
            <v>334</v>
          </cell>
          <cell r="J12">
            <v>332</v>
          </cell>
          <cell r="K12">
            <v>330</v>
          </cell>
          <cell r="L12">
            <v>346</v>
          </cell>
          <cell r="M12">
            <v>361</v>
          </cell>
          <cell r="N12">
            <v>359</v>
          </cell>
        </row>
        <row r="13">
          <cell r="C13">
            <v>383</v>
          </cell>
          <cell r="D13">
            <v>379</v>
          </cell>
          <cell r="E13">
            <v>377</v>
          </cell>
          <cell r="F13">
            <v>375</v>
          </cell>
          <cell r="G13">
            <v>375</v>
          </cell>
          <cell r="H13">
            <v>374</v>
          </cell>
          <cell r="I13">
            <v>372</v>
          </cell>
          <cell r="J13">
            <v>370</v>
          </cell>
          <cell r="K13">
            <v>368</v>
          </cell>
          <cell r="L13">
            <v>384</v>
          </cell>
          <cell r="M13">
            <v>399</v>
          </cell>
          <cell r="N13">
            <v>397</v>
          </cell>
        </row>
        <row r="14">
          <cell r="C14">
            <v>383</v>
          </cell>
          <cell r="D14">
            <v>379</v>
          </cell>
          <cell r="E14">
            <v>377</v>
          </cell>
          <cell r="F14">
            <v>375</v>
          </cell>
          <cell r="G14">
            <v>375</v>
          </cell>
          <cell r="H14">
            <v>374</v>
          </cell>
          <cell r="I14">
            <v>372</v>
          </cell>
          <cell r="J14">
            <v>370</v>
          </cell>
          <cell r="K14">
            <v>368</v>
          </cell>
          <cell r="L14">
            <v>384</v>
          </cell>
          <cell r="M14">
            <v>399</v>
          </cell>
          <cell r="N14">
            <v>397</v>
          </cell>
        </row>
        <row r="18">
          <cell r="C18">
            <v>5780</v>
          </cell>
          <cell r="D18">
            <v>5491</v>
          </cell>
          <cell r="E18">
            <v>6069</v>
          </cell>
          <cell r="F18">
            <v>7233.5</v>
          </cell>
          <cell r="G18">
            <v>6290</v>
          </cell>
          <cell r="H18">
            <v>5975.5</v>
          </cell>
          <cell r="I18">
            <v>7233.5</v>
          </cell>
          <cell r="J18">
            <v>6290</v>
          </cell>
          <cell r="K18">
            <v>6919</v>
          </cell>
          <cell r="L18">
            <v>6290</v>
          </cell>
          <cell r="M18">
            <v>4717.5</v>
          </cell>
          <cell r="N18">
            <v>6290</v>
          </cell>
        </row>
        <row r="19">
          <cell r="C19">
            <v>54060</v>
          </cell>
          <cell r="D19">
            <v>50711</v>
          </cell>
          <cell r="E19">
            <v>55692</v>
          </cell>
          <cell r="F19">
            <v>58981.5</v>
          </cell>
          <cell r="G19">
            <v>50464.5</v>
          </cell>
          <cell r="H19">
            <v>50923.5</v>
          </cell>
          <cell r="I19">
            <v>60681.5</v>
          </cell>
          <cell r="J19">
            <v>51340</v>
          </cell>
          <cell r="K19">
            <v>56100</v>
          </cell>
          <cell r="L19">
            <v>52691.5</v>
          </cell>
          <cell r="M19">
            <v>43979</v>
          </cell>
          <cell r="N19">
            <v>56202</v>
          </cell>
        </row>
        <row r="20">
          <cell r="C20">
            <v>59840</v>
          </cell>
          <cell r="D20">
            <v>56202</v>
          </cell>
          <cell r="E20">
            <v>61761</v>
          </cell>
          <cell r="F20">
            <v>66215</v>
          </cell>
          <cell r="G20">
            <v>56754.5</v>
          </cell>
          <cell r="H20">
            <v>56899</v>
          </cell>
          <cell r="I20">
            <v>67915</v>
          </cell>
          <cell r="J20">
            <v>57630</v>
          </cell>
          <cell r="K20">
            <v>63019</v>
          </cell>
          <cell r="L20">
            <v>58981.5</v>
          </cell>
          <cell r="M20">
            <v>48696.5</v>
          </cell>
          <cell r="N20">
            <v>62492</v>
          </cell>
        </row>
        <row r="21">
          <cell r="C21">
            <v>59840</v>
          </cell>
          <cell r="D21">
            <v>56202</v>
          </cell>
          <cell r="E21">
            <v>61761</v>
          </cell>
          <cell r="F21">
            <v>66215</v>
          </cell>
          <cell r="G21">
            <v>56754.5</v>
          </cell>
          <cell r="H21">
            <v>56899</v>
          </cell>
          <cell r="I21">
            <v>67915</v>
          </cell>
          <cell r="J21">
            <v>57630</v>
          </cell>
          <cell r="K21">
            <v>63019</v>
          </cell>
          <cell r="L21">
            <v>58981.5</v>
          </cell>
          <cell r="M21">
            <v>48696.5</v>
          </cell>
          <cell r="N21">
            <v>62492</v>
          </cell>
        </row>
        <row r="25">
          <cell r="C25">
            <v>120</v>
          </cell>
          <cell r="D25">
            <v>114</v>
          </cell>
          <cell r="E25">
            <v>126</v>
          </cell>
          <cell r="F25">
            <v>138</v>
          </cell>
          <cell r="G25">
            <v>443</v>
          </cell>
          <cell r="H25">
            <v>199</v>
          </cell>
          <cell r="I25">
            <v>223</v>
          </cell>
          <cell r="J25">
            <v>205</v>
          </cell>
          <cell r="K25">
            <v>217</v>
          </cell>
          <cell r="L25">
            <v>205</v>
          </cell>
          <cell r="M25">
            <v>413</v>
          </cell>
          <cell r="N25">
            <v>205</v>
          </cell>
        </row>
        <row r="26">
          <cell r="G26">
            <v>1922</v>
          </cell>
          <cell r="H26">
            <v>2593</v>
          </cell>
          <cell r="I26">
            <v>2619</v>
          </cell>
          <cell r="J26">
            <v>1249</v>
          </cell>
          <cell r="K26">
            <v>2988</v>
          </cell>
          <cell r="L26">
            <v>3852</v>
          </cell>
          <cell r="M26">
            <v>3456</v>
          </cell>
          <cell r="N26">
            <v>3951</v>
          </cell>
        </row>
        <row r="27">
          <cell r="C27">
            <v>120</v>
          </cell>
          <cell r="D27">
            <v>114</v>
          </cell>
          <cell r="E27">
            <v>126</v>
          </cell>
          <cell r="F27">
            <v>138</v>
          </cell>
          <cell r="G27">
            <v>2365</v>
          </cell>
          <cell r="H27">
            <v>2792</v>
          </cell>
          <cell r="I27">
            <v>2842</v>
          </cell>
          <cell r="J27">
            <v>1454</v>
          </cell>
          <cell r="K27">
            <v>3205</v>
          </cell>
          <cell r="L27">
            <v>4057</v>
          </cell>
          <cell r="M27">
            <v>3869</v>
          </cell>
          <cell r="N27">
            <v>4156</v>
          </cell>
        </row>
        <row r="28">
          <cell r="C28">
            <v>120</v>
          </cell>
          <cell r="D28">
            <v>114</v>
          </cell>
          <cell r="E28">
            <v>126</v>
          </cell>
          <cell r="F28">
            <v>138</v>
          </cell>
          <cell r="G28">
            <v>2365</v>
          </cell>
          <cell r="H28">
            <v>2792</v>
          </cell>
          <cell r="I28">
            <v>2842</v>
          </cell>
          <cell r="J28">
            <v>1454</v>
          </cell>
          <cell r="K28">
            <v>3205</v>
          </cell>
          <cell r="L28">
            <v>4057</v>
          </cell>
          <cell r="M28">
            <v>3869</v>
          </cell>
          <cell r="N28">
            <v>4156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>
            <v>1412000073</v>
          </cell>
          <cell r="B5" t="str">
            <v>物流管理課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12</v>
          </cell>
          <cell r="D11">
            <v>12</v>
          </cell>
          <cell r="E11">
            <v>12</v>
          </cell>
          <cell r="F11">
            <v>12</v>
          </cell>
          <cell r="G11">
            <v>12</v>
          </cell>
          <cell r="H11">
            <v>12</v>
          </cell>
          <cell r="I11">
            <v>12</v>
          </cell>
          <cell r="J11">
            <v>12</v>
          </cell>
          <cell r="K11">
            <v>12</v>
          </cell>
          <cell r="L11">
            <v>12</v>
          </cell>
          <cell r="M11">
            <v>12</v>
          </cell>
          <cell r="N11">
            <v>12</v>
          </cell>
        </row>
        <row r="12">
          <cell r="C12">
            <v>5</v>
          </cell>
          <cell r="D12">
            <v>5</v>
          </cell>
          <cell r="E12">
            <v>5</v>
          </cell>
          <cell r="F12">
            <v>5</v>
          </cell>
          <cell r="G12">
            <v>5</v>
          </cell>
          <cell r="H12">
            <v>5</v>
          </cell>
          <cell r="I12">
            <v>5</v>
          </cell>
          <cell r="J12">
            <v>5</v>
          </cell>
          <cell r="K12">
            <v>5</v>
          </cell>
          <cell r="L12">
            <v>5</v>
          </cell>
          <cell r="M12">
            <v>5</v>
          </cell>
          <cell r="N12">
            <v>5</v>
          </cell>
        </row>
        <row r="13">
          <cell r="C13">
            <v>17</v>
          </cell>
          <cell r="D13">
            <v>17</v>
          </cell>
          <cell r="E13">
            <v>17</v>
          </cell>
          <cell r="F13">
            <v>17</v>
          </cell>
          <cell r="G13">
            <v>17</v>
          </cell>
          <cell r="H13">
            <v>17</v>
          </cell>
          <cell r="I13">
            <v>17</v>
          </cell>
          <cell r="J13">
            <v>17</v>
          </cell>
          <cell r="K13">
            <v>17</v>
          </cell>
          <cell r="L13">
            <v>17</v>
          </cell>
          <cell r="M13">
            <v>17</v>
          </cell>
          <cell r="N13">
            <v>17</v>
          </cell>
        </row>
        <row r="14">
          <cell r="C14">
            <v>18</v>
          </cell>
          <cell r="D14">
            <v>18</v>
          </cell>
          <cell r="E14">
            <v>18</v>
          </cell>
          <cell r="F14">
            <v>18</v>
          </cell>
          <cell r="G14">
            <v>18</v>
          </cell>
          <cell r="H14">
            <v>18</v>
          </cell>
          <cell r="I14">
            <v>18</v>
          </cell>
          <cell r="J14">
            <v>18</v>
          </cell>
          <cell r="K14">
            <v>18</v>
          </cell>
          <cell r="L14">
            <v>18</v>
          </cell>
          <cell r="M14">
            <v>18</v>
          </cell>
          <cell r="N14">
            <v>18</v>
          </cell>
        </row>
        <row r="17">
          <cell r="C17">
            <v>170</v>
          </cell>
          <cell r="D17">
            <v>161.5</v>
          </cell>
          <cell r="E17">
            <v>178.5</v>
          </cell>
          <cell r="F17">
            <v>195.5</v>
          </cell>
          <cell r="G17">
            <v>170</v>
          </cell>
          <cell r="H17">
            <v>161.5</v>
          </cell>
          <cell r="I17">
            <v>195.5</v>
          </cell>
          <cell r="J17">
            <v>170</v>
          </cell>
          <cell r="K17">
            <v>187</v>
          </cell>
          <cell r="L17">
            <v>170</v>
          </cell>
          <cell r="M17">
            <v>127.5</v>
          </cell>
          <cell r="N17">
            <v>170</v>
          </cell>
        </row>
        <row r="18">
          <cell r="C18">
            <v>1870</v>
          </cell>
          <cell r="D18">
            <v>1742.5</v>
          </cell>
          <cell r="E18">
            <v>1929.5</v>
          </cell>
          <cell r="F18">
            <v>2082.5</v>
          </cell>
          <cell r="G18">
            <v>1666</v>
          </cell>
          <cell r="H18">
            <v>1581</v>
          </cell>
          <cell r="I18">
            <v>1921</v>
          </cell>
          <cell r="J18">
            <v>1836</v>
          </cell>
          <cell r="K18">
            <v>2023</v>
          </cell>
          <cell r="L18">
            <v>1836</v>
          </cell>
          <cell r="M18">
            <v>1496</v>
          </cell>
          <cell r="N18">
            <v>2006</v>
          </cell>
        </row>
        <row r="19">
          <cell r="C19">
            <v>833</v>
          </cell>
          <cell r="D19">
            <v>790.5</v>
          </cell>
          <cell r="E19">
            <v>875.5</v>
          </cell>
          <cell r="F19">
            <v>960.5</v>
          </cell>
          <cell r="G19">
            <v>833</v>
          </cell>
          <cell r="H19">
            <v>790.5</v>
          </cell>
          <cell r="I19">
            <v>960.5</v>
          </cell>
          <cell r="J19">
            <v>833</v>
          </cell>
          <cell r="K19">
            <v>918</v>
          </cell>
          <cell r="L19">
            <v>833</v>
          </cell>
          <cell r="M19">
            <v>620.5</v>
          </cell>
          <cell r="N19">
            <v>833</v>
          </cell>
        </row>
        <row r="20">
          <cell r="C20">
            <v>2703</v>
          </cell>
          <cell r="D20">
            <v>2533</v>
          </cell>
          <cell r="E20">
            <v>2805</v>
          </cell>
          <cell r="F20">
            <v>3043</v>
          </cell>
          <cell r="G20">
            <v>2499</v>
          </cell>
          <cell r="H20">
            <v>2371.5</v>
          </cell>
          <cell r="I20">
            <v>2881.5</v>
          </cell>
          <cell r="J20">
            <v>2669</v>
          </cell>
          <cell r="K20">
            <v>2941</v>
          </cell>
          <cell r="L20">
            <v>2669</v>
          </cell>
          <cell r="M20">
            <v>2116.5</v>
          </cell>
          <cell r="N20">
            <v>2839</v>
          </cell>
        </row>
        <row r="21">
          <cell r="C21">
            <v>2873</v>
          </cell>
          <cell r="D21">
            <v>2694.5</v>
          </cell>
          <cell r="E21">
            <v>2983.5</v>
          </cell>
          <cell r="F21">
            <v>3238.5</v>
          </cell>
          <cell r="G21">
            <v>2669</v>
          </cell>
          <cell r="H21">
            <v>2533</v>
          </cell>
          <cell r="I21">
            <v>3077</v>
          </cell>
          <cell r="J21">
            <v>2839</v>
          </cell>
          <cell r="K21">
            <v>3128</v>
          </cell>
          <cell r="L21">
            <v>2839</v>
          </cell>
          <cell r="M21">
            <v>2244</v>
          </cell>
          <cell r="N21">
            <v>3009</v>
          </cell>
        </row>
        <row r="24">
          <cell r="C24">
            <v>40</v>
          </cell>
          <cell r="D24">
            <v>38</v>
          </cell>
          <cell r="E24">
            <v>42</v>
          </cell>
          <cell r="F24">
            <v>46</v>
          </cell>
          <cell r="G24">
            <v>40</v>
          </cell>
          <cell r="H24">
            <v>38</v>
          </cell>
          <cell r="I24">
            <v>46</v>
          </cell>
          <cell r="J24">
            <v>40</v>
          </cell>
          <cell r="K24">
            <v>44</v>
          </cell>
          <cell r="L24">
            <v>40</v>
          </cell>
          <cell r="M24">
            <v>30</v>
          </cell>
          <cell r="N24">
            <v>40</v>
          </cell>
        </row>
        <row r="25">
          <cell r="G25">
            <v>16</v>
          </cell>
          <cell r="M25">
            <v>16</v>
          </cell>
        </row>
        <row r="26">
          <cell r="G26">
            <v>4</v>
          </cell>
          <cell r="M26">
            <v>2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20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18</v>
          </cell>
          <cell r="N27">
            <v>0</v>
          </cell>
        </row>
        <row r="28">
          <cell r="C28">
            <v>40</v>
          </cell>
          <cell r="D28">
            <v>38</v>
          </cell>
          <cell r="E28">
            <v>42</v>
          </cell>
          <cell r="F28">
            <v>46</v>
          </cell>
          <cell r="G28">
            <v>60</v>
          </cell>
          <cell r="H28">
            <v>38</v>
          </cell>
          <cell r="I28">
            <v>46</v>
          </cell>
          <cell r="J28">
            <v>40</v>
          </cell>
          <cell r="K28">
            <v>44</v>
          </cell>
          <cell r="L28">
            <v>40</v>
          </cell>
          <cell r="M28">
            <v>48</v>
          </cell>
          <cell r="N28">
            <v>40</v>
          </cell>
        </row>
      </sheetData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2"/>
      <sheetName val="Sheet1"/>
    </sheetNames>
    <sheetDataSet>
      <sheetData sheetId="0">
        <row r="5">
          <cell r="A5">
            <v>1412000006</v>
          </cell>
          <cell r="B5" t="str">
            <v>メカ製造技術1課</v>
          </cell>
        </row>
        <row r="11">
          <cell r="C11">
            <v>14</v>
          </cell>
          <cell r="D11">
            <v>14</v>
          </cell>
          <cell r="E11">
            <v>14</v>
          </cell>
          <cell r="F11">
            <v>14</v>
          </cell>
          <cell r="G11">
            <v>15</v>
          </cell>
          <cell r="H11">
            <v>15</v>
          </cell>
          <cell r="I11">
            <v>15</v>
          </cell>
          <cell r="J11">
            <v>15</v>
          </cell>
          <cell r="K11">
            <v>15</v>
          </cell>
          <cell r="L11">
            <v>15</v>
          </cell>
          <cell r="M11">
            <v>15</v>
          </cell>
          <cell r="N11">
            <v>15</v>
          </cell>
        </row>
        <row r="13">
          <cell r="C13">
            <v>14</v>
          </cell>
          <cell r="D13">
            <v>14</v>
          </cell>
          <cell r="E13">
            <v>14</v>
          </cell>
          <cell r="F13">
            <v>14</v>
          </cell>
          <cell r="G13">
            <v>15</v>
          </cell>
          <cell r="H13">
            <v>15</v>
          </cell>
          <cell r="I13">
            <v>15</v>
          </cell>
          <cell r="J13">
            <v>15</v>
          </cell>
          <cell r="K13">
            <v>15</v>
          </cell>
          <cell r="L13">
            <v>15</v>
          </cell>
          <cell r="M13">
            <v>15</v>
          </cell>
          <cell r="N13">
            <v>15</v>
          </cell>
        </row>
        <row r="14">
          <cell r="C14">
            <v>14</v>
          </cell>
          <cell r="D14">
            <v>14</v>
          </cell>
          <cell r="E14">
            <v>14</v>
          </cell>
          <cell r="F14">
            <v>14</v>
          </cell>
          <cell r="G14">
            <v>15</v>
          </cell>
          <cell r="H14">
            <v>15</v>
          </cell>
          <cell r="I14">
            <v>15</v>
          </cell>
          <cell r="J14">
            <v>15</v>
          </cell>
          <cell r="K14">
            <v>15</v>
          </cell>
          <cell r="L14">
            <v>15</v>
          </cell>
          <cell r="M14">
            <v>15</v>
          </cell>
          <cell r="N14">
            <v>15</v>
          </cell>
        </row>
        <row r="18">
          <cell r="C18">
            <v>2303.5</v>
          </cell>
          <cell r="D18">
            <v>2184.5</v>
          </cell>
          <cell r="E18">
            <v>2422.5</v>
          </cell>
          <cell r="F18">
            <v>2660.5</v>
          </cell>
          <cell r="G18">
            <v>2465</v>
          </cell>
          <cell r="H18">
            <v>2337.5</v>
          </cell>
          <cell r="I18">
            <v>2847.5</v>
          </cell>
          <cell r="J18">
            <v>2465</v>
          </cell>
          <cell r="K18">
            <v>2720</v>
          </cell>
          <cell r="L18">
            <v>2465</v>
          </cell>
          <cell r="M18">
            <v>1827.5</v>
          </cell>
          <cell r="N18">
            <v>2465</v>
          </cell>
        </row>
        <row r="20">
          <cell r="C20">
            <v>2303.5</v>
          </cell>
          <cell r="D20">
            <v>2184.5</v>
          </cell>
          <cell r="E20">
            <v>2422.5</v>
          </cell>
          <cell r="F20">
            <v>2660.5</v>
          </cell>
          <cell r="G20">
            <v>2465</v>
          </cell>
          <cell r="H20">
            <v>2337.5</v>
          </cell>
          <cell r="I20">
            <v>2847.5</v>
          </cell>
          <cell r="J20">
            <v>2465</v>
          </cell>
          <cell r="K20">
            <v>2720</v>
          </cell>
          <cell r="L20">
            <v>2465</v>
          </cell>
          <cell r="M20">
            <v>1827.5</v>
          </cell>
          <cell r="N20">
            <v>2465</v>
          </cell>
        </row>
        <row r="21">
          <cell r="C21">
            <v>2303.5</v>
          </cell>
          <cell r="D21">
            <v>2184.5</v>
          </cell>
          <cell r="E21">
            <v>2422.5</v>
          </cell>
          <cell r="F21">
            <v>2660.5</v>
          </cell>
          <cell r="G21">
            <v>2465</v>
          </cell>
          <cell r="H21">
            <v>2337.5</v>
          </cell>
          <cell r="I21">
            <v>2847.5</v>
          </cell>
          <cell r="J21">
            <v>2465</v>
          </cell>
          <cell r="K21">
            <v>2720</v>
          </cell>
          <cell r="L21">
            <v>2465</v>
          </cell>
          <cell r="M21">
            <v>1827.5</v>
          </cell>
          <cell r="N21">
            <v>2465</v>
          </cell>
        </row>
        <row r="25">
          <cell r="C25">
            <v>130</v>
          </cell>
          <cell r="D25">
            <v>128</v>
          </cell>
          <cell r="E25">
            <v>82</v>
          </cell>
          <cell r="F25">
            <v>144</v>
          </cell>
          <cell r="G25">
            <v>132</v>
          </cell>
          <cell r="H25">
            <v>126</v>
          </cell>
          <cell r="I25">
            <v>198</v>
          </cell>
          <cell r="J25">
            <v>78</v>
          </cell>
          <cell r="K25">
            <v>84</v>
          </cell>
          <cell r="L25">
            <v>76</v>
          </cell>
          <cell r="M25">
            <v>164</v>
          </cell>
          <cell r="N25">
            <v>78</v>
          </cell>
        </row>
        <row r="27">
          <cell r="C27">
            <v>130</v>
          </cell>
          <cell r="D27">
            <v>128</v>
          </cell>
          <cell r="E27">
            <v>82</v>
          </cell>
          <cell r="F27">
            <v>144</v>
          </cell>
          <cell r="G27">
            <v>132</v>
          </cell>
          <cell r="H27">
            <v>126</v>
          </cell>
          <cell r="I27">
            <v>198</v>
          </cell>
          <cell r="J27">
            <v>78</v>
          </cell>
          <cell r="K27">
            <v>84</v>
          </cell>
          <cell r="L27">
            <v>76</v>
          </cell>
          <cell r="M27">
            <v>164</v>
          </cell>
          <cell r="N27">
            <v>78</v>
          </cell>
        </row>
        <row r="28">
          <cell r="C28">
            <v>130</v>
          </cell>
          <cell r="D28">
            <v>128</v>
          </cell>
          <cell r="E28">
            <v>82</v>
          </cell>
          <cell r="F28">
            <v>144</v>
          </cell>
          <cell r="G28">
            <v>132</v>
          </cell>
          <cell r="H28">
            <v>126</v>
          </cell>
          <cell r="I28">
            <v>198</v>
          </cell>
          <cell r="J28">
            <v>78</v>
          </cell>
          <cell r="K28">
            <v>84</v>
          </cell>
          <cell r="L28">
            <v>76</v>
          </cell>
          <cell r="M28">
            <v>164</v>
          </cell>
          <cell r="N28">
            <v>78</v>
          </cell>
        </row>
      </sheetData>
      <sheetData sheetId="1"/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15"/>
    </sheetNames>
    <sheetDataSet>
      <sheetData sheetId="0">
        <row r="5">
          <cell r="A5">
            <v>1412000039</v>
          </cell>
          <cell r="B5" t="str">
            <v>メカ製造技術2課</v>
          </cell>
        </row>
        <row r="10">
          <cell r="C10">
            <v>2</v>
          </cell>
          <cell r="D10">
            <v>2</v>
          </cell>
          <cell r="E10">
            <v>2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  <cell r="K10">
            <v>2</v>
          </cell>
          <cell r="L10">
            <v>2</v>
          </cell>
          <cell r="M10">
            <v>2</v>
          </cell>
          <cell r="N10">
            <v>2</v>
          </cell>
        </row>
        <row r="11">
          <cell r="C11">
            <v>19</v>
          </cell>
          <cell r="D11">
            <v>21</v>
          </cell>
          <cell r="E11">
            <v>21</v>
          </cell>
          <cell r="F11">
            <v>21</v>
          </cell>
          <cell r="G11">
            <v>21</v>
          </cell>
          <cell r="H11">
            <v>21</v>
          </cell>
          <cell r="I11">
            <v>21</v>
          </cell>
          <cell r="J11">
            <v>21</v>
          </cell>
          <cell r="K11">
            <v>21</v>
          </cell>
          <cell r="L11">
            <v>21</v>
          </cell>
          <cell r="M11">
            <v>21</v>
          </cell>
          <cell r="N11">
            <v>21</v>
          </cell>
        </row>
        <row r="13">
          <cell r="C13">
            <v>19</v>
          </cell>
          <cell r="D13">
            <v>21</v>
          </cell>
          <cell r="E13">
            <v>21</v>
          </cell>
          <cell r="F13">
            <v>21</v>
          </cell>
          <cell r="G13">
            <v>21</v>
          </cell>
          <cell r="H13">
            <v>21</v>
          </cell>
          <cell r="I13">
            <v>21</v>
          </cell>
          <cell r="J13">
            <v>21</v>
          </cell>
          <cell r="K13">
            <v>21</v>
          </cell>
          <cell r="L13">
            <v>21</v>
          </cell>
          <cell r="M13">
            <v>21</v>
          </cell>
          <cell r="N13">
            <v>21</v>
          </cell>
        </row>
        <row r="14">
          <cell r="C14">
            <v>21</v>
          </cell>
          <cell r="D14">
            <v>23</v>
          </cell>
          <cell r="E14">
            <v>23</v>
          </cell>
          <cell r="F14">
            <v>23</v>
          </cell>
          <cell r="G14">
            <v>23</v>
          </cell>
          <cell r="H14">
            <v>23</v>
          </cell>
          <cell r="I14">
            <v>23</v>
          </cell>
          <cell r="J14">
            <v>23</v>
          </cell>
          <cell r="K14">
            <v>23</v>
          </cell>
          <cell r="L14">
            <v>23</v>
          </cell>
          <cell r="M14">
            <v>23</v>
          </cell>
          <cell r="N14">
            <v>23</v>
          </cell>
        </row>
        <row r="17">
          <cell r="C17">
            <v>340</v>
          </cell>
          <cell r="D17">
            <v>323</v>
          </cell>
          <cell r="E17">
            <v>357</v>
          </cell>
          <cell r="F17">
            <v>391</v>
          </cell>
          <cell r="G17">
            <v>297.5</v>
          </cell>
          <cell r="H17">
            <v>323</v>
          </cell>
          <cell r="I17">
            <v>331.5</v>
          </cell>
          <cell r="J17">
            <v>340</v>
          </cell>
          <cell r="K17">
            <v>374</v>
          </cell>
          <cell r="L17">
            <v>297.5</v>
          </cell>
          <cell r="M17">
            <v>255</v>
          </cell>
          <cell r="N17">
            <v>280.5</v>
          </cell>
        </row>
        <row r="18">
          <cell r="C18">
            <v>2955</v>
          </cell>
          <cell r="D18">
            <v>3049.5</v>
          </cell>
          <cell r="E18">
            <v>3397</v>
          </cell>
          <cell r="F18">
            <v>3762</v>
          </cell>
          <cell r="G18">
            <v>3275</v>
          </cell>
          <cell r="H18">
            <v>3107</v>
          </cell>
          <cell r="I18">
            <v>3785</v>
          </cell>
          <cell r="J18">
            <v>3347.5</v>
          </cell>
          <cell r="K18">
            <v>3805.5</v>
          </cell>
          <cell r="L18">
            <v>3465</v>
          </cell>
          <cell r="M18">
            <v>2620</v>
          </cell>
          <cell r="N18">
            <v>3465</v>
          </cell>
        </row>
        <row r="20">
          <cell r="C20">
            <v>2955</v>
          </cell>
          <cell r="D20">
            <v>3049.5</v>
          </cell>
          <cell r="E20">
            <v>3397</v>
          </cell>
          <cell r="F20">
            <v>3762</v>
          </cell>
          <cell r="G20">
            <v>3275</v>
          </cell>
          <cell r="H20">
            <v>3107</v>
          </cell>
          <cell r="I20">
            <v>3785</v>
          </cell>
          <cell r="J20">
            <v>3347.5</v>
          </cell>
          <cell r="K20">
            <v>3805.5</v>
          </cell>
          <cell r="L20">
            <v>3465</v>
          </cell>
          <cell r="M20">
            <v>2620</v>
          </cell>
          <cell r="N20">
            <v>3465</v>
          </cell>
        </row>
        <row r="21">
          <cell r="C21">
            <v>3295</v>
          </cell>
          <cell r="D21">
            <v>3372.5</v>
          </cell>
          <cell r="E21">
            <v>3754</v>
          </cell>
          <cell r="F21">
            <v>4153</v>
          </cell>
          <cell r="G21">
            <v>3572.5</v>
          </cell>
          <cell r="H21">
            <v>3430</v>
          </cell>
          <cell r="I21">
            <v>4116.5</v>
          </cell>
          <cell r="J21">
            <v>3687.5</v>
          </cell>
          <cell r="K21">
            <v>4179.5</v>
          </cell>
          <cell r="L21">
            <v>3762.5</v>
          </cell>
          <cell r="M21">
            <v>2875</v>
          </cell>
          <cell r="N21">
            <v>3745.5</v>
          </cell>
        </row>
        <row r="24">
          <cell r="C24">
            <v>80</v>
          </cell>
          <cell r="D24">
            <v>76</v>
          </cell>
          <cell r="E24">
            <v>84</v>
          </cell>
          <cell r="F24">
            <v>92</v>
          </cell>
          <cell r="G24">
            <v>70</v>
          </cell>
          <cell r="H24">
            <v>76</v>
          </cell>
          <cell r="I24">
            <v>78</v>
          </cell>
          <cell r="J24">
            <v>80</v>
          </cell>
          <cell r="K24">
            <v>88</v>
          </cell>
          <cell r="L24">
            <v>70</v>
          </cell>
          <cell r="M24">
            <v>60</v>
          </cell>
          <cell r="N24">
            <v>66</v>
          </cell>
        </row>
        <row r="25">
          <cell r="C25">
            <v>118</v>
          </cell>
          <cell r="D25">
            <v>114</v>
          </cell>
          <cell r="E25">
            <v>171</v>
          </cell>
          <cell r="F25">
            <v>188</v>
          </cell>
          <cell r="G25">
            <v>120</v>
          </cell>
          <cell r="H25">
            <v>112</v>
          </cell>
          <cell r="I25">
            <v>138</v>
          </cell>
          <cell r="J25">
            <v>120</v>
          </cell>
          <cell r="K25">
            <v>130</v>
          </cell>
          <cell r="L25">
            <v>120</v>
          </cell>
          <cell r="M25">
            <v>90</v>
          </cell>
          <cell r="N25">
            <v>341</v>
          </cell>
        </row>
        <row r="27">
          <cell r="C27">
            <v>118</v>
          </cell>
          <cell r="D27">
            <v>114</v>
          </cell>
          <cell r="E27">
            <v>171</v>
          </cell>
          <cell r="F27">
            <v>188</v>
          </cell>
          <cell r="G27">
            <v>120</v>
          </cell>
          <cell r="H27">
            <v>112</v>
          </cell>
          <cell r="I27">
            <v>138</v>
          </cell>
          <cell r="J27">
            <v>120</v>
          </cell>
          <cell r="K27">
            <v>130</v>
          </cell>
          <cell r="L27">
            <v>120</v>
          </cell>
          <cell r="M27">
            <v>90</v>
          </cell>
          <cell r="N27">
            <v>341</v>
          </cell>
        </row>
        <row r="28">
          <cell r="C28">
            <v>198</v>
          </cell>
          <cell r="D28">
            <v>190</v>
          </cell>
          <cell r="E28">
            <v>255</v>
          </cell>
          <cell r="F28">
            <v>280</v>
          </cell>
          <cell r="G28">
            <v>190</v>
          </cell>
          <cell r="H28">
            <v>188</v>
          </cell>
          <cell r="I28">
            <v>216</v>
          </cell>
          <cell r="J28">
            <v>200</v>
          </cell>
          <cell r="K28">
            <v>218</v>
          </cell>
          <cell r="L28">
            <v>190</v>
          </cell>
          <cell r="M28">
            <v>150</v>
          </cell>
          <cell r="N28">
            <v>407</v>
          </cell>
        </row>
      </sheetData>
      <sheetData sheetId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57"/>
    </sheetNames>
    <sheetDataSet>
      <sheetData sheetId="0">
        <row r="5">
          <cell r="A5">
            <v>1412000089</v>
          </cell>
          <cell r="B5" t="str">
            <v>メカ製造技術3課</v>
          </cell>
        </row>
        <row r="11">
          <cell r="C11">
            <v>13</v>
          </cell>
          <cell r="D11">
            <v>13</v>
          </cell>
          <cell r="E11">
            <v>13</v>
          </cell>
          <cell r="F11">
            <v>13</v>
          </cell>
          <cell r="G11">
            <v>13</v>
          </cell>
          <cell r="H11">
            <v>13</v>
          </cell>
          <cell r="I11">
            <v>13</v>
          </cell>
          <cell r="J11">
            <v>13</v>
          </cell>
          <cell r="K11">
            <v>13</v>
          </cell>
          <cell r="L11">
            <v>13</v>
          </cell>
          <cell r="M11">
            <v>13</v>
          </cell>
          <cell r="N11">
            <v>13</v>
          </cell>
        </row>
        <row r="13">
          <cell r="C13">
            <v>13</v>
          </cell>
          <cell r="D13">
            <v>13</v>
          </cell>
          <cell r="E13">
            <v>13</v>
          </cell>
          <cell r="F13">
            <v>13</v>
          </cell>
          <cell r="G13">
            <v>13</v>
          </cell>
          <cell r="H13">
            <v>13</v>
          </cell>
          <cell r="I13">
            <v>13</v>
          </cell>
          <cell r="J13">
            <v>13</v>
          </cell>
          <cell r="K13">
            <v>13</v>
          </cell>
          <cell r="L13">
            <v>13</v>
          </cell>
          <cell r="M13">
            <v>13</v>
          </cell>
          <cell r="N13">
            <v>13</v>
          </cell>
        </row>
        <row r="14">
          <cell r="C14">
            <v>13</v>
          </cell>
          <cell r="D14">
            <v>13</v>
          </cell>
          <cell r="E14">
            <v>13</v>
          </cell>
          <cell r="F14">
            <v>13</v>
          </cell>
          <cell r="G14">
            <v>13</v>
          </cell>
          <cell r="H14">
            <v>13</v>
          </cell>
          <cell r="I14">
            <v>13</v>
          </cell>
          <cell r="J14">
            <v>13</v>
          </cell>
          <cell r="K14">
            <v>13</v>
          </cell>
          <cell r="L14">
            <v>13</v>
          </cell>
          <cell r="M14">
            <v>13</v>
          </cell>
          <cell r="N14">
            <v>13</v>
          </cell>
        </row>
        <row r="18">
          <cell r="C18">
            <v>2105</v>
          </cell>
          <cell r="D18">
            <v>2004</v>
          </cell>
          <cell r="E18">
            <v>2206</v>
          </cell>
          <cell r="F18">
            <v>2408</v>
          </cell>
          <cell r="G18">
            <v>2116.5</v>
          </cell>
          <cell r="H18">
            <v>2014.5</v>
          </cell>
          <cell r="I18">
            <v>2422.5</v>
          </cell>
          <cell r="J18">
            <v>2116.5</v>
          </cell>
          <cell r="K18">
            <v>2320.5</v>
          </cell>
          <cell r="L18">
            <v>2099.5</v>
          </cell>
          <cell r="M18">
            <v>1589.5</v>
          </cell>
          <cell r="N18">
            <v>2091</v>
          </cell>
        </row>
        <row r="20">
          <cell r="C20">
            <v>2105</v>
          </cell>
          <cell r="D20">
            <v>2004</v>
          </cell>
          <cell r="E20">
            <v>2206</v>
          </cell>
          <cell r="F20">
            <v>2408</v>
          </cell>
          <cell r="G20">
            <v>2116.5</v>
          </cell>
          <cell r="H20">
            <v>2014.5</v>
          </cell>
          <cell r="I20">
            <v>2422.5</v>
          </cell>
          <cell r="J20">
            <v>2116.5</v>
          </cell>
          <cell r="K20">
            <v>2320.5</v>
          </cell>
          <cell r="L20">
            <v>2099.5</v>
          </cell>
          <cell r="M20">
            <v>1589.5</v>
          </cell>
          <cell r="N20">
            <v>2091</v>
          </cell>
        </row>
        <row r="21">
          <cell r="C21">
            <v>2105</v>
          </cell>
          <cell r="D21">
            <v>2004</v>
          </cell>
          <cell r="E21">
            <v>2206</v>
          </cell>
          <cell r="F21">
            <v>2408</v>
          </cell>
          <cell r="G21">
            <v>2116.5</v>
          </cell>
          <cell r="H21">
            <v>2014.5</v>
          </cell>
          <cell r="I21">
            <v>2422.5</v>
          </cell>
          <cell r="J21">
            <v>2116.5</v>
          </cell>
          <cell r="K21">
            <v>2320.5</v>
          </cell>
          <cell r="L21">
            <v>2099.5</v>
          </cell>
          <cell r="M21">
            <v>1589.5</v>
          </cell>
          <cell r="N21">
            <v>2091</v>
          </cell>
        </row>
        <row r="25">
          <cell r="C25">
            <v>80</v>
          </cell>
          <cell r="D25">
            <v>74</v>
          </cell>
          <cell r="E25">
            <v>127</v>
          </cell>
          <cell r="F25">
            <v>137</v>
          </cell>
          <cell r="G25">
            <v>78</v>
          </cell>
          <cell r="H25">
            <v>76</v>
          </cell>
          <cell r="I25">
            <v>120</v>
          </cell>
          <cell r="J25">
            <v>125</v>
          </cell>
          <cell r="K25">
            <v>86</v>
          </cell>
          <cell r="L25">
            <v>80</v>
          </cell>
          <cell r="M25">
            <v>60</v>
          </cell>
          <cell r="N25">
            <v>125</v>
          </cell>
        </row>
        <row r="27">
          <cell r="C27">
            <v>80</v>
          </cell>
          <cell r="D27">
            <v>74</v>
          </cell>
          <cell r="E27">
            <v>127</v>
          </cell>
          <cell r="F27">
            <v>137</v>
          </cell>
          <cell r="G27">
            <v>78</v>
          </cell>
          <cell r="H27">
            <v>76</v>
          </cell>
          <cell r="I27">
            <v>120</v>
          </cell>
          <cell r="J27">
            <v>125</v>
          </cell>
          <cell r="K27">
            <v>86</v>
          </cell>
          <cell r="L27">
            <v>80</v>
          </cell>
          <cell r="M27">
            <v>60</v>
          </cell>
          <cell r="N27">
            <v>125</v>
          </cell>
        </row>
        <row r="28">
          <cell r="C28">
            <v>80</v>
          </cell>
          <cell r="D28">
            <v>74</v>
          </cell>
          <cell r="E28">
            <v>127</v>
          </cell>
          <cell r="F28">
            <v>137</v>
          </cell>
          <cell r="G28">
            <v>78</v>
          </cell>
          <cell r="H28">
            <v>76</v>
          </cell>
          <cell r="I28">
            <v>120</v>
          </cell>
          <cell r="J28">
            <v>125</v>
          </cell>
          <cell r="K28">
            <v>86</v>
          </cell>
          <cell r="L28">
            <v>80</v>
          </cell>
          <cell r="M28">
            <v>60</v>
          </cell>
          <cell r="N28">
            <v>125</v>
          </cell>
        </row>
      </sheetData>
      <sheetData sheetId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 t="str">
            <v>14120000YY</v>
          </cell>
          <cell r="B5" t="str">
            <v>メカ製造技術4課</v>
          </cell>
        </row>
        <row r="11">
          <cell r="C11">
            <v>9</v>
          </cell>
          <cell r="D11">
            <v>9</v>
          </cell>
          <cell r="E11">
            <v>9</v>
          </cell>
          <cell r="F11">
            <v>9</v>
          </cell>
          <cell r="G11">
            <v>9</v>
          </cell>
          <cell r="H11">
            <v>9</v>
          </cell>
          <cell r="I11">
            <v>9</v>
          </cell>
          <cell r="J11">
            <v>9</v>
          </cell>
          <cell r="K11">
            <v>9</v>
          </cell>
          <cell r="L11">
            <v>9</v>
          </cell>
          <cell r="M11">
            <v>9</v>
          </cell>
          <cell r="N11">
            <v>9</v>
          </cell>
        </row>
        <row r="13">
          <cell r="C13">
            <v>9</v>
          </cell>
          <cell r="D13">
            <v>9</v>
          </cell>
          <cell r="E13">
            <v>9</v>
          </cell>
          <cell r="F13">
            <v>9</v>
          </cell>
          <cell r="G13">
            <v>9</v>
          </cell>
          <cell r="H13">
            <v>9</v>
          </cell>
          <cell r="I13">
            <v>9</v>
          </cell>
          <cell r="J13">
            <v>9</v>
          </cell>
          <cell r="K13">
            <v>9</v>
          </cell>
          <cell r="L13">
            <v>9</v>
          </cell>
          <cell r="M13">
            <v>9</v>
          </cell>
          <cell r="N13">
            <v>9</v>
          </cell>
        </row>
        <row r="14">
          <cell r="C14">
            <v>9</v>
          </cell>
          <cell r="D14">
            <v>9</v>
          </cell>
          <cell r="E14">
            <v>9</v>
          </cell>
          <cell r="F14">
            <v>9</v>
          </cell>
          <cell r="G14">
            <v>9</v>
          </cell>
          <cell r="H14">
            <v>9</v>
          </cell>
          <cell r="I14">
            <v>9</v>
          </cell>
          <cell r="J14">
            <v>9</v>
          </cell>
          <cell r="K14">
            <v>9</v>
          </cell>
          <cell r="L14">
            <v>9</v>
          </cell>
          <cell r="M14">
            <v>9</v>
          </cell>
          <cell r="N14">
            <v>9</v>
          </cell>
        </row>
        <row r="18">
          <cell r="C18">
            <v>1487.5</v>
          </cell>
          <cell r="D18">
            <v>1411</v>
          </cell>
          <cell r="E18">
            <v>1564</v>
          </cell>
          <cell r="F18">
            <v>1717</v>
          </cell>
          <cell r="G18">
            <v>1487.5</v>
          </cell>
          <cell r="H18">
            <v>1411</v>
          </cell>
          <cell r="I18">
            <v>1717</v>
          </cell>
          <cell r="J18">
            <v>1487.5</v>
          </cell>
          <cell r="K18">
            <v>1640.5</v>
          </cell>
          <cell r="L18">
            <v>1487.5</v>
          </cell>
          <cell r="M18">
            <v>1105</v>
          </cell>
          <cell r="N18">
            <v>1487.5</v>
          </cell>
        </row>
        <row r="20">
          <cell r="C20">
            <v>1487.5</v>
          </cell>
          <cell r="D20">
            <v>1411</v>
          </cell>
          <cell r="E20">
            <v>1564</v>
          </cell>
          <cell r="F20">
            <v>1717</v>
          </cell>
          <cell r="G20">
            <v>1487.5</v>
          </cell>
          <cell r="H20">
            <v>1411</v>
          </cell>
          <cell r="I20">
            <v>1717</v>
          </cell>
          <cell r="J20">
            <v>1487.5</v>
          </cell>
          <cell r="K20">
            <v>1640.5</v>
          </cell>
          <cell r="L20">
            <v>1487.5</v>
          </cell>
          <cell r="M20">
            <v>1105</v>
          </cell>
          <cell r="N20">
            <v>1487.5</v>
          </cell>
        </row>
        <row r="21">
          <cell r="C21">
            <v>1487.5</v>
          </cell>
          <cell r="D21">
            <v>1411</v>
          </cell>
          <cell r="E21">
            <v>1564</v>
          </cell>
          <cell r="F21">
            <v>1717</v>
          </cell>
          <cell r="G21">
            <v>1487.5</v>
          </cell>
          <cell r="H21">
            <v>1411</v>
          </cell>
          <cell r="I21">
            <v>1717</v>
          </cell>
          <cell r="J21">
            <v>1487.5</v>
          </cell>
          <cell r="K21">
            <v>1640.5</v>
          </cell>
          <cell r="L21">
            <v>1487.5</v>
          </cell>
          <cell r="M21">
            <v>1105</v>
          </cell>
          <cell r="N21">
            <v>1487.5</v>
          </cell>
        </row>
        <row r="25">
          <cell r="C25">
            <v>40</v>
          </cell>
          <cell r="D25">
            <v>50</v>
          </cell>
          <cell r="E25">
            <v>42</v>
          </cell>
          <cell r="F25">
            <v>52</v>
          </cell>
          <cell r="G25">
            <v>46</v>
          </cell>
          <cell r="H25">
            <v>38</v>
          </cell>
          <cell r="I25">
            <v>58</v>
          </cell>
          <cell r="J25">
            <v>40</v>
          </cell>
          <cell r="K25">
            <v>50</v>
          </cell>
          <cell r="L25">
            <v>40</v>
          </cell>
          <cell r="M25">
            <v>30</v>
          </cell>
          <cell r="N25">
            <v>40</v>
          </cell>
        </row>
        <row r="27">
          <cell r="C27">
            <v>40</v>
          </cell>
          <cell r="D27">
            <v>50</v>
          </cell>
          <cell r="E27">
            <v>42</v>
          </cell>
          <cell r="F27">
            <v>52</v>
          </cell>
          <cell r="G27">
            <v>46</v>
          </cell>
          <cell r="H27">
            <v>38</v>
          </cell>
          <cell r="I27">
            <v>58</v>
          </cell>
          <cell r="J27">
            <v>40</v>
          </cell>
          <cell r="K27">
            <v>50</v>
          </cell>
          <cell r="L27">
            <v>40</v>
          </cell>
          <cell r="M27">
            <v>30</v>
          </cell>
          <cell r="N27">
            <v>40</v>
          </cell>
        </row>
        <row r="28">
          <cell r="C28">
            <v>40</v>
          </cell>
          <cell r="D28">
            <v>50</v>
          </cell>
          <cell r="E28">
            <v>42</v>
          </cell>
          <cell r="F28">
            <v>52</v>
          </cell>
          <cell r="G28">
            <v>46</v>
          </cell>
          <cell r="H28">
            <v>38</v>
          </cell>
          <cell r="I28">
            <v>58</v>
          </cell>
          <cell r="J28">
            <v>40</v>
          </cell>
          <cell r="K28">
            <v>50</v>
          </cell>
          <cell r="L28">
            <v>40</v>
          </cell>
          <cell r="M28">
            <v>30</v>
          </cell>
          <cell r="N28">
            <v>40</v>
          </cell>
        </row>
      </sheetData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16"/>
    </sheetNames>
    <sheetDataSet>
      <sheetData sheetId="0">
        <row r="5">
          <cell r="A5">
            <v>1412000040</v>
          </cell>
          <cell r="B5" t="str">
            <v>電気製造技術課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18</v>
          </cell>
          <cell r="D11">
            <v>18</v>
          </cell>
          <cell r="E11">
            <v>18</v>
          </cell>
          <cell r="F11">
            <v>18</v>
          </cell>
          <cell r="G11">
            <v>18</v>
          </cell>
          <cell r="H11">
            <v>18</v>
          </cell>
          <cell r="I11">
            <v>18</v>
          </cell>
          <cell r="J11">
            <v>18</v>
          </cell>
          <cell r="K11">
            <v>18</v>
          </cell>
          <cell r="L11">
            <v>18</v>
          </cell>
          <cell r="M11">
            <v>18</v>
          </cell>
          <cell r="N11">
            <v>18</v>
          </cell>
        </row>
        <row r="13">
          <cell r="C13">
            <v>18</v>
          </cell>
          <cell r="D13">
            <v>18</v>
          </cell>
          <cell r="E13">
            <v>18</v>
          </cell>
          <cell r="F13">
            <v>18</v>
          </cell>
          <cell r="G13">
            <v>18</v>
          </cell>
          <cell r="H13">
            <v>18</v>
          </cell>
          <cell r="I13">
            <v>18</v>
          </cell>
          <cell r="J13">
            <v>18</v>
          </cell>
          <cell r="K13">
            <v>18</v>
          </cell>
          <cell r="L13">
            <v>18</v>
          </cell>
          <cell r="M13">
            <v>18</v>
          </cell>
          <cell r="N13">
            <v>18</v>
          </cell>
        </row>
        <row r="14">
          <cell r="C14">
            <v>19</v>
          </cell>
          <cell r="D14">
            <v>19</v>
          </cell>
          <cell r="E14">
            <v>19</v>
          </cell>
          <cell r="F14">
            <v>19</v>
          </cell>
          <cell r="G14">
            <v>19</v>
          </cell>
          <cell r="H14">
            <v>19</v>
          </cell>
          <cell r="I14">
            <v>19</v>
          </cell>
          <cell r="J14">
            <v>19</v>
          </cell>
          <cell r="K14">
            <v>19</v>
          </cell>
          <cell r="L14">
            <v>19</v>
          </cell>
          <cell r="M14">
            <v>19</v>
          </cell>
          <cell r="N14">
            <v>19</v>
          </cell>
        </row>
        <row r="17">
          <cell r="C17">
            <v>170</v>
          </cell>
          <cell r="D17">
            <v>153</v>
          </cell>
          <cell r="E17">
            <v>170</v>
          </cell>
          <cell r="F17">
            <v>136</v>
          </cell>
          <cell r="G17">
            <v>161.5</v>
          </cell>
          <cell r="H17">
            <v>153</v>
          </cell>
          <cell r="I17">
            <v>187</v>
          </cell>
          <cell r="J17">
            <v>110.5</v>
          </cell>
          <cell r="K17">
            <v>178.5</v>
          </cell>
          <cell r="L17">
            <v>161.5</v>
          </cell>
          <cell r="M17">
            <v>127.5</v>
          </cell>
          <cell r="N17">
            <v>161.5</v>
          </cell>
        </row>
        <row r="18">
          <cell r="C18">
            <v>2924</v>
          </cell>
          <cell r="D18">
            <v>2694.5</v>
          </cell>
          <cell r="E18">
            <v>2898.5</v>
          </cell>
          <cell r="F18">
            <v>3204.5</v>
          </cell>
          <cell r="G18">
            <v>2754</v>
          </cell>
          <cell r="H18">
            <v>2618</v>
          </cell>
          <cell r="I18">
            <v>3187.5</v>
          </cell>
          <cell r="J18">
            <v>2823.5</v>
          </cell>
          <cell r="K18">
            <v>3200.5</v>
          </cell>
          <cell r="L18">
            <v>2905</v>
          </cell>
          <cell r="M18">
            <v>2145</v>
          </cell>
          <cell r="N18">
            <v>2905</v>
          </cell>
        </row>
        <row r="20">
          <cell r="C20">
            <v>2924</v>
          </cell>
          <cell r="D20">
            <v>2694.5</v>
          </cell>
          <cell r="E20">
            <v>2898.5</v>
          </cell>
          <cell r="F20">
            <v>3204.5</v>
          </cell>
          <cell r="G20">
            <v>2754</v>
          </cell>
          <cell r="H20">
            <v>2618</v>
          </cell>
          <cell r="I20">
            <v>3187.5</v>
          </cell>
          <cell r="J20">
            <v>2823.5</v>
          </cell>
          <cell r="K20">
            <v>3200.5</v>
          </cell>
          <cell r="L20">
            <v>2905</v>
          </cell>
          <cell r="M20">
            <v>2145</v>
          </cell>
          <cell r="N20">
            <v>2905</v>
          </cell>
        </row>
        <row r="21">
          <cell r="C21">
            <v>3094</v>
          </cell>
          <cell r="D21">
            <v>2847.5</v>
          </cell>
          <cell r="E21">
            <v>3068.5</v>
          </cell>
          <cell r="F21">
            <v>3340.5</v>
          </cell>
          <cell r="G21">
            <v>2915.5</v>
          </cell>
          <cell r="H21">
            <v>2771</v>
          </cell>
          <cell r="I21">
            <v>3374.5</v>
          </cell>
          <cell r="J21">
            <v>2934</v>
          </cell>
          <cell r="K21">
            <v>3379</v>
          </cell>
          <cell r="L21">
            <v>3066.5</v>
          </cell>
          <cell r="M21">
            <v>2272.5</v>
          </cell>
          <cell r="N21">
            <v>3066.5</v>
          </cell>
        </row>
        <row r="24">
          <cell r="C24">
            <v>40</v>
          </cell>
          <cell r="D24">
            <v>36</v>
          </cell>
          <cell r="E24">
            <v>40</v>
          </cell>
          <cell r="F24">
            <v>32</v>
          </cell>
          <cell r="G24">
            <v>38</v>
          </cell>
          <cell r="H24">
            <v>36</v>
          </cell>
          <cell r="I24">
            <v>44</v>
          </cell>
          <cell r="J24">
            <v>26</v>
          </cell>
          <cell r="K24">
            <v>42</v>
          </cell>
          <cell r="L24">
            <v>38</v>
          </cell>
          <cell r="M24">
            <v>30</v>
          </cell>
          <cell r="N24">
            <v>38</v>
          </cell>
        </row>
        <row r="25">
          <cell r="C25">
            <v>167</v>
          </cell>
          <cell r="D25">
            <v>171</v>
          </cell>
          <cell r="E25">
            <v>201</v>
          </cell>
          <cell r="F25">
            <v>191</v>
          </cell>
          <cell r="G25">
            <v>177</v>
          </cell>
          <cell r="H25">
            <v>191</v>
          </cell>
          <cell r="I25">
            <v>215</v>
          </cell>
          <cell r="J25">
            <v>167</v>
          </cell>
          <cell r="K25">
            <v>189</v>
          </cell>
          <cell r="L25">
            <v>214</v>
          </cell>
          <cell r="M25">
            <v>176</v>
          </cell>
          <cell r="N25">
            <v>167</v>
          </cell>
        </row>
        <row r="27">
          <cell r="C27">
            <v>167</v>
          </cell>
          <cell r="D27">
            <v>171</v>
          </cell>
          <cell r="E27">
            <v>201</v>
          </cell>
          <cell r="F27">
            <v>191</v>
          </cell>
          <cell r="G27">
            <v>177</v>
          </cell>
          <cell r="H27">
            <v>191</v>
          </cell>
          <cell r="I27">
            <v>215</v>
          </cell>
          <cell r="J27">
            <v>167</v>
          </cell>
          <cell r="K27">
            <v>189</v>
          </cell>
          <cell r="L27">
            <v>214</v>
          </cell>
          <cell r="M27">
            <v>176</v>
          </cell>
          <cell r="N27">
            <v>167</v>
          </cell>
        </row>
        <row r="28">
          <cell r="C28">
            <v>207</v>
          </cell>
          <cell r="D28">
            <v>207</v>
          </cell>
          <cell r="E28">
            <v>241</v>
          </cell>
          <cell r="F28">
            <v>223</v>
          </cell>
          <cell r="G28">
            <v>215</v>
          </cell>
          <cell r="H28">
            <v>227</v>
          </cell>
          <cell r="I28">
            <v>259</v>
          </cell>
          <cell r="J28">
            <v>193</v>
          </cell>
          <cell r="K28">
            <v>231</v>
          </cell>
          <cell r="L28">
            <v>252</v>
          </cell>
          <cell r="M28">
            <v>206</v>
          </cell>
          <cell r="N28">
            <v>205</v>
          </cell>
        </row>
      </sheetData>
      <sheetData sheetId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18"/>
    </sheetNames>
    <sheetDataSet>
      <sheetData sheetId="0">
        <row r="5">
          <cell r="A5">
            <v>1412000013</v>
          </cell>
          <cell r="B5" t="str">
            <v>部品検査1課</v>
          </cell>
        </row>
        <row r="11">
          <cell r="C11">
            <v>25</v>
          </cell>
          <cell r="D11">
            <v>25</v>
          </cell>
          <cell r="E11">
            <v>25</v>
          </cell>
          <cell r="F11">
            <v>25</v>
          </cell>
          <cell r="G11">
            <v>25</v>
          </cell>
          <cell r="H11">
            <v>25</v>
          </cell>
          <cell r="I11">
            <v>25</v>
          </cell>
          <cell r="J11">
            <v>25</v>
          </cell>
          <cell r="K11">
            <v>25</v>
          </cell>
          <cell r="L11">
            <v>25</v>
          </cell>
          <cell r="M11">
            <v>25</v>
          </cell>
          <cell r="N11">
            <v>25</v>
          </cell>
        </row>
        <row r="12">
          <cell r="C12">
            <v>79</v>
          </cell>
          <cell r="D12">
            <v>79</v>
          </cell>
          <cell r="E12">
            <v>79</v>
          </cell>
          <cell r="F12">
            <v>79</v>
          </cell>
          <cell r="G12">
            <v>79</v>
          </cell>
          <cell r="H12">
            <v>79</v>
          </cell>
          <cell r="I12">
            <v>79</v>
          </cell>
          <cell r="J12">
            <v>79</v>
          </cell>
          <cell r="K12">
            <v>79</v>
          </cell>
          <cell r="L12">
            <v>79</v>
          </cell>
          <cell r="M12">
            <v>79</v>
          </cell>
          <cell r="N12">
            <v>79</v>
          </cell>
        </row>
        <row r="13">
          <cell r="C13">
            <v>104</v>
          </cell>
          <cell r="D13">
            <v>104</v>
          </cell>
          <cell r="E13">
            <v>104</v>
          </cell>
          <cell r="F13">
            <v>104</v>
          </cell>
          <cell r="G13">
            <v>104</v>
          </cell>
          <cell r="H13">
            <v>104</v>
          </cell>
          <cell r="I13">
            <v>104</v>
          </cell>
          <cell r="J13">
            <v>104</v>
          </cell>
          <cell r="K13">
            <v>104</v>
          </cell>
          <cell r="L13">
            <v>104</v>
          </cell>
          <cell r="M13">
            <v>104</v>
          </cell>
          <cell r="N13">
            <v>104</v>
          </cell>
        </row>
        <row r="14">
          <cell r="C14">
            <v>104</v>
          </cell>
          <cell r="D14">
            <v>104</v>
          </cell>
          <cell r="E14">
            <v>104</v>
          </cell>
          <cell r="F14">
            <v>104</v>
          </cell>
          <cell r="G14">
            <v>104</v>
          </cell>
          <cell r="H14">
            <v>104</v>
          </cell>
          <cell r="I14">
            <v>104</v>
          </cell>
          <cell r="J14">
            <v>104</v>
          </cell>
          <cell r="K14">
            <v>104</v>
          </cell>
          <cell r="L14">
            <v>104</v>
          </cell>
          <cell r="M14">
            <v>104</v>
          </cell>
          <cell r="N14">
            <v>104</v>
          </cell>
        </row>
        <row r="18">
          <cell r="C18">
            <v>4037.5</v>
          </cell>
          <cell r="D18">
            <v>3825</v>
          </cell>
          <cell r="E18">
            <v>4250</v>
          </cell>
          <cell r="F18">
            <v>4675</v>
          </cell>
          <cell r="G18">
            <v>4037.5</v>
          </cell>
          <cell r="H18">
            <v>3825</v>
          </cell>
          <cell r="I18">
            <v>4675</v>
          </cell>
          <cell r="J18">
            <v>4037.5</v>
          </cell>
          <cell r="K18">
            <v>4462.5</v>
          </cell>
          <cell r="L18">
            <v>4037.5</v>
          </cell>
          <cell r="M18">
            <v>2975</v>
          </cell>
          <cell r="N18">
            <v>4037.5</v>
          </cell>
        </row>
        <row r="19">
          <cell r="C19">
            <v>12408.5</v>
          </cell>
          <cell r="D19">
            <v>11737</v>
          </cell>
          <cell r="E19">
            <v>13080</v>
          </cell>
          <cell r="F19">
            <v>14423</v>
          </cell>
          <cell r="G19">
            <v>12408.5</v>
          </cell>
          <cell r="H19">
            <v>11737</v>
          </cell>
          <cell r="I19">
            <v>14423</v>
          </cell>
          <cell r="J19">
            <v>12408.5</v>
          </cell>
          <cell r="K19">
            <v>13751.5</v>
          </cell>
          <cell r="L19">
            <v>12408.5</v>
          </cell>
          <cell r="M19">
            <v>9051</v>
          </cell>
          <cell r="N19">
            <v>12408.5</v>
          </cell>
        </row>
        <row r="20">
          <cell r="C20">
            <v>16446</v>
          </cell>
          <cell r="D20">
            <v>15562</v>
          </cell>
          <cell r="E20">
            <v>17330</v>
          </cell>
          <cell r="F20">
            <v>19098</v>
          </cell>
          <cell r="G20">
            <v>16446</v>
          </cell>
          <cell r="H20">
            <v>15562</v>
          </cell>
          <cell r="I20">
            <v>19098</v>
          </cell>
          <cell r="J20">
            <v>16446</v>
          </cell>
          <cell r="K20">
            <v>18214</v>
          </cell>
          <cell r="L20">
            <v>16446</v>
          </cell>
          <cell r="M20">
            <v>12026</v>
          </cell>
          <cell r="N20">
            <v>16446</v>
          </cell>
        </row>
        <row r="21">
          <cell r="C21">
            <v>16446</v>
          </cell>
          <cell r="D21">
            <v>15562</v>
          </cell>
          <cell r="E21">
            <v>17330</v>
          </cell>
          <cell r="F21">
            <v>19098</v>
          </cell>
          <cell r="G21">
            <v>16446</v>
          </cell>
          <cell r="H21">
            <v>15562</v>
          </cell>
          <cell r="I21">
            <v>19098</v>
          </cell>
          <cell r="J21">
            <v>16446</v>
          </cell>
          <cell r="K21">
            <v>18214</v>
          </cell>
          <cell r="L21">
            <v>16446</v>
          </cell>
          <cell r="M21">
            <v>12026</v>
          </cell>
          <cell r="N21">
            <v>16446</v>
          </cell>
        </row>
        <row r="25">
          <cell r="C25">
            <v>425</v>
          </cell>
          <cell r="D25">
            <v>421</v>
          </cell>
          <cell r="E25">
            <v>429</v>
          </cell>
          <cell r="F25">
            <v>437</v>
          </cell>
          <cell r="G25">
            <v>425</v>
          </cell>
          <cell r="H25">
            <v>421</v>
          </cell>
          <cell r="I25">
            <v>437</v>
          </cell>
          <cell r="J25">
            <v>425</v>
          </cell>
          <cell r="K25">
            <v>433</v>
          </cell>
          <cell r="L25">
            <v>425</v>
          </cell>
          <cell r="M25">
            <v>405</v>
          </cell>
          <cell r="N25">
            <v>425</v>
          </cell>
        </row>
        <row r="26">
          <cell r="C26">
            <v>2370</v>
          </cell>
          <cell r="D26">
            <v>2370</v>
          </cell>
          <cell r="E26">
            <v>2370</v>
          </cell>
          <cell r="F26">
            <v>2370</v>
          </cell>
          <cell r="G26">
            <v>2370</v>
          </cell>
          <cell r="H26">
            <v>2370</v>
          </cell>
          <cell r="I26">
            <v>2370</v>
          </cell>
          <cell r="J26">
            <v>2370</v>
          </cell>
          <cell r="K26">
            <v>2370</v>
          </cell>
          <cell r="L26">
            <v>2370</v>
          </cell>
          <cell r="M26">
            <v>2370</v>
          </cell>
          <cell r="N26">
            <v>2370</v>
          </cell>
        </row>
        <row r="27">
          <cell r="C27">
            <v>2795</v>
          </cell>
          <cell r="D27">
            <v>2791</v>
          </cell>
          <cell r="E27">
            <v>2799</v>
          </cell>
          <cell r="F27">
            <v>2807</v>
          </cell>
          <cell r="G27">
            <v>2795</v>
          </cell>
          <cell r="H27">
            <v>2791</v>
          </cell>
          <cell r="I27">
            <v>2807</v>
          </cell>
          <cell r="J27">
            <v>2795</v>
          </cell>
          <cell r="K27">
            <v>2803</v>
          </cell>
          <cell r="L27">
            <v>2795</v>
          </cell>
          <cell r="M27">
            <v>2775</v>
          </cell>
          <cell r="N27">
            <v>2795</v>
          </cell>
        </row>
        <row r="28">
          <cell r="C28">
            <v>2795</v>
          </cell>
          <cell r="D28">
            <v>2791</v>
          </cell>
          <cell r="E28">
            <v>2799</v>
          </cell>
          <cell r="F28">
            <v>2807</v>
          </cell>
          <cell r="G28">
            <v>2795</v>
          </cell>
          <cell r="H28">
            <v>2791</v>
          </cell>
          <cell r="I28">
            <v>2807</v>
          </cell>
          <cell r="J28">
            <v>2795</v>
          </cell>
          <cell r="K28">
            <v>2803</v>
          </cell>
          <cell r="L28">
            <v>2795</v>
          </cell>
          <cell r="M28">
            <v>2775</v>
          </cell>
          <cell r="N28">
            <v>2795</v>
          </cell>
        </row>
      </sheetData>
      <sheetData sheetId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>
            <v>1412000092</v>
          </cell>
          <cell r="B5" t="str">
            <v>部品検査2課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23</v>
          </cell>
          <cell r="D11">
            <v>23</v>
          </cell>
          <cell r="E11">
            <v>23</v>
          </cell>
          <cell r="F11">
            <v>23</v>
          </cell>
          <cell r="G11">
            <v>23</v>
          </cell>
          <cell r="H11">
            <v>23</v>
          </cell>
          <cell r="I11">
            <v>23</v>
          </cell>
          <cell r="J11">
            <v>23</v>
          </cell>
          <cell r="K11">
            <v>23</v>
          </cell>
          <cell r="L11">
            <v>23</v>
          </cell>
          <cell r="M11">
            <v>23</v>
          </cell>
          <cell r="N11">
            <v>23</v>
          </cell>
        </row>
        <row r="12">
          <cell r="C12">
            <v>22</v>
          </cell>
          <cell r="D12">
            <v>22</v>
          </cell>
          <cell r="E12">
            <v>24</v>
          </cell>
          <cell r="F12">
            <v>24</v>
          </cell>
          <cell r="G12">
            <v>24</v>
          </cell>
          <cell r="H12">
            <v>24</v>
          </cell>
          <cell r="I12">
            <v>24</v>
          </cell>
          <cell r="J12">
            <v>24</v>
          </cell>
          <cell r="K12">
            <v>24</v>
          </cell>
          <cell r="L12">
            <v>24</v>
          </cell>
          <cell r="M12">
            <v>24</v>
          </cell>
          <cell r="N12">
            <v>24</v>
          </cell>
        </row>
        <row r="13">
          <cell r="C13">
            <v>45</v>
          </cell>
          <cell r="D13">
            <v>45</v>
          </cell>
          <cell r="E13">
            <v>47</v>
          </cell>
          <cell r="F13">
            <v>47</v>
          </cell>
          <cell r="G13">
            <v>47</v>
          </cell>
          <cell r="H13">
            <v>47</v>
          </cell>
          <cell r="I13">
            <v>47</v>
          </cell>
          <cell r="J13">
            <v>47</v>
          </cell>
          <cell r="K13">
            <v>47</v>
          </cell>
          <cell r="L13">
            <v>47</v>
          </cell>
          <cell r="M13">
            <v>47</v>
          </cell>
          <cell r="N13">
            <v>47</v>
          </cell>
        </row>
        <row r="14">
          <cell r="C14">
            <v>45</v>
          </cell>
          <cell r="D14">
            <v>45</v>
          </cell>
          <cell r="E14">
            <v>47</v>
          </cell>
          <cell r="F14">
            <v>47</v>
          </cell>
          <cell r="G14">
            <v>47</v>
          </cell>
          <cell r="H14">
            <v>47</v>
          </cell>
          <cell r="I14">
            <v>47</v>
          </cell>
          <cell r="J14">
            <v>47</v>
          </cell>
          <cell r="K14">
            <v>47</v>
          </cell>
          <cell r="L14">
            <v>47</v>
          </cell>
          <cell r="M14">
            <v>47</v>
          </cell>
          <cell r="N14">
            <v>47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3714.5</v>
          </cell>
          <cell r="D18">
            <v>3519</v>
          </cell>
          <cell r="E18">
            <v>3910</v>
          </cell>
          <cell r="F18">
            <v>4301</v>
          </cell>
          <cell r="G18">
            <v>3714.5</v>
          </cell>
          <cell r="H18">
            <v>3519</v>
          </cell>
          <cell r="I18">
            <v>4301</v>
          </cell>
          <cell r="J18">
            <v>3714.5</v>
          </cell>
          <cell r="K18">
            <v>4105.5</v>
          </cell>
          <cell r="L18">
            <v>3714.5</v>
          </cell>
          <cell r="M18">
            <v>2737</v>
          </cell>
          <cell r="N18">
            <v>3714.5</v>
          </cell>
        </row>
        <row r="19">
          <cell r="C19">
            <v>3553</v>
          </cell>
          <cell r="D19">
            <v>3366</v>
          </cell>
          <cell r="E19">
            <v>4080</v>
          </cell>
          <cell r="F19">
            <v>4488</v>
          </cell>
          <cell r="G19">
            <v>3876</v>
          </cell>
          <cell r="H19">
            <v>3672</v>
          </cell>
          <cell r="I19">
            <v>4488</v>
          </cell>
          <cell r="J19">
            <v>3876</v>
          </cell>
          <cell r="K19">
            <v>4284</v>
          </cell>
          <cell r="L19">
            <v>3876</v>
          </cell>
          <cell r="M19">
            <v>2856</v>
          </cell>
          <cell r="N19">
            <v>3876</v>
          </cell>
        </row>
        <row r="20">
          <cell r="C20">
            <v>7267.5</v>
          </cell>
          <cell r="D20">
            <v>6885</v>
          </cell>
          <cell r="E20">
            <v>7990</v>
          </cell>
          <cell r="F20">
            <v>8789</v>
          </cell>
          <cell r="G20">
            <v>7590.5</v>
          </cell>
          <cell r="H20">
            <v>7191</v>
          </cell>
          <cell r="I20">
            <v>8789</v>
          </cell>
          <cell r="J20">
            <v>7590.5</v>
          </cell>
          <cell r="K20">
            <v>8389.5</v>
          </cell>
          <cell r="L20">
            <v>7590.5</v>
          </cell>
          <cell r="M20">
            <v>5593</v>
          </cell>
          <cell r="N20">
            <v>7590.5</v>
          </cell>
        </row>
        <row r="21">
          <cell r="C21">
            <v>7267.5</v>
          </cell>
          <cell r="D21">
            <v>6885</v>
          </cell>
          <cell r="E21">
            <v>7990</v>
          </cell>
          <cell r="F21">
            <v>8789</v>
          </cell>
          <cell r="G21">
            <v>7590.5</v>
          </cell>
          <cell r="H21">
            <v>7191</v>
          </cell>
          <cell r="I21">
            <v>8789</v>
          </cell>
          <cell r="J21">
            <v>7590.5</v>
          </cell>
          <cell r="K21">
            <v>8389.5</v>
          </cell>
          <cell r="L21">
            <v>7590.5</v>
          </cell>
          <cell r="M21">
            <v>5593</v>
          </cell>
          <cell r="N21">
            <v>7590.5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480</v>
          </cell>
          <cell r="D25">
            <v>478</v>
          </cell>
          <cell r="E25">
            <v>482</v>
          </cell>
          <cell r="F25">
            <v>486</v>
          </cell>
          <cell r="G25">
            <v>480</v>
          </cell>
          <cell r="H25">
            <v>478</v>
          </cell>
          <cell r="I25">
            <v>486</v>
          </cell>
          <cell r="J25">
            <v>480</v>
          </cell>
          <cell r="K25">
            <v>484</v>
          </cell>
          <cell r="L25">
            <v>480</v>
          </cell>
          <cell r="M25">
            <v>470</v>
          </cell>
          <cell r="N25">
            <v>480</v>
          </cell>
        </row>
        <row r="26">
          <cell r="C26">
            <v>440</v>
          </cell>
          <cell r="D26">
            <v>440</v>
          </cell>
          <cell r="E26">
            <v>480</v>
          </cell>
          <cell r="F26">
            <v>480</v>
          </cell>
          <cell r="G26">
            <v>480</v>
          </cell>
          <cell r="H26">
            <v>480</v>
          </cell>
          <cell r="I26">
            <v>480</v>
          </cell>
          <cell r="J26">
            <v>480</v>
          </cell>
          <cell r="K26">
            <v>480</v>
          </cell>
          <cell r="L26">
            <v>480</v>
          </cell>
          <cell r="M26">
            <v>480</v>
          </cell>
          <cell r="N26">
            <v>480</v>
          </cell>
        </row>
        <row r="27">
          <cell r="C27">
            <v>920</v>
          </cell>
          <cell r="D27">
            <v>918</v>
          </cell>
          <cell r="E27">
            <v>962</v>
          </cell>
          <cell r="F27">
            <v>966</v>
          </cell>
          <cell r="G27">
            <v>960</v>
          </cell>
          <cell r="H27">
            <v>958</v>
          </cell>
          <cell r="I27">
            <v>966</v>
          </cell>
          <cell r="J27">
            <v>960</v>
          </cell>
          <cell r="K27">
            <v>964</v>
          </cell>
          <cell r="L27">
            <v>960</v>
          </cell>
          <cell r="M27">
            <v>950</v>
          </cell>
          <cell r="N27">
            <v>960</v>
          </cell>
        </row>
        <row r="28">
          <cell r="C28">
            <v>920</v>
          </cell>
          <cell r="D28">
            <v>918</v>
          </cell>
          <cell r="E28">
            <v>962</v>
          </cell>
          <cell r="F28">
            <v>966</v>
          </cell>
          <cell r="G28">
            <v>960</v>
          </cell>
          <cell r="H28">
            <v>958</v>
          </cell>
          <cell r="I28">
            <v>966</v>
          </cell>
          <cell r="J28">
            <v>960</v>
          </cell>
          <cell r="K28">
            <v>964</v>
          </cell>
          <cell r="L28">
            <v>960</v>
          </cell>
          <cell r="M28">
            <v>950</v>
          </cell>
          <cell r="N28">
            <v>960</v>
          </cell>
        </row>
      </sheetData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40"/>
    </sheetNames>
    <sheetDataSet>
      <sheetData sheetId="0">
        <row r="5">
          <cell r="A5">
            <v>1412000035</v>
          </cell>
          <cell r="B5" t="str">
            <v>外製管理課</v>
          </cell>
        </row>
        <row r="10">
          <cell r="C10">
            <v>2</v>
          </cell>
          <cell r="D10">
            <v>2</v>
          </cell>
          <cell r="E10">
            <v>2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  <cell r="K10">
            <v>2</v>
          </cell>
          <cell r="L10">
            <v>2</v>
          </cell>
          <cell r="M10">
            <v>2</v>
          </cell>
          <cell r="N10">
            <v>2</v>
          </cell>
        </row>
        <row r="11">
          <cell r="C11">
            <v>25</v>
          </cell>
          <cell r="D11">
            <v>27</v>
          </cell>
          <cell r="E11">
            <v>29</v>
          </cell>
          <cell r="F11">
            <v>30</v>
          </cell>
          <cell r="G11">
            <v>30</v>
          </cell>
          <cell r="H11">
            <v>31</v>
          </cell>
          <cell r="I11">
            <v>32</v>
          </cell>
          <cell r="J11">
            <v>32</v>
          </cell>
          <cell r="K11">
            <v>32</v>
          </cell>
          <cell r="L11">
            <v>32</v>
          </cell>
          <cell r="M11">
            <v>32</v>
          </cell>
          <cell r="N11">
            <v>32</v>
          </cell>
        </row>
        <row r="12">
          <cell r="C12">
            <v>4</v>
          </cell>
          <cell r="D12">
            <v>4</v>
          </cell>
          <cell r="E12">
            <v>4</v>
          </cell>
          <cell r="F12">
            <v>4</v>
          </cell>
          <cell r="G12">
            <v>4</v>
          </cell>
          <cell r="H12">
            <v>4</v>
          </cell>
          <cell r="I12">
            <v>4</v>
          </cell>
          <cell r="J12">
            <v>4</v>
          </cell>
          <cell r="K12">
            <v>4</v>
          </cell>
          <cell r="L12">
            <v>4</v>
          </cell>
          <cell r="M12">
            <v>4</v>
          </cell>
          <cell r="N12">
            <v>4</v>
          </cell>
        </row>
        <row r="13">
          <cell r="C13">
            <v>29</v>
          </cell>
          <cell r="D13">
            <v>31</v>
          </cell>
          <cell r="E13">
            <v>33</v>
          </cell>
          <cell r="F13">
            <v>34</v>
          </cell>
          <cell r="G13">
            <v>34</v>
          </cell>
          <cell r="H13">
            <v>35</v>
          </cell>
          <cell r="I13">
            <v>36</v>
          </cell>
          <cell r="J13">
            <v>36</v>
          </cell>
          <cell r="K13">
            <v>36</v>
          </cell>
          <cell r="L13">
            <v>36</v>
          </cell>
          <cell r="M13">
            <v>36</v>
          </cell>
          <cell r="N13">
            <v>36</v>
          </cell>
        </row>
        <row r="14">
          <cell r="C14">
            <v>31</v>
          </cell>
          <cell r="D14">
            <v>33</v>
          </cell>
          <cell r="E14">
            <v>35</v>
          </cell>
          <cell r="F14">
            <v>36</v>
          </cell>
          <cell r="G14">
            <v>36</v>
          </cell>
          <cell r="H14">
            <v>37</v>
          </cell>
          <cell r="I14">
            <v>38</v>
          </cell>
          <cell r="J14">
            <v>38</v>
          </cell>
          <cell r="K14">
            <v>38</v>
          </cell>
          <cell r="L14">
            <v>38</v>
          </cell>
          <cell r="M14">
            <v>38</v>
          </cell>
          <cell r="N14">
            <v>38</v>
          </cell>
        </row>
        <row r="17">
          <cell r="C17">
            <v>340</v>
          </cell>
          <cell r="D17">
            <v>323</v>
          </cell>
          <cell r="E17">
            <v>357</v>
          </cell>
          <cell r="F17">
            <v>391</v>
          </cell>
          <cell r="G17">
            <v>297.5</v>
          </cell>
          <cell r="H17">
            <v>280.5</v>
          </cell>
          <cell r="I17">
            <v>391</v>
          </cell>
          <cell r="J17">
            <v>340</v>
          </cell>
          <cell r="K17">
            <v>374</v>
          </cell>
          <cell r="L17">
            <v>297.5</v>
          </cell>
          <cell r="M17">
            <v>212.5</v>
          </cell>
          <cell r="N17">
            <v>340</v>
          </cell>
        </row>
        <row r="18">
          <cell r="C18">
            <v>4037.5</v>
          </cell>
          <cell r="D18">
            <v>4131</v>
          </cell>
          <cell r="E18">
            <v>4930</v>
          </cell>
          <cell r="F18">
            <v>5610</v>
          </cell>
          <cell r="G18">
            <v>4845</v>
          </cell>
          <cell r="H18">
            <v>4743</v>
          </cell>
          <cell r="I18">
            <v>5984</v>
          </cell>
          <cell r="J18">
            <v>5168</v>
          </cell>
          <cell r="K18">
            <v>5712</v>
          </cell>
          <cell r="L18">
            <v>5168</v>
          </cell>
          <cell r="M18">
            <v>3808</v>
          </cell>
          <cell r="N18">
            <v>5168</v>
          </cell>
        </row>
        <row r="19">
          <cell r="C19">
            <v>646</v>
          </cell>
          <cell r="D19">
            <v>612</v>
          </cell>
          <cell r="E19">
            <v>680</v>
          </cell>
          <cell r="F19">
            <v>748</v>
          </cell>
          <cell r="G19">
            <v>646</v>
          </cell>
          <cell r="H19">
            <v>612</v>
          </cell>
          <cell r="I19">
            <v>748</v>
          </cell>
          <cell r="J19">
            <v>646</v>
          </cell>
          <cell r="K19">
            <v>714</v>
          </cell>
          <cell r="L19">
            <v>646</v>
          </cell>
          <cell r="M19">
            <v>476</v>
          </cell>
          <cell r="N19">
            <v>646</v>
          </cell>
        </row>
        <row r="20">
          <cell r="C20">
            <v>4683.5</v>
          </cell>
          <cell r="D20">
            <v>4743</v>
          </cell>
          <cell r="E20">
            <v>5610</v>
          </cell>
          <cell r="F20">
            <v>6358</v>
          </cell>
          <cell r="G20">
            <v>5491</v>
          </cell>
          <cell r="H20">
            <v>5355</v>
          </cell>
          <cell r="I20">
            <v>6732</v>
          </cell>
          <cell r="J20">
            <v>5814</v>
          </cell>
          <cell r="K20">
            <v>6426</v>
          </cell>
          <cell r="L20">
            <v>5814</v>
          </cell>
          <cell r="M20">
            <v>4284</v>
          </cell>
          <cell r="N20">
            <v>5814</v>
          </cell>
        </row>
        <row r="21">
          <cell r="C21">
            <v>5023.5</v>
          </cell>
          <cell r="D21">
            <v>5066</v>
          </cell>
          <cell r="E21">
            <v>5967</v>
          </cell>
          <cell r="F21">
            <v>6749</v>
          </cell>
          <cell r="G21">
            <v>5788.5</v>
          </cell>
          <cell r="H21">
            <v>5635.5</v>
          </cell>
          <cell r="I21">
            <v>7123</v>
          </cell>
          <cell r="J21">
            <v>6154</v>
          </cell>
          <cell r="K21">
            <v>6800</v>
          </cell>
          <cell r="L21">
            <v>6111.5</v>
          </cell>
          <cell r="M21">
            <v>4496.5</v>
          </cell>
          <cell r="N21">
            <v>6154</v>
          </cell>
        </row>
        <row r="24">
          <cell r="C24">
            <v>80</v>
          </cell>
          <cell r="D24">
            <v>76</v>
          </cell>
          <cell r="E24">
            <v>84</v>
          </cell>
          <cell r="F24">
            <v>92</v>
          </cell>
          <cell r="G24">
            <v>70</v>
          </cell>
          <cell r="H24">
            <v>66</v>
          </cell>
          <cell r="I24">
            <v>92</v>
          </cell>
          <cell r="J24">
            <v>80</v>
          </cell>
          <cell r="K24">
            <v>88</v>
          </cell>
          <cell r="L24">
            <v>70</v>
          </cell>
          <cell r="M24">
            <v>50</v>
          </cell>
          <cell r="N24">
            <v>80</v>
          </cell>
        </row>
        <row r="25">
          <cell r="C25">
            <v>444</v>
          </cell>
          <cell r="D25">
            <v>468</v>
          </cell>
          <cell r="E25">
            <v>510</v>
          </cell>
          <cell r="F25">
            <v>595</v>
          </cell>
          <cell r="G25">
            <v>565</v>
          </cell>
          <cell r="H25">
            <v>570</v>
          </cell>
          <cell r="I25">
            <v>625</v>
          </cell>
          <cell r="J25">
            <v>595</v>
          </cell>
          <cell r="K25">
            <v>615</v>
          </cell>
          <cell r="L25">
            <v>595</v>
          </cell>
          <cell r="M25">
            <v>545</v>
          </cell>
          <cell r="N25">
            <v>595</v>
          </cell>
        </row>
        <row r="26">
          <cell r="C26">
            <v>60</v>
          </cell>
          <cell r="D26">
            <v>60</v>
          </cell>
          <cell r="E26">
            <v>60</v>
          </cell>
          <cell r="F26">
            <v>60</v>
          </cell>
          <cell r="G26">
            <v>60</v>
          </cell>
          <cell r="H26">
            <v>60</v>
          </cell>
          <cell r="I26">
            <v>60</v>
          </cell>
          <cell r="J26">
            <v>60</v>
          </cell>
          <cell r="K26">
            <v>60</v>
          </cell>
          <cell r="L26">
            <v>60</v>
          </cell>
          <cell r="M26">
            <v>60</v>
          </cell>
          <cell r="N26">
            <v>60</v>
          </cell>
        </row>
        <row r="27">
          <cell r="C27">
            <v>504</v>
          </cell>
          <cell r="D27">
            <v>528</v>
          </cell>
          <cell r="E27">
            <v>570</v>
          </cell>
          <cell r="F27">
            <v>655</v>
          </cell>
          <cell r="G27">
            <v>625</v>
          </cell>
          <cell r="H27">
            <v>630</v>
          </cell>
          <cell r="I27">
            <v>685</v>
          </cell>
          <cell r="J27">
            <v>655</v>
          </cell>
          <cell r="K27">
            <v>675</v>
          </cell>
          <cell r="L27">
            <v>655</v>
          </cell>
          <cell r="M27">
            <v>605</v>
          </cell>
          <cell r="N27">
            <v>655</v>
          </cell>
        </row>
        <row r="28">
          <cell r="C28">
            <v>584</v>
          </cell>
          <cell r="D28">
            <v>604</v>
          </cell>
          <cell r="E28">
            <v>654</v>
          </cell>
          <cell r="F28">
            <v>747</v>
          </cell>
          <cell r="G28">
            <v>695</v>
          </cell>
          <cell r="H28">
            <v>696</v>
          </cell>
          <cell r="I28">
            <v>777</v>
          </cell>
          <cell r="J28">
            <v>735</v>
          </cell>
          <cell r="K28">
            <v>763</v>
          </cell>
          <cell r="L28">
            <v>725</v>
          </cell>
          <cell r="M28">
            <v>655</v>
          </cell>
          <cell r="N28">
            <v>735</v>
          </cell>
        </row>
      </sheetData>
      <sheetData sheetId="1"/>
      <sheetData sheetId="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20"/>
    </sheetNames>
    <sheetDataSet>
      <sheetData sheetId="0">
        <row r="5">
          <cell r="A5">
            <v>1412000080</v>
          </cell>
          <cell r="B5" t="str">
            <v>部品技術課</v>
          </cell>
        </row>
        <row r="10">
          <cell r="C10">
            <v>2</v>
          </cell>
          <cell r="D10">
            <v>2</v>
          </cell>
          <cell r="E10">
            <v>2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  <cell r="K10">
            <v>2</v>
          </cell>
          <cell r="L10">
            <v>2</v>
          </cell>
          <cell r="M10">
            <v>2</v>
          </cell>
          <cell r="N10">
            <v>2</v>
          </cell>
        </row>
        <row r="11">
          <cell r="C11">
            <v>21</v>
          </cell>
          <cell r="D11">
            <v>21</v>
          </cell>
          <cell r="E11">
            <v>21</v>
          </cell>
          <cell r="F11">
            <v>21</v>
          </cell>
          <cell r="G11">
            <v>23</v>
          </cell>
          <cell r="H11">
            <v>23</v>
          </cell>
          <cell r="I11">
            <v>23</v>
          </cell>
          <cell r="J11">
            <v>23</v>
          </cell>
          <cell r="K11">
            <v>23</v>
          </cell>
          <cell r="L11">
            <v>23</v>
          </cell>
          <cell r="M11">
            <v>23</v>
          </cell>
          <cell r="N11">
            <v>23</v>
          </cell>
        </row>
        <row r="13">
          <cell r="C13">
            <v>21</v>
          </cell>
          <cell r="D13">
            <v>21</v>
          </cell>
          <cell r="E13">
            <v>21</v>
          </cell>
          <cell r="F13">
            <v>21</v>
          </cell>
          <cell r="G13">
            <v>23</v>
          </cell>
          <cell r="H13">
            <v>23</v>
          </cell>
          <cell r="I13">
            <v>23</v>
          </cell>
          <cell r="J13">
            <v>23</v>
          </cell>
          <cell r="K13">
            <v>23</v>
          </cell>
          <cell r="L13">
            <v>23</v>
          </cell>
          <cell r="M13">
            <v>23</v>
          </cell>
          <cell r="N13">
            <v>23</v>
          </cell>
        </row>
        <row r="14">
          <cell r="C14">
            <v>23</v>
          </cell>
          <cell r="D14">
            <v>23</v>
          </cell>
          <cell r="E14">
            <v>23</v>
          </cell>
          <cell r="F14">
            <v>23</v>
          </cell>
          <cell r="G14">
            <v>25</v>
          </cell>
          <cell r="H14">
            <v>25</v>
          </cell>
          <cell r="I14">
            <v>25</v>
          </cell>
          <cell r="J14">
            <v>25</v>
          </cell>
          <cell r="K14">
            <v>25</v>
          </cell>
          <cell r="L14">
            <v>25</v>
          </cell>
          <cell r="M14">
            <v>25</v>
          </cell>
          <cell r="N14">
            <v>25</v>
          </cell>
        </row>
        <row r="17">
          <cell r="C17">
            <v>272</v>
          </cell>
          <cell r="D17">
            <v>323</v>
          </cell>
          <cell r="E17">
            <v>348.5</v>
          </cell>
          <cell r="F17">
            <v>391</v>
          </cell>
          <cell r="G17">
            <v>272</v>
          </cell>
          <cell r="H17">
            <v>314.5</v>
          </cell>
          <cell r="I17">
            <v>391</v>
          </cell>
          <cell r="J17">
            <v>331.5</v>
          </cell>
          <cell r="K17">
            <v>365.5</v>
          </cell>
          <cell r="L17">
            <v>340</v>
          </cell>
          <cell r="M17">
            <v>204</v>
          </cell>
          <cell r="N17">
            <v>340</v>
          </cell>
        </row>
        <row r="18">
          <cell r="C18">
            <v>3391.5</v>
          </cell>
          <cell r="D18">
            <v>3213</v>
          </cell>
          <cell r="E18">
            <v>3570</v>
          </cell>
          <cell r="F18">
            <v>3927</v>
          </cell>
          <cell r="G18">
            <v>3731.5</v>
          </cell>
          <cell r="H18">
            <v>3536</v>
          </cell>
          <cell r="I18">
            <v>4318</v>
          </cell>
          <cell r="J18">
            <v>3731.5</v>
          </cell>
          <cell r="K18">
            <v>4122.5</v>
          </cell>
          <cell r="L18">
            <v>3731.5</v>
          </cell>
          <cell r="M18">
            <v>2754</v>
          </cell>
          <cell r="N18">
            <v>3731.5</v>
          </cell>
        </row>
        <row r="20">
          <cell r="C20">
            <v>3391.5</v>
          </cell>
          <cell r="D20">
            <v>3213</v>
          </cell>
          <cell r="E20">
            <v>3570</v>
          </cell>
          <cell r="F20">
            <v>3927</v>
          </cell>
          <cell r="G20">
            <v>3731.5</v>
          </cell>
          <cell r="H20">
            <v>3536</v>
          </cell>
          <cell r="I20">
            <v>4318</v>
          </cell>
          <cell r="J20">
            <v>3731.5</v>
          </cell>
          <cell r="K20">
            <v>4122.5</v>
          </cell>
          <cell r="L20">
            <v>3731.5</v>
          </cell>
          <cell r="M20">
            <v>2754</v>
          </cell>
          <cell r="N20">
            <v>3731.5</v>
          </cell>
        </row>
        <row r="21">
          <cell r="C21">
            <v>3663.5</v>
          </cell>
          <cell r="D21">
            <v>3536</v>
          </cell>
          <cell r="E21">
            <v>3918.5</v>
          </cell>
          <cell r="F21">
            <v>4318</v>
          </cell>
          <cell r="G21">
            <v>4003.5</v>
          </cell>
          <cell r="H21">
            <v>3850.5</v>
          </cell>
          <cell r="I21">
            <v>4709</v>
          </cell>
          <cell r="J21">
            <v>4063</v>
          </cell>
          <cell r="K21">
            <v>4488</v>
          </cell>
          <cell r="L21">
            <v>4071.5</v>
          </cell>
          <cell r="M21">
            <v>2958</v>
          </cell>
          <cell r="N21">
            <v>4071.5</v>
          </cell>
        </row>
        <row r="24">
          <cell r="C24">
            <v>64</v>
          </cell>
          <cell r="D24">
            <v>76</v>
          </cell>
          <cell r="E24">
            <v>82</v>
          </cell>
          <cell r="F24">
            <v>92</v>
          </cell>
          <cell r="G24">
            <v>64</v>
          </cell>
          <cell r="H24">
            <v>74</v>
          </cell>
          <cell r="I24">
            <v>92</v>
          </cell>
          <cell r="J24">
            <v>78</v>
          </cell>
          <cell r="K24">
            <v>86</v>
          </cell>
          <cell r="L24">
            <v>80</v>
          </cell>
          <cell r="M24">
            <v>48</v>
          </cell>
          <cell r="N24">
            <v>80</v>
          </cell>
        </row>
        <row r="25">
          <cell r="C25">
            <v>40</v>
          </cell>
          <cell r="D25">
            <v>38</v>
          </cell>
          <cell r="E25">
            <v>52</v>
          </cell>
          <cell r="F25">
            <v>56</v>
          </cell>
          <cell r="G25">
            <v>40</v>
          </cell>
          <cell r="H25">
            <v>38</v>
          </cell>
          <cell r="I25">
            <v>56</v>
          </cell>
          <cell r="J25">
            <v>50</v>
          </cell>
          <cell r="K25">
            <v>44</v>
          </cell>
          <cell r="L25">
            <v>40</v>
          </cell>
          <cell r="M25">
            <v>30</v>
          </cell>
          <cell r="N25">
            <v>40</v>
          </cell>
        </row>
        <row r="27">
          <cell r="C27">
            <v>40</v>
          </cell>
          <cell r="D27">
            <v>38</v>
          </cell>
          <cell r="E27">
            <v>52</v>
          </cell>
          <cell r="F27">
            <v>56</v>
          </cell>
          <cell r="G27">
            <v>40</v>
          </cell>
          <cell r="H27">
            <v>38</v>
          </cell>
          <cell r="I27">
            <v>56</v>
          </cell>
          <cell r="J27">
            <v>50</v>
          </cell>
          <cell r="K27">
            <v>44</v>
          </cell>
          <cell r="L27">
            <v>40</v>
          </cell>
          <cell r="M27">
            <v>30</v>
          </cell>
          <cell r="N27">
            <v>40</v>
          </cell>
        </row>
        <row r="28">
          <cell r="C28">
            <v>104</v>
          </cell>
          <cell r="D28">
            <v>114</v>
          </cell>
          <cell r="E28">
            <v>134</v>
          </cell>
          <cell r="F28">
            <v>148</v>
          </cell>
          <cell r="G28">
            <v>104</v>
          </cell>
          <cell r="H28">
            <v>112</v>
          </cell>
          <cell r="I28">
            <v>148</v>
          </cell>
          <cell r="J28">
            <v>128</v>
          </cell>
          <cell r="K28">
            <v>130</v>
          </cell>
          <cell r="L28">
            <v>120</v>
          </cell>
          <cell r="M28">
            <v>78</v>
          </cell>
          <cell r="N28">
            <v>120</v>
          </cell>
        </row>
      </sheetData>
      <sheetData sheetId="1"/>
      <sheetData sheetId="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42"/>
    </sheetNames>
    <sheetDataSet>
      <sheetData sheetId="0">
        <row r="5">
          <cell r="A5">
            <v>1412000016</v>
          </cell>
          <cell r="B5" t="str">
            <v>生産技術1課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16</v>
          </cell>
          <cell r="D11">
            <v>17</v>
          </cell>
          <cell r="E11">
            <v>17</v>
          </cell>
          <cell r="F11">
            <v>17</v>
          </cell>
          <cell r="G11">
            <v>17</v>
          </cell>
          <cell r="H11">
            <v>17</v>
          </cell>
          <cell r="I11">
            <v>17</v>
          </cell>
          <cell r="J11">
            <v>17</v>
          </cell>
          <cell r="K11">
            <v>17</v>
          </cell>
          <cell r="L11">
            <v>17</v>
          </cell>
          <cell r="M11">
            <v>17</v>
          </cell>
          <cell r="N11">
            <v>17</v>
          </cell>
        </row>
        <row r="13">
          <cell r="C13">
            <v>16</v>
          </cell>
          <cell r="D13">
            <v>17</v>
          </cell>
          <cell r="E13">
            <v>17</v>
          </cell>
          <cell r="F13">
            <v>17</v>
          </cell>
          <cell r="G13">
            <v>17</v>
          </cell>
          <cell r="H13">
            <v>17</v>
          </cell>
          <cell r="I13">
            <v>17</v>
          </cell>
          <cell r="J13">
            <v>17</v>
          </cell>
          <cell r="K13">
            <v>17</v>
          </cell>
          <cell r="L13">
            <v>17</v>
          </cell>
          <cell r="M13">
            <v>17</v>
          </cell>
          <cell r="N13">
            <v>17</v>
          </cell>
        </row>
        <row r="14">
          <cell r="C14">
            <v>17</v>
          </cell>
          <cell r="D14">
            <v>18</v>
          </cell>
          <cell r="E14">
            <v>18</v>
          </cell>
          <cell r="F14">
            <v>18</v>
          </cell>
          <cell r="G14">
            <v>18</v>
          </cell>
          <cell r="H14">
            <v>18</v>
          </cell>
          <cell r="I14">
            <v>18</v>
          </cell>
          <cell r="J14">
            <v>18</v>
          </cell>
          <cell r="K14">
            <v>18</v>
          </cell>
          <cell r="L14">
            <v>18</v>
          </cell>
          <cell r="M14">
            <v>18</v>
          </cell>
          <cell r="N14">
            <v>18</v>
          </cell>
        </row>
        <row r="17">
          <cell r="C17">
            <v>153</v>
          </cell>
          <cell r="D17">
            <v>144.5</v>
          </cell>
          <cell r="E17">
            <v>178.5</v>
          </cell>
          <cell r="F17">
            <v>195.5</v>
          </cell>
          <cell r="G17">
            <v>170</v>
          </cell>
          <cell r="H17">
            <v>161.5</v>
          </cell>
          <cell r="I17">
            <v>195.5</v>
          </cell>
          <cell r="J17">
            <v>170</v>
          </cell>
          <cell r="K17">
            <v>170</v>
          </cell>
          <cell r="L17">
            <v>170</v>
          </cell>
          <cell r="M17">
            <v>127.5</v>
          </cell>
          <cell r="N17">
            <v>170</v>
          </cell>
        </row>
        <row r="18">
          <cell r="C18">
            <v>2720</v>
          </cell>
          <cell r="D18">
            <v>2745.5</v>
          </cell>
          <cell r="E18">
            <v>3034.5</v>
          </cell>
          <cell r="F18">
            <v>3323.5</v>
          </cell>
          <cell r="G18">
            <v>2890</v>
          </cell>
          <cell r="H18">
            <v>2745.5</v>
          </cell>
          <cell r="I18">
            <v>3323.5</v>
          </cell>
          <cell r="J18">
            <v>2890</v>
          </cell>
          <cell r="K18">
            <v>3179</v>
          </cell>
          <cell r="L18">
            <v>2890</v>
          </cell>
          <cell r="M18">
            <v>2167.5</v>
          </cell>
          <cell r="N18">
            <v>2890</v>
          </cell>
        </row>
        <row r="20">
          <cell r="C20">
            <v>2720</v>
          </cell>
          <cell r="D20">
            <v>2745.5</v>
          </cell>
          <cell r="E20">
            <v>3034.5</v>
          </cell>
          <cell r="F20">
            <v>3323.5</v>
          </cell>
          <cell r="G20">
            <v>2890</v>
          </cell>
          <cell r="H20">
            <v>2745.5</v>
          </cell>
          <cell r="I20">
            <v>3323.5</v>
          </cell>
          <cell r="J20">
            <v>2890</v>
          </cell>
          <cell r="K20">
            <v>3179</v>
          </cell>
          <cell r="L20">
            <v>2890</v>
          </cell>
          <cell r="M20">
            <v>2167.5</v>
          </cell>
          <cell r="N20">
            <v>2890</v>
          </cell>
        </row>
        <row r="21">
          <cell r="C21">
            <v>2873</v>
          </cell>
          <cell r="D21">
            <v>2890</v>
          </cell>
          <cell r="E21">
            <v>3213</v>
          </cell>
          <cell r="F21">
            <v>3519</v>
          </cell>
          <cell r="G21">
            <v>3060</v>
          </cell>
          <cell r="H21">
            <v>2907</v>
          </cell>
          <cell r="I21">
            <v>3519</v>
          </cell>
          <cell r="J21">
            <v>3060</v>
          </cell>
          <cell r="K21">
            <v>3349</v>
          </cell>
          <cell r="L21">
            <v>3060</v>
          </cell>
          <cell r="M21">
            <v>2295</v>
          </cell>
          <cell r="N21">
            <v>3060</v>
          </cell>
        </row>
        <row r="24">
          <cell r="C24">
            <v>36</v>
          </cell>
          <cell r="D24">
            <v>34</v>
          </cell>
          <cell r="E24">
            <v>42</v>
          </cell>
          <cell r="F24">
            <v>46</v>
          </cell>
          <cell r="G24">
            <v>40</v>
          </cell>
          <cell r="H24">
            <v>38</v>
          </cell>
          <cell r="I24">
            <v>46</v>
          </cell>
          <cell r="J24">
            <v>40</v>
          </cell>
          <cell r="K24">
            <v>40</v>
          </cell>
          <cell r="L24">
            <v>40</v>
          </cell>
          <cell r="M24">
            <v>30</v>
          </cell>
          <cell r="N24">
            <v>40</v>
          </cell>
        </row>
        <row r="25">
          <cell r="C25">
            <v>200</v>
          </cell>
          <cell r="D25">
            <v>200</v>
          </cell>
          <cell r="E25">
            <v>250</v>
          </cell>
          <cell r="F25">
            <v>300</v>
          </cell>
          <cell r="G25">
            <v>250</v>
          </cell>
          <cell r="H25">
            <v>250</v>
          </cell>
          <cell r="I25">
            <v>300</v>
          </cell>
          <cell r="J25">
            <v>300</v>
          </cell>
          <cell r="K25">
            <v>250</v>
          </cell>
          <cell r="L25">
            <v>200</v>
          </cell>
          <cell r="M25">
            <v>150</v>
          </cell>
          <cell r="N25">
            <v>200</v>
          </cell>
        </row>
        <row r="27">
          <cell r="C27">
            <v>200</v>
          </cell>
          <cell r="D27">
            <v>200</v>
          </cell>
          <cell r="E27">
            <v>250</v>
          </cell>
          <cell r="F27">
            <v>300</v>
          </cell>
          <cell r="G27">
            <v>250</v>
          </cell>
          <cell r="H27">
            <v>250</v>
          </cell>
          <cell r="I27">
            <v>300</v>
          </cell>
          <cell r="J27">
            <v>300</v>
          </cell>
          <cell r="K27">
            <v>250</v>
          </cell>
          <cell r="L27">
            <v>200</v>
          </cell>
          <cell r="M27">
            <v>150</v>
          </cell>
          <cell r="N27">
            <v>200</v>
          </cell>
        </row>
        <row r="28">
          <cell r="C28">
            <v>236</v>
          </cell>
          <cell r="D28">
            <v>234</v>
          </cell>
          <cell r="E28">
            <v>292</v>
          </cell>
          <cell r="F28">
            <v>346</v>
          </cell>
          <cell r="G28">
            <v>290</v>
          </cell>
          <cell r="H28">
            <v>288</v>
          </cell>
          <cell r="I28">
            <v>346</v>
          </cell>
          <cell r="J28">
            <v>340</v>
          </cell>
          <cell r="K28">
            <v>290</v>
          </cell>
          <cell r="L28">
            <v>240</v>
          </cell>
          <cell r="M28">
            <v>180</v>
          </cell>
          <cell r="N28">
            <v>240</v>
          </cell>
        </row>
      </sheetData>
      <sheetData sheetId="1"/>
      <sheetData sheetId="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43"/>
    </sheetNames>
    <sheetDataSet>
      <sheetData sheetId="0">
        <row r="5">
          <cell r="A5">
            <v>1412000069</v>
          </cell>
          <cell r="B5" t="str">
            <v>生産技術2課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12</v>
          </cell>
          <cell r="D11">
            <v>13</v>
          </cell>
          <cell r="E11">
            <v>13</v>
          </cell>
          <cell r="F11">
            <v>13</v>
          </cell>
          <cell r="G11">
            <v>13</v>
          </cell>
          <cell r="H11">
            <v>13</v>
          </cell>
          <cell r="I11">
            <v>13</v>
          </cell>
          <cell r="J11">
            <v>13</v>
          </cell>
          <cell r="K11">
            <v>13</v>
          </cell>
          <cell r="L11">
            <v>13</v>
          </cell>
          <cell r="M11">
            <v>13</v>
          </cell>
          <cell r="N11">
            <v>13</v>
          </cell>
        </row>
        <row r="13">
          <cell r="C13">
            <v>12</v>
          </cell>
          <cell r="D13">
            <v>13</v>
          </cell>
          <cell r="E13">
            <v>13</v>
          </cell>
          <cell r="F13">
            <v>13</v>
          </cell>
          <cell r="G13">
            <v>13</v>
          </cell>
          <cell r="H13">
            <v>13</v>
          </cell>
          <cell r="I13">
            <v>13</v>
          </cell>
          <cell r="J13">
            <v>13</v>
          </cell>
          <cell r="K13">
            <v>13</v>
          </cell>
          <cell r="L13">
            <v>13</v>
          </cell>
          <cell r="M13">
            <v>13</v>
          </cell>
          <cell r="N13">
            <v>13</v>
          </cell>
        </row>
        <row r="14">
          <cell r="C14">
            <v>13</v>
          </cell>
          <cell r="D14">
            <v>14</v>
          </cell>
          <cell r="E14">
            <v>14</v>
          </cell>
          <cell r="F14">
            <v>14</v>
          </cell>
          <cell r="G14">
            <v>14</v>
          </cell>
          <cell r="H14">
            <v>14</v>
          </cell>
          <cell r="I14">
            <v>14</v>
          </cell>
          <cell r="J14">
            <v>14</v>
          </cell>
          <cell r="K14">
            <v>14</v>
          </cell>
          <cell r="L14">
            <v>14</v>
          </cell>
          <cell r="M14">
            <v>14</v>
          </cell>
          <cell r="N14">
            <v>14</v>
          </cell>
        </row>
        <row r="17">
          <cell r="C17">
            <v>170</v>
          </cell>
          <cell r="D17">
            <v>119</v>
          </cell>
          <cell r="E17">
            <v>178.5</v>
          </cell>
          <cell r="F17">
            <v>195.5</v>
          </cell>
          <cell r="G17">
            <v>170</v>
          </cell>
          <cell r="H17">
            <v>161.5</v>
          </cell>
          <cell r="I17">
            <v>195.5</v>
          </cell>
          <cell r="J17">
            <v>127.5</v>
          </cell>
          <cell r="K17">
            <v>187</v>
          </cell>
          <cell r="L17">
            <v>170</v>
          </cell>
          <cell r="M17">
            <v>127.5</v>
          </cell>
          <cell r="N17">
            <v>170</v>
          </cell>
        </row>
        <row r="18">
          <cell r="C18">
            <v>1938</v>
          </cell>
          <cell r="D18">
            <v>1989</v>
          </cell>
          <cell r="E18">
            <v>2210</v>
          </cell>
          <cell r="F18">
            <v>2431</v>
          </cell>
          <cell r="G18">
            <v>2099.5</v>
          </cell>
          <cell r="H18">
            <v>1989</v>
          </cell>
          <cell r="I18">
            <v>2431</v>
          </cell>
          <cell r="J18">
            <v>2099.5</v>
          </cell>
          <cell r="K18">
            <v>2265.25</v>
          </cell>
          <cell r="L18">
            <v>2099.5</v>
          </cell>
          <cell r="M18">
            <v>1547</v>
          </cell>
          <cell r="N18">
            <v>2099.5</v>
          </cell>
        </row>
        <row r="20">
          <cell r="C20">
            <v>1938</v>
          </cell>
          <cell r="D20">
            <v>1989</v>
          </cell>
          <cell r="E20">
            <v>2210</v>
          </cell>
          <cell r="F20">
            <v>2431</v>
          </cell>
          <cell r="G20">
            <v>2099.5</v>
          </cell>
          <cell r="H20">
            <v>1989</v>
          </cell>
          <cell r="I20">
            <v>2431</v>
          </cell>
          <cell r="J20">
            <v>2099.5</v>
          </cell>
          <cell r="K20">
            <v>2265.25</v>
          </cell>
          <cell r="L20">
            <v>2099.5</v>
          </cell>
          <cell r="M20">
            <v>1547</v>
          </cell>
          <cell r="N20">
            <v>2099.5</v>
          </cell>
        </row>
        <row r="21">
          <cell r="C21">
            <v>2108</v>
          </cell>
          <cell r="D21">
            <v>2108</v>
          </cell>
          <cell r="E21">
            <v>2388.5</v>
          </cell>
          <cell r="F21">
            <v>2626.5</v>
          </cell>
          <cell r="G21">
            <v>2269.5</v>
          </cell>
          <cell r="H21">
            <v>2150.5</v>
          </cell>
          <cell r="I21">
            <v>2626.5</v>
          </cell>
          <cell r="J21">
            <v>2227</v>
          </cell>
          <cell r="K21">
            <v>2452.25</v>
          </cell>
          <cell r="L21">
            <v>2269.5</v>
          </cell>
          <cell r="M21">
            <v>1674.5</v>
          </cell>
          <cell r="N21">
            <v>2269.5</v>
          </cell>
        </row>
        <row r="24">
          <cell r="C24">
            <v>40</v>
          </cell>
          <cell r="D24">
            <v>28</v>
          </cell>
          <cell r="E24">
            <v>42</v>
          </cell>
          <cell r="F24">
            <v>46</v>
          </cell>
          <cell r="G24">
            <v>40</v>
          </cell>
          <cell r="H24">
            <v>38</v>
          </cell>
          <cell r="I24">
            <v>46</v>
          </cell>
          <cell r="J24">
            <v>30</v>
          </cell>
          <cell r="K24">
            <v>44</v>
          </cell>
          <cell r="L24">
            <v>40</v>
          </cell>
          <cell r="M24">
            <v>30</v>
          </cell>
          <cell r="N24">
            <v>40</v>
          </cell>
        </row>
        <row r="25">
          <cell r="C25">
            <v>80</v>
          </cell>
          <cell r="D25">
            <v>80</v>
          </cell>
          <cell r="E25">
            <v>80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>
            <v>100</v>
          </cell>
          <cell r="K25">
            <v>100</v>
          </cell>
          <cell r="L25">
            <v>80</v>
          </cell>
          <cell r="M25">
            <v>60</v>
          </cell>
          <cell r="N25">
            <v>80</v>
          </cell>
        </row>
        <row r="27">
          <cell r="C27">
            <v>80</v>
          </cell>
          <cell r="D27">
            <v>80</v>
          </cell>
          <cell r="E27">
            <v>80</v>
          </cell>
          <cell r="F27">
            <v>100</v>
          </cell>
          <cell r="G27">
            <v>100</v>
          </cell>
          <cell r="H27">
            <v>100</v>
          </cell>
          <cell r="I27">
            <v>100</v>
          </cell>
          <cell r="J27">
            <v>100</v>
          </cell>
          <cell r="K27">
            <v>100</v>
          </cell>
          <cell r="L27">
            <v>80</v>
          </cell>
          <cell r="M27">
            <v>60</v>
          </cell>
          <cell r="N27">
            <v>80</v>
          </cell>
        </row>
        <row r="28">
          <cell r="C28">
            <v>120</v>
          </cell>
          <cell r="D28">
            <v>108</v>
          </cell>
          <cell r="E28">
            <v>122</v>
          </cell>
          <cell r="F28">
            <v>146</v>
          </cell>
          <cell r="G28">
            <v>140</v>
          </cell>
          <cell r="H28">
            <v>138</v>
          </cell>
          <cell r="I28">
            <v>146</v>
          </cell>
          <cell r="J28">
            <v>130</v>
          </cell>
          <cell r="K28">
            <v>144</v>
          </cell>
          <cell r="L28">
            <v>120</v>
          </cell>
          <cell r="M28">
            <v>90</v>
          </cell>
          <cell r="N28">
            <v>120</v>
          </cell>
        </row>
      </sheetData>
      <sheetData sheetId="1"/>
      <sheetData sheetId="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>
            <v>1412000084</v>
          </cell>
          <cell r="B5" t="str">
            <v>生産技術3課</v>
          </cell>
        </row>
        <row r="11">
          <cell r="C11">
            <v>22</v>
          </cell>
          <cell r="D11">
            <v>22</v>
          </cell>
          <cell r="E11">
            <v>22</v>
          </cell>
          <cell r="F11">
            <v>23</v>
          </cell>
          <cell r="G11">
            <v>23</v>
          </cell>
          <cell r="H11">
            <v>23</v>
          </cell>
          <cell r="I11">
            <v>23</v>
          </cell>
          <cell r="J11">
            <v>23</v>
          </cell>
          <cell r="K11">
            <v>23</v>
          </cell>
          <cell r="L11">
            <v>23</v>
          </cell>
          <cell r="M11">
            <v>23</v>
          </cell>
          <cell r="N11">
            <v>23</v>
          </cell>
        </row>
        <row r="13">
          <cell r="C13">
            <v>22</v>
          </cell>
          <cell r="D13">
            <v>22</v>
          </cell>
          <cell r="E13">
            <v>22</v>
          </cell>
          <cell r="F13">
            <v>23</v>
          </cell>
          <cell r="G13">
            <v>23</v>
          </cell>
          <cell r="H13">
            <v>23</v>
          </cell>
          <cell r="I13">
            <v>23</v>
          </cell>
          <cell r="J13">
            <v>23</v>
          </cell>
          <cell r="K13">
            <v>23</v>
          </cell>
          <cell r="L13">
            <v>23</v>
          </cell>
          <cell r="M13">
            <v>23</v>
          </cell>
          <cell r="N13">
            <v>23</v>
          </cell>
        </row>
        <row r="14">
          <cell r="C14">
            <v>22</v>
          </cell>
          <cell r="D14">
            <v>22</v>
          </cell>
          <cell r="E14">
            <v>22</v>
          </cell>
          <cell r="F14">
            <v>23</v>
          </cell>
          <cell r="G14">
            <v>23</v>
          </cell>
          <cell r="H14">
            <v>23</v>
          </cell>
          <cell r="I14">
            <v>23</v>
          </cell>
          <cell r="J14">
            <v>23</v>
          </cell>
          <cell r="K14">
            <v>23</v>
          </cell>
          <cell r="L14">
            <v>23</v>
          </cell>
          <cell r="M14">
            <v>23</v>
          </cell>
          <cell r="N14">
            <v>23</v>
          </cell>
        </row>
        <row r="18">
          <cell r="C18">
            <v>3612.5</v>
          </cell>
          <cell r="D18">
            <v>3425.5</v>
          </cell>
          <cell r="E18">
            <v>3799.5</v>
          </cell>
          <cell r="F18">
            <v>4369</v>
          </cell>
          <cell r="G18">
            <v>3782.5</v>
          </cell>
          <cell r="H18">
            <v>3587</v>
          </cell>
          <cell r="I18">
            <v>4369</v>
          </cell>
          <cell r="J18">
            <v>3740</v>
          </cell>
          <cell r="K18">
            <v>4046</v>
          </cell>
          <cell r="L18">
            <v>3757</v>
          </cell>
          <cell r="M18">
            <v>2805</v>
          </cell>
          <cell r="N18">
            <v>3782.5</v>
          </cell>
        </row>
        <row r="20">
          <cell r="C20">
            <v>3612.5</v>
          </cell>
          <cell r="D20">
            <v>3425.5</v>
          </cell>
          <cell r="E20">
            <v>3799.5</v>
          </cell>
          <cell r="F20">
            <v>4369</v>
          </cell>
          <cell r="G20">
            <v>3782.5</v>
          </cell>
          <cell r="H20">
            <v>3587</v>
          </cell>
          <cell r="I20">
            <v>4369</v>
          </cell>
          <cell r="J20">
            <v>3740</v>
          </cell>
          <cell r="K20">
            <v>4046</v>
          </cell>
          <cell r="L20">
            <v>3757</v>
          </cell>
          <cell r="M20">
            <v>2805</v>
          </cell>
          <cell r="N20">
            <v>3782.5</v>
          </cell>
        </row>
        <row r="21">
          <cell r="C21">
            <v>3612.5</v>
          </cell>
          <cell r="D21">
            <v>3425.5</v>
          </cell>
          <cell r="E21">
            <v>3799.5</v>
          </cell>
          <cell r="F21">
            <v>4369</v>
          </cell>
          <cell r="G21">
            <v>3782.5</v>
          </cell>
          <cell r="H21">
            <v>3587</v>
          </cell>
          <cell r="I21">
            <v>4369</v>
          </cell>
          <cell r="J21">
            <v>3740</v>
          </cell>
          <cell r="K21">
            <v>4046</v>
          </cell>
          <cell r="L21">
            <v>3757</v>
          </cell>
          <cell r="M21">
            <v>2805</v>
          </cell>
          <cell r="N21">
            <v>3782.5</v>
          </cell>
        </row>
        <row r="25">
          <cell r="C25">
            <v>180</v>
          </cell>
          <cell r="D25">
            <v>180</v>
          </cell>
          <cell r="E25">
            <v>180</v>
          </cell>
          <cell r="F25">
            <v>220</v>
          </cell>
          <cell r="G25">
            <v>180</v>
          </cell>
          <cell r="H25">
            <v>170</v>
          </cell>
          <cell r="I25">
            <v>200</v>
          </cell>
          <cell r="J25">
            <v>180</v>
          </cell>
          <cell r="K25">
            <v>180</v>
          </cell>
          <cell r="L25">
            <v>180</v>
          </cell>
          <cell r="M25">
            <v>120</v>
          </cell>
          <cell r="N25">
            <v>200</v>
          </cell>
        </row>
        <row r="27">
          <cell r="C27">
            <v>180</v>
          </cell>
          <cell r="D27">
            <v>180</v>
          </cell>
          <cell r="E27">
            <v>180</v>
          </cell>
          <cell r="F27">
            <v>220</v>
          </cell>
          <cell r="G27">
            <v>180</v>
          </cell>
          <cell r="H27">
            <v>170</v>
          </cell>
          <cell r="I27">
            <v>200</v>
          </cell>
          <cell r="J27">
            <v>180</v>
          </cell>
          <cell r="K27">
            <v>180</v>
          </cell>
          <cell r="L27">
            <v>180</v>
          </cell>
          <cell r="M27">
            <v>120</v>
          </cell>
          <cell r="N27">
            <v>200</v>
          </cell>
        </row>
        <row r="28">
          <cell r="C28">
            <v>180</v>
          </cell>
          <cell r="D28">
            <v>180</v>
          </cell>
          <cell r="E28">
            <v>180</v>
          </cell>
          <cell r="F28">
            <v>220</v>
          </cell>
          <cell r="G28">
            <v>180</v>
          </cell>
          <cell r="H28">
            <v>170</v>
          </cell>
          <cell r="I28">
            <v>200</v>
          </cell>
          <cell r="J28">
            <v>180</v>
          </cell>
          <cell r="K28">
            <v>180</v>
          </cell>
          <cell r="L28">
            <v>180</v>
          </cell>
          <cell r="M28">
            <v>120</v>
          </cell>
          <cell r="N28">
            <v>200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>
            <v>1412000018</v>
          </cell>
          <cell r="B5" t="str">
            <v>品質保証課</v>
          </cell>
        </row>
        <row r="10">
          <cell r="C10">
            <v>2</v>
          </cell>
          <cell r="D10">
            <v>2</v>
          </cell>
          <cell r="E10">
            <v>2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  <cell r="K10">
            <v>2</v>
          </cell>
          <cell r="L10">
            <v>2</v>
          </cell>
          <cell r="M10">
            <v>2</v>
          </cell>
          <cell r="N10">
            <v>2</v>
          </cell>
        </row>
        <row r="11">
          <cell r="C11">
            <v>11</v>
          </cell>
          <cell r="D11">
            <v>11</v>
          </cell>
          <cell r="E11">
            <v>11</v>
          </cell>
          <cell r="F11">
            <v>11</v>
          </cell>
          <cell r="G11">
            <v>11</v>
          </cell>
          <cell r="H11">
            <v>11</v>
          </cell>
          <cell r="I11">
            <v>11</v>
          </cell>
          <cell r="J11">
            <v>11</v>
          </cell>
          <cell r="K11">
            <v>11</v>
          </cell>
          <cell r="L11">
            <v>11</v>
          </cell>
          <cell r="M11">
            <v>11</v>
          </cell>
          <cell r="N11">
            <v>11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</row>
        <row r="13">
          <cell r="C13">
            <v>12</v>
          </cell>
          <cell r="D13">
            <v>12</v>
          </cell>
          <cell r="E13">
            <v>12</v>
          </cell>
          <cell r="F13">
            <v>12</v>
          </cell>
          <cell r="G13">
            <v>12</v>
          </cell>
          <cell r="H13">
            <v>12</v>
          </cell>
          <cell r="I13">
            <v>12</v>
          </cell>
          <cell r="J13">
            <v>12</v>
          </cell>
          <cell r="K13">
            <v>12</v>
          </cell>
          <cell r="L13">
            <v>12</v>
          </cell>
          <cell r="M13">
            <v>12</v>
          </cell>
          <cell r="N13">
            <v>12</v>
          </cell>
        </row>
        <row r="14">
          <cell r="C14">
            <v>14</v>
          </cell>
          <cell r="D14">
            <v>14</v>
          </cell>
          <cell r="E14">
            <v>14</v>
          </cell>
          <cell r="F14">
            <v>14</v>
          </cell>
          <cell r="G14">
            <v>14</v>
          </cell>
          <cell r="H14">
            <v>14</v>
          </cell>
          <cell r="I14">
            <v>14</v>
          </cell>
          <cell r="J14">
            <v>14</v>
          </cell>
          <cell r="K14">
            <v>14</v>
          </cell>
          <cell r="L14">
            <v>14</v>
          </cell>
          <cell r="M14">
            <v>14</v>
          </cell>
          <cell r="N14">
            <v>14</v>
          </cell>
        </row>
        <row r="17">
          <cell r="C17">
            <v>340</v>
          </cell>
          <cell r="D17">
            <v>238</v>
          </cell>
          <cell r="E17">
            <v>357</v>
          </cell>
          <cell r="F17">
            <v>391</v>
          </cell>
          <cell r="G17">
            <v>340</v>
          </cell>
          <cell r="H17">
            <v>280.5</v>
          </cell>
          <cell r="I17">
            <v>348.5</v>
          </cell>
          <cell r="J17">
            <v>340</v>
          </cell>
          <cell r="K17">
            <v>374</v>
          </cell>
          <cell r="L17">
            <v>340</v>
          </cell>
          <cell r="M17">
            <v>255</v>
          </cell>
          <cell r="N17">
            <v>340</v>
          </cell>
        </row>
        <row r="18">
          <cell r="C18">
            <v>1733.75</v>
          </cell>
          <cell r="D18">
            <v>1702.25</v>
          </cell>
          <cell r="E18">
            <v>1878.75</v>
          </cell>
          <cell r="F18">
            <v>2068</v>
          </cell>
          <cell r="G18">
            <v>1777.75</v>
          </cell>
          <cell r="H18">
            <v>1681</v>
          </cell>
          <cell r="I18">
            <v>2083</v>
          </cell>
          <cell r="J18">
            <v>1797.75</v>
          </cell>
          <cell r="K18">
            <v>1984.75</v>
          </cell>
          <cell r="L18">
            <v>1802</v>
          </cell>
          <cell r="M18">
            <v>1334.5</v>
          </cell>
          <cell r="N18">
            <v>1802</v>
          </cell>
        </row>
        <row r="19">
          <cell r="C19">
            <v>161.5</v>
          </cell>
          <cell r="D19">
            <v>153</v>
          </cell>
          <cell r="E19">
            <v>170</v>
          </cell>
          <cell r="F19">
            <v>187</v>
          </cell>
          <cell r="G19">
            <v>161.5</v>
          </cell>
          <cell r="H19">
            <v>153</v>
          </cell>
          <cell r="I19">
            <v>187</v>
          </cell>
          <cell r="J19">
            <v>161.5</v>
          </cell>
          <cell r="K19">
            <v>178.5</v>
          </cell>
          <cell r="L19">
            <v>161.5</v>
          </cell>
          <cell r="M19">
            <v>119</v>
          </cell>
          <cell r="N19">
            <v>161.5</v>
          </cell>
        </row>
        <row r="20">
          <cell r="C20">
            <v>1895.25</v>
          </cell>
          <cell r="D20">
            <v>1855.25</v>
          </cell>
          <cell r="E20">
            <v>2048.75</v>
          </cell>
          <cell r="F20">
            <v>2255</v>
          </cell>
          <cell r="G20">
            <v>1939.25</v>
          </cell>
          <cell r="H20">
            <v>1834</v>
          </cell>
          <cell r="I20">
            <v>2270</v>
          </cell>
          <cell r="J20">
            <v>1959.25</v>
          </cell>
          <cell r="K20">
            <v>2163.25</v>
          </cell>
          <cell r="L20">
            <v>1963.5</v>
          </cell>
          <cell r="M20">
            <v>1453.5</v>
          </cell>
          <cell r="N20">
            <v>1963.5</v>
          </cell>
        </row>
        <row r="21">
          <cell r="C21">
            <v>2235.25</v>
          </cell>
          <cell r="D21">
            <v>2093.25</v>
          </cell>
          <cell r="E21">
            <v>2405.75</v>
          </cell>
          <cell r="F21">
            <v>2646</v>
          </cell>
          <cell r="G21">
            <v>2279.25</v>
          </cell>
          <cell r="H21">
            <v>2114.5</v>
          </cell>
          <cell r="I21">
            <v>2618.5</v>
          </cell>
          <cell r="J21">
            <v>2299.25</v>
          </cell>
          <cell r="K21">
            <v>2537.25</v>
          </cell>
          <cell r="L21">
            <v>2303.5</v>
          </cell>
          <cell r="M21">
            <v>1708.5</v>
          </cell>
          <cell r="N21">
            <v>2303.5</v>
          </cell>
        </row>
        <row r="24">
          <cell r="C24">
            <v>80</v>
          </cell>
          <cell r="D24">
            <v>56</v>
          </cell>
          <cell r="E24">
            <v>84</v>
          </cell>
          <cell r="F24">
            <v>92</v>
          </cell>
          <cell r="G24">
            <v>80</v>
          </cell>
          <cell r="H24">
            <v>66</v>
          </cell>
          <cell r="I24">
            <v>82</v>
          </cell>
          <cell r="J24">
            <v>80</v>
          </cell>
          <cell r="K24">
            <v>88</v>
          </cell>
          <cell r="L24">
            <v>80</v>
          </cell>
          <cell r="M24">
            <v>60</v>
          </cell>
          <cell r="N24">
            <v>80</v>
          </cell>
        </row>
        <row r="25">
          <cell r="C25">
            <v>90</v>
          </cell>
          <cell r="D25">
            <v>83</v>
          </cell>
          <cell r="E25">
            <v>99.5</v>
          </cell>
          <cell r="F25">
            <v>96</v>
          </cell>
          <cell r="G25">
            <v>107</v>
          </cell>
          <cell r="H25">
            <v>71</v>
          </cell>
          <cell r="I25">
            <v>103.5</v>
          </cell>
          <cell r="J25">
            <v>85</v>
          </cell>
          <cell r="K25">
            <v>89</v>
          </cell>
          <cell r="L25">
            <v>75</v>
          </cell>
          <cell r="M25">
            <v>97</v>
          </cell>
          <cell r="N25">
            <v>75</v>
          </cell>
        </row>
        <row r="26">
          <cell r="C26">
            <v>3</v>
          </cell>
          <cell r="D26">
            <v>3</v>
          </cell>
          <cell r="E26">
            <v>3</v>
          </cell>
          <cell r="F26">
            <v>3</v>
          </cell>
          <cell r="G26">
            <v>3</v>
          </cell>
          <cell r="H26">
            <v>3</v>
          </cell>
          <cell r="I26">
            <v>3</v>
          </cell>
          <cell r="J26">
            <v>3</v>
          </cell>
          <cell r="K26">
            <v>3</v>
          </cell>
          <cell r="L26">
            <v>3</v>
          </cell>
          <cell r="M26">
            <v>3</v>
          </cell>
          <cell r="N26">
            <v>3</v>
          </cell>
        </row>
        <row r="27">
          <cell r="C27">
            <v>93</v>
          </cell>
          <cell r="D27">
            <v>86</v>
          </cell>
          <cell r="E27">
            <v>102.5</v>
          </cell>
          <cell r="F27">
            <v>99</v>
          </cell>
          <cell r="G27">
            <v>110</v>
          </cell>
          <cell r="H27">
            <v>74</v>
          </cell>
          <cell r="I27">
            <v>106.5</v>
          </cell>
          <cell r="J27">
            <v>88</v>
          </cell>
          <cell r="K27">
            <v>92</v>
          </cell>
          <cell r="L27">
            <v>78</v>
          </cell>
          <cell r="M27">
            <v>100</v>
          </cell>
          <cell r="N27">
            <v>78</v>
          </cell>
        </row>
        <row r="28">
          <cell r="C28">
            <v>173</v>
          </cell>
          <cell r="D28">
            <v>142</v>
          </cell>
          <cell r="E28">
            <v>186.5</v>
          </cell>
          <cell r="F28">
            <v>191</v>
          </cell>
          <cell r="G28">
            <v>190</v>
          </cell>
          <cell r="H28">
            <v>140</v>
          </cell>
          <cell r="I28">
            <v>188.5</v>
          </cell>
          <cell r="J28">
            <v>168</v>
          </cell>
          <cell r="K28">
            <v>180</v>
          </cell>
          <cell r="L28">
            <v>158</v>
          </cell>
          <cell r="M28">
            <v>160</v>
          </cell>
          <cell r="N28">
            <v>158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>
            <v>1412000019</v>
          </cell>
          <cell r="B5" t="str">
            <v>製品保証課</v>
          </cell>
        </row>
        <row r="11">
          <cell r="C11">
            <v>13</v>
          </cell>
          <cell r="D11">
            <v>13</v>
          </cell>
          <cell r="E11">
            <v>13</v>
          </cell>
          <cell r="F11">
            <v>13</v>
          </cell>
          <cell r="G11">
            <v>14</v>
          </cell>
          <cell r="H11">
            <v>14</v>
          </cell>
          <cell r="I11">
            <v>14</v>
          </cell>
          <cell r="J11">
            <v>14</v>
          </cell>
          <cell r="K11">
            <v>14</v>
          </cell>
          <cell r="L11">
            <v>14</v>
          </cell>
          <cell r="M11">
            <v>14</v>
          </cell>
          <cell r="N11">
            <v>14</v>
          </cell>
        </row>
        <row r="12">
          <cell r="C12">
            <v>32</v>
          </cell>
          <cell r="D12">
            <v>32</v>
          </cell>
          <cell r="E12">
            <v>32</v>
          </cell>
          <cell r="F12">
            <v>32</v>
          </cell>
          <cell r="G12">
            <v>33</v>
          </cell>
          <cell r="H12">
            <v>33</v>
          </cell>
          <cell r="I12">
            <v>33</v>
          </cell>
          <cell r="J12">
            <v>33</v>
          </cell>
          <cell r="K12">
            <v>33</v>
          </cell>
          <cell r="L12">
            <v>33</v>
          </cell>
          <cell r="M12">
            <v>33</v>
          </cell>
          <cell r="N12">
            <v>33</v>
          </cell>
        </row>
        <row r="13">
          <cell r="C13">
            <v>45</v>
          </cell>
          <cell r="D13">
            <v>45</v>
          </cell>
          <cell r="E13">
            <v>45</v>
          </cell>
          <cell r="F13">
            <v>45</v>
          </cell>
          <cell r="G13">
            <v>47</v>
          </cell>
          <cell r="H13">
            <v>47</v>
          </cell>
          <cell r="I13">
            <v>47</v>
          </cell>
          <cell r="J13">
            <v>47</v>
          </cell>
          <cell r="K13">
            <v>47</v>
          </cell>
          <cell r="L13">
            <v>47</v>
          </cell>
          <cell r="M13">
            <v>47</v>
          </cell>
          <cell r="N13">
            <v>47</v>
          </cell>
        </row>
        <row r="14">
          <cell r="C14">
            <v>45</v>
          </cell>
          <cell r="D14">
            <v>45</v>
          </cell>
          <cell r="E14">
            <v>45</v>
          </cell>
          <cell r="F14">
            <v>45</v>
          </cell>
          <cell r="G14">
            <v>47</v>
          </cell>
          <cell r="H14">
            <v>47</v>
          </cell>
          <cell r="I14">
            <v>47</v>
          </cell>
          <cell r="J14">
            <v>47</v>
          </cell>
          <cell r="K14">
            <v>47</v>
          </cell>
          <cell r="L14">
            <v>47</v>
          </cell>
          <cell r="M14">
            <v>47</v>
          </cell>
          <cell r="N14">
            <v>47</v>
          </cell>
        </row>
        <row r="18">
          <cell r="C18">
            <v>2099.5</v>
          </cell>
          <cell r="D18">
            <v>1989</v>
          </cell>
          <cell r="E18">
            <v>2210</v>
          </cell>
          <cell r="F18">
            <v>2431</v>
          </cell>
          <cell r="G18">
            <v>2244</v>
          </cell>
          <cell r="H18">
            <v>2142</v>
          </cell>
          <cell r="I18">
            <v>2618</v>
          </cell>
          <cell r="J18">
            <v>2261</v>
          </cell>
          <cell r="K18">
            <v>2499</v>
          </cell>
          <cell r="L18">
            <v>2261</v>
          </cell>
          <cell r="M18">
            <v>1666</v>
          </cell>
          <cell r="N18">
            <v>2261</v>
          </cell>
        </row>
        <row r="19">
          <cell r="C19">
            <v>4982</v>
          </cell>
          <cell r="D19">
            <v>4692.5</v>
          </cell>
          <cell r="E19">
            <v>5211.5</v>
          </cell>
          <cell r="F19">
            <v>5820.5</v>
          </cell>
          <cell r="G19">
            <v>5276.5</v>
          </cell>
          <cell r="H19">
            <v>4988</v>
          </cell>
          <cell r="I19">
            <v>6090</v>
          </cell>
          <cell r="J19">
            <v>5293.5</v>
          </cell>
          <cell r="K19">
            <v>5814.5</v>
          </cell>
          <cell r="L19">
            <v>5304.5</v>
          </cell>
          <cell r="M19">
            <v>3901</v>
          </cell>
          <cell r="N19">
            <v>5283.5</v>
          </cell>
        </row>
        <row r="20">
          <cell r="C20">
            <v>7081.5</v>
          </cell>
          <cell r="D20">
            <v>6681.5</v>
          </cell>
          <cell r="E20">
            <v>7421.5</v>
          </cell>
          <cell r="F20">
            <v>8251.5</v>
          </cell>
          <cell r="G20">
            <v>7520.5</v>
          </cell>
          <cell r="H20">
            <v>7130</v>
          </cell>
          <cell r="I20">
            <v>8708</v>
          </cell>
          <cell r="J20">
            <v>7554.5</v>
          </cell>
          <cell r="K20">
            <v>8313.5</v>
          </cell>
          <cell r="L20">
            <v>7565.5</v>
          </cell>
          <cell r="M20">
            <v>5567</v>
          </cell>
          <cell r="N20">
            <v>7544.5</v>
          </cell>
        </row>
        <row r="21">
          <cell r="C21">
            <v>7081.5</v>
          </cell>
          <cell r="D21">
            <v>6681.5</v>
          </cell>
          <cell r="E21">
            <v>7421.5</v>
          </cell>
          <cell r="F21">
            <v>8251.5</v>
          </cell>
          <cell r="G21">
            <v>7520.5</v>
          </cell>
          <cell r="H21">
            <v>7130</v>
          </cell>
          <cell r="I21">
            <v>8708</v>
          </cell>
          <cell r="J21">
            <v>7554.5</v>
          </cell>
          <cell r="K21">
            <v>8313.5</v>
          </cell>
          <cell r="L21">
            <v>7565.5</v>
          </cell>
          <cell r="M21">
            <v>5567</v>
          </cell>
          <cell r="N21">
            <v>7544.5</v>
          </cell>
        </row>
        <row r="25">
          <cell r="C25">
            <v>175</v>
          </cell>
          <cell r="D25">
            <v>173</v>
          </cell>
          <cell r="E25">
            <v>177</v>
          </cell>
          <cell r="F25">
            <v>181</v>
          </cell>
          <cell r="G25">
            <v>185</v>
          </cell>
          <cell r="H25">
            <v>173</v>
          </cell>
          <cell r="I25">
            <v>181</v>
          </cell>
          <cell r="J25">
            <v>175</v>
          </cell>
          <cell r="K25">
            <v>179</v>
          </cell>
          <cell r="L25">
            <v>175</v>
          </cell>
          <cell r="M25">
            <v>165</v>
          </cell>
          <cell r="N25">
            <v>189</v>
          </cell>
        </row>
        <row r="26">
          <cell r="C26">
            <v>405</v>
          </cell>
          <cell r="D26">
            <v>405</v>
          </cell>
          <cell r="E26">
            <v>405</v>
          </cell>
          <cell r="F26">
            <v>405</v>
          </cell>
          <cell r="G26">
            <v>425</v>
          </cell>
          <cell r="H26">
            <v>355</v>
          </cell>
          <cell r="I26">
            <v>355</v>
          </cell>
          <cell r="J26">
            <v>355</v>
          </cell>
          <cell r="K26">
            <v>355</v>
          </cell>
          <cell r="L26">
            <v>355</v>
          </cell>
          <cell r="M26">
            <v>355</v>
          </cell>
          <cell r="N26">
            <v>401</v>
          </cell>
        </row>
        <row r="27">
          <cell r="C27">
            <v>580</v>
          </cell>
          <cell r="D27">
            <v>578</v>
          </cell>
          <cell r="E27">
            <v>582</v>
          </cell>
          <cell r="F27">
            <v>586</v>
          </cell>
          <cell r="G27">
            <v>610</v>
          </cell>
          <cell r="H27">
            <v>528</v>
          </cell>
          <cell r="I27">
            <v>536</v>
          </cell>
          <cell r="J27">
            <v>530</v>
          </cell>
          <cell r="K27">
            <v>534</v>
          </cell>
          <cell r="L27">
            <v>530</v>
          </cell>
          <cell r="M27">
            <v>520</v>
          </cell>
          <cell r="N27">
            <v>590</v>
          </cell>
        </row>
        <row r="28">
          <cell r="C28">
            <v>580</v>
          </cell>
          <cell r="D28">
            <v>578</v>
          </cell>
          <cell r="E28">
            <v>582</v>
          </cell>
          <cell r="F28">
            <v>586</v>
          </cell>
          <cell r="G28">
            <v>610</v>
          </cell>
          <cell r="H28">
            <v>528</v>
          </cell>
          <cell r="I28">
            <v>536</v>
          </cell>
          <cell r="J28">
            <v>530</v>
          </cell>
          <cell r="K28">
            <v>534</v>
          </cell>
          <cell r="L28">
            <v>530</v>
          </cell>
          <cell r="M28">
            <v>520</v>
          </cell>
          <cell r="N28">
            <v>590</v>
          </cell>
        </row>
      </sheetData>
      <sheetData sheetId="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>
            <v>1412000058</v>
          </cell>
          <cell r="B5" t="str">
            <v>第1資材課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17</v>
          </cell>
          <cell r="D11">
            <v>17</v>
          </cell>
          <cell r="E11">
            <v>17</v>
          </cell>
          <cell r="F11">
            <v>17</v>
          </cell>
          <cell r="G11">
            <v>17</v>
          </cell>
          <cell r="H11">
            <v>17</v>
          </cell>
          <cell r="I11">
            <v>17</v>
          </cell>
          <cell r="J11">
            <v>17</v>
          </cell>
          <cell r="K11">
            <v>17</v>
          </cell>
          <cell r="L11">
            <v>17</v>
          </cell>
          <cell r="M11">
            <v>17</v>
          </cell>
          <cell r="N11">
            <v>17</v>
          </cell>
        </row>
        <row r="13">
          <cell r="C13">
            <v>17</v>
          </cell>
          <cell r="D13">
            <v>17</v>
          </cell>
          <cell r="E13">
            <v>17</v>
          </cell>
          <cell r="F13">
            <v>17</v>
          </cell>
          <cell r="G13">
            <v>17</v>
          </cell>
          <cell r="H13">
            <v>17</v>
          </cell>
          <cell r="I13">
            <v>17</v>
          </cell>
          <cell r="J13">
            <v>17</v>
          </cell>
          <cell r="K13">
            <v>17</v>
          </cell>
          <cell r="L13">
            <v>17</v>
          </cell>
          <cell r="M13">
            <v>17</v>
          </cell>
          <cell r="N13">
            <v>17</v>
          </cell>
        </row>
        <row r="14">
          <cell r="C14">
            <v>18</v>
          </cell>
          <cell r="D14">
            <v>18</v>
          </cell>
          <cell r="E14">
            <v>18</v>
          </cell>
          <cell r="F14">
            <v>18</v>
          </cell>
          <cell r="G14">
            <v>18</v>
          </cell>
          <cell r="H14">
            <v>18</v>
          </cell>
          <cell r="I14">
            <v>18</v>
          </cell>
          <cell r="J14">
            <v>18</v>
          </cell>
          <cell r="K14">
            <v>18</v>
          </cell>
          <cell r="L14">
            <v>18</v>
          </cell>
          <cell r="M14">
            <v>18</v>
          </cell>
          <cell r="N14">
            <v>18</v>
          </cell>
        </row>
        <row r="17">
          <cell r="C17">
            <v>170</v>
          </cell>
          <cell r="D17">
            <v>161.5</v>
          </cell>
          <cell r="E17">
            <v>178.5</v>
          </cell>
          <cell r="F17">
            <v>153</v>
          </cell>
          <cell r="G17">
            <v>161.5</v>
          </cell>
          <cell r="H17">
            <v>161.5</v>
          </cell>
          <cell r="I17">
            <v>195.5</v>
          </cell>
          <cell r="J17">
            <v>170</v>
          </cell>
          <cell r="K17">
            <v>187</v>
          </cell>
          <cell r="L17">
            <v>170</v>
          </cell>
          <cell r="M17">
            <v>127.5</v>
          </cell>
          <cell r="N17">
            <v>170</v>
          </cell>
        </row>
        <row r="18">
          <cell r="C18">
            <v>2507.5</v>
          </cell>
          <cell r="D18">
            <v>2354.5</v>
          </cell>
          <cell r="E18">
            <v>2703</v>
          </cell>
          <cell r="F18">
            <v>2975</v>
          </cell>
          <cell r="G18">
            <v>2567</v>
          </cell>
          <cell r="H18">
            <v>2431</v>
          </cell>
          <cell r="I18">
            <v>3060</v>
          </cell>
          <cell r="J18">
            <v>2711.5</v>
          </cell>
          <cell r="K18">
            <v>3017.5</v>
          </cell>
          <cell r="L18">
            <v>2728.5</v>
          </cell>
          <cell r="M18">
            <v>2006</v>
          </cell>
          <cell r="N18">
            <v>2728.5</v>
          </cell>
        </row>
        <row r="20">
          <cell r="C20">
            <v>2507.5</v>
          </cell>
          <cell r="D20">
            <v>2354.5</v>
          </cell>
          <cell r="E20">
            <v>2703</v>
          </cell>
          <cell r="F20">
            <v>2975</v>
          </cell>
          <cell r="G20">
            <v>2567</v>
          </cell>
          <cell r="H20">
            <v>2431</v>
          </cell>
          <cell r="I20">
            <v>3060</v>
          </cell>
          <cell r="J20">
            <v>2711.5</v>
          </cell>
          <cell r="K20">
            <v>3017.5</v>
          </cell>
          <cell r="L20">
            <v>2728.5</v>
          </cell>
          <cell r="M20">
            <v>2006</v>
          </cell>
          <cell r="N20">
            <v>2728.5</v>
          </cell>
        </row>
        <row r="21">
          <cell r="C21">
            <v>2677.5</v>
          </cell>
          <cell r="D21">
            <v>2516</v>
          </cell>
          <cell r="E21">
            <v>2881.5</v>
          </cell>
          <cell r="F21">
            <v>3128</v>
          </cell>
          <cell r="G21">
            <v>2728.5</v>
          </cell>
          <cell r="H21">
            <v>2592.5</v>
          </cell>
          <cell r="I21">
            <v>3255.5</v>
          </cell>
          <cell r="J21">
            <v>2881.5</v>
          </cell>
          <cell r="K21">
            <v>3204.5</v>
          </cell>
          <cell r="L21">
            <v>2898.5</v>
          </cell>
          <cell r="M21">
            <v>2133.5</v>
          </cell>
          <cell r="N21">
            <v>2898.5</v>
          </cell>
        </row>
        <row r="24">
          <cell r="C24">
            <v>40</v>
          </cell>
          <cell r="D24">
            <v>38</v>
          </cell>
          <cell r="E24">
            <v>42</v>
          </cell>
          <cell r="F24">
            <v>36</v>
          </cell>
          <cell r="G24">
            <v>38</v>
          </cell>
          <cell r="H24">
            <v>38</v>
          </cell>
          <cell r="I24">
            <v>46</v>
          </cell>
          <cell r="J24">
            <v>40</v>
          </cell>
          <cell r="K24">
            <v>44</v>
          </cell>
          <cell r="L24">
            <v>40</v>
          </cell>
          <cell r="M24">
            <v>30</v>
          </cell>
          <cell r="N24">
            <v>40</v>
          </cell>
        </row>
        <row r="25">
          <cell r="C25">
            <v>154</v>
          </cell>
          <cell r="D25">
            <v>146</v>
          </cell>
          <cell r="E25">
            <v>162</v>
          </cell>
          <cell r="F25">
            <v>178</v>
          </cell>
          <cell r="G25">
            <v>154</v>
          </cell>
          <cell r="H25">
            <v>146</v>
          </cell>
          <cell r="I25">
            <v>178</v>
          </cell>
          <cell r="J25">
            <v>154</v>
          </cell>
          <cell r="K25">
            <v>170</v>
          </cell>
          <cell r="L25">
            <v>194</v>
          </cell>
          <cell r="M25">
            <v>144</v>
          </cell>
          <cell r="N25">
            <v>194</v>
          </cell>
        </row>
        <row r="27">
          <cell r="C27">
            <v>154</v>
          </cell>
          <cell r="D27">
            <v>146</v>
          </cell>
          <cell r="E27">
            <v>162</v>
          </cell>
          <cell r="F27">
            <v>178</v>
          </cell>
          <cell r="G27">
            <v>154</v>
          </cell>
          <cell r="H27">
            <v>146</v>
          </cell>
          <cell r="I27">
            <v>178</v>
          </cell>
          <cell r="J27">
            <v>154</v>
          </cell>
          <cell r="K27">
            <v>170</v>
          </cell>
          <cell r="L27">
            <v>194</v>
          </cell>
          <cell r="M27">
            <v>144</v>
          </cell>
          <cell r="N27">
            <v>194</v>
          </cell>
        </row>
        <row r="28">
          <cell r="C28">
            <v>194</v>
          </cell>
          <cell r="D28">
            <v>184</v>
          </cell>
          <cell r="E28">
            <v>204</v>
          </cell>
          <cell r="F28">
            <v>214</v>
          </cell>
          <cell r="G28">
            <v>192</v>
          </cell>
          <cell r="H28">
            <v>184</v>
          </cell>
          <cell r="I28">
            <v>224</v>
          </cell>
          <cell r="J28">
            <v>194</v>
          </cell>
          <cell r="K28">
            <v>214</v>
          </cell>
          <cell r="L28">
            <v>234</v>
          </cell>
          <cell r="M28">
            <v>174</v>
          </cell>
          <cell r="N28">
            <v>234</v>
          </cell>
        </row>
      </sheetData>
      <sheetData sheetId="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Holiday shedule"/>
      <sheetName val="Sheet1"/>
    </sheetNames>
    <sheetDataSet>
      <sheetData sheetId="0">
        <row r="5">
          <cell r="A5">
            <v>1412000042</v>
          </cell>
          <cell r="B5" t="str">
            <v>第2資材課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4</v>
          </cell>
          <cell r="D11">
            <v>4</v>
          </cell>
          <cell r="E11">
            <v>4</v>
          </cell>
          <cell r="F11">
            <v>4</v>
          </cell>
          <cell r="G11">
            <v>4</v>
          </cell>
          <cell r="H11">
            <v>4</v>
          </cell>
          <cell r="I11">
            <v>4</v>
          </cell>
          <cell r="J11">
            <v>4</v>
          </cell>
          <cell r="K11">
            <v>4</v>
          </cell>
          <cell r="L11">
            <v>4</v>
          </cell>
          <cell r="M11">
            <v>4</v>
          </cell>
          <cell r="N11">
            <v>4</v>
          </cell>
        </row>
        <row r="13">
          <cell r="C13">
            <v>4</v>
          </cell>
          <cell r="D13">
            <v>4</v>
          </cell>
          <cell r="E13">
            <v>4</v>
          </cell>
          <cell r="F13">
            <v>4</v>
          </cell>
          <cell r="G13">
            <v>4</v>
          </cell>
          <cell r="H13">
            <v>4</v>
          </cell>
          <cell r="I13">
            <v>4</v>
          </cell>
          <cell r="J13">
            <v>4</v>
          </cell>
          <cell r="K13">
            <v>4</v>
          </cell>
          <cell r="L13">
            <v>4</v>
          </cell>
          <cell r="M13">
            <v>4</v>
          </cell>
          <cell r="N13">
            <v>4</v>
          </cell>
        </row>
        <row r="14">
          <cell r="C14">
            <v>5</v>
          </cell>
          <cell r="D14">
            <v>5</v>
          </cell>
          <cell r="E14">
            <v>5</v>
          </cell>
          <cell r="F14">
            <v>5</v>
          </cell>
          <cell r="G14">
            <v>5</v>
          </cell>
          <cell r="H14">
            <v>5</v>
          </cell>
          <cell r="I14">
            <v>5</v>
          </cell>
          <cell r="J14">
            <v>5</v>
          </cell>
          <cell r="K14">
            <v>5</v>
          </cell>
          <cell r="L14">
            <v>5</v>
          </cell>
          <cell r="M14">
            <v>5</v>
          </cell>
          <cell r="N14">
            <v>5</v>
          </cell>
        </row>
        <row r="17">
          <cell r="C17">
            <v>161.5</v>
          </cell>
          <cell r="D17">
            <v>153</v>
          </cell>
          <cell r="E17">
            <v>170</v>
          </cell>
          <cell r="F17">
            <v>187</v>
          </cell>
          <cell r="G17">
            <v>161.5</v>
          </cell>
          <cell r="H17">
            <v>153</v>
          </cell>
          <cell r="I17">
            <v>187</v>
          </cell>
          <cell r="J17">
            <v>161.5</v>
          </cell>
          <cell r="K17">
            <v>178.5</v>
          </cell>
          <cell r="L17">
            <v>161.5</v>
          </cell>
          <cell r="M17">
            <v>85</v>
          </cell>
          <cell r="N17">
            <v>161.5</v>
          </cell>
        </row>
        <row r="18">
          <cell r="C18">
            <v>643</v>
          </cell>
          <cell r="D18">
            <v>610</v>
          </cell>
          <cell r="E18">
            <v>664</v>
          </cell>
          <cell r="F18">
            <v>748</v>
          </cell>
          <cell r="G18">
            <v>646</v>
          </cell>
          <cell r="H18">
            <v>646</v>
          </cell>
          <cell r="I18">
            <v>765</v>
          </cell>
          <cell r="J18">
            <v>663</v>
          </cell>
          <cell r="K18">
            <v>748</v>
          </cell>
          <cell r="L18">
            <v>663</v>
          </cell>
          <cell r="M18">
            <v>493</v>
          </cell>
          <cell r="N18">
            <v>646</v>
          </cell>
        </row>
        <row r="20">
          <cell r="C20">
            <v>643</v>
          </cell>
          <cell r="D20">
            <v>610</v>
          </cell>
          <cell r="E20">
            <v>664</v>
          </cell>
          <cell r="F20">
            <v>748</v>
          </cell>
          <cell r="G20">
            <v>646</v>
          </cell>
          <cell r="H20">
            <v>646</v>
          </cell>
          <cell r="I20">
            <v>765</v>
          </cell>
          <cell r="J20">
            <v>663</v>
          </cell>
          <cell r="K20">
            <v>748</v>
          </cell>
          <cell r="L20">
            <v>663</v>
          </cell>
          <cell r="M20">
            <v>493</v>
          </cell>
          <cell r="N20">
            <v>646</v>
          </cell>
        </row>
        <row r="21">
          <cell r="C21">
            <v>804.5</v>
          </cell>
          <cell r="D21">
            <v>763</v>
          </cell>
          <cell r="E21">
            <v>834</v>
          </cell>
          <cell r="F21">
            <v>935</v>
          </cell>
          <cell r="G21">
            <v>807.5</v>
          </cell>
          <cell r="H21">
            <v>799</v>
          </cell>
          <cell r="I21">
            <v>952</v>
          </cell>
          <cell r="J21">
            <v>824.5</v>
          </cell>
          <cell r="K21">
            <v>926.5</v>
          </cell>
          <cell r="L21">
            <v>824.5</v>
          </cell>
          <cell r="M21">
            <v>578</v>
          </cell>
          <cell r="N21">
            <v>807.5</v>
          </cell>
        </row>
        <row r="24">
          <cell r="C24">
            <v>38</v>
          </cell>
          <cell r="D24">
            <v>36</v>
          </cell>
          <cell r="E24">
            <v>40</v>
          </cell>
          <cell r="F24">
            <v>44</v>
          </cell>
          <cell r="G24">
            <v>38</v>
          </cell>
          <cell r="H24">
            <v>36</v>
          </cell>
          <cell r="I24">
            <v>44</v>
          </cell>
          <cell r="J24">
            <v>38</v>
          </cell>
          <cell r="K24">
            <v>42</v>
          </cell>
          <cell r="L24">
            <v>38</v>
          </cell>
          <cell r="M24">
            <v>20</v>
          </cell>
          <cell r="N24">
            <v>38</v>
          </cell>
        </row>
        <row r="25">
          <cell r="C25">
            <v>38</v>
          </cell>
          <cell r="D25">
            <v>36</v>
          </cell>
          <cell r="E25">
            <v>38</v>
          </cell>
          <cell r="F25">
            <v>42</v>
          </cell>
          <cell r="G25">
            <v>36</v>
          </cell>
          <cell r="H25">
            <v>38</v>
          </cell>
          <cell r="I25">
            <v>44</v>
          </cell>
          <cell r="J25">
            <v>38</v>
          </cell>
          <cell r="K25">
            <v>44</v>
          </cell>
          <cell r="L25">
            <v>38</v>
          </cell>
          <cell r="M25">
            <v>28</v>
          </cell>
          <cell r="N25">
            <v>36</v>
          </cell>
        </row>
        <row r="27">
          <cell r="C27">
            <v>38</v>
          </cell>
          <cell r="D27">
            <v>36</v>
          </cell>
          <cell r="E27">
            <v>38</v>
          </cell>
          <cell r="F27">
            <v>42</v>
          </cell>
          <cell r="G27">
            <v>36</v>
          </cell>
          <cell r="H27">
            <v>38</v>
          </cell>
          <cell r="I27">
            <v>44</v>
          </cell>
          <cell r="J27">
            <v>38</v>
          </cell>
          <cell r="K27">
            <v>44</v>
          </cell>
          <cell r="L27">
            <v>38</v>
          </cell>
          <cell r="M27">
            <v>28</v>
          </cell>
          <cell r="N27">
            <v>36</v>
          </cell>
        </row>
        <row r="28">
          <cell r="C28">
            <v>76</v>
          </cell>
          <cell r="D28">
            <v>72</v>
          </cell>
          <cell r="E28">
            <v>78</v>
          </cell>
          <cell r="F28">
            <v>86</v>
          </cell>
          <cell r="G28">
            <v>74</v>
          </cell>
          <cell r="H28">
            <v>74</v>
          </cell>
          <cell r="I28">
            <v>88</v>
          </cell>
          <cell r="J28">
            <v>76</v>
          </cell>
          <cell r="K28">
            <v>86</v>
          </cell>
          <cell r="L28">
            <v>76</v>
          </cell>
          <cell r="M28">
            <v>48</v>
          </cell>
          <cell r="N28">
            <v>74</v>
          </cell>
        </row>
      </sheetData>
      <sheetData sheetId="1"/>
      <sheetData sheetId="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28"/>
    </sheetNames>
    <sheetDataSet>
      <sheetData sheetId="0">
        <row r="5">
          <cell r="A5">
            <v>1412000021</v>
          </cell>
          <cell r="B5" t="str">
            <v>第3資材課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6</v>
          </cell>
          <cell r="D11">
            <v>6</v>
          </cell>
          <cell r="E11">
            <v>6</v>
          </cell>
          <cell r="F11">
            <v>6</v>
          </cell>
          <cell r="G11">
            <v>6</v>
          </cell>
          <cell r="H11">
            <v>6</v>
          </cell>
          <cell r="I11">
            <v>6</v>
          </cell>
          <cell r="J11">
            <v>6</v>
          </cell>
          <cell r="K11">
            <v>6</v>
          </cell>
          <cell r="L11">
            <v>6</v>
          </cell>
          <cell r="M11">
            <v>6</v>
          </cell>
          <cell r="N11">
            <v>6</v>
          </cell>
        </row>
        <row r="13">
          <cell r="C13">
            <v>6</v>
          </cell>
          <cell r="D13">
            <v>6</v>
          </cell>
          <cell r="E13">
            <v>6</v>
          </cell>
          <cell r="F13">
            <v>6</v>
          </cell>
          <cell r="G13">
            <v>6</v>
          </cell>
          <cell r="H13">
            <v>6</v>
          </cell>
          <cell r="I13">
            <v>6</v>
          </cell>
          <cell r="J13">
            <v>6</v>
          </cell>
          <cell r="K13">
            <v>6</v>
          </cell>
          <cell r="L13">
            <v>6</v>
          </cell>
          <cell r="M13">
            <v>6</v>
          </cell>
          <cell r="N13">
            <v>6</v>
          </cell>
        </row>
        <row r="14">
          <cell r="C14">
            <v>7</v>
          </cell>
          <cell r="D14">
            <v>7</v>
          </cell>
          <cell r="E14">
            <v>7</v>
          </cell>
          <cell r="F14">
            <v>7</v>
          </cell>
          <cell r="G14">
            <v>7</v>
          </cell>
          <cell r="H14">
            <v>7</v>
          </cell>
          <cell r="I14">
            <v>7</v>
          </cell>
          <cell r="J14">
            <v>7</v>
          </cell>
          <cell r="K14">
            <v>7</v>
          </cell>
          <cell r="L14">
            <v>7</v>
          </cell>
          <cell r="M14">
            <v>7</v>
          </cell>
          <cell r="N14">
            <v>7</v>
          </cell>
        </row>
        <row r="17">
          <cell r="C17">
            <v>170</v>
          </cell>
          <cell r="D17">
            <v>161.5</v>
          </cell>
          <cell r="E17">
            <v>178.5</v>
          </cell>
          <cell r="F17">
            <v>195.5</v>
          </cell>
          <cell r="G17">
            <v>127.5</v>
          </cell>
          <cell r="H17">
            <v>161.5</v>
          </cell>
          <cell r="I17">
            <v>153</v>
          </cell>
          <cell r="J17">
            <v>170</v>
          </cell>
          <cell r="K17">
            <v>187</v>
          </cell>
          <cell r="L17">
            <v>170</v>
          </cell>
          <cell r="M17">
            <v>127.5</v>
          </cell>
          <cell r="N17">
            <v>170</v>
          </cell>
        </row>
        <row r="18">
          <cell r="C18">
            <v>749</v>
          </cell>
          <cell r="D18">
            <v>737.5</v>
          </cell>
          <cell r="E18">
            <v>820.5</v>
          </cell>
          <cell r="F18">
            <v>903.5</v>
          </cell>
          <cell r="G18">
            <v>779</v>
          </cell>
          <cell r="H18">
            <v>880</v>
          </cell>
          <cell r="I18">
            <v>1095</v>
          </cell>
          <cell r="J18">
            <v>949</v>
          </cell>
          <cell r="K18">
            <v>1049</v>
          </cell>
          <cell r="L18">
            <v>949</v>
          </cell>
          <cell r="M18">
            <v>699</v>
          </cell>
          <cell r="N18">
            <v>969</v>
          </cell>
        </row>
        <row r="20">
          <cell r="C20">
            <v>749</v>
          </cell>
          <cell r="D20">
            <v>737.5</v>
          </cell>
          <cell r="E20">
            <v>820.5</v>
          </cell>
          <cell r="F20">
            <v>903.5</v>
          </cell>
          <cell r="G20">
            <v>779</v>
          </cell>
          <cell r="H20">
            <v>880</v>
          </cell>
          <cell r="I20">
            <v>1095</v>
          </cell>
          <cell r="J20">
            <v>949</v>
          </cell>
          <cell r="K20">
            <v>1049</v>
          </cell>
          <cell r="L20">
            <v>949</v>
          </cell>
          <cell r="M20">
            <v>699</v>
          </cell>
          <cell r="N20">
            <v>969</v>
          </cell>
        </row>
        <row r="21">
          <cell r="C21">
            <v>919</v>
          </cell>
          <cell r="D21">
            <v>899</v>
          </cell>
          <cell r="E21">
            <v>999</v>
          </cell>
          <cell r="F21">
            <v>1099</v>
          </cell>
          <cell r="G21">
            <v>906.5</v>
          </cell>
          <cell r="H21">
            <v>1041.5</v>
          </cell>
          <cell r="I21">
            <v>1248</v>
          </cell>
          <cell r="J21">
            <v>1119</v>
          </cell>
          <cell r="K21">
            <v>1236</v>
          </cell>
          <cell r="L21">
            <v>1119</v>
          </cell>
          <cell r="M21">
            <v>826.5</v>
          </cell>
          <cell r="N21">
            <v>1139</v>
          </cell>
        </row>
        <row r="24">
          <cell r="C24">
            <v>40</v>
          </cell>
          <cell r="D24">
            <v>38</v>
          </cell>
          <cell r="E24">
            <v>42</v>
          </cell>
          <cell r="F24">
            <v>46</v>
          </cell>
          <cell r="G24">
            <v>30</v>
          </cell>
          <cell r="H24">
            <v>38</v>
          </cell>
          <cell r="I24">
            <v>36</v>
          </cell>
          <cell r="J24">
            <v>40</v>
          </cell>
          <cell r="K24">
            <v>44</v>
          </cell>
          <cell r="L24">
            <v>40</v>
          </cell>
          <cell r="M24">
            <v>30</v>
          </cell>
          <cell r="N24">
            <v>40</v>
          </cell>
        </row>
        <row r="25">
          <cell r="C25">
            <v>38</v>
          </cell>
          <cell r="D25">
            <v>36</v>
          </cell>
          <cell r="E25">
            <v>40</v>
          </cell>
          <cell r="F25">
            <v>44</v>
          </cell>
          <cell r="G25">
            <v>38</v>
          </cell>
          <cell r="H25">
            <v>36</v>
          </cell>
          <cell r="I25">
            <v>44</v>
          </cell>
          <cell r="J25">
            <v>38</v>
          </cell>
          <cell r="K25">
            <v>42</v>
          </cell>
          <cell r="L25">
            <v>38</v>
          </cell>
          <cell r="M25">
            <v>28</v>
          </cell>
          <cell r="N25">
            <v>38</v>
          </cell>
        </row>
        <row r="27">
          <cell r="C27">
            <v>38</v>
          </cell>
          <cell r="D27">
            <v>36</v>
          </cell>
          <cell r="E27">
            <v>40</v>
          </cell>
          <cell r="F27">
            <v>44</v>
          </cell>
          <cell r="G27">
            <v>38</v>
          </cell>
          <cell r="H27">
            <v>36</v>
          </cell>
          <cell r="I27">
            <v>44</v>
          </cell>
          <cell r="J27">
            <v>38</v>
          </cell>
          <cell r="K27">
            <v>42</v>
          </cell>
          <cell r="L27">
            <v>38</v>
          </cell>
          <cell r="M27">
            <v>28</v>
          </cell>
          <cell r="N27">
            <v>38</v>
          </cell>
        </row>
        <row r="28">
          <cell r="C28">
            <v>78</v>
          </cell>
          <cell r="D28">
            <v>74</v>
          </cell>
          <cell r="E28">
            <v>82</v>
          </cell>
          <cell r="F28">
            <v>90</v>
          </cell>
          <cell r="G28">
            <v>68</v>
          </cell>
          <cell r="H28">
            <v>74</v>
          </cell>
          <cell r="I28">
            <v>80</v>
          </cell>
          <cell r="J28">
            <v>78</v>
          </cell>
          <cell r="K28">
            <v>86</v>
          </cell>
          <cell r="L28">
            <v>78</v>
          </cell>
          <cell r="M28">
            <v>58</v>
          </cell>
          <cell r="N28">
            <v>78</v>
          </cell>
        </row>
      </sheetData>
      <sheetData sheetId="1"/>
      <sheetData sheetId="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44"/>
      <sheetName val="Kế hoạch số người - thời gian"/>
    </sheetNames>
    <sheetDataSet>
      <sheetData sheetId="0">
        <row r="5">
          <cell r="A5">
            <v>1412000070</v>
          </cell>
          <cell r="B5" t="str">
            <v>第4資材課</v>
          </cell>
        </row>
        <row r="11">
          <cell r="C11">
            <v>8</v>
          </cell>
          <cell r="D11">
            <v>8</v>
          </cell>
          <cell r="E11">
            <v>8</v>
          </cell>
          <cell r="F11">
            <v>8</v>
          </cell>
          <cell r="G11">
            <v>8</v>
          </cell>
          <cell r="H11">
            <v>8</v>
          </cell>
          <cell r="I11">
            <v>8</v>
          </cell>
          <cell r="J11">
            <v>8</v>
          </cell>
          <cell r="K11">
            <v>8</v>
          </cell>
          <cell r="L11">
            <v>8</v>
          </cell>
          <cell r="M11">
            <v>8</v>
          </cell>
          <cell r="N11">
            <v>8</v>
          </cell>
        </row>
        <row r="13">
          <cell r="C13">
            <v>8</v>
          </cell>
          <cell r="D13">
            <v>8</v>
          </cell>
          <cell r="E13">
            <v>8</v>
          </cell>
          <cell r="F13">
            <v>8</v>
          </cell>
          <cell r="G13">
            <v>8</v>
          </cell>
          <cell r="H13">
            <v>8</v>
          </cell>
          <cell r="I13">
            <v>8</v>
          </cell>
          <cell r="J13">
            <v>8</v>
          </cell>
          <cell r="K13">
            <v>8</v>
          </cell>
          <cell r="L13">
            <v>8</v>
          </cell>
          <cell r="M13">
            <v>8</v>
          </cell>
          <cell r="N13">
            <v>8</v>
          </cell>
        </row>
        <row r="14">
          <cell r="C14">
            <v>8</v>
          </cell>
          <cell r="D14">
            <v>8</v>
          </cell>
          <cell r="E14">
            <v>8</v>
          </cell>
          <cell r="F14">
            <v>8</v>
          </cell>
          <cell r="G14">
            <v>8</v>
          </cell>
          <cell r="H14">
            <v>8</v>
          </cell>
          <cell r="I14">
            <v>8</v>
          </cell>
          <cell r="J14">
            <v>8</v>
          </cell>
          <cell r="K14">
            <v>8</v>
          </cell>
          <cell r="L14">
            <v>8</v>
          </cell>
          <cell r="M14">
            <v>8</v>
          </cell>
          <cell r="N14">
            <v>8</v>
          </cell>
        </row>
        <row r="18">
          <cell r="C18">
            <v>1273</v>
          </cell>
          <cell r="D18">
            <v>1206</v>
          </cell>
          <cell r="E18">
            <v>1350</v>
          </cell>
          <cell r="F18">
            <v>1496</v>
          </cell>
          <cell r="G18">
            <v>1292</v>
          </cell>
          <cell r="H18">
            <v>1224</v>
          </cell>
          <cell r="I18">
            <v>1496</v>
          </cell>
          <cell r="J18">
            <v>1292</v>
          </cell>
          <cell r="K18">
            <v>1428</v>
          </cell>
          <cell r="L18">
            <v>1292</v>
          </cell>
          <cell r="M18">
            <v>952</v>
          </cell>
          <cell r="N18">
            <v>1292</v>
          </cell>
        </row>
        <row r="20">
          <cell r="C20">
            <v>1273</v>
          </cell>
          <cell r="D20">
            <v>1206</v>
          </cell>
          <cell r="E20">
            <v>1350</v>
          </cell>
          <cell r="F20">
            <v>1496</v>
          </cell>
          <cell r="G20">
            <v>1292</v>
          </cell>
          <cell r="H20">
            <v>1224</v>
          </cell>
          <cell r="I20">
            <v>1496</v>
          </cell>
          <cell r="J20">
            <v>1292</v>
          </cell>
          <cell r="K20">
            <v>1428</v>
          </cell>
          <cell r="L20">
            <v>1292</v>
          </cell>
          <cell r="M20">
            <v>952</v>
          </cell>
          <cell r="N20">
            <v>1292</v>
          </cell>
        </row>
        <row r="21">
          <cell r="C21">
            <v>1273</v>
          </cell>
          <cell r="D21">
            <v>1206</v>
          </cell>
          <cell r="E21">
            <v>1350</v>
          </cell>
          <cell r="F21">
            <v>1496</v>
          </cell>
          <cell r="G21">
            <v>1292</v>
          </cell>
          <cell r="H21">
            <v>1224</v>
          </cell>
          <cell r="I21">
            <v>1496</v>
          </cell>
          <cell r="J21">
            <v>1292</v>
          </cell>
          <cell r="K21">
            <v>1428</v>
          </cell>
          <cell r="L21">
            <v>1292</v>
          </cell>
          <cell r="M21">
            <v>952</v>
          </cell>
          <cell r="N21">
            <v>1292</v>
          </cell>
        </row>
        <row r="25">
          <cell r="C25">
            <v>38</v>
          </cell>
          <cell r="D25">
            <v>36</v>
          </cell>
          <cell r="E25">
            <v>40</v>
          </cell>
          <cell r="F25">
            <v>44</v>
          </cell>
          <cell r="G25">
            <v>38</v>
          </cell>
          <cell r="H25">
            <v>36</v>
          </cell>
          <cell r="I25">
            <v>44</v>
          </cell>
          <cell r="J25">
            <v>38</v>
          </cell>
          <cell r="K25">
            <v>42</v>
          </cell>
          <cell r="L25">
            <v>76</v>
          </cell>
          <cell r="M25">
            <v>56</v>
          </cell>
          <cell r="N25">
            <v>76</v>
          </cell>
        </row>
        <row r="27">
          <cell r="C27">
            <v>38</v>
          </cell>
          <cell r="D27">
            <v>36</v>
          </cell>
          <cell r="E27">
            <v>40</v>
          </cell>
          <cell r="F27">
            <v>44</v>
          </cell>
          <cell r="G27">
            <v>38</v>
          </cell>
          <cell r="H27">
            <v>36</v>
          </cell>
          <cell r="I27">
            <v>44</v>
          </cell>
          <cell r="J27">
            <v>38</v>
          </cell>
          <cell r="K27">
            <v>42</v>
          </cell>
          <cell r="L27">
            <v>76</v>
          </cell>
          <cell r="M27">
            <v>56</v>
          </cell>
          <cell r="N27">
            <v>76</v>
          </cell>
        </row>
        <row r="28">
          <cell r="C28">
            <v>38</v>
          </cell>
          <cell r="D28">
            <v>36</v>
          </cell>
          <cell r="E28">
            <v>40</v>
          </cell>
          <cell r="F28">
            <v>44</v>
          </cell>
          <cell r="G28">
            <v>38</v>
          </cell>
          <cell r="H28">
            <v>36</v>
          </cell>
          <cell r="I28">
            <v>44</v>
          </cell>
          <cell r="J28">
            <v>38</v>
          </cell>
          <cell r="K28">
            <v>42</v>
          </cell>
          <cell r="L28">
            <v>76</v>
          </cell>
          <cell r="M28">
            <v>56</v>
          </cell>
          <cell r="N28">
            <v>76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29"/>
    </sheetNames>
    <sheetDataSet>
      <sheetData sheetId="0">
        <row r="5">
          <cell r="A5">
            <v>1412000022</v>
          </cell>
          <cell r="B5" t="str">
            <v>資材管理課</v>
          </cell>
        </row>
        <row r="10">
          <cell r="C10">
            <v>2</v>
          </cell>
          <cell r="D10">
            <v>2</v>
          </cell>
          <cell r="E10">
            <v>2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  <cell r="K10">
            <v>2</v>
          </cell>
          <cell r="L10">
            <v>2</v>
          </cell>
          <cell r="M10">
            <v>2</v>
          </cell>
          <cell r="N10">
            <v>2</v>
          </cell>
        </row>
        <row r="11">
          <cell r="C11">
            <v>4</v>
          </cell>
          <cell r="D11">
            <v>4</v>
          </cell>
          <cell r="E11">
            <v>4</v>
          </cell>
          <cell r="F11">
            <v>4</v>
          </cell>
          <cell r="G11">
            <v>4</v>
          </cell>
          <cell r="H11">
            <v>4</v>
          </cell>
          <cell r="I11">
            <v>4</v>
          </cell>
          <cell r="J11">
            <v>4</v>
          </cell>
          <cell r="K11">
            <v>4</v>
          </cell>
          <cell r="L11">
            <v>4</v>
          </cell>
          <cell r="M11">
            <v>4</v>
          </cell>
          <cell r="N11">
            <v>4</v>
          </cell>
        </row>
        <row r="13">
          <cell r="C13">
            <v>4</v>
          </cell>
          <cell r="D13">
            <v>4</v>
          </cell>
          <cell r="E13">
            <v>4</v>
          </cell>
          <cell r="F13">
            <v>4</v>
          </cell>
          <cell r="G13">
            <v>4</v>
          </cell>
          <cell r="H13">
            <v>4</v>
          </cell>
          <cell r="I13">
            <v>4</v>
          </cell>
          <cell r="J13">
            <v>4</v>
          </cell>
          <cell r="K13">
            <v>4</v>
          </cell>
          <cell r="L13">
            <v>4</v>
          </cell>
          <cell r="M13">
            <v>4</v>
          </cell>
          <cell r="N13">
            <v>4</v>
          </cell>
        </row>
        <row r="14">
          <cell r="C14">
            <v>6</v>
          </cell>
          <cell r="D14">
            <v>6</v>
          </cell>
          <cell r="E14">
            <v>6</v>
          </cell>
          <cell r="F14">
            <v>6</v>
          </cell>
          <cell r="G14">
            <v>6</v>
          </cell>
          <cell r="H14">
            <v>6</v>
          </cell>
          <cell r="I14">
            <v>6</v>
          </cell>
          <cell r="J14">
            <v>6</v>
          </cell>
          <cell r="K14">
            <v>6</v>
          </cell>
          <cell r="L14">
            <v>6</v>
          </cell>
          <cell r="M14">
            <v>6</v>
          </cell>
          <cell r="N14">
            <v>6</v>
          </cell>
        </row>
        <row r="17">
          <cell r="C17">
            <v>331.5</v>
          </cell>
          <cell r="D17">
            <v>280.5</v>
          </cell>
          <cell r="E17">
            <v>348.5</v>
          </cell>
          <cell r="F17">
            <v>382.5</v>
          </cell>
          <cell r="G17">
            <v>297.5</v>
          </cell>
          <cell r="H17">
            <v>314.5</v>
          </cell>
          <cell r="I17">
            <v>382.5</v>
          </cell>
          <cell r="J17">
            <v>297.5</v>
          </cell>
          <cell r="K17">
            <v>365.5</v>
          </cell>
          <cell r="L17">
            <v>331.5</v>
          </cell>
          <cell r="M17">
            <v>246.5</v>
          </cell>
          <cell r="N17">
            <v>297.5</v>
          </cell>
        </row>
        <row r="18">
          <cell r="C18">
            <v>484.5</v>
          </cell>
          <cell r="D18">
            <v>459</v>
          </cell>
          <cell r="E18">
            <v>510</v>
          </cell>
          <cell r="F18">
            <v>718.5</v>
          </cell>
          <cell r="G18">
            <v>627</v>
          </cell>
          <cell r="H18">
            <v>594</v>
          </cell>
          <cell r="I18">
            <v>726</v>
          </cell>
          <cell r="J18">
            <v>627</v>
          </cell>
          <cell r="K18">
            <v>693</v>
          </cell>
          <cell r="L18">
            <v>637</v>
          </cell>
          <cell r="M18">
            <v>476</v>
          </cell>
          <cell r="N18">
            <v>646</v>
          </cell>
        </row>
        <row r="20">
          <cell r="C20">
            <v>484.5</v>
          </cell>
          <cell r="D20">
            <v>459</v>
          </cell>
          <cell r="E20">
            <v>510</v>
          </cell>
          <cell r="F20">
            <v>718.5</v>
          </cell>
          <cell r="G20">
            <v>627</v>
          </cell>
          <cell r="H20">
            <v>594</v>
          </cell>
          <cell r="I20">
            <v>726</v>
          </cell>
          <cell r="J20">
            <v>627</v>
          </cell>
          <cell r="K20">
            <v>693</v>
          </cell>
          <cell r="L20">
            <v>637</v>
          </cell>
          <cell r="M20">
            <v>476</v>
          </cell>
          <cell r="N20">
            <v>646</v>
          </cell>
        </row>
        <row r="21">
          <cell r="C21">
            <v>816</v>
          </cell>
          <cell r="D21">
            <v>739.5</v>
          </cell>
          <cell r="E21">
            <v>858.5</v>
          </cell>
          <cell r="F21">
            <v>1101</v>
          </cell>
          <cell r="G21">
            <v>924.5</v>
          </cell>
          <cell r="H21">
            <v>908.5</v>
          </cell>
          <cell r="I21">
            <v>1108.5</v>
          </cell>
          <cell r="J21">
            <v>924.5</v>
          </cell>
          <cell r="K21">
            <v>1058.5</v>
          </cell>
          <cell r="L21">
            <v>968.5</v>
          </cell>
          <cell r="M21">
            <v>722.5</v>
          </cell>
          <cell r="N21">
            <v>943.5</v>
          </cell>
        </row>
        <row r="24">
          <cell r="C24">
            <v>78</v>
          </cell>
          <cell r="D24">
            <v>66</v>
          </cell>
          <cell r="E24">
            <v>82</v>
          </cell>
          <cell r="F24">
            <v>90</v>
          </cell>
          <cell r="G24">
            <v>70</v>
          </cell>
          <cell r="H24">
            <v>74</v>
          </cell>
          <cell r="I24">
            <v>90</v>
          </cell>
          <cell r="J24">
            <v>70</v>
          </cell>
          <cell r="K24">
            <v>86</v>
          </cell>
          <cell r="L24">
            <v>78</v>
          </cell>
          <cell r="M24">
            <v>58</v>
          </cell>
          <cell r="N24">
            <v>70</v>
          </cell>
        </row>
        <row r="25">
          <cell r="C25">
            <v>38</v>
          </cell>
          <cell r="D25">
            <v>36</v>
          </cell>
          <cell r="E25">
            <v>40</v>
          </cell>
          <cell r="F25">
            <v>44</v>
          </cell>
          <cell r="G25">
            <v>38</v>
          </cell>
          <cell r="H25">
            <v>36</v>
          </cell>
          <cell r="I25">
            <v>44</v>
          </cell>
          <cell r="J25">
            <v>38</v>
          </cell>
          <cell r="K25">
            <v>42</v>
          </cell>
          <cell r="L25">
            <v>38</v>
          </cell>
          <cell r="M25">
            <v>28</v>
          </cell>
          <cell r="N25">
            <v>38</v>
          </cell>
        </row>
        <row r="27">
          <cell r="C27">
            <v>38</v>
          </cell>
          <cell r="D27">
            <v>36</v>
          </cell>
          <cell r="E27">
            <v>40</v>
          </cell>
          <cell r="F27">
            <v>44</v>
          </cell>
          <cell r="G27">
            <v>38</v>
          </cell>
          <cell r="H27">
            <v>36</v>
          </cell>
          <cell r="I27">
            <v>44</v>
          </cell>
          <cell r="J27">
            <v>38</v>
          </cell>
          <cell r="K27">
            <v>42</v>
          </cell>
          <cell r="L27">
            <v>38</v>
          </cell>
          <cell r="M27">
            <v>28</v>
          </cell>
          <cell r="N27">
            <v>38</v>
          </cell>
        </row>
        <row r="28">
          <cell r="C28">
            <v>116</v>
          </cell>
          <cell r="D28">
            <v>102</v>
          </cell>
          <cell r="E28">
            <v>122</v>
          </cell>
          <cell r="F28">
            <v>134</v>
          </cell>
          <cell r="G28">
            <v>108</v>
          </cell>
          <cell r="H28">
            <v>110</v>
          </cell>
          <cell r="I28">
            <v>134</v>
          </cell>
          <cell r="J28">
            <v>108</v>
          </cell>
          <cell r="K28">
            <v>128</v>
          </cell>
          <cell r="L28">
            <v>116</v>
          </cell>
          <cell r="M28">
            <v>86</v>
          </cell>
          <cell r="N28">
            <v>108</v>
          </cell>
        </row>
      </sheetData>
      <sheetData sheetId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人員・時間計画"/>
      <sheetName val="Sheet1"/>
    </sheetNames>
    <sheetDataSet>
      <sheetData sheetId="0">
        <row r="5">
          <cell r="A5">
            <v>1412000024</v>
          </cell>
          <cell r="B5" t="str">
            <v>総務課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10</v>
          </cell>
          <cell r="D11">
            <v>11</v>
          </cell>
          <cell r="E11">
            <v>11</v>
          </cell>
          <cell r="F11">
            <v>11</v>
          </cell>
          <cell r="G11">
            <v>11</v>
          </cell>
          <cell r="H11">
            <v>11</v>
          </cell>
          <cell r="I11">
            <v>11</v>
          </cell>
          <cell r="J11">
            <v>11</v>
          </cell>
          <cell r="K11">
            <v>11</v>
          </cell>
          <cell r="L11">
            <v>11</v>
          </cell>
          <cell r="M11">
            <v>11</v>
          </cell>
          <cell r="N11">
            <v>11</v>
          </cell>
        </row>
        <row r="12">
          <cell r="C12">
            <v>6</v>
          </cell>
          <cell r="D12">
            <v>6</v>
          </cell>
          <cell r="E12">
            <v>6</v>
          </cell>
          <cell r="F12">
            <v>6</v>
          </cell>
          <cell r="G12">
            <v>6</v>
          </cell>
          <cell r="H12">
            <v>6</v>
          </cell>
          <cell r="I12">
            <v>6</v>
          </cell>
          <cell r="J12">
            <v>6</v>
          </cell>
          <cell r="K12">
            <v>6</v>
          </cell>
          <cell r="L12">
            <v>6</v>
          </cell>
          <cell r="M12">
            <v>6</v>
          </cell>
          <cell r="N12">
            <v>6</v>
          </cell>
        </row>
        <row r="13">
          <cell r="C13">
            <v>16</v>
          </cell>
          <cell r="D13">
            <v>17</v>
          </cell>
          <cell r="E13">
            <v>17</v>
          </cell>
          <cell r="F13">
            <v>17</v>
          </cell>
          <cell r="G13">
            <v>17</v>
          </cell>
          <cell r="H13">
            <v>17</v>
          </cell>
          <cell r="I13">
            <v>17</v>
          </cell>
          <cell r="J13">
            <v>17</v>
          </cell>
          <cell r="K13">
            <v>17</v>
          </cell>
          <cell r="L13">
            <v>17</v>
          </cell>
          <cell r="M13">
            <v>17</v>
          </cell>
          <cell r="N13">
            <v>17</v>
          </cell>
        </row>
        <row r="14">
          <cell r="C14">
            <v>17</v>
          </cell>
          <cell r="D14">
            <v>18</v>
          </cell>
          <cell r="E14">
            <v>18</v>
          </cell>
          <cell r="F14">
            <v>18</v>
          </cell>
          <cell r="G14">
            <v>18</v>
          </cell>
          <cell r="H14">
            <v>18</v>
          </cell>
          <cell r="I14">
            <v>18</v>
          </cell>
          <cell r="J14">
            <v>18</v>
          </cell>
          <cell r="K14">
            <v>18</v>
          </cell>
          <cell r="L14">
            <v>18</v>
          </cell>
          <cell r="M14">
            <v>18</v>
          </cell>
          <cell r="N14">
            <v>18</v>
          </cell>
        </row>
        <row r="17">
          <cell r="C17">
            <v>170</v>
          </cell>
          <cell r="D17">
            <v>161.5</v>
          </cell>
          <cell r="E17">
            <v>178.5</v>
          </cell>
          <cell r="F17">
            <v>195.5</v>
          </cell>
          <cell r="G17">
            <v>170</v>
          </cell>
          <cell r="H17">
            <v>161.5</v>
          </cell>
          <cell r="I17">
            <v>195.5</v>
          </cell>
          <cell r="J17">
            <v>170</v>
          </cell>
          <cell r="K17">
            <v>187</v>
          </cell>
          <cell r="L17">
            <v>170</v>
          </cell>
          <cell r="M17">
            <v>127.5</v>
          </cell>
          <cell r="N17">
            <v>170</v>
          </cell>
        </row>
        <row r="18">
          <cell r="C18">
            <v>1632</v>
          </cell>
          <cell r="D18">
            <v>1640.5</v>
          </cell>
          <cell r="E18">
            <v>1887</v>
          </cell>
          <cell r="F18">
            <v>2074</v>
          </cell>
          <cell r="G18">
            <v>1793.5</v>
          </cell>
          <cell r="H18">
            <v>1700</v>
          </cell>
          <cell r="I18">
            <v>2074</v>
          </cell>
          <cell r="J18">
            <v>1793.5</v>
          </cell>
          <cell r="K18">
            <v>1980.5</v>
          </cell>
          <cell r="L18">
            <v>1793.5</v>
          </cell>
          <cell r="M18">
            <v>1326</v>
          </cell>
          <cell r="N18">
            <v>1793.5</v>
          </cell>
        </row>
        <row r="19">
          <cell r="C19">
            <v>965</v>
          </cell>
          <cell r="D19">
            <v>907.5</v>
          </cell>
          <cell r="E19">
            <v>914</v>
          </cell>
          <cell r="F19">
            <v>920.5</v>
          </cell>
          <cell r="G19">
            <v>803.5</v>
          </cell>
          <cell r="H19">
            <v>754.5</v>
          </cell>
          <cell r="I19">
            <v>920.5</v>
          </cell>
          <cell r="J19">
            <v>803.5</v>
          </cell>
          <cell r="K19">
            <v>954</v>
          </cell>
          <cell r="L19">
            <v>946</v>
          </cell>
          <cell r="M19">
            <v>693.5</v>
          </cell>
          <cell r="N19">
            <v>938.5</v>
          </cell>
        </row>
        <row r="20">
          <cell r="C20">
            <v>2597</v>
          </cell>
          <cell r="D20">
            <v>2548</v>
          </cell>
          <cell r="E20">
            <v>2801</v>
          </cell>
          <cell r="F20">
            <v>2994.5</v>
          </cell>
          <cell r="G20">
            <v>2597</v>
          </cell>
          <cell r="H20">
            <v>2454.5</v>
          </cell>
          <cell r="I20">
            <v>2994.5</v>
          </cell>
          <cell r="J20">
            <v>2597</v>
          </cell>
          <cell r="K20">
            <v>2934.5</v>
          </cell>
          <cell r="L20">
            <v>2739.5</v>
          </cell>
          <cell r="M20">
            <v>2019.5</v>
          </cell>
          <cell r="N20">
            <v>2732</v>
          </cell>
        </row>
        <row r="21">
          <cell r="C21">
            <v>2767</v>
          </cell>
          <cell r="D21">
            <v>2709.5</v>
          </cell>
          <cell r="E21">
            <v>2979.5</v>
          </cell>
          <cell r="F21">
            <v>3190</v>
          </cell>
          <cell r="G21">
            <v>2767</v>
          </cell>
          <cell r="H21">
            <v>2616</v>
          </cell>
          <cell r="I21">
            <v>3190</v>
          </cell>
          <cell r="J21">
            <v>2767</v>
          </cell>
          <cell r="K21">
            <v>3121.5</v>
          </cell>
          <cell r="L21">
            <v>2909.5</v>
          </cell>
          <cell r="M21">
            <v>2147</v>
          </cell>
          <cell r="N21">
            <v>2902</v>
          </cell>
        </row>
        <row r="24">
          <cell r="C24">
            <v>40</v>
          </cell>
          <cell r="D24">
            <v>38</v>
          </cell>
          <cell r="E24">
            <v>42</v>
          </cell>
          <cell r="F24">
            <v>46</v>
          </cell>
          <cell r="G24">
            <v>40</v>
          </cell>
          <cell r="H24">
            <v>38</v>
          </cell>
          <cell r="I24">
            <v>46</v>
          </cell>
          <cell r="J24">
            <v>40</v>
          </cell>
          <cell r="K24">
            <v>44</v>
          </cell>
          <cell r="L24">
            <v>40</v>
          </cell>
          <cell r="M24">
            <v>30</v>
          </cell>
          <cell r="N24">
            <v>40</v>
          </cell>
        </row>
        <row r="25">
          <cell r="C25">
            <v>136.5</v>
          </cell>
          <cell r="D25">
            <v>145.5</v>
          </cell>
          <cell r="E25">
            <v>143.5</v>
          </cell>
          <cell r="F25">
            <v>157.5</v>
          </cell>
          <cell r="G25">
            <v>136.5</v>
          </cell>
          <cell r="H25">
            <v>183.5</v>
          </cell>
          <cell r="I25">
            <v>157.5</v>
          </cell>
          <cell r="J25">
            <v>181.5</v>
          </cell>
          <cell r="K25">
            <v>150.5</v>
          </cell>
          <cell r="L25">
            <v>136.5</v>
          </cell>
          <cell r="M25">
            <v>101.5</v>
          </cell>
          <cell r="N25">
            <v>136.5</v>
          </cell>
        </row>
        <row r="26">
          <cell r="C26">
            <v>0</v>
          </cell>
          <cell r="D26">
            <v>10</v>
          </cell>
          <cell r="E26">
            <v>0</v>
          </cell>
          <cell r="F26">
            <v>0</v>
          </cell>
          <cell r="G26">
            <v>0</v>
          </cell>
          <cell r="H26">
            <v>30</v>
          </cell>
          <cell r="I26">
            <v>0</v>
          </cell>
          <cell r="J26">
            <v>25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>
            <v>136.5</v>
          </cell>
          <cell r="D27">
            <v>155.5</v>
          </cell>
          <cell r="E27">
            <v>143.5</v>
          </cell>
          <cell r="F27">
            <v>157.5</v>
          </cell>
          <cell r="G27">
            <v>136.5</v>
          </cell>
          <cell r="H27">
            <v>213.5</v>
          </cell>
          <cell r="I27">
            <v>157.5</v>
          </cell>
          <cell r="J27">
            <v>206.5</v>
          </cell>
          <cell r="K27">
            <v>150.5</v>
          </cell>
          <cell r="L27">
            <v>136.5</v>
          </cell>
          <cell r="M27">
            <v>101.5</v>
          </cell>
          <cell r="N27">
            <v>136.5</v>
          </cell>
        </row>
        <row r="28">
          <cell r="C28">
            <v>176.5</v>
          </cell>
          <cell r="D28">
            <v>193.5</v>
          </cell>
          <cell r="E28">
            <v>185.5</v>
          </cell>
          <cell r="F28">
            <v>203.5</v>
          </cell>
          <cell r="G28">
            <v>176.5</v>
          </cell>
          <cell r="H28">
            <v>251.5</v>
          </cell>
          <cell r="I28">
            <v>203.5</v>
          </cell>
          <cell r="J28">
            <v>246.5</v>
          </cell>
          <cell r="K28">
            <v>194.5</v>
          </cell>
          <cell r="L28">
            <v>176.5</v>
          </cell>
          <cell r="M28">
            <v>131.5</v>
          </cell>
          <cell r="N28">
            <v>176.5</v>
          </cell>
        </row>
      </sheetData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31"/>
    </sheetNames>
    <sheetDataSet>
      <sheetData sheetId="0">
        <row r="5">
          <cell r="A5">
            <v>1412000025</v>
          </cell>
          <cell r="B5" t="str">
            <v>人事課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17</v>
          </cell>
          <cell r="D11">
            <v>16</v>
          </cell>
          <cell r="E11">
            <v>16</v>
          </cell>
          <cell r="F11">
            <v>16</v>
          </cell>
          <cell r="G11">
            <v>16</v>
          </cell>
          <cell r="H11">
            <v>16</v>
          </cell>
          <cell r="I11">
            <v>16</v>
          </cell>
          <cell r="J11">
            <v>16</v>
          </cell>
          <cell r="K11">
            <v>16</v>
          </cell>
          <cell r="L11">
            <v>16</v>
          </cell>
          <cell r="M11">
            <v>16</v>
          </cell>
          <cell r="N11">
            <v>16</v>
          </cell>
        </row>
        <row r="13">
          <cell r="C13">
            <v>17</v>
          </cell>
          <cell r="D13">
            <v>16</v>
          </cell>
          <cell r="E13">
            <v>16</v>
          </cell>
          <cell r="F13">
            <v>16</v>
          </cell>
          <cell r="G13">
            <v>16</v>
          </cell>
          <cell r="H13">
            <v>16</v>
          </cell>
          <cell r="I13">
            <v>16</v>
          </cell>
          <cell r="J13">
            <v>16</v>
          </cell>
          <cell r="K13">
            <v>16</v>
          </cell>
          <cell r="L13">
            <v>16</v>
          </cell>
          <cell r="M13">
            <v>16</v>
          </cell>
          <cell r="N13">
            <v>16</v>
          </cell>
        </row>
        <row r="14">
          <cell r="C14">
            <v>18</v>
          </cell>
          <cell r="D14">
            <v>17</v>
          </cell>
          <cell r="E14">
            <v>17</v>
          </cell>
          <cell r="F14">
            <v>17</v>
          </cell>
          <cell r="G14">
            <v>17</v>
          </cell>
          <cell r="H14">
            <v>17</v>
          </cell>
          <cell r="I14">
            <v>17</v>
          </cell>
          <cell r="J14">
            <v>17</v>
          </cell>
          <cell r="K14">
            <v>17</v>
          </cell>
          <cell r="L14">
            <v>17</v>
          </cell>
          <cell r="M14">
            <v>17</v>
          </cell>
          <cell r="N14">
            <v>17</v>
          </cell>
        </row>
        <row r="17">
          <cell r="C17">
            <v>170</v>
          </cell>
          <cell r="D17">
            <v>161.5</v>
          </cell>
          <cell r="E17">
            <v>178.5</v>
          </cell>
          <cell r="F17">
            <v>195.5</v>
          </cell>
          <cell r="G17">
            <v>127.5</v>
          </cell>
          <cell r="H17">
            <v>161.5</v>
          </cell>
          <cell r="I17">
            <v>195.5</v>
          </cell>
          <cell r="J17">
            <v>170</v>
          </cell>
          <cell r="K17">
            <v>187</v>
          </cell>
          <cell r="L17">
            <v>153</v>
          </cell>
          <cell r="M17">
            <v>127.5</v>
          </cell>
          <cell r="N17">
            <v>170</v>
          </cell>
        </row>
        <row r="18">
          <cell r="C18">
            <v>2732</v>
          </cell>
          <cell r="D18">
            <v>2391</v>
          </cell>
          <cell r="E18">
            <v>2436</v>
          </cell>
          <cell r="F18">
            <v>2673</v>
          </cell>
          <cell r="G18">
            <v>2340</v>
          </cell>
          <cell r="H18">
            <v>2242</v>
          </cell>
          <cell r="I18">
            <v>2837</v>
          </cell>
          <cell r="J18">
            <v>2567.5</v>
          </cell>
          <cell r="K18">
            <v>2948</v>
          </cell>
          <cell r="L18">
            <v>2680</v>
          </cell>
          <cell r="M18">
            <v>2010</v>
          </cell>
          <cell r="N18">
            <v>2680</v>
          </cell>
        </row>
        <row r="20">
          <cell r="C20">
            <v>2732</v>
          </cell>
          <cell r="D20">
            <v>2391</v>
          </cell>
          <cell r="E20">
            <v>2436</v>
          </cell>
          <cell r="F20">
            <v>2673</v>
          </cell>
          <cell r="G20">
            <v>2340</v>
          </cell>
          <cell r="H20">
            <v>2242</v>
          </cell>
          <cell r="I20">
            <v>2837</v>
          </cell>
          <cell r="J20">
            <v>2567.5</v>
          </cell>
          <cell r="K20">
            <v>2948</v>
          </cell>
          <cell r="L20">
            <v>2680</v>
          </cell>
          <cell r="M20">
            <v>2010</v>
          </cell>
          <cell r="N20">
            <v>2680</v>
          </cell>
        </row>
        <row r="21">
          <cell r="C21">
            <v>2902</v>
          </cell>
          <cell r="D21">
            <v>2552.5</v>
          </cell>
          <cell r="E21">
            <v>2614.5</v>
          </cell>
          <cell r="F21">
            <v>2868.5</v>
          </cell>
          <cell r="G21">
            <v>2467.5</v>
          </cell>
          <cell r="H21">
            <v>2403.5</v>
          </cell>
          <cell r="I21">
            <v>3032.5</v>
          </cell>
          <cell r="J21">
            <v>2737.5</v>
          </cell>
          <cell r="K21">
            <v>3135</v>
          </cell>
          <cell r="L21">
            <v>2833</v>
          </cell>
          <cell r="M21">
            <v>2137.5</v>
          </cell>
          <cell r="N21">
            <v>2850</v>
          </cell>
        </row>
        <row r="24">
          <cell r="C24">
            <v>40</v>
          </cell>
          <cell r="D24">
            <v>38</v>
          </cell>
          <cell r="E24">
            <v>42</v>
          </cell>
          <cell r="F24">
            <v>46</v>
          </cell>
          <cell r="G24">
            <v>30</v>
          </cell>
          <cell r="H24">
            <v>38</v>
          </cell>
          <cell r="I24">
            <v>46</v>
          </cell>
          <cell r="J24">
            <v>40</v>
          </cell>
          <cell r="K24">
            <v>44</v>
          </cell>
          <cell r="L24">
            <v>36</v>
          </cell>
          <cell r="M24">
            <v>30</v>
          </cell>
          <cell r="N24">
            <v>40</v>
          </cell>
        </row>
        <row r="25">
          <cell r="C25">
            <v>83</v>
          </cell>
          <cell r="D25">
            <v>79</v>
          </cell>
          <cell r="E25">
            <v>87</v>
          </cell>
          <cell r="F25">
            <v>95</v>
          </cell>
          <cell r="G25">
            <v>83</v>
          </cell>
          <cell r="H25">
            <v>79</v>
          </cell>
          <cell r="I25">
            <v>95</v>
          </cell>
          <cell r="J25">
            <v>83</v>
          </cell>
          <cell r="K25">
            <v>91</v>
          </cell>
          <cell r="L25">
            <v>83</v>
          </cell>
          <cell r="M25">
            <v>63</v>
          </cell>
          <cell r="N25">
            <v>83</v>
          </cell>
        </row>
        <row r="27">
          <cell r="C27">
            <v>83</v>
          </cell>
          <cell r="D27">
            <v>79</v>
          </cell>
          <cell r="E27">
            <v>87</v>
          </cell>
          <cell r="F27">
            <v>95</v>
          </cell>
          <cell r="G27">
            <v>83</v>
          </cell>
          <cell r="H27">
            <v>79</v>
          </cell>
          <cell r="I27">
            <v>95</v>
          </cell>
          <cell r="J27">
            <v>83</v>
          </cell>
          <cell r="K27">
            <v>91</v>
          </cell>
          <cell r="L27">
            <v>83</v>
          </cell>
          <cell r="M27">
            <v>63</v>
          </cell>
          <cell r="N27">
            <v>83</v>
          </cell>
        </row>
        <row r="28">
          <cell r="C28">
            <v>123</v>
          </cell>
          <cell r="D28">
            <v>117</v>
          </cell>
          <cell r="E28">
            <v>129</v>
          </cell>
          <cell r="F28">
            <v>141</v>
          </cell>
          <cell r="G28">
            <v>113</v>
          </cell>
          <cell r="H28">
            <v>117</v>
          </cell>
          <cell r="I28">
            <v>141</v>
          </cell>
          <cell r="J28">
            <v>123</v>
          </cell>
          <cell r="K28">
            <v>135</v>
          </cell>
          <cell r="L28">
            <v>119</v>
          </cell>
          <cell r="M28">
            <v>93</v>
          </cell>
          <cell r="N28">
            <v>123</v>
          </cell>
        </row>
      </sheetData>
      <sheetData sheetId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32"/>
    </sheetNames>
    <sheetDataSet>
      <sheetData sheetId="0">
        <row r="5">
          <cell r="A5">
            <v>1412000026</v>
          </cell>
          <cell r="B5" t="str">
            <v>施設課</v>
          </cell>
        </row>
        <row r="11">
          <cell r="C11">
            <v>11</v>
          </cell>
          <cell r="D11">
            <v>11</v>
          </cell>
          <cell r="E11">
            <v>11</v>
          </cell>
          <cell r="F11">
            <v>11</v>
          </cell>
          <cell r="G11">
            <v>11</v>
          </cell>
          <cell r="H11">
            <v>11</v>
          </cell>
          <cell r="I11">
            <v>11</v>
          </cell>
          <cell r="J11">
            <v>11</v>
          </cell>
          <cell r="K11">
            <v>11</v>
          </cell>
          <cell r="L11">
            <v>11</v>
          </cell>
          <cell r="M11">
            <v>11</v>
          </cell>
          <cell r="N11">
            <v>11</v>
          </cell>
        </row>
        <row r="12">
          <cell r="C12">
            <v>3</v>
          </cell>
          <cell r="D12">
            <v>3</v>
          </cell>
          <cell r="E12">
            <v>3</v>
          </cell>
          <cell r="F12">
            <v>3</v>
          </cell>
          <cell r="G12">
            <v>3</v>
          </cell>
          <cell r="H12">
            <v>3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3</v>
          </cell>
          <cell r="N12">
            <v>3</v>
          </cell>
        </row>
        <row r="13">
          <cell r="C13">
            <v>14</v>
          </cell>
          <cell r="D13">
            <v>14</v>
          </cell>
          <cell r="E13">
            <v>14</v>
          </cell>
          <cell r="F13">
            <v>14</v>
          </cell>
          <cell r="G13">
            <v>14</v>
          </cell>
          <cell r="H13">
            <v>14</v>
          </cell>
          <cell r="I13">
            <v>14</v>
          </cell>
          <cell r="J13">
            <v>14</v>
          </cell>
          <cell r="K13">
            <v>14</v>
          </cell>
          <cell r="L13">
            <v>14</v>
          </cell>
          <cell r="M13">
            <v>14</v>
          </cell>
          <cell r="N13">
            <v>14</v>
          </cell>
        </row>
        <row r="14">
          <cell r="C14">
            <v>14</v>
          </cell>
          <cell r="D14">
            <v>14</v>
          </cell>
          <cell r="E14">
            <v>14</v>
          </cell>
          <cell r="F14">
            <v>14</v>
          </cell>
          <cell r="G14">
            <v>14</v>
          </cell>
          <cell r="H14">
            <v>14</v>
          </cell>
          <cell r="I14">
            <v>14</v>
          </cell>
          <cell r="J14">
            <v>14</v>
          </cell>
          <cell r="K14">
            <v>14</v>
          </cell>
          <cell r="L14">
            <v>14</v>
          </cell>
          <cell r="M14">
            <v>14</v>
          </cell>
          <cell r="N14">
            <v>14</v>
          </cell>
        </row>
        <row r="18">
          <cell r="C18">
            <v>1823.25</v>
          </cell>
          <cell r="D18">
            <v>1683</v>
          </cell>
          <cell r="E18">
            <v>1870</v>
          </cell>
          <cell r="F18">
            <v>2103.75</v>
          </cell>
          <cell r="G18">
            <v>1776.5</v>
          </cell>
          <cell r="H18">
            <v>1683</v>
          </cell>
          <cell r="I18">
            <v>2103.75</v>
          </cell>
          <cell r="J18">
            <v>1823.25</v>
          </cell>
          <cell r="K18">
            <v>1963.5</v>
          </cell>
          <cell r="L18">
            <v>1776.5</v>
          </cell>
          <cell r="M18">
            <v>1355.75</v>
          </cell>
          <cell r="N18">
            <v>1776.5</v>
          </cell>
        </row>
        <row r="19">
          <cell r="C19">
            <v>454.75</v>
          </cell>
          <cell r="D19">
            <v>459</v>
          </cell>
          <cell r="E19">
            <v>522.75</v>
          </cell>
          <cell r="F19">
            <v>561</v>
          </cell>
          <cell r="G19">
            <v>484.5</v>
          </cell>
          <cell r="H19">
            <v>471.75</v>
          </cell>
          <cell r="I19">
            <v>561</v>
          </cell>
          <cell r="J19">
            <v>484.5</v>
          </cell>
          <cell r="K19">
            <v>535.5</v>
          </cell>
          <cell r="L19">
            <v>459</v>
          </cell>
          <cell r="M19">
            <v>357</v>
          </cell>
          <cell r="N19">
            <v>459</v>
          </cell>
        </row>
        <row r="20">
          <cell r="C20">
            <v>2278</v>
          </cell>
          <cell r="D20">
            <v>2142</v>
          </cell>
          <cell r="E20">
            <v>2392.75</v>
          </cell>
          <cell r="F20">
            <v>2664.75</v>
          </cell>
          <cell r="G20">
            <v>2261</v>
          </cell>
          <cell r="H20">
            <v>2154.75</v>
          </cell>
          <cell r="I20">
            <v>2664.75</v>
          </cell>
          <cell r="J20">
            <v>2307.75</v>
          </cell>
          <cell r="K20">
            <v>2499</v>
          </cell>
          <cell r="L20">
            <v>2235.5</v>
          </cell>
          <cell r="M20">
            <v>1712.75</v>
          </cell>
          <cell r="N20">
            <v>2235.5</v>
          </cell>
        </row>
        <row r="21">
          <cell r="C21">
            <v>2278</v>
          </cell>
          <cell r="D21">
            <v>2142</v>
          </cell>
          <cell r="E21">
            <v>2392.75</v>
          </cell>
          <cell r="F21">
            <v>2664.75</v>
          </cell>
          <cell r="G21">
            <v>2261</v>
          </cell>
          <cell r="H21">
            <v>2154.75</v>
          </cell>
          <cell r="I21">
            <v>2664.75</v>
          </cell>
          <cell r="J21">
            <v>2307.75</v>
          </cell>
          <cell r="K21">
            <v>2499</v>
          </cell>
          <cell r="L21">
            <v>2235.5</v>
          </cell>
          <cell r="M21">
            <v>1712.75</v>
          </cell>
          <cell r="N21">
            <v>2235.5</v>
          </cell>
        </row>
        <row r="25">
          <cell r="C25">
            <v>233</v>
          </cell>
          <cell r="D25">
            <v>234</v>
          </cell>
          <cell r="E25">
            <v>226</v>
          </cell>
          <cell r="F25">
            <v>257</v>
          </cell>
          <cell r="G25">
            <v>251</v>
          </cell>
          <cell r="H25">
            <v>240</v>
          </cell>
          <cell r="I25">
            <v>257</v>
          </cell>
          <cell r="J25">
            <v>243</v>
          </cell>
          <cell r="K25">
            <v>252</v>
          </cell>
          <cell r="L25">
            <v>240</v>
          </cell>
          <cell r="M25">
            <v>204</v>
          </cell>
          <cell r="N25">
            <v>258</v>
          </cell>
        </row>
        <row r="26">
          <cell r="C26">
            <v>34</v>
          </cell>
          <cell r="D26">
            <v>38</v>
          </cell>
          <cell r="E26">
            <v>37</v>
          </cell>
          <cell r="F26">
            <v>39</v>
          </cell>
          <cell r="G26">
            <v>35</v>
          </cell>
          <cell r="H26">
            <v>37</v>
          </cell>
          <cell r="I26">
            <v>34</v>
          </cell>
          <cell r="J26">
            <v>34</v>
          </cell>
          <cell r="K26">
            <v>34</v>
          </cell>
          <cell r="L26">
            <v>34</v>
          </cell>
          <cell r="M26">
            <v>34</v>
          </cell>
          <cell r="N26">
            <v>34</v>
          </cell>
        </row>
        <row r="27">
          <cell r="C27">
            <v>267</v>
          </cell>
          <cell r="D27">
            <v>272</v>
          </cell>
          <cell r="E27">
            <v>263</v>
          </cell>
          <cell r="F27">
            <v>296</v>
          </cell>
          <cell r="G27">
            <v>286</v>
          </cell>
          <cell r="H27">
            <v>277</v>
          </cell>
          <cell r="I27">
            <v>291</v>
          </cell>
          <cell r="J27">
            <v>277</v>
          </cell>
          <cell r="K27">
            <v>286</v>
          </cell>
          <cell r="L27">
            <v>274</v>
          </cell>
          <cell r="M27">
            <v>238</v>
          </cell>
          <cell r="N27">
            <v>292</v>
          </cell>
        </row>
        <row r="28">
          <cell r="C28">
            <v>267</v>
          </cell>
          <cell r="D28">
            <v>272</v>
          </cell>
          <cell r="E28">
            <v>263</v>
          </cell>
          <cell r="F28">
            <v>296</v>
          </cell>
          <cell r="G28">
            <v>286</v>
          </cell>
          <cell r="H28">
            <v>277</v>
          </cell>
          <cell r="I28">
            <v>291</v>
          </cell>
          <cell r="J28">
            <v>277</v>
          </cell>
          <cell r="K28">
            <v>286</v>
          </cell>
          <cell r="L28">
            <v>274</v>
          </cell>
          <cell r="M28">
            <v>238</v>
          </cell>
          <cell r="N28">
            <v>292</v>
          </cell>
        </row>
      </sheetData>
      <sheetData sheetId="1"/>
      <sheetData sheetId="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60"/>
    </sheetNames>
    <sheetDataSet>
      <sheetData sheetId="0">
        <row r="5">
          <cell r="A5">
            <v>1412000093</v>
          </cell>
          <cell r="B5" t="str">
            <v>リスクマネジメント課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5</v>
          </cell>
          <cell r="D11">
            <v>6</v>
          </cell>
          <cell r="E11">
            <v>6</v>
          </cell>
          <cell r="F11">
            <v>6</v>
          </cell>
          <cell r="G11">
            <v>6</v>
          </cell>
          <cell r="H11">
            <v>6</v>
          </cell>
          <cell r="I11">
            <v>6</v>
          </cell>
          <cell r="J11">
            <v>6</v>
          </cell>
          <cell r="K11">
            <v>6</v>
          </cell>
          <cell r="L11">
            <v>6</v>
          </cell>
          <cell r="M11">
            <v>6</v>
          </cell>
          <cell r="N11">
            <v>6</v>
          </cell>
        </row>
        <row r="13">
          <cell r="C13">
            <v>5</v>
          </cell>
          <cell r="D13">
            <v>6</v>
          </cell>
          <cell r="E13">
            <v>6</v>
          </cell>
          <cell r="F13">
            <v>6</v>
          </cell>
          <cell r="G13">
            <v>6</v>
          </cell>
          <cell r="H13">
            <v>6</v>
          </cell>
          <cell r="I13">
            <v>6</v>
          </cell>
          <cell r="J13">
            <v>6</v>
          </cell>
          <cell r="K13">
            <v>6</v>
          </cell>
          <cell r="L13">
            <v>6</v>
          </cell>
          <cell r="M13">
            <v>6</v>
          </cell>
          <cell r="N13">
            <v>6</v>
          </cell>
        </row>
        <row r="14">
          <cell r="C14">
            <v>6</v>
          </cell>
          <cell r="D14">
            <v>7</v>
          </cell>
          <cell r="E14">
            <v>7</v>
          </cell>
          <cell r="F14">
            <v>7</v>
          </cell>
          <cell r="G14">
            <v>7</v>
          </cell>
          <cell r="H14">
            <v>7</v>
          </cell>
          <cell r="I14">
            <v>7</v>
          </cell>
          <cell r="J14">
            <v>7</v>
          </cell>
          <cell r="K14">
            <v>7</v>
          </cell>
          <cell r="L14">
            <v>7</v>
          </cell>
          <cell r="M14">
            <v>7</v>
          </cell>
          <cell r="N14">
            <v>7</v>
          </cell>
        </row>
        <row r="17">
          <cell r="C17">
            <v>170</v>
          </cell>
          <cell r="D17">
            <v>161.5</v>
          </cell>
          <cell r="E17">
            <v>178.5</v>
          </cell>
          <cell r="F17">
            <v>195.5</v>
          </cell>
          <cell r="G17">
            <v>127.5</v>
          </cell>
          <cell r="H17">
            <v>161.5</v>
          </cell>
          <cell r="I17">
            <v>195.5</v>
          </cell>
          <cell r="J17">
            <v>170</v>
          </cell>
          <cell r="K17">
            <v>187</v>
          </cell>
          <cell r="L17">
            <v>170</v>
          </cell>
          <cell r="M17">
            <v>110.5</v>
          </cell>
          <cell r="N17">
            <v>170</v>
          </cell>
        </row>
        <row r="18">
          <cell r="C18">
            <v>816</v>
          </cell>
          <cell r="D18">
            <v>935</v>
          </cell>
          <cell r="E18">
            <v>1037</v>
          </cell>
          <cell r="F18">
            <v>1139</v>
          </cell>
          <cell r="G18">
            <v>986</v>
          </cell>
          <cell r="H18">
            <v>935</v>
          </cell>
          <cell r="I18">
            <v>1139</v>
          </cell>
          <cell r="J18">
            <v>986</v>
          </cell>
          <cell r="K18">
            <v>1088</v>
          </cell>
          <cell r="L18">
            <v>986</v>
          </cell>
          <cell r="M18">
            <v>731</v>
          </cell>
          <cell r="N18">
            <v>986</v>
          </cell>
        </row>
        <row r="20">
          <cell r="C20">
            <v>816</v>
          </cell>
          <cell r="D20">
            <v>935</v>
          </cell>
          <cell r="E20">
            <v>1037</v>
          </cell>
          <cell r="F20">
            <v>1139</v>
          </cell>
          <cell r="G20">
            <v>986</v>
          </cell>
          <cell r="H20">
            <v>935</v>
          </cell>
          <cell r="I20">
            <v>1139</v>
          </cell>
          <cell r="J20">
            <v>986</v>
          </cell>
          <cell r="K20">
            <v>1088</v>
          </cell>
          <cell r="L20">
            <v>986</v>
          </cell>
          <cell r="M20">
            <v>731</v>
          </cell>
          <cell r="N20">
            <v>986</v>
          </cell>
        </row>
        <row r="21">
          <cell r="C21">
            <v>986</v>
          </cell>
          <cell r="D21">
            <v>1096.5</v>
          </cell>
          <cell r="E21">
            <v>1215.5</v>
          </cell>
          <cell r="F21">
            <v>1334.5</v>
          </cell>
          <cell r="G21">
            <v>1113.5</v>
          </cell>
          <cell r="H21">
            <v>1096.5</v>
          </cell>
          <cell r="I21">
            <v>1334.5</v>
          </cell>
          <cell r="J21">
            <v>1156</v>
          </cell>
          <cell r="K21">
            <v>1275</v>
          </cell>
          <cell r="L21">
            <v>1156</v>
          </cell>
          <cell r="M21">
            <v>841.5</v>
          </cell>
          <cell r="N21">
            <v>1156</v>
          </cell>
        </row>
        <row r="24">
          <cell r="C24">
            <v>40</v>
          </cell>
          <cell r="D24">
            <v>38</v>
          </cell>
          <cell r="E24">
            <v>42</v>
          </cell>
          <cell r="F24">
            <v>46</v>
          </cell>
          <cell r="G24">
            <v>30</v>
          </cell>
          <cell r="H24">
            <v>38</v>
          </cell>
          <cell r="I24">
            <v>46</v>
          </cell>
          <cell r="J24">
            <v>40</v>
          </cell>
          <cell r="K24">
            <v>44</v>
          </cell>
          <cell r="L24">
            <v>40</v>
          </cell>
          <cell r="M24">
            <v>26</v>
          </cell>
          <cell r="N24">
            <v>40</v>
          </cell>
        </row>
        <row r="25">
          <cell r="C25">
            <v>76</v>
          </cell>
          <cell r="D25">
            <v>72</v>
          </cell>
          <cell r="E25">
            <v>80</v>
          </cell>
          <cell r="F25">
            <v>88</v>
          </cell>
          <cell r="G25">
            <v>76</v>
          </cell>
          <cell r="H25">
            <v>72</v>
          </cell>
          <cell r="I25">
            <v>88</v>
          </cell>
          <cell r="J25">
            <v>76</v>
          </cell>
          <cell r="K25">
            <v>84</v>
          </cell>
          <cell r="L25">
            <v>76</v>
          </cell>
          <cell r="M25">
            <v>56</v>
          </cell>
          <cell r="N25">
            <v>76</v>
          </cell>
        </row>
        <row r="27">
          <cell r="C27">
            <v>76</v>
          </cell>
          <cell r="D27">
            <v>72</v>
          </cell>
          <cell r="E27">
            <v>80</v>
          </cell>
          <cell r="F27">
            <v>88</v>
          </cell>
          <cell r="G27">
            <v>76</v>
          </cell>
          <cell r="H27">
            <v>72</v>
          </cell>
          <cell r="I27">
            <v>88</v>
          </cell>
          <cell r="J27">
            <v>76</v>
          </cell>
          <cell r="K27">
            <v>84</v>
          </cell>
          <cell r="L27">
            <v>76</v>
          </cell>
          <cell r="M27">
            <v>56</v>
          </cell>
          <cell r="N27">
            <v>76</v>
          </cell>
        </row>
        <row r="28">
          <cell r="C28">
            <v>116</v>
          </cell>
          <cell r="D28">
            <v>110</v>
          </cell>
          <cell r="E28">
            <v>122</v>
          </cell>
          <cell r="F28">
            <v>134</v>
          </cell>
          <cell r="G28">
            <v>106</v>
          </cell>
          <cell r="H28">
            <v>110</v>
          </cell>
          <cell r="I28">
            <v>134</v>
          </cell>
          <cell r="J28">
            <v>116</v>
          </cell>
          <cell r="K28">
            <v>128</v>
          </cell>
          <cell r="L28">
            <v>116</v>
          </cell>
          <cell r="M28">
            <v>82</v>
          </cell>
          <cell r="N28">
            <v>116</v>
          </cell>
        </row>
      </sheetData>
      <sheetData sheetId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58"/>
    </sheetNames>
    <sheetDataSet>
      <sheetData sheetId="0">
        <row r="5">
          <cell r="A5">
            <v>1412000091</v>
          </cell>
          <cell r="B5" t="str">
            <v>保安課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3</v>
          </cell>
          <cell r="D11">
            <v>3</v>
          </cell>
          <cell r="E11">
            <v>3</v>
          </cell>
          <cell r="F11">
            <v>3</v>
          </cell>
          <cell r="G11">
            <v>3</v>
          </cell>
          <cell r="H11">
            <v>3</v>
          </cell>
          <cell r="I11">
            <v>3</v>
          </cell>
          <cell r="J11">
            <v>3</v>
          </cell>
          <cell r="K11">
            <v>3</v>
          </cell>
          <cell r="L11">
            <v>3</v>
          </cell>
          <cell r="M11">
            <v>3</v>
          </cell>
          <cell r="N11">
            <v>3</v>
          </cell>
        </row>
        <row r="12">
          <cell r="C12">
            <v>67</v>
          </cell>
          <cell r="D12">
            <v>67</v>
          </cell>
          <cell r="E12">
            <v>67</v>
          </cell>
          <cell r="F12">
            <v>67</v>
          </cell>
          <cell r="G12">
            <v>67</v>
          </cell>
          <cell r="H12">
            <v>67</v>
          </cell>
          <cell r="I12">
            <v>67</v>
          </cell>
          <cell r="J12">
            <v>67</v>
          </cell>
          <cell r="K12">
            <v>67</v>
          </cell>
          <cell r="L12">
            <v>67</v>
          </cell>
          <cell r="M12">
            <v>67</v>
          </cell>
          <cell r="N12">
            <v>67</v>
          </cell>
        </row>
        <row r="13">
          <cell r="C13">
            <v>70</v>
          </cell>
          <cell r="D13">
            <v>70</v>
          </cell>
          <cell r="E13">
            <v>70</v>
          </cell>
          <cell r="F13">
            <v>70</v>
          </cell>
          <cell r="G13">
            <v>70</v>
          </cell>
          <cell r="H13">
            <v>70</v>
          </cell>
          <cell r="I13">
            <v>70</v>
          </cell>
          <cell r="J13">
            <v>70</v>
          </cell>
          <cell r="K13">
            <v>70</v>
          </cell>
          <cell r="L13">
            <v>70</v>
          </cell>
          <cell r="M13">
            <v>70</v>
          </cell>
          <cell r="N13">
            <v>70</v>
          </cell>
        </row>
        <row r="14">
          <cell r="C14">
            <v>70</v>
          </cell>
          <cell r="D14">
            <v>70</v>
          </cell>
          <cell r="E14">
            <v>70</v>
          </cell>
          <cell r="F14">
            <v>70</v>
          </cell>
          <cell r="G14">
            <v>70</v>
          </cell>
          <cell r="H14">
            <v>70</v>
          </cell>
          <cell r="I14">
            <v>70</v>
          </cell>
          <cell r="J14">
            <v>70</v>
          </cell>
          <cell r="K14">
            <v>70</v>
          </cell>
          <cell r="L14">
            <v>70</v>
          </cell>
          <cell r="M14">
            <v>70</v>
          </cell>
          <cell r="N14">
            <v>70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490</v>
          </cell>
          <cell r="D18">
            <v>503</v>
          </cell>
          <cell r="E18">
            <v>522</v>
          </cell>
          <cell r="F18">
            <v>571</v>
          </cell>
          <cell r="G18">
            <v>512.5</v>
          </cell>
          <cell r="H18">
            <v>480.5</v>
          </cell>
          <cell r="I18">
            <v>571</v>
          </cell>
          <cell r="J18">
            <v>497.5</v>
          </cell>
          <cell r="K18">
            <v>561.5</v>
          </cell>
          <cell r="L18">
            <v>505</v>
          </cell>
          <cell r="M18">
            <v>382.5</v>
          </cell>
          <cell r="N18">
            <v>505</v>
          </cell>
        </row>
        <row r="19">
          <cell r="C19">
            <v>10500</v>
          </cell>
          <cell r="D19">
            <v>11250</v>
          </cell>
          <cell r="E19">
            <v>11250</v>
          </cell>
          <cell r="F19">
            <v>11625</v>
          </cell>
          <cell r="G19">
            <v>11625</v>
          </cell>
          <cell r="H19">
            <v>10500</v>
          </cell>
          <cell r="I19">
            <v>11625</v>
          </cell>
          <cell r="J19">
            <v>11250</v>
          </cell>
          <cell r="K19">
            <v>11625</v>
          </cell>
          <cell r="L19">
            <v>11625</v>
          </cell>
          <cell r="M19">
            <v>8625</v>
          </cell>
          <cell r="N19">
            <v>11625</v>
          </cell>
        </row>
        <row r="20">
          <cell r="C20">
            <v>10990</v>
          </cell>
          <cell r="D20">
            <v>11753</v>
          </cell>
          <cell r="E20">
            <v>11772</v>
          </cell>
          <cell r="F20">
            <v>12196</v>
          </cell>
          <cell r="G20">
            <v>12137.5</v>
          </cell>
          <cell r="H20">
            <v>10980.5</v>
          </cell>
          <cell r="I20">
            <v>12196</v>
          </cell>
          <cell r="J20">
            <v>11747.5</v>
          </cell>
          <cell r="K20">
            <v>12186.5</v>
          </cell>
          <cell r="L20">
            <v>12130</v>
          </cell>
          <cell r="M20">
            <v>9007.5</v>
          </cell>
          <cell r="N20">
            <v>12130</v>
          </cell>
        </row>
        <row r="21">
          <cell r="C21">
            <v>10990</v>
          </cell>
          <cell r="D21">
            <v>11753</v>
          </cell>
          <cell r="E21">
            <v>11772</v>
          </cell>
          <cell r="F21">
            <v>12196</v>
          </cell>
          <cell r="G21">
            <v>12137.5</v>
          </cell>
          <cell r="H21">
            <v>10980.5</v>
          </cell>
          <cell r="I21">
            <v>12196</v>
          </cell>
          <cell r="J21">
            <v>11747.5</v>
          </cell>
          <cell r="K21">
            <v>12186.5</v>
          </cell>
          <cell r="L21">
            <v>12130</v>
          </cell>
          <cell r="M21">
            <v>9007.5</v>
          </cell>
          <cell r="N21">
            <v>12130</v>
          </cell>
        </row>
        <row r="25">
          <cell r="C25">
            <v>59.5</v>
          </cell>
          <cell r="D25">
            <v>65.5</v>
          </cell>
          <cell r="E25">
            <v>61.5</v>
          </cell>
          <cell r="F25">
            <v>65.5</v>
          </cell>
          <cell r="G25">
            <v>59.5</v>
          </cell>
          <cell r="H25">
            <v>65.5</v>
          </cell>
          <cell r="I25">
            <v>65.5</v>
          </cell>
          <cell r="J25">
            <v>59.5</v>
          </cell>
          <cell r="K25">
            <v>63.5</v>
          </cell>
          <cell r="L25">
            <v>59.5</v>
          </cell>
          <cell r="M25">
            <v>57.5</v>
          </cell>
          <cell r="N25">
            <v>59.5</v>
          </cell>
        </row>
        <row r="26">
          <cell r="C26">
            <v>530.5</v>
          </cell>
          <cell r="D26">
            <v>324.5</v>
          </cell>
          <cell r="E26">
            <v>136.5</v>
          </cell>
          <cell r="F26">
            <v>148.5</v>
          </cell>
          <cell r="G26">
            <v>130.5</v>
          </cell>
          <cell r="H26">
            <v>591</v>
          </cell>
          <cell r="I26">
            <v>145.5</v>
          </cell>
          <cell r="J26">
            <v>139.5</v>
          </cell>
          <cell r="K26">
            <v>142.5</v>
          </cell>
          <cell r="L26">
            <v>130.5</v>
          </cell>
          <cell r="M26">
            <v>1116.5</v>
          </cell>
          <cell r="N26">
            <v>130.5</v>
          </cell>
        </row>
        <row r="27">
          <cell r="C27">
            <v>590</v>
          </cell>
          <cell r="D27">
            <v>390</v>
          </cell>
          <cell r="E27">
            <v>198</v>
          </cell>
          <cell r="F27">
            <v>214</v>
          </cell>
          <cell r="G27">
            <v>190</v>
          </cell>
          <cell r="H27">
            <v>656.5</v>
          </cell>
          <cell r="I27">
            <v>211</v>
          </cell>
          <cell r="J27">
            <v>199</v>
          </cell>
          <cell r="K27">
            <v>206</v>
          </cell>
          <cell r="L27">
            <v>190</v>
          </cell>
          <cell r="M27">
            <v>1174</v>
          </cell>
          <cell r="N27">
            <v>190</v>
          </cell>
        </row>
        <row r="28">
          <cell r="C28">
            <v>590</v>
          </cell>
          <cell r="D28">
            <v>390</v>
          </cell>
          <cell r="E28">
            <v>198</v>
          </cell>
          <cell r="F28">
            <v>214</v>
          </cell>
          <cell r="G28">
            <v>190</v>
          </cell>
          <cell r="H28">
            <v>656.5</v>
          </cell>
          <cell r="I28">
            <v>211</v>
          </cell>
          <cell r="J28">
            <v>199</v>
          </cell>
          <cell r="K28">
            <v>206</v>
          </cell>
          <cell r="L28">
            <v>190</v>
          </cell>
          <cell r="M28">
            <v>1174</v>
          </cell>
          <cell r="N28">
            <v>190</v>
          </cell>
        </row>
      </sheetData>
      <sheetData sheetId="1"/>
      <sheetData sheetId="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33"/>
      <sheetName val="Kế hoạch số người - thời gian"/>
    </sheetNames>
    <sheetDataSet>
      <sheetData sheetId="0">
        <row r="5">
          <cell r="A5">
            <v>1412000028</v>
          </cell>
          <cell r="B5" t="str">
            <v>会計課</v>
          </cell>
        </row>
        <row r="11">
          <cell r="C11">
            <v>12</v>
          </cell>
          <cell r="D11">
            <v>12</v>
          </cell>
          <cell r="E11">
            <v>12</v>
          </cell>
          <cell r="F11">
            <v>12</v>
          </cell>
          <cell r="G11">
            <v>12</v>
          </cell>
          <cell r="H11">
            <v>12</v>
          </cell>
          <cell r="I11">
            <v>12</v>
          </cell>
          <cell r="J11">
            <v>12</v>
          </cell>
          <cell r="K11">
            <v>12</v>
          </cell>
          <cell r="L11">
            <v>12</v>
          </cell>
          <cell r="M11">
            <v>12</v>
          </cell>
          <cell r="N11">
            <v>12</v>
          </cell>
        </row>
        <row r="13">
          <cell r="C13">
            <v>12</v>
          </cell>
          <cell r="D13">
            <v>12</v>
          </cell>
          <cell r="E13">
            <v>12</v>
          </cell>
          <cell r="F13">
            <v>12</v>
          </cell>
          <cell r="G13">
            <v>12</v>
          </cell>
          <cell r="H13">
            <v>12</v>
          </cell>
          <cell r="I13">
            <v>12</v>
          </cell>
          <cell r="J13">
            <v>12</v>
          </cell>
          <cell r="K13">
            <v>12</v>
          </cell>
          <cell r="L13">
            <v>12</v>
          </cell>
          <cell r="M13">
            <v>12</v>
          </cell>
          <cell r="N13">
            <v>12</v>
          </cell>
        </row>
        <row r="14">
          <cell r="C14">
            <v>12</v>
          </cell>
          <cell r="D14">
            <v>12</v>
          </cell>
          <cell r="E14">
            <v>12</v>
          </cell>
          <cell r="F14">
            <v>12</v>
          </cell>
          <cell r="G14">
            <v>12</v>
          </cell>
          <cell r="H14">
            <v>12</v>
          </cell>
          <cell r="I14">
            <v>12</v>
          </cell>
          <cell r="J14">
            <v>12</v>
          </cell>
          <cell r="K14">
            <v>12</v>
          </cell>
          <cell r="L14">
            <v>12</v>
          </cell>
          <cell r="M14">
            <v>12</v>
          </cell>
          <cell r="N14">
            <v>12</v>
          </cell>
        </row>
        <row r="18">
          <cell r="C18">
            <v>1785</v>
          </cell>
          <cell r="D18">
            <v>1810.5</v>
          </cell>
          <cell r="E18">
            <v>2040</v>
          </cell>
          <cell r="F18">
            <v>2244</v>
          </cell>
          <cell r="G18">
            <v>1997.5</v>
          </cell>
          <cell r="H18">
            <v>1776.5</v>
          </cell>
          <cell r="I18">
            <v>2244</v>
          </cell>
          <cell r="J18">
            <v>1938</v>
          </cell>
          <cell r="K18">
            <v>2142</v>
          </cell>
          <cell r="L18">
            <v>1921</v>
          </cell>
          <cell r="M18">
            <v>1487.5</v>
          </cell>
          <cell r="N18">
            <v>1997.5</v>
          </cell>
        </row>
        <row r="20">
          <cell r="C20">
            <v>1785</v>
          </cell>
          <cell r="D20">
            <v>1810.5</v>
          </cell>
          <cell r="E20">
            <v>2040</v>
          </cell>
          <cell r="F20">
            <v>2244</v>
          </cell>
          <cell r="G20">
            <v>1997.5</v>
          </cell>
          <cell r="H20">
            <v>1776.5</v>
          </cell>
          <cell r="I20">
            <v>2244</v>
          </cell>
          <cell r="J20">
            <v>1938</v>
          </cell>
          <cell r="K20">
            <v>2142</v>
          </cell>
          <cell r="L20">
            <v>1921</v>
          </cell>
          <cell r="M20">
            <v>1487.5</v>
          </cell>
          <cell r="N20">
            <v>1997.5</v>
          </cell>
        </row>
        <row r="21">
          <cell r="C21">
            <v>1785</v>
          </cell>
          <cell r="D21">
            <v>1810.5</v>
          </cell>
          <cell r="E21">
            <v>2040</v>
          </cell>
          <cell r="F21">
            <v>2244</v>
          </cell>
          <cell r="G21">
            <v>1997.5</v>
          </cell>
          <cell r="H21">
            <v>1776.5</v>
          </cell>
          <cell r="I21">
            <v>2244</v>
          </cell>
          <cell r="J21">
            <v>1938</v>
          </cell>
          <cell r="K21">
            <v>2142</v>
          </cell>
          <cell r="L21">
            <v>1921</v>
          </cell>
          <cell r="M21">
            <v>1487.5</v>
          </cell>
          <cell r="N21">
            <v>1997.5</v>
          </cell>
        </row>
        <row r="25">
          <cell r="C25">
            <v>46</v>
          </cell>
          <cell r="D25">
            <v>66</v>
          </cell>
          <cell r="E25">
            <v>80</v>
          </cell>
          <cell r="F25">
            <v>88</v>
          </cell>
          <cell r="G25">
            <v>122.5</v>
          </cell>
          <cell r="H25">
            <v>68</v>
          </cell>
          <cell r="I25">
            <v>88</v>
          </cell>
          <cell r="J25">
            <v>76</v>
          </cell>
          <cell r="K25">
            <v>84</v>
          </cell>
          <cell r="L25">
            <v>72</v>
          </cell>
          <cell r="M25">
            <v>60</v>
          </cell>
          <cell r="N25">
            <v>122.5</v>
          </cell>
        </row>
        <row r="27">
          <cell r="C27">
            <v>46</v>
          </cell>
          <cell r="D27">
            <v>66</v>
          </cell>
          <cell r="E27">
            <v>80</v>
          </cell>
          <cell r="F27">
            <v>88</v>
          </cell>
          <cell r="G27">
            <v>122.5</v>
          </cell>
          <cell r="H27">
            <v>68</v>
          </cell>
          <cell r="I27">
            <v>88</v>
          </cell>
          <cell r="J27">
            <v>76</v>
          </cell>
          <cell r="K27">
            <v>84</v>
          </cell>
          <cell r="L27">
            <v>72</v>
          </cell>
          <cell r="M27">
            <v>60</v>
          </cell>
          <cell r="N27">
            <v>122.5</v>
          </cell>
        </row>
        <row r="28">
          <cell r="C28">
            <v>46</v>
          </cell>
          <cell r="D28">
            <v>66</v>
          </cell>
          <cell r="E28">
            <v>80</v>
          </cell>
          <cell r="F28">
            <v>88</v>
          </cell>
          <cell r="G28">
            <v>122.5</v>
          </cell>
          <cell r="H28">
            <v>68</v>
          </cell>
          <cell r="I28">
            <v>88</v>
          </cell>
          <cell r="J28">
            <v>76</v>
          </cell>
          <cell r="K28">
            <v>84</v>
          </cell>
          <cell r="L28">
            <v>72</v>
          </cell>
          <cell r="M28">
            <v>60</v>
          </cell>
          <cell r="N28">
            <v>122.5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34"/>
    </sheetNames>
    <sheetDataSet>
      <sheetData sheetId="0">
        <row r="5">
          <cell r="A5">
            <v>1412000029</v>
          </cell>
          <cell r="B5" t="str">
            <v>経営管理課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8</v>
          </cell>
          <cell r="D11">
            <v>8</v>
          </cell>
          <cell r="E11">
            <v>8</v>
          </cell>
          <cell r="F11">
            <v>8</v>
          </cell>
          <cell r="G11">
            <v>8</v>
          </cell>
          <cell r="H11">
            <v>8</v>
          </cell>
          <cell r="I11">
            <v>8</v>
          </cell>
          <cell r="J11">
            <v>8</v>
          </cell>
          <cell r="K11">
            <v>8</v>
          </cell>
          <cell r="L11">
            <v>8</v>
          </cell>
          <cell r="M11">
            <v>8</v>
          </cell>
          <cell r="N11">
            <v>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8</v>
          </cell>
          <cell r="D13">
            <v>8</v>
          </cell>
          <cell r="E13">
            <v>8</v>
          </cell>
          <cell r="F13">
            <v>8</v>
          </cell>
          <cell r="G13">
            <v>8</v>
          </cell>
          <cell r="H13">
            <v>8</v>
          </cell>
          <cell r="I13">
            <v>8</v>
          </cell>
          <cell r="J13">
            <v>8</v>
          </cell>
          <cell r="K13">
            <v>8</v>
          </cell>
          <cell r="L13">
            <v>8</v>
          </cell>
          <cell r="M13">
            <v>8</v>
          </cell>
          <cell r="N13">
            <v>8</v>
          </cell>
        </row>
        <row r="14">
          <cell r="C14">
            <v>9</v>
          </cell>
          <cell r="D14">
            <v>9</v>
          </cell>
          <cell r="E14">
            <v>9</v>
          </cell>
          <cell r="F14">
            <v>9</v>
          </cell>
          <cell r="G14">
            <v>9</v>
          </cell>
          <cell r="H14">
            <v>9</v>
          </cell>
          <cell r="I14">
            <v>9</v>
          </cell>
          <cell r="J14">
            <v>9</v>
          </cell>
          <cell r="K14">
            <v>9</v>
          </cell>
          <cell r="L14">
            <v>9</v>
          </cell>
          <cell r="M14">
            <v>9</v>
          </cell>
          <cell r="N14">
            <v>9</v>
          </cell>
        </row>
        <row r="17">
          <cell r="C17">
            <v>170</v>
          </cell>
          <cell r="D17">
            <v>161.5</v>
          </cell>
          <cell r="E17">
            <v>178.5</v>
          </cell>
          <cell r="F17">
            <v>195.5</v>
          </cell>
          <cell r="G17">
            <v>127.5</v>
          </cell>
          <cell r="H17">
            <v>161.5</v>
          </cell>
          <cell r="I17">
            <v>195.5</v>
          </cell>
          <cell r="J17">
            <v>170</v>
          </cell>
          <cell r="K17">
            <v>187</v>
          </cell>
          <cell r="L17">
            <v>170</v>
          </cell>
          <cell r="M17">
            <v>110.5</v>
          </cell>
          <cell r="N17">
            <v>170</v>
          </cell>
        </row>
        <row r="18">
          <cell r="C18">
            <v>1287.75</v>
          </cell>
          <cell r="D18">
            <v>1224</v>
          </cell>
          <cell r="E18">
            <v>1347.25</v>
          </cell>
          <cell r="F18">
            <v>1496</v>
          </cell>
          <cell r="G18">
            <v>1351.5</v>
          </cell>
          <cell r="H18">
            <v>1224</v>
          </cell>
          <cell r="I18">
            <v>1483.25</v>
          </cell>
          <cell r="J18">
            <v>1292</v>
          </cell>
          <cell r="K18">
            <v>1428</v>
          </cell>
          <cell r="L18">
            <v>1292</v>
          </cell>
          <cell r="M18">
            <v>1020</v>
          </cell>
          <cell r="N18">
            <v>1360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1287.75</v>
          </cell>
          <cell r="D20">
            <v>1224</v>
          </cell>
          <cell r="E20">
            <v>1347.25</v>
          </cell>
          <cell r="F20">
            <v>1496</v>
          </cell>
          <cell r="G20">
            <v>1351.5</v>
          </cell>
          <cell r="H20">
            <v>1224</v>
          </cell>
          <cell r="I20">
            <v>1483.25</v>
          </cell>
          <cell r="J20">
            <v>1292</v>
          </cell>
          <cell r="K20">
            <v>1428</v>
          </cell>
          <cell r="L20">
            <v>1292</v>
          </cell>
          <cell r="M20">
            <v>1020</v>
          </cell>
          <cell r="N20">
            <v>1360</v>
          </cell>
        </row>
        <row r="21">
          <cell r="C21">
            <v>1457.75</v>
          </cell>
          <cell r="D21">
            <v>1385.5</v>
          </cell>
          <cell r="E21">
            <v>1525.75</v>
          </cell>
          <cell r="F21">
            <v>1691.5</v>
          </cell>
          <cell r="G21">
            <v>1479</v>
          </cell>
          <cell r="H21">
            <v>1385.5</v>
          </cell>
          <cell r="I21">
            <v>1678.75</v>
          </cell>
          <cell r="J21">
            <v>1462</v>
          </cell>
          <cell r="K21">
            <v>1615</v>
          </cell>
          <cell r="L21">
            <v>1462</v>
          </cell>
          <cell r="M21">
            <v>1130.5</v>
          </cell>
          <cell r="N21">
            <v>1530</v>
          </cell>
        </row>
        <row r="24">
          <cell r="C24">
            <v>40</v>
          </cell>
          <cell r="D24">
            <v>38</v>
          </cell>
          <cell r="E24">
            <v>42</v>
          </cell>
          <cell r="F24">
            <v>46</v>
          </cell>
          <cell r="G24">
            <v>30</v>
          </cell>
          <cell r="H24">
            <v>38</v>
          </cell>
          <cell r="I24">
            <v>46</v>
          </cell>
          <cell r="J24">
            <v>40</v>
          </cell>
          <cell r="K24">
            <v>44</v>
          </cell>
          <cell r="L24">
            <v>40</v>
          </cell>
          <cell r="M24">
            <v>26</v>
          </cell>
          <cell r="N24">
            <v>40</v>
          </cell>
        </row>
        <row r="25">
          <cell r="C25">
            <v>38</v>
          </cell>
          <cell r="D25">
            <v>36</v>
          </cell>
          <cell r="E25">
            <v>38</v>
          </cell>
          <cell r="F25">
            <v>44</v>
          </cell>
          <cell r="G25">
            <v>75</v>
          </cell>
          <cell r="H25">
            <v>36</v>
          </cell>
          <cell r="I25">
            <v>42</v>
          </cell>
          <cell r="J25">
            <v>38</v>
          </cell>
          <cell r="K25">
            <v>42</v>
          </cell>
          <cell r="L25">
            <v>38</v>
          </cell>
          <cell r="M25">
            <v>30</v>
          </cell>
          <cell r="N25">
            <v>75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>
            <v>38</v>
          </cell>
          <cell r="D27">
            <v>36</v>
          </cell>
          <cell r="E27">
            <v>38</v>
          </cell>
          <cell r="F27">
            <v>44</v>
          </cell>
          <cell r="G27">
            <v>75</v>
          </cell>
          <cell r="H27">
            <v>36</v>
          </cell>
          <cell r="I27">
            <v>42</v>
          </cell>
          <cell r="J27">
            <v>38</v>
          </cell>
          <cell r="K27">
            <v>42</v>
          </cell>
          <cell r="L27">
            <v>38</v>
          </cell>
          <cell r="M27">
            <v>30</v>
          </cell>
          <cell r="N27">
            <v>75</v>
          </cell>
        </row>
        <row r="28">
          <cell r="C28">
            <v>78</v>
          </cell>
          <cell r="D28">
            <v>74</v>
          </cell>
          <cell r="E28">
            <v>80</v>
          </cell>
          <cell r="F28">
            <v>90</v>
          </cell>
          <cell r="G28">
            <v>105</v>
          </cell>
          <cell r="H28">
            <v>74</v>
          </cell>
          <cell r="I28">
            <v>88</v>
          </cell>
          <cell r="J28">
            <v>78</v>
          </cell>
          <cell r="K28">
            <v>86</v>
          </cell>
          <cell r="L28">
            <v>78</v>
          </cell>
          <cell r="M28">
            <v>56</v>
          </cell>
          <cell r="N28">
            <v>115</v>
          </cell>
        </row>
      </sheetData>
      <sheetData sheetId="1"/>
      <sheetData sheetId="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>
            <v>1412000086</v>
          </cell>
          <cell r="B5" t="str">
            <v>情報システム課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13</v>
          </cell>
          <cell r="D11">
            <v>13</v>
          </cell>
          <cell r="E11">
            <v>13</v>
          </cell>
          <cell r="F11">
            <v>13</v>
          </cell>
          <cell r="G11">
            <v>13</v>
          </cell>
          <cell r="H11">
            <v>14</v>
          </cell>
          <cell r="I11">
            <v>14</v>
          </cell>
          <cell r="J11">
            <v>14</v>
          </cell>
          <cell r="K11">
            <v>14</v>
          </cell>
          <cell r="L11">
            <v>14</v>
          </cell>
          <cell r="M11">
            <v>14</v>
          </cell>
          <cell r="N11">
            <v>14</v>
          </cell>
        </row>
        <row r="13">
          <cell r="C13">
            <v>13</v>
          </cell>
          <cell r="D13">
            <v>13</v>
          </cell>
          <cell r="E13">
            <v>13</v>
          </cell>
          <cell r="F13">
            <v>13</v>
          </cell>
          <cell r="G13">
            <v>13</v>
          </cell>
          <cell r="H13">
            <v>14</v>
          </cell>
          <cell r="I13">
            <v>14</v>
          </cell>
          <cell r="J13">
            <v>14</v>
          </cell>
          <cell r="K13">
            <v>14</v>
          </cell>
          <cell r="L13">
            <v>14</v>
          </cell>
          <cell r="M13">
            <v>14</v>
          </cell>
          <cell r="N13">
            <v>14</v>
          </cell>
        </row>
        <row r="14">
          <cell r="C14">
            <v>14</v>
          </cell>
          <cell r="D14">
            <v>14</v>
          </cell>
          <cell r="E14">
            <v>14</v>
          </cell>
          <cell r="F14">
            <v>14</v>
          </cell>
          <cell r="G14">
            <v>14</v>
          </cell>
          <cell r="H14">
            <v>15</v>
          </cell>
          <cell r="I14">
            <v>15</v>
          </cell>
          <cell r="J14">
            <v>15</v>
          </cell>
          <cell r="K14">
            <v>15</v>
          </cell>
          <cell r="L14">
            <v>15</v>
          </cell>
          <cell r="M14">
            <v>15</v>
          </cell>
          <cell r="N14">
            <v>15</v>
          </cell>
        </row>
        <row r="17">
          <cell r="C17">
            <v>161.5</v>
          </cell>
          <cell r="D17">
            <v>161.5</v>
          </cell>
          <cell r="E17">
            <v>170</v>
          </cell>
          <cell r="F17">
            <v>195.5</v>
          </cell>
          <cell r="G17">
            <v>127.5</v>
          </cell>
          <cell r="H17">
            <v>161.5</v>
          </cell>
          <cell r="I17">
            <v>187</v>
          </cell>
          <cell r="J17">
            <v>161.5</v>
          </cell>
          <cell r="K17">
            <v>187</v>
          </cell>
          <cell r="L17">
            <v>170</v>
          </cell>
          <cell r="M17">
            <v>127.5</v>
          </cell>
          <cell r="N17">
            <v>161.5</v>
          </cell>
        </row>
        <row r="18">
          <cell r="C18">
            <v>2184.5</v>
          </cell>
          <cell r="D18">
            <v>2091</v>
          </cell>
          <cell r="E18">
            <v>2303.5</v>
          </cell>
          <cell r="F18">
            <v>2499</v>
          </cell>
          <cell r="G18">
            <v>2201.5</v>
          </cell>
          <cell r="H18">
            <v>2252.5</v>
          </cell>
          <cell r="I18">
            <v>2720</v>
          </cell>
          <cell r="J18">
            <v>2354.5</v>
          </cell>
          <cell r="K18">
            <v>2601</v>
          </cell>
          <cell r="L18">
            <v>2380</v>
          </cell>
          <cell r="M18">
            <v>1776.5</v>
          </cell>
          <cell r="N18">
            <v>2371.5</v>
          </cell>
        </row>
        <row r="20">
          <cell r="C20">
            <v>2184.5</v>
          </cell>
          <cell r="D20">
            <v>2091</v>
          </cell>
          <cell r="E20">
            <v>2303.5</v>
          </cell>
          <cell r="F20">
            <v>2499</v>
          </cell>
          <cell r="G20">
            <v>2201.5</v>
          </cell>
          <cell r="H20">
            <v>2252.5</v>
          </cell>
          <cell r="I20">
            <v>2720</v>
          </cell>
          <cell r="J20">
            <v>2354.5</v>
          </cell>
          <cell r="K20">
            <v>2601</v>
          </cell>
          <cell r="L20">
            <v>2380</v>
          </cell>
          <cell r="M20">
            <v>1776.5</v>
          </cell>
          <cell r="N20">
            <v>2371.5</v>
          </cell>
        </row>
        <row r="21">
          <cell r="C21">
            <v>2346</v>
          </cell>
          <cell r="D21">
            <v>2252.5</v>
          </cell>
          <cell r="E21">
            <v>2473.5</v>
          </cell>
          <cell r="F21">
            <v>2694.5</v>
          </cell>
          <cell r="G21">
            <v>2329</v>
          </cell>
          <cell r="H21">
            <v>2414</v>
          </cell>
          <cell r="I21">
            <v>2907</v>
          </cell>
          <cell r="J21">
            <v>2516</v>
          </cell>
          <cell r="K21">
            <v>2788</v>
          </cell>
          <cell r="L21">
            <v>2550</v>
          </cell>
          <cell r="M21">
            <v>1904</v>
          </cell>
          <cell r="N21">
            <v>2533</v>
          </cell>
        </row>
        <row r="24">
          <cell r="C24">
            <v>38</v>
          </cell>
          <cell r="D24">
            <v>38</v>
          </cell>
          <cell r="E24">
            <v>40</v>
          </cell>
          <cell r="F24">
            <v>46</v>
          </cell>
          <cell r="G24">
            <v>30</v>
          </cell>
          <cell r="H24">
            <v>38</v>
          </cell>
          <cell r="I24">
            <v>44</v>
          </cell>
          <cell r="J24">
            <v>38</v>
          </cell>
          <cell r="K24">
            <v>44</v>
          </cell>
          <cell r="L24">
            <v>40</v>
          </cell>
          <cell r="M24">
            <v>30</v>
          </cell>
          <cell r="N24">
            <v>38</v>
          </cell>
        </row>
        <row r="25">
          <cell r="C25">
            <v>40</v>
          </cell>
          <cell r="D25">
            <v>38</v>
          </cell>
          <cell r="E25">
            <v>42</v>
          </cell>
          <cell r="F25">
            <v>40</v>
          </cell>
          <cell r="G25">
            <v>40</v>
          </cell>
          <cell r="H25">
            <v>38</v>
          </cell>
          <cell r="I25">
            <v>46</v>
          </cell>
          <cell r="J25">
            <v>40</v>
          </cell>
          <cell r="K25">
            <v>42</v>
          </cell>
          <cell r="L25">
            <v>40</v>
          </cell>
          <cell r="M25">
            <v>30</v>
          </cell>
          <cell r="N25">
            <v>40</v>
          </cell>
        </row>
        <row r="27">
          <cell r="C27">
            <v>40</v>
          </cell>
          <cell r="D27">
            <v>38</v>
          </cell>
          <cell r="E27">
            <v>42</v>
          </cell>
          <cell r="F27">
            <v>40</v>
          </cell>
          <cell r="G27">
            <v>40</v>
          </cell>
          <cell r="H27">
            <v>38</v>
          </cell>
          <cell r="I27">
            <v>46</v>
          </cell>
          <cell r="J27">
            <v>40</v>
          </cell>
          <cell r="K27">
            <v>42</v>
          </cell>
          <cell r="L27">
            <v>40</v>
          </cell>
          <cell r="M27">
            <v>30</v>
          </cell>
          <cell r="N27">
            <v>40</v>
          </cell>
        </row>
        <row r="28">
          <cell r="C28">
            <v>78</v>
          </cell>
          <cell r="D28">
            <v>76</v>
          </cell>
          <cell r="E28">
            <v>82</v>
          </cell>
          <cell r="F28">
            <v>86</v>
          </cell>
          <cell r="G28">
            <v>70</v>
          </cell>
          <cell r="H28">
            <v>76</v>
          </cell>
          <cell r="I28">
            <v>90</v>
          </cell>
          <cell r="J28">
            <v>78</v>
          </cell>
          <cell r="K28">
            <v>86</v>
          </cell>
          <cell r="L28">
            <v>80</v>
          </cell>
          <cell r="M28">
            <v>60</v>
          </cell>
          <cell r="N28">
            <v>78</v>
          </cell>
        </row>
      </sheetData>
      <sheetData sheetId="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>
            <v>1412000030</v>
          </cell>
          <cell r="B5" t="str">
            <v>貿易管理課</v>
          </cell>
        </row>
        <row r="10"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</row>
        <row r="11">
          <cell r="C11">
            <v>17</v>
          </cell>
          <cell r="D11">
            <v>17</v>
          </cell>
          <cell r="E11">
            <v>17</v>
          </cell>
          <cell r="F11">
            <v>17</v>
          </cell>
          <cell r="G11">
            <v>17</v>
          </cell>
          <cell r="H11">
            <v>17</v>
          </cell>
          <cell r="I11">
            <v>17</v>
          </cell>
          <cell r="J11">
            <v>17</v>
          </cell>
          <cell r="K11">
            <v>17</v>
          </cell>
          <cell r="L11">
            <v>17</v>
          </cell>
          <cell r="M11">
            <v>17</v>
          </cell>
          <cell r="N11">
            <v>17</v>
          </cell>
        </row>
        <row r="13">
          <cell r="C13">
            <v>17</v>
          </cell>
          <cell r="D13">
            <v>17</v>
          </cell>
          <cell r="E13">
            <v>17</v>
          </cell>
          <cell r="F13">
            <v>17</v>
          </cell>
          <cell r="G13">
            <v>17</v>
          </cell>
          <cell r="H13">
            <v>17</v>
          </cell>
          <cell r="I13">
            <v>17</v>
          </cell>
          <cell r="J13">
            <v>17</v>
          </cell>
          <cell r="K13">
            <v>17</v>
          </cell>
          <cell r="L13">
            <v>17</v>
          </cell>
          <cell r="M13">
            <v>17</v>
          </cell>
          <cell r="N13">
            <v>17</v>
          </cell>
        </row>
        <row r="14">
          <cell r="C14">
            <v>18</v>
          </cell>
          <cell r="D14">
            <v>18</v>
          </cell>
          <cell r="E14">
            <v>18</v>
          </cell>
          <cell r="F14">
            <v>18</v>
          </cell>
          <cell r="G14">
            <v>18</v>
          </cell>
          <cell r="H14">
            <v>18</v>
          </cell>
          <cell r="I14">
            <v>18</v>
          </cell>
          <cell r="J14">
            <v>18</v>
          </cell>
          <cell r="K14">
            <v>18</v>
          </cell>
          <cell r="L14">
            <v>18</v>
          </cell>
          <cell r="M14">
            <v>18</v>
          </cell>
          <cell r="N14">
            <v>18</v>
          </cell>
        </row>
        <row r="17">
          <cell r="C17">
            <v>170</v>
          </cell>
          <cell r="D17">
            <v>161.5</v>
          </cell>
          <cell r="E17">
            <v>178.5</v>
          </cell>
          <cell r="F17">
            <v>195.5</v>
          </cell>
          <cell r="G17">
            <v>170</v>
          </cell>
          <cell r="H17">
            <v>161.5</v>
          </cell>
          <cell r="I17">
            <v>195.5</v>
          </cell>
          <cell r="J17">
            <v>170</v>
          </cell>
          <cell r="K17">
            <v>187</v>
          </cell>
          <cell r="L17">
            <v>153</v>
          </cell>
          <cell r="M17">
            <v>127.5</v>
          </cell>
          <cell r="N17">
            <v>170</v>
          </cell>
        </row>
        <row r="18">
          <cell r="C18">
            <v>2805</v>
          </cell>
          <cell r="D18">
            <v>2507.5</v>
          </cell>
          <cell r="E18">
            <v>2779.5</v>
          </cell>
          <cell r="F18">
            <v>3051.5</v>
          </cell>
          <cell r="G18">
            <v>2643.5</v>
          </cell>
          <cell r="H18">
            <v>2507.5</v>
          </cell>
          <cell r="I18">
            <v>3051.5</v>
          </cell>
          <cell r="J18">
            <v>2870</v>
          </cell>
          <cell r="K18">
            <v>3046.5</v>
          </cell>
          <cell r="L18">
            <v>2827.5</v>
          </cell>
          <cell r="M18">
            <v>2110</v>
          </cell>
          <cell r="N18">
            <v>2827.5</v>
          </cell>
        </row>
        <row r="20">
          <cell r="C20">
            <v>2805</v>
          </cell>
          <cell r="D20">
            <v>2507.5</v>
          </cell>
          <cell r="E20">
            <v>2779.5</v>
          </cell>
          <cell r="F20">
            <v>3051.5</v>
          </cell>
          <cell r="G20">
            <v>2643.5</v>
          </cell>
          <cell r="H20">
            <v>2507.5</v>
          </cell>
          <cell r="I20">
            <v>3051.5</v>
          </cell>
          <cell r="J20">
            <v>2870</v>
          </cell>
          <cell r="K20">
            <v>3046.5</v>
          </cell>
          <cell r="L20">
            <v>2827.5</v>
          </cell>
          <cell r="M20">
            <v>2110</v>
          </cell>
          <cell r="N20">
            <v>2827.5</v>
          </cell>
        </row>
        <row r="21">
          <cell r="C21">
            <v>2975</v>
          </cell>
          <cell r="D21">
            <v>2669</v>
          </cell>
          <cell r="E21">
            <v>2958</v>
          </cell>
          <cell r="F21">
            <v>3247</v>
          </cell>
          <cell r="G21">
            <v>2813.5</v>
          </cell>
          <cell r="H21">
            <v>2669</v>
          </cell>
          <cell r="I21">
            <v>3247</v>
          </cell>
          <cell r="J21">
            <v>3040</v>
          </cell>
          <cell r="K21">
            <v>3233.5</v>
          </cell>
          <cell r="L21">
            <v>2980.5</v>
          </cell>
          <cell r="M21">
            <v>2237.5</v>
          </cell>
          <cell r="N21">
            <v>2997.5</v>
          </cell>
        </row>
        <row r="24">
          <cell r="C24">
            <v>40</v>
          </cell>
          <cell r="D24">
            <v>38</v>
          </cell>
          <cell r="E24">
            <v>42</v>
          </cell>
          <cell r="F24">
            <v>46</v>
          </cell>
          <cell r="G24">
            <v>40</v>
          </cell>
          <cell r="H24">
            <v>38</v>
          </cell>
          <cell r="I24">
            <v>46</v>
          </cell>
          <cell r="J24">
            <v>40</v>
          </cell>
          <cell r="K24">
            <v>44</v>
          </cell>
          <cell r="L24">
            <v>36</v>
          </cell>
          <cell r="M24">
            <v>30</v>
          </cell>
          <cell r="N24">
            <v>40</v>
          </cell>
        </row>
        <row r="25">
          <cell r="C25">
            <v>80</v>
          </cell>
          <cell r="D25">
            <v>76</v>
          </cell>
          <cell r="E25">
            <v>84</v>
          </cell>
          <cell r="F25">
            <v>92</v>
          </cell>
          <cell r="G25">
            <v>80</v>
          </cell>
          <cell r="H25">
            <v>76</v>
          </cell>
          <cell r="I25">
            <v>92</v>
          </cell>
          <cell r="J25">
            <v>80</v>
          </cell>
          <cell r="K25">
            <v>88</v>
          </cell>
          <cell r="L25">
            <v>80</v>
          </cell>
          <cell r="M25">
            <v>60</v>
          </cell>
          <cell r="N25">
            <v>80</v>
          </cell>
        </row>
        <row r="27">
          <cell r="C27">
            <v>80</v>
          </cell>
          <cell r="D27">
            <v>76</v>
          </cell>
          <cell r="E27">
            <v>84</v>
          </cell>
          <cell r="F27">
            <v>92</v>
          </cell>
          <cell r="G27">
            <v>80</v>
          </cell>
          <cell r="H27">
            <v>76</v>
          </cell>
          <cell r="I27">
            <v>92</v>
          </cell>
          <cell r="J27">
            <v>80</v>
          </cell>
          <cell r="K27">
            <v>88</v>
          </cell>
          <cell r="L27">
            <v>80</v>
          </cell>
          <cell r="M27">
            <v>60</v>
          </cell>
          <cell r="N27">
            <v>80</v>
          </cell>
        </row>
        <row r="28">
          <cell r="C28">
            <v>120</v>
          </cell>
          <cell r="D28">
            <v>114</v>
          </cell>
          <cell r="E28">
            <v>126</v>
          </cell>
          <cell r="F28">
            <v>138</v>
          </cell>
          <cell r="G28">
            <v>120</v>
          </cell>
          <cell r="H28">
            <v>114</v>
          </cell>
          <cell r="I28">
            <v>138</v>
          </cell>
          <cell r="J28">
            <v>120</v>
          </cell>
          <cell r="K28">
            <v>132</v>
          </cell>
          <cell r="L28">
            <v>116</v>
          </cell>
          <cell r="M28">
            <v>90</v>
          </cell>
          <cell r="N28">
            <v>120</v>
          </cell>
        </row>
      </sheetData>
      <sheetData sheetId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</sheetNames>
    <sheetDataSet>
      <sheetData sheetId="0">
        <row r="5">
          <cell r="A5">
            <v>1412000072</v>
          </cell>
          <cell r="B5" t="str">
            <v>製品管理課</v>
          </cell>
        </row>
        <row r="11">
          <cell r="C11">
            <v>11</v>
          </cell>
          <cell r="D11">
            <v>11</v>
          </cell>
          <cell r="E11">
            <v>11</v>
          </cell>
          <cell r="F11">
            <v>11</v>
          </cell>
          <cell r="G11">
            <v>11</v>
          </cell>
          <cell r="H11">
            <v>11</v>
          </cell>
          <cell r="I11">
            <v>11</v>
          </cell>
          <cell r="J11">
            <v>11</v>
          </cell>
          <cell r="K11">
            <v>11</v>
          </cell>
          <cell r="L11">
            <v>11</v>
          </cell>
          <cell r="M11">
            <v>11</v>
          </cell>
          <cell r="N11">
            <v>11</v>
          </cell>
        </row>
        <row r="12">
          <cell r="C12">
            <v>53</v>
          </cell>
          <cell r="D12">
            <v>53</v>
          </cell>
          <cell r="E12">
            <v>52</v>
          </cell>
          <cell r="F12">
            <v>52</v>
          </cell>
          <cell r="G12">
            <v>51</v>
          </cell>
          <cell r="H12">
            <v>50</v>
          </cell>
          <cell r="I12">
            <v>50</v>
          </cell>
          <cell r="J12">
            <v>50</v>
          </cell>
          <cell r="K12">
            <v>49</v>
          </cell>
          <cell r="L12">
            <v>50</v>
          </cell>
          <cell r="M12">
            <v>51</v>
          </cell>
          <cell r="N12">
            <v>50</v>
          </cell>
        </row>
        <row r="13">
          <cell r="C13">
            <v>64</v>
          </cell>
          <cell r="D13">
            <v>64</v>
          </cell>
          <cell r="E13">
            <v>63</v>
          </cell>
          <cell r="F13">
            <v>63</v>
          </cell>
          <cell r="G13">
            <v>62</v>
          </cell>
          <cell r="H13">
            <v>61</v>
          </cell>
          <cell r="I13">
            <v>61</v>
          </cell>
          <cell r="J13">
            <v>61</v>
          </cell>
          <cell r="K13">
            <v>60</v>
          </cell>
          <cell r="L13">
            <v>61</v>
          </cell>
          <cell r="M13">
            <v>62</v>
          </cell>
          <cell r="N13">
            <v>61</v>
          </cell>
        </row>
        <row r="14">
          <cell r="C14">
            <v>64</v>
          </cell>
          <cell r="D14">
            <v>64</v>
          </cell>
          <cell r="E14">
            <v>63</v>
          </cell>
          <cell r="F14">
            <v>63</v>
          </cell>
          <cell r="G14">
            <v>62</v>
          </cell>
          <cell r="H14">
            <v>61</v>
          </cell>
          <cell r="I14">
            <v>61</v>
          </cell>
          <cell r="J14">
            <v>61</v>
          </cell>
          <cell r="K14">
            <v>60</v>
          </cell>
          <cell r="L14">
            <v>61</v>
          </cell>
          <cell r="M14">
            <v>62</v>
          </cell>
          <cell r="N14">
            <v>61</v>
          </cell>
        </row>
        <row r="18">
          <cell r="C18">
            <v>1705</v>
          </cell>
          <cell r="D18">
            <v>1619.75</v>
          </cell>
          <cell r="E18">
            <v>1790.25</v>
          </cell>
          <cell r="F18">
            <v>1960.75</v>
          </cell>
          <cell r="G18">
            <v>1747.5</v>
          </cell>
          <cell r="H18">
            <v>1594.25</v>
          </cell>
          <cell r="I18">
            <v>1960.75</v>
          </cell>
          <cell r="J18">
            <v>1705</v>
          </cell>
          <cell r="K18">
            <v>1875.5</v>
          </cell>
          <cell r="L18">
            <v>1705</v>
          </cell>
          <cell r="M18">
            <v>1312.75</v>
          </cell>
          <cell r="N18">
            <v>1671</v>
          </cell>
        </row>
        <row r="19">
          <cell r="C19">
            <v>7650</v>
          </cell>
          <cell r="D19">
            <v>7267.5</v>
          </cell>
          <cell r="E19">
            <v>7854</v>
          </cell>
          <cell r="F19">
            <v>8602</v>
          </cell>
          <cell r="G19">
            <v>7395</v>
          </cell>
          <cell r="H19">
            <v>6698</v>
          </cell>
          <cell r="I19">
            <v>8211</v>
          </cell>
          <cell r="J19">
            <v>7140</v>
          </cell>
          <cell r="K19">
            <v>7667</v>
          </cell>
          <cell r="L19">
            <v>7140</v>
          </cell>
          <cell r="M19">
            <v>5737.5</v>
          </cell>
          <cell r="N19">
            <v>7182.5</v>
          </cell>
        </row>
        <row r="20">
          <cell r="C20">
            <v>9355</v>
          </cell>
          <cell r="D20">
            <v>8887.25</v>
          </cell>
          <cell r="E20">
            <v>9644.25</v>
          </cell>
          <cell r="F20">
            <v>10562.75</v>
          </cell>
          <cell r="G20">
            <v>9142.5</v>
          </cell>
          <cell r="H20">
            <v>8292.25</v>
          </cell>
          <cell r="I20">
            <v>10171.75</v>
          </cell>
          <cell r="J20">
            <v>8845</v>
          </cell>
          <cell r="K20">
            <v>9542.5</v>
          </cell>
          <cell r="L20">
            <v>8845</v>
          </cell>
          <cell r="M20">
            <v>7050.25</v>
          </cell>
          <cell r="N20">
            <v>8853.5</v>
          </cell>
        </row>
        <row r="21">
          <cell r="C21">
            <v>9355</v>
          </cell>
          <cell r="D21">
            <v>8887.25</v>
          </cell>
          <cell r="E21">
            <v>9644.25</v>
          </cell>
          <cell r="F21">
            <v>10562.75</v>
          </cell>
          <cell r="G21">
            <v>9142.5</v>
          </cell>
          <cell r="H21">
            <v>8292.25</v>
          </cell>
          <cell r="I21">
            <v>10171.75</v>
          </cell>
          <cell r="J21">
            <v>8845</v>
          </cell>
          <cell r="K21">
            <v>9542.5</v>
          </cell>
          <cell r="L21">
            <v>8845</v>
          </cell>
          <cell r="M21">
            <v>7050.25</v>
          </cell>
          <cell r="N21">
            <v>8853.5</v>
          </cell>
        </row>
        <row r="25">
          <cell r="C25">
            <v>100</v>
          </cell>
          <cell r="D25">
            <v>96</v>
          </cell>
          <cell r="E25">
            <v>104</v>
          </cell>
          <cell r="F25">
            <v>112</v>
          </cell>
          <cell r="G25">
            <v>100</v>
          </cell>
          <cell r="H25">
            <v>96</v>
          </cell>
          <cell r="I25">
            <v>112</v>
          </cell>
          <cell r="J25">
            <v>100</v>
          </cell>
          <cell r="K25">
            <v>108</v>
          </cell>
          <cell r="L25">
            <v>100</v>
          </cell>
          <cell r="M25">
            <v>90</v>
          </cell>
          <cell r="N25">
            <v>100</v>
          </cell>
        </row>
        <row r="26">
          <cell r="C26">
            <v>150</v>
          </cell>
          <cell r="D26">
            <v>150</v>
          </cell>
          <cell r="E26">
            <v>150</v>
          </cell>
          <cell r="F26">
            <v>150</v>
          </cell>
          <cell r="G26">
            <v>200</v>
          </cell>
          <cell r="H26">
            <v>200</v>
          </cell>
          <cell r="I26">
            <v>200</v>
          </cell>
          <cell r="J26">
            <v>200</v>
          </cell>
          <cell r="K26">
            <v>350</v>
          </cell>
          <cell r="L26">
            <v>450</v>
          </cell>
          <cell r="M26">
            <v>800</v>
          </cell>
          <cell r="N26">
            <v>600</v>
          </cell>
        </row>
        <row r="27">
          <cell r="C27">
            <v>250</v>
          </cell>
          <cell r="D27">
            <v>246</v>
          </cell>
          <cell r="E27">
            <v>254</v>
          </cell>
          <cell r="F27">
            <v>262</v>
          </cell>
          <cell r="G27">
            <v>300</v>
          </cell>
          <cell r="H27">
            <v>296</v>
          </cell>
          <cell r="I27">
            <v>312</v>
          </cell>
          <cell r="J27">
            <v>300</v>
          </cell>
          <cell r="K27">
            <v>458</v>
          </cell>
          <cell r="L27">
            <v>550</v>
          </cell>
          <cell r="M27">
            <v>890</v>
          </cell>
          <cell r="N27">
            <v>700</v>
          </cell>
        </row>
        <row r="28">
          <cell r="C28">
            <v>250</v>
          </cell>
          <cell r="D28">
            <v>246</v>
          </cell>
          <cell r="E28">
            <v>254</v>
          </cell>
          <cell r="F28">
            <v>262</v>
          </cell>
          <cell r="G28">
            <v>300</v>
          </cell>
          <cell r="H28">
            <v>296</v>
          </cell>
          <cell r="I28">
            <v>312</v>
          </cell>
          <cell r="J28">
            <v>300</v>
          </cell>
          <cell r="K28">
            <v>458</v>
          </cell>
          <cell r="L28">
            <v>550</v>
          </cell>
          <cell r="M28">
            <v>890</v>
          </cell>
          <cell r="N28">
            <v>700</v>
          </cell>
        </row>
      </sheetData>
      <sheetData sheetId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員・時間計画"/>
      <sheetName val="Sheet1"/>
      <sheetName val="51"/>
    </sheetNames>
    <sheetDataSet>
      <sheetData sheetId="0">
        <row r="5">
          <cell r="A5" t="str">
            <v>1412C00001</v>
          </cell>
          <cell r="B5" t="str">
            <v>労働組合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8">
          <cell r="C18">
            <v>25.5</v>
          </cell>
          <cell r="D18">
            <v>25.5</v>
          </cell>
          <cell r="E18">
            <v>25.5</v>
          </cell>
          <cell r="F18">
            <v>25.5</v>
          </cell>
          <cell r="G18">
            <v>25.5</v>
          </cell>
          <cell r="H18">
            <v>25.5</v>
          </cell>
          <cell r="I18">
            <v>25.5</v>
          </cell>
          <cell r="J18">
            <v>25.5</v>
          </cell>
          <cell r="K18">
            <v>25.5</v>
          </cell>
          <cell r="L18">
            <v>25.5</v>
          </cell>
          <cell r="M18">
            <v>25.5</v>
          </cell>
          <cell r="N18">
            <v>25.5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25.5</v>
          </cell>
          <cell r="D20">
            <v>25.5</v>
          </cell>
          <cell r="E20">
            <v>25.5</v>
          </cell>
          <cell r="F20">
            <v>25.5</v>
          </cell>
          <cell r="G20">
            <v>25.5</v>
          </cell>
          <cell r="H20">
            <v>25.5</v>
          </cell>
          <cell r="I20">
            <v>25.5</v>
          </cell>
          <cell r="J20">
            <v>25.5</v>
          </cell>
          <cell r="K20">
            <v>25.5</v>
          </cell>
          <cell r="L20">
            <v>25.5</v>
          </cell>
          <cell r="M20">
            <v>25.5</v>
          </cell>
          <cell r="N20">
            <v>25.5</v>
          </cell>
        </row>
        <row r="21">
          <cell r="C21">
            <v>25.5</v>
          </cell>
          <cell r="D21">
            <v>25.5</v>
          </cell>
          <cell r="E21">
            <v>25.5</v>
          </cell>
          <cell r="F21">
            <v>25.5</v>
          </cell>
          <cell r="G21">
            <v>25.5</v>
          </cell>
          <cell r="H21">
            <v>25.5</v>
          </cell>
          <cell r="I21">
            <v>25.5</v>
          </cell>
          <cell r="J21">
            <v>25.5</v>
          </cell>
          <cell r="K21">
            <v>25.5</v>
          </cell>
          <cell r="L21">
            <v>25.5</v>
          </cell>
          <cell r="M21">
            <v>25.5</v>
          </cell>
          <cell r="N21">
            <v>25.5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3"/>
  <sheetViews>
    <sheetView workbookViewId="0">
      <pane xSplit="5" ySplit="6" topLeftCell="AS7" activePane="bottomRight" state="frozen"/>
      <selection pane="topRight" activeCell="F1" sqref="F1"/>
      <selection pane="bottomLeft" activeCell="A4" sqref="A4"/>
      <selection pane="bottomRight" activeCell="AS9" sqref="AS9"/>
    </sheetView>
  </sheetViews>
  <sheetFormatPr defaultRowHeight="13"/>
  <cols>
    <col min="1" max="1" width="3.36328125" customWidth="1"/>
    <col min="3" max="3" width="12.26953125" customWidth="1"/>
    <col min="4" max="4" width="18.6328125" bestFit="1" customWidth="1"/>
    <col min="5" max="5" width="10.26953125" customWidth="1"/>
    <col min="6" max="7" width="23.08984375" style="30" customWidth="1"/>
    <col min="8" max="8" width="17.90625" style="31" customWidth="1"/>
    <col min="9" max="9" width="14.36328125" style="31" customWidth="1"/>
    <col min="10" max="11" width="23.08984375" customWidth="1"/>
    <col min="12" max="12" width="17.90625" customWidth="1"/>
    <col min="13" max="13" width="14.36328125" customWidth="1"/>
    <col min="14" max="15" width="23.08984375" customWidth="1"/>
    <col min="16" max="16" width="17.90625" customWidth="1"/>
    <col min="17" max="17" width="14.36328125" customWidth="1"/>
    <col min="18" max="19" width="23.08984375" customWidth="1"/>
    <col min="20" max="20" width="17.90625" customWidth="1"/>
    <col min="21" max="21" width="14.36328125" customWidth="1"/>
    <col min="22" max="23" width="23.08984375" customWidth="1"/>
    <col min="24" max="24" width="17.90625" customWidth="1"/>
    <col min="25" max="25" width="14.36328125" customWidth="1"/>
    <col min="26" max="27" width="23.08984375" customWidth="1"/>
    <col min="28" max="28" width="17.90625" customWidth="1"/>
    <col min="29" max="29" width="14.36328125" customWidth="1"/>
    <col min="30" max="31" width="23.08984375" customWidth="1"/>
    <col min="32" max="32" width="17.90625" customWidth="1"/>
    <col min="33" max="33" width="14.36328125" customWidth="1"/>
    <col min="34" max="35" width="23.08984375" customWidth="1"/>
    <col min="36" max="36" width="17.90625" customWidth="1"/>
    <col min="37" max="37" width="14.36328125" customWidth="1"/>
    <col min="38" max="39" width="23.08984375" customWidth="1"/>
    <col min="40" max="40" width="17.90625" customWidth="1"/>
    <col min="41" max="41" width="14.36328125" customWidth="1"/>
    <col min="42" max="43" width="23.08984375" customWidth="1"/>
    <col min="44" max="44" width="17.90625" customWidth="1"/>
    <col min="45" max="45" width="14.36328125" customWidth="1"/>
    <col min="46" max="47" width="23.08984375" customWidth="1"/>
    <col min="48" max="48" width="17.90625" customWidth="1"/>
    <col min="49" max="49" width="14.36328125" customWidth="1"/>
    <col min="50" max="51" width="23.08984375" customWidth="1"/>
    <col min="52" max="52" width="17.90625" customWidth="1"/>
    <col min="53" max="53" width="14.36328125" customWidth="1"/>
  </cols>
  <sheetData>
    <row r="1" spans="1:53" ht="19">
      <c r="A1" s="18">
        <v>1</v>
      </c>
      <c r="B1" s="17" t="s">
        <v>4</v>
      </c>
      <c r="F1" s="42">
        <v>4</v>
      </c>
      <c r="G1" s="43"/>
      <c r="H1" s="43"/>
      <c r="I1" s="44"/>
      <c r="J1" s="45">
        <f>F1+1</f>
        <v>5</v>
      </c>
      <c r="K1" s="46"/>
      <c r="L1" s="46"/>
      <c r="M1" s="47"/>
      <c r="N1" s="48">
        <f>J1+1</f>
        <v>6</v>
      </c>
      <c r="O1" s="49"/>
      <c r="P1" s="49"/>
      <c r="Q1" s="50"/>
      <c r="R1" s="51">
        <f>N1+1</f>
        <v>7</v>
      </c>
      <c r="S1" s="52"/>
      <c r="T1" s="52"/>
      <c r="U1" s="53"/>
      <c r="V1" s="54">
        <f>R1+1</f>
        <v>8</v>
      </c>
      <c r="W1" s="55"/>
      <c r="X1" s="55"/>
      <c r="Y1" s="56"/>
      <c r="Z1" s="57">
        <f>V1+1</f>
        <v>9</v>
      </c>
      <c r="AA1" s="58"/>
      <c r="AB1" s="58"/>
      <c r="AC1" s="59"/>
      <c r="AD1" s="60">
        <f>Z1+1</f>
        <v>10</v>
      </c>
      <c r="AE1" s="61"/>
      <c r="AF1" s="61"/>
      <c r="AG1" s="62"/>
      <c r="AH1" s="63">
        <f>AD1+1</f>
        <v>11</v>
      </c>
      <c r="AI1" s="64"/>
      <c r="AJ1" s="64"/>
      <c r="AK1" s="65"/>
      <c r="AL1" s="66">
        <f>AH1+1</f>
        <v>12</v>
      </c>
      <c r="AM1" s="67"/>
      <c r="AN1" s="67"/>
      <c r="AO1" s="68"/>
      <c r="AP1" s="69">
        <v>1</v>
      </c>
      <c r="AQ1" s="70"/>
      <c r="AR1" s="70"/>
      <c r="AS1" s="71"/>
      <c r="AT1" s="72">
        <f>AP1+1</f>
        <v>2</v>
      </c>
      <c r="AU1" s="73"/>
      <c r="AV1" s="73"/>
      <c r="AW1" s="74"/>
      <c r="AX1" s="75">
        <f>AT1+1</f>
        <v>3</v>
      </c>
      <c r="AY1" s="76"/>
      <c r="AZ1" s="76"/>
      <c r="BA1" s="77"/>
    </row>
    <row r="2" spans="1:53" s="27" customFormat="1" ht="39">
      <c r="C2"/>
      <c r="F2" s="37" t="s">
        <v>158</v>
      </c>
      <c r="G2" s="38"/>
      <c r="H2" s="39" t="s">
        <v>159</v>
      </c>
      <c r="I2" s="40"/>
      <c r="J2" s="41" t="s">
        <v>160</v>
      </c>
      <c r="K2" s="38"/>
      <c r="L2" s="39" t="s">
        <v>161</v>
      </c>
      <c r="M2" s="40"/>
      <c r="N2" s="37" t="s">
        <v>162</v>
      </c>
      <c r="O2" s="38"/>
      <c r="P2" s="39" t="s">
        <v>163</v>
      </c>
      <c r="Q2" s="40"/>
      <c r="R2" s="37" t="s">
        <v>164</v>
      </c>
      <c r="S2" s="38"/>
      <c r="T2" s="39" t="s">
        <v>165</v>
      </c>
      <c r="U2" s="40"/>
      <c r="V2" s="37" t="s">
        <v>166</v>
      </c>
      <c r="W2" s="38"/>
      <c r="X2" s="39" t="s">
        <v>167</v>
      </c>
      <c r="Y2" s="40"/>
      <c r="Z2" s="37" t="s">
        <v>168</v>
      </c>
      <c r="AA2" s="38"/>
      <c r="AB2" s="39" t="s">
        <v>169</v>
      </c>
      <c r="AC2" s="40"/>
      <c r="AD2" s="37" t="s">
        <v>170</v>
      </c>
      <c r="AE2" s="38"/>
      <c r="AF2" s="39" t="s">
        <v>171</v>
      </c>
      <c r="AG2" s="40"/>
      <c r="AH2" s="37" t="s">
        <v>172</v>
      </c>
      <c r="AI2" s="38"/>
      <c r="AJ2" s="39" t="s">
        <v>173</v>
      </c>
      <c r="AK2" s="40"/>
      <c r="AL2" s="37" t="s">
        <v>174</v>
      </c>
      <c r="AM2" s="38"/>
      <c r="AN2" s="39" t="s">
        <v>175</v>
      </c>
      <c r="AO2" s="40"/>
      <c r="AP2" s="37" t="s">
        <v>176</v>
      </c>
      <c r="AQ2" s="38"/>
      <c r="AR2" s="39" t="s">
        <v>177</v>
      </c>
      <c r="AS2" s="40"/>
      <c r="AT2" s="37" t="s">
        <v>178</v>
      </c>
      <c r="AU2" s="38"/>
      <c r="AV2" s="39" t="s">
        <v>179</v>
      </c>
      <c r="AW2" s="40"/>
      <c r="AX2" s="37" t="s">
        <v>180</v>
      </c>
      <c r="AY2" s="38"/>
      <c r="AZ2" s="39" t="s">
        <v>181</v>
      </c>
      <c r="BA2" s="40"/>
    </row>
    <row r="3" spans="1:53" s="28" customFormat="1">
      <c r="C3"/>
      <c r="F3" s="14">
        <v>4</v>
      </c>
      <c r="G3" s="14">
        <v>4</v>
      </c>
      <c r="H3" s="14">
        <v>4</v>
      </c>
      <c r="I3" s="32">
        <v>4</v>
      </c>
      <c r="J3" s="14">
        <v>5</v>
      </c>
      <c r="K3" s="14">
        <v>5</v>
      </c>
      <c r="L3" s="14">
        <v>5</v>
      </c>
      <c r="M3" s="32">
        <v>5</v>
      </c>
      <c r="N3" s="14">
        <v>6</v>
      </c>
      <c r="O3" s="14">
        <v>6</v>
      </c>
      <c r="P3" s="14">
        <v>6</v>
      </c>
      <c r="Q3" s="32">
        <v>6</v>
      </c>
      <c r="R3" s="14">
        <v>7</v>
      </c>
      <c r="S3" s="14">
        <v>7</v>
      </c>
      <c r="T3" s="14">
        <v>7</v>
      </c>
      <c r="U3" s="32">
        <v>7</v>
      </c>
      <c r="V3" s="14">
        <v>8</v>
      </c>
      <c r="W3" s="14">
        <v>8</v>
      </c>
      <c r="X3" s="14">
        <v>8</v>
      </c>
      <c r="Y3" s="32">
        <v>8</v>
      </c>
      <c r="Z3" s="14">
        <v>9</v>
      </c>
      <c r="AA3" s="14">
        <v>9</v>
      </c>
      <c r="AB3" s="14">
        <v>9</v>
      </c>
      <c r="AC3" s="32">
        <v>9</v>
      </c>
      <c r="AD3" s="14">
        <v>10</v>
      </c>
      <c r="AE3" s="14">
        <v>10</v>
      </c>
      <c r="AF3" s="14">
        <v>10</v>
      </c>
      <c r="AG3" s="32">
        <v>10</v>
      </c>
      <c r="AH3" s="34">
        <v>11</v>
      </c>
      <c r="AI3" s="14">
        <v>11</v>
      </c>
      <c r="AJ3" s="14">
        <v>11</v>
      </c>
      <c r="AK3" s="32">
        <v>11</v>
      </c>
      <c r="AL3" s="14">
        <v>12</v>
      </c>
      <c r="AM3" s="14">
        <v>12</v>
      </c>
      <c r="AN3" s="14">
        <v>12</v>
      </c>
      <c r="AO3" s="32">
        <v>12</v>
      </c>
      <c r="AP3" s="14">
        <v>1</v>
      </c>
      <c r="AQ3" s="14">
        <v>1</v>
      </c>
      <c r="AR3" s="14">
        <v>1</v>
      </c>
      <c r="AS3" s="32">
        <v>1</v>
      </c>
      <c r="AT3" s="14">
        <v>2</v>
      </c>
      <c r="AU3" s="14">
        <v>2</v>
      </c>
      <c r="AV3" s="14">
        <v>2</v>
      </c>
      <c r="AW3" s="32">
        <v>2</v>
      </c>
      <c r="AX3" s="14">
        <v>3</v>
      </c>
      <c r="AY3" s="14">
        <v>3</v>
      </c>
      <c r="AZ3" s="14">
        <v>3</v>
      </c>
      <c r="BA3" s="32">
        <v>3</v>
      </c>
    </row>
    <row r="4" spans="1:53" s="28" customFormat="1" ht="14.25" customHeight="1">
      <c r="F4" s="14" t="s">
        <v>71</v>
      </c>
      <c r="G4" s="14" t="s">
        <v>71</v>
      </c>
      <c r="H4" s="14" t="s">
        <v>3</v>
      </c>
      <c r="I4" s="32" t="s">
        <v>3</v>
      </c>
      <c r="J4" s="14" t="s">
        <v>71</v>
      </c>
      <c r="K4" s="14" t="s">
        <v>71</v>
      </c>
      <c r="L4" s="14" t="s">
        <v>3</v>
      </c>
      <c r="M4" s="32" t="s">
        <v>3</v>
      </c>
      <c r="N4" s="14" t="s">
        <v>71</v>
      </c>
      <c r="O4" s="14" t="s">
        <v>71</v>
      </c>
      <c r="P4" s="14" t="s">
        <v>3</v>
      </c>
      <c r="Q4" s="32" t="s">
        <v>3</v>
      </c>
      <c r="R4" s="14" t="s">
        <v>71</v>
      </c>
      <c r="S4" s="14" t="s">
        <v>71</v>
      </c>
      <c r="T4" s="14" t="s">
        <v>3</v>
      </c>
      <c r="U4" s="32" t="s">
        <v>3</v>
      </c>
      <c r="V4" s="14" t="s">
        <v>71</v>
      </c>
      <c r="W4" s="14" t="s">
        <v>71</v>
      </c>
      <c r="X4" s="14" t="s">
        <v>3</v>
      </c>
      <c r="Y4" s="32" t="s">
        <v>3</v>
      </c>
      <c r="Z4" s="14" t="s">
        <v>71</v>
      </c>
      <c r="AA4" s="14" t="s">
        <v>71</v>
      </c>
      <c r="AB4" s="14" t="s">
        <v>3</v>
      </c>
      <c r="AC4" s="32" t="s">
        <v>3</v>
      </c>
      <c r="AD4" s="14" t="s">
        <v>71</v>
      </c>
      <c r="AE4" s="14" t="s">
        <v>71</v>
      </c>
      <c r="AF4" s="14" t="s">
        <v>3</v>
      </c>
      <c r="AG4" s="32" t="s">
        <v>3</v>
      </c>
      <c r="AH4" s="14" t="s">
        <v>71</v>
      </c>
      <c r="AI4" s="14" t="s">
        <v>71</v>
      </c>
      <c r="AJ4" s="14" t="s">
        <v>3</v>
      </c>
      <c r="AK4" s="32" t="s">
        <v>3</v>
      </c>
      <c r="AL4" s="14" t="s">
        <v>71</v>
      </c>
      <c r="AM4" s="14" t="s">
        <v>71</v>
      </c>
      <c r="AN4" s="14" t="s">
        <v>3</v>
      </c>
      <c r="AO4" s="32" t="s">
        <v>3</v>
      </c>
      <c r="AP4" s="14" t="s">
        <v>71</v>
      </c>
      <c r="AQ4" s="14" t="s">
        <v>71</v>
      </c>
      <c r="AR4" s="14" t="s">
        <v>3</v>
      </c>
      <c r="AS4" s="32" t="s">
        <v>3</v>
      </c>
      <c r="AT4" s="14" t="s">
        <v>71</v>
      </c>
      <c r="AU4" s="14" t="s">
        <v>71</v>
      </c>
      <c r="AV4" s="14" t="s">
        <v>3</v>
      </c>
      <c r="AW4" s="32" t="s">
        <v>3</v>
      </c>
      <c r="AX4" s="14" t="s">
        <v>71</v>
      </c>
      <c r="AY4" s="14" t="s">
        <v>71</v>
      </c>
      <c r="AZ4" s="14" t="s">
        <v>3</v>
      </c>
      <c r="BA4" s="32" t="s">
        <v>3</v>
      </c>
    </row>
    <row r="5" spans="1:53" s="27" customFormat="1">
      <c r="F5" s="29" t="s">
        <v>139</v>
      </c>
      <c r="G5" s="29" t="s">
        <v>140</v>
      </c>
      <c r="H5" s="29" t="s">
        <v>139</v>
      </c>
      <c r="I5" s="33" t="s">
        <v>140</v>
      </c>
      <c r="J5" s="29" t="s">
        <v>139</v>
      </c>
      <c r="K5" s="29" t="s">
        <v>140</v>
      </c>
      <c r="L5" s="29" t="s">
        <v>139</v>
      </c>
      <c r="M5" s="33" t="s">
        <v>140</v>
      </c>
      <c r="N5" s="29" t="s">
        <v>139</v>
      </c>
      <c r="O5" s="29" t="s">
        <v>140</v>
      </c>
      <c r="P5" s="29" t="s">
        <v>139</v>
      </c>
      <c r="Q5" s="33" t="s">
        <v>140</v>
      </c>
      <c r="R5" s="29" t="s">
        <v>139</v>
      </c>
      <c r="S5" s="29" t="s">
        <v>140</v>
      </c>
      <c r="T5" s="29" t="s">
        <v>139</v>
      </c>
      <c r="U5" s="33" t="s">
        <v>140</v>
      </c>
      <c r="V5" s="29" t="s">
        <v>139</v>
      </c>
      <c r="W5" s="29" t="s">
        <v>140</v>
      </c>
      <c r="X5" s="29" t="s">
        <v>139</v>
      </c>
      <c r="Y5" s="33" t="s">
        <v>140</v>
      </c>
      <c r="Z5" s="29" t="s">
        <v>139</v>
      </c>
      <c r="AA5" s="29" t="s">
        <v>140</v>
      </c>
      <c r="AB5" s="29" t="s">
        <v>139</v>
      </c>
      <c r="AC5" s="33" t="s">
        <v>140</v>
      </c>
      <c r="AD5" s="29" t="s">
        <v>139</v>
      </c>
      <c r="AE5" s="29" t="s">
        <v>140</v>
      </c>
      <c r="AF5" s="29" t="s">
        <v>139</v>
      </c>
      <c r="AG5" s="33" t="s">
        <v>140</v>
      </c>
      <c r="AH5" s="29" t="s">
        <v>139</v>
      </c>
      <c r="AI5" s="29" t="s">
        <v>140</v>
      </c>
      <c r="AJ5" s="29" t="s">
        <v>139</v>
      </c>
      <c r="AK5" s="33" t="s">
        <v>140</v>
      </c>
      <c r="AL5" s="29" t="s">
        <v>139</v>
      </c>
      <c r="AM5" s="29" t="s">
        <v>140</v>
      </c>
      <c r="AN5" s="29" t="s">
        <v>139</v>
      </c>
      <c r="AO5" s="33" t="s">
        <v>140</v>
      </c>
      <c r="AP5" s="29" t="s">
        <v>139</v>
      </c>
      <c r="AQ5" s="29" t="s">
        <v>140</v>
      </c>
      <c r="AR5" s="29" t="s">
        <v>139</v>
      </c>
      <c r="AS5" s="33" t="s">
        <v>140</v>
      </c>
      <c r="AT5" s="29" t="s">
        <v>139</v>
      </c>
      <c r="AU5" s="29" t="s">
        <v>140</v>
      </c>
      <c r="AV5" s="29" t="s">
        <v>139</v>
      </c>
      <c r="AW5" s="33" t="s">
        <v>140</v>
      </c>
      <c r="AX5" s="29" t="s">
        <v>139</v>
      </c>
      <c r="AY5" s="29" t="s">
        <v>140</v>
      </c>
      <c r="AZ5" s="29" t="s">
        <v>139</v>
      </c>
      <c r="BA5" s="33" t="s">
        <v>140</v>
      </c>
    </row>
    <row r="6" spans="1:53" ht="30.75" customHeight="1">
      <c r="A6" s="16"/>
      <c r="B6" s="15" t="s">
        <v>2</v>
      </c>
      <c r="C6" s="15" t="s">
        <v>1</v>
      </c>
      <c r="D6" s="15" t="s">
        <v>0</v>
      </c>
      <c r="E6" s="15" t="s">
        <v>70</v>
      </c>
      <c r="F6" s="25" t="s">
        <v>72</v>
      </c>
      <c r="G6" s="26" t="s">
        <v>73</v>
      </c>
      <c r="H6" s="25" t="s">
        <v>72</v>
      </c>
      <c r="I6" s="26" t="s">
        <v>73</v>
      </c>
      <c r="J6" s="25" t="s">
        <v>72</v>
      </c>
      <c r="K6" s="26" t="s">
        <v>73</v>
      </c>
      <c r="L6" s="25" t="s">
        <v>72</v>
      </c>
      <c r="M6" s="26" t="s">
        <v>73</v>
      </c>
      <c r="N6" s="25" t="s">
        <v>72</v>
      </c>
      <c r="O6" s="26" t="s">
        <v>73</v>
      </c>
      <c r="P6" s="25" t="s">
        <v>72</v>
      </c>
      <c r="Q6" s="26" t="s">
        <v>73</v>
      </c>
      <c r="R6" s="25" t="s">
        <v>72</v>
      </c>
      <c r="S6" s="26" t="s">
        <v>73</v>
      </c>
      <c r="T6" s="25" t="s">
        <v>72</v>
      </c>
      <c r="U6" s="26" t="s">
        <v>73</v>
      </c>
      <c r="V6" s="25" t="s">
        <v>72</v>
      </c>
      <c r="W6" s="26" t="s">
        <v>73</v>
      </c>
      <c r="X6" s="25" t="s">
        <v>72</v>
      </c>
      <c r="Y6" s="26" t="s">
        <v>73</v>
      </c>
      <c r="Z6" s="25" t="s">
        <v>72</v>
      </c>
      <c r="AA6" s="26" t="s">
        <v>73</v>
      </c>
      <c r="AB6" s="25" t="s">
        <v>72</v>
      </c>
      <c r="AC6" s="26" t="s">
        <v>73</v>
      </c>
      <c r="AD6" s="25" t="s">
        <v>72</v>
      </c>
      <c r="AE6" s="26" t="s">
        <v>73</v>
      </c>
      <c r="AF6" s="25" t="s">
        <v>72</v>
      </c>
      <c r="AG6" s="26" t="s">
        <v>73</v>
      </c>
      <c r="AH6" s="25" t="s">
        <v>72</v>
      </c>
      <c r="AI6" s="26" t="s">
        <v>73</v>
      </c>
      <c r="AJ6" s="25" t="s">
        <v>72</v>
      </c>
      <c r="AK6" s="26" t="s">
        <v>73</v>
      </c>
      <c r="AL6" s="25" t="s">
        <v>72</v>
      </c>
      <c r="AM6" s="26" t="s">
        <v>73</v>
      </c>
      <c r="AN6" s="25" t="s">
        <v>72</v>
      </c>
      <c r="AO6" s="26" t="s">
        <v>73</v>
      </c>
      <c r="AP6" s="25" t="s">
        <v>72</v>
      </c>
      <c r="AQ6" s="26" t="s">
        <v>73</v>
      </c>
      <c r="AR6" s="25" t="s">
        <v>72</v>
      </c>
      <c r="AS6" s="26" t="s">
        <v>73</v>
      </c>
      <c r="AT6" s="25" t="s">
        <v>72</v>
      </c>
      <c r="AU6" s="26" t="s">
        <v>73</v>
      </c>
      <c r="AV6" s="25" t="s">
        <v>72</v>
      </c>
      <c r="AW6" s="26" t="s">
        <v>73</v>
      </c>
      <c r="AX6" s="25" t="s">
        <v>72</v>
      </c>
      <c r="AY6" s="26" t="s">
        <v>73</v>
      </c>
      <c r="AZ6" s="25" t="s">
        <v>72</v>
      </c>
      <c r="BA6" s="26" t="s">
        <v>73</v>
      </c>
    </row>
    <row r="7" spans="1:53" ht="18.75" customHeight="1">
      <c r="A7" s="5"/>
      <c r="B7" s="5">
        <v>6221</v>
      </c>
      <c r="C7" s="9" t="str">
        <f>IF($A$1=1,Sheet1!D3,Sheet1!A3)</f>
        <v>機器製造部</v>
      </c>
      <c r="D7" s="4"/>
      <c r="E7" s="4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</row>
    <row r="8" spans="1:53" ht="18.75" customHeight="1">
      <c r="A8" s="8"/>
      <c r="B8" s="8"/>
      <c r="C8" s="7"/>
      <c r="D8" s="6" t="str">
        <f>IF($A$1=1,Sheet1!C4,Sheet1!B4)</f>
        <v>機器製造1課</v>
      </c>
      <c r="E8" s="6">
        <v>1412000004</v>
      </c>
      <c r="F8" s="84">
        <f>[1]人員・時間計画!$C$25</f>
        <v>189</v>
      </c>
      <c r="G8" s="84">
        <f>[1]人員・時間計画!$C$26</f>
        <v>721</v>
      </c>
      <c r="H8" s="84">
        <f>[1]人員・時間計画!$C$11</f>
        <v>77</v>
      </c>
      <c r="I8" s="84">
        <f>[1]人員・時間計画!$C$12</f>
        <v>928</v>
      </c>
      <c r="J8" s="84">
        <f>[1]人員・時間計画!$D$25</f>
        <v>221</v>
      </c>
      <c r="K8" s="84">
        <f>[1]人員・時間計画!$D$26</f>
        <v>732</v>
      </c>
      <c r="L8" s="84">
        <f>[1]人員・時間計画!$D$11</f>
        <v>77</v>
      </c>
      <c r="M8" s="84">
        <f>[1]人員・時間計画!$D$12</f>
        <v>965</v>
      </c>
      <c r="N8" s="84">
        <f>[1]人員・時間計画!$E$25</f>
        <v>189</v>
      </c>
      <c r="O8" s="84">
        <f>[1]人員・時間計画!$E$26</f>
        <v>709</v>
      </c>
      <c r="P8" s="84">
        <f>[1]人員・時間計画!$E$11</f>
        <v>77</v>
      </c>
      <c r="Q8" s="84">
        <f>[1]人員・時間計画!$E$12</f>
        <v>961</v>
      </c>
      <c r="R8" s="84">
        <f>[1]人員・時間計画!$F$25</f>
        <v>216</v>
      </c>
      <c r="S8" s="84">
        <f>[1]人員・時間計画!$F$26</f>
        <v>667</v>
      </c>
      <c r="T8" s="84">
        <f>[1]人員・時間計画!$F$11</f>
        <v>85</v>
      </c>
      <c r="U8" s="84">
        <f>[1]人員・時間計画!$F$12</f>
        <v>1105</v>
      </c>
      <c r="V8" s="84">
        <f>[1]人員・時間計画!$G$25</f>
        <v>300</v>
      </c>
      <c r="W8" s="84">
        <f>[1]人員・時間計画!$G$26</f>
        <v>1081</v>
      </c>
      <c r="X8" s="84">
        <f>[1]人員・時間計画!$G$11</f>
        <v>85</v>
      </c>
      <c r="Y8" s="84">
        <f>[1]人員・時間計画!$G$12</f>
        <v>1185</v>
      </c>
      <c r="Z8" s="84">
        <f>[1]人員・時間計画!$H$25</f>
        <v>570</v>
      </c>
      <c r="AA8" s="84">
        <f>[1]人員・時間計画!$H$26</f>
        <v>647</v>
      </c>
      <c r="AB8" s="84">
        <f>[1]人員・時間計画!$H$11</f>
        <v>85</v>
      </c>
      <c r="AC8" s="84">
        <f>[1]人員・時間計画!$H$12</f>
        <v>1450</v>
      </c>
      <c r="AD8" s="84">
        <f>[1]人員・時間計画!$I$25</f>
        <v>271</v>
      </c>
      <c r="AE8" s="84">
        <f>[1]人員・時間計画!$I$26</f>
        <v>615</v>
      </c>
      <c r="AF8" s="84">
        <f>[1]人員・時間計画!$I$11</f>
        <v>85</v>
      </c>
      <c r="AG8" s="84">
        <f>[1]人員・時間計画!$I$12</f>
        <v>1751</v>
      </c>
      <c r="AH8" s="84">
        <f>[1]人員・時間計画!$J$25</f>
        <v>281</v>
      </c>
      <c r="AI8" s="84">
        <f>[1]人員・時間計画!$J$26</f>
        <v>665</v>
      </c>
      <c r="AJ8" s="84">
        <f>[1]人員・時間計画!$J$11</f>
        <v>85</v>
      </c>
      <c r="AK8" s="84">
        <f>[1]人員・時間計画!$J$12</f>
        <v>1757</v>
      </c>
      <c r="AL8" s="84">
        <f>[1]人員・時間計画!$K$25</f>
        <v>345</v>
      </c>
      <c r="AM8" s="84">
        <f>[1]人員・時間計画!$K$26</f>
        <v>555</v>
      </c>
      <c r="AN8" s="84">
        <f>[1]人員・時間計画!$K$11</f>
        <v>85</v>
      </c>
      <c r="AO8" s="84">
        <f>[1]人員・時間計画!$K$12</f>
        <v>1752</v>
      </c>
      <c r="AP8" s="84">
        <f>[1]人員・時間計画!$L$25</f>
        <v>503</v>
      </c>
      <c r="AQ8" s="84">
        <f>[1]人員・時間計画!$L$26</f>
        <v>449</v>
      </c>
      <c r="AR8" s="84">
        <f>[1]人員・時間計画!$L$11</f>
        <v>93</v>
      </c>
      <c r="AS8" s="84">
        <f>[1]人員・時間計画!$L$12</f>
        <v>1772</v>
      </c>
      <c r="AT8" s="84">
        <f>[1]人員・時間計画!$M$25</f>
        <v>1053</v>
      </c>
      <c r="AU8" s="84">
        <f>[1]人員・時間計画!$M$26</f>
        <v>3057</v>
      </c>
      <c r="AV8" s="84">
        <f>[1]人員・時間計画!$M$11</f>
        <v>93</v>
      </c>
      <c r="AW8" s="84">
        <f>[1]人員・時間計画!$M$12</f>
        <v>1962</v>
      </c>
      <c r="AX8" s="84">
        <f>[1]人員・時間計画!$N$25</f>
        <v>423</v>
      </c>
      <c r="AY8" s="84">
        <f>[1]人員・時間計画!$N$26</f>
        <v>769</v>
      </c>
      <c r="AZ8" s="84">
        <f>[1]人員・時間計画!$N$11</f>
        <v>93</v>
      </c>
      <c r="BA8" s="84">
        <f>[1]人員・時間計画!$N$12</f>
        <v>1789</v>
      </c>
    </row>
    <row r="9" spans="1:53" ht="18.75" customHeight="1">
      <c r="A9" s="8"/>
      <c r="B9" s="8"/>
      <c r="C9" s="7"/>
      <c r="D9" s="6" t="str">
        <f>IF($A$1=1,Sheet1!C5,Sheet1!B5)</f>
        <v>機器製造2課</v>
      </c>
      <c r="E9" s="6">
        <v>1412000005</v>
      </c>
      <c r="F9" s="84">
        <f>[2]人員・時間計画!$C$25</f>
        <v>263</v>
      </c>
      <c r="G9" s="84">
        <f>[2]人員・時間計画!$C$26</f>
        <v>2323</v>
      </c>
      <c r="H9" s="84">
        <f>[2]人員・時間計画!$C$11</f>
        <v>100</v>
      </c>
      <c r="I9" s="84">
        <f>[2]人員・時間計画!$C$12</f>
        <v>1514</v>
      </c>
      <c r="J9" s="84">
        <f>[2]人員・時間計画!$D$25</f>
        <v>259</v>
      </c>
      <c r="K9" s="84">
        <f>[2]人員・時間計画!$D$26</f>
        <v>2947</v>
      </c>
      <c r="L9" s="84">
        <f>[2]人員・時間計画!$D$11</f>
        <v>100</v>
      </c>
      <c r="M9" s="84">
        <f>[2]人員・時間計画!$D$12</f>
        <v>1454</v>
      </c>
      <c r="N9" s="84">
        <f>[2]人員・時間計画!$E$25</f>
        <v>267</v>
      </c>
      <c r="O9" s="84">
        <f>[2]人員・時間計画!$E$26</f>
        <v>2207</v>
      </c>
      <c r="P9" s="84">
        <f>[2]人員・時間計画!$E$11</f>
        <v>100</v>
      </c>
      <c r="Q9" s="84">
        <f>[2]人員・時間計画!$E$12</f>
        <v>1418</v>
      </c>
      <c r="R9" s="84">
        <f>[2]人員・時間計画!$F$25</f>
        <v>283</v>
      </c>
      <c r="S9" s="84">
        <f>[2]人員・時間計画!$F$26</f>
        <v>2210</v>
      </c>
      <c r="T9" s="84">
        <f>[2]人員・時間計画!$F$11</f>
        <v>116</v>
      </c>
      <c r="U9" s="84">
        <f>[2]人員・時間計画!$F$12</f>
        <v>1637</v>
      </c>
      <c r="V9" s="84">
        <f>[2]人員・時間計画!$G$25</f>
        <v>356</v>
      </c>
      <c r="W9" s="84">
        <f>[2]人員・時間計画!$G$26</f>
        <v>4741</v>
      </c>
      <c r="X9" s="84">
        <f>[2]人員・時間計画!$G$11</f>
        <v>116</v>
      </c>
      <c r="Y9" s="84">
        <f>[2]人員・時間計画!$G$12</f>
        <v>1688</v>
      </c>
      <c r="Z9" s="84">
        <f>[2]人員・時間計画!$H$25</f>
        <v>939</v>
      </c>
      <c r="AA9" s="84">
        <f>[2]人員・時間計画!$H$26</f>
        <v>17785</v>
      </c>
      <c r="AB9" s="84">
        <f>[2]人員・時間計画!$H$11</f>
        <v>116</v>
      </c>
      <c r="AC9" s="84">
        <f>[2]人員・時間計画!$H$12</f>
        <v>1616</v>
      </c>
      <c r="AD9" s="84">
        <f>[2]人員・時間計画!$I$25</f>
        <v>328</v>
      </c>
      <c r="AE9" s="84">
        <f>[2]人員・時間計画!$I$26</f>
        <v>3215</v>
      </c>
      <c r="AF9" s="84">
        <f>[2]人員・時間計画!$I$11</f>
        <v>116</v>
      </c>
      <c r="AG9" s="84">
        <f>[2]人員・時間計画!$I$12</f>
        <v>1660</v>
      </c>
      <c r="AH9" s="84">
        <f>[2]人員・時間計画!$J$25</f>
        <v>628</v>
      </c>
      <c r="AI9" s="84">
        <f>[2]人員・時間計画!$J$26</f>
        <v>8836</v>
      </c>
      <c r="AJ9" s="84">
        <f>[2]人員・時間計画!$J$11</f>
        <v>116</v>
      </c>
      <c r="AK9" s="84">
        <f>[2]人員・時間計画!$J$12</f>
        <v>1761</v>
      </c>
      <c r="AL9" s="84">
        <f>[2]人員・時間計画!$K$25</f>
        <v>288</v>
      </c>
      <c r="AM9" s="84">
        <f>[2]人員・時間計画!$K$26</f>
        <v>3250</v>
      </c>
      <c r="AN9" s="84">
        <f>[2]人員・時間計画!$K$11</f>
        <v>116</v>
      </c>
      <c r="AO9" s="84">
        <f>[2]人員・時間計画!$K$12</f>
        <v>1714</v>
      </c>
      <c r="AP9" s="84">
        <f>[2]人員・時間計画!$L$25</f>
        <v>372</v>
      </c>
      <c r="AQ9" s="84">
        <f>[2]人員・時間計画!$L$26</f>
        <v>7764</v>
      </c>
      <c r="AR9" s="84">
        <f>[2]人員・時間計画!$L$11</f>
        <v>132</v>
      </c>
      <c r="AS9" s="84">
        <f>[2]人員・時間計画!$L$12</f>
        <v>1862</v>
      </c>
      <c r="AT9" s="84">
        <f>[2]人員・時間計画!$M$25</f>
        <v>1323</v>
      </c>
      <c r="AU9" s="84">
        <f>[2]人員・時間計画!$M$26</f>
        <v>28373</v>
      </c>
      <c r="AV9" s="84">
        <f>[2]人員・時間計画!$M$11</f>
        <v>132</v>
      </c>
      <c r="AW9" s="84">
        <f>[2]人員・時間計画!$M$12</f>
        <v>2010</v>
      </c>
      <c r="AX9" s="84">
        <f>[2]人員・時間計画!$N$25</f>
        <v>360</v>
      </c>
      <c r="AY9" s="84">
        <f>[2]人員・時間計画!$N$26</f>
        <v>5748</v>
      </c>
      <c r="AZ9" s="84">
        <f>[2]人員・時間計画!$N$11</f>
        <v>132</v>
      </c>
      <c r="BA9" s="84">
        <f>[2]人員・時間計画!$N$12</f>
        <v>1761</v>
      </c>
    </row>
    <row r="10" spans="1:53" ht="18.75" customHeight="1">
      <c r="A10" s="78"/>
      <c r="B10" s="78"/>
      <c r="C10" s="79"/>
      <c r="D10" s="6" t="str">
        <f>IF('6221'!$A$1=1,Sheet1!C7,Sheet1!B7)</f>
        <v>機器製造3課</v>
      </c>
      <c r="E10" s="6">
        <v>1412000081</v>
      </c>
      <c r="F10" s="84">
        <f>[3]人員・時間計画!$C$25</f>
        <v>143</v>
      </c>
      <c r="G10" s="84">
        <f>[3]人員・時間計画!$C$26</f>
        <v>391</v>
      </c>
      <c r="H10" s="84">
        <f>[3]人員・時間計画!$C$11</f>
        <v>81</v>
      </c>
      <c r="I10" s="84">
        <f>[3]人員・時間計画!$C12</f>
        <v>1024</v>
      </c>
      <c r="J10" s="84">
        <f>[3]人員・時間計画!$D$25</f>
        <v>137</v>
      </c>
      <c r="K10" s="84">
        <f>[3]人員・時間計画!$D$26</f>
        <v>391</v>
      </c>
      <c r="L10" s="84">
        <f>[3]人員・時間計画!$D$11</f>
        <v>81</v>
      </c>
      <c r="M10" s="84">
        <f>[3]人員・時間計画!$D12</f>
        <v>1000</v>
      </c>
      <c r="N10" s="84">
        <f>[3]人員・時間計画!$E$25</f>
        <v>149</v>
      </c>
      <c r="O10" s="84">
        <f>[3]人員・時間計画!$E$26</f>
        <v>391</v>
      </c>
      <c r="P10" s="84">
        <f>[3]人員・時間計画!$E$11</f>
        <v>81</v>
      </c>
      <c r="Q10" s="84">
        <f>[3]人員・時間計画!$E12</f>
        <v>905</v>
      </c>
      <c r="R10" s="84">
        <f>[3]人員・時間計画!$F$25</f>
        <v>161</v>
      </c>
      <c r="S10" s="84">
        <f>[3]人員・時間計画!$F$26</f>
        <v>690</v>
      </c>
      <c r="T10" s="84">
        <f>[3]人員・時間計画!$F$11</f>
        <v>90</v>
      </c>
      <c r="U10" s="84">
        <f>[3]人員・時間計画!$F12</f>
        <v>1014</v>
      </c>
      <c r="V10" s="84">
        <f>[3]人員・時間計画!$G$25</f>
        <v>427</v>
      </c>
      <c r="W10" s="84">
        <f>[3]人員・時間計画!$G$26</f>
        <v>5273</v>
      </c>
      <c r="X10" s="84">
        <f>[3]人員・時間計画!$G$11</f>
        <v>90</v>
      </c>
      <c r="Y10" s="84">
        <f>[3]人員・時間計画!$G$12</f>
        <v>1058</v>
      </c>
      <c r="Z10" s="84">
        <f>[3]人員・時間計画!$H$25</f>
        <v>1095</v>
      </c>
      <c r="AA10" s="84">
        <f>[3]人員・時間計画!$H$26</f>
        <v>16775</v>
      </c>
      <c r="AB10" s="84">
        <f>[3]人員・時間計画!$H$11</f>
        <v>90</v>
      </c>
      <c r="AC10" s="84">
        <f>[3]人員・時間計画!$H$12</f>
        <v>1070</v>
      </c>
      <c r="AD10" s="84">
        <f>[3]人員・時間計画!$I$25</f>
        <v>258</v>
      </c>
      <c r="AE10" s="84">
        <f>[3]人員・時間計画!$I$26</f>
        <v>2817</v>
      </c>
      <c r="AF10" s="84">
        <f>[3]人員・時間計画!$I$11</f>
        <v>90</v>
      </c>
      <c r="AG10" s="84">
        <f>[3]人員・時間計画!$I$12</f>
        <v>1067</v>
      </c>
      <c r="AH10" s="84">
        <f>[3]人員・時間計画!$J$25</f>
        <v>529</v>
      </c>
      <c r="AI10" s="84">
        <f>[3]人員・時間計画!$J$26</f>
        <v>7150</v>
      </c>
      <c r="AJ10" s="84">
        <f>[3]人員・時間計画!$J$11</f>
        <v>90</v>
      </c>
      <c r="AK10" s="84">
        <f>[3]人員・時間計画!$J$12</f>
        <v>1068</v>
      </c>
      <c r="AL10" s="84">
        <f>[3]人員・時間計画!$K$25</f>
        <v>745</v>
      </c>
      <c r="AM10" s="84">
        <f>[3]人員・時間計画!$K$26</f>
        <v>11318</v>
      </c>
      <c r="AN10" s="84">
        <f>[3]人員・時間計画!$K$11</f>
        <v>90</v>
      </c>
      <c r="AO10" s="84">
        <f>[3]人員・時間計画!$K$12</f>
        <v>1061</v>
      </c>
      <c r="AP10" s="84">
        <f>[3]人員・時間計画!$L$25</f>
        <v>1013</v>
      </c>
      <c r="AQ10" s="84">
        <f>[3]人員・時間計画!$L$26</f>
        <v>15487</v>
      </c>
      <c r="AR10" s="84">
        <f>[3]人員・時間計画!$L$11</f>
        <v>99</v>
      </c>
      <c r="AS10" s="84">
        <f>[3]人員・時間計画!$L$12</f>
        <v>1095</v>
      </c>
      <c r="AT10" s="84">
        <f>[3]人員・時間計画!$M$25</f>
        <v>1952</v>
      </c>
      <c r="AU10" s="84">
        <f>[3]人員・時間計画!$M$26</f>
        <v>31974</v>
      </c>
      <c r="AV10" s="84">
        <f>[3]人員・時間計画!$M$11</f>
        <v>99</v>
      </c>
      <c r="AW10" s="84">
        <f>[3]人員・時間計画!$M$12</f>
        <v>1168</v>
      </c>
      <c r="AX10" s="84">
        <f>[3]人員・時間計画!$N$25</f>
        <v>1669</v>
      </c>
      <c r="AY10" s="84">
        <f>[3]人員・時間計画!$N$26</f>
        <v>26021</v>
      </c>
      <c r="AZ10" s="84">
        <f>[3]人員・時間計画!$N$11</f>
        <v>99</v>
      </c>
      <c r="BA10" s="84">
        <f>[3]人員・時間計画!$N$12</f>
        <v>1123</v>
      </c>
    </row>
    <row r="11" spans="1:53" ht="18.75" customHeight="1">
      <c r="A11" s="3"/>
      <c r="B11" s="3"/>
      <c r="C11" s="1"/>
      <c r="D11" s="2" t="str">
        <f>IF($A$1=1,Sheet1!C8,Sheet1!B8)</f>
        <v>RPS製造課</v>
      </c>
      <c r="E11" s="80">
        <v>1412000066</v>
      </c>
      <c r="F11" s="85">
        <f>[4]人員・時間計画!$C$25</f>
        <v>0</v>
      </c>
      <c r="G11" s="85">
        <f>[4]人員・時間計画!$C$26</f>
        <v>0</v>
      </c>
      <c r="H11" s="85">
        <f>[4]人員・時間計画!$C$11</f>
        <v>0</v>
      </c>
      <c r="I11" s="85">
        <f>[4]人員・時間計画!$C$12</f>
        <v>0</v>
      </c>
      <c r="J11" s="85">
        <f>[4]人員・時間計画!$D$25</f>
        <v>0</v>
      </c>
      <c r="K11" s="85">
        <f>[4]人員・時間計画!$D$26</f>
        <v>0</v>
      </c>
      <c r="L11" s="85">
        <f>[4]人員・時間計画!$D$11</f>
        <v>0</v>
      </c>
      <c r="M11" s="85">
        <f>[4]人員・時間計画!$D$12</f>
        <v>0</v>
      </c>
      <c r="N11" s="85">
        <f>[4]人員・時間計画!$E$25</f>
        <v>0</v>
      </c>
      <c r="O11" s="85">
        <f>[4]人員・時間計画!$E$26</f>
        <v>0</v>
      </c>
      <c r="P11" s="85">
        <f>[4]人員・時間計画!$E$11</f>
        <v>0</v>
      </c>
      <c r="Q11" s="85">
        <f>[4]人員・時間計画!$E$12</f>
        <v>0</v>
      </c>
      <c r="R11" s="85">
        <f>[4]人員・時間計画!$F$25</f>
        <v>0</v>
      </c>
      <c r="S11" s="85">
        <f>[4]人員・時間計画!$F$26</f>
        <v>0</v>
      </c>
      <c r="T11" s="85">
        <f>[4]人員・時間計画!$F$11</f>
        <v>0</v>
      </c>
      <c r="U11" s="85">
        <f>[4]人員・時間計画!$F$12</f>
        <v>0</v>
      </c>
      <c r="V11" s="85">
        <f>[4]人員・時間計画!$G$25</f>
        <v>0</v>
      </c>
      <c r="W11" s="85">
        <f>[4]人員・時間計画!$G$26</f>
        <v>0</v>
      </c>
      <c r="X11" s="85">
        <f>[4]人員・時間計画!$G$11</f>
        <v>0</v>
      </c>
      <c r="Y11" s="85">
        <f>[4]人員・時間計画!$G$12</f>
        <v>0</v>
      </c>
      <c r="Z11" s="85">
        <f>[4]人員・時間計画!$H$25</f>
        <v>0</v>
      </c>
      <c r="AA11" s="85">
        <f>[4]人員・時間計画!$H$26</f>
        <v>0</v>
      </c>
      <c r="AB11" s="85">
        <f>[4]人員・時間計画!$H$11</f>
        <v>0</v>
      </c>
      <c r="AC11" s="85">
        <f>[4]人員・時間計画!$H$12</f>
        <v>0</v>
      </c>
      <c r="AD11" s="85">
        <f>[4]人員・時間計画!$I$25</f>
        <v>0</v>
      </c>
      <c r="AE11" s="85">
        <f>[4]人員・時間計画!$I$26</f>
        <v>0</v>
      </c>
      <c r="AF11" s="85">
        <f>[4]人員・時間計画!$I$11</f>
        <v>0</v>
      </c>
      <c r="AG11" s="85">
        <f>[4]人員・時間計画!$I$12</f>
        <v>0</v>
      </c>
      <c r="AH11" s="85">
        <f>[4]人員・時間計画!$J$25</f>
        <v>0</v>
      </c>
      <c r="AI11" s="85">
        <f>[4]人員・時間計画!$J$26</f>
        <v>0</v>
      </c>
      <c r="AJ11" s="85">
        <f>[4]人員・時間計画!$J$11</f>
        <v>0</v>
      </c>
      <c r="AK11" s="85">
        <f>[4]人員・時間計画!$J$12</f>
        <v>0</v>
      </c>
      <c r="AL11" s="85">
        <f>[4]人員・時間計画!$K$25</f>
        <v>0</v>
      </c>
      <c r="AM11" s="85">
        <f>[4]人員・時間計画!$K$26</f>
        <v>0</v>
      </c>
      <c r="AN11" s="85">
        <f>[4]人員・時間計画!$K$11</f>
        <v>0</v>
      </c>
      <c r="AO11" s="85">
        <f>[4]人員・時間計画!$K$12</f>
        <v>0</v>
      </c>
      <c r="AP11" s="85">
        <f>[4]人員・時間計画!$L$25</f>
        <v>0</v>
      </c>
      <c r="AQ11" s="85">
        <f>[4]人員・時間計画!$L$26</f>
        <v>0</v>
      </c>
      <c r="AR11" s="85">
        <f>[4]人員・時間計画!$L$11</f>
        <v>0</v>
      </c>
      <c r="AS11" s="85">
        <f>[4]人員・時間計画!$L$12</f>
        <v>0</v>
      </c>
      <c r="AT11" s="85">
        <f>[4]人員・時間計画!$M$25</f>
        <v>0</v>
      </c>
      <c r="AU11" s="85">
        <f>[4]人員・時間計画!$M$26</f>
        <v>0</v>
      </c>
      <c r="AV11" s="85">
        <f>[4]人員・時間計画!$M$11</f>
        <v>0</v>
      </c>
      <c r="AW11" s="85">
        <f>[4]人員・時間計画!$M$12</f>
        <v>0</v>
      </c>
      <c r="AX11" s="85">
        <f>[4]人員・時間計画!$N$25</f>
        <v>0</v>
      </c>
      <c r="AY11" s="85">
        <f>[4]人員・時間計画!$N$26</f>
        <v>0</v>
      </c>
      <c r="AZ11" s="85">
        <f>[4]人員・時間計画!$N$11</f>
        <v>0</v>
      </c>
      <c r="BA11" s="85">
        <f>[4]人員・時間計画!$N$12</f>
        <v>0</v>
      </c>
    </row>
    <row r="12" spans="1:53" ht="18.75" customHeight="1">
      <c r="A12" s="13"/>
      <c r="B12" s="13">
        <v>6221</v>
      </c>
      <c r="C12" s="12" t="str">
        <f>IF($A$1=1,Sheet1!D13,Sheet1!A13)</f>
        <v>トナー製造部</v>
      </c>
      <c r="D12" s="11"/>
      <c r="E12" s="22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</row>
    <row r="13" spans="1:53" ht="18.75" customHeight="1">
      <c r="A13" s="217"/>
      <c r="B13" s="217"/>
      <c r="C13" s="218"/>
      <c r="D13" s="80" t="str">
        <f>IF($A$1=1,Sheet1!C14,Sheet1!B14)</f>
        <v>トナー製造課</v>
      </c>
      <c r="E13" s="80">
        <v>1412000034</v>
      </c>
      <c r="F13" s="87">
        <f>[5]人員・時間計画!$C$25</f>
        <v>76</v>
      </c>
      <c r="G13" s="87">
        <f>[5]人員・時間計画!$C$26</f>
        <v>0</v>
      </c>
      <c r="H13" s="87">
        <f>[5]人員・時間計画!$C$11</f>
        <v>22</v>
      </c>
      <c r="I13" s="87">
        <f>[5]人員・時間計画!$C$12</f>
        <v>297</v>
      </c>
      <c r="J13" s="87">
        <f>[5]人員・時間計画!$D$25</f>
        <v>104</v>
      </c>
      <c r="K13" s="87">
        <f>[5]人員・時間計画!$D$26</f>
        <v>720</v>
      </c>
      <c r="L13" s="87">
        <f>[5]人員・時間計画!$D$11</f>
        <v>22</v>
      </c>
      <c r="M13" s="87">
        <f>[5]人員・時間計画!$D$12</f>
        <v>297</v>
      </c>
      <c r="N13" s="87">
        <f>[5]人員・時間計画!$E$25</f>
        <v>112</v>
      </c>
      <c r="O13" s="87">
        <f>[5]人員・時間計画!$E$26</f>
        <v>304</v>
      </c>
      <c r="P13" s="87">
        <f>[5]人員・時間計画!$E$11</f>
        <v>22</v>
      </c>
      <c r="Q13" s="87">
        <f>[5]人員・時間計画!$E$12</f>
        <v>298</v>
      </c>
      <c r="R13" s="87">
        <f>[5]人員・時間計画!$F$25</f>
        <v>184</v>
      </c>
      <c r="S13" s="87">
        <f>[5]人員・時間計画!$F$26</f>
        <v>2384</v>
      </c>
      <c r="T13" s="87">
        <f>[5]人員・時間計画!$F$11</f>
        <v>22</v>
      </c>
      <c r="U13" s="87">
        <f>[5]人員・時間計画!$F$12</f>
        <v>298</v>
      </c>
      <c r="V13" s="87">
        <f>[5]人員・時間計画!$G$25</f>
        <v>132</v>
      </c>
      <c r="W13" s="87">
        <f>[5]人員・時間計画!$G$26</f>
        <v>1240</v>
      </c>
      <c r="X13" s="87">
        <f>[5]人員・時間計画!$G$11</f>
        <v>22</v>
      </c>
      <c r="Y13" s="87">
        <f>[5]人員・時間計画!$G$12</f>
        <v>306</v>
      </c>
      <c r="Z13" s="87">
        <f>[5]人員・時間計画!$H$25</f>
        <v>136</v>
      </c>
      <c r="AA13" s="87">
        <f>[5]人員・時間計画!$H$26</f>
        <v>2064</v>
      </c>
      <c r="AB13" s="87">
        <f>[5]人員・時間計画!$H$11</f>
        <v>22</v>
      </c>
      <c r="AC13" s="87">
        <f>[5]人員・時間計画!$H$12</f>
        <v>314</v>
      </c>
      <c r="AD13" s="87">
        <f>[5]人員・時間計画!$I$25</f>
        <v>160</v>
      </c>
      <c r="AE13" s="87">
        <f>[5]人員・時間計画!$I$26</f>
        <v>1656</v>
      </c>
      <c r="AF13" s="87">
        <f>[5]人員・時間計画!$I$11</f>
        <v>22</v>
      </c>
      <c r="AG13" s="87">
        <f>[5]人員・時間計画!$I$12</f>
        <v>314</v>
      </c>
      <c r="AH13" s="87">
        <f>[5]人員・時間計画!$J$25</f>
        <v>164</v>
      </c>
      <c r="AI13" s="87">
        <f>[5]人員・時間計画!$J$26</f>
        <v>1352</v>
      </c>
      <c r="AJ13" s="87">
        <f>[5]人員・時間計画!$J$11</f>
        <v>22</v>
      </c>
      <c r="AK13" s="87">
        <f>[5]人員・時間計画!$J$12</f>
        <v>314</v>
      </c>
      <c r="AL13" s="87">
        <f>[5]人員・時間計画!$K$25</f>
        <v>132</v>
      </c>
      <c r="AM13" s="87">
        <f>[5]人員・時間計画!$K$26</f>
        <v>1248</v>
      </c>
      <c r="AN13" s="87">
        <f>[5]人員・時間計画!$K$11</f>
        <v>22</v>
      </c>
      <c r="AO13" s="87">
        <f>[5]人員・時間計画!$K$12</f>
        <v>314</v>
      </c>
      <c r="AP13" s="87">
        <f>[5]人員・時間計画!$L$25</f>
        <v>180</v>
      </c>
      <c r="AQ13" s="87">
        <f>[5]人員・時間計画!$L$26</f>
        <v>2376</v>
      </c>
      <c r="AR13" s="87">
        <f>[5]人員・時間計画!$L$11</f>
        <v>22</v>
      </c>
      <c r="AS13" s="87">
        <f>[5]人員・時間計画!$L$12</f>
        <v>314</v>
      </c>
      <c r="AT13" s="87">
        <f>[5]人員・時間計画!$M$25</f>
        <v>136</v>
      </c>
      <c r="AU13" s="87">
        <f>[5]人員・時間計画!$M$26</f>
        <v>1968</v>
      </c>
      <c r="AV13" s="87">
        <f>[5]人員・時間計画!$M$11</f>
        <v>22</v>
      </c>
      <c r="AW13" s="87">
        <f>[5]人員・時間計画!$M$12</f>
        <v>324</v>
      </c>
      <c r="AX13" s="87">
        <f>[5]人員・時間計画!$N$25</f>
        <v>124</v>
      </c>
      <c r="AY13" s="87">
        <f>[5]人員・時間計画!$N$26</f>
        <v>936</v>
      </c>
      <c r="AZ13" s="87">
        <f>[5]人員・時間計画!$N$11</f>
        <v>22</v>
      </c>
      <c r="BA13" s="87">
        <f>[5]人員・時間計画!$N$12</f>
        <v>324</v>
      </c>
    </row>
    <row r="14" spans="1:53" ht="18.75" customHeight="1">
      <c r="A14" s="5"/>
      <c r="B14" s="5">
        <v>6221</v>
      </c>
      <c r="C14" s="9" t="str">
        <f>IF($A$1=1,Sheet1!D18,Sheet1!A18)</f>
        <v>部品製造部</v>
      </c>
      <c r="D14" s="22"/>
      <c r="E14" s="22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</row>
    <row r="15" spans="1:53" ht="18.75" customHeight="1">
      <c r="A15" s="219"/>
      <c r="B15" s="219"/>
      <c r="C15" s="220"/>
      <c r="D15" s="2" t="str">
        <f>IF($A$1=1,Sheet1!C19,Sheet1!B19)</f>
        <v>部品製造課</v>
      </c>
      <c r="E15" s="221">
        <v>1412000056</v>
      </c>
      <c r="F15" s="85">
        <f>[6]人員・時間計画!$C$25</f>
        <v>56</v>
      </c>
      <c r="G15" s="85">
        <f>[6]人員・時間計画!$C$26</f>
        <v>1300</v>
      </c>
      <c r="H15" s="85">
        <f>[6]人員・時間計画!$C$11</f>
        <v>16</v>
      </c>
      <c r="I15" s="85">
        <f>[6]人員・時間計画!$C$12</f>
        <v>125</v>
      </c>
      <c r="J15" s="85">
        <f>[6]人員・時間計画!$D$25</f>
        <v>56</v>
      </c>
      <c r="K15" s="85">
        <f>[6]人員・時間計画!$D$26</f>
        <v>1300</v>
      </c>
      <c r="L15" s="85">
        <f>[6]人員・時間計画!$D$11</f>
        <v>16</v>
      </c>
      <c r="M15" s="85">
        <f>[6]人員・時間計画!$D$12</f>
        <v>125</v>
      </c>
      <c r="N15" s="85">
        <f>[6]人員・時間計画!$E$25</f>
        <v>56</v>
      </c>
      <c r="O15" s="85">
        <f>[6]人員・時間計画!$E$26</f>
        <v>1300</v>
      </c>
      <c r="P15" s="85">
        <f>[6]人員・時間計画!$E$11</f>
        <v>16</v>
      </c>
      <c r="Q15" s="85">
        <f>[6]人員・時間計画!$E$12</f>
        <v>125</v>
      </c>
      <c r="R15" s="85">
        <f>[6]人員・時間計画!$F$25</f>
        <v>172</v>
      </c>
      <c r="S15" s="85">
        <f>[6]人員・時間計画!$F$26</f>
        <v>1300</v>
      </c>
      <c r="T15" s="85">
        <f>[6]人員・時間計画!$F$11</f>
        <v>16</v>
      </c>
      <c r="U15" s="85">
        <f>[6]人員・時間計画!$F$12</f>
        <v>125</v>
      </c>
      <c r="V15" s="85">
        <f>[6]人員・時間計画!$G$25</f>
        <v>112</v>
      </c>
      <c r="W15" s="85">
        <f>[6]人員・時間計画!$G$26</f>
        <v>1400</v>
      </c>
      <c r="X15" s="85">
        <f>[6]人員・時間計画!$G$11</f>
        <v>16</v>
      </c>
      <c r="Y15" s="85">
        <f>[6]人員・時間計画!$G$12</f>
        <v>125</v>
      </c>
      <c r="Z15" s="85">
        <f>[6]人員・時間計画!$H$25</f>
        <v>112</v>
      </c>
      <c r="AA15" s="85">
        <f>[6]人員・時間計画!$H$26</f>
        <v>1400</v>
      </c>
      <c r="AB15" s="85">
        <f>[6]人員・時間計画!$H$11</f>
        <v>16</v>
      </c>
      <c r="AC15" s="85">
        <f>[6]人員・時間計画!$H$12</f>
        <v>125</v>
      </c>
      <c r="AD15" s="85">
        <f>[6]人員・時間計画!$I$25</f>
        <v>116</v>
      </c>
      <c r="AE15" s="85">
        <f>[6]人員・時間計画!$I$26</f>
        <v>1300</v>
      </c>
      <c r="AF15" s="85">
        <f>[6]人員・時間計画!$I$11</f>
        <v>16</v>
      </c>
      <c r="AG15" s="85">
        <f>[6]人員・時間計画!$I$12</f>
        <v>125</v>
      </c>
      <c r="AH15" s="85">
        <f>[6]人員・時間計画!$J$25</f>
        <v>116</v>
      </c>
      <c r="AI15" s="85">
        <f>[6]人員・時間計画!$J$26</f>
        <v>1400</v>
      </c>
      <c r="AJ15" s="85">
        <f>[6]人員・時間計画!$J$11</f>
        <v>16</v>
      </c>
      <c r="AK15" s="85">
        <f>[6]人員・時間計画!$J$12</f>
        <v>125</v>
      </c>
      <c r="AL15" s="85">
        <f>[6]人員・時間計画!$K$25</f>
        <v>112</v>
      </c>
      <c r="AM15" s="85">
        <f>[6]人員・時間計画!$K$26</f>
        <v>1300</v>
      </c>
      <c r="AN15" s="85">
        <f>[6]人員・時間計画!$K$11</f>
        <v>16</v>
      </c>
      <c r="AO15" s="85">
        <f>[6]人員・時間計画!$K$12</f>
        <v>125</v>
      </c>
      <c r="AP15" s="85">
        <f>[6]人員・時間計画!$L$25</f>
        <v>56</v>
      </c>
      <c r="AQ15" s="85">
        <f>[6]人員・時間計画!$L$26</f>
        <v>1300</v>
      </c>
      <c r="AR15" s="85">
        <f>[6]人員・時間計画!$L$11</f>
        <v>16</v>
      </c>
      <c r="AS15" s="85">
        <f>[6]人員・時間計画!$L$12</f>
        <v>125</v>
      </c>
      <c r="AT15" s="85">
        <f>[6]人員・時間計画!$M$25</f>
        <v>172</v>
      </c>
      <c r="AU15" s="85">
        <f>[6]人員・時間計画!$M$26</f>
        <v>1400</v>
      </c>
      <c r="AV15" s="85">
        <f>[6]人員・時間計画!$M$11</f>
        <v>16</v>
      </c>
      <c r="AW15" s="85">
        <f>[6]人員・時間計画!$M$12</f>
        <v>125</v>
      </c>
      <c r="AX15" s="85">
        <f>[6]人員・時間計画!$N$25</f>
        <v>172</v>
      </c>
      <c r="AY15" s="85">
        <f>[6]人員・時間計画!$N$26</f>
        <v>1400</v>
      </c>
      <c r="AZ15" s="85">
        <f>[6]人員・時間計画!$N$11</f>
        <v>16</v>
      </c>
      <c r="BA15" s="85">
        <f>[6]人員・時間計画!$N$12</f>
        <v>125</v>
      </c>
    </row>
    <row r="16" spans="1:53" ht="18.75" customHeight="1">
      <c r="A16" s="5"/>
      <c r="B16" s="5">
        <v>6221</v>
      </c>
      <c r="C16" s="9" t="s">
        <v>201</v>
      </c>
      <c r="D16" s="22"/>
      <c r="E16" s="22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</row>
    <row r="17" spans="1:53" ht="18.75" customHeight="1">
      <c r="A17" s="219"/>
      <c r="B17" s="219"/>
      <c r="C17" s="220"/>
      <c r="D17" s="2" t="s">
        <v>200</v>
      </c>
      <c r="E17" s="2">
        <v>1412000098</v>
      </c>
      <c r="F17" s="85">
        <f>'[7]人員・時間計画 '!$C$25</f>
        <v>147</v>
      </c>
      <c r="G17" s="85">
        <f>'[7]人員・時間計画 '!$C$26</f>
        <v>107</v>
      </c>
      <c r="H17" s="85">
        <f>'[7]人員・時間計画 '!$C$11</f>
        <v>15</v>
      </c>
      <c r="I17" s="85">
        <f>'[7]人員・時間計画 '!$C$12</f>
        <v>14</v>
      </c>
      <c r="J17" s="85">
        <f>'[7]人員・時間計画 '!$D$25</f>
        <v>245</v>
      </c>
      <c r="K17" s="85">
        <f>'[7]人員・時間計画 '!$D$26</f>
        <v>207</v>
      </c>
      <c r="L17" s="85">
        <f>'[7]人員・時間計画 '!$D$11</f>
        <v>15</v>
      </c>
      <c r="M17" s="85">
        <f>'[7]人員・時間計画 '!$D$12</f>
        <v>14</v>
      </c>
      <c r="N17" s="85">
        <f>'[7]人員・時間計画 '!$E$25</f>
        <v>234</v>
      </c>
      <c r="O17" s="85">
        <f>'[7]人員・時間計画 '!$E$26</f>
        <v>192</v>
      </c>
      <c r="P17" s="85">
        <f>'[7]人員・時間計画 '!$E$11</f>
        <v>15</v>
      </c>
      <c r="Q17" s="85">
        <f>'[7]人員・時間計画 '!$E$12</f>
        <v>14</v>
      </c>
      <c r="R17" s="85">
        <f>'[7]人員・時間計画 '!$F$25</f>
        <v>467</v>
      </c>
      <c r="S17" s="85">
        <f>'[7]人員・時間計画 '!$F$26</f>
        <v>421</v>
      </c>
      <c r="T17" s="85">
        <f>'[7]人員・時間計画 '!$F$11</f>
        <v>15</v>
      </c>
      <c r="U17" s="85">
        <f>'[7]人員・時間計画 '!$F$12</f>
        <v>29</v>
      </c>
      <c r="V17" s="85">
        <f>'[7]人員・時間計画 '!$G$25</f>
        <v>352</v>
      </c>
      <c r="W17" s="85">
        <f>'[7]人員・時間計画 '!$G$26</f>
        <v>312</v>
      </c>
      <c r="X17" s="85">
        <f>'[7]人員・時間計画 '!$G$11</f>
        <v>15</v>
      </c>
      <c r="Y17" s="85">
        <f>'[7]人員・時間計画 '!$G$12</f>
        <v>29</v>
      </c>
      <c r="Z17" s="85">
        <f>'[7]人員・時間計画 '!$H$25</f>
        <v>38</v>
      </c>
      <c r="AA17" s="85">
        <f>'[7]人員・時間計画 '!$H$26</f>
        <v>0</v>
      </c>
      <c r="AB17" s="85">
        <f>'[7]人員・時間計画 '!$H$11</f>
        <v>15</v>
      </c>
      <c r="AC17" s="85">
        <f>'[7]人員・時間計画 '!$H$12</f>
        <v>29</v>
      </c>
      <c r="AD17" s="85">
        <f>'[7]人員・時間計画 '!$I$25</f>
        <v>46</v>
      </c>
      <c r="AE17" s="85">
        <f>'[7]人員・時間計画 '!$I$26</f>
        <v>0</v>
      </c>
      <c r="AF17" s="85">
        <f>'[7]人員・時間計画 '!$I$11</f>
        <v>15</v>
      </c>
      <c r="AG17" s="85">
        <f>'[7]人員・時間計画 '!$I$12</f>
        <v>30</v>
      </c>
      <c r="AH17" s="85">
        <f>'[7]人員・時間計画 '!$J$25</f>
        <v>40</v>
      </c>
      <c r="AI17" s="85">
        <f>'[7]人員・時間計画 '!$J$26</f>
        <v>0</v>
      </c>
      <c r="AJ17" s="85">
        <f>'[7]人員・時間計画 '!$J$11</f>
        <v>15</v>
      </c>
      <c r="AK17" s="85">
        <f>'[7]人員・時間計画 '!$J$12</f>
        <v>30</v>
      </c>
      <c r="AL17" s="85">
        <f>'[7]人員・時間計画 '!$K$25</f>
        <v>42</v>
      </c>
      <c r="AM17" s="85">
        <f>'[7]人員・時間計画 '!$K$26</f>
        <v>0</v>
      </c>
      <c r="AN17" s="85">
        <f>'[7]人員・時間計画 '!$K$11</f>
        <v>15</v>
      </c>
      <c r="AO17" s="85">
        <f>'[7]人員・時間計画 '!$K$12</f>
        <v>30</v>
      </c>
      <c r="AP17" s="85">
        <f>'[7]人員・時間計画 '!$L$25</f>
        <v>40</v>
      </c>
      <c r="AQ17" s="85">
        <f>'[7]人員・時間計画 '!$L$26</f>
        <v>0</v>
      </c>
      <c r="AR17" s="85">
        <f>'[7]人員・時間計画 '!$L$11</f>
        <v>15</v>
      </c>
      <c r="AS17" s="85">
        <f>'[7]人員・時間計画 '!$L$12</f>
        <v>43</v>
      </c>
      <c r="AT17" s="85">
        <f>'[7]人員・時間計画 '!$M$25</f>
        <v>419</v>
      </c>
      <c r="AU17" s="85">
        <f>'[7]人員・時間計画 '!$M$26</f>
        <v>389</v>
      </c>
      <c r="AV17" s="85">
        <f>'[7]人員・時間計画 '!$M$11</f>
        <v>15</v>
      </c>
      <c r="AW17" s="85">
        <f>'[7]人員・時間計画 '!$M$12</f>
        <v>43</v>
      </c>
      <c r="AX17" s="85">
        <f>'[7]人員・時間計画 '!$N$25</f>
        <v>40</v>
      </c>
      <c r="AY17" s="85">
        <f>'[7]人員・時間計画 '!$N$26</f>
        <v>0</v>
      </c>
      <c r="AZ17" s="85">
        <f>'[7]人員・時間計画 '!$N$11</f>
        <v>15</v>
      </c>
      <c r="BA17" s="85">
        <f>'[7]人員・時間計画 '!$N$12</f>
        <v>43</v>
      </c>
    </row>
    <row r="18" spans="1:53" ht="18.75" customHeight="1">
      <c r="A18" s="5"/>
      <c r="B18" s="5">
        <v>6221</v>
      </c>
      <c r="C18" s="9" t="str">
        <f>IF($A$1=1,Sheet1!D50,Sheet1!A50)</f>
        <v>製品開発部</v>
      </c>
      <c r="D18" s="22"/>
      <c r="E18" s="22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</row>
    <row r="19" spans="1:53" ht="18.75" customHeight="1">
      <c r="A19" s="13"/>
      <c r="B19" s="13"/>
      <c r="C19" s="12"/>
      <c r="D19" s="6" t="str">
        <f>IF($A$1=1,Sheet1!C51,Sheet1!B51)</f>
        <v>MD1課</v>
      </c>
      <c r="E19" s="11">
        <v>1412000050</v>
      </c>
      <c r="F19" s="84">
        <f>[8]人員・時間計画!$C$25</f>
        <v>170</v>
      </c>
      <c r="G19" s="84">
        <f>[8]人員・時間計画!$C$26</f>
        <v>0</v>
      </c>
      <c r="H19" s="84">
        <f>[8]人員・時間計画!$C$11</f>
        <v>8</v>
      </c>
      <c r="I19" s="84">
        <f>[8]人員・時間計画!$C$12</f>
        <v>0</v>
      </c>
      <c r="J19" s="84">
        <f>[8]人員・時間計画!$D$25</f>
        <v>166</v>
      </c>
      <c r="K19" s="86">
        <f>[8]人員・時間計画!$D$26</f>
        <v>0</v>
      </c>
      <c r="L19" s="84">
        <f>[8]人員・時間計画!$D$11</f>
        <v>8</v>
      </c>
      <c r="M19" s="86">
        <f>[8]人員・時間計画!$D$12</f>
        <v>0</v>
      </c>
      <c r="N19" s="84">
        <f>[8]人員・時間計画!$E$25</f>
        <v>174</v>
      </c>
      <c r="O19" s="86">
        <f>[8]人員・時間計画!$E$26</f>
        <v>0</v>
      </c>
      <c r="P19" s="84">
        <f>[8]人員・時間計画!$E$11</f>
        <v>8</v>
      </c>
      <c r="Q19" s="86">
        <f>[8]人員・時間計画!$E$12</f>
        <v>0</v>
      </c>
      <c r="R19" s="84">
        <f>[8]人員・時間計画!$F$25</f>
        <v>182</v>
      </c>
      <c r="S19" s="86">
        <f>[8]人員・時間計画!$F$26</f>
        <v>0</v>
      </c>
      <c r="T19" s="84">
        <f>[8]人員・時間計画!$F$11</f>
        <v>8</v>
      </c>
      <c r="U19" s="86">
        <f>[8]人員・時間計画!$F$12</f>
        <v>0</v>
      </c>
      <c r="V19" s="84">
        <f>[8]人員・時間計画!$G$25</f>
        <v>170</v>
      </c>
      <c r="W19" s="86">
        <f>[8]人員・時間計画!$G$26</f>
        <v>0</v>
      </c>
      <c r="X19" s="84">
        <f>[8]人員・時間計画!$G$11</f>
        <v>8</v>
      </c>
      <c r="Y19" s="86">
        <f>[8]人員・時間計画!$G$12</f>
        <v>0</v>
      </c>
      <c r="Z19" s="84">
        <f>[8]人員・時間計画!$H$25</f>
        <v>166</v>
      </c>
      <c r="AA19" s="86">
        <f>[8]人員・時間計画!$H$26</f>
        <v>0</v>
      </c>
      <c r="AB19" s="84">
        <f>[8]人員・時間計画!$H$11</f>
        <v>9</v>
      </c>
      <c r="AC19" s="86">
        <f>[8]人員・時間計画!$H$12</f>
        <v>0</v>
      </c>
      <c r="AD19" s="84">
        <f>[8]人員・時間計画!$I$25</f>
        <v>182</v>
      </c>
      <c r="AE19" s="86">
        <f>[8]人員・時間計画!$I$26</f>
        <v>0</v>
      </c>
      <c r="AF19" s="84">
        <f>[8]人員・時間計画!$I$11</f>
        <v>9</v>
      </c>
      <c r="AG19" s="86">
        <f>[8]人員・時間計画!$I$12</f>
        <v>0</v>
      </c>
      <c r="AH19" s="84">
        <f>[8]人員・時間計画!$J$25</f>
        <v>170</v>
      </c>
      <c r="AI19" s="86">
        <f>[8]人員・時間計画!$J$26</f>
        <v>0</v>
      </c>
      <c r="AJ19" s="84">
        <f>[8]人員・時間計画!$J$11</f>
        <v>9</v>
      </c>
      <c r="AK19" s="86">
        <f>[8]人員・時間計画!$J$12</f>
        <v>0</v>
      </c>
      <c r="AL19" s="84">
        <f>[8]人員・時間計画!$K$25</f>
        <v>178</v>
      </c>
      <c r="AM19" s="86">
        <f>[8]人員・時間計画!$K$26</f>
        <v>0</v>
      </c>
      <c r="AN19" s="84">
        <f>[8]人員・時間計画!$K$11</f>
        <v>9</v>
      </c>
      <c r="AO19" s="86">
        <f>[8]人員・時間計画!$K$12</f>
        <v>0</v>
      </c>
      <c r="AP19" s="84">
        <f>[8]人員・時間計画!$L$25</f>
        <v>170</v>
      </c>
      <c r="AQ19" s="86">
        <f>[8]人員・時間計画!$L$26</f>
        <v>0</v>
      </c>
      <c r="AR19" s="84">
        <f>[8]人員・時間計画!$L$11</f>
        <v>9</v>
      </c>
      <c r="AS19" s="86">
        <f>[8]人員・時間計画!$L$12</f>
        <v>0</v>
      </c>
      <c r="AT19" s="84">
        <f>[8]人員・時間計画!$M$25</f>
        <v>150</v>
      </c>
      <c r="AU19" s="86">
        <f>[8]人員・時間計画!$M$26</f>
        <v>0</v>
      </c>
      <c r="AV19" s="84">
        <f>[8]人員・時間計画!$M$11</f>
        <v>9</v>
      </c>
      <c r="AW19" s="86">
        <f>[8]人員・時間計画!$M$12</f>
        <v>0</v>
      </c>
      <c r="AX19" s="84">
        <f>[8]人員・時間計画!$N$25</f>
        <v>170</v>
      </c>
      <c r="AY19" s="86">
        <f>[8]人員・時間計画!$N$26</f>
        <v>0</v>
      </c>
      <c r="AZ19" s="84">
        <f>[8]人員・時間計画!$N$11</f>
        <v>9</v>
      </c>
      <c r="BA19" s="86">
        <f>[8]人員・時間計画!$N$12</f>
        <v>0</v>
      </c>
    </row>
    <row r="20" spans="1:53" ht="18.75" customHeight="1">
      <c r="A20" s="8"/>
      <c r="B20" s="8"/>
      <c r="C20" s="7"/>
      <c r="D20" s="6" t="str">
        <f>IF($A$1=1,Sheet1!C52,Sheet1!B52)</f>
        <v>MD2課</v>
      </c>
      <c r="E20" s="6">
        <v>1412000077</v>
      </c>
      <c r="F20" s="84">
        <f>[9]人員・時間計画!$C$25</f>
        <v>144</v>
      </c>
      <c r="G20" s="84">
        <f>[9]人員・時間計画!$C$26</f>
        <v>0</v>
      </c>
      <c r="H20" s="84">
        <f>[9]人員・時間計画!$C$11</f>
        <v>9</v>
      </c>
      <c r="I20" s="84">
        <f>[9]人員・時間計画!$C$12</f>
        <v>0</v>
      </c>
      <c r="J20" s="84">
        <f>[9]人員・時間計画!$D$25</f>
        <v>142</v>
      </c>
      <c r="K20" s="84">
        <f>[9]人員・時間計画!$D$26</f>
        <v>0</v>
      </c>
      <c r="L20" s="84">
        <f>[9]人員・時間計画!$D$11</f>
        <v>9</v>
      </c>
      <c r="M20" s="84">
        <f>[9]人員・時間計画!$D$12</f>
        <v>0</v>
      </c>
      <c r="N20" s="84">
        <f>[9]人員・時間計画!$E$25</f>
        <v>146</v>
      </c>
      <c r="O20" s="84">
        <f>[9]人員・時間計画!$E$26</f>
        <v>0</v>
      </c>
      <c r="P20" s="84">
        <f>[9]人員・時間計画!$E$11</f>
        <v>9</v>
      </c>
      <c r="Q20" s="84">
        <f>[9]人員・時間計画!$E$12</f>
        <v>0</v>
      </c>
      <c r="R20" s="84">
        <f>[9]人員・時間計画!$F$25</f>
        <v>150</v>
      </c>
      <c r="S20" s="84">
        <f>[9]人員・時間計画!$F$26</f>
        <v>0</v>
      </c>
      <c r="T20" s="84">
        <f>[9]人員・時間計画!$F$11</f>
        <v>9</v>
      </c>
      <c r="U20" s="84">
        <f>[9]人員・時間計画!$F$12</f>
        <v>0</v>
      </c>
      <c r="V20" s="84">
        <f>[9]人員・時間計画!$G$25</f>
        <v>144</v>
      </c>
      <c r="W20" s="84">
        <f>[9]人員・時間計画!$G$26</f>
        <v>0</v>
      </c>
      <c r="X20" s="84">
        <f>[9]人員・時間計画!$G$11</f>
        <v>9</v>
      </c>
      <c r="Y20" s="84">
        <f>[9]人員・時間計画!$G$12</f>
        <v>0</v>
      </c>
      <c r="Z20" s="84">
        <f>[9]人員・時間計画!$H$25</f>
        <v>142</v>
      </c>
      <c r="AA20" s="84">
        <f>[9]人員・時間計画!$H$26</f>
        <v>0</v>
      </c>
      <c r="AB20" s="84">
        <f>[9]人員・時間計画!$H$11</f>
        <v>9</v>
      </c>
      <c r="AC20" s="84">
        <f>[9]人員・時間計画!$H$12</f>
        <v>0</v>
      </c>
      <c r="AD20" s="84">
        <f>[9]人員・時間計画!$I$25</f>
        <v>150</v>
      </c>
      <c r="AE20" s="84">
        <f>[9]人員・時間計画!$I$26</f>
        <v>0</v>
      </c>
      <c r="AF20" s="84">
        <f>[9]人員・時間計画!$I$11</f>
        <v>9</v>
      </c>
      <c r="AG20" s="84">
        <f>[9]人員・時間計画!$I$12</f>
        <v>0</v>
      </c>
      <c r="AH20" s="84">
        <f>[9]人員・時間計画!$J$25</f>
        <v>144</v>
      </c>
      <c r="AI20" s="84">
        <f>[9]人員・時間計画!$J$26</f>
        <v>0</v>
      </c>
      <c r="AJ20" s="84">
        <f>[9]人員・時間計画!$J$11</f>
        <v>9</v>
      </c>
      <c r="AK20" s="84">
        <f>[9]人員・時間計画!$J$12</f>
        <v>0</v>
      </c>
      <c r="AL20" s="84">
        <f>[9]人員・時間計画!$K$25</f>
        <v>148</v>
      </c>
      <c r="AM20" s="84">
        <f>[9]人員・時間計画!$K$26</f>
        <v>0</v>
      </c>
      <c r="AN20" s="84">
        <f>[9]人員・時間計画!$K$11</f>
        <v>9</v>
      </c>
      <c r="AO20" s="84">
        <f>[9]人員・時間計画!$K$12</f>
        <v>0</v>
      </c>
      <c r="AP20" s="84">
        <f>[9]人員・時間計画!$L$25</f>
        <v>144</v>
      </c>
      <c r="AQ20" s="84">
        <f>[9]人員・時間計画!$L$26</f>
        <v>0</v>
      </c>
      <c r="AR20" s="84">
        <f>[9]人員・時間計画!$L$11</f>
        <v>9</v>
      </c>
      <c r="AS20" s="84">
        <f>[9]人員・時間計画!$L$12</f>
        <v>0</v>
      </c>
      <c r="AT20" s="84">
        <f>[9]人員・時間計画!$M$25</f>
        <v>134</v>
      </c>
      <c r="AU20" s="84">
        <f>[9]人員・時間計画!$M$26</f>
        <v>0</v>
      </c>
      <c r="AV20" s="84">
        <f>[9]人員・時間計画!$M$11</f>
        <v>9</v>
      </c>
      <c r="AW20" s="84">
        <f>[9]人員・時間計画!$M$12</f>
        <v>0</v>
      </c>
      <c r="AX20" s="84">
        <f>[9]人員・時間計画!$N$25</f>
        <v>144</v>
      </c>
      <c r="AY20" s="84">
        <f>[9]人員・時間計画!$N$26</f>
        <v>0</v>
      </c>
      <c r="AZ20" s="84">
        <f>[9]人員・時間計画!$N$11</f>
        <v>9</v>
      </c>
      <c r="BA20" s="84">
        <f>[9]人員・時間計画!$N$12</f>
        <v>0</v>
      </c>
    </row>
    <row r="21" spans="1:53" ht="18.75" customHeight="1">
      <c r="A21" s="8"/>
      <c r="B21" s="8"/>
      <c r="C21" s="7"/>
      <c r="D21" s="6" t="str">
        <f>IF($A$1=1,Sheet1!C53,Sheet1!B53)</f>
        <v>MD3課</v>
      </c>
      <c r="E21" s="6">
        <v>1412000083</v>
      </c>
      <c r="F21" s="84">
        <f>[10]人員・時間計画!$C$25</f>
        <v>130</v>
      </c>
      <c r="G21" s="84">
        <f>[10]人員・時間計画!$C$26</f>
        <v>0</v>
      </c>
      <c r="H21" s="84">
        <f>[10]人員・時間計画!$C$11</f>
        <v>11</v>
      </c>
      <c r="I21" s="84">
        <f>[10]人員・時間計画!$C$12</f>
        <v>0</v>
      </c>
      <c r="J21" s="84">
        <f>[10]人員・時間計画!$D$25</f>
        <v>128</v>
      </c>
      <c r="K21" s="84">
        <f>[10]人員・時間計画!$D$26</f>
        <v>0</v>
      </c>
      <c r="L21" s="84">
        <f>[10]人員・時間計画!$D$11</f>
        <v>11</v>
      </c>
      <c r="M21" s="84">
        <f>[10]人員・時間計画!$D$12</f>
        <v>0</v>
      </c>
      <c r="N21" s="84">
        <f>[10]人員・時間計画!$E$25</f>
        <v>132</v>
      </c>
      <c r="O21" s="84">
        <f>[10]人員・時間計画!$E$26</f>
        <v>0</v>
      </c>
      <c r="P21" s="84">
        <f>[10]人員・時間計画!$E$11</f>
        <v>11</v>
      </c>
      <c r="Q21" s="84">
        <f>[10]人員・時間計画!$E$12</f>
        <v>0</v>
      </c>
      <c r="R21" s="84">
        <f>[10]人員・時間計画!$F$25</f>
        <v>136</v>
      </c>
      <c r="S21" s="84">
        <f>[10]人員・時間計画!$F$26</f>
        <v>0</v>
      </c>
      <c r="T21" s="84">
        <f>[10]人員・時間計画!$F$11</f>
        <v>11</v>
      </c>
      <c r="U21" s="84">
        <f>[10]人員・時間計画!$F$12</f>
        <v>0</v>
      </c>
      <c r="V21" s="84">
        <f>[10]人員・時間計画!$G$25</f>
        <v>140</v>
      </c>
      <c r="W21" s="84">
        <f>[10]人員・時間計画!$G$26</f>
        <v>0</v>
      </c>
      <c r="X21" s="84">
        <f>[10]人員・時間計画!$G$11</f>
        <v>11</v>
      </c>
      <c r="Y21" s="84">
        <f>[10]人員・時間計画!$G$12</f>
        <v>0</v>
      </c>
      <c r="Z21" s="84">
        <f>[10]人員・時間計画!$H$25</f>
        <v>138</v>
      </c>
      <c r="AA21" s="84">
        <f>[10]人員・時間計画!$H$26</f>
        <v>0</v>
      </c>
      <c r="AB21" s="84">
        <f>[10]人員・時間計画!$H$11</f>
        <v>11</v>
      </c>
      <c r="AC21" s="84">
        <f>[10]人員・時間計画!$H$12</f>
        <v>0</v>
      </c>
      <c r="AD21" s="84">
        <f>[10]人員・時間計画!$I$25</f>
        <v>146</v>
      </c>
      <c r="AE21" s="84">
        <f>[10]人員・時間計画!$I$26</f>
        <v>0</v>
      </c>
      <c r="AF21" s="84">
        <f>[10]人員・時間計画!$I$11</f>
        <v>11</v>
      </c>
      <c r="AG21" s="84">
        <f>[10]人員・時間計画!$I$12</f>
        <v>0</v>
      </c>
      <c r="AH21" s="84">
        <f>[10]人員・時間計画!$J$25</f>
        <v>140</v>
      </c>
      <c r="AI21" s="84">
        <f>[10]人員・時間計画!$J$26</f>
        <v>0</v>
      </c>
      <c r="AJ21" s="84">
        <f>[10]人員・時間計画!$J$11</f>
        <v>11</v>
      </c>
      <c r="AK21" s="84">
        <f>[10]人員・時間計画!$J$12</f>
        <v>0</v>
      </c>
      <c r="AL21" s="84">
        <f>[10]人員・時間計画!$K$25</f>
        <v>144</v>
      </c>
      <c r="AM21" s="84">
        <f>[10]人員・時間計画!$K$26</f>
        <v>0</v>
      </c>
      <c r="AN21" s="84">
        <f>[10]人員・時間計画!$K$11</f>
        <v>11</v>
      </c>
      <c r="AO21" s="84">
        <f>[10]人員・時間計画!$K$12</f>
        <v>0</v>
      </c>
      <c r="AP21" s="84">
        <f>[10]人員・時間計画!$L$25</f>
        <v>140</v>
      </c>
      <c r="AQ21" s="84">
        <f>[10]人員・時間計画!$L$26</f>
        <v>0</v>
      </c>
      <c r="AR21" s="84">
        <f>[10]人員・時間計画!$L$11</f>
        <v>11</v>
      </c>
      <c r="AS21" s="84">
        <f>[10]人員・時間計画!$L$12</f>
        <v>0</v>
      </c>
      <c r="AT21" s="84">
        <f>[10]人員・時間計画!$M$25</f>
        <v>130</v>
      </c>
      <c r="AU21" s="84">
        <f>[10]人員・時間計画!$M$26</f>
        <v>0</v>
      </c>
      <c r="AV21" s="84">
        <f>[10]人員・時間計画!$M$11</f>
        <v>11</v>
      </c>
      <c r="AW21" s="84">
        <f>[10]人員・時間計画!$M$12</f>
        <v>0</v>
      </c>
      <c r="AX21" s="84">
        <f>[10]人員・時間計画!$N$25</f>
        <v>140</v>
      </c>
      <c r="AY21" s="84">
        <f>[10]人員・時間計画!$N$26</f>
        <v>0</v>
      </c>
      <c r="AZ21" s="84">
        <f>[10]人員・時間計画!$N$11</f>
        <v>11</v>
      </c>
      <c r="BA21" s="84">
        <f>[10]人員・時間計画!$N$12</f>
        <v>0</v>
      </c>
    </row>
    <row r="22" spans="1:53" ht="18.75" customHeight="1">
      <c r="A22" s="8"/>
      <c r="B22" s="8"/>
      <c r="C22" s="7"/>
      <c r="D22" s="225" t="str">
        <f>IF($A$1=1,Sheet1!C54,Sheet1!B54)</f>
        <v>MD4課</v>
      </c>
      <c r="E22" s="225">
        <v>1412000099</v>
      </c>
      <c r="F22" s="84">
        <f>[11]人員・時間計画!$C25</f>
        <v>124</v>
      </c>
      <c r="G22" s="84">
        <f>[11]人員・時間計画!$C26</f>
        <v>0</v>
      </c>
      <c r="H22" s="84">
        <f>[11]人員・時間計画!$C11</f>
        <v>15</v>
      </c>
      <c r="I22" s="84">
        <f>[11]人員・時間計画!$C12</f>
        <v>0</v>
      </c>
      <c r="J22" s="84">
        <f>[11]人員・時間計画!$D25</f>
        <v>122</v>
      </c>
      <c r="K22" s="84">
        <f>[11]人員・時間計画!$D$26</f>
        <v>0</v>
      </c>
      <c r="L22" s="84">
        <f>[11]人員・時間計画!$D$11</f>
        <v>15</v>
      </c>
      <c r="M22" s="84">
        <f>[11]人員・時間計画!$D$12</f>
        <v>0</v>
      </c>
      <c r="N22" s="84">
        <f>[11]人員・時間計画!E25</f>
        <v>114</v>
      </c>
      <c r="O22" s="84">
        <f>[11]人員・時間計画!$E26</f>
        <v>0</v>
      </c>
      <c r="P22" s="84">
        <f>[11]人員・時間計画!$E$11</f>
        <v>15</v>
      </c>
      <c r="Q22" s="84">
        <f>[11]人員・時間計画!$E$12</f>
        <v>0</v>
      </c>
      <c r="R22" s="84">
        <f>[11]人員・時間計画!$F25</f>
        <v>118</v>
      </c>
      <c r="S22" s="84">
        <f>[11]人員・時間計画!$F26</f>
        <v>0</v>
      </c>
      <c r="T22" s="84">
        <f>[11]人員・時間計画!$F$11</f>
        <v>15</v>
      </c>
      <c r="U22" s="84">
        <f>[11]人員・時間計画!$F$12</f>
        <v>0</v>
      </c>
      <c r="V22" s="84">
        <f>[11]人員・時間計画!G25</f>
        <v>112</v>
      </c>
      <c r="W22" s="84">
        <f>[11]人員・時間計画!$G26</f>
        <v>0</v>
      </c>
      <c r="X22" s="84">
        <f>[11]人員・時間計画!$G$11</f>
        <v>15</v>
      </c>
      <c r="Y22" s="84">
        <f>[11]人員・時間計画!$G$12</f>
        <v>0</v>
      </c>
      <c r="Z22" s="84">
        <f>[11]人員・時間計画!H25</f>
        <v>110</v>
      </c>
      <c r="AA22" s="84">
        <f>[11]人員・時間計画!$H26</f>
        <v>0</v>
      </c>
      <c r="AB22" s="84">
        <f>[11]人員・時間計画!$H$11</f>
        <v>15</v>
      </c>
      <c r="AC22" s="84">
        <f>[11]人員・時間計画!$H$12</f>
        <v>0</v>
      </c>
      <c r="AD22" s="84">
        <f>[11]人員・時間計画!$I25</f>
        <v>118</v>
      </c>
      <c r="AE22" s="84">
        <f>[11]人員・時間計画!$I26</f>
        <v>0</v>
      </c>
      <c r="AF22" s="84">
        <f>[11]人員・時間計画!$I$11</f>
        <v>15</v>
      </c>
      <c r="AG22" s="84">
        <f>[11]人員・時間計画!$I$12</f>
        <v>0</v>
      </c>
      <c r="AH22" s="84">
        <f>[11]人員・時間計画!$J25</f>
        <v>112</v>
      </c>
      <c r="AI22" s="84">
        <f>[11]人員・時間計画!$J26</f>
        <v>0</v>
      </c>
      <c r="AJ22" s="84">
        <f>[11]人員・時間計画!$J$11</f>
        <v>15</v>
      </c>
      <c r="AK22" s="84">
        <f>[11]人員・時間計画!$J$12</f>
        <v>0</v>
      </c>
      <c r="AL22" s="84">
        <f>[11]人員・時間計画!$K25</f>
        <v>116</v>
      </c>
      <c r="AM22" s="84">
        <f>[11]人員・時間計画!$K26</f>
        <v>0</v>
      </c>
      <c r="AN22" s="84">
        <f>[11]人員・時間計画!$K$11</f>
        <v>15</v>
      </c>
      <c r="AO22" s="84">
        <f>[11]人員・時間計画!$K$12</f>
        <v>0</v>
      </c>
      <c r="AP22" s="84">
        <f>[11]人員・時間計画!$L25</f>
        <v>112</v>
      </c>
      <c r="AQ22" s="84">
        <f>[11]人員・時間計画!$L26</f>
        <v>0</v>
      </c>
      <c r="AR22" s="84">
        <f>[11]人員・時間計画!$L$11</f>
        <v>15</v>
      </c>
      <c r="AS22" s="84">
        <f>[11]人員・時間計画!$L$12</f>
        <v>0</v>
      </c>
      <c r="AT22" s="84">
        <f>[11]人員・時間計画!$M25</f>
        <v>102</v>
      </c>
      <c r="AU22" s="84">
        <f>[11]人員・時間計画!$M26</f>
        <v>0</v>
      </c>
      <c r="AV22" s="84">
        <f>[11]人員・時間計画!$M$11</f>
        <v>15</v>
      </c>
      <c r="AW22" s="84">
        <f>[11]人員・時間計画!$M$12</f>
        <v>0</v>
      </c>
      <c r="AX22" s="84">
        <f>[11]人員・時間計画!$N25</f>
        <v>112</v>
      </c>
      <c r="AY22" s="84">
        <f>[11]人員・時間計画!$N26</f>
        <v>0</v>
      </c>
      <c r="AZ22" s="84">
        <f>[11]人員・時間計画!$N$11</f>
        <v>15</v>
      </c>
      <c r="BA22" s="84">
        <f>[11]人員・時間計画!$N$12</f>
        <v>0</v>
      </c>
    </row>
    <row r="23" spans="1:53" ht="18.75" customHeight="1">
      <c r="A23" s="78"/>
      <c r="B23" s="78"/>
      <c r="C23" s="79"/>
      <c r="D23" s="99" t="str">
        <f>IF($A$1=1,Sheet1!C55,Sheet1!B55)</f>
        <v>MD5課</v>
      </c>
      <c r="E23" s="99"/>
      <c r="F23" s="85">
        <f>[12]人員・時間計画!$C$25</f>
        <v>180</v>
      </c>
      <c r="G23" s="85">
        <f>[12]人員・時間計画!$C$26</f>
        <v>0</v>
      </c>
      <c r="H23" s="85">
        <f>[12]人員・時間計画!$C$11</f>
        <v>7</v>
      </c>
      <c r="I23" s="85">
        <f>[12]人員・時間計画!$C$12</f>
        <v>0</v>
      </c>
      <c r="J23" s="85">
        <f>[12]人員・時間計画!$D$25</f>
        <v>171</v>
      </c>
      <c r="K23" s="85">
        <f>[12]人員・時間計画!$D$26</f>
        <v>0</v>
      </c>
      <c r="L23" s="85">
        <f>[12]人員・時間計画!$D$11</f>
        <v>7</v>
      </c>
      <c r="M23" s="85">
        <f>[12]人員・時間計画!$D$12</f>
        <v>0</v>
      </c>
      <c r="N23" s="85">
        <f>[12]人員・時間計画!$E$25</f>
        <v>189</v>
      </c>
      <c r="O23" s="85">
        <f>[12]人員・時間計画!$E$26</f>
        <v>0</v>
      </c>
      <c r="P23" s="85">
        <f>[12]人員・時間計画!$E$11</f>
        <v>7</v>
      </c>
      <c r="Q23" s="85">
        <f>[12]人員・時間計画!$E$12</f>
        <v>0</v>
      </c>
      <c r="R23" s="85">
        <f>[12]人員・時間計画!$F$25</f>
        <v>207</v>
      </c>
      <c r="S23" s="85">
        <f>[12]人員・時間計画!$F$26</f>
        <v>0</v>
      </c>
      <c r="T23" s="85">
        <f>[12]人員・時間計画!$F$11</f>
        <v>7</v>
      </c>
      <c r="U23" s="85">
        <f>[12]人員・時間計画!$F$12</f>
        <v>0</v>
      </c>
      <c r="V23" s="85">
        <f>[12]人員・時間計画!$G$25</f>
        <v>180</v>
      </c>
      <c r="W23" s="85">
        <f>[12]人員・時間計画!$G$26</f>
        <v>0</v>
      </c>
      <c r="X23" s="85">
        <f>[12]人員・時間計画!$G$11</f>
        <v>7</v>
      </c>
      <c r="Y23" s="85">
        <f>[12]人員・時間計画!$G$12</f>
        <v>0</v>
      </c>
      <c r="Z23" s="85">
        <f>[12]人員・時間計画!$H$25</f>
        <v>171</v>
      </c>
      <c r="AA23" s="85">
        <f>[12]人員・時間計画!$H$26</f>
        <v>0</v>
      </c>
      <c r="AB23" s="85">
        <f>[12]人員・時間計画!$H$11</f>
        <v>7</v>
      </c>
      <c r="AC23" s="85">
        <f>[12]人員・時間計画!$H$12</f>
        <v>0</v>
      </c>
      <c r="AD23" s="85">
        <f>[12]人員・時間計画!$I$25</f>
        <v>207</v>
      </c>
      <c r="AE23" s="85">
        <f>[12]人員・時間計画!$I$26</f>
        <v>0</v>
      </c>
      <c r="AF23" s="85">
        <f>[12]人員・時間計画!$I$11</f>
        <v>7</v>
      </c>
      <c r="AG23" s="85">
        <f>[12]人員・時間計画!$I$12</f>
        <v>0</v>
      </c>
      <c r="AH23" s="85">
        <f>[12]人員・時間計画!$J$25</f>
        <v>180</v>
      </c>
      <c r="AI23" s="85">
        <f>[12]人員・時間計画!$J$26</f>
        <v>0</v>
      </c>
      <c r="AJ23" s="85">
        <f>[12]人員・時間計画!$J$11</f>
        <v>7</v>
      </c>
      <c r="AK23" s="85">
        <f>[12]人員・時間計画!$J$12</f>
        <v>0</v>
      </c>
      <c r="AL23" s="85">
        <f>[12]人員・時間計画!$K$25</f>
        <v>198</v>
      </c>
      <c r="AM23" s="85">
        <f>[12]人員・時間計画!$K$26</f>
        <v>0</v>
      </c>
      <c r="AN23" s="85">
        <f>[12]人員・時間計画!$K$11</f>
        <v>7</v>
      </c>
      <c r="AO23" s="85">
        <f>[12]人員・時間計画!$K$12</f>
        <v>0</v>
      </c>
      <c r="AP23" s="85">
        <f>[12]人員・時間計画!$L$25</f>
        <v>180</v>
      </c>
      <c r="AQ23" s="85">
        <f>[12]人員・時間計画!$L$26</f>
        <v>0</v>
      </c>
      <c r="AR23" s="85">
        <f>[12]人員・時間計画!$L$11</f>
        <v>7</v>
      </c>
      <c r="AS23" s="85">
        <f>[12]人員・時間計画!$L$12</f>
        <v>0</v>
      </c>
      <c r="AT23" s="85">
        <f>[12]人員・時間計画!$M$25</f>
        <v>135</v>
      </c>
      <c r="AU23" s="85">
        <f>[12]人員・時間計画!$M$26</f>
        <v>0</v>
      </c>
      <c r="AV23" s="85">
        <f>[12]人員・時間計画!$M$11</f>
        <v>7</v>
      </c>
      <c r="AW23" s="85">
        <f>[12]人員・時間計画!$M$12</f>
        <v>0</v>
      </c>
      <c r="AX23" s="85">
        <f>[12]人員・時間計画!$N$25</f>
        <v>180</v>
      </c>
      <c r="AY23" s="85">
        <f>[12]人員・時間計画!$N$26</f>
        <v>0</v>
      </c>
      <c r="AZ23" s="85">
        <f>[12]人員・時間計画!$N$11</f>
        <v>7</v>
      </c>
      <c r="BA23" s="85">
        <f>[12]人員・時間計画!$N$12</f>
        <v>0</v>
      </c>
    </row>
    <row r="24" spans="1:53" ht="18.75" customHeight="1">
      <c r="A24" s="78"/>
      <c r="B24" s="78"/>
      <c r="C24" s="79"/>
      <c r="D24" s="6" t="str">
        <f>IF($A$1=1,Sheet1!C56,Sheet1!B56)</f>
        <v>EI1課</v>
      </c>
      <c r="E24" s="80">
        <v>1412000057</v>
      </c>
      <c r="F24" s="84">
        <f>[13]人員・時間計画!$C$25</f>
        <v>180</v>
      </c>
      <c r="G24" s="84">
        <f>[13]人員・時間計画!$C$26</f>
        <v>0</v>
      </c>
      <c r="H24" s="84">
        <f>[13]人員・時間計画!$C$11</f>
        <v>9</v>
      </c>
      <c r="I24" s="84">
        <f>[13]人員・時間計画!$C$12</f>
        <v>0</v>
      </c>
      <c r="J24" s="84">
        <f>[13]人員・時間計画!$D$25</f>
        <v>178</v>
      </c>
      <c r="K24" s="87">
        <f>[13]人員・時間計画!$D$26</f>
        <v>0</v>
      </c>
      <c r="L24" s="84">
        <f>[13]人員・時間計画!$D$11</f>
        <v>9</v>
      </c>
      <c r="M24" s="87">
        <f>[13]人員・時間計画!$D$12</f>
        <v>0</v>
      </c>
      <c r="N24" s="84">
        <f>[13]人員・時間計画!$E$25</f>
        <v>182</v>
      </c>
      <c r="O24" s="87">
        <f>[13]人員・時間計画!$E$26</f>
        <v>0</v>
      </c>
      <c r="P24" s="84">
        <f>[13]人員・時間計画!$E$11</f>
        <v>9</v>
      </c>
      <c r="Q24" s="87">
        <f>[13]人員・時間計画!$E$12</f>
        <v>0</v>
      </c>
      <c r="R24" s="84">
        <f>[13]人員・時間計画!$F$25</f>
        <v>186</v>
      </c>
      <c r="S24" s="87">
        <f>[13]人員・時間計画!$F$26</f>
        <v>0</v>
      </c>
      <c r="T24" s="84">
        <f>[13]人員・時間計画!$F$11</f>
        <v>9</v>
      </c>
      <c r="U24" s="87">
        <f>[13]人員・時間計画!$F$12</f>
        <v>0</v>
      </c>
      <c r="V24" s="84">
        <f>[13]人員・時間計画!$G$25</f>
        <v>180</v>
      </c>
      <c r="W24" s="87">
        <f>[13]人員・時間計画!$G$26</f>
        <v>0</v>
      </c>
      <c r="X24" s="84">
        <f>[13]人員・時間計画!$G$11</f>
        <v>9</v>
      </c>
      <c r="Y24" s="87">
        <f>[13]人員・時間計画!$G$12</f>
        <v>0</v>
      </c>
      <c r="Z24" s="84">
        <f>[13]人員・時間計画!$H$25</f>
        <v>178</v>
      </c>
      <c r="AA24" s="87">
        <f>[13]人員・時間計画!$H$26</f>
        <v>0</v>
      </c>
      <c r="AB24" s="84">
        <f>[13]人員・時間計画!$H$11</f>
        <v>10</v>
      </c>
      <c r="AC24" s="87">
        <f>[13]人員・時間計画!$H$12</f>
        <v>0</v>
      </c>
      <c r="AD24" s="84">
        <f>[13]人員・時間計画!$I$25</f>
        <v>186</v>
      </c>
      <c r="AE24" s="87">
        <f>[13]人員・時間計画!$I$26</f>
        <v>0</v>
      </c>
      <c r="AF24" s="84">
        <f>[13]人員・時間計画!$I$11</f>
        <v>10</v>
      </c>
      <c r="AG24" s="87">
        <f>[13]人員・時間計画!$I$12</f>
        <v>0</v>
      </c>
      <c r="AH24" s="84">
        <f>[13]人員・時間計画!$J$25</f>
        <v>180</v>
      </c>
      <c r="AI24" s="87">
        <f>[13]人員・時間計画!$J$26</f>
        <v>0</v>
      </c>
      <c r="AJ24" s="84">
        <f>[13]人員・時間計画!$J$11</f>
        <v>10</v>
      </c>
      <c r="AK24" s="87">
        <f>[13]人員・時間計画!$J$12</f>
        <v>0</v>
      </c>
      <c r="AL24" s="84">
        <f>[13]人員・時間計画!$K$25</f>
        <v>184</v>
      </c>
      <c r="AM24" s="87">
        <f>[13]人員・時間計画!$K$26</f>
        <v>0</v>
      </c>
      <c r="AN24" s="84">
        <f>[13]人員・時間計画!$K$11</f>
        <v>10</v>
      </c>
      <c r="AO24" s="87">
        <f>[13]人員・時間計画!$K$12</f>
        <v>0</v>
      </c>
      <c r="AP24" s="84">
        <f>[13]人員・時間計画!$L$25</f>
        <v>180</v>
      </c>
      <c r="AQ24" s="87">
        <f>[13]人員・時間計画!$L$26</f>
        <v>0</v>
      </c>
      <c r="AR24" s="84">
        <f>[13]人員・時間計画!$L$11</f>
        <v>10</v>
      </c>
      <c r="AS24" s="87">
        <f>[13]人員・時間計画!$L$12</f>
        <v>0</v>
      </c>
      <c r="AT24" s="84">
        <f>[13]人員・時間計画!$M$25</f>
        <v>170</v>
      </c>
      <c r="AU24" s="87">
        <f>[13]人員・時間計画!$M$26</f>
        <v>0</v>
      </c>
      <c r="AV24" s="84">
        <f>[13]人員・時間計画!$M$11</f>
        <v>10</v>
      </c>
      <c r="AW24" s="87">
        <f>[13]人員・時間計画!$M$12</f>
        <v>0</v>
      </c>
      <c r="AX24" s="84">
        <f>[13]人員・時間計画!$N$25</f>
        <v>180</v>
      </c>
      <c r="AY24" s="87">
        <f>[13]人員・時間計画!$N$26</f>
        <v>0</v>
      </c>
      <c r="AZ24" s="84">
        <f>[13]人員・時間計画!$N$11</f>
        <v>10</v>
      </c>
      <c r="BA24" s="87">
        <f>[13]人員・時間計画!$N$12</f>
        <v>0</v>
      </c>
    </row>
    <row r="25" spans="1:53" ht="18.75" customHeight="1">
      <c r="A25" s="78"/>
      <c r="B25" s="78"/>
      <c r="C25" s="79"/>
      <c r="D25" s="99" t="str">
        <f>IF($A$1=1,Sheet1!C57,Sheet1!B57)</f>
        <v>EI2課</v>
      </c>
      <c r="E25" s="224"/>
      <c r="F25" s="84">
        <f>[14]人員・時間計画!$C$25</f>
        <v>100</v>
      </c>
      <c r="G25" s="84">
        <f>[14]人員・時間計画!$C$26</f>
        <v>0</v>
      </c>
      <c r="H25" s="84">
        <f>[14]人員・時間計画!$C$11</f>
        <v>7</v>
      </c>
      <c r="I25" s="84">
        <f>[14]人員・時間計画!$C$12</f>
        <v>0</v>
      </c>
      <c r="J25" s="84">
        <f>[14]人員・時間計画!$D$25</f>
        <v>100</v>
      </c>
      <c r="K25" s="84">
        <f>[14]人員・時間計画!$D$26</f>
        <v>0</v>
      </c>
      <c r="L25" s="84">
        <f>[14]人員・時間計画!$D$11</f>
        <v>7</v>
      </c>
      <c r="M25" s="84">
        <f>[14]人員・時間計画!$D$12</f>
        <v>0</v>
      </c>
      <c r="N25" s="84">
        <f>[14]人員・時間計画!$E$25</f>
        <v>100</v>
      </c>
      <c r="O25" s="84">
        <f>[14]人員・時間計画!$E$26</f>
        <v>0</v>
      </c>
      <c r="P25" s="84">
        <f>[14]人員・時間計画!$E$11</f>
        <v>7</v>
      </c>
      <c r="Q25" s="84">
        <f>[14]人員・時間計画!$E$12</f>
        <v>0</v>
      </c>
      <c r="R25" s="84">
        <f>[14]人員・時間計画!$F$25</f>
        <v>100</v>
      </c>
      <c r="S25" s="84">
        <f>[14]人員・時間計画!$F$26</f>
        <v>0</v>
      </c>
      <c r="T25" s="84">
        <f>[14]人員・時間計画!$F$11</f>
        <v>7</v>
      </c>
      <c r="U25" s="84">
        <f>[14]人員・時間計画!$F$12</f>
        <v>0</v>
      </c>
      <c r="V25" s="84">
        <f>[14]人員・時間計画!$G$25</f>
        <v>100</v>
      </c>
      <c r="W25" s="84">
        <f>[14]人員・時間計画!$G$26</f>
        <v>0</v>
      </c>
      <c r="X25" s="84">
        <f>[14]人員・時間計画!$G$11</f>
        <v>7</v>
      </c>
      <c r="Y25" s="84">
        <f>[14]人員・時間計画!$G$12</f>
        <v>0</v>
      </c>
      <c r="Z25" s="84">
        <f>[14]人員・時間計画!$H$25</f>
        <v>100</v>
      </c>
      <c r="AA25" s="84">
        <f>[14]人員・時間計画!$H$26</f>
        <v>0</v>
      </c>
      <c r="AB25" s="84">
        <f>[14]人員・時間計画!$H$11</f>
        <v>8</v>
      </c>
      <c r="AC25" s="84">
        <f>[14]人員・時間計画!$H$12</f>
        <v>0</v>
      </c>
      <c r="AD25" s="84">
        <f>[14]人員・時間計画!$I$25</f>
        <v>100</v>
      </c>
      <c r="AE25" s="84">
        <f>[14]人員・時間計画!$I$26</f>
        <v>0</v>
      </c>
      <c r="AF25" s="84">
        <f>[14]人員・時間計画!$I$11</f>
        <v>8</v>
      </c>
      <c r="AG25" s="84">
        <f>[14]人員・時間計画!$I$12</f>
        <v>0</v>
      </c>
      <c r="AH25" s="84">
        <f>[14]人員・時間計画!$J$25</f>
        <v>100</v>
      </c>
      <c r="AI25" s="84">
        <f>[14]人員・時間計画!$J$26</f>
        <v>0</v>
      </c>
      <c r="AJ25" s="84">
        <f>[14]人員・時間計画!$J$11</f>
        <v>8</v>
      </c>
      <c r="AK25" s="84">
        <f>[14]人員・時間計画!$J$12</f>
        <v>0</v>
      </c>
      <c r="AL25" s="84">
        <f>[14]人員・時間計画!$K$25</f>
        <v>100</v>
      </c>
      <c r="AM25" s="84">
        <f>[14]人員・時間計画!$K$26</f>
        <v>0</v>
      </c>
      <c r="AN25" s="84">
        <f>[14]人員・時間計画!$K$11</f>
        <v>8</v>
      </c>
      <c r="AO25" s="84">
        <f>[14]人員・時間計画!$K$12</f>
        <v>0</v>
      </c>
      <c r="AP25" s="84">
        <f>[14]人員・時間計画!$L$25</f>
        <v>100</v>
      </c>
      <c r="AQ25" s="84">
        <f>[14]人員・時間計画!$L$26</f>
        <v>0</v>
      </c>
      <c r="AR25" s="84">
        <f>[14]人員・時間計画!$L$11</f>
        <v>8</v>
      </c>
      <c r="AS25" s="84">
        <f>[14]人員・時間計画!$L$12</f>
        <v>0</v>
      </c>
      <c r="AT25" s="84">
        <f>[14]人員・時間計画!$M$25</f>
        <v>100</v>
      </c>
      <c r="AU25" s="84">
        <f>[14]人員・時間計画!$M$26</f>
        <v>0</v>
      </c>
      <c r="AV25" s="84">
        <f>[14]人員・時間計画!$M$11</f>
        <v>8</v>
      </c>
      <c r="AW25" s="84">
        <f>[14]人員・時間計画!$M$12</f>
        <v>0</v>
      </c>
      <c r="AX25" s="84">
        <f>[14]人員・時間計画!$N$25</f>
        <v>100</v>
      </c>
      <c r="AY25" s="84">
        <f>[14]人員・時間計画!$N$26</f>
        <v>0</v>
      </c>
      <c r="AZ25" s="84">
        <f>[14]人員・時間計画!$N$11</f>
        <v>8</v>
      </c>
      <c r="BA25" s="84">
        <f>[14]人員・時間計画!$N$12</f>
        <v>0</v>
      </c>
    </row>
    <row r="26" spans="1:53" ht="18.75" customHeight="1">
      <c r="A26" s="78"/>
      <c r="B26" s="78"/>
      <c r="C26" s="79"/>
      <c r="D26" s="6" t="str">
        <f>IF($A$1=1,Sheet1!C58,Sheet1!B58)</f>
        <v>ESD1課</v>
      </c>
      <c r="E26" s="80">
        <v>1412000078</v>
      </c>
      <c r="F26" s="84">
        <f>[15]人員・時間計画!$C$25</f>
        <v>148</v>
      </c>
      <c r="G26" s="84">
        <f>[15]人員・時間計画!$C$26</f>
        <v>0</v>
      </c>
      <c r="H26" s="84">
        <f>[15]人員・時間計画!$C$11</f>
        <v>11</v>
      </c>
      <c r="I26" s="84">
        <f>[15]人員・時間計画!$C$12</f>
        <v>0</v>
      </c>
      <c r="J26" s="84">
        <f>[15]人員・時間計画!$D$25</f>
        <v>146</v>
      </c>
      <c r="K26" s="87">
        <f>[15]人員・時間計画!$D$26</f>
        <v>0</v>
      </c>
      <c r="L26" s="84">
        <f>[15]人員・時間計画!$D$11</f>
        <v>11</v>
      </c>
      <c r="M26" s="87">
        <f>[15]人員・時間計画!$D$12</f>
        <v>0</v>
      </c>
      <c r="N26" s="84">
        <f>[15]人員・時間計画!$E$25</f>
        <v>150</v>
      </c>
      <c r="O26" s="87">
        <f>[15]人員・時間計画!$E$26</f>
        <v>0</v>
      </c>
      <c r="P26" s="84">
        <f>[15]人員・時間計画!$E$11</f>
        <v>11</v>
      </c>
      <c r="Q26" s="87">
        <f>[15]人員・時間計画!$E$12</f>
        <v>0</v>
      </c>
      <c r="R26" s="84">
        <f>[15]人員・時間計画!$F$25</f>
        <v>154</v>
      </c>
      <c r="S26" s="87">
        <f>[15]人員・時間計画!$F$26</f>
        <v>0</v>
      </c>
      <c r="T26" s="84">
        <f>[15]人員・時間計画!$F$11</f>
        <v>11</v>
      </c>
      <c r="U26" s="87">
        <f>[15]人員・時間計画!$F$12</f>
        <v>0</v>
      </c>
      <c r="V26" s="84">
        <f>[15]人員・時間計画!$G$25</f>
        <v>148</v>
      </c>
      <c r="W26" s="87">
        <f>[15]人員・時間計画!$G$26</f>
        <v>0</v>
      </c>
      <c r="X26" s="84">
        <f>[15]人員・時間計画!$G$11</f>
        <v>11</v>
      </c>
      <c r="Y26" s="87">
        <f>[15]人員・時間計画!$G$12</f>
        <v>0</v>
      </c>
      <c r="Z26" s="84">
        <f>[15]人員・時間計画!$H$25</f>
        <v>146</v>
      </c>
      <c r="AA26" s="87">
        <f>[15]人員・時間計画!$H$26</f>
        <v>0</v>
      </c>
      <c r="AB26" s="84">
        <f>[15]人員・時間計画!$H$11</f>
        <v>13</v>
      </c>
      <c r="AC26" s="87">
        <f>[15]人員・時間計画!$H$12</f>
        <v>0</v>
      </c>
      <c r="AD26" s="84">
        <f>[15]人員・時間計画!$I$25</f>
        <v>181</v>
      </c>
      <c r="AE26" s="87">
        <f>[15]人員・時間計画!$I$26</f>
        <v>0</v>
      </c>
      <c r="AF26" s="84">
        <f>[15]人員・時間計画!$I$11</f>
        <v>13</v>
      </c>
      <c r="AG26" s="87">
        <f>[15]人員・時間計画!$I$12</f>
        <v>0</v>
      </c>
      <c r="AH26" s="84">
        <f>[15]人員・時間計画!$J$25</f>
        <v>175</v>
      </c>
      <c r="AI26" s="87">
        <f>[15]人員・時間計画!$J$26</f>
        <v>0</v>
      </c>
      <c r="AJ26" s="84">
        <f>[15]人員・時間計画!$J$11</f>
        <v>13</v>
      </c>
      <c r="AK26" s="87">
        <f>[15]人員・時間計画!$J$12</f>
        <v>0</v>
      </c>
      <c r="AL26" s="84">
        <f>[15]人員・時間計画!$K$25</f>
        <v>179</v>
      </c>
      <c r="AM26" s="87">
        <f>[15]人員・時間計画!$K$26</f>
        <v>0</v>
      </c>
      <c r="AN26" s="84">
        <f>[15]人員・時間計画!$K$11</f>
        <v>13</v>
      </c>
      <c r="AO26" s="87">
        <f>[15]人員・時間計画!$K$12</f>
        <v>0</v>
      </c>
      <c r="AP26" s="84">
        <f>[15]人員・時間計画!$L$25</f>
        <v>175</v>
      </c>
      <c r="AQ26" s="87">
        <f>[15]人員・時間計画!$L$26</f>
        <v>0</v>
      </c>
      <c r="AR26" s="84">
        <f>[15]人員・時間計画!$L$11</f>
        <v>13</v>
      </c>
      <c r="AS26" s="87">
        <f>[15]人員・時間計画!$L$12</f>
        <v>0</v>
      </c>
      <c r="AT26" s="84">
        <f>[15]人員・時間計画!$M$25</f>
        <v>165</v>
      </c>
      <c r="AU26" s="87">
        <f>[15]人員・時間計画!$M$26</f>
        <v>0</v>
      </c>
      <c r="AV26" s="84">
        <f>[15]人員・時間計画!$M$11</f>
        <v>13</v>
      </c>
      <c r="AW26" s="87">
        <f>[15]人員・時間計画!$M$12</f>
        <v>0</v>
      </c>
      <c r="AX26" s="84">
        <f>[15]人員・時間計画!$N$25</f>
        <v>175</v>
      </c>
      <c r="AY26" s="87">
        <f>[15]人員・時間計画!$N$26</f>
        <v>0</v>
      </c>
      <c r="AZ26" s="84">
        <f>[15]人員・時間計画!$N$11</f>
        <v>13</v>
      </c>
      <c r="BA26" s="87">
        <f>[15]人員・時間計画!$N$12</f>
        <v>0</v>
      </c>
    </row>
    <row r="27" spans="1:53" ht="18.75" customHeight="1">
      <c r="A27" s="3"/>
      <c r="B27" s="3"/>
      <c r="C27" s="1"/>
      <c r="D27" s="2" t="str">
        <f>IF($A$1=1,Sheet1!C59,Sheet1!B59)</f>
        <v>ESD2課</v>
      </c>
      <c r="E27" s="2">
        <v>1412000096</v>
      </c>
      <c r="F27" s="85">
        <f>[16]人員・時間計画!$C$25</f>
        <v>160</v>
      </c>
      <c r="G27" s="85">
        <f>[16]人員・時間計画!$C$26</f>
        <v>0</v>
      </c>
      <c r="H27" s="85">
        <f>[16]人員・時間計画!$C$11</f>
        <v>10</v>
      </c>
      <c r="I27" s="85">
        <f>[16]人員・時間計画!$C$12</f>
        <v>0</v>
      </c>
      <c r="J27" s="85">
        <f>[16]人員・時間計画!$D$25</f>
        <v>158</v>
      </c>
      <c r="K27" s="85">
        <f>[16]人員・時間計画!$D$26</f>
        <v>0</v>
      </c>
      <c r="L27" s="85">
        <f>[16]人員・時間計画!$D$11</f>
        <v>10</v>
      </c>
      <c r="M27" s="85">
        <f>[16]人員・時間計画!$D$12</f>
        <v>0</v>
      </c>
      <c r="N27" s="85">
        <f>[16]人員・時間計画!$E$25</f>
        <v>162</v>
      </c>
      <c r="O27" s="85">
        <f>[16]人員・時間計画!$E$26</f>
        <v>0</v>
      </c>
      <c r="P27" s="85">
        <f>[16]人員・時間計画!$E$11</f>
        <v>10</v>
      </c>
      <c r="Q27" s="85">
        <f>[16]人員・時間計画!$E$12</f>
        <v>0</v>
      </c>
      <c r="R27" s="85">
        <f>[16]人員・時間計画!$F$25</f>
        <v>166</v>
      </c>
      <c r="S27" s="85">
        <f>[16]人員・時間計画!$F$26</f>
        <v>0</v>
      </c>
      <c r="T27" s="85">
        <f>[16]人員・時間計画!$F$11</f>
        <v>10</v>
      </c>
      <c r="U27" s="85">
        <f>[16]人員・時間計画!$F$12</f>
        <v>0</v>
      </c>
      <c r="V27" s="85">
        <f>[16]人員・時間計画!$G$25</f>
        <v>160</v>
      </c>
      <c r="W27" s="85">
        <f>[16]人員・時間計画!$G$26</f>
        <v>0</v>
      </c>
      <c r="X27" s="85">
        <f>[16]人員・時間計画!$G$11</f>
        <v>10</v>
      </c>
      <c r="Y27" s="85">
        <f>[16]人員・時間計画!$G$12</f>
        <v>0</v>
      </c>
      <c r="Z27" s="85">
        <f>[16]人員・時間計画!$H$25</f>
        <v>158</v>
      </c>
      <c r="AA27" s="85">
        <f>[16]人員・時間計画!$H$26</f>
        <v>0</v>
      </c>
      <c r="AB27" s="85">
        <f>[16]人員・時間計画!$H$11</f>
        <v>12</v>
      </c>
      <c r="AC27" s="85">
        <f>[16]人員・時間計画!$H$12</f>
        <v>0</v>
      </c>
      <c r="AD27" s="85">
        <f>[16]人員・時間計画!$I$25</f>
        <v>166</v>
      </c>
      <c r="AE27" s="85">
        <f>[16]人員・時間計画!$I$26</f>
        <v>0</v>
      </c>
      <c r="AF27" s="85">
        <f>[16]人員・時間計画!$I$11</f>
        <v>12</v>
      </c>
      <c r="AG27" s="85">
        <f>[16]人員・時間計画!$I$12</f>
        <v>0</v>
      </c>
      <c r="AH27" s="85">
        <f>[16]人員・時間計画!$J$25</f>
        <v>160</v>
      </c>
      <c r="AI27" s="85">
        <f>[16]人員・時間計画!$J$26</f>
        <v>0</v>
      </c>
      <c r="AJ27" s="85">
        <f>[16]人員・時間計画!$J$11</f>
        <v>12</v>
      </c>
      <c r="AK27" s="85">
        <f>[16]人員・時間計画!$J$12</f>
        <v>0</v>
      </c>
      <c r="AL27" s="85">
        <f>[16]人員・時間計画!$K$25</f>
        <v>164</v>
      </c>
      <c r="AM27" s="85">
        <f>[16]人員・時間計画!$K$26</f>
        <v>0</v>
      </c>
      <c r="AN27" s="85">
        <f>[16]人員・時間計画!$K$11</f>
        <v>12</v>
      </c>
      <c r="AO27" s="85">
        <f>[16]人員・時間計画!$K$12</f>
        <v>0</v>
      </c>
      <c r="AP27" s="85">
        <f>[16]人員・時間計画!$L$25</f>
        <v>160</v>
      </c>
      <c r="AQ27" s="85">
        <f>[16]人員・時間計画!$L$26</f>
        <v>0</v>
      </c>
      <c r="AR27" s="85">
        <f>[16]人員・時間計画!$L$11</f>
        <v>12</v>
      </c>
      <c r="AS27" s="85">
        <f>[16]人員・時間計画!$L$12</f>
        <v>0</v>
      </c>
      <c r="AT27" s="85">
        <f>[16]人員・時間計画!$M$25</f>
        <v>150</v>
      </c>
      <c r="AU27" s="85">
        <f>[16]人員・時間計画!$M$26</f>
        <v>0</v>
      </c>
      <c r="AV27" s="85">
        <f>[16]人員・時間計画!$M$11</f>
        <v>12</v>
      </c>
      <c r="AW27" s="85">
        <f>[16]人員・時間計画!$M$12</f>
        <v>0</v>
      </c>
      <c r="AX27" s="85">
        <f>[16]人員・時間計画!$N$25</f>
        <v>160</v>
      </c>
      <c r="AY27" s="85">
        <f>[16]人員・時間計画!$N$26</f>
        <v>0</v>
      </c>
      <c r="AZ27" s="85">
        <f>[16]人員・時間計画!$N$11</f>
        <v>12</v>
      </c>
      <c r="BA27" s="85">
        <f>[16]人員・時間計画!$N$12</f>
        <v>0</v>
      </c>
    </row>
    <row r="29" spans="1:53">
      <c r="B29" t="s">
        <v>218</v>
      </c>
      <c r="F29" s="30">
        <f t="shared" ref="F29:BA29" si="0">SUM(F8:F27)</f>
        <v>2210</v>
      </c>
      <c r="G29" s="30">
        <f t="shared" si="0"/>
        <v>4842</v>
      </c>
      <c r="H29" s="30">
        <f t="shared" si="0"/>
        <v>398</v>
      </c>
      <c r="I29" s="30">
        <f t="shared" si="0"/>
        <v>3902</v>
      </c>
      <c r="J29" s="30">
        <f t="shared" si="0"/>
        <v>2333</v>
      </c>
      <c r="K29" s="30">
        <f t="shared" si="0"/>
        <v>6297</v>
      </c>
      <c r="L29" s="30">
        <f t="shared" si="0"/>
        <v>398</v>
      </c>
      <c r="M29" s="30">
        <f t="shared" si="0"/>
        <v>3855</v>
      </c>
      <c r="N29" s="30">
        <f t="shared" si="0"/>
        <v>2356</v>
      </c>
      <c r="O29" s="30">
        <f t="shared" si="0"/>
        <v>5103</v>
      </c>
      <c r="P29" s="30">
        <f t="shared" si="0"/>
        <v>398</v>
      </c>
      <c r="Q29" s="30">
        <f t="shared" si="0"/>
        <v>3721</v>
      </c>
      <c r="R29" s="30">
        <f t="shared" si="0"/>
        <v>2882</v>
      </c>
      <c r="S29" s="30">
        <f t="shared" si="0"/>
        <v>7672</v>
      </c>
      <c r="T29" s="30">
        <f t="shared" si="0"/>
        <v>431</v>
      </c>
      <c r="U29" s="30">
        <f t="shared" si="0"/>
        <v>4208</v>
      </c>
      <c r="V29" s="30">
        <f t="shared" si="0"/>
        <v>3013</v>
      </c>
      <c r="W29" s="30">
        <f t="shared" si="0"/>
        <v>14047</v>
      </c>
      <c r="X29" s="30">
        <f t="shared" si="0"/>
        <v>431</v>
      </c>
      <c r="Y29" s="30">
        <f t="shared" si="0"/>
        <v>4391</v>
      </c>
      <c r="Z29" s="30">
        <f t="shared" si="0"/>
        <v>4199</v>
      </c>
      <c r="AA29" s="30">
        <f t="shared" si="0"/>
        <v>38671</v>
      </c>
      <c r="AB29" s="30">
        <f t="shared" si="0"/>
        <v>438</v>
      </c>
      <c r="AC29" s="30">
        <f t="shared" si="0"/>
        <v>4604</v>
      </c>
      <c r="AD29" s="30">
        <f t="shared" si="0"/>
        <v>2615</v>
      </c>
      <c r="AE29" s="30">
        <f t="shared" si="0"/>
        <v>9603</v>
      </c>
      <c r="AF29" s="30">
        <f t="shared" si="0"/>
        <v>438</v>
      </c>
      <c r="AG29" s="30">
        <f t="shared" si="0"/>
        <v>4947</v>
      </c>
      <c r="AH29" s="30">
        <f t="shared" si="0"/>
        <v>3119</v>
      </c>
      <c r="AI29" s="30">
        <f t="shared" si="0"/>
        <v>19403</v>
      </c>
      <c r="AJ29" s="30">
        <f t="shared" si="0"/>
        <v>438</v>
      </c>
      <c r="AK29" s="30">
        <f t="shared" si="0"/>
        <v>5055</v>
      </c>
      <c r="AL29" s="30">
        <f t="shared" si="0"/>
        <v>3075</v>
      </c>
      <c r="AM29" s="30">
        <f t="shared" si="0"/>
        <v>17671</v>
      </c>
      <c r="AN29" s="30">
        <f t="shared" si="0"/>
        <v>438</v>
      </c>
      <c r="AO29" s="30">
        <f t="shared" si="0"/>
        <v>4996</v>
      </c>
      <c r="AP29" s="30">
        <f t="shared" si="0"/>
        <v>3525</v>
      </c>
      <c r="AQ29" s="30">
        <f t="shared" si="0"/>
        <v>27376</v>
      </c>
      <c r="AR29" s="30">
        <f t="shared" si="0"/>
        <v>471</v>
      </c>
      <c r="AS29" s="30">
        <f t="shared" si="0"/>
        <v>5211</v>
      </c>
      <c r="AT29" s="30">
        <f t="shared" si="0"/>
        <v>6291</v>
      </c>
      <c r="AU29" s="30">
        <f t="shared" si="0"/>
        <v>67161</v>
      </c>
      <c r="AV29" s="30">
        <f t="shared" si="0"/>
        <v>471</v>
      </c>
      <c r="AW29" s="30">
        <f t="shared" si="0"/>
        <v>5632</v>
      </c>
      <c r="AX29" s="30">
        <f t="shared" si="0"/>
        <v>4149</v>
      </c>
      <c r="AY29" s="30">
        <f t="shared" si="0"/>
        <v>34874</v>
      </c>
      <c r="AZ29" s="30">
        <f t="shared" si="0"/>
        <v>471</v>
      </c>
      <c r="BA29" s="30">
        <f t="shared" si="0"/>
        <v>5165</v>
      </c>
    </row>
    <row r="30" spans="1:53">
      <c r="J30" s="30"/>
      <c r="N30" s="30"/>
      <c r="R30" s="30"/>
      <c r="V30" s="30"/>
      <c r="Z30" s="30"/>
      <c r="AD30" s="30"/>
      <c r="AH30" s="30"/>
      <c r="AL30" s="30"/>
      <c r="AP30" s="30"/>
      <c r="AT30" s="30"/>
      <c r="AX30" s="30"/>
    </row>
    <row r="31" spans="1:53">
      <c r="F31" s="30">
        <v>2210</v>
      </c>
      <c r="G31" s="30">
        <v>4842</v>
      </c>
      <c r="H31" s="31">
        <v>398</v>
      </c>
      <c r="I31" s="31">
        <v>3902</v>
      </c>
      <c r="J31">
        <v>2333</v>
      </c>
      <c r="K31">
        <v>6297</v>
      </c>
      <c r="L31">
        <v>398</v>
      </c>
      <c r="M31">
        <v>3855</v>
      </c>
      <c r="N31">
        <v>2356</v>
      </c>
      <c r="O31">
        <v>5103</v>
      </c>
      <c r="P31">
        <v>398</v>
      </c>
      <c r="Q31">
        <v>3721</v>
      </c>
      <c r="R31">
        <v>2882</v>
      </c>
      <c r="S31">
        <v>7672</v>
      </c>
      <c r="T31">
        <v>431</v>
      </c>
      <c r="U31">
        <v>4208</v>
      </c>
      <c r="V31">
        <v>3013</v>
      </c>
      <c r="W31">
        <v>14047</v>
      </c>
      <c r="X31">
        <v>431</v>
      </c>
      <c r="Y31">
        <v>4391</v>
      </c>
      <c r="Z31">
        <v>4199</v>
      </c>
      <c r="AA31">
        <v>38671</v>
      </c>
      <c r="AB31">
        <v>438</v>
      </c>
      <c r="AC31">
        <v>4604</v>
      </c>
      <c r="AD31">
        <v>2615</v>
      </c>
      <c r="AE31">
        <v>9603</v>
      </c>
      <c r="AF31">
        <v>438</v>
      </c>
      <c r="AG31">
        <v>4947</v>
      </c>
      <c r="AH31">
        <v>3119</v>
      </c>
      <c r="AI31">
        <v>19403</v>
      </c>
      <c r="AJ31">
        <v>438</v>
      </c>
      <c r="AK31">
        <v>5055</v>
      </c>
      <c r="AL31">
        <v>3075</v>
      </c>
      <c r="AM31">
        <v>17671</v>
      </c>
      <c r="AN31">
        <v>438</v>
      </c>
      <c r="AO31">
        <v>4996</v>
      </c>
      <c r="AP31">
        <v>3525</v>
      </c>
      <c r="AQ31">
        <v>27376</v>
      </c>
      <c r="AR31">
        <v>471</v>
      </c>
      <c r="AS31">
        <v>5211</v>
      </c>
      <c r="AT31">
        <v>3851</v>
      </c>
      <c r="AU31">
        <v>27457</v>
      </c>
      <c r="AV31">
        <v>471</v>
      </c>
      <c r="AW31">
        <v>5632</v>
      </c>
      <c r="AX31">
        <v>4149</v>
      </c>
      <c r="AY31">
        <v>34874</v>
      </c>
      <c r="AZ31">
        <v>471</v>
      </c>
      <c r="BA31">
        <v>5165</v>
      </c>
    </row>
    <row r="33" spans="6:53">
      <c r="F33" s="30">
        <f>F29-F31</f>
        <v>0</v>
      </c>
      <c r="G33" s="30">
        <f t="shared" ref="G33:BA33" si="1">G29-G31</f>
        <v>0</v>
      </c>
      <c r="H33" s="30">
        <f t="shared" si="1"/>
        <v>0</v>
      </c>
      <c r="I33" s="30">
        <f t="shared" si="1"/>
        <v>0</v>
      </c>
      <c r="J33" s="30">
        <f t="shared" si="1"/>
        <v>0</v>
      </c>
      <c r="K33" s="30">
        <f t="shared" si="1"/>
        <v>0</v>
      </c>
      <c r="L33" s="30">
        <f t="shared" si="1"/>
        <v>0</v>
      </c>
      <c r="M33" s="30">
        <f t="shared" si="1"/>
        <v>0</v>
      </c>
      <c r="N33" s="30">
        <f t="shared" si="1"/>
        <v>0</v>
      </c>
      <c r="O33" s="30">
        <f t="shared" si="1"/>
        <v>0</v>
      </c>
      <c r="P33" s="30">
        <f t="shared" si="1"/>
        <v>0</v>
      </c>
      <c r="Q33" s="30">
        <f t="shared" si="1"/>
        <v>0</v>
      </c>
      <c r="R33" s="30">
        <f t="shared" si="1"/>
        <v>0</v>
      </c>
      <c r="S33" s="30">
        <f t="shared" si="1"/>
        <v>0</v>
      </c>
      <c r="T33" s="30">
        <f t="shared" si="1"/>
        <v>0</v>
      </c>
      <c r="U33" s="30">
        <f t="shared" si="1"/>
        <v>0</v>
      </c>
      <c r="V33" s="30">
        <f t="shared" si="1"/>
        <v>0</v>
      </c>
      <c r="W33" s="30">
        <f t="shared" si="1"/>
        <v>0</v>
      </c>
      <c r="X33" s="30">
        <f t="shared" si="1"/>
        <v>0</v>
      </c>
      <c r="Y33" s="30">
        <f t="shared" si="1"/>
        <v>0</v>
      </c>
      <c r="Z33" s="30">
        <f t="shared" si="1"/>
        <v>0</v>
      </c>
      <c r="AA33" s="30">
        <f t="shared" si="1"/>
        <v>0</v>
      </c>
      <c r="AB33" s="30">
        <f t="shared" si="1"/>
        <v>0</v>
      </c>
      <c r="AC33" s="30">
        <f t="shared" si="1"/>
        <v>0</v>
      </c>
      <c r="AD33" s="30">
        <f t="shared" si="1"/>
        <v>0</v>
      </c>
      <c r="AE33" s="30">
        <f t="shared" si="1"/>
        <v>0</v>
      </c>
      <c r="AF33" s="30">
        <f t="shared" si="1"/>
        <v>0</v>
      </c>
      <c r="AG33" s="30">
        <f t="shared" si="1"/>
        <v>0</v>
      </c>
      <c r="AH33" s="30">
        <f t="shared" si="1"/>
        <v>0</v>
      </c>
      <c r="AI33" s="30">
        <f t="shared" si="1"/>
        <v>0</v>
      </c>
      <c r="AJ33" s="30">
        <f t="shared" si="1"/>
        <v>0</v>
      </c>
      <c r="AK33" s="30">
        <f t="shared" si="1"/>
        <v>0</v>
      </c>
      <c r="AL33" s="30">
        <f t="shared" si="1"/>
        <v>0</v>
      </c>
      <c r="AM33" s="30">
        <f t="shared" si="1"/>
        <v>0</v>
      </c>
      <c r="AN33" s="30">
        <f t="shared" si="1"/>
        <v>0</v>
      </c>
      <c r="AO33" s="30">
        <f t="shared" si="1"/>
        <v>0</v>
      </c>
      <c r="AP33" s="30">
        <f t="shared" si="1"/>
        <v>0</v>
      </c>
      <c r="AQ33" s="30">
        <f t="shared" si="1"/>
        <v>0</v>
      </c>
      <c r="AR33" s="30">
        <f t="shared" si="1"/>
        <v>0</v>
      </c>
      <c r="AS33" s="30">
        <f t="shared" si="1"/>
        <v>0</v>
      </c>
      <c r="AT33" s="30">
        <f t="shared" si="1"/>
        <v>2440</v>
      </c>
      <c r="AU33" s="30">
        <f t="shared" si="1"/>
        <v>39704</v>
      </c>
      <c r="AV33" s="30">
        <f t="shared" si="1"/>
        <v>0</v>
      </c>
      <c r="AW33" s="30">
        <f t="shared" si="1"/>
        <v>0</v>
      </c>
      <c r="AX33" s="30">
        <f t="shared" si="1"/>
        <v>0</v>
      </c>
      <c r="AY33" s="30">
        <f t="shared" si="1"/>
        <v>0</v>
      </c>
      <c r="AZ33" s="30">
        <f t="shared" si="1"/>
        <v>0</v>
      </c>
      <c r="BA33" s="30">
        <f t="shared" si="1"/>
        <v>0</v>
      </c>
    </row>
  </sheetData>
  <autoFilter ref="A6:BA29" xr:uid="{00000000-0009-0000-0000-000000000000}"/>
  <conditionalFormatting sqref="F8:I9 N8:BA9">
    <cfRule type="cellIs" dxfId="15" priority="62" operator="equal">
      <formula>0</formula>
    </cfRule>
  </conditionalFormatting>
  <conditionalFormatting sqref="F7:BA27">
    <cfRule type="cellIs" dxfId="14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6"/>
  <sheetViews>
    <sheetView zoomScaleNormal="100" workbookViewId="0">
      <pane xSplit="5" ySplit="6" topLeftCell="K21" activePane="bottomRight" state="frozen"/>
      <selection pane="topRight" activeCell="F1" sqref="F1"/>
      <selection pane="bottomLeft" activeCell="A4" sqref="A4"/>
      <selection pane="bottomRight" activeCell="K54" sqref="K54"/>
    </sheetView>
  </sheetViews>
  <sheetFormatPr defaultRowHeight="13"/>
  <cols>
    <col min="1" max="1" width="4.08984375" customWidth="1"/>
    <col min="3" max="3" width="16.6328125" customWidth="1"/>
    <col min="4" max="4" width="25" bestFit="1" customWidth="1"/>
    <col min="5" max="5" width="10.08984375" customWidth="1"/>
    <col min="6" max="6" width="15.26953125" customWidth="1"/>
    <col min="7" max="7" width="16.26953125" customWidth="1"/>
    <col min="8" max="9" width="14" customWidth="1"/>
    <col min="10" max="11" width="15" customWidth="1"/>
    <col min="12" max="25" width="12" customWidth="1"/>
    <col min="26" max="27" width="14.90625" customWidth="1"/>
    <col min="28" max="29" width="12" customWidth="1"/>
    <col min="30" max="31" width="14.7265625" customWidth="1"/>
    <col min="32" max="33" width="12" customWidth="1"/>
    <col min="34" max="35" width="15.08984375" customWidth="1"/>
    <col min="36" max="37" width="12" customWidth="1"/>
    <col min="38" max="39" width="15.26953125" customWidth="1"/>
    <col min="40" max="41" width="12" customWidth="1"/>
    <col min="42" max="43" width="15" customWidth="1"/>
    <col min="44" max="45" width="12" customWidth="1"/>
    <col min="46" max="47" width="14.90625" customWidth="1"/>
    <col min="48" max="49" width="12" customWidth="1"/>
    <col min="50" max="51" width="15.453125" customWidth="1"/>
    <col min="52" max="53" width="12" customWidth="1"/>
  </cols>
  <sheetData>
    <row r="1" spans="1:53" ht="19">
      <c r="A1" s="18">
        <v>1</v>
      </c>
      <c r="B1" s="17" t="s">
        <v>4</v>
      </c>
      <c r="F1" s="42">
        <v>4</v>
      </c>
      <c r="G1" s="43"/>
      <c r="H1" s="43"/>
      <c r="I1" s="44"/>
      <c r="J1" s="45">
        <v>5</v>
      </c>
      <c r="K1" s="46"/>
      <c r="L1" s="46"/>
      <c r="M1" s="47"/>
      <c r="N1" s="48">
        <v>6</v>
      </c>
      <c r="O1" s="49"/>
      <c r="P1" s="49"/>
      <c r="Q1" s="50"/>
      <c r="R1" s="51">
        <v>7</v>
      </c>
      <c r="S1" s="52"/>
      <c r="T1" s="52"/>
      <c r="U1" s="53"/>
      <c r="V1" s="54">
        <v>8</v>
      </c>
      <c r="W1" s="55"/>
      <c r="X1" s="55"/>
      <c r="Y1" s="56"/>
      <c r="Z1" s="57">
        <v>9</v>
      </c>
      <c r="AA1" s="58"/>
      <c r="AB1" s="58"/>
      <c r="AC1" s="59"/>
      <c r="AD1" s="60">
        <v>10</v>
      </c>
      <c r="AE1" s="61"/>
      <c r="AF1" s="61"/>
      <c r="AG1" s="62"/>
      <c r="AH1" s="63">
        <v>11</v>
      </c>
      <c r="AI1" s="64"/>
      <c r="AJ1" s="64"/>
      <c r="AK1" s="65"/>
      <c r="AL1" s="66">
        <v>12</v>
      </c>
      <c r="AM1" s="67"/>
      <c r="AN1" s="67"/>
      <c r="AO1" s="68"/>
      <c r="AP1" s="69">
        <v>1</v>
      </c>
      <c r="AQ1" s="70"/>
      <c r="AR1" s="70"/>
      <c r="AS1" s="71"/>
      <c r="AT1" s="72">
        <v>2</v>
      </c>
      <c r="AU1" s="73"/>
      <c r="AV1" s="73"/>
      <c r="AW1" s="74"/>
      <c r="AX1" s="75">
        <v>3</v>
      </c>
      <c r="AY1" s="76"/>
      <c r="AZ1" s="76"/>
      <c r="BA1" s="77"/>
    </row>
    <row r="2" spans="1:53" ht="52">
      <c r="F2" s="37" t="s">
        <v>158</v>
      </c>
      <c r="G2" s="38"/>
      <c r="H2" s="39" t="s">
        <v>159</v>
      </c>
      <c r="I2" s="40"/>
      <c r="J2" s="41" t="s">
        <v>160</v>
      </c>
      <c r="K2" s="38"/>
      <c r="L2" s="39" t="s">
        <v>161</v>
      </c>
      <c r="M2" s="40"/>
      <c r="N2" s="37" t="s">
        <v>162</v>
      </c>
      <c r="O2" s="38"/>
      <c r="P2" s="39" t="s">
        <v>163</v>
      </c>
      <c r="Q2" s="40"/>
      <c r="R2" s="37" t="s">
        <v>164</v>
      </c>
      <c r="S2" s="38"/>
      <c r="T2" s="39" t="s">
        <v>165</v>
      </c>
      <c r="U2" s="40"/>
      <c r="V2" s="37" t="s">
        <v>166</v>
      </c>
      <c r="W2" s="38"/>
      <c r="X2" s="39" t="s">
        <v>167</v>
      </c>
      <c r="Y2" s="40"/>
      <c r="Z2" s="37" t="s">
        <v>168</v>
      </c>
      <c r="AA2" s="38"/>
      <c r="AB2" s="39" t="s">
        <v>169</v>
      </c>
      <c r="AC2" s="40"/>
      <c r="AD2" s="37" t="s">
        <v>170</v>
      </c>
      <c r="AE2" s="38"/>
      <c r="AF2" s="39" t="s">
        <v>171</v>
      </c>
      <c r="AG2" s="40"/>
      <c r="AH2" s="37" t="s">
        <v>172</v>
      </c>
      <c r="AI2" s="38"/>
      <c r="AJ2" s="39" t="s">
        <v>173</v>
      </c>
      <c r="AK2" s="40"/>
      <c r="AL2" s="37" t="s">
        <v>174</v>
      </c>
      <c r="AM2" s="38"/>
      <c r="AN2" s="39" t="s">
        <v>175</v>
      </c>
      <c r="AO2" s="40"/>
      <c r="AP2" s="37" t="s">
        <v>176</v>
      </c>
      <c r="AQ2" s="38"/>
      <c r="AR2" s="39" t="s">
        <v>177</v>
      </c>
      <c r="AS2" s="40"/>
      <c r="AT2" s="37" t="s">
        <v>178</v>
      </c>
      <c r="AU2" s="38"/>
      <c r="AV2" s="39" t="s">
        <v>179</v>
      </c>
      <c r="AW2" s="40"/>
      <c r="AX2" s="37" t="s">
        <v>180</v>
      </c>
      <c r="AY2" s="38"/>
      <c r="AZ2" s="39" t="s">
        <v>181</v>
      </c>
      <c r="BA2" s="40"/>
    </row>
    <row r="3" spans="1:53">
      <c r="F3" s="14">
        <v>4</v>
      </c>
      <c r="G3" s="14">
        <v>4</v>
      </c>
      <c r="H3" s="14">
        <v>4</v>
      </c>
      <c r="I3" s="32">
        <v>4</v>
      </c>
      <c r="J3" s="14">
        <v>5</v>
      </c>
      <c r="K3" s="14">
        <v>5</v>
      </c>
      <c r="L3" s="14">
        <v>5</v>
      </c>
      <c r="M3" s="32">
        <v>5</v>
      </c>
      <c r="N3" s="14">
        <v>6</v>
      </c>
      <c r="O3" s="14">
        <v>6</v>
      </c>
      <c r="P3" s="14">
        <v>6</v>
      </c>
      <c r="Q3" s="32">
        <v>6</v>
      </c>
      <c r="R3" s="14">
        <v>7</v>
      </c>
      <c r="S3" s="14">
        <v>7</v>
      </c>
      <c r="T3" s="14">
        <v>7</v>
      </c>
      <c r="U3" s="32">
        <v>7</v>
      </c>
      <c r="V3" s="14">
        <v>8</v>
      </c>
      <c r="W3" s="14">
        <v>8</v>
      </c>
      <c r="X3" s="14">
        <v>8</v>
      </c>
      <c r="Y3" s="32">
        <v>8</v>
      </c>
      <c r="Z3" s="14">
        <v>9</v>
      </c>
      <c r="AA3" s="14">
        <v>9</v>
      </c>
      <c r="AB3" s="14">
        <v>9</v>
      </c>
      <c r="AC3" s="32">
        <v>9</v>
      </c>
      <c r="AD3" s="14">
        <v>10</v>
      </c>
      <c r="AE3" s="14">
        <v>10</v>
      </c>
      <c r="AF3" s="14">
        <v>10</v>
      </c>
      <c r="AG3" s="32">
        <v>10</v>
      </c>
      <c r="AH3" s="34">
        <v>11</v>
      </c>
      <c r="AI3" s="14">
        <v>11</v>
      </c>
      <c r="AJ3" s="14">
        <v>11</v>
      </c>
      <c r="AK3" s="32">
        <v>11</v>
      </c>
      <c r="AL3" s="14">
        <v>12</v>
      </c>
      <c r="AM3" s="14">
        <v>12</v>
      </c>
      <c r="AN3" s="14">
        <v>12</v>
      </c>
      <c r="AO3" s="32">
        <v>12</v>
      </c>
      <c r="AP3" s="14">
        <v>1</v>
      </c>
      <c r="AQ3" s="14">
        <v>1</v>
      </c>
      <c r="AR3" s="14">
        <v>1</v>
      </c>
      <c r="AS3" s="32">
        <v>1</v>
      </c>
      <c r="AT3" s="14">
        <v>2</v>
      </c>
      <c r="AU3" s="14">
        <v>2</v>
      </c>
      <c r="AV3" s="14">
        <v>2</v>
      </c>
      <c r="AW3" s="32">
        <v>2</v>
      </c>
      <c r="AX3" s="14">
        <v>3</v>
      </c>
      <c r="AY3" s="14">
        <v>3</v>
      </c>
      <c r="AZ3" s="14">
        <v>3</v>
      </c>
      <c r="BA3" s="32">
        <v>3</v>
      </c>
    </row>
    <row r="4" spans="1:53">
      <c r="F4" s="14" t="s">
        <v>71</v>
      </c>
      <c r="G4" s="14" t="s">
        <v>71</v>
      </c>
      <c r="H4" s="14" t="s">
        <v>3</v>
      </c>
      <c r="I4" s="32" t="s">
        <v>3</v>
      </c>
      <c r="J4" s="14" t="s">
        <v>71</v>
      </c>
      <c r="K4" s="14" t="s">
        <v>71</v>
      </c>
      <c r="L4" s="14" t="s">
        <v>3</v>
      </c>
      <c r="M4" s="32" t="s">
        <v>3</v>
      </c>
      <c r="N4" s="14" t="s">
        <v>71</v>
      </c>
      <c r="O4" s="14" t="s">
        <v>71</v>
      </c>
      <c r="P4" s="14" t="s">
        <v>3</v>
      </c>
      <c r="Q4" s="32" t="s">
        <v>3</v>
      </c>
      <c r="R4" s="14" t="s">
        <v>71</v>
      </c>
      <c r="S4" s="14" t="s">
        <v>71</v>
      </c>
      <c r="T4" s="14" t="s">
        <v>3</v>
      </c>
      <c r="U4" s="32" t="s">
        <v>3</v>
      </c>
      <c r="V4" s="14" t="s">
        <v>71</v>
      </c>
      <c r="W4" s="14" t="s">
        <v>71</v>
      </c>
      <c r="X4" s="14" t="s">
        <v>3</v>
      </c>
      <c r="Y4" s="32" t="s">
        <v>3</v>
      </c>
      <c r="Z4" s="14" t="s">
        <v>71</v>
      </c>
      <c r="AA4" s="14" t="s">
        <v>71</v>
      </c>
      <c r="AB4" s="14" t="s">
        <v>3</v>
      </c>
      <c r="AC4" s="32" t="s">
        <v>3</v>
      </c>
      <c r="AD4" s="14" t="s">
        <v>71</v>
      </c>
      <c r="AE4" s="14" t="s">
        <v>71</v>
      </c>
      <c r="AF4" s="14" t="s">
        <v>3</v>
      </c>
      <c r="AG4" s="32" t="s">
        <v>3</v>
      </c>
      <c r="AH4" s="14" t="s">
        <v>71</v>
      </c>
      <c r="AI4" s="14" t="s">
        <v>71</v>
      </c>
      <c r="AJ4" s="14" t="s">
        <v>3</v>
      </c>
      <c r="AK4" s="32" t="s">
        <v>3</v>
      </c>
      <c r="AL4" s="14" t="s">
        <v>71</v>
      </c>
      <c r="AM4" s="14" t="s">
        <v>71</v>
      </c>
      <c r="AN4" s="14" t="s">
        <v>3</v>
      </c>
      <c r="AO4" s="32" t="s">
        <v>3</v>
      </c>
      <c r="AP4" s="14" t="s">
        <v>71</v>
      </c>
      <c r="AQ4" s="14" t="s">
        <v>71</v>
      </c>
      <c r="AR4" s="14" t="s">
        <v>3</v>
      </c>
      <c r="AS4" s="32" t="s">
        <v>3</v>
      </c>
      <c r="AT4" s="14" t="s">
        <v>71</v>
      </c>
      <c r="AU4" s="14" t="s">
        <v>71</v>
      </c>
      <c r="AV4" s="14" t="s">
        <v>3</v>
      </c>
      <c r="AW4" s="32" t="s">
        <v>3</v>
      </c>
      <c r="AX4" s="14" t="s">
        <v>71</v>
      </c>
      <c r="AY4" s="14" t="s">
        <v>71</v>
      </c>
      <c r="AZ4" s="14" t="s">
        <v>3</v>
      </c>
      <c r="BA4" s="32" t="s">
        <v>3</v>
      </c>
    </row>
    <row r="5" spans="1:53">
      <c r="F5" s="29" t="s">
        <v>139</v>
      </c>
      <c r="G5" s="29" t="s">
        <v>140</v>
      </c>
      <c r="H5" s="29" t="s">
        <v>139</v>
      </c>
      <c r="I5" s="33" t="s">
        <v>140</v>
      </c>
      <c r="J5" s="29" t="s">
        <v>139</v>
      </c>
      <c r="K5" s="29" t="s">
        <v>140</v>
      </c>
      <c r="L5" s="29" t="s">
        <v>139</v>
      </c>
      <c r="M5" s="33" t="s">
        <v>140</v>
      </c>
      <c r="N5" s="29" t="s">
        <v>139</v>
      </c>
      <c r="O5" s="29" t="s">
        <v>140</v>
      </c>
      <c r="P5" s="29" t="s">
        <v>139</v>
      </c>
      <c r="Q5" s="33" t="s">
        <v>140</v>
      </c>
      <c r="R5" s="29" t="s">
        <v>139</v>
      </c>
      <c r="S5" s="29" t="s">
        <v>140</v>
      </c>
      <c r="T5" s="29" t="s">
        <v>139</v>
      </c>
      <c r="U5" s="33" t="s">
        <v>140</v>
      </c>
      <c r="V5" s="29" t="s">
        <v>139</v>
      </c>
      <c r="W5" s="29" t="s">
        <v>140</v>
      </c>
      <c r="X5" s="29" t="s">
        <v>139</v>
      </c>
      <c r="Y5" s="33" t="s">
        <v>140</v>
      </c>
      <c r="Z5" s="29" t="s">
        <v>139</v>
      </c>
      <c r="AA5" s="29" t="s">
        <v>140</v>
      </c>
      <c r="AB5" s="29" t="s">
        <v>139</v>
      </c>
      <c r="AC5" s="33" t="s">
        <v>140</v>
      </c>
      <c r="AD5" s="29" t="s">
        <v>139</v>
      </c>
      <c r="AE5" s="29" t="s">
        <v>140</v>
      </c>
      <c r="AF5" s="29" t="s">
        <v>139</v>
      </c>
      <c r="AG5" s="33" t="s">
        <v>140</v>
      </c>
      <c r="AH5" s="29" t="s">
        <v>139</v>
      </c>
      <c r="AI5" s="29" t="s">
        <v>140</v>
      </c>
      <c r="AJ5" s="29" t="s">
        <v>139</v>
      </c>
      <c r="AK5" s="33" t="s">
        <v>140</v>
      </c>
      <c r="AL5" s="29" t="s">
        <v>139</v>
      </c>
      <c r="AM5" s="29" t="s">
        <v>140</v>
      </c>
      <c r="AN5" s="29" t="s">
        <v>139</v>
      </c>
      <c r="AO5" s="33" t="s">
        <v>140</v>
      </c>
      <c r="AP5" s="29" t="s">
        <v>139</v>
      </c>
      <c r="AQ5" s="29" t="s">
        <v>140</v>
      </c>
      <c r="AR5" s="29" t="s">
        <v>139</v>
      </c>
      <c r="AS5" s="33" t="s">
        <v>140</v>
      </c>
      <c r="AT5" s="29" t="s">
        <v>139</v>
      </c>
      <c r="AU5" s="29" t="s">
        <v>140</v>
      </c>
      <c r="AV5" s="29" t="s">
        <v>139</v>
      </c>
      <c r="AW5" s="33" t="s">
        <v>140</v>
      </c>
      <c r="AX5" s="29" t="s">
        <v>139</v>
      </c>
      <c r="AY5" s="29" t="s">
        <v>140</v>
      </c>
      <c r="AZ5" s="29" t="s">
        <v>139</v>
      </c>
      <c r="BA5" s="33" t="s">
        <v>140</v>
      </c>
    </row>
    <row r="6" spans="1:53" ht="33.75" customHeight="1">
      <c r="A6" s="16"/>
      <c r="B6" s="15" t="s">
        <v>2</v>
      </c>
      <c r="C6" s="15" t="s">
        <v>1</v>
      </c>
      <c r="D6" s="15" t="s">
        <v>0</v>
      </c>
      <c r="E6" s="15" t="s">
        <v>70</v>
      </c>
      <c r="F6" s="25" t="s">
        <v>72</v>
      </c>
      <c r="G6" s="26" t="s">
        <v>73</v>
      </c>
      <c r="H6" s="25" t="s">
        <v>72</v>
      </c>
      <c r="I6" s="26" t="s">
        <v>73</v>
      </c>
      <c r="J6" s="25" t="s">
        <v>72</v>
      </c>
      <c r="K6" s="26" t="s">
        <v>73</v>
      </c>
      <c r="L6" s="25" t="s">
        <v>72</v>
      </c>
      <c r="M6" s="26" t="s">
        <v>73</v>
      </c>
      <c r="N6" s="25" t="s">
        <v>72</v>
      </c>
      <c r="O6" s="26" t="s">
        <v>73</v>
      </c>
      <c r="P6" s="25" t="s">
        <v>72</v>
      </c>
      <c r="Q6" s="26" t="s">
        <v>73</v>
      </c>
      <c r="R6" s="25" t="s">
        <v>72</v>
      </c>
      <c r="S6" s="26" t="s">
        <v>73</v>
      </c>
      <c r="T6" s="25" t="s">
        <v>72</v>
      </c>
      <c r="U6" s="26" t="s">
        <v>73</v>
      </c>
      <c r="V6" s="25" t="s">
        <v>72</v>
      </c>
      <c r="W6" s="26" t="s">
        <v>73</v>
      </c>
      <c r="X6" s="25" t="s">
        <v>72</v>
      </c>
      <c r="Y6" s="26" t="s">
        <v>73</v>
      </c>
      <c r="Z6" s="25" t="s">
        <v>72</v>
      </c>
      <c r="AA6" s="26" t="s">
        <v>73</v>
      </c>
      <c r="AB6" s="25" t="s">
        <v>72</v>
      </c>
      <c r="AC6" s="26" t="s">
        <v>73</v>
      </c>
      <c r="AD6" s="25" t="s">
        <v>72</v>
      </c>
      <c r="AE6" s="26" t="s">
        <v>73</v>
      </c>
      <c r="AF6" s="25" t="s">
        <v>72</v>
      </c>
      <c r="AG6" s="26" t="s">
        <v>73</v>
      </c>
      <c r="AH6" s="25" t="s">
        <v>72</v>
      </c>
      <c r="AI6" s="26" t="s">
        <v>73</v>
      </c>
      <c r="AJ6" s="25" t="s">
        <v>72</v>
      </c>
      <c r="AK6" s="26" t="s">
        <v>73</v>
      </c>
      <c r="AL6" s="25" t="s">
        <v>72</v>
      </c>
      <c r="AM6" s="26" t="s">
        <v>73</v>
      </c>
      <c r="AN6" s="25" t="s">
        <v>72</v>
      </c>
      <c r="AO6" s="26" t="s">
        <v>73</v>
      </c>
      <c r="AP6" s="25" t="s">
        <v>72</v>
      </c>
      <c r="AQ6" s="26" t="s">
        <v>73</v>
      </c>
      <c r="AR6" s="25" t="s">
        <v>72</v>
      </c>
      <c r="AS6" s="26" t="s">
        <v>73</v>
      </c>
      <c r="AT6" s="25" t="s">
        <v>72</v>
      </c>
      <c r="AU6" s="26" t="s">
        <v>73</v>
      </c>
      <c r="AV6" s="25" t="s">
        <v>72</v>
      </c>
      <c r="AW6" s="26" t="s">
        <v>73</v>
      </c>
      <c r="AX6" s="25" t="s">
        <v>72</v>
      </c>
      <c r="AY6" s="26" t="s">
        <v>73</v>
      </c>
      <c r="AZ6" s="25" t="s">
        <v>72</v>
      </c>
      <c r="BA6" s="26" t="s">
        <v>73</v>
      </c>
    </row>
    <row r="7" spans="1:53" ht="33.75" customHeight="1">
      <c r="A7" s="93"/>
      <c r="B7" s="97">
        <v>6221</v>
      </c>
      <c r="C7" s="97" t="s">
        <v>108</v>
      </c>
      <c r="D7" s="97"/>
      <c r="E7" s="97"/>
      <c r="F7" s="35"/>
      <c r="G7" s="98"/>
      <c r="H7" s="35"/>
      <c r="I7" s="98"/>
      <c r="J7" s="35"/>
      <c r="K7" s="98"/>
      <c r="L7" s="35"/>
      <c r="M7" s="98"/>
      <c r="N7" s="35"/>
      <c r="O7" s="98"/>
      <c r="P7" s="35"/>
      <c r="Q7" s="98"/>
      <c r="R7" s="35"/>
      <c r="S7" s="98"/>
      <c r="T7" s="35"/>
      <c r="U7" s="98"/>
      <c r="V7" s="35"/>
      <c r="W7" s="98"/>
      <c r="X7" s="35"/>
      <c r="Y7" s="98"/>
      <c r="Z7" s="35"/>
      <c r="AA7" s="98"/>
      <c r="AB7" s="35"/>
      <c r="AC7" s="98"/>
      <c r="AD7" s="35"/>
      <c r="AE7" s="98"/>
      <c r="AF7" s="35"/>
      <c r="AG7" s="98"/>
      <c r="AH7" s="35"/>
      <c r="AI7" s="98"/>
      <c r="AJ7" s="35"/>
      <c r="AK7" s="98"/>
      <c r="AL7" s="35"/>
      <c r="AM7" s="98"/>
      <c r="AN7" s="35"/>
      <c r="AO7" s="98"/>
      <c r="AP7" s="35"/>
      <c r="AQ7" s="98"/>
      <c r="AR7" s="35"/>
      <c r="AS7" s="98"/>
      <c r="AT7" s="35"/>
      <c r="AU7" s="98"/>
      <c r="AV7" s="35"/>
      <c r="AW7" s="98"/>
      <c r="AX7" s="35"/>
      <c r="AY7" s="98"/>
      <c r="AZ7" s="35"/>
      <c r="BA7" s="98"/>
    </row>
    <row r="8" spans="1:53" ht="18.75" customHeight="1">
      <c r="A8" s="8"/>
      <c r="B8" s="3"/>
      <c r="C8" s="1"/>
      <c r="D8" s="2" t="str">
        <f>IF('6221'!$A$1=1,Sheet1!C6,Sheet1!B6)</f>
        <v>機器製造管理課</v>
      </c>
      <c r="E8" s="2">
        <v>1412000062</v>
      </c>
      <c r="F8" s="85">
        <f>[17]人員・時間計画!$C$25</f>
        <v>200</v>
      </c>
      <c r="G8" s="85">
        <f>[17]人員・時間計画!$C$26</f>
        <v>100</v>
      </c>
      <c r="H8" s="85">
        <f>[17]人員・時間計画!$C$11</f>
        <v>21</v>
      </c>
      <c r="I8" s="85">
        <f>[17]人員・時間計画!$C$12</f>
        <v>7</v>
      </c>
      <c r="J8" s="85">
        <f>[17]人員・時間計画!$D$25</f>
        <v>200</v>
      </c>
      <c r="K8" s="85">
        <f>[17]人員・時間計画!$D$26</f>
        <v>100</v>
      </c>
      <c r="L8" s="85">
        <f>[17]人員・時間計画!$D$11</f>
        <v>21</v>
      </c>
      <c r="M8" s="85">
        <f>[17]人員・時間計画!$D$12</f>
        <v>7</v>
      </c>
      <c r="N8" s="85">
        <f>[17]人員・時間計画!$E$25</f>
        <v>200</v>
      </c>
      <c r="O8" s="85">
        <f>[17]人員・時間計画!$E$26</f>
        <v>100</v>
      </c>
      <c r="P8" s="85">
        <f>[17]人員・時間計画!$E$11</f>
        <v>21</v>
      </c>
      <c r="Q8" s="85">
        <f>[17]人員・時間計画!$E$12</f>
        <v>7</v>
      </c>
      <c r="R8" s="85">
        <f>[17]人員・時間計画!$F$25</f>
        <v>200</v>
      </c>
      <c r="S8" s="85">
        <f>[17]人員・時間計画!$F$26</f>
        <v>100</v>
      </c>
      <c r="T8" s="85">
        <f>[17]人員・時間計画!$F$11</f>
        <v>21</v>
      </c>
      <c r="U8" s="85">
        <f>[17]人員・時間計画!$F$12</f>
        <v>7</v>
      </c>
      <c r="V8" s="85">
        <f>[17]人員・時間計画!$G$25</f>
        <v>200</v>
      </c>
      <c r="W8" s="85">
        <f>[17]人員・時間計画!$G$26</f>
        <v>100</v>
      </c>
      <c r="X8" s="85">
        <f>[17]人員・時間計画!$G$11</f>
        <v>21</v>
      </c>
      <c r="Y8" s="85">
        <f>[17]人員・時間計画!$G$12</f>
        <v>7</v>
      </c>
      <c r="Z8" s="85">
        <f>[17]人員・時間計画!$H$25</f>
        <v>200</v>
      </c>
      <c r="AA8" s="85">
        <f>[17]人員・時間計画!$H$26</f>
        <v>100</v>
      </c>
      <c r="AB8" s="85">
        <f>[17]人員・時間計画!$H$11</f>
        <v>21</v>
      </c>
      <c r="AC8" s="85">
        <f>[17]人員・時間計画!$H$12</f>
        <v>7</v>
      </c>
      <c r="AD8" s="85">
        <f>[17]人員・時間計画!$I$25</f>
        <v>200</v>
      </c>
      <c r="AE8" s="85">
        <f>[17]人員・時間計画!$I$26</f>
        <v>100</v>
      </c>
      <c r="AF8" s="85">
        <f>[17]人員・時間計画!$I$11</f>
        <v>21</v>
      </c>
      <c r="AG8" s="85">
        <f>[17]人員・時間計画!$I$12</f>
        <v>7</v>
      </c>
      <c r="AH8" s="85">
        <f>[17]人員・時間計画!$J$25</f>
        <v>200</v>
      </c>
      <c r="AI8" s="85">
        <f>[17]人員・時間計画!$J$26</f>
        <v>100</v>
      </c>
      <c r="AJ8" s="85">
        <f>[17]人員・時間計画!$J$11</f>
        <v>21</v>
      </c>
      <c r="AK8" s="85">
        <f>[17]人員・時間計画!$J$12</f>
        <v>7</v>
      </c>
      <c r="AL8" s="85">
        <f>[17]人員・時間計画!$K$25</f>
        <v>200</v>
      </c>
      <c r="AM8" s="85">
        <f>[17]人員・時間計画!$K$26</f>
        <v>100</v>
      </c>
      <c r="AN8" s="85">
        <f>[17]人員・時間計画!$K$11</f>
        <v>21</v>
      </c>
      <c r="AO8" s="85">
        <f>[17]人員・時間計画!$K$12</f>
        <v>7</v>
      </c>
      <c r="AP8" s="85">
        <f>[17]人員・時間計画!$L$25</f>
        <v>200</v>
      </c>
      <c r="AQ8" s="85">
        <f>[17]人員・時間計画!$L$26</f>
        <v>100</v>
      </c>
      <c r="AR8" s="85">
        <f>[17]人員・時間計画!$L$11</f>
        <v>21</v>
      </c>
      <c r="AS8" s="85">
        <f>[17]人員・時間計画!$L$12</f>
        <v>7</v>
      </c>
      <c r="AT8" s="85">
        <f>[17]人員・時間計画!$M$25</f>
        <v>100</v>
      </c>
      <c r="AU8" s="85">
        <f>[17]人員・時間計画!$M$26</f>
        <v>80</v>
      </c>
      <c r="AV8" s="85">
        <f>[17]人員・時間計画!$M$11</f>
        <v>21</v>
      </c>
      <c r="AW8" s="85">
        <f>[17]人員・時間計画!$M$12</f>
        <v>7</v>
      </c>
      <c r="AX8" s="85">
        <f>[17]人員・時間計画!$N$25</f>
        <v>200</v>
      </c>
      <c r="AY8" s="85">
        <f>[17]人員・時間計画!$N$26</f>
        <v>100</v>
      </c>
      <c r="AZ8" s="85">
        <f>[17]人員・時間計画!$N$11</f>
        <v>21</v>
      </c>
      <c r="BA8" s="85">
        <f>[17]人員・時間計画!$N$12</f>
        <v>7</v>
      </c>
    </row>
    <row r="9" spans="1:53" ht="33.75" customHeight="1">
      <c r="A9" s="93"/>
      <c r="B9" s="97">
        <v>6221</v>
      </c>
      <c r="C9" s="97" t="s">
        <v>35</v>
      </c>
      <c r="D9" s="97"/>
      <c r="E9" s="97"/>
      <c r="F9" s="35"/>
      <c r="G9" s="98"/>
      <c r="H9" s="35"/>
      <c r="I9" s="98"/>
      <c r="J9" s="35"/>
      <c r="K9" s="98"/>
      <c r="L9" s="35"/>
      <c r="M9" s="98"/>
      <c r="N9" s="35"/>
      <c r="O9" s="98"/>
      <c r="P9" s="35"/>
      <c r="Q9" s="98"/>
      <c r="R9" s="35"/>
      <c r="S9" s="98"/>
      <c r="T9" s="35"/>
      <c r="U9" s="98"/>
      <c r="V9" s="35"/>
      <c r="W9" s="98"/>
      <c r="X9" s="35"/>
      <c r="Y9" s="98"/>
      <c r="Z9" s="35"/>
      <c r="AA9" s="98"/>
      <c r="AB9" s="35"/>
      <c r="AC9" s="98"/>
      <c r="AD9" s="35"/>
      <c r="AE9" s="98"/>
      <c r="AF9" s="35"/>
      <c r="AG9" s="98"/>
      <c r="AH9" s="35"/>
      <c r="AI9" s="98"/>
      <c r="AJ9" s="35"/>
      <c r="AK9" s="98"/>
      <c r="AL9" s="35"/>
      <c r="AM9" s="98"/>
      <c r="AN9" s="35"/>
      <c r="AO9" s="98"/>
      <c r="AP9" s="35"/>
      <c r="AQ9" s="98"/>
      <c r="AR9" s="35"/>
      <c r="AS9" s="98"/>
      <c r="AT9" s="35"/>
      <c r="AU9" s="98"/>
      <c r="AV9" s="35"/>
      <c r="AW9" s="98"/>
      <c r="AX9" s="35"/>
      <c r="AY9" s="98"/>
      <c r="AZ9" s="35"/>
      <c r="BA9" s="98"/>
    </row>
    <row r="10" spans="1:53" ht="18.75" customHeight="1">
      <c r="A10" s="8"/>
      <c r="B10" s="8"/>
      <c r="C10" s="7"/>
      <c r="D10" s="6" t="str">
        <f>IF('6221'!$A$1=1,Sheet1!C15,Sheet1!B15)</f>
        <v>トナー生産技術課</v>
      </c>
      <c r="E10" s="6">
        <v>1412000048</v>
      </c>
      <c r="F10" s="84">
        <f>[18]人員・時間計画!$C$25</f>
        <v>38</v>
      </c>
      <c r="G10" s="84">
        <f>[18]人員・時間計画!$C$26</f>
        <v>0</v>
      </c>
      <c r="H10" s="84">
        <f>[18]人員・時間計画!$C$11</f>
        <v>14</v>
      </c>
      <c r="I10" s="84">
        <f>[18]人員・時間計画!$C$12</f>
        <v>10</v>
      </c>
      <c r="J10" s="84">
        <f>[18]人員・時間計画!$D$25</f>
        <v>52</v>
      </c>
      <c r="K10" s="84">
        <f>[18]人員・時間計画!$D$26</f>
        <v>24</v>
      </c>
      <c r="L10" s="84">
        <f>[18]人員・時間計画!$D$11</f>
        <v>14</v>
      </c>
      <c r="M10" s="84">
        <f>[18]人員・時間計画!$D$12</f>
        <v>10</v>
      </c>
      <c r="N10" s="84">
        <f>[18]人員・時間計画!$E$25</f>
        <v>40</v>
      </c>
      <c r="O10" s="84">
        <f>[18]人員・時間計画!$E$26</f>
        <v>0</v>
      </c>
      <c r="P10" s="84">
        <f>[18]人員・時間計画!$E$11</f>
        <v>14</v>
      </c>
      <c r="Q10" s="84">
        <f>[18]人員・時間計画!$E$12</f>
        <v>11</v>
      </c>
      <c r="R10" s="84">
        <f>[18]人員・時間計画!$F$25</f>
        <v>60</v>
      </c>
      <c r="S10" s="84">
        <f>[18]人員・時間計画!$F$26</f>
        <v>16</v>
      </c>
      <c r="T10" s="84">
        <f>[18]人員・時間計画!$F$11</f>
        <v>14</v>
      </c>
      <c r="U10" s="84">
        <f>[18]人員・時間計画!$F$12</f>
        <v>11</v>
      </c>
      <c r="V10" s="84">
        <f>[18]人員・時間計画!$G$25</f>
        <v>54</v>
      </c>
      <c r="W10" s="84">
        <f>[18]人員・時間計画!$G$26</f>
        <v>16</v>
      </c>
      <c r="X10" s="84">
        <f>[18]人員・時間計画!$G$11</f>
        <v>14</v>
      </c>
      <c r="Y10" s="84">
        <f>[18]人員・時間計画!$G$12</f>
        <v>11</v>
      </c>
      <c r="Z10" s="84">
        <f>[18]人員・時間計画!$H$25</f>
        <v>60</v>
      </c>
      <c r="AA10" s="84">
        <f>[18]人員・時間計画!$H$26</f>
        <v>24</v>
      </c>
      <c r="AB10" s="84">
        <f>[18]人員・時間計画!$H$11</f>
        <v>14</v>
      </c>
      <c r="AC10" s="84">
        <f>[18]人員・時間計画!$H$12</f>
        <v>11</v>
      </c>
      <c r="AD10" s="84">
        <f>[18]人員・時間計画!$I$25</f>
        <v>68</v>
      </c>
      <c r="AE10" s="84">
        <f>[18]人員・時間計画!$I$26</f>
        <v>24</v>
      </c>
      <c r="AF10" s="84">
        <f>[18]人員・時間計画!$I$11</f>
        <v>14</v>
      </c>
      <c r="AG10" s="84">
        <f>[18]人員・時間計画!$I$12</f>
        <v>11</v>
      </c>
      <c r="AH10" s="84">
        <f>[18]人員・時間計画!$J$25</f>
        <v>54</v>
      </c>
      <c r="AI10" s="84">
        <f>[18]人員・時間計画!$J$26</f>
        <v>16</v>
      </c>
      <c r="AJ10" s="84">
        <f>[18]人員・時間計画!$J$11</f>
        <v>14</v>
      </c>
      <c r="AK10" s="84">
        <f>[18]人員・時間計画!$J$12</f>
        <v>11</v>
      </c>
      <c r="AL10" s="84">
        <f>[18]人員・時間計画!$K$25</f>
        <v>58</v>
      </c>
      <c r="AM10" s="84">
        <f>[18]人員・時間計画!$K$26</f>
        <v>16</v>
      </c>
      <c r="AN10" s="84">
        <f>[18]人員・時間計画!$K$11</f>
        <v>14</v>
      </c>
      <c r="AO10" s="84">
        <f>[18]人員・時間計画!$K$12</f>
        <v>11</v>
      </c>
      <c r="AP10" s="84">
        <f>[18]人員・時間計画!$L$25</f>
        <v>54</v>
      </c>
      <c r="AQ10" s="84">
        <f>[18]人員・時間計画!$L$26</f>
        <v>16</v>
      </c>
      <c r="AR10" s="84">
        <f>[18]人員・時間計画!$L$11</f>
        <v>14</v>
      </c>
      <c r="AS10" s="84">
        <f>[18]人員・時間計画!$L$12</f>
        <v>11</v>
      </c>
      <c r="AT10" s="84">
        <f>[18]人員・時間計画!$M$25</f>
        <v>44</v>
      </c>
      <c r="AU10" s="84">
        <f>[18]人員・時間計画!$M26</f>
        <v>16</v>
      </c>
      <c r="AV10" s="84">
        <f>[18]人員・時間計画!$M$11</f>
        <v>14</v>
      </c>
      <c r="AW10" s="84">
        <f>[18]人員・時間計画!$M$12</f>
        <v>11</v>
      </c>
      <c r="AX10" s="84">
        <f>[18]人員・時間計画!$N$25</f>
        <v>54</v>
      </c>
      <c r="AY10" s="84">
        <f>[18]人員・時間計画!$N26</f>
        <v>16</v>
      </c>
      <c r="AZ10" s="84">
        <f>[18]人員・時間計画!$N$11</f>
        <v>14</v>
      </c>
      <c r="BA10" s="84">
        <f>[18]人員・時間計画!$N$12</f>
        <v>11</v>
      </c>
    </row>
    <row r="11" spans="1:53" ht="18.75" customHeight="1">
      <c r="A11" s="8"/>
      <c r="B11" s="8"/>
      <c r="C11" s="7"/>
      <c r="D11" s="6" t="str">
        <f>IF('6221'!$A$1=1,Sheet1!C16,Sheet1!B16)</f>
        <v>トナー製造管理課</v>
      </c>
      <c r="E11" s="6">
        <v>1412000063</v>
      </c>
      <c r="F11" s="84">
        <f>[19]人員・時間計画!$C$25</f>
        <v>0</v>
      </c>
      <c r="G11" s="84">
        <f>[19]人員・時間計画!$C$26</f>
        <v>0</v>
      </c>
      <c r="H11" s="84">
        <f>[19]人員・時間計画!$C$11</f>
        <v>7</v>
      </c>
      <c r="I11" s="84">
        <f>[19]人員・時間計画!$C$12</f>
        <v>6</v>
      </c>
      <c r="J11" s="84">
        <f>[19]人員・時間計画!$D$25</f>
        <v>0</v>
      </c>
      <c r="K11" s="84">
        <f>[19]人員・時間計画!$D$26</f>
        <v>0</v>
      </c>
      <c r="L11" s="84">
        <f>[19]人員・時間計画!$D$11</f>
        <v>6</v>
      </c>
      <c r="M11" s="84">
        <f>[19]人員・時間計画!$D$12</f>
        <v>6</v>
      </c>
      <c r="N11" s="84">
        <f>[19]人員・時間計画!$E$25</f>
        <v>0</v>
      </c>
      <c r="O11" s="84">
        <f>[19]人員・時間計画!$E$26</f>
        <v>0</v>
      </c>
      <c r="P11" s="84">
        <f>[19]人員・時間計画!$E$11</f>
        <v>5</v>
      </c>
      <c r="Q11" s="84">
        <f>[19]人員・時間計画!$E$12</f>
        <v>4</v>
      </c>
      <c r="R11" s="84">
        <f>[19]人員・時間計画!$F$25</f>
        <v>0</v>
      </c>
      <c r="S11" s="84">
        <f>[19]人員・時間計画!$F$26</f>
        <v>0</v>
      </c>
      <c r="T11" s="84">
        <f>[19]人員・時間計画!$F$11</f>
        <v>6</v>
      </c>
      <c r="U11" s="84">
        <f>[19]人員・時間計画!$F$12</f>
        <v>3</v>
      </c>
      <c r="V11" s="84">
        <f>[19]人員・時間計画!$G$25</f>
        <v>0</v>
      </c>
      <c r="W11" s="84">
        <f>[19]人員・時間計画!$G$26</f>
        <v>0</v>
      </c>
      <c r="X11" s="84">
        <f>[19]人員・時間計画!$G$11</f>
        <v>6</v>
      </c>
      <c r="Y11" s="84">
        <f>[19]人員・時間計画!$G$12</f>
        <v>3</v>
      </c>
      <c r="Z11" s="84">
        <f>[19]人員・時間計画!$H$25</f>
        <v>0</v>
      </c>
      <c r="AA11" s="84">
        <f>[19]人員・時間計画!$H$26</f>
        <v>0</v>
      </c>
      <c r="AB11" s="84">
        <f>[19]人員・時間計画!$H$11</f>
        <v>6</v>
      </c>
      <c r="AC11" s="84">
        <f>[19]人員・時間計画!$H$12</f>
        <v>3</v>
      </c>
      <c r="AD11" s="84">
        <f>[19]人員・時間計画!$I$25</f>
        <v>0</v>
      </c>
      <c r="AE11" s="84">
        <f>[19]人員・時間計画!$I$26</f>
        <v>0</v>
      </c>
      <c r="AF11" s="84">
        <f>[19]人員・時間計画!$I$11</f>
        <v>6</v>
      </c>
      <c r="AG11" s="84">
        <f>[19]人員・時間計画!$I$12</f>
        <v>3</v>
      </c>
      <c r="AH11" s="84">
        <f>[19]人員・時間計画!$J$25</f>
        <v>0</v>
      </c>
      <c r="AI11" s="84">
        <f>[19]人員・時間計画!$J$26</f>
        <v>0</v>
      </c>
      <c r="AJ11" s="84">
        <f>[19]人員・時間計画!$J$11</f>
        <v>6</v>
      </c>
      <c r="AK11" s="84">
        <f>[19]人員・時間計画!$J$12</f>
        <v>3</v>
      </c>
      <c r="AL11" s="84">
        <f>[19]人員・時間計画!$K$25</f>
        <v>0</v>
      </c>
      <c r="AM11" s="84">
        <f>[19]人員・時間計画!$K$26</f>
        <v>0</v>
      </c>
      <c r="AN11" s="84">
        <f>[19]人員・時間計画!$K$11</f>
        <v>5</v>
      </c>
      <c r="AO11" s="84">
        <f>[19]人員・時間計画!$K$12</f>
        <v>3</v>
      </c>
      <c r="AP11" s="84">
        <f>[19]人員・時間計画!$L$25</f>
        <v>0</v>
      </c>
      <c r="AQ11" s="84">
        <f>[19]人員・時間計画!$L$26</f>
        <v>0</v>
      </c>
      <c r="AR11" s="84">
        <f>[19]人員・時間計画!$L$11</f>
        <v>5</v>
      </c>
      <c r="AS11" s="84">
        <f>[19]人員・時間計画!$L$12</f>
        <v>3</v>
      </c>
      <c r="AT11" s="84">
        <f>[19]人員・時間計画!$M$25</f>
        <v>0</v>
      </c>
      <c r="AU11" s="84">
        <f>[19]人員・時間計画!$M$26</f>
        <v>0</v>
      </c>
      <c r="AV11" s="84">
        <f>[19]人員・時間計画!$M$11</f>
        <v>5</v>
      </c>
      <c r="AW11" s="84">
        <f>[19]人員・時間計画!$M$12</f>
        <v>3</v>
      </c>
      <c r="AX11" s="84">
        <f>[19]人員・時間計画!$N$25</f>
        <v>0</v>
      </c>
      <c r="AY11" s="84">
        <f>[19]人員・時間計画!$N$26</f>
        <v>0</v>
      </c>
      <c r="AZ11" s="84">
        <f>[19]人員・時間計画!$N$11</f>
        <v>5</v>
      </c>
      <c r="BA11" s="84">
        <f>[19]人員・時間計画!$N$12</f>
        <v>3</v>
      </c>
    </row>
    <row r="12" spans="1:53" ht="18.75" customHeight="1">
      <c r="A12" s="3"/>
      <c r="B12" s="3"/>
      <c r="C12" s="1"/>
      <c r="D12" s="2" t="str">
        <f>IF('6221'!$A$1=1,Sheet1!C17,Sheet1!B17)</f>
        <v>トナー品質管理課</v>
      </c>
      <c r="E12" s="2">
        <v>1412000055</v>
      </c>
      <c r="F12" s="85">
        <f>[20]人員・時間計画!$C$25</f>
        <v>38</v>
      </c>
      <c r="G12" s="85">
        <f>[20]人員・時間計画!$C$26</f>
        <v>0</v>
      </c>
      <c r="H12" s="85">
        <f>[20]人員・時間計画!$C$11</f>
        <v>11</v>
      </c>
      <c r="I12" s="85">
        <f>[20]人員・時間計画!$C$12</f>
        <v>14</v>
      </c>
      <c r="J12" s="85">
        <f>[20]人員・時間計画!$D$25</f>
        <v>60</v>
      </c>
      <c r="K12" s="85">
        <f>[20]人員・時間計画!$D$26</f>
        <v>24</v>
      </c>
      <c r="L12" s="85">
        <f>[20]人員・時間計画!$D$11</f>
        <v>11</v>
      </c>
      <c r="M12" s="85">
        <f>[20]人員・時間計画!$D$12</f>
        <v>14</v>
      </c>
      <c r="N12" s="85">
        <f>[20]人員・時間計画!$E$25</f>
        <v>40</v>
      </c>
      <c r="O12" s="85">
        <f>[20]人員・時間計画!$E$26</f>
        <v>24</v>
      </c>
      <c r="P12" s="85">
        <f>[20]人員・時間計画!$E$11</f>
        <v>11</v>
      </c>
      <c r="Q12" s="85">
        <f>[20]人員・時間計画!$E$12</f>
        <v>14</v>
      </c>
      <c r="R12" s="85">
        <f>[20]人員・時間計画!$F$25</f>
        <v>68</v>
      </c>
      <c r="S12" s="85">
        <f>[20]人員・時間計画!$F$26</f>
        <v>176</v>
      </c>
      <c r="T12" s="85">
        <f>[20]人員・時間計画!$F$11</f>
        <v>10</v>
      </c>
      <c r="U12" s="85">
        <f>[20]人員・時間計画!$F$12</f>
        <v>14</v>
      </c>
      <c r="V12" s="85">
        <f>[20]人員・時間計画!$G$25</f>
        <v>62</v>
      </c>
      <c r="W12" s="85">
        <f>[20]人員・時間計画!$G$26</f>
        <v>24</v>
      </c>
      <c r="X12" s="85">
        <f>[20]人員・時間計画!$G$11</f>
        <v>10</v>
      </c>
      <c r="Y12" s="85">
        <f>[20]人員・時間計画!$G$12</f>
        <v>15</v>
      </c>
      <c r="Z12" s="85">
        <f>[20]人員・時間計画!$H$25</f>
        <v>60</v>
      </c>
      <c r="AA12" s="85">
        <f>[20]人員・時間計画!$H$26</f>
        <v>48</v>
      </c>
      <c r="AB12" s="85">
        <f>[20]人員・時間計画!$H$11</f>
        <v>10</v>
      </c>
      <c r="AC12" s="85">
        <f>[20]人員・時間計画!$H$12</f>
        <v>17</v>
      </c>
      <c r="AD12" s="85">
        <f>[20]人員・時間計画!$I$25</f>
        <v>68</v>
      </c>
      <c r="AE12" s="85">
        <f>[20]人員・時間計画!$I$26</f>
        <v>48</v>
      </c>
      <c r="AF12" s="85">
        <f>[20]人員・時間計画!$I$11</f>
        <v>10</v>
      </c>
      <c r="AG12" s="85">
        <f>[20]人員・時間計画!$I$12</f>
        <v>17</v>
      </c>
      <c r="AH12" s="85">
        <f>[20]人員・時間計画!$J$25</f>
        <v>62</v>
      </c>
      <c r="AI12" s="85">
        <f>[20]人員・時間計画!$J$26</f>
        <v>24</v>
      </c>
      <c r="AJ12" s="85">
        <f>[20]人員・時間計画!$J$11</f>
        <v>10</v>
      </c>
      <c r="AK12" s="85">
        <f>[20]人員・時間計画!$J$12</f>
        <v>17</v>
      </c>
      <c r="AL12" s="85">
        <f>[20]人員・時間計画!$K$25</f>
        <v>66</v>
      </c>
      <c r="AM12" s="85">
        <f>[20]人員・時間計画!$K$26</f>
        <v>24</v>
      </c>
      <c r="AN12" s="85">
        <f>[20]人員・時間計画!$K$11</f>
        <v>11</v>
      </c>
      <c r="AO12" s="85">
        <f>[20]人員・時間計画!$K$12</f>
        <v>17</v>
      </c>
      <c r="AP12" s="85">
        <f>[20]人員・時間計画!$L$25</f>
        <v>62</v>
      </c>
      <c r="AQ12" s="85">
        <f>[20]人員・時間計画!$L$26</f>
        <v>176</v>
      </c>
      <c r="AR12" s="85">
        <f>[20]人員・時間計画!$L$11</f>
        <v>11</v>
      </c>
      <c r="AS12" s="85">
        <f>[20]人員・時間計画!$L$12</f>
        <v>17</v>
      </c>
      <c r="AT12" s="85">
        <f>[20]人員・時間計画!$M$25</f>
        <v>52</v>
      </c>
      <c r="AU12" s="85">
        <f>[20]人員・時間計画!$M$26</f>
        <v>152</v>
      </c>
      <c r="AV12" s="85">
        <f>[20]人員・時間計画!$M$11</f>
        <v>11</v>
      </c>
      <c r="AW12" s="85">
        <f>[20]人員・時間計画!$M$12</f>
        <v>17</v>
      </c>
      <c r="AX12" s="85">
        <f>[20]人員・時間計画!$N$25</f>
        <v>38</v>
      </c>
      <c r="AY12" s="85">
        <f>[20]人員・時間計画!$N$26</f>
        <v>72</v>
      </c>
      <c r="AZ12" s="85">
        <f>[20]人員・時間計画!$N$11</f>
        <v>11</v>
      </c>
      <c r="BA12" s="85">
        <f>[20]人員・時間計画!$N$12</f>
        <v>19</v>
      </c>
    </row>
    <row r="13" spans="1:53" ht="18.75" customHeight="1">
      <c r="A13" s="5"/>
      <c r="B13" s="5">
        <v>6221</v>
      </c>
      <c r="C13" s="9" t="s">
        <v>38</v>
      </c>
      <c r="D13" s="22"/>
      <c r="E13" s="22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</row>
    <row r="14" spans="1:53" ht="18.75" customHeight="1">
      <c r="A14" s="13"/>
      <c r="B14" s="13"/>
      <c r="C14" s="12"/>
      <c r="D14" s="6" t="str">
        <f>IF($A$1=1,Sheet1!C20,Sheet1!B20)</f>
        <v>金型技術課</v>
      </c>
      <c r="E14" s="11">
        <v>1412000044</v>
      </c>
      <c r="F14" s="84">
        <f>'[21]Kế hoạch số người - thời gian'!$C$25</f>
        <v>230</v>
      </c>
      <c r="G14" s="84">
        <f>'[21]Kế hoạch số người - thời gian'!$C$26</f>
        <v>100</v>
      </c>
      <c r="H14" s="84">
        <f>'[21]Kế hoạch số người - thời gian'!$C$11</f>
        <v>23</v>
      </c>
      <c r="I14" s="84">
        <f>'[21]Kế hoạch số người - thời gian'!$C$12</f>
        <v>9</v>
      </c>
      <c r="J14" s="84">
        <f>'[21]Kế hoạch số người - thời gian'!$D$25</f>
        <v>226</v>
      </c>
      <c r="K14" s="84">
        <f>'[21]Kế hoạch số người - thời gian'!$D$26</f>
        <v>100</v>
      </c>
      <c r="L14" s="84">
        <f>'[21]Kế hoạch số người - thời gian'!$D$11</f>
        <v>23</v>
      </c>
      <c r="M14" s="84">
        <f>'[21]Kế hoạch số người - thời gian'!$D$12</f>
        <v>9</v>
      </c>
      <c r="N14" s="84">
        <f>'[21]Kế hoạch số người - thời gian'!$E$25</f>
        <v>234</v>
      </c>
      <c r="O14" s="84">
        <f>'[21]Kế hoạch số người - thời gian'!$E$26</f>
        <v>100</v>
      </c>
      <c r="P14" s="84">
        <f>'[21]Kế hoạch số người - thời gian'!$E$11</f>
        <v>23</v>
      </c>
      <c r="Q14" s="84">
        <f>'[21]Kế hoạch số người - thời gian'!$E$12</f>
        <v>9</v>
      </c>
      <c r="R14" s="84">
        <f>'[21]Kế hoạch số người - thời gian'!$F$25</f>
        <v>392</v>
      </c>
      <c r="S14" s="84">
        <f>'[21]Kế hoạch số người - thời gian'!$F$26</f>
        <v>100</v>
      </c>
      <c r="T14" s="84">
        <f>'[21]Kế hoạch số người - thời gian'!$F$11</f>
        <v>23</v>
      </c>
      <c r="U14" s="84">
        <f>'[21]Kế hoạch số người - thời gian'!$F$12</f>
        <v>9</v>
      </c>
      <c r="V14" s="84">
        <f>'[21]Kế hoạch số người - thời gian'!$G$25</f>
        <v>230</v>
      </c>
      <c r="W14" s="84">
        <f>'[21]Kế hoạch số người - thời gian'!$G$26</f>
        <v>100</v>
      </c>
      <c r="X14" s="84">
        <f>'[21]Kế hoạch số người - thời gian'!$G$11</f>
        <v>23</v>
      </c>
      <c r="Y14" s="84">
        <f>'[21]Kế hoạch số người - thời gian'!$G$12</f>
        <v>9</v>
      </c>
      <c r="Z14" s="84">
        <f>'[21]Kế hoạch số người - thời gian'!$H$25</f>
        <v>226</v>
      </c>
      <c r="AA14" s="84">
        <f>'[21]Kế hoạch số người - thời gian'!$H$26</f>
        <v>100</v>
      </c>
      <c r="AB14" s="84">
        <f>'[21]Kế hoạch số người - thời gian'!$H$11</f>
        <v>23</v>
      </c>
      <c r="AC14" s="84">
        <f>'[21]Kế hoạch số người - thời gian'!$H$12</f>
        <v>9</v>
      </c>
      <c r="AD14" s="84">
        <f>'[21]Kế hoạch số người - thời gian'!$I$25</f>
        <v>392</v>
      </c>
      <c r="AE14" s="84">
        <f>'[21]Kế hoạch số người - thời gian'!$I$26</f>
        <v>100</v>
      </c>
      <c r="AF14" s="84">
        <f>'[21]Kế hoạch số người - thời gian'!$I$11</f>
        <v>23</v>
      </c>
      <c r="AG14" s="84">
        <f>'[21]Kế hoạch số người - thời gian'!$I$12</f>
        <v>9</v>
      </c>
      <c r="AH14" s="84">
        <f>'[21]Kế hoạch số người - thời gian'!$J$25</f>
        <v>404</v>
      </c>
      <c r="AI14" s="84">
        <f>'[21]Kế hoạch số người - thời gian'!$J$26</f>
        <v>114</v>
      </c>
      <c r="AJ14" s="84">
        <f>'[21]Kế hoạch số người - thời gian'!$J$11</f>
        <v>23</v>
      </c>
      <c r="AK14" s="84">
        <f>'[21]Kế hoạch số người - thời gian'!$J$12</f>
        <v>9</v>
      </c>
      <c r="AL14" s="84">
        <f>'[21]Kế hoạch số người - thời gian'!$K$25</f>
        <v>238</v>
      </c>
      <c r="AM14" s="84">
        <f>'[21]Kế hoạch số người - thời gian'!$K$26</f>
        <v>106</v>
      </c>
      <c r="AN14" s="84">
        <f>'[21]Kế hoạch số người - thời gian'!$K$11</f>
        <v>23</v>
      </c>
      <c r="AO14" s="84">
        <f>'[21]Kế hoạch số người - thời gian'!$K$12</f>
        <v>9</v>
      </c>
      <c r="AP14" s="84">
        <f>'[21]Kế hoạch số người - thời gian'!$L$25</f>
        <v>230</v>
      </c>
      <c r="AQ14" s="84">
        <f>'[21]Kế hoạch số người - thời gian'!$L$26</f>
        <v>100</v>
      </c>
      <c r="AR14" s="84">
        <f>'[21]Kế hoạch số người - thời gian'!$L$11</f>
        <v>23</v>
      </c>
      <c r="AS14" s="84">
        <f>'[21]Kế hoạch số người - thời gian'!$L$12</f>
        <v>9</v>
      </c>
      <c r="AT14" s="84">
        <f>'[21]Kế hoạch số người - thời gian'!$M$25</f>
        <v>360</v>
      </c>
      <c r="AU14" s="84">
        <f>'[21]Kế hoạch số người - thời gian'!$M$26</f>
        <v>100</v>
      </c>
      <c r="AV14" s="84">
        <f>'[21]Kế hoạch số người - thời gian'!$M$11</f>
        <v>23</v>
      </c>
      <c r="AW14" s="84">
        <f>'[21]Kế hoạch số người - thời gian'!$M$12</f>
        <v>9</v>
      </c>
      <c r="AX14" s="84">
        <f>'[21]Kế hoạch số người - thời gian'!$N$25</f>
        <v>380</v>
      </c>
      <c r="AY14" s="84">
        <f>'[21]Kế hoạch số người - thời gian'!$N$26</f>
        <v>100</v>
      </c>
      <c r="AZ14" s="84">
        <f>'[21]Kế hoạch số người - thời gian'!$N$11</f>
        <v>23</v>
      </c>
      <c r="BA14" s="84">
        <f>'[21]Kế hoạch số người - thời gian'!$N$12</f>
        <v>9</v>
      </c>
    </row>
    <row r="15" spans="1:53" ht="18.75" customHeight="1">
      <c r="A15" s="8"/>
      <c r="B15" s="8"/>
      <c r="C15" s="7"/>
      <c r="D15" s="6" t="str">
        <f>IF($A$1=1,Sheet1!C21,Sheet1!B21)</f>
        <v>部品製造管理課</v>
      </c>
      <c r="E15" s="6">
        <v>1412000087</v>
      </c>
      <c r="F15" s="84">
        <f>[22]人員・時間計画!$C$25</f>
        <v>0</v>
      </c>
      <c r="G15" s="84">
        <f>[22]人員・時間計画!$C$26</f>
        <v>0</v>
      </c>
      <c r="H15" s="84">
        <f>[22]人員・時間計画!$C$11</f>
        <v>9</v>
      </c>
      <c r="I15" s="84">
        <f>[22]人員・時間計画!$C$12</f>
        <v>0</v>
      </c>
      <c r="J15" s="84">
        <f>[22]人員・時間計画!$D$25</f>
        <v>0</v>
      </c>
      <c r="K15" s="84">
        <f>[22]人員・時間計画!$D$26</f>
        <v>0</v>
      </c>
      <c r="L15" s="84">
        <f>[22]人員・時間計画!$D$11</f>
        <v>9</v>
      </c>
      <c r="M15" s="84">
        <f>[22]人員・時間計画!$D$12</f>
        <v>0</v>
      </c>
      <c r="N15" s="84">
        <f>[22]人員・時間計画!$E$25</f>
        <v>0</v>
      </c>
      <c r="O15" s="84">
        <f>[22]人員・時間計画!$E$26</f>
        <v>0</v>
      </c>
      <c r="P15" s="84">
        <f>[22]人員・時間計画!$E$11</f>
        <v>9</v>
      </c>
      <c r="Q15" s="84">
        <f>[22]人員・時間計画!$E$12</f>
        <v>0</v>
      </c>
      <c r="R15" s="84">
        <f>[22]人員・時間計画!$F$25</f>
        <v>0</v>
      </c>
      <c r="S15" s="84">
        <f>[22]人員・時間計画!$F$26</f>
        <v>0</v>
      </c>
      <c r="T15" s="84">
        <f>[22]人員・時間計画!$F$11</f>
        <v>9</v>
      </c>
      <c r="U15" s="84">
        <f>[22]人員・時間計画!$F$12</f>
        <v>0</v>
      </c>
      <c r="V15" s="84">
        <f>[22]人員・時間計画!$G$25</f>
        <v>0</v>
      </c>
      <c r="W15" s="84">
        <f>[22]人員・時間計画!$G$26</f>
        <v>0</v>
      </c>
      <c r="X15" s="84">
        <f>[22]人員・時間計画!$G$11</f>
        <v>9</v>
      </c>
      <c r="Y15" s="84">
        <f>[22]人員・時間計画!$G$12</f>
        <v>0</v>
      </c>
      <c r="Z15" s="84">
        <f>[22]人員・時間計画!$H$25</f>
        <v>0</v>
      </c>
      <c r="AA15" s="84">
        <f>[22]人員・時間計画!$H$26</f>
        <v>0</v>
      </c>
      <c r="AB15" s="84">
        <f>[22]人員・時間計画!$H$11</f>
        <v>9</v>
      </c>
      <c r="AC15" s="84">
        <f>[22]人員・時間計画!$H$12</f>
        <v>0</v>
      </c>
      <c r="AD15" s="84">
        <f>[22]人員・時間計画!$I$25</f>
        <v>0</v>
      </c>
      <c r="AE15" s="84">
        <f>[22]人員・時間計画!$I$26</f>
        <v>0</v>
      </c>
      <c r="AF15" s="84">
        <f>[22]人員・時間計画!$I$11</f>
        <v>9</v>
      </c>
      <c r="AG15" s="84">
        <f>[22]人員・時間計画!$I$12</f>
        <v>0</v>
      </c>
      <c r="AH15" s="84">
        <f>[22]人員・時間計画!$J$25</f>
        <v>0</v>
      </c>
      <c r="AI15" s="84">
        <f>[22]人員・時間計画!$J$26</f>
        <v>0</v>
      </c>
      <c r="AJ15" s="84">
        <f>[22]人員・時間計画!$J$11</f>
        <v>9</v>
      </c>
      <c r="AK15" s="84">
        <f>[22]人員・時間計画!$J$12</f>
        <v>0</v>
      </c>
      <c r="AL15" s="84">
        <f>[22]人員・時間計画!$K$25</f>
        <v>0</v>
      </c>
      <c r="AM15" s="84">
        <f>[22]人員・時間計画!$K$26</f>
        <v>0</v>
      </c>
      <c r="AN15" s="84">
        <f>[22]人員・時間計画!$K$11</f>
        <v>9</v>
      </c>
      <c r="AO15" s="84">
        <f>[22]人員・時間計画!$K$12</f>
        <v>0</v>
      </c>
      <c r="AP15" s="84">
        <f>[22]人員・時間計画!$L$25</f>
        <v>0</v>
      </c>
      <c r="AQ15" s="84">
        <f>[22]人員・時間計画!$L$26</f>
        <v>0</v>
      </c>
      <c r="AR15" s="84">
        <f>[22]人員・時間計画!$L$11</f>
        <v>9</v>
      </c>
      <c r="AS15" s="84">
        <f>[22]人員・時間計画!$L$12</f>
        <v>0</v>
      </c>
      <c r="AT15" s="84">
        <f>[22]人員・時間計画!$M$25</f>
        <v>0</v>
      </c>
      <c r="AU15" s="84">
        <f>[22]人員・時間計画!$M$26</f>
        <v>0</v>
      </c>
      <c r="AV15" s="84">
        <f>[22]人員・時間計画!$M$11</f>
        <v>9</v>
      </c>
      <c r="AW15" s="84">
        <f>[22]人員・時間計画!$M$12</f>
        <v>0</v>
      </c>
      <c r="AX15" s="84">
        <f>[22]人員・時間計画!$N$25</f>
        <v>0</v>
      </c>
      <c r="AY15" s="84">
        <f>[22]人員・時間計画!$N$26</f>
        <v>0</v>
      </c>
      <c r="AZ15" s="84">
        <f>[22]人員・時間計画!$N$11</f>
        <v>9</v>
      </c>
      <c r="BA15" s="84">
        <f>[22]人員・時間計画!$N$12</f>
        <v>0</v>
      </c>
    </row>
    <row r="16" spans="1:53" ht="18.75" customHeight="1">
      <c r="A16" s="3"/>
      <c r="B16" s="3"/>
      <c r="C16" s="1"/>
      <c r="D16" s="2" t="str">
        <f>IF($A$1=1,Sheet1!C22,Sheet1!B22)</f>
        <v>品質管理課</v>
      </c>
      <c r="E16" s="2">
        <v>1412000088</v>
      </c>
      <c r="F16" s="85">
        <f>[23]人員・時間計画!$C$25</f>
        <v>36</v>
      </c>
      <c r="G16" s="85">
        <f>[23]人員・時間計画!$C$26</f>
        <v>48</v>
      </c>
      <c r="H16" s="85">
        <f>[23]人員・時間計画!$C$11</f>
        <v>12</v>
      </c>
      <c r="I16" s="85">
        <f>[23]人員・時間計画!$C$12</f>
        <v>13</v>
      </c>
      <c r="J16" s="85">
        <f>[23]人員・時間計画!$D$25</f>
        <v>34</v>
      </c>
      <c r="K16" s="85">
        <f>[23]人員・時間計画!$D$26</f>
        <v>48</v>
      </c>
      <c r="L16" s="85">
        <f>[23]人員・時間計画!$D$11</f>
        <v>12</v>
      </c>
      <c r="M16" s="85">
        <f>[23]人員・時間計画!$D$12</f>
        <v>13</v>
      </c>
      <c r="N16" s="85">
        <f>[23]人員・時間計画!$E$25</f>
        <v>38</v>
      </c>
      <c r="O16" s="85">
        <f>[23]人員・時間計画!$E$26</f>
        <v>48</v>
      </c>
      <c r="P16" s="85">
        <f>[23]人員・時間計画!$E$11</f>
        <v>12</v>
      </c>
      <c r="Q16" s="85">
        <f>[23]人員・時間計画!$E$12</f>
        <v>13</v>
      </c>
      <c r="R16" s="85">
        <f>[23]人員・時間計画!$F$25</f>
        <v>42</v>
      </c>
      <c r="S16" s="85">
        <f>[23]人員・時間計画!$F$26</f>
        <v>48</v>
      </c>
      <c r="T16" s="85">
        <f>[23]人員・時間計画!$F$11</f>
        <v>12</v>
      </c>
      <c r="U16" s="85">
        <f>[23]人員・時間計画!$F$12</f>
        <v>13</v>
      </c>
      <c r="V16" s="85">
        <f>[23]人員・時間計画!$G$25</f>
        <v>36</v>
      </c>
      <c r="W16" s="85">
        <f>[23]人員・時間計画!$G$26</f>
        <v>48</v>
      </c>
      <c r="X16" s="85">
        <f>[23]人員・時間計画!$G$11</f>
        <v>12</v>
      </c>
      <c r="Y16" s="85">
        <f>[23]人員・時間計画!$G$12</f>
        <v>13</v>
      </c>
      <c r="Z16" s="85">
        <f>[23]人員・時間計画!$H$25</f>
        <v>34</v>
      </c>
      <c r="AA16" s="85">
        <f>[23]人員・時間計画!$H$26</f>
        <v>48</v>
      </c>
      <c r="AB16" s="85">
        <f>[23]人員・時間計画!$H$11</f>
        <v>12</v>
      </c>
      <c r="AC16" s="85">
        <f>[23]人員・時間計画!$H$12</f>
        <v>13</v>
      </c>
      <c r="AD16" s="85">
        <f>[23]人員・時間計画!$I$25</f>
        <v>42</v>
      </c>
      <c r="AE16" s="85">
        <f>[23]人員・時間計画!$I$26</f>
        <v>48</v>
      </c>
      <c r="AF16" s="85">
        <f>[23]人員・時間計画!$I$11</f>
        <v>12</v>
      </c>
      <c r="AG16" s="85">
        <f>[23]人員・時間計画!$I$12</f>
        <v>13</v>
      </c>
      <c r="AH16" s="85">
        <f>[23]人員・時間計画!$J$25</f>
        <v>36</v>
      </c>
      <c r="AI16" s="85">
        <f>[23]人員・時間計画!$J$26</f>
        <v>48</v>
      </c>
      <c r="AJ16" s="85">
        <f>[23]人員・時間計画!$J$11</f>
        <v>12</v>
      </c>
      <c r="AK16" s="85">
        <f>[23]人員・時間計画!$J$12</f>
        <v>13</v>
      </c>
      <c r="AL16" s="85">
        <f>[23]人員・時間計画!$K$25</f>
        <v>40</v>
      </c>
      <c r="AM16" s="85">
        <f>[23]人員・時間計画!$K$26</f>
        <v>48</v>
      </c>
      <c r="AN16" s="85">
        <f>[23]人員・時間計画!$K$11</f>
        <v>12</v>
      </c>
      <c r="AO16" s="85">
        <f>[23]人員・時間計画!$K$12</f>
        <v>13</v>
      </c>
      <c r="AP16" s="85">
        <f>[23]人員・時間計画!$L$25</f>
        <v>36</v>
      </c>
      <c r="AQ16" s="85">
        <f>[23]人員・時間計画!$L$26</f>
        <v>48</v>
      </c>
      <c r="AR16" s="85">
        <f>[23]人員・時間計画!$L$11</f>
        <v>12</v>
      </c>
      <c r="AS16" s="85">
        <f>[23]人員・時間計画!$L$12</f>
        <v>13</v>
      </c>
      <c r="AT16" s="85">
        <f>[23]人員・時間計画!$M$25</f>
        <v>26</v>
      </c>
      <c r="AU16" s="85">
        <f>[23]人員・時間計画!$M$26</f>
        <v>48</v>
      </c>
      <c r="AV16" s="85">
        <f>[23]人員・時間計画!$M$11</f>
        <v>12</v>
      </c>
      <c r="AW16" s="85">
        <f>[23]人員・時間計画!$M$12</f>
        <v>13</v>
      </c>
      <c r="AX16" s="85">
        <f>[23]人員・時間計画!$N$25</f>
        <v>36</v>
      </c>
      <c r="AY16" s="85">
        <f>[23]人員・時間計画!$N$26</f>
        <v>48</v>
      </c>
      <c r="AZ16" s="85">
        <f>[23]人員・時間計画!$N$11</f>
        <v>12</v>
      </c>
      <c r="BA16" s="85">
        <f>[23]人員・時間計画!$N$12</f>
        <v>13</v>
      </c>
    </row>
    <row r="17" spans="1:53" ht="14.25" customHeight="1">
      <c r="A17" s="5"/>
      <c r="B17" s="5">
        <v>6371</v>
      </c>
      <c r="C17" s="9" t="str">
        <f>IF($A$1=1,Sheet1!D9,Sheet1!A9)</f>
        <v>工程品質管理部</v>
      </c>
      <c r="D17" s="4"/>
      <c r="E17" s="4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</row>
    <row r="18" spans="1:53" ht="14.25" customHeight="1">
      <c r="A18" s="13"/>
      <c r="B18" s="13"/>
      <c r="C18" s="12"/>
      <c r="D18" s="6" t="str">
        <f>IF($A$1=1,Sheet1!C10,Sheet1!B10)</f>
        <v>工程品質管理1課</v>
      </c>
      <c r="E18" s="6">
        <v>1412000053</v>
      </c>
      <c r="F18" s="84">
        <f>[24]人員・時間計画!$C$25</f>
        <v>2395</v>
      </c>
      <c r="G18" s="84">
        <f>[24]人員・時間計画!$C$26</f>
        <v>2550</v>
      </c>
      <c r="H18" s="84">
        <f>[24]人員・時間計画!$C$11</f>
        <v>94</v>
      </c>
      <c r="I18" s="84">
        <f>[24]人員・時間計画!$C$12</f>
        <v>102</v>
      </c>
      <c r="J18" s="84">
        <f>[24]人員・時間計画!$D$25</f>
        <v>2389</v>
      </c>
      <c r="K18" s="84">
        <f>[24]人員・時間計画!$D$26</f>
        <v>2550</v>
      </c>
      <c r="L18" s="84">
        <f>[24]人員・時間計画!$D$11</f>
        <v>94</v>
      </c>
      <c r="M18" s="84">
        <f>[24]人員・時間計画!$D$12</f>
        <v>102</v>
      </c>
      <c r="N18" s="84">
        <f>[24]人員・時間計画!$E$25</f>
        <v>2401</v>
      </c>
      <c r="O18" s="84">
        <f>[24]人員・時間計画!$E$26</f>
        <v>2550</v>
      </c>
      <c r="P18" s="84">
        <f>[24]人員・時間計画!$E$11</f>
        <v>94</v>
      </c>
      <c r="Q18" s="84">
        <f>[24]人員・時間計画!$E$12</f>
        <v>102</v>
      </c>
      <c r="R18" s="84">
        <f>[24]人員・時間計画!$F$25</f>
        <v>2613</v>
      </c>
      <c r="S18" s="84">
        <f>[24]人員・時間計画!$F$26</f>
        <v>2350</v>
      </c>
      <c r="T18" s="84">
        <f>[24]人員・時間計画!$F$11</f>
        <v>102</v>
      </c>
      <c r="U18" s="84">
        <f>[24]人員・時間計画!$F$12</f>
        <v>94</v>
      </c>
      <c r="V18" s="84">
        <f>[24]人員・時間計画!$G$25</f>
        <v>2595</v>
      </c>
      <c r="W18" s="84">
        <f>[24]人員・時間計画!$G$26</f>
        <v>2350</v>
      </c>
      <c r="X18" s="84">
        <f>[24]人員・時間計画!$G$11</f>
        <v>102</v>
      </c>
      <c r="Y18" s="84">
        <f>[24]人員・時間計画!$G$12</f>
        <v>94</v>
      </c>
      <c r="Z18" s="84">
        <f>[24]人員・時間計画!$H$25</f>
        <v>2589</v>
      </c>
      <c r="AA18" s="84">
        <f>[24]人員・時間計画!$H$26</f>
        <v>2350</v>
      </c>
      <c r="AB18" s="84">
        <f>[24]人員・時間計画!$H$11</f>
        <v>102</v>
      </c>
      <c r="AC18" s="84">
        <f>[24]人員・時間計画!$H$12</f>
        <v>94</v>
      </c>
      <c r="AD18" s="84">
        <f>[24]人員・時間計画!$I$25</f>
        <v>2638</v>
      </c>
      <c r="AE18" s="84">
        <f>[24]人員・時間計画!$I$26</f>
        <v>2425</v>
      </c>
      <c r="AF18" s="84">
        <f>[24]人員・時間計画!$I$11</f>
        <v>103</v>
      </c>
      <c r="AG18" s="84">
        <f>[24]人員・時間計画!$I$12</f>
        <v>97</v>
      </c>
      <c r="AH18" s="84">
        <f>[24]人員・時間計画!$J$25</f>
        <v>2620</v>
      </c>
      <c r="AI18" s="84">
        <f>[24]人員・時間計画!$J$26</f>
        <v>2425</v>
      </c>
      <c r="AJ18" s="84">
        <f>[24]人員・時間計画!$J$11</f>
        <v>103</v>
      </c>
      <c r="AK18" s="84">
        <f>[24]人員・時間計画!$J$12</f>
        <v>97</v>
      </c>
      <c r="AL18" s="84">
        <f>[24]人員・時間計画!$K$25</f>
        <v>2632</v>
      </c>
      <c r="AM18" s="84">
        <f>[24]人員・時間計画!$K$26</f>
        <v>2425</v>
      </c>
      <c r="AN18" s="84">
        <f>[24]人員・時間計画!$K$11</f>
        <v>103</v>
      </c>
      <c r="AO18" s="84">
        <f>[24]人員・時間計画!$K$12</f>
        <v>97</v>
      </c>
      <c r="AP18" s="84">
        <f>[24]人員・時間計画!$L$25</f>
        <v>2795</v>
      </c>
      <c r="AQ18" s="84">
        <f>[24]人員・時間計画!$L$26</f>
        <v>2275</v>
      </c>
      <c r="AR18" s="84">
        <f>[24]人員・時間計画!$L$11</f>
        <v>110</v>
      </c>
      <c r="AS18" s="84">
        <f>[24]人員・時間計画!$L$12</f>
        <v>91</v>
      </c>
      <c r="AT18" s="84">
        <f>[24]人員・時間計画!$M$25</f>
        <v>2765</v>
      </c>
      <c r="AU18" s="84">
        <f>[24]人員・時間計画!$M$26</f>
        <v>2700</v>
      </c>
      <c r="AV18" s="84">
        <f>[24]人員・時間計画!$M$11</f>
        <v>110</v>
      </c>
      <c r="AW18" s="84">
        <f>[24]人員・時間計画!$M$12</f>
        <v>108</v>
      </c>
      <c r="AX18" s="84">
        <f>[24]人員・時間計画!$N$25</f>
        <v>2795</v>
      </c>
      <c r="AY18" s="84">
        <f>[24]人員・時間計画!$N$26</f>
        <v>2700</v>
      </c>
      <c r="AZ18" s="84">
        <f>[24]人員・時間計画!$N$11</f>
        <v>110</v>
      </c>
      <c r="BA18" s="84">
        <f>[24]人員・時間計画!$N$12</f>
        <v>108</v>
      </c>
    </row>
    <row r="19" spans="1:53" ht="19.5" customHeight="1">
      <c r="A19" s="3"/>
      <c r="B19" s="3"/>
      <c r="C19" s="1"/>
      <c r="D19" s="2" t="str">
        <f>IF($A$1=1,Sheet1!C11,Sheet1!B11)</f>
        <v>工程品質管理2課</v>
      </c>
      <c r="E19" s="2">
        <v>1412000075</v>
      </c>
      <c r="F19" s="85">
        <f>[25]人員・時間計画!$C$25</f>
        <v>48</v>
      </c>
      <c r="G19" s="85">
        <f>[25]人員・時間計画!$C$26</f>
        <v>0</v>
      </c>
      <c r="H19" s="85">
        <f>[25]人員・時間計画!$C$11</f>
        <v>7</v>
      </c>
      <c r="I19" s="85">
        <f>[25]人員・時間計画!$C$12</f>
        <v>1</v>
      </c>
      <c r="J19" s="85">
        <f>[25]人員・時間計画!$D$25</f>
        <v>46</v>
      </c>
      <c r="K19" s="85">
        <f>[25]人員・時間計画!$D$26</f>
        <v>0</v>
      </c>
      <c r="L19" s="85">
        <f>[25]人員・時間計画!$D$11</f>
        <v>7</v>
      </c>
      <c r="M19" s="85">
        <f>[25]人員・時間計画!$D$12</f>
        <v>1</v>
      </c>
      <c r="N19" s="85">
        <f>[25]人員・時間計画!$E$25</f>
        <v>50</v>
      </c>
      <c r="O19" s="85">
        <f>[25]人員・時間計画!$E$26</f>
        <v>0</v>
      </c>
      <c r="P19" s="85">
        <f>[25]人員・時間計画!$E$11</f>
        <v>7</v>
      </c>
      <c r="Q19" s="85">
        <f>[25]人員・時間計画!$E$12</f>
        <v>1</v>
      </c>
      <c r="R19" s="85">
        <f>[25]人員・時間計画!$F$25</f>
        <v>54</v>
      </c>
      <c r="S19" s="85">
        <f>[25]人員・時間計画!$F$26</f>
        <v>0</v>
      </c>
      <c r="T19" s="85">
        <f>[25]人員・時間計画!$F$11</f>
        <v>7</v>
      </c>
      <c r="U19" s="85">
        <f>[25]人員・時間計画!$F$12</f>
        <v>1</v>
      </c>
      <c r="V19" s="85">
        <f>[25]人員・時間計画!$G$25</f>
        <v>48</v>
      </c>
      <c r="W19" s="85">
        <f>[25]人員・時間計画!$G$26</f>
        <v>0</v>
      </c>
      <c r="X19" s="85">
        <f>[25]人員・時間計画!$G$11</f>
        <v>7</v>
      </c>
      <c r="Y19" s="85">
        <f>[25]人員・時間計画!$G$12</f>
        <v>1</v>
      </c>
      <c r="Z19" s="85">
        <f>[25]人員・時間計画!$H$25</f>
        <v>46</v>
      </c>
      <c r="AA19" s="85">
        <f>[25]人員・時間計画!$H$26</f>
        <v>0</v>
      </c>
      <c r="AB19" s="85">
        <f>[25]人員・時間計画!$H$11</f>
        <v>7</v>
      </c>
      <c r="AC19" s="85">
        <f>[25]人員・時間計画!$H$12</f>
        <v>1</v>
      </c>
      <c r="AD19" s="85">
        <f>[25]人員・時間計画!$I$25</f>
        <v>54</v>
      </c>
      <c r="AE19" s="85">
        <f>[25]人員・時間計画!$I$26</f>
        <v>0</v>
      </c>
      <c r="AF19" s="85">
        <f>[25]人員・時間計画!$I$11</f>
        <v>7</v>
      </c>
      <c r="AG19" s="85">
        <f>[25]人員・時間計画!$I$12</f>
        <v>2</v>
      </c>
      <c r="AH19" s="85">
        <f>[25]人員・時間計画!$J$25</f>
        <v>48</v>
      </c>
      <c r="AI19" s="85">
        <f>[25]人員・時間計画!$J$26</f>
        <v>0</v>
      </c>
      <c r="AJ19" s="85">
        <f>[25]人員・時間計画!$J$11</f>
        <v>7</v>
      </c>
      <c r="AK19" s="85">
        <f>[25]人員・時間計画!$J$12</f>
        <v>2</v>
      </c>
      <c r="AL19" s="85">
        <f>[25]人員・時間計画!$K$25</f>
        <v>52</v>
      </c>
      <c r="AM19" s="85">
        <f>[25]人員・時間計画!$K$26</f>
        <v>0</v>
      </c>
      <c r="AN19" s="85">
        <f>[25]人員・時間計画!$K$11</f>
        <v>7</v>
      </c>
      <c r="AO19" s="85">
        <f>[25]人員・時間計画!$K$12</f>
        <v>2</v>
      </c>
      <c r="AP19" s="85">
        <f>[25]人員・時間計画!$L$25</f>
        <v>48</v>
      </c>
      <c r="AQ19" s="85">
        <f>[25]人員・時間計画!$L$26</f>
        <v>0</v>
      </c>
      <c r="AR19" s="85">
        <f>[25]人員・時間計画!$L$11</f>
        <v>8</v>
      </c>
      <c r="AS19" s="85">
        <f>[25]人員・時間計画!$L$12</f>
        <v>1</v>
      </c>
      <c r="AT19" s="85">
        <f>[25]人員・時間計画!$M$25</f>
        <v>38</v>
      </c>
      <c r="AU19" s="85">
        <f>[25]人員・時間計画!$M$26</f>
        <v>0</v>
      </c>
      <c r="AV19" s="85">
        <f>[25]人員・時間計画!$M$11</f>
        <v>8</v>
      </c>
      <c r="AW19" s="85">
        <f>[25]人員・時間計画!$M$12</f>
        <v>1</v>
      </c>
      <c r="AX19" s="85">
        <f>[25]人員・時間計画!$N$25</f>
        <v>48</v>
      </c>
      <c r="AY19" s="85">
        <f>[25]人員・時間計画!$N$26</f>
        <v>0</v>
      </c>
      <c r="AZ19" s="85">
        <f>[25]人員・時間計画!$N$11</f>
        <v>8</v>
      </c>
      <c r="BA19" s="85">
        <f>[25]人員・時間計画!$N$12</f>
        <v>1</v>
      </c>
    </row>
    <row r="20" spans="1:53" ht="14.25" customHeight="1">
      <c r="A20" s="13"/>
      <c r="B20" s="13">
        <v>6371</v>
      </c>
      <c r="C20" s="12" t="str">
        <f>IF($A$1=1,Sheet1!D24,Sheet1!A24)</f>
        <v>生産管理部</v>
      </c>
      <c r="D20" s="21"/>
      <c r="E20" s="21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</row>
    <row r="21" spans="1:53" ht="19.5" customHeight="1">
      <c r="A21" s="8"/>
      <c r="B21" s="8"/>
      <c r="C21" s="7"/>
      <c r="D21" s="6" t="str">
        <f>IF($A$1=1,Sheet1!C25,Sheet1!B25)</f>
        <v>生産管理課</v>
      </c>
      <c r="E21" s="6">
        <v>1412000008</v>
      </c>
      <c r="F21" s="84">
        <f>[26]人員・時間計画!$C$25</f>
        <v>112</v>
      </c>
      <c r="G21" s="84">
        <f>[26]人員・時間計画!$C$26</f>
        <v>0</v>
      </c>
      <c r="H21" s="84">
        <f>[26]人員・時間計画!$C$11</f>
        <v>10</v>
      </c>
      <c r="I21" s="84">
        <f>[26]人員・時間計画!$C$12</f>
        <v>0</v>
      </c>
      <c r="J21" s="84">
        <f>[26]人員・時間計画!$D$25</f>
        <v>108</v>
      </c>
      <c r="K21" s="84">
        <f>[26]人員・時間計画!$D$26</f>
        <v>0</v>
      </c>
      <c r="L21" s="84">
        <f>[26]人員・時間計画!$D$11</f>
        <v>10</v>
      </c>
      <c r="M21" s="84">
        <f>[26]人員・時間計画!$D$12</f>
        <v>0</v>
      </c>
      <c r="N21" s="84">
        <f>[26]人員・時間計画!$E$25</f>
        <v>120</v>
      </c>
      <c r="O21" s="84">
        <f>[26]人員・時間計画!$E$26</f>
        <v>0</v>
      </c>
      <c r="P21" s="84">
        <f>[26]人員・時間計画!$E$11</f>
        <v>10</v>
      </c>
      <c r="Q21" s="84">
        <f>[26]人員・時間計画!$E$12</f>
        <v>0</v>
      </c>
      <c r="R21" s="84">
        <f>[26]人員・時間計画!$F$25</f>
        <v>132</v>
      </c>
      <c r="S21" s="84">
        <f>[26]人員・時間計画!$F$26</f>
        <v>0</v>
      </c>
      <c r="T21" s="84">
        <f>[26]人員・時間計画!$F$11</f>
        <v>10</v>
      </c>
      <c r="U21" s="84">
        <f>[26]人員・時間計画!$F$12</f>
        <v>0</v>
      </c>
      <c r="V21" s="84">
        <f>[26]人員・時間計画!$G$25</f>
        <v>124</v>
      </c>
      <c r="W21" s="84">
        <f>[26]人員・時間計画!$G$26</f>
        <v>0</v>
      </c>
      <c r="X21" s="84">
        <f>[26]人員・時間計画!$G$11</f>
        <v>10</v>
      </c>
      <c r="Y21" s="84">
        <f>[26]人員・時間計画!$G$12</f>
        <v>0</v>
      </c>
      <c r="Z21" s="84">
        <f>[26]人員・時間計画!$H$25</f>
        <v>108</v>
      </c>
      <c r="AA21" s="84">
        <f>[26]人員・時間計画!$H$26</f>
        <v>0</v>
      </c>
      <c r="AB21" s="84">
        <f>[26]人員・時間計画!$H$11</f>
        <v>10</v>
      </c>
      <c r="AC21" s="84">
        <f>[26]人員・時間計画!$H$12</f>
        <v>0</v>
      </c>
      <c r="AD21" s="84">
        <f>[26]人員・時間計画!$I$25</f>
        <v>132</v>
      </c>
      <c r="AE21" s="84">
        <f>[26]人員・時間計画!$I$26</f>
        <v>0</v>
      </c>
      <c r="AF21" s="84">
        <f>[26]人員・時間計画!$I$11</f>
        <v>10</v>
      </c>
      <c r="AG21" s="84">
        <f>[26]人員・時間計画!$I$12</f>
        <v>0</v>
      </c>
      <c r="AH21" s="84">
        <f>[26]人員・時間計画!$J$25</f>
        <v>112</v>
      </c>
      <c r="AI21" s="84">
        <f>[26]人員・時間計画!$J$26</f>
        <v>0</v>
      </c>
      <c r="AJ21" s="84">
        <f>[26]人員・時間計画!$J$11</f>
        <v>10</v>
      </c>
      <c r="AK21" s="84">
        <f>[26]人員・時間計画!$J$12</f>
        <v>0</v>
      </c>
      <c r="AL21" s="84">
        <f>[26]人員・時間計画!$K$25</f>
        <v>124</v>
      </c>
      <c r="AM21" s="84">
        <f>[26]人員・時間計画!$K$26</f>
        <v>0</v>
      </c>
      <c r="AN21" s="84">
        <f>[26]人員・時間計画!$K$11</f>
        <v>10</v>
      </c>
      <c r="AO21" s="84">
        <f>[26]人員・時間計画!$K$12</f>
        <v>0</v>
      </c>
      <c r="AP21" s="84">
        <f>[26]人員・時間計画!$L$25</f>
        <v>114</v>
      </c>
      <c r="AQ21" s="84">
        <f>[26]人員・時間計画!$L$26</f>
        <v>0</v>
      </c>
      <c r="AR21" s="84">
        <f>[26]人員・時間計画!$L$11</f>
        <v>10</v>
      </c>
      <c r="AS21" s="84">
        <f>[26]人員・時間計画!$L$12</f>
        <v>0</v>
      </c>
      <c r="AT21" s="84">
        <f>[26]人員・時間計画!$M$25</f>
        <v>94</v>
      </c>
      <c r="AU21" s="84">
        <f>[26]人員・時間計画!$M$26</f>
        <v>0</v>
      </c>
      <c r="AV21" s="84">
        <f>[26]人員・時間計画!$M$11</f>
        <v>10</v>
      </c>
      <c r="AW21" s="84">
        <f>[26]人員・時間計画!$M$12</f>
        <v>0</v>
      </c>
      <c r="AX21" s="84">
        <f>[26]人員・時間計画!$N$25</f>
        <v>114</v>
      </c>
      <c r="AY21" s="84">
        <f>[26]人員・時間計画!$N$26</f>
        <v>0</v>
      </c>
      <c r="AZ21" s="84">
        <f>[26]人員・時間計画!$N$11</f>
        <v>10</v>
      </c>
      <c r="BA21" s="84">
        <f>[26]人員・時間計画!$N$12</f>
        <v>0</v>
      </c>
    </row>
    <row r="22" spans="1:53" ht="19.5" customHeight="1">
      <c r="A22" s="8"/>
      <c r="B22" s="8"/>
      <c r="C22" s="7"/>
      <c r="D22" s="6" t="str">
        <f>IF($A$1=1,Sheet1!C26,Sheet1!B26)</f>
        <v>採算管理課</v>
      </c>
      <c r="E22" s="6">
        <v>1412000010</v>
      </c>
      <c r="F22" s="84">
        <f>[27]人員・時間計画!$C$25</f>
        <v>76</v>
      </c>
      <c r="G22" s="84">
        <f>[27]人員・時間計画!$C$26</f>
        <v>0</v>
      </c>
      <c r="H22" s="84">
        <f>[27]人員・時間計画!$C$11</f>
        <v>6</v>
      </c>
      <c r="I22" s="84">
        <f>[27]人員・時間計画!$C$12</f>
        <v>0</v>
      </c>
      <c r="J22" s="84">
        <f>[27]人員・時間計画!$D$25</f>
        <v>72</v>
      </c>
      <c r="K22" s="84">
        <f>[27]人員・時間計画!$D$26</f>
        <v>0</v>
      </c>
      <c r="L22" s="84">
        <f>[27]人員・時間計画!$D$11</f>
        <v>6</v>
      </c>
      <c r="M22" s="84">
        <f>[27]人員・時間計画!$D$12</f>
        <v>0</v>
      </c>
      <c r="N22" s="84">
        <f>[27]人員・時間計画!$E$25</f>
        <v>80</v>
      </c>
      <c r="O22" s="84">
        <f>[27]人員・時間計画!$E$26</f>
        <v>0</v>
      </c>
      <c r="P22" s="84">
        <f>[27]人員・時間計画!$E$11</f>
        <v>6</v>
      </c>
      <c r="Q22" s="84">
        <f>[27]人員・時間計画!$E$12</f>
        <v>0</v>
      </c>
      <c r="R22" s="84">
        <f>[27]人員・時間計画!$F$25</f>
        <v>88</v>
      </c>
      <c r="S22" s="84">
        <f>[27]人員・時間計画!$F$26</f>
        <v>0</v>
      </c>
      <c r="T22" s="84">
        <f>[27]人員・時間計画!$F$11</f>
        <v>6</v>
      </c>
      <c r="U22" s="84">
        <f>[27]人員・時間計画!$F$12</f>
        <v>0</v>
      </c>
      <c r="V22" s="84">
        <f>[27]人員・時間計画!$G$25</f>
        <v>76</v>
      </c>
      <c r="W22" s="84">
        <f>[27]人員・時間計画!$G$26</f>
        <v>0</v>
      </c>
      <c r="X22" s="84">
        <f>[27]人員・時間計画!$G$11</f>
        <v>6</v>
      </c>
      <c r="Y22" s="84">
        <f>[27]人員・時間計画!$G$12</f>
        <v>0</v>
      </c>
      <c r="Z22" s="84">
        <f>[27]人員・時間計画!$H$25</f>
        <v>84.75</v>
      </c>
      <c r="AA22" s="84">
        <f>[27]人員・時間計画!$H$26</f>
        <v>0</v>
      </c>
      <c r="AB22" s="84">
        <f>[27]人員・時間計画!$H$11</f>
        <v>6</v>
      </c>
      <c r="AC22" s="84">
        <f>[27]人員・時間計画!$H$12</f>
        <v>0</v>
      </c>
      <c r="AD22" s="84">
        <f>[27]人員・時間計画!$I$25</f>
        <v>88</v>
      </c>
      <c r="AE22" s="84">
        <f>[27]人員・時間計画!$I$26</f>
        <v>0</v>
      </c>
      <c r="AF22" s="84">
        <f>[27]人員・時間計画!$I$11</f>
        <v>6</v>
      </c>
      <c r="AG22" s="84">
        <f>[27]人員・時間計画!$I$12</f>
        <v>0</v>
      </c>
      <c r="AH22" s="84">
        <f>[27]人員・時間計画!$J$25</f>
        <v>76</v>
      </c>
      <c r="AI22" s="84">
        <f>[27]人員・時間計画!$J$26</f>
        <v>0</v>
      </c>
      <c r="AJ22" s="84">
        <f>[27]人員・時間計画!$J$11</f>
        <v>6</v>
      </c>
      <c r="AK22" s="84">
        <f>[27]人員・時間計画!$J$12</f>
        <v>0</v>
      </c>
      <c r="AL22" s="84">
        <f>[27]人員・時間計画!$K$25</f>
        <v>84</v>
      </c>
      <c r="AM22" s="84">
        <f>[27]人員・時間計画!$K$26</f>
        <v>0</v>
      </c>
      <c r="AN22" s="84">
        <f>[27]人員・時間計画!$K$11</f>
        <v>6</v>
      </c>
      <c r="AO22" s="84">
        <f>[27]人員・時間計画!$K$12</f>
        <v>0</v>
      </c>
      <c r="AP22" s="84">
        <f>[27]人員・時間計画!$L$25</f>
        <v>76</v>
      </c>
      <c r="AQ22" s="84">
        <f>[27]人員・時間計画!$L$26</f>
        <v>0</v>
      </c>
      <c r="AR22" s="84">
        <f>[27]人員・時間計画!$L$11</f>
        <v>6</v>
      </c>
      <c r="AS22" s="84">
        <f>[27]人員・時間計画!$L$12</f>
        <v>0</v>
      </c>
      <c r="AT22" s="84">
        <f>[27]人員・時間計画!$M$25</f>
        <v>60</v>
      </c>
      <c r="AU22" s="84">
        <f>[27]人員・時間計画!$M$26</f>
        <v>0</v>
      </c>
      <c r="AV22" s="84">
        <f>[27]人員・時間計画!$M$11</f>
        <v>6</v>
      </c>
      <c r="AW22" s="84">
        <f>[27]人員・時間計画!$M$12</f>
        <v>0</v>
      </c>
      <c r="AX22" s="84">
        <f>[27]人員・時間計画!$N$25</f>
        <v>88.75</v>
      </c>
      <c r="AY22" s="84">
        <f>[27]人員・時間計画!$N$26</f>
        <v>0</v>
      </c>
      <c r="AZ22" s="84">
        <f>[27]人員・時間計画!$N$11</f>
        <v>6</v>
      </c>
      <c r="BA22" s="84">
        <f>[27]人員・時間計画!$N$12</f>
        <v>0</v>
      </c>
    </row>
    <row r="23" spans="1:53" ht="19.5" customHeight="1">
      <c r="A23" s="78"/>
      <c r="B23" s="78"/>
      <c r="C23" s="79"/>
      <c r="D23" s="80" t="str">
        <f>IF($A$1=1,Sheet1!C27,Sheet1!B27)</f>
        <v>マスター管理課</v>
      </c>
      <c r="E23" s="80">
        <v>1412000054</v>
      </c>
      <c r="F23" s="87">
        <f>[28]人員・時間計画!$C$25</f>
        <v>152</v>
      </c>
      <c r="G23" s="87">
        <f>[28]人員・時間計画!$C$26</f>
        <v>0</v>
      </c>
      <c r="H23" s="87">
        <f>[28]人員・時間計画!$C$11</f>
        <v>15</v>
      </c>
      <c r="I23" s="87">
        <f>[28]人員・時間計画!$C$12</f>
        <v>1</v>
      </c>
      <c r="J23" s="87">
        <f>[28]人員・時間計画!$D$25</f>
        <v>144</v>
      </c>
      <c r="K23" s="87">
        <f>[28]人員・時間計画!$D$26</f>
        <v>0</v>
      </c>
      <c r="L23" s="87">
        <f>[28]人員・時間計画!$D$11</f>
        <v>16</v>
      </c>
      <c r="M23" s="87">
        <f>[28]人員・時間計画!$D$12</f>
        <v>1</v>
      </c>
      <c r="N23" s="87">
        <f>[28]人員・時間計画!$E$25</f>
        <v>160</v>
      </c>
      <c r="O23" s="87">
        <f>[28]人員・時間計画!$E$26</f>
        <v>0</v>
      </c>
      <c r="P23" s="87">
        <f>[28]人員・時間計画!$E$11</f>
        <v>16</v>
      </c>
      <c r="Q23" s="87">
        <f>[28]人員・時間計画!$E$12</f>
        <v>1</v>
      </c>
      <c r="R23" s="87">
        <f>[28]人員・時間計画!$F$25</f>
        <v>176</v>
      </c>
      <c r="S23" s="87">
        <f>[28]人員・時間計画!$F$26</f>
        <v>0</v>
      </c>
      <c r="T23" s="87">
        <f>[28]人員・時間計画!$F$11</f>
        <v>16</v>
      </c>
      <c r="U23" s="87">
        <f>[28]人員・時間計画!$F$12</f>
        <v>1</v>
      </c>
      <c r="V23" s="87">
        <f>[28]人員・時間計画!$G$25</f>
        <v>177.5</v>
      </c>
      <c r="W23" s="87">
        <f>[28]人員・時間計画!$G$26</f>
        <v>0</v>
      </c>
      <c r="X23" s="87">
        <f>[28]人員・時間計画!$G$11</f>
        <v>16</v>
      </c>
      <c r="Y23" s="87">
        <f>[28]人員・時間計画!$G$12</f>
        <v>1</v>
      </c>
      <c r="Z23" s="87">
        <f>[28]人員・時間計画!$H$25</f>
        <v>144</v>
      </c>
      <c r="AA23" s="87">
        <f>[28]人員・時間計画!$H$26</f>
        <v>0</v>
      </c>
      <c r="AB23" s="87">
        <f>[28]人員・時間計画!$H$11</f>
        <v>16</v>
      </c>
      <c r="AC23" s="87">
        <f>[28]人員・時間計画!$H$12</f>
        <v>1</v>
      </c>
      <c r="AD23" s="87">
        <f>[28]人員・時間計画!$I$25</f>
        <v>176</v>
      </c>
      <c r="AE23" s="87">
        <f>[28]人員・時間計画!$I$26</f>
        <v>0</v>
      </c>
      <c r="AF23" s="87">
        <f>[28]人員・時間計画!$I$11</f>
        <v>16</v>
      </c>
      <c r="AG23" s="87">
        <f>[28]人員・時間計画!$I$12</f>
        <v>1</v>
      </c>
      <c r="AH23" s="87">
        <f>[28]人員・時間計画!$J$25</f>
        <v>152</v>
      </c>
      <c r="AI23" s="87">
        <f>[28]人員・時間計画!$J$26</f>
        <v>0</v>
      </c>
      <c r="AJ23" s="87">
        <f>[28]人員・時間計画!$J$11</f>
        <v>16</v>
      </c>
      <c r="AK23" s="87">
        <f>[28]人員・時間計画!$J$12</f>
        <v>1</v>
      </c>
      <c r="AL23" s="87">
        <f>[28]人員・時間計画!$K$25</f>
        <v>168</v>
      </c>
      <c r="AM23" s="87">
        <f>[28]人員・時間計画!$K$26</f>
        <v>0</v>
      </c>
      <c r="AN23" s="87">
        <f>[28]人員・時間計画!$K$11</f>
        <v>16</v>
      </c>
      <c r="AO23" s="87">
        <f>[28]人員・時間計画!$K$12</f>
        <v>1</v>
      </c>
      <c r="AP23" s="87">
        <f>[28]人員・時間計画!$L$25</f>
        <v>152</v>
      </c>
      <c r="AQ23" s="87">
        <f>[28]人員・時間計画!$L$26</f>
        <v>0</v>
      </c>
      <c r="AR23" s="87">
        <f>[28]人員・時間計画!$L$11</f>
        <v>16</v>
      </c>
      <c r="AS23" s="87">
        <f>[28]人員・時間計画!$L$12</f>
        <v>1</v>
      </c>
      <c r="AT23" s="87">
        <f>[28]人員・時間計画!$M$25</f>
        <v>137.5</v>
      </c>
      <c r="AU23" s="87">
        <f>[28]人員・時間計画!$M$26</f>
        <v>0</v>
      </c>
      <c r="AV23" s="87">
        <f>[28]人員・時間計画!$M$11</f>
        <v>16</v>
      </c>
      <c r="AW23" s="87">
        <f>[28]人員・時間計画!$M$12</f>
        <v>1</v>
      </c>
      <c r="AX23" s="87">
        <f>[28]人員・時間計画!$N$25</f>
        <v>152</v>
      </c>
      <c r="AY23" s="87">
        <f>[28]人員・時間計画!$N$26</f>
        <v>0</v>
      </c>
      <c r="AZ23" s="87">
        <f>[28]人員・時間計画!$N$11</f>
        <v>16</v>
      </c>
      <c r="BA23" s="87">
        <f>[28]人員・時間計画!$N$12</f>
        <v>1</v>
      </c>
    </row>
    <row r="24" spans="1:53" ht="19.5" customHeight="1">
      <c r="A24" s="3"/>
      <c r="B24" s="3"/>
      <c r="C24" s="1"/>
      <c r="D24" s="80" t="str">
        <f>IF($A$1=1,Sheet1!C28,Sheet1!B28)</f>
        <v>OC管理課</v>
      </c>
      <c r="E24" s="2">
        <v>1412000094</v>
      </c>
      <c r="F24" s="85">
        <f>[29]人員・時間計画!$C$25</f>
        <v>40</v>
      </c>
      <c r="G24" s="85">
        <f>[29]人員・時間計画!$C$26</f>
        <v>0</v>
      </c>
      <c r="H24" s="85">
        <f>[29]人員・時間計画!$C$11</f>
        <v>3</v>
      </c>
      <c r="I24" s="85">
        <f>[29]人員・時間計画!$C$12</f>
        <v>0</v>
      </c>
      <c r="J24" s="85">
        <f>[29]人員・時間計画!$D$25</f>
        <v>38</v>
      </c>
      <c r="K24" s="85">
        <f>[29]人員・時間計画!$D$26</f>
        <v>0</v>
      </c>
      <c r="L24" s="85">
        <f>[29]人員・時間計画!$D$11</f>
        <v>3</v>
      </c>
      <c r="M24" s="85">
        <f>[29]人員・時間計画!$D$12</f>
        <v>0</v>
      </c>
      <c r="N24" s="85">
        <f>[29]人員・時間計画!$E$25</f>
        <v>42</v>
      </c>
      <c r="O24" s="85">
        <f>[29]人員・時間計画!$E$26</f>
        <v>0</v>
      </c>
      <c r="P24" s="85">
        <f>[29]人員・時間計画!$E$11</f>
        <v>3</v>
      </c>
      <c r="Q24" s="85">
        <f>[29]人員・時間計画!$E$12</f>
        <v>0</v>
      </c>
      <c r="R24" s="85">
        <f>[29]人員・時間計画!$F$25</f>
        <v>46</v>
      </c>
      <c r="S24" s="85">
        <f>[29]人員・時間計画!$F$26</f>
        <v>0</v>
      </c>
      <c r="T24" s="85">
        <f>[29]人員・時間計画!$F$11</f>
        <v>3</v>
      </c>
      <c r="U24" s="85">
        <f>[29]人員・時間計画!$F$12</f>
        <v>0</v>
      </c>
      <c r="V24" s="85">
        <f>[29]人員・時間計画!$G$25</f>
        <v>40</v>
      </c>
      <c r="W24" s="85">
        <f>[29]人員・時間計画!$G$26</f>
        <v>4</v>
      </c>
      <c r="X24" s="85">
        <f>[29]人員・時間計画!$G$11</f>
        <v>3</v>
      </c>
      <c r="Y24" s="85">
        <f>[29]人員・時間計画!$G$12</f>
        <v>0</v>
      </c>
      <c r="Z24" s="85">
        <f>[29]人員・時間計画!$H$25</f>
        <v>38</v>
      </c>
      <c r="AA24" s="85">
        <f>[29]人員・時間計画!$H$26</f>
        <v>0</v>
      </c>
      <c r="AB24" s="85">
        <f>[29]人員・時間計画!$H$11</f>
        <v>3</v>
      </c>
      <c r="AC24" s="85">
        <f>[29]人員・時間計画!$H$12</f>
        <v>0</v>
      </c>
      <c r="AD24" s="85">
        <f>[29]人員・時間計画!$I$25</f>
        <v>46</v>
      </c>
      <c r="AE24" s="85">
        <f>[29]人員・時間計画!$I$26</f>
        <v>0</v>
      </c>
      <c r="AF24" s="85">
        <f>[29]人員・時間計画!$I$11</f>
        <v>3</v>
      </c>
      <c r="AG24" s="85">
        <f>[29]人員・時間計画!$I$12</f>
        <v>0</v>
      </c>
      <c r="AH24" s="85">
        <f>[29]人員・時間計画!$J$25</f>
        <v>40</v>
      </c>
      <c r="AI24" s="85">
        <f>[29]人員・時間計画!$J$26</f>
        <v>0</v>
      </c>
      <c r="AJ24" s="85">
        <f>[29]人員・時間計画!$J$11</f>
        <v>3</v>
      </c>
      <c r="AK24" s="85">
        <f>[29]人員・時間計画!$J$12</f>
        <v>0</v>
      </c>
      <c r="AL24" s="85">
        <f>[29]人員・時間計画!$K$25</f>
        <v>44</v>
      </c>
      <c r="AM24" s="85">
        <f>[29]人員・時間計画!$K$26</f>
        <v>0</v>
      </c>
      <c r="AN24" s="85">
        <f>[29]人員・時間計画!$K$11</f>
        <v>3</v>
      </c>
      <c r="AO24" s="85">
        <f>[29]人員・時間計画!$K$12</f>
        <v>0</v>
      </c>
      <c r="AP24" s="85">
        <f>[29]人員・時間計画!$L$25</f>
        <v>40</v>
      </c>
      <c r="AQ24" s="85">
        <f>[29]人員・時間計画!$L$26</f>
        <v>0</v>
      </c>
      <c r="AR24" s="85">
        <f>[29]人員・時間計画!$L$11</f>
        <v>3</v>
      </c>
      <c r="AS24" s="85">
        <f>[29]人員・時間計画!$L$12</f>
        <v>0</v>
      </c>
      <c r="AT24" s="85">
        <f>[29]人員・時間計画!$M$25</f>
        <v>30</v>
      </c>
      <c r="AU24" s="85">
        <f>[29]人員・時間計画!$M$26</f>
        <v>4</v>
      </c>
      <c r="AV24" s="85">
        <f>[29]人員・時間計画!$M$11</f>
        <v>3</v>
      </c>
      <c r="AW24" s="85">
        <f>[29]人員・時間計画!$M$12</f>
        <v>0</v>
      </c>
      <c r="AX24" s="85">
        <f>[29]人員・時間計画!$N$25</f>
        <v>40</v>
      </c>
      <c r="AY24" s="85">
        <f>[29]人員・時間計画!$N$26</f>
        <v>0</v>
      </c>
      <c r="AZ24" s="85">
        <f>[29]人員・時間計画!$N$11</f>
        <v>3</v>
      </c>
      <c r="BA24" s="85">
        <f>[29]人員・時間計画!$N$12</f>
        <v>0</v>
      </c>
    </row>
    <row r="25" spans="1:53" ht="14.25" customHeight="1">
      <c r="A25" s="13"/>
      <c r="B25" s="13">
        <v>6371</v>
      </c>
      <c r="C25" s="12" t="str">
        <f>IF($A$1=1,Sheet1!D29,Sheet1!A29)</f>
        <v>物流部</v>
      </c>
      <c r="D25" s="4"/>
      <c r="E25" s="21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</row>
    <row r="26" spans="1:53" ht="19.5" customHeight="1">
      <c r="A26" s="8"/>
      <c r="B26" s="8"/>
      <c r="C26" s="7"/>
      <c r="D26" s="6" t="str">
        <f>IF($A$1=1,Sheet1!C30,Sheet1!B30)</f>
        <v>部品管理課</v>
      </c>
      <c r="E26" s="6">
        <v>1412000036</v>
      </c>
      <c r="F26" s="84">
        <f>[30]人員・時間計画!$C$25</f>
        <v>120</v>
      </c>
      <c r="G26" s="84">
        <f>[30]人員・時間計画!$C$26</f>
        <v>0</v>
      </c>
      <c r="H26" s="84">
        <f>[30]人員・時間計画!$C$11</f>
        <v>35</v>
      </c>
      <c r="I26" s="84">
        <f>[30]人員・時間計画!$C$12</f>
        <v>348</v>
      </c>
      <c r="J26" s="84">
        <f>[30]人員・時間計画!$D$25</f>
        <v>114</v>
      </c>
      <c r="K26" s="84">
        <f>[30]人員・時間計画!$D$26</f>
        <v>0</v>
      </c>
      <c r="L26" s="84">
        <f>[30]人員・時間計画!$D$11</f>
        <v>35</v>
      </c>
      <c r="M26" s="84">
        <f>[30]人員・時間計画!$D$12</f>
        <v>344</v>
      </c>
      <c r="N26" s="84">
        <f>[30]人員・時間計画!$E$25</f>
        <v>126</v>
      </c>
      <c r="O26" s="84">
        <f>[30]人員・時間計画!$E$26</f>
        <v>0</v>
      </c>
      <c r="P26" s="84">
        <f>[30]人員・時間計画!$E$11</f>
        <v>35</v>
      </c>
      <c r="Q26" s="84">
        <f>[30]人員・時間計画!$E$12</f>
        <v>342</v>
      </c>
      <c r="R26" s="84">
        <f>[30]人員・時間計画!$F$25</f>
        <v>138</v>
      </c>
      <c r="S26" s="84">
        <f>[30]人員・時間計画!$F$26</f>
        <v>0</v>
      </c>
      <c r="T26" s="84">
        <f>[30]人員・時間計画!$F$11</f>
        <v>38</v>
      </c>
      <c r="U26" s="84">
        <f>[30]人員・時間計画!$F$12</f>
        <v>337</v>
      </c>
      <c r="V26" s="84">
        <f>[30]人員・時間計画!$G$25</f>
        <v>443</v>
      </c>
      <c r="W26" s="84">
        <f>[30]人員・時間計画!$G$26</f>
        <v>1922</v>
      </c>
      <c r="X26" s="84">
        <f>[30]人員・時間計画!$G$11</f>
        <v>38</v>
      </c>
      <c r="Y26" s="84">
        <f>[30]人員・時間計画!$G$12</f>
        <v>337</v>
      </c>
      <c r="Z26" s="84">
        <f>[30]人員・時間計画!$H$25</f>
        <v>199</v>
      </c>
      <c r="AA26" s="84">
        <f>[30]人員・時間計画!$H$26</f>
        <v>2593</v>
      </c>
      <c r="AB26" s="84">
        <f>[30]人員・時間計画!$H$11</f>
        <v>38</v>
      </c>
      <c r="AC26" s="84">
        <f>[30]人員・時間計画!$H$12</f>
        <v>336</v>
      </c>
      <c r="AD26" s="84">
        <f>[30]人員・時間計画!$I$25</f>
        <v>223</v>
      </c>
      <c r="AE26" s="84">
        <f>[30]人員・時間計画!$I$26</f>
        <v>2619</v>
      </c>
      <c r="AF26" s="84">
        <f>[30]人員・時間計画!$I$11</f>
        <v>38</v>
      </c>
      <c r="AG26" s="84">
        <f>[30]人員・時間計画!$I$12</f>
        <v>334</v>
      </c>
      <c r="AH26" s="84">
        <f>[30]人員・時間計画!$J$25</f>
        <v>205</v>
      </c>
      <c r="AI26" s="84">
        <f>[30]人員・時間計画!$J$26</f>
        <v>1249</v>
      </c>
      <c r="AJ26" s="84">
        <f>[30]人員・時間計画!$J$11</f>
        <v>38</v>
      </c>
      <c r="AK26" s="84">
        <f>[30]人員・時間計画!$J$12</f>
        <v>332</v>
      </c>
      <c r="AL26" s="84">
        <f>[30]人員・時間計画!$K$25</f>
        <v>217</v>
      </c>
      <c r="AM26" s="84">
        <f>[30]人員・時間計画!$K$26</f>
        <v>2988</v>
      </c>
      <c r="AN26" s="84">
        <f>[30]人員・時間計画!$K$11</f>
        <v>38</v>
      </c>
      <c r="AO26" s="84">
        <f>[30]人員・時間計画!$K$12</f>
        <v>330</v>
      </c>
      <c r="AP26" s="84">
        <f>[30]人員・時間計画!$L$25</f>
        <v>205</v>
      </c>
      <c r="AQ26" s="84">
        <f>[30]人員・時間計画!$L$26</f>
        <v>3852</v>
      </c>
      <c r="AR26" s="84">
        <f>[30]人員・時間計画!$L$11</f>
        <v>38</v>
      </c>
      <c r="AS26" s="84">
        <f>[30]人員・時間計画!$L$12</f>
        <v>346</v>
      </c>
      <c r="AT26" s="84">
        <f>[30]人員・時間計画!$M$25</f>
        <v>413</v>
      </c>
      <c r="AU26" s="84">
        <f>[30]人員・時間計画!$M$26</f>
        <v>3456</v>
      </c>
      <c r="AV26" s="84">
        <f>[30]人員・時間計画!$M$11</f>
        <v>38</v>
      </c>
      <c r="AW26" s="84">
        <f>[30]人員・時間計画!$M$12</f>
        <v>361</v>
      </c>
      <c r="AX26" s="84">
        <f>[30]人員・時間計画!$N$25</f>
        <v>205</v>
      </c>
      <c r="AY26" s="84">
        <f>[30]人員・時間計画!$N$26</f>
        <v>3951</v>
      </c>
      <c r="AZ26" s="84">
        <f>[30]人員・時間計画!$N$11</f>
        <v>38</v>
      </c>
      <c r="BA26" s="84">
        <f>[30]人員・時間計画!$N$12</f>
        <v>359</v>
      </c>
    </row>
    <row r="27" spans="1:53" ht="19.5" customHeight="1">
      <c r="A27" s="3"/>
      <c r="B27" s="3"/>
      <c r="C27" s="1"/>
      <c r="D27" s="2" t="str">
        <f>IF($A$1=1,Sheet1!C32,Sheet1!B32)</f>
        <v>物流管理課</v>
      </c>
      <c r="E27" s="2">
        <v>1412000073</v>
      </c>
      <c r="F27" s="84">
        <f>[31]人員・時間計画!$C$25</f>
        <v>0</v>
      </c>
      <c r="G27" s="84">
        <f>[31]人員・時間計画!$C$26</f>
        <v>0</v>
      </c>
      <c r="H27" s="84">
        <f>[31]人員・時間計画!$C$11</f>
        <v>12</v>
      </c>
      <c r="I27" s="84">
        <f>[31]人員・時間計画!$C$12</f>
        <v>5</v>
      </c>
      <c r="J27" s="84">
        <f>[31]人員・時間計画!$D$25</f>
        <v>0</v>
      </c>
      <c r="K27" s="84">
        <f>[31]人員・時間計画!$D$26</f>
        <v>0</v>
      </c>
      <c r="L27" s="84">
        <f>[31]人員・時間計画!$D$11</f>
        <v>12</v>
      </c>
      <c r="M27" s="84">
        <f>[31]人員・時間計画!$D$12</f>
        <v>5</v>
      </c>
      <c r="N27" s="84">
        <f>[31]人員・時間計画!$E$25</f>
        <v>0</v>
      </c>
      <c r="O27" s="84">
        <f>[31]人員・時間計画!$E$26</f>
        <v>0</v>
      </c>
      <c r="P27" s="84">
        <f>[31]人員・時間計画!$E$11</f>
        <v>12</v>
      </c>
      <c r="Q27" s="84">
        <f>[31]人員・時間計画!$E$12</f>
        <v>5</v>
      </c>
      <c r="R27" s="84">
        <f>[31]人員・時間計画!$F$25</f>
        <v>0</v>
      </c>
      <c r="S27" s="84">
        <f>[31]人員・時間計画!$F$26</f>
        <v>0</v>
      </c>
      <c r="T27" s="84">
        <f>[31]人員・時間計画!$F$11</f>
        <v>12</v>
      </c>
      <c r="U27" s="84">
        <f>[31]人員・時間計画!$F$12</f>
        <v>5</v>
      </c>
      <c r="V27" s="84">
        <f>[31]人員・時間計画!$G$25</f>
        <v>16</v>
      </c>
      <c r="W27" s="84">
        <f>[31]人員・時間計画!$G$26</f>
        <v>4</v>
      </c>
      <c r="X27" s="84">
        <f>[31]人員・時間計画!$G$11</f>
        <v>12</v>
      </c>
      <c r="Y27" s="84">
        <f>[31]人員・時間計画!$G$12</f>
        <v>5</v>
      </c>
      <c r="Z27" s="84">
        <f>[31]人員・時間計画!$H$25</f>
        <v>0</v>
      </c>
      <c r="AA27" s="84">
        <f>[31]人員・時間計画!$H$26</f>
        <v>0</v>
      </c>
      <c r="AB27" s="84">
        <f>[31]人員・時間計画!$H$11</f>
        <v>12</v>
      </c>
      <c r="AC27" s="84">
        <f>[31]人員・時間計画!$H$12</f>
        <v>5</v>
      </c>
      <c r="AD27" s="84">
        <f>[31]人員・時間計画!$I$25</f>
        <v>0</v>
      </c>
      <c r="AE27" s="84">
        <f>[31]人員・時間計画!$I$26</f>
        <v>0</v>
      </c>
      <c r="AF27" s="84">
        <f>[31]人員・時間計画!$I$11</f>
        <v>12</v>
      </c>
      <c r="AG27" s="84">
        <f>[31]人員・時間計画!$I$12</f>
        <v>5</v>
      </c>
      <c r="AH27" s="84">
        <f>[31]人員・時間計画!$J$25</f>
        <v>0</v>
      </c>
      <c r="AI27" s="84">
        <f>[31]人員・時間計画!$J$26</f>
        <v>0</v>
      </c>
      <c r="AJ27" s="84">
        <f>[31]人員・時間計画!$J$11</f>
        <v>12</v>
      </c>
      <c r="AK27" s="84">
        <f>[31]人員・時間計画!$J$12</f>
        <v>5</v>
      </c>
      <c r="AL27" s="84">
        <f>[31]人員・時間計画!$K$25</f>
        <v>0</v>
      </c>
      <c r="AM27" s="84">
        <f>[31]人員・時間計画!$K$26</f>
        <v>0</v>
      </c>
      <c r="AN27" s="84">
        <f>[31]人員・時間計画!$K$11</f>
        <v>12</v>
      </c>
      <c r="AO27" s="84">
        <f>[31]人員・時間計画!$K$12</f>
        <v>5</v>
      </c>
      <c r="AP27" s="84">
        <f>[31]人員・時間計画!$L$25</f>
        <v>0</v>
      </c>
      <c r="AQ27" s="84">
        <f>[31]人員・時間計画!$L$26</f>
        <v>0</v>
      </c>
      <c r="AR27" s="84">
        <f>[31]人員・時間計画!$L$11</f>
        <v>12</v>
      </c>
      <c r="AS27" s="84">
        <f>[31]人員・時間計画!$L$12</f>
        <v>5</v>
      </c>
      <c r="AT27" s="84">
        <f>[31]人員・時間計画!$M$25</f>
        <v>16</v>
      </c>
      <c r="AU27" s="84">
        <f>[31]人員・時間計画!$M$26</f>
        <v>2</v>
      </c>
      <c r="AV27" s="84">
        <f>[31]人員・時間計画!$M$11</f>
        <v>12</v>
      </c>
      <c r="AW27" s="84">
        <f>[31]人員・時間計画!$M$12</f>
        <v>5</v>
      </c>
      <c r="AX27" s="84">
        <f>[31]人員・時間計画!$N$25</f>
        <v>0</v>
      </c>
      <c r="AY27" s="84">
        <f>[31]人員・時間計画!$N$26</f>
        <v>0</v>
      </c>
      <c r="AZ27" s="84">
        <f>[31]人員・時間計画!$N$11</f>
        <v>12</v>
      </c>
      <c r="BA27" s="84">
        <f>[31]人員・時間計画!$N$12</f>
        <v>5</v>
      </c>
    </row>
    <row r="28" spans="1:53" ht="19.5" customHeight="1">
      <c r="A28" s="13"/>
      <c r="B28" s="13">
        <v>6371</v>
      </c>
      <c r="C28" s="12" t="str">
        <f>IF($A$1=1,Sheet1!D35,Sheet1!A35)</f>
        <v>製造技術部</v>
      </c>
      <c r="D28" s="22"/>
      <c r="E28" s="22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</row>
    <row r="29" spans="1:53" ht="19.5" customHeight="1">
      <c r="A29" s="8"/>
      <c r="B29" s="8"/>
      <c r="C29" s="7"/>
      <c r="D29" s="6" t="str">
        <f>IF($A$1=1,Sheet1!C36,Sheet1!B36)</f>
        <v>メカ製造技術1課</v>
      </c>
      <c r="E29" s="6">
        <v>1412000006</v>
      </c>
      <c r="F29" s="84">
        <f>[32]人員・時間計画!$C$25</f>
        <v>130</v>
      </c>
      <c r="G29" s="84">
        <f>[32]人員・時間計画!$C$26</f>
        <v>0</v>
      </c>
      <c r="H29" s="84">
        <f>[32]人員・時間計画!$C$11</f>
        <v>14</v>
      </c>
      <c r="I29" s="84">
        <f>[32]人員・時間計画!$C$12</f>
        <v>0</v>
      </c>
      <c r="J29" s="84">
        <f>[32]人員・時間計画!$D$25</f>
        <v>128</v>
      </c>
      <c r="K29" s="84">
        <f>[32]人員・時間計画!$D$26</f>
        <v>0</v>
      </c>
      <c r="L29" s="84">
        <f>[32]人員・時間計画!$D$11</f>
        <v>14</v>
      </c>
      <c r="M29" s="84">
        <f>[32]人員・時間計画!$D$12</f>
        <v>0</v>
      </c>
      <c r="N29" s="84">
        <f>[32]人員・時間計画!$E$25</f>
        <v>82</v>
      </c>
      <c r="O29" s="84">
        <f>[32]人員・時間計画!$E$26</f>
        <v>0</v>
      </c>
      <c r="P29" s="84">
        <f>[32]人員・時間計画!$E$11</f>
        <v>14</v>
      </c>
      <c r="Q29" s="84">
        <f>[32]人員・時間計画!$E$12</f>
        <v>0</v>
      </c>
      <c r="R29" s="84">
        <f>[32]人員・時間計画!$F$25</f>
        <v>144</v>
      </c>
      <c r="S29" s="84">
        <f>[32]人員・時間計画!$F$26</f>
        <v>0</v>
      </c>
      <c r="T29" s="84">
        <f>[32]人員・時間計画!$F$11</f>
        <v>14</v>
      </c>
      <c r="U29" s="84">
        <f>[32]人員・時間計画!$F$12</f>
        <v>0</v>
      </c>
      <c r="V29" s="84">
        <f>[32]人員・時間計画!$G$25</f>
        <v>132</v>
      </c>
      <c r="W29" s="84">
        <f>[32]人員・時間計画!$G$26</f>
        <v>0</v>
      </c>
      <c r="X29" s="84">
        <f>[32]人員・時間計画!$G$11</f>
        <v>15</v>
      </c>
      <c r="Y29" s="84">
        <f>[32]人員・時間計画!$G$12</f>
        <v>0</v>
      </c>
      <c r="Z29" s="84">
        <f>[32]人員・時間計画!$H$25</f>
        <v>126</v>
      </c>
      <c r="AA29" s="84">
        <f>[32]人員・時間計画!$H$26</f>
        <v>0</v>
      </c>
      <c r="AB29" s="84">
        <f>[32]人員・時間計画!$H$11</f>
        <v>15</v>
      </c>
      <c r="AC29" s="84">
        <f>[32]人員・時間計画!$H$12</f>
        <v>0</v>
      </c>
      <c r="AD29" s="84">
        <f>[32]人員・時間計画!$I$25</f>
        <v>198</v>
      </c>
      <c r="AE29" s="84">
        <f>[32]人員・時間計画!$I$26</f>
        <v>0</v>
      </c>
      <c r="AF29" s="84">
        <f>[32]人員・時間計画!$I$11</f>
        <v>15</v>
      </c>
      <c r="AG29" s="84">
        <f>[32]人員・時間計画!$I$12</f>
        <v>0</v>
      </c>
      <c r="AH29" s="84">
        <f>[32]人員・時間計画!$J$25</f>
        <v>78</v>
      </c>
      <c r="AI29" s="84">
        <f>[32]人員・時間計画!$J$26</f>
        <v>0</v>
      </c>
      <c r="AJ29" s="84">
        <f>[32]人員・時間計画!$J$11</f>
        <v>15</v>
      </c>
      <c r="AK29" s="84">
        <f>[32]人員・時間計画!$J$12</f>
        <v>0</v>
      </c>
      <c r="AL29" s="84">
        <f>[32]人員・時間計画!$K$25</f>
        <v>84</v>
      </c>
      <c r="AM29" s="84">
        <f>[32]人員・時間計画!$K$26</f>
        <v>0</v>
      </c>
      <c r="AN29" s="84">
        <f>[32]人員・時間計画!$K$11</f>
        <v>15</v>
      </c>
      <c r="AO29" s="84">
        <f>[32]人員・時間計画!$K$12</f>
        <v>0</v>
      </c>
      <c r="AP29" s="84">
        <f>[32]人員・時間計画!$L$25</f>
        <v>76</v>
      </c>
      <c r="AQ29" s="84">
        <f>[32]人員・時間計画!$L$26</f>
        <v>0</v>
      </c>
      <c r="AR29" s="84">
        <f>[32]人員・時間計画!$L$11</f>
        <v>15</v>
      </c>
      <c r="AS29" s="84">
        <f>[32]人員・時間計画!$L$12</f>
        <v>0</v>
      </c>
      <c r="AT29" s="84">
        <f>[32]人員・時間計画!$M$25</f>
        <v>164</v>
      </c>
      <c r="AU29" s="84">
        <f>[32]人員・時間計画!$M$26</f>
        <v>0</v>
      </c>
      <c r="AV29" s="84">
        <f>[32]人員・時間計画!$M$11</f>
        <v>15</v>
      </c>
      <c r="AW29" s="84">
        <f>[32]人員・時間計画!$M$12</f>
        <v>0</v>
      </c>
      <c r="AX29" s="84">
        <f>[32]人員・時間計画!$N$25</f>
        <v>78</v>
      </c>
      <c r="AY29" s="84">
        <f>[32]人員・時間計画!$N$26</f>
        <v>0</v>
      </c>
      <c r="AZ29" s="84">
        <f>[32]人員・時間計画!$N$11</f>
        <v>15</v>
      </c>
      <c r="BA29" s="84">
        <f>[32]人員・時間計画!$N$12</f>
        <v>0</v>
      </c>
    </row>
    <row r="30" spans="1:53" ht="19.5" customHeight="1">
      <c r="A30" s="8"/>
      <c r="B30" s="8"/>
      <c r="C30" s="7"/>
      <c r="D30" s="6" t="str">
        <f>IF($A$1=1,Sheet1!C37,Sheet1!B37)</f>
        <v>メカ製造技術2課</v>
      </c>
      <c r="E30" s="6">
        <v>1412000039</v>
      </c>
      <c r="F30" s="84">
        <f>[33]人員・時間計画!$C$25</f>
        <v>118</v>
      </c>
      <c r="G30" s="84">
        <f>[33]人員・時間計画!$C$26</f>
        <v>0</v>
      </c>
      <c r="H30" s="84">
        <f>[33]人員・時間計画!$C$11</f>
        <v>19</v>
      </c>
      <c r="I30" s="84">
        <f>[33]人員・時間計画!$C$12</f>
        <v>0</v>
      </c>
      <c r="J30" s="84">
        <f>[33]人員・時間計画!$D$25</f>
        <v>114</v>
      </c>
      <c r="K30" s="84">
        <f>[33]人員・時間計画!$D$26</f>
        <v>0</v>
      </c>
      <c r="L30" s="84">
        <f>[33]人員・時間計画!$D$11</f>
        <v>21</v>
      </c>
      <c r="M30" s="84">
        <f>[33]人員・時間計画!$D$12</f>
        <v>0</v>
      </c>
      <c r="N30" s="84">
        <f>[33]人員・時間計画!$E$25</f>
        <v>171</v>
      </c>
      <c r="O30" s="84">
        <f>[33]人員・時間計画!$E$26</f>
        <v>0</v>
      </c>
      <c r="P30" s="84">
        <f>[33]人員・時間計画!$E$11</f>
        <v>21</v>
      </c>
      <c r="Q30" s="84">
        <f>[33]人員・時間計画!$E$12</f>
        <v>0</v>
      </c>
      <c r="R30" s="84">
        <f>[33]人員・時間計画!$F$25</f>
        <v>188</v>
      </c>
      <c r="S30" s="84">
        <f>[33]人員・時間計画!$F$26</f>
        <v>0</v>
      </c>
      <c r="T30" s="84">
        <f>[33]人員・時間計画!$F$11</f>
        <v>21</v>
      </c>
      <c r="U30" s="84">
        <f>[33]人員・時間計画!$F$12</f>
        <v>0</v>
      </c>
      <c r="V30" s="84">
        <f>[33]人員・時間計画!$G$25</f>
        <v>120</v>
      </c>
      <c r="W30" s="84">
        <f>[33]人員・時間計画!$G$26</f>
        <v>0</v>
      </c>
      <c r="X30" s="84">
        <f>[33]人員・時間計画!$G$11</f>
        <v>21</v>
      </c>
      <c r="Y30" s="84">
        <f>[33]人員・時間計画!$G$12</f>
        <v>0</v>
      </c>
      <c r="Z30" s="84">
        <f>[33]人員・時間計画!$H$25</f>
        <v>112</v>
      </c>
      <c r="AA30" s="84">
        <f>[33]人員・時間計画!$H$26</f>
        <v>0</v>
      </c>
      <c r="AB30" s="84">
        <f>[33]人員・時間計画!$H$11</f>
        <v>21</v>
      </c>
      <c r="AC30" s="84">
        <f>[33]人員・時間計画!$H$12</f>
        <v>0</v>
      </c>
      <c r="AD30" s="84">
        <f>[33]人員・時間計画!$I$25</f>
        <v>138</v>
      </c>
      <c r="AE30" s="84">
        <f>[33]人員・時間計画!$I$26</f>
        <v>0</v>
      </c>
      <c r="AF30" s="84">
        <f>[33]人員・時間計画!$I$11</f>
        <v>21</v>
      </c>
      <c r="AG30" s="84">
        <f>[33]人員・時間計画!$I$12</f>
        <v>0</v>
      </c>
      <c r="AH30" s="84">
        <f>[33]人員・時間計画!$J$25</f>
        <v>120</v>
      </c>
      <c r="AI30" s="84">
        <f>[33]人員・時間計画!$J$26</f>
        <v>0</v>
      </c>
      <c r="AJ30" s="84">
        <f>[33]人員・時間計画!$J$11</f>
        <v>21</v>
      </c>
      <c r="AK30" s="84">
        <f>[33]人員・時間計画!$J$12</f>
        <v>0</v>
      </c>
      <c r="AL30" s="84">
        <f>[33]人員・時間計画!$K$25</f>
        <v>130</v>
      </c>
      <c r="AM30" s="84">
        <f>[33]人員・時間計画!$K$26</f>
        <v>0</v>
      </c>
      <c r="AN30" s="84">
        <f>[33]人員・時間計画!$K$11</f>
        <v>21</v>
      </c>
      <c r="AO30" s="84">
        <f>[33]人員・時間計画!$K$12</f>
        <v>0</v>
      </c>
      <c r="AP30" s="84">
        <f>[33]人員・時間計画!$L$25</f>
        <v>120</v>
      </c>
      <c r="AQ30" s="84">
        <f>[33]人員・時間計画!$L$26</f>
        <v>0</v>
      </c>
      <c r="AR30" s="84">
        <f>[33]人員・時間計画!$L$11</f>
        <v>21</v>
      </c>
      <c r="AS30" s="84">
        <f>[33]人員・時間計画!$L$12</f>
        <v>0</v>
      </c>
      <c r="AT30" s="84">
        <f>[33]人員・時間計画!$M$25</f>
        <v>90</v>
      </c>
      <c r="AU30" s="84">
        <f>[33]人員・時間計画!$M$26</f>
        <v>0</v>
      </c>
      <c r="AV30" s="84">
        <f>[33]人員・時間計画!$M$11</f>
        <v>21</v>
      </c>
      <c r="AW30" s="84">
        <f>[33]人員・時間計画!$M$12</f>
        <v>0</v>
      </c>
      <c r="AX30" s="84">
        <f>[33]人員・時間計画!$N$25</f>
        <v>341</v>
      </c>
      <c r="AY30" s="84">
        <f>[33]人員・時間計画!$N$26</f>
        <v>0</v>
      </c>
      <c r="AZ30" s="84">
        <f>[33]人員・時間計画!$N$11</f>
        <v>21</v>
      </c>
      <c r="BA30" s="84">
        <f>[33]人員・時間計画!$N$12</f>
        <v>0</v>
      </c>
    </row>
    <row r="31" spans="1:53" ht="19.5" customHeight="1">
      <c r="A31" s="8"/>
      <c r="B31" s="8"/>
      <c r="C31" s="7"/>
      <c r="D31" s="6" t="str">
        <f>IF($A$1=1,Sheet1!C38,Sheet1!B38)</f>
        <v>メカ製造技術3課</v>
      </c>
      <c r="E31" s="6">
        <v>1412000089</v>
      </c>
      <c r="F31" s="84">
        <f>[34]人員・時間計画!$C$25</f>
        <v>80</v>
      </c>
      <c r="G31" s="84">
        <f>[34]人員・時間計画!$C$26</f>
        <v>0</v>
      </c>
      <c r="H31" s="84">
        <f>[34]人員・時間計画!$C$11</f>
        <v>13</v>
      </c>
      <c r="I31" s="84">
        <f>[34]人員・時間計画!$C$12</f>
        <v>0</v>
      </c>
      <c r="J31" s="84">
        <f>[34]人員・時間計画!$D$25</f>
        <v>74</v>
      </c>
      <c r="K31" s="84">
        <f>[34]人員・時間計画!$D$26</f>
        <v>0</v>
      </c>
      <c r="L31" s="84">
        <f>[34]人員・時間計画!$D$11</f>
        <v>13</v>
      </c>
      <c r="M31" s="84">
        <f>[34]人員・時間計画!$D$12</f>
        <v>0</v>
      </c>
      <c r="N31" s="84">
        <f>[34]人員・時間計画!$E$25</f>
        <v>127</v>
      </c>
      <c r="O31" s="84">
        <f>[34]人員・時間計画!$E$26</f>
        <v>0</v>
      </c>
      <c r="P31" s="84">
        <f>[34]人員・時間計画!$E$11</f>
        <v>13</v>
      </c>
      <c r="Q31" s="84">
        <f>[34]人員・時間計画!$E$12</f>
        <v>0</v>
      </c>
      <c r="R31" s="84">
        <f>[34]人員・時間計画!$F$25</f>
        <v>137</v>
      </c>
      <c r="S31" s="84">
        <f>[34]人員・時間計画!$F$26</f>
        <v>0</v>
      </c>
      <c r="T31" s="84">
        <f>[34]人員・時間計画!$F$11</f>
        <v>13</v>
      </c>
      <c r="U31" s="84">
        <f>[34]人員・時間計画!$F$12</f>
        <v>0</v>
      </c>
      <c r="V31" s="84">
        <f>[34]人員・時間計画!$G$25</f>
        <v>78</v>
      </c>
      <c r="W31" s="84">
        <f>[34]人員・時間計画!$G$26</f>
        <v>0</v>
      </c>
      <c r="X31" s="84">
        <f>[34]人員・時間計画!$G$11</f>
        <v>13</v>
      </c>
      <c r="Y31" s="84">
        <f>[34]人員・時間計画!$G$12</f>
        <v>0</v>
      </c>
      <c r="Z31" s="84">
        <f>[34]人員・時間計画!$H$25</f>
        <v>76</v>
      </c>
      <c r="AA31" s="84">
        <f>[34]人員・時間計画!$H$26</f>
        <v>0</v>
      </c>
      <c r="AB31" s="84">
        <f>[34]人員・時間計画!$H$11</f>
        <v>13</v>
      </c>
      <c r="AC31" s="84">
        <f>[34]人員・時間計画!$H$12</f>
        <v>0</v>
      </c>
      <c r="AD31" s="84">
        <f>[34]人員・時間計画!$I$25</f>
        <v>120</v>
      </c>
      <c r="AE31" s="84">
        <f>[34]人員・時間計画!$I$26</f>
        <v>0</v>
      </c>
      <c r="AF31" s="84">
        <f>[34]人員・時間計画!$I$11</f>
        <v>13</v>
      </c>
      <c r="AG31" s="84">
        <f>[34]人員・時間計画!$I$12</f>
        <v>0</v>
      </c>
      <c r="AH31" s="84">
        <f>[34]人員・時間計画!$J$25</f>
        <v>125</v>
      </c>
      <c r="AI31" s="84">
        <f>[34]人員・時間計画!$J$26</f>
        <v>0</v>
      </c>
      <c r="AJ31" s="84">
        <f>[34]人員・時間計画!$J$11</f>
        <v>13</v>
      </c>
      <c r="AK31" s="84">
        <f>[34]人員・時間計画!$J$12</f>
        <v>0</v>
      </c>
      <c r="AL31" s="84">
        <f>[34]人員・時間計画!$K$25</f>
        <v>86</v>
      </c>
      <c r="AM31" s="84">
        <f>[34]人員・時間計画!$K$26</f>
        <v>0</v>
      </c>
      <c r="AN31" s="84">
        <f>[34]人員・時間計画!$K$11</f>
        <v>13</v>
      </c>
      <c r="AO31" s="84">
        <f>[34]人員・時間計画!$K$12</f>
        <v>0</v>
      </c>
      <c r="AP31" s="84">
        <f>[34]人員・時間計画!$L$25</f>
        <v>80</v>
      </c>
      <c r="AQ31" s="84">
        <f>[34]人員・時間計画!$L$26</f>
        <v>0</v>
      </c>
      <c r="AR31" s="84">
        <f>[34]人員・時間計画!$L$11</f>
        <v>13</v>
      </c>
      <c r="AS31" s="84">
        <f>[34]人員・時間計画!$L$12</f>
        <v>0</v>
      </c>
      <c r="AT31" s="84">
        <f>[34]人員・時間計画!$M$25</f>
        <v>60</v>
      </c>
      <c r="AU31" s="84">
        <f>[34]人員・時間計画!$M$26</f>
        <v>0</v>
      </c>
      <c r="AV31" s="84">
        <f>[34]人員・時間計画!$M$11</f>
        <v>13</v>
      </c>
      <c r="AW31" s="84">
        <f>[34]人員・時間計画!$M$12</f>
        <v>0</v>
      </c>
      <c r="AX31" s="84">
        <f>[34]人員・時間計画!$N$25</f>
        <v>125</v>
      </c>
      <c r="AY31" s="84">
        <f>[34]人員・時間計画!$N$26</f>
        <v>0</v>
      </c>
      <c r="AZ31" s="84">
        <f>[34]人員・時間計画!$N$11</f>
        <v>13</v>
      </c>
      <c r="BA31" s="84">
        <f>[34]人員・時間計画!$N$12</f>
        <v>0</v>
      </c>
    </row>
    <row r="32" spans="1:53" ht="19.5" customHeight="1">
      <c r="A32" s="78"/>
      <c r="B32" s="78"/>
      <c r="C32" s="79"/>
      <c r="D32" s="99" t="str">
        <f>IF($A$1=1,Sheet1!C39,Sheet1!B39)</f>
        <v>メカ製造技術4課</v>
      </c>
      <c r="E32" s="99"/>
      <c r="F32" s="87">
        <f>[35]人員・時間計画!$C$25</f>
        <v>40</v>
      </c>
      <c r="G32" s="87">
        <f>[35]人員・時間計画!$C$26</f>
        <v>0</v>
      </c>
      <c r="H32" s="87">
        <f>[35]人員・時間計画!$C$11</f>
        <v>9</v>
      </c>
      <c r="I32" s="87">
        <f>[35]人員・時間計画!$C$12</f>
        <v>0</v>
      </c>
      <c r="J32" s="87">
        <f>[35]人員・時間計画!$D$25</f>
        <v>50</v>
      </c>
      <c r="K32" s="87">
        <f>[35]人員・時間計画!$D$26</f>
        <v>0</v>
      </c>
      <c r="L32" s="87">
        <f>[35]人員・時間計画!$D$11</f>
        <v>9</v>
      </c>
      <c r="M32" s="87">
        <f>[35]人員・時間計画!$D$12</f>
        <v>0</v>
      </c>
      <c r="N32" s="87">
        <f>[35]人員・時間計画!$E$25</f>
        <v>42</v>
      </c>
      <c r="O32" s="87">
        <f>[35]人員・時間計画!$E$26</f>
        <v>0</v>
      </c>
      <c r="P32" s="87">
        <f>[35]人員・時間計画!$E$11</f>
        <v>9</v>
      </c>
      <c r="Q32" s="87">
        <f>[35]人員・時間計画!$E$12</f>
        <v>0</v>
      </c>
      <c r="R32" s="87">
        <f>[35]人員・時間計画!$F$25</f>
        <v>52</v>
      </c>
      <c r="S32" s="87">
        <f>[35]人員・時間計画!$F$26</f>
        <v>0</v>
      </c>
      <c r="T32" s="87">
        <f>[35]人員・時間計画!$F$11</f>
        <v>9</v>
      </c>
      <c r="U32" s="87">
        <f>[35]人員・時間計画!$F$12</f>
        <v>0</v>
      </c>
      <c r="V32" s="87">
        <f>[35]人員・時間計画!$G$25</f>
        <v>46</v>
      </c>
      <c r="W32" s="87">
        <f>[35]人員・時間計画!$G$26</f>
        <v>0</v>
      </c>
      <c r="X32" s="87">
        <f>[35]人員・時間計画!$G$11</f>
        <v>9</v>
      </c>
      <c r="Y32" s="87">
        <f>[35]人員・時間計画!$G$12</f>
        <v>0</v>
      </c>
      <c r="Z32" s="87">
        <f>[35]人員・時間計画!$H$25</f>
        <v>38</v>
      </c>
      <c r="AA32" s="87">
        <f>[35]人員・時間計画!$H$26</f>
        <v>0</v>
      </c>
      <c r="AB32" s="87">
        <f>[35]人員・時間計画!$H$11</f>
        <v>9</v>
      </c>
      <c r="AC32" s="87">
        <f>[35]人員・時間計画!$H$12</f>
        <v>0</v>
      </c>
      <c r="AD32" s="87">
        <f>[35]人員・時間計画!$I$25</f>
        <v>58</v>
      </c>
      <c r="AE32" s="87">
        <f>[35]人員・時間計画!$I$26</f>
        <v>0</v>
      </c>
      <c r="AF32" s="87">
        <f>[35]人員・時間計画!$I$11</f>
        <v>9</v>
      </c>
      <c r="AG32" s="87">
        <f>[35]人員・時間計画!$I$12</f>
        <v>0</v>
      </c>
      <c r="AH32" s="87">
        <f>[35]人員・時間計画!$J$25</f>
        <v>40</v>
      </c>
      <c r="AI32" s="87">
        <f>[35]人員・時間計画!$J$26</f>
        <v>0</v>
      </c>
      <c r="AJ32" s="87">
        <f>[35]人員・時間計画!$J$11</f>
        <v>9</v>
      </c>
      <c r="AK32" s="87">
        <f>[35]人員・時間計画!$J$12</f>
        <v>0</v>
      </c>
      <c r="AL32" s="87">
        <f>[35]人員・時間計画!$K$25</f>
        <v>50</v>
      </c>
      <c r="AM32" s="87">
        <f>[35]人員・時間計画!$K$26</f>
        <v>0</v>
      </c>
      <c r="AN32" s="87">
        <f>[35]人員・時間計画!$K$11</f>
        <v>9</v>
      </c>
      <c r="AO32" s="87">
        <f>[35]人員・時間計画!$K$12</f>
        <v>0</v>
      </c>
      <c r="AP32" s="87">
        <f>[35]人員・時間計画!$L$25</f>
        <v>40</v>
      </c>
      <c r="AQ32" s="87">
        <f>[35]人員・時間計画!$L$26</f>
        <v>0</v>
      </c>
      <c r="AR32" s="87">
        <f>[35]人員・時間計画!$L$11</f>
        <v>9</v>
      </c>
      <c r="AS32" s="87">
        <f>[35]人員・時間計画!$L$12</f>
        <v>0</v>
      </c>
      <c r="AT32" s="87">
        <f>[35]人員・時間計画!$M$25</f>
        <v>30</v>
      </c>
      <c r="AU32" s="87">
        <f>[35]人員・時間計画!$M$26</f>
        <v>0</v>
      </c>
      <c r="AV32" s="87">
        <f>[35]人員・時間計画!$M$11</f>
        <v>9</v>
      </c>
      <c r="AW32" s="87">
        <f>[35]人員・時間計画!$M$12</f>
        <v>0</v>
      </c>
      <c r="AX32" s="87">
        <f>[35]人員・時間計画!$N$25</f>
        <v>40</v>
      </c>
      <c r="AY32" s="87">
        <f>[35]人員・時間計画!$N$26</f>
        <v>0</v>
      </c>
      <c r="AZ32" s="87">
        <f>[35]人員・時間計画!$N$11</f>
        <v>9</v>
      </c>
      <c r="BA32" s="87">
        <f>[35]人員・時間計画!$N$12</f>
        <v>0</v>
      </c>
    </row>
    <row r="33" spans="1:53" ht="19.5" customHeight="1">
      <c r="A33" s="3"/>
      <c r="B33" s="3"/>
      <c r="C33" s="1"/>
      <c r="D33" s="2" t="str">
        <f>IF($A$1=1,Sheet1!C40,Sheet1!B40)</f>
        <v>電気製造技術課</v>
      </c>
      <c r="E33" s="2">
        <v>1412000040</v>
      </c>
      <c r="F33" s="85">
        <f>[36]人員・時間計画!$C$25</f>
        <v>167</v>
      </c>
      <c r="G33" s="85">
        <f>[36]人員・時間計画!$C$26</f>
        <v>0</v>
      </c>
      <c r="H33" s="85">
        <f>[36]人員・時間計画!$C$11</f>
        <v>18</v>
      </c>
      <c r="I33" s="85">
        <f>[36]人員・時間計画!$C$12</f>
        <v>0</v>
      </c>
      <c r="J33" s="85">
        <f>[36]人員・時間計画!$D$25</f>
        <v>171</v>
      </c>
      <c r="K33" s="85">
        <f>[36]人員・時間計画!$D$26</f>
        <v>0</v>
      </c>
      <c r="L33" s="85">
        <f>[36]人員・時間計画!$D$11</f>
        <v>18</v>
      </c>
      <c r="M33" s="85">
        <f>[36]人員・時間計画!$D$12</f>
        <v>0</v>
      </c>
      <c r="N33" s="85">
        <f>[36]人員・時間計画!$E$25</f>
        <v>201</v>
      </c>
      <c r="O33" s="85">
        <f>[36]人員・時間計画!$E$26</f>
        <v>0</v>
      </c>
      <c r="P33" s="85">
        <f>[36]人員・時間計画!$E$11</f>
        <v>18</v>
      </c>
      <c r="Q33" s="85">
        <f>[36]人員・時間計画!$E$12</f>
        <v>0</v>
      </c>
      <c r="R33" s="85">
        <f>[36]人員・時間計画!$F$25</f>
        <v>191</v>
      </c>
      <c r="S33" s="85">
        <f>[36]人員・時間計画!$F$26</f>
        <v>0</v>
      </c>
      <c r="T33" s="85">
        <f>[36]人員・時間計画!$F$11</f>
        <v>18</v>
      </c>
      <c r="U33" s="85">
        <f>[36]人員・時間計画!$F$12</f>
        <v>0</v>
      </c>
      <c r="V33" s="85">
        <f>[36]人員・時間計画!$G$25</f>
        <v>177</v>
      </c>
      <c r="W33" s="85">
        <f>[36]人員・時間計画!$G$26</f>
        <v>0</v>
      </c>
      <c r="X33" s="85">
        <f>[36]人員・時間計画!$G$11</f>
        <v>18</v>
      </c>
      <c r="Y33" s="85">
        <f>[36]人員・時間計画!$G$12</f>
        <v>0</v>
      </c>
      <c r="Z33" s="85">
        <f>[36]人員・時間計画!$H$25</f>
        <v>191</v>
      </c>
      <c r="AA33" s="85">
        <f>[36]人員・時間計画!$H$26</f>
        <v>0</v>
      </c>
      <c r="AB33" s="85">
        <f>[36]人員・時間計画!$H$11</f>
        <v>18</v>
      </c>
      <c r="AC33" s="85">
        <f>[36]人員・時間計画!$H$12</f>
        <v>0</v>
      </c>
      <c r="AD33" s="85">
        <f>[36]人員・時間計画!$I$25</f>
        <v>215</v>
      </c>
      <c r="AE33" s="85">
        <f>[36]人員・時間計画!$I$26</f>
        <v>0</v>
      </c>
      <c r="AF33" s="85">
        <f>[36]人員・時間計画!$I$11</f>
        <v>18</v>
      </c>
      <c r="AG33" s="85">
        <f>[36]人員・時間計画!$I$12</f>
        <v>0</v>
      </c>
      <c r="AH33" s="85">
        <f>[36]人員・時間計画!$J$25</f>
        <v>167</v>
      </c>
      <c r="AI33" s="85">
        <f>[36]人員・時間計画!$J$26</f>
        <v>0</v>
      </c>
      <c r="AJ33" s="85">
        <f>[36]人員・時間計画!$J$11</f>
        <v>18</v>
      </c>
      <c r="AK33" s="85">
        <f>[36]人員・時間計画!$J$12</f>
        <v>0</v>
      </c>
      <c r="AL33" s="85">
        <f>[36]人員・時間計画!$K$25</f>
        <v>189</v>
      </c>
      <c r="AM33" s="85">
        <f>[36]人員・時間計画!$K$26</f>
        <v>0</v>
      </c>
      <c r="AN33" s="85">
        <f>[36]人員・時間計画!$K$11</f>
        <v>18</v>
      </c>
      <c r="AO33" s="85">
        <f>[36]人員・時間計画!$K$12</f>
        <v>0</v>
      </c>
      <c r="AP33" s="85">
        <f>[36]人員・時間計画!$L$25</f>
        <v>214</v>
      </c>
      <c r="AQ33" s="85">
        <f>[36]人員・時間計画!$L$26</f>
        <v>0</v>
      </c>
      <c r="AR33" s="85">
        <f>[36]人員・時間計画!$L$11</f>
        <v>18</v>
      </c>
      <c r="AS33" s="85">
        <f>[36]人員・時間計画!$L$12</f>
        <v>0</v>
      </c>
      <c r="AT33" s="85">
        <f>[36]人員・時間計画!$M$25</f>
        <v>176</v>
      </c>
      <c r="AU33" s="85">
        <f>[36]人員・時間計画!$M$26</f>
        <v>0</v>
      </c>
      <c r="AV33" s="85">
        <f>[36]人員・時間計画!$M$11</f>
        <v>18</v>
      </c>
      <c r="AW33" s="85">
        <f>[36]人員・時間計画!$M$12</f>
        <v>0</v>
      </c>
      <c r="AX33" s="85">
        <f>[36]人員・時間計画!$N$25</f>
        <v>167</v>
      </c>
      <c r="AY33" s="85">
        <f>[36]人員・時間計画!$N$26</f>
        <v>0</v>
      </c>
      <c r="AZ33" s="85">
        <f>[36]人員・時間計画!$N$11</f>
        <v>18</v>
      </c>
      <c r="BA33" s="85">
        <f>[36]人員・時間計画!$N$12</f>
        <v>0</v>
      </c>
    </row>
    <row r="34" spans="1:53" ht="19.5" customHeight="1">
      <c r="A34" s="13"/>
      <c r="B34" s="13">
        <v>6371</v>
      </c>
      <c r="C34" s="12" t="str">
        <f>IF($A$1=1,Sheet1!D41,Sheet1!A41)</f>
        <v>外製品質管理部</v>
      </c>
      <c r="D34" s="11"/>
      <c r="E34" s="11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</row>
    <row r="35" spans="1:53" ht="19.5" customHeight="1">
      <c r="A35" s="8"/>
      <c r="B35" s="8"/>
      <c r="C35" s="7"/>
      <c r="D35" s="6" t="str">
        <f>IF($A$1=1,Sheet1!C42,Sheet1!B42)</f>
        <v>部品検査1課</v>
      </c>
      <c r="E35" s="6">
        <v>1412000013</v>
      </c>
      <c r="F35" s="84">
        <f>[37]人員・時間計画!$C$25</f>
        <v>425</v>
      </c>
      <c r="G35" s="84">
        <f>[37]人員・時間計画!$C$26</f>
        <v>2370</v>
      </c>
      <c r="H35" s="84">
        <f>[37]人員・時間計画!$C$11</f>
        <v>25</v>
      </c>
      <c r="I35" s="84">
        <f>[37]人員・時間計画!$C$12</f>
        <v>79</v>
      </c>
      <c r="J35" s="84">
        <f>[37]人員・時間計画!$D$25</f>
        <v>421</v>
      </c>
      <c r="K35" s="84">
        <f>[37]人員・時間計画!$D$26</f>
        <v>2370</v>
      </c>
      <c r="L35" s="84">
        <f>[37]人員・時間計画!$D$11</f>
        <v>25</v>
      </c>
      <c r="M35" s="84">
        <f>[37]人員・時間計画!$D$12</f>
        <v>79</v>
      </c>
      <c r="N35" s="84">
        <f>[37]人員・時間計画!$E$25</f>
        <v>429</v>
      </c>
      <c r="O35" s="84">
        <f>[37]人員・時間計画!$E$26</f>
        <v>2370</v>
      </c>
      <c r="P35" s="84">
        <f>[37]人員・時間計画!$E$11</f>
        <v>25</v>
      </c>
      <c r="Q35" s="84">
        <f>[37]人員・時間計画!$E$12</f>
        <v>79</v>
      </c>
      <c r="R35" s="84">
        <f>[37]人員・時間計画!$F$25</f>
        <v>437</v>
      </c>
      <c r="S35" s="84">
        <f>[37]人員・時間計画!$F$26</f>
        <v>2370</v>
      </c>
      <c r="T35" s="84">
        <f>[37]人員・時間計画!$F$11</f>
        <v>25</v>
      </c>
      <c r="U35" s="84">
        <f>[37]人員・時間計画!$F$12</f>
        <v>79</v>
      </c>
      <c r="V35" s="84">
        <f>[37]人員・時間計画!$G$25</f>
        <v>425</v>
      </c>
      <c r="W35" s="84">
        <f>[37]人員・時間計画!$G$26</f>
        <v>2370</v>
      </c>
      <c r="X35" s="84">
        <f>[37]人員・時間計画!$G$11</f>
        <v>25</v>
      </c>
      <c r="Y35" s="84">
        <f>[37]人員・時間計画!$G$12</f>
        <v>79</v>
      </c>
      <c r="Z35" s="84">
        <f>[37]人員・時間計画!$H$25</f>
        <v>421</v>
      </c>
      <c r="AA35" s="84">
        <f>[37]人員・時間計画!$H$26</f>
        <v>2370</v>
      </c>
      <c r="AB35" s="84">
        <f>[37]人員・時間計画!$H$11</f>
        <v>25</v>
      </c>
      <c r="AC35" s="84">
        <f>[37]人員・時間計画!$H$12</f>
        <v>79</v>
      </c>
      <c r="AD35" s="84">
        <f>[37]人員・時間計画!$I$25</f>
        <v>437</v>
      </c>
      <c r="AE35" s="84">
        <f>[37]人員・時間計画!$I$26</f>
        <v>2370</v>
      </c>
      <c r="AF35" s="84">
        <f>[37]人員・時間計画!$I$11</f>
        <v>25</v>
      </c>
      <c r="AG35" s="84">
        <f>[37]人員・時間計画!$I$12</f>
        <v>79</v>
      </c>
      <c r="AH35" s="84">
        <f>[37]人員・時間計画!$J$25</f>
        <v>425</v>
      </c>
      <c r="AI35" s="84">
        <f>[37]人員・時間計画!$J$26</f>
        <v>2370</v>
      </c>
      <c r="AJ35" s="84">
        <f>[37]人員・時間計画!$J$11</f>
        <v>25</v>
      </c>
      <c r="AK35" s="84">
        <f>[37]人員・時間計画!$J$12</f>
        <v>79</v>
      </c>
      <c r="AL35" s="84">
        <f>[37]人員・時間計画!$K$25</f>
        <v>433</v>
      </c>
      <c r="AM35" s="84">
        <f>[37]人員・時間計画!$K$26</f>
        <v>2370</v>
      </c>
      <c r="AN35" s="84">
        <f>[37]人員・時間計画!$K$11</f>
        <v>25</v>
      </c>
      <c r="AO35" s="84">
        <f>[37]人員・時間計画!$K$12</f>
        <v>79</v>
      </c>
      <c r="AP35" s="84">
        <f>[37]人員・時間計画!$L$25</f>
        <v>425</v>
      </c>
      <c r="AQ35" s="84">
        <f>[37]人員・時間計画!$L$26</f>
        <v>2370</v>
      </c>
      <c r="AR35" s="84">
        <f>[37]人員・時間計画!$L$11</f>
        <v>25</v>
      </c>
      <c r="AS35" s="84">
        <f>[37]人員・時間計画!$L$12</f>
        <v>79</v>
      </c>
      <c r="AT35" s="84">
        <f>[37]人員・時間計画!$M$25</f>
        <v>405</v>
      </c>
      <c r="AU35" s="84">
        <f>[37]人員・時間計画!$M$26</f>
        <v>2370</v>
      </c>
      <c r="AV35" s="84">
        <f>[37]人員・時間計画!$M$11</f>
        <v>25</v>
      </c>
      <c r="AW35" s="84">
        <f>[37]人員・時間計画!$M$12</f>
        <v>79</v>
      </c>
      <c r="AX35" s="84">
        <f>[37]人員・時間計画!$N$25</f>
        <v>425</v>
      </c>
      <c r="AY35" s="84">
        <f>[37]人員・時間計画!$N$26</f>
        <v>2370</v>
      </c>
      <c r="AZ35" s="84">
        <f>[37]人員・時間計画!$N$11</f>
        <v>25</v>
      </c>
      <c r="BA35" s="84">
        <f>[37]人員・時間計画!$N$12</f>
        <v>79</v>
      </c>
    </row>
    <row r="36" spans="1:53" ht="19.5" customHeight="1">
      <c r="A36" s="8"/>
      <c r="B36" s="8"/>
      <c r="C36" s="7"/>
      <c r="D36" s="6" t="str">
        <f>IF($A$1=1,Sheet1!C43,Sheet1!B43)</f>
        <v>部品検査2課</v>
      </c>
      <c r="E36" s="81">
        <v>1412000092</v>
      </c>
      <c r="F36" s="84">
        <f>[38]人員・時間計画!$C$25</f>
        <v>480</v>
      </c>
      <c r="G36" s="84">
        <f>[38]人員・時間計画!$C$26</f>
        <v>440</v>
      </c>
      <c r="H36" s="84">
        <f>[38]人員・時間計画!$C$11</f>
        <v>23</v>
      </c>
      <c r="I36" s="84">
        <f>[38]人員・時間計画!$C$12</f>
        <v>22</v>
      </c>
      <c r="J36" s="84">
        <f>[38]人員・時間計画!$D$25</f>
        <v>478</v>
      </c>
      <c r="K36" s="84">
        <f>[38]人員・時間計画!$D$26</f>
        <v>440</v>
      </c>
      <c r="L36" s="84">
        <f>[38]人員・時間計画!$D$11</f>
        <v>23</v>
      </c>
      <c r="M36" s="84">
        <f>[38]人員・時間計画!$D$12</f>
        <v>22</v>
      </c>
      <c r="N36" s="84">
        <f>[38]人員・時間計画!$E$25</f>
        <v>482</v>
      </c>
      <c r="O36" s="84">
        <f>[38]人員・時間計画!$E$26</f>
        <v>480</v>
      </c>
      <c r="P36" s="84">
        <f>[38]人員・時間計画!$E$11</f>
        <v>23</v>
      </c>
      <c r="Q36" s="84">
        <f>[38]人員・時間計画!$E$12</f>
        <v>24</v>
      </c>
      <c r="R36" s="84">
        <f>[38]人員・時間計画!$F$25</f>
        <v>486</v>
      </c>
      <c r="S36" s="84">
        <f>[38]人員・時間計画!$F$26</f>
        <v>480</v>
      </c>
      <c r="T36" s="84">
        <f>[38]人員・時間計画!$F$11</f>
        <v>23</v>
      </c>
      <c r="U36" s="84">
        <f>[38]人員・時間計画!$F$12</f>
        <v>24</v>
      </c>
      <c r="V36" s="84">
        <f>[38]人員・時間計画!$G$25</f>
        <v>480</v>
      </c>
      <c r="W36" s="84">
        <f>[38]人員・時間計画!$G$26</f>
        <v>480</v>
      </c>
      <c r="X36" s="84">
        <f>[38]人員・時間計画!$G$11</f>
        <v>23</v>
      </c>
      <c r="Y36" s="84">
        <f>[38]人員・時間計画!$G$12</f>
        <v>24</v>
      </c>
      <c r="Z36" s="84">
        <f>[38]人員・時間計画!$H$25</f>
        <v>478</v>
      </c>
      <c r="AA36" s="84">
        <f>[38]人員・時間計画!$H$26</f>
        <v>480</v>
      </c>
      <c r="AB36" s="84">
        <f>[38]人員・時間計画!$H$11</f>
        <v>23</v>
      </c>
      <c r="AC36" s="84">
        <f>[38]人員・時間計画!$H$12</f>
        <v>24</v>
      </c>
      <c r="AD36" s="84">
        <f>[38]人員・時間計画!$I$25</f>
        <v>486</v>
      </c>
      <c r="AE36" s="84">
        <f>[38]人員・時間計画!$I$26</f>
        <v>480</v>
      </c>
      <c r="AF36" s="84">
        <f>[38]人員・時間計画!$I$11</f>
        <v>23</v>
      </c>
      <c r="AG36" s="84">
        <f>[38]人員・時間計画!$I$12</f>
        <v>24</v>
      </c>
      <c r="AH36" s="84">
        <f>[38]人員・時間計画!$J$25</f>
        <v>480</v>
      </c>
      <c r="AI36" s="84">
        <f>[38]人員・時間計画!$J$26</f>
        <v>480</v>
      </c>
      <c r="AJ36" s="84">
        <f>[38]人員・時間計画!$J$11</f>
        <v>23</v>
      </c>
      <c r="AK36" s="84">
        <f>[38]人員・時間計画!$J$12</f>
        <v>24</v>
      </c>
      <c r="AL36" s="84">
        <f>[38]人員・時間計画!$K$25</f>
        <v>484</v>
      </c>
      <c r="AM36" s="84">
        <f>[38]人員・時間計画!$K$26</f>
        <v>480</v>
      </c>
      <c r="AN36" s="84">
        <f>[38]人員・時間計画!$K$11</f>
        <v>23</v>
      </c>
      <c r="AO36" s="84">
        <f>[38]人員・時間計画!$K$12</f>
        <v>24</v>
      </c>
      <c r="AP36" s="84">
        <f>[38]人員・時間計画!$L$25</f>
        <v>480</v>
      </c>
      <c r="AQ36" s="84">
        <f>[38]人員・時間計画!$L$26</f>
        <v>480</v>
      </c>
      <c r="AR36" s="84">
        <f>[38]人員・時間計画!$L$11</f>
        <v>23</v>
      </c>
      <c r="AS36" s="84">
        <f>[38]人員・時間計画!$L$12</f>
        <v>24</v>
      </c>
      <c r="AT36" s="84">
        <f>[38]人員・時間計画!$M$25</f>
        <v>470</v>
      </c>
      <c r="AU36" s="84">
        <f>[38]人員・時間計画!$M$26</f>
        <v>480</v>
      </c>
      <c r="AV36" s="84">
        <f>[38]人員・時間計画!$M$11</f>
        <v>23</v>
      </c>
      <c r="AW36" s="84">
        <f>[38]人員・時間計画!$M$12</f>
        <v>24</v>
      </c>
      <c r="AX36" s="84">
        <f>[38]人員・時間計画!$N$25</f>
        <v>480</v>
      </c>
      <c r="AY36" s="84">
        <f>[38]人員・時間計画!$N$26</f>
        <v>480</v>
      </c>
      <c r="AZ36" s="84">
        <f>[38]人員・時間計画!$N$11</f>
        <v>23</v>
      </c>
      <c r="BA36" s="84">
        <f>[38]人員・時間計画!$N$12</f>
        <v>24</v>
      </c>
    </row>
    <row r="37" spans="1:53" ht="19.5" customHeight="1">
      <c r="A37" s="90"/>
      <c r="B37" s="90"/>
      <c r="C37" s="91"/>
      <c r="D37" s="80" t="str">
        <f>IF($A$1=1,Sheet1!C44,Sheet1!B44)</f>
        <v>外製管理課</v>
      </c>
      <c r="E37" s="80">
        <v>1412000035</v>
      </c>
      <c r="F37" s="87">
        <f>[39]人員・時間計画!$C$25</f>
        <v>444</v>
      </c>
      <c r="G37" s="87">
        <f>[39]人員・時間計画!$C$26</f>
        <v>60</v>
      </c>
      <c r="H37" s="87">
        <f>[39]人員・時間計画!$C$11</f>
        <v>25</v>
      </c>
      <c r="I37" s="87">
        <f>[39]人員・時間計画!$C$12</f>
        <v>4</v>
      </c>
      <c r="J37" s="87">
        <f>[39]人員・時間計画!$D$25</f>
        <v>468</v>
      </c>
      <c r="K37" s="87">
        <f>[39]人員・時間計画!$D$26</f>
        <v>60</v>
      </c>
      <c r="L37" s="87">
        <f>[39]人員・時間計画!$D$11</f>
        <v>27</v>
      </c>
      <c r="M37" s="87">
        <f>[39]人員・時間計画!$D$12</f>
        <v>4</v>
      </c>
      <c r="N37" s="87">
        <f>[39]人員・時間計画!$E$25</f>
        <v>510</v>
      </c>
      <c r="O37" s="87">
        <f>[39]人員・時間計画!$E$26</f>
        <v>60</v>
      </c>
      <c r="P37" s="87">
        <f>[39]人員・時間計画!$E$11</f>
        <v>29</v>
      </c>
      <c r="Q37" s="87">
        <f>[39]人員・時間計画!$E$12</f>
        <v>4</v>
      </c>
      <c r="R37" s="87">
        <f>[39]人員・時間計画!$F$25</f>
        <v>595</v>
      </c>
      <c r="S37" s="87">
        <f>[39]人員・時間計画!$F$26</f>
        <v>60</v>
      </c>
      <c r="T37" s="87">
        <f>[39]人員・時間計画!$F$11</f>
        <v>30</v>
      </c>
      <c r="U37" s="87">
        <f>[39]人員・時間計画!$F$12</f>
        <v>4</v>
      </c>
      <c r="V37" s="87">
        <f>[39]人員・時間計画!$G$25</f>
        <v>565</v>
      </c>
      <c r="W37" s="87">
        <f>[39]人員・時間計画!$G$26</f>
        <v>60</v>
      </c>
      <c r="X37" s="87">
        <f>[39]人員・時間計画!$G$11</f>
        <v>30</v>
      </c>
      <c r="Y37" s="87">
        <f>[39]人員・時間計画!$G$12</f>
        <v>4</v>
      </c>
      <c r="Z37" s="87">
        <f>[39]人員・時間計画!$H$25</f>
        <v>570</v>
      </c>
      <c r="AA37" s="87">
        <f>[39]人員・時間計画!$H$26</f>
        <v>60</v>
      </c>
      <c r="AB37" s="87">
        <f>[39]人員・時間計画!$H$11</f>
        <v>31</v>
      </c>
      <c r="AC37" s="87">
        <f>[39]人員・時間計画!$H$12</f>
        <v>4</v>
      </c>
      <c r="AD37" s="87">
        <f>[39]人員・時間計画!$I$25</f>
        <v>625</v>
      </c>
      <c r="AE37" s="87">
        <f>[39]人員・時間計画!$I$26</f>
        <v>60</v>
      </c>
      <c r="AF37" s="87">
        <f>[39]人員・時間計画!$I$11</f>
        <v>32</v>
      </c>
      <c r="AG37" s="87">
        <f>[39]人員・時間計画!$I$12</f>
        <v>4</v>
      </c>
      <c r="AH37" s="87">
        <f>[39]人員・時間計画!$J$25</f>
        <v>595</v>
      </c>
      <c r="AI37" s="87">
        <f>[39]人員・時間計画!$J$26</f>
        <v>60</v>
      </c>
      <c r="AJ37" s="87">
        <f>[39]人員・時間計画!$J$11</f>
        <v>32</v>
      </c>
      <c r="AK37" s="87">
        <f>[39]人員・時間計画!$J$12</f>
        <v>4</v>
      </c>
      <c r="AL37" s="87">
        <f>[39]人員・時間計画!$K$25</f>
        <v>615</v>
      </c>
      <c r="AM37" s="87">
        <f>[39]人員・時間計画!$K$26</f>
        <v>60</v>
      </c>
      <c r="AN37" s="87">
        <f>[39]人員・時間計画!$K$11</f>
        <v>32</v>
      </c>
      <c r="AO37" s="87">
        <f>[39]人員・時間計画!$K$12</f>
        <v>4</v>
      </c>
      <c r="AP37" s="87">
        <f>[39]人員・時間計画!$L$25</f>
        <v>595</v>
      </c>
      <c r="AQ37" s="87">
        <f>[39]人員・時間計画!$L$26</f>
        <v>60</v>
      </c>
      <c r="AR37" s="87">
        <f>[39]人員・時間計画!$L$11</f>
        <v>32</v>
      </c>
      <c r="AS37" s="87">
        <f>[39]人員・時間計画!$L$12</f>
        <v>4</v>
      </c>
      <c r="AT37" s="87">
        <f>[39]人員・時間計画!$M$25</f>
        <v>545</v>
      </c>
      <c r="AU37" s="87">
        <f>[39]人員・時間計画!$M$26</f>
        <v>60</v>
      </c>
      <c r="AV37" s="87">
        <f>[39]人員・時間計画!$M$11</f>
        <v>32</v>
      </c>
      <c r="AW37" s="87">
        <f>[39]人員・時間計画!$M$12</f>
        <v>4</v>
      </c>
      <c r="AX37" s="87">
        <f>[39]人員・時間計画!$N$25</f>
        <v>595</v>
      </c>
      <c r="AY37" s="87">
        <f>[39]人員・時間計画!$N$26</f>
        <v>60</v>
      </c>
      <c r="AZ37" s="87">
        <f>[39]人員・時間計画!$N$11</f>
        <v>32</v>
      </c>
      <c r="BA37" s="87">
        <f>[39]人員・時間計画!$N$12</f>
        <v>4</v>
      </c>
    </row>
    <row r="38" spans="1:53" ht="19.5" customHeight="1">
      <c r="A38" s="93"/>
      <c r="B38" s="93"/>
      <c r="C38" s="94" t="s">
        <v>186</v>
      </c>
      <c r="D38" s="95"/>
      <c r="E38" s="95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</row>
    <row r="39" spans="1:53" ht="18.75" customHeight="1">
      <c r="A39" s="3"/>
      <c r="B39" s="3"/>
      <c r="C39" s="1"/>
      <c r="D39" s="2" t="str">
        <f>IF('6221'!$A$1=1,Sheet1!C23,Sheet1!B23)</f>
        <v>部品技術課</v>
      </c>
      <c r="E39" s="2">
        <v>1412000067</v>
      </c>
      <c r="F39" s="85">
        <f>[40]人員・時間計画!$C$25</f>
        <v>40</v>
      </c>
      <c r="G39" s="85">
        <f>[40]人員・時間計画!$C$26</f>
        <v>0</v>
      </c>
      <c r="H39" s="85">
        <f>[40]人員・時間計画!$C$11</f>
        <v>21</v>
      </c>
      <c r="I39" s="85">
        <f>[40]人員・時間計画!$C$12</f>
        <v>0</v>
      </c>
      <c r="J39" s="85">
        <f>[40]人員・時間計画!$D$25</f>
        <v>38</v>
      </c>
      <c r="K39" s="85">
        <f>[40]人員・時間計画!$D$26</f>
        <v>0</v>
      </c>
      <c r="L39" s="85">
        <f>[40]人員・時間計画!$D$11</f>
        <v>21</v>
      </c>
      <c r="M39" s="85">
        <f>[40]人員・時間計画!$D$12</f>
        <v>0</v>
      </c>
      <c r="N39" s="85">
        <f>[40]人員・時間計画!$E$25</f>
        <v>52</v>
      </c>
      <c r="O39" s="85">
        <f>[40]人員・時間計画!$E$26</f>
        <v>0</v>
      </c>
      <c r="P39" s="85">
        <f>[40]人員・時間計画!$E$11</f>
        <v>21</v>
      </c>
      <c r="Q39" s="85">
        <f>[40]人員・時間計画!$E$12</f>
        <v>0</v>
      </c>
      <c r="R39" s="85">
        <f>[40]人員・時間計画!$F$25</f>
        <v>56</v>
      </c>
      <c r="S39" s="85">
        <f>[40]人員・時間計画!$F$26</f>
        <v>0</v>
      </c>
      <c r="T39" s="85">
        <f>[40]人員・時間計画!$F$11</f>
        <v>21</v>
      </c>
      <c r="U39" s="85">
        <f>[40]人員・時間計画!$F$12</f>
        <v>0</v>
      </c>
      <c r="V39" s="85">
        <f>[40]人員・時間計画!$G$25</f>
        <v>40</v>
      </c>
      <c r="W39" s="85">
        <f>[40]人員・時間計画!$G$26</f>
        <v>0</v>
      </c>
      <c r="X39" s="85">
        <f>[40]人員・時間計画!$G$11</f>
        <v>23</v>
      </c>
      <c r="Y39" s="85">
        <f>[40]人員・時間計画!$G$12</f>
        <v>0</v>
      </c>
      <c r="Z39" s="85">
        <f>[40]人員・時間計画!$H$25</f>
        <v>38</v>
      </c>
      <c r="AA39" s="85">
        <f>[40]人員・時間計画!$H$26</f>
        <v>0</v>
      </c>
      <c r="AB39" s="85">
        <f>[40]人員・時間計画!$H$11</f>
        <v>23</v>
      </c>
      <c r="AC39" s="85">
        <f>[40]人員・時間計画!$H$12</f>
        <v>0</v>
      </c>
      <c r="AD39" s="85">
        <f>[40]人員・時間計画!$I$25</f>
        <v>56</v>
      </c>
      <c r="AE39" s="85">
        <f>[40]人員・時間計画!$I$26</f>
        <v>0</v>
      </c>
      <c r="AF39" s="85">
        <f>[40]人員・時間計画!$I$11</f>
        <v>23</v>
      </c>
      <c r="AG39" s="85">
        <f>[40]人員・時間計画!$I$12</f>
        <v>0</v>
      </c>
      <c r="AH39" s="85">
        <f>[40]人員・時間計画!$J$25</f>
        <v>50</v>
      </c>
      <c r="AI39" s="85">
        <f>[40]人員・時間計画!$J$26</f>
        <v>0</v>
      </c>
      <c r="AJ39" s="85">
        <f>[40]人員・時間計画!$J$11</f>
        <v>23</v>
      </c>
      <c r="AK39" s="85">
        <f>[40]人員・時間計画!$J$12</f>
        <v>0</v>
      </c>
      <c r="AL39" s="85">
        <f>[40]人員・時間計画!$K$25</f>
        <v>44</v>
      </c>
      <c r="AM39" s="85">
        <f>[40]人員・時間計画!$K$26</f>
        <v>0</v>
      </c>
      <c r="AN39" s="85">
        <f>[40]人員・時間計画!$K$11</f>
        <v>23</v>
      </c>
      <c r="AO39" s="85">
        <f>[40]人員・時間計画!$K$12</f>
        <v>0</v>
      </c>
      <c r="AP39" s="85">
        <f>[40]人員・時間計画!$L$25</f>
        <v>40</v>
      </c>
      <c r="AQ39" s="85">
        <f>[40]人員・時間計画!$L$26</f>
        <v>0</v>
      </c>
      <c r="AR39" s="85">
        <f>[40]人員・時間計画!$L$11</f>
        <v>23</v>
      </c>
      <c r="AS39" s="85">
        <f>[40]人員・時間計画!$L$12</f>
        <v>0</v>
      </c>
      <c r="AT39" s="85">
        <f>[40]人員・時間計画!$M$25</f>
        <v>30</v>
      </c>
      <c r="AU39" s="85">
        <f>[40]人員・時間計画!$M$26</f>
        <v>0</v>
      </c>
      <c r="AV39" s="85">
        <f>[40]人員・時間計画!$M$11</f>
        <v>23</v>
      </c>
      <c r="AW39" s="85">
        <f>[40]人員・時間計画!$M$12</f>
        <v>0</v>
      </c>
      <c r="AX39" s="85">
        <f>[40]人員・時間計画!$N$25</f>
        <v>40</v>
      </c>
      <c r="AY39" s="85">
        <f>[40]人員・時間計画!$N$26</f>
        <v>0</v>
      </c>
      <c r="AZ39" s="85">
        <f>[40]人員・時間計画!$N$11</f>
        <v>23</v>
      </c>
      <c r="BA39" s="85">
        <f>[40]人員・時間計画!$N$12</f>
        <v>0</v>
      </c>
    </row>
    <row r="40" spans="1:53" ht="19.5" customHeight="1">
      <c r="A40" s="5"/>
      <c r="B40" s="5">
        <v>6371</v>
      </c>
      <c r="C40" s="9" t="str">
        <f>IF($A$1=1,Sheet1!D45,Sheet1!A45)</f>
        <v>生産技術部</v>
      </c>
      <c r="D40" s="22"/>
      <c r="E40" s="22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</row>
    <row r="41" spans="1:53" ht="19.5" customHeight="1">
      <c r="A41" s="8"/>
      <c r="B41" s="8"/>
      <c r="C41" s="7"/>
      <c r="D41" s="6" t="str">
        <f>IF($A$1=1,Sheet1!C46,Sheet1!B46)</f>
        <v>生産技術1課</v>
      </c>
      <c r="E41" s="81">
        <v>1412000016</v>
      </c>
      <c r="F41" s="84">
        <f>[41]人員・時間計画!$C$25</f>
        <v>200</v>
      </c>
      <c r="G41" s="84">
        <f>[41]人員・時間計画!$C$26</f>
        <v>0</v>
      </c>
      <c r="H41" s="84">
        <f>[41]人員・時間計画!$C$11</f>
        <v>16</v>
      </c>
      <c r="I41" s="84">
        <f>[41]人員・時間計画!$C$12</f>
        <v>0</v>
      </c>
      <c r="J41" s="84">
        <f>[41]人員・時間計画!$D$25</f>
        <v>200</v>
      </c>
      <c r="K41" s="84">
        <f>[41]人員・時間計画!$D$26</f>
        <v>0</v>
      </c>
      <c r="L41" s="84">
        <f>[41]人員・時間計画!$D$11</f>
        <v>17</v>
      </c>
      <c r="M41" s="84">
        <f>[41]人員・時間計画!$D$12</f>
        <v>0</v>
      </c>
      <c r="N41" s="84">
        <f>[41]人員・時間計画!$E$25</f>
        <v>250</v>
      </c>
      <c r="O41" s="84">
        <f>[41]人員・時間計画!$E$26</f>
        <v>0</v>
      </c>
      <c r="P41" s="84">
        <f>[41]人員・時間計画!$E$11</f>
        <v>17</v>
      </c>
      <c r="Q41" s="84">
        <f>[41]人員・時間計画!$E$12</f>
        <v>0</v>
      </c>
      <c r="R41" s="84">
        <f>[41]人員・時間計画!$F$25</f>
        <v>300</v>
      </c>
      <c r="S41" s="84">
        <f>[41]人員・時間計画!$F$26</f>
        <v>0</v>
      </c>
      <c r="T41" s="84">
        <f>[41]人員・時間計画!$F$11</f>
        <v>17</v>
      </c>
      <c r="U41" s="84">
        <f>[41]人員・時間計画!$F$12</f>
        <v>0</v>
      </c>
      <c r="V41" s="84">
        <f>[41]人員・時間計画!$G$25</f>
        <v>250</v>
      </c>
      <c r="W41" s="84">
        <f>[41]人員・時間計画!$G$26</f>
        <v>0</v>
      </c>
      <c r="X41" s="84">
        <f>[41]人員・時間計画!$G$11</f>
        <v>17</v>
      </c>
      <c r="Y41" s="84">
        <f>[41]人員・時間計画!$G$12</f>
        <v>0</v>
      </c>
      <c r="Z41" s="84">
        <f>[41]人員・時間計画!$H$25</f>
        <v>250</v>
      </c>
      <c r="AA41" s="84">
        <f>[41]人員・時間計画!$H$26</f>
        <v>0</v>
      </c>
      <c r="AB41" s="84">
        <f>[41]人員・時間計画!$H$11</f>
        <v>17</v>
      </c>
      <c r="AC41" s="84">
        <f>[41]人員・時間計画!$H$12</f>
        <v>0</v>
      </c>
      <c r="AD41" s="84">
        <f>[41]人員・時間計画!$I$25</f>
        <v>300</v>
      </c>
      <c r="AE41" s="84">
        <f>[41]人員・時間計画!$I$26</f>
        <v>0</v>
      </c>
      <c r="AF41" s="84">
        <f>[41]人員・時間計画!$I$11</f>
        <v>17</v>
      </c>
      <c r="AG41" s="84">
        <f>[41]人員・時間計画!$I$12</f>
        <v>0</v>
      </c>
      <c r="AH41" s="84">
        <f>[41]人員・時間計画!$J$25</f>
        <v>300</v>
      </c>
      <c r="AI41" s="84">
        <f>[41]人員・時間計画!$J$26</f>
        <v>0</v>
      </c>
      <c r="AJ41" s="84">
        <f>[41]人員・時間計画!$J$11</f>
        <v>17</v>
      </c>
      <c r="AK41" s="84">
        <f>[41]人員・時間計画!$J$12</f>
        <v>0</v>
      </c>
      <c r="AL41" s="84">
        <f>[41]人員・時間計画!$K$25</f>
        <v>250</v>
      </c>
      <c r="AM41" s="84">
        <f>[41]人員・時間計画!$K$26</f>
        <v>0</v>
      </c>
      <c r="AN41" s="84">
        <f>[41]人員・時間計画!$K$11</f>
        <v>17</v>
      </c>
      <c r="AO41" s="84">
        <f>[41]人員・時間計画!$K$12</f>
        <v>0</v>
      </c>
      <c r="AP41" s="84">
        <f>[41]人員・時間計画!$L$25</f>
        <v>200</v>
      </c>
      <c r="AQ41" s="84">
        <f>[41]人員・時間計画!$L$26</f>
        <v>0</v>
      </c>
      <c r="AR41" s="84">
        <f>[41]人員・時間計画!$L$11</f>
        <v>17</v>
      </c>
      <c r="AS41" s="84">
        <f>[41]人員・時間計画!$L$12</f>
        <v>0</v>
      </c>
      <c r="AT41" s="84">
        <f>[41]人員・時間計画!$M$25</f>
        <v>150</v>
      </c>
      <c r="AU41" s="84">
        <f>[41]人員・時間計画!$M$26</f>
        <v>0</v>
      </c>
      <c r="AV41" s="84">
        <f>[41]人員・時間計画!$M$11</f>
        <v>17</v>
      </c>
      <c r="AW41" s="84">
        <f>[41]人員・時間計画!$M$12</f>
        <v>0</v>
      </c>
      <c r="AX41" s="84">
        <f>[41]人員・時間計画!$N$25</f>
        <v>200</v>
      </c>
      <c r="AY41" s="84">
        <f>[41]人員・時間計画!$N$26</f>
        <v>0</v>
      </c>
      <c r="AZ41" s="84">
        <f>[41]人員・時間計画!$N$11</f>
        <v>17</v>
      </c>
      <c r="BA41" s="84">
        <f>[41]人員・時間計画!$N$12</f>
        <v>0</v>
      </c>
    </row>
    <row r="42" spans="1:53" ht="19.5" customHeight="1">
      <c r="A42" s="8"/>
      <c r="B42" s="8"/>
      <c r="C42" s="7"/>
      <c r="D42" s="6" t="str">
        <f>IF($A$1=1,Sheet1!C47,Sheet1!B47)</f>
        <v>生産技術2課</v>
      </c>
      <c r="E42" s="81">
        <v>1412000069</v>
      </c>
      <c r="F42" s="84">
        <f>[42]人員・時間計画!$C$25</f>
        <v>80</v>
      </c>
      <c r="G42" s="84">
        <f>[42]人員・時間計画!$C$26</f>
        <v>0</v>
      </c>
      <c r="H42" s="84">
        <f>[42]人員・時間計画!$C$11</f>
        <v>12</v>
      </c>
      <c r="I42" s="84">
        <f>[42]人員・時間計画!$C$12</f>
        <v>0</v>
      </c>
      <c r="J42" s="84">
        <f>[42]人員・時間計画!$D$25</f>
        <v>80</v>
      </c>
      <c r="K42" s="84">
        <f>[42]人員・時間計画!$D$26</f>
        <v>0</v>
      </c>
      <c r="L42" s="84">
        <f>[42]人員・時間計画!$D$11</f>
        <v>13</v>
      </c>
      <c r="M42" s="84">
        <f>[42]人員・時間計画!$D$12</f>
        <v>0</v>
      </c>
      <c r="N42" s="84">
        <f>[42]人員・時間計画!$E$25</f>
        <v>80</v>
      </c>
      <c r="O42" s="84">
        <f>[42]人員・時間計画!$E$26</f>
        <v>0</v>
      </c>
      <c r="P42" s="84">
        <f>[42]人員・時間計画!$E$11</f>
        <v>13</v>
      </c>
      <c r="Q42" s="84">
        <f>[42]人員・時間計画!$E$12</f>
        <v>0</v>
      </c>
      <c r="R42" s="84">
        <f>[42]人員・時間計画!$F$25</f>
        <v>100</v>
      </c>
      <c r="S42" s="84">
        <f>[42]人員・時間計画!$F$26</f>
        <v>0</v>
      </c>
      <c r="T42" s="84">
        <f>[42]人員・時間計画!$F$11</f>
        <v>13</v>
      </c>
      <c r="U42" s="84">
        <f>[42]人員・時間計画!$F$12</f>
        <v>0</v>
      </c>
      <c r="V42" s="84">
        <f>[42]人員・時間計画!$G$25</f>
        <v>100</v>
      </c>
      <c r="W42" s="84">
        <f>[42]人員・時間計画!$G$26</f>
        <v>0</v>
      </c>
      <c r="X42" s="84">
        <f>[42]人員・時間計画!$G$11</f>
        <v>13</v>
      </c>
      <c r="Y42" s="84">
        <f>[42]人員・時間計画!$G$12</f>
        <v>0</v>
      </c>
      <c r="Z42" s="84">
        <f>[42]人員・時間計画!$H$25</f>
        <v>100</v>
      </c>
      <c r="AA42" s="84">
        <f>[42]人員・時間計画!$H$26</f>
        <v>0</v>
      </c>
      <c r="AB42" s="84">
        <f>[42]人員・時間計画!$H$11</f>
        <v>13</v>
      </c>
      <c r="AC42" s="84">
        <f>[42]人員・時間計画!$H$12</f>
        <v>0</v>
      </c>
      <c r="AD42" s="84">
        <f>[42]人員・時間計画!$I$25</f>
        <v>100</v>
      </c>
      <c r="AE42" s="84">
        <f>[42]人員・時間計画!$I$26</f>
        <v>0</v>
      </c>
      <c r="AF42" s="84">
        <f>[42]人員・時間計画!$I$11</f>
        <v>13</v>
      </c>
      <c r="AG42" s="84">
        <f>[42]人員・時間計画!$I$12</f>
        <v>0</v>
      </c>
      <c r="AH42" s="84">
        <f>[42]人員・時間計画!$J$25</f>
        <v>100</v>
      </c>
      <c r="AI42" s="84">
        <f>[42]人員・時間計画!$J$26</f>
        <v>0</v>
      </c>
      <c r="AJ42" s="84">
        <f>[42]人員・時間計画!$J$11</f>
        <v>13</v>
      </c>
      <c r="AK42" s="84">
        <f>[42]人員・時間計画!$J$12</f>
        <v>0</v>
      </c>
      <c r="AL42" s="84">
        <f>[42]人員・時間計画!$K$25</f>
        <v>100</v>
      </c>
      <c r="AM42" s="84">
        <f>[42]人員・時間計画!$K$26</f>
        <v>0</v>
      </c>
      <c r="AN42" s="84">
        <f>[42]人員・時間計画!$K$11</f>
        <v>13</v>
      </c>
      <c r="AO42" s="84">
        <f>[42]人員・時間計画!$K$12</f>
        <v>0</v>
      </c>
      <c r="AP42" s="84">
        <f>[42]人員・時間計画!$L$25</f>
        <v>80</v>
      </c>
      <c r="AQ42" s="84">
        <f>[42]人員・時間計画!$L$26</f>
        <v>0</v>
      </c>
      <c r="AR42" s="84">
        <f>[42]人員・時間計画!$L$11</f>
        <v>13</v>
      </c>
      <c r="AS42" s="84">
        <f>[42]人員・時間計画!$L$12</f>
        <v>0</v>
      </c>
      <c r="AT42" s="84">
        <f>[42]人員・時間計画!$M$25</f>
        <v>60</v>
      </c>
      <c r="AU42" s="84">
        <f>[42]人員・時間計画!$M$26</f>
        <v>0</v>
      </c>
      <c r="AV42" s="84">
        <f>[42]人員・時間計画!$M$11</f>
        <v>13</v>
      </c>
      <c r="AW42" s="84">
        <f>[42]人員・時間計画!$M$12</f>
        <v>0</v>
      </c>
      <c r="AX42" s="84">
        <f>[42]人員・時間計画!$N$25</f>
        <v>80</v>
      </c>
      <c r="AY42" s="84">
        <f>[42]人員・時間計画!$N$26</f>
        <v>0</v>
      </c>
      <c r="AZ42" s="84">
        <f>[42]人員・時間計画!$N$11</f>
        <v>13</v>
      </c>
      <c r="BA42" s="84">
        <f>[42]人員・時間計画!$N$12</f>
        <v>0</v>
      </c>
    </row>
    <row r="43" spans="1:53" ht="19.5" customHeight="1">
      <c r="A43" s="3"/>
      <c r="B43" s="3"/>
      <c r="C43" s="1"/>
      <c r="D43" s="6" t="str">
        <f>IF($A$1=1,Sheet1!C48,Sheet1!B48)</f>
        <v>生産技術3課</v>
      </c>
      <c r="E43" s="2">
        <v>1412000084</v>
      </c>
      <c r="F43" s="85">
        <f>[43]人員・時間計画!$C$25</f>
        <v>180</v>
      </c>
      <c r="G43" s="85">
        <f>[43]人員・時間計画!$C$26</f>
        <v>0</v>
      </c>
      <c r="H43" s="85">
        <f>[43]人員・時間計画!$C$11</f>
        <v>22</v>
      </c>
      <c r="I43" s="85">
        <f>[43]人員・時間計画!$C$12</f>
        <v>0</v>
      </c>
      <c r="J43" s="85">
        <f>[43]人員・時間計画!$D$25</f>
        <v>180</v>
      </c>
      <c r="K43" s="85">
        <f>[43]人員・時間計画!$D$26</f>
        <v>0</v>
      </c>
      <c r="L43" s="85">
        <f>[43]人員・時間計画!$D$11</f>
        <v>22</v>
      </c>
      <c r="M43" s="85">
        <f>[43]人員・時間計画!$D$12</f>
        <v>0</v>
      </c>
      <c r="N43" s="85">
        <f>[43]人員・時間計画!$E$25</f>
        <v>180</v>
      </c>
      <c r="O43" s="85">
        <f>[43]人員・時間計画!$E$26</f>
        <v>0</v>
      </c>
      <c r="P43" s="85">
        <f>[43]人員・時間計画!$E$11</f>
        <v>22</v>
      </c>
      <c r="Q43" s="85">
        <f>[43]人員・時間計画!$E$12</f>
        <v>0</v>
      </c>
      <c r="R43" s="85">
        <f>[43]人員・時間計画!$F$25</f>
        <v>220</v>
      </c>
      <c r="S43" s="85">
        <f>[43]人員・時間計画!$F$26</f>
        <v>0</v>
      </c>
      <c r="T43" s="85">
        <f>[43]人員・時間計画!$F$11</f>
        <v>23</v>
      </c>
      <c r="U43" s="85">
        <f>[43]人員・時間計画!$F$12</f>
        <v>0</v>
      </c>
      <c r="V43" s="85">
        <f>[43]人員・時間計画!$G$25</f>
        <v>180</v>
      </c>
      <c r="W43" s="85">
        <f>[43]人員・時間計画!$G$26</f>
        <v>0</v>
      </c>
      <c r="X43" s="85">
        <f>[43]人員・時間計画!$G$11</f>
        <v>23</v>
      </c>
      <c r="Y43" s="85">
        <f>[43]人員・時間計画!$G$12</f>
        <v>0</v>
      </c>
      <c r="Z43" s="85">
        <f>[43]人員・時間計画!$H$25</f>
        <v>170</v>
      </c>
      <c r="AA43" s="85">
        <f>[43]人員・時間計画!$H$26</f>
        <v>0</v>
      </c>
      <c r="AB43" s="85">
        <f>[43]人員・時間計画!$H$11</f>
        <v>23</v>
      </c>
      <c r="AC43" s="85">
        <f>[43]人員・時間計画!$H$12</f>
        <v>0</v>
      </c>
      <c r="AD43" s="85">
        <f>[43]人員・時間計画!$I$25</f>
        <v>200</v>
      </c>
      <c r="AE43" s="85">
        <f>[43]人員・時間計画!$I$26</f>
        <v>0</v>
      </c>
      <c r="AF43" s="85">
        <f>[43]人員・時間計画!$I$11</f>
        <v>23</v>
      </c>
      <c r="AG43" s="85">
        <f>[43]人員・時間計画!$I$12</f>
        <v>0</v>
      </c>
      <c r="AH43" s="85">
        <f>[43]人員・時間計画!$J$25</f>
        <v>180</v>
      </c>
      <c r="AI43" s="85">
        <f>[43]人員・時間計画!$J$26</f>
        <v>0</v>
      </c>
      <c r="AJ43" s="85">
        <f>[43]人員・時間計画!$J$11</f>
        <v>23</v>
      </c>
      <c r="AK43" s="85">
        <f>[43]人員・時間計画!$J$12</f>
        <v>0</v>
      </c>
      <c r="AL43" s="85">
        <f>[43]人員・時間計画!$K$25</f>
        <v>180</v>
      </c>
      <c r="AM43" s="85">
        <f>[43]人員・時間計画!$K$26</f>
        <v>0</v>
      </c>
      <c r="AN43" s="85">
        <f>[43]人員・時間計画!$K$11</f>
        <v>23</v>
      </c>
      <c r="AO43" s="85">
        <f>[43]人員・時間計画!$K$12</f>
        <v>0</v>
      </c>
      <c r="AP43" s="85">
        <f>[43]人員・時間計画!$L$25</f>
        <v>180</v>
      </c>
      <c r="AQ43" s="85">
        <f>[43]人員・時間計画!$L$26</f>
        <v>0</v>
      </c>
      <c r="AR43" s="85">
        <f>[43]人員・時間計画!$L$11</f>
        <v>23</v>
      </c>
      <c r="AS43" s="85">
        <f>[43]人員・時間計画!$L$12</f>
        <v>0</v>
      </c>
      <c r="AT43" s="85">
        <f>[43]人員・時間計画!$M$25</f>
        <v>120</v>
      </c>
      <c r="AU43" s="85">
        <f>[43]人員・時間計画!$M$26</f>
        <v>0</v>
      </c>
      <c r="AV43" s="85">
        <f>[43]人員・時間計画!$M$11</f>
        <v>23</v>
      </c>
      <c r="AW43" s="85">
        <f>[43]人員・時間計画!$M$12</f>
        <v>0</v>
      </c>
      <c r="AX43" s="85">
        <f>[43]人員・時間計画!$N$25</f>
        <v>200</v>
      </c>
      <c r="AY43" s="85">
        <f>[43]人員・時間計画!$N$26</f>
        <v>0</v>
      </c>
      <c r="AZ43" s="85">
        <f>[43]人員・時間計画!$N$11</f>
        <v>23</v>
      </c>
      <c r="BA43" s="85">
        <f>[43]人員・時間計画!$N$12</f>
        <v>0</v>
      </c>
    </row>
    <row r="44" spans="1:53" ht="19.5" customHeight="1">
      <c r="A44" s="13"/>
      <c r="B44" s="13">
        <v>6371</v>
      </c>
      <c r="C44" s="12" t="str">
        <f>IF($A$1=1,Sheet1!D60,Sheet1!A60)</f>
        <v>品質保証部</v>
      </c>
      <c r="D44" s="22"/>
      <c r="E44" s="22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</row>
    <row r="45" spans="1:53" ht="19.5" customHeight="1">
      <c r="A45" s="8"/>
      <c r="B45" s="8"/>
      <c r="C45" s="7"/>
      <c r="D45" s="6" t="str">
        <f>IF($A$1=1,Sheet1!C61,Sheet1!B61)</f>
        <v>品質保証課</v>
      </c>
      <c r="E45" s="81">
        <v>1412000018</v>
      </c>
      <c r="F45" s="84">
        <f>[44]人員・時間計画!$C$25</f>
        <v>90</v>
      </c>
      <c r="G45" s="84">
        <f>[44]人員・時間計画!$C$26</f>
        <v>3</v>
      </c>
      <c r="H45" s="84">
        <f>[44]人員・時間計画!$C$11</f>
        <v>11</v>
      </c>
      <c r="I45" s="84">
        <f>[44]人員・時間計画!$C$12</f>
        <v>1</v>
      </c>
      <c r="J45" s="84">
        <f>[44]人員・時間計画!$D$25</f>
        <v>83</v>
      </c>
      <c r="K45" s="84">
        <f>[44]人員・時間計画!$D$26</f>
        <v>3</v>
      </c>
      <c r="L45" s="84">
        <f>[44]人員・時間計画!$D$11</f>
        <v>11</v>
      </c>
      <c r="M45" s="84">
        <f>[44]人員・時間計画!$D$12</f>
        <v>1</v>
      </c>
      <c r="N45" s="84">
        <f>[44]人員・時間計画!$E$25</f>
        <v>99.5</v>
      </c>
      <c r="O45" s="84">
        <f>[44]人員・時間計画!$E$26</f>
        <v>3</v>
      </c>
      <c r="P45" s="84">
        <f>[44]人員・時間計画!$E$11</f>
        <v>11</v>
      </c>
      <c r="Q45" s="84">
        <f>[44]人員・時間計画!$E$12</f>
        <v>1</v>
      </c>
      <c r="R45" s="84">
        <f>[44]人員・時間計画!$F$25</f>
        <v>96</v>
      </c>
      <c r="S45" s="84">
        <f>[44]人員・時間計画!$F$26</f>
        <v>3</v>
      </c>
      <c r="T45" s="84">
        <f>[44]人員・時間計画!$F$11</f>
        <v>11</v>
      </c>
      <c r="U45" s="84">
        <f>[44]人員・時間計画!$F$12</f>
        <v>1</v>
      </c>
      <c r="V45" s="84">
        <f>[44]人員・時間計画!G$25</f>
        <v>107</v>
      </c>
      <c r="W45" s="84">
        <f>[44]人員・時間計画!$G$26</f>
        <v>3</v>
      </c>
      <c r="X45" s="84">
        <f>[44]人員・時間計画!$G$11</f>
        <v>11</v>
      </c>
      <c r="Y45" s="84">
        <f>[44]人員・時間計画!$G$12</f>
        <v>1</v>
      </c>
      <c r="Z45" s="84">
        <f>[44]人員・時間計画!$H$25</f>
        <v>71</v>
      </c>
      <c r="AA45" s="84">
        <f>[44]人員・時間計画!$H$26</f>
        <v>3</v>
      </c>
      <c r="AB45" s="84">
        <f>[44]人員・時間計画!$H$11</f>
        <v>11</v>
      </c>
      <c r="AC45" s="84">
        <f>[44]人員・時間計画!$H$12</f>
        <v>1</v>
      </c>
      <c r="AD45" s="84">
        <f>[44]人員・時間計画!$I$25</f>
        <v>103.5</v>
      </c>
      <c r="AE45" s="84">
        <f>[44]人員・時間計画!$I$26</f>
        <v>3</v>
      </c>
      <c r="AF45" s="84">
        <f>[44]人員・時間計画!$I$11</f>
        <v>11</v>
      </c>
      <c r="AG45" s="84">
        <f>[44]人員・時間計画!$I$12</f>
        <v>1</v>
      </c>
      <c r="AH45" s="84">
        <f>[44]人員・時間計画!$J$25</f>
        <v>85</v>
      </c>
      <c r="AI45" s="84">
        <f>[44]人員・時間計画!$J$26</f>
        <v>3</v>
      </c>
      <c r="AJ45" s="84">
        <f>[44]人員・時間計画!$J$11</f>
        <v>11</v>
      </c>
      <c r="AK45" s="84">
        <f>[44]人員・時間計画!$J$12</f>
        <v>1</v>
      </c>
      <c r="AL45" s="84">
        <f>[44]人員・時間計画!$K$25</f>
        <v>89</v>
      </c>
      <c r="AM45" s="84">
        <f>[44]人員・時間計画!$K$26</f>
        <v>3</v>
      </c>
      <c r="AN45" s="84">
        <f>[44]人員・時間計画!$K$11</f>
        <v>11</v>
      </c>
      <c r="AO45" s="84">
        <f>[44]人員・時間計画!$K$12</f>
        <v>1</v>
      </c>
      <c r="AP45" s="84">
        <f>[44]人員・時間計画!$L$25</f>
        <v>75</v>
      </c>
      <c r="AQ45" s="84">
        <f>[44]人員・時間計画!$L$26</f>
        <v>3</v>
      </c>
      <c r="AR45" s="84">
        <f>[44]人員・時間計画!$L$11</f>
        <v>11</v>
      </c>
      <c r="AS45" s="84">
        <f>[44]人員・時間計画!$L$12</f>
        <v>1</v>
      </c>
      <c r="AT45" s="84">
        <f>[44]人員・時間計画!$M$25</f>
        <v>97</v>
      </c>
      <c r="AU45" s="84">
        <f>[44]人員・時間計画!$M$26</f>
        <v>3</v>
      </c>
      <c r="AV45" s="84">
        <f>[44]人員・時間計画!$M$11</f>
        <v>11</v>
      </c>
      <c r="AW45" s="84">
        <f>[44]人員・時間計画!$M$12</f>
        <v>1</v>
      </c>
      <c r="AX45" s="84">
        <f>[44]人員・時間計画!$N$25</f>
        <v>75</v>
      </c>
      <c r="AY45" s="84">
        <f>[44]人員・時間計画!$N$26</f>
        <v>3</v>
      </c>
      <c r="AZ45" s="84">
        <f>[44]人員・時間計画!$N$11</f>
        <v>11</v>
      </c>
      <c r="BA45" s="84">
        <f>[44]人員・時間計画!$N$12</f>
        <v>1</v>
      </c>
    </row>
    <row r="46" spans="1:53" ht="19.5" customHeight="1">
      <c r="A46" s="3"/>
      <c r="B46" s="3"/>
      <c r="C46" s="1"/>
      <c r="D46" s="6" t="str">
        <f>IF($A$1=1,Sheet1!C62,Sheet1!B62)</f>
        <v>製品保証課</v>
      </c>
      <c r="E46" s="2">
        <v>1412000019</v>
      </c>
      <c r="F46" s="85">
        <f>[45]人員・時間計画!$C$25</f>
        <v>175</v>
      </c>
      <c r="G46" s="85">
        <f>[45]人員・時間計画!$C$26</f>
        <v>405</v>
      </c>
      <c r="H46" s="85">
        <f>[45]人員・時間計画!$C$11</f>
        <v>13</v>
      </c>
      <c r="I46" s="85">
        <f>[45]人員・時間計画!$C$12</f>
        <v>32</v>
      </c>
      <c r="J46" s="85">
        <f>[45]人員・時間計画!$D$25</f>
        <v>173</v>
      </c>
      <c r="K46" s="85">
        <f>[45]人員・時間計画!$D$26</f>
        <v>405</v>
      </c>
      <c r="L46" s="85">
        <f>[45]人員・時間計画!$D$11</f>
        <v>13</v>
      </c>
      <c r="M46" s="85">
        <f>[45]人員・時間計画!$D$12</f>
        <v>32</v>
      </c>
      <c r="N46" s="85">
        <f>[45]人員・時間計画!$E$25</f>
        <v>177</v>
      </c>
      <c r="O46" s="85">
        <f>[45]人員・時間計画!$E$26</f>
        <v>405</v>
      </c>
      <c r="P46" s="85">
        <f>[45]人員・時間計画!$E$11</f>
        <v>13</v>
      </c>
      <c r="Q46" s="85">
        <f>[45]人員・時間計画!$E$12</f>
        <v>32</v>
      </c>
      <c r="R46" s="85">
        <f>[45]人員・時間計画!$F$25</f>
        <v>181</v>
      </c>
      <c r="S46" s="85">
        <f>[45]人員・時間計画!$F$26</f>
        <v>405</v>
      </c>
      <c r="T46" s="85">
        <f>[45]人員・時間計画!$F$11</f>
        <v>13</v>
      </c>
      <c r="U46" s="85">
        <f>[45]人員・時間計画!$F$12</f>
        <v>32</v>
      </c>
      <c r="V46" s="85">
        <f>[45]人員・時間計画!$G$25</f>
        <v>185</v>
      </c>
      <c r="W46" s="85">
        <f>[45]人員・時間計画!$G$26</f>
        <v>425</v>
      </c>
      <c r="X46" s="85">
        <f>[45]人員・時間計画!$G$11</f>
        <v>14</v>
      </c>
      <c r="Y46" s="85">
        <f>[45]人員・時間計画!$G$12</f>
        <v>33</v>
      </c>
      <c r="Z46" s="85">
        <f>[45]人員・時間計画!$H$25</f>
        <v>173</v>
      </c>
      <c r="AA46" s="85">
        <f>[45]人員・時間計画!$H$26</f>
        <v>355</v>
      </c>
      <c r="AB46" s="85">
        <f>[45]人員・時間計画!$H$11</f>
        <v>14</v>
      </c>
      <c r="AC46" s="85">
        <f>[45]人員・時間計画!$H$12</f>
        <v>33</v>
      </c>
      <c r="AD46" s="85">
        <f>[45]人員・時間計画!$I$25</f>
        <v>181</v>
      </c>
      <c r="AE46" s="85">
        <f>[45]人員・時間計画!$I$26</f>
        <v>355</v>
      </c>
      <c r="AF46" s="85">
        <f>[45]人員・時間計画!$I$11</f>
        <v>14</v>
      </c>
      <c r="AG46" s="85">
        <f>[45]人員・時間計画!$I$12</f>
        <v>33</v>
      </c>
      <c r="AH46" s="85">
        <f>[45]人員・時間計画!$J$25</f>
        <v>175</v>
      </c>
      <c r="AI46" s="85">
        <f>[45]人員・時間計画!$J$26</f>
        <v>355</v>
      </c>
      <c r="AJ46" s="85">
        <f>[45]人員・時間計画!$J$11</f>
        <v>14</v>
      </c>
      <c r="AK46" s="85">
        <f>[45]人員・時間計画!$J$12</f>
        <v>33</v>
      </c>
      <c r="AL46" s="85">
        <f>[45]人員・時間計画!$K$25</f>
        <v>179</v>
      </c>
      <c r="AM46" s="85">
        <f>[45]人員・時間計画!$K$26</f>
        <v>355</v>
      </c>
      <c r="AN46" s="85">
        <f>[45]人員・時間計画!$K$11</f>
        <v>14</v>
      </c>
      <c r="AO46" s="85">
        <f>[45]人員・時間計画!$K$12</f>
        <v>33</v>
      </c>
      <c r="AP46" s="85">
        <f>[45]人員・時間計画!$L$25</f>
        <v>175</v>
      </c>
      <c r="AQ46" s="85">
        <f>[45]人員・時間計画!$L$26</f>
        <v>355</v>
      </c>
      <c r="AR46" s="85">
        <f>[45]人員・時間計画!$L$11</f>
        <v>14</v>
      </c>
      <c r="AS46" s="85">
        <f>[45]人員・時間計画!$L$12</f>
        <v>33</v>
      </c>
      <c r="AT46" s="85">
        <f>[45]人員・時間計画!$M$25</f>
        <v>165</v>
      </c>
      <c r="AU46" s="85">
        <f>[45]人員・時間計画!$M$26</f>
        <v>355</v>
      </c>
      <c r="AV46" s="85">
        <f>[45]人員・時間計画!$M$11</f>
        <v>14</v>
      </c>
      <c r="AW46" s="85">
        <f>[45]人員・時間計画!$M$12</f>
        <v>33</v>
      </c>
      <c r="AX46" s="85">
        <f>[45]人員・時間計画!$N$25</f>
        <v>189</v>
      </c>
      <c r="AY46" s="85">
        <f>[45]人員・時間計画!$N$26</f>
        <v>401</v>
      </c>
      <c r="AZ46" s="85">
        <f>[45]人員・時間計画!$N$11</f>
        <v>14</v>
      </c>
      <c r="BA46" s="85">
        <f>[45]人員・時間計画!$N$12</f>
        <v>33</v>
      </c>
    </row>
    <row r="47" spans="1:53" ht="19.5" customHeight="1">
      <c r="A47" s="13"/>
      <c r="B47" s="13">
        <v>6371</v>
      </c>
      <c r="C47" s="12" t="str">
        <f>IF($A$1=1,Sheet1!D63,Sheet1!A63)</f>
        <v>資材部</v>
      </c>
      <c r="D47" s="22"/>
      <c r="E47" s="22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</row>
    <row r="48" spans="1:53" ht="19.5" customHeight="1">
      <c r="A48" s="8"/>
      <c r="B48" s="8"/>
      <c r="C48" s="7"/>
      <c r="D48" s="6" t="str">
        <f>IF($A$1=1,Sheet1!C64,Sheet1!B64)</f>
        <v>第1資材課</v>
      </c>
      <c r="E48" s="81">
        <v>1412000058</v>
      </c>
      <c r="F48" s="84">
        <f>[46]人員・時間計画!$C$25</f>
        <v>154</v>
      </c>
      <c r="G48" s="84">
        <f>[46]人員・時間計画!$C$26</f>
        <v>0</v>
      </c>
      <c r="H48" s="84">
        <f>[46]人員・時間計画!$C$11</f>
        <v>17</v>
      </c>
      <c r="I48" s="84">
        <f>[46]人員・時間計画!$C$12</f>
        <v>0</v>
      </c>
      <c r="J48" s="84">
        <f>[46]人員・時間計画!$D$25</f>
        <v>146</v>
      </c>
      <c r="K48" s="84">
        <f>[46]人員・時間計画!$D$26</f>
        <v>0</v>
      </c>
      <c r="L48" s="84">
        <f>[46]人員・時間計画!$D$11</f>
        <v>17</v>
      </c>
      <c r="M48" s="84">
        <f>[46]人員・時間計画!$D$12</f>
        <v>0</v>
      </c>
      <c r="N48" s="84">
        <f>[46]人員・時間計画!$E$25</f>
        <v>162</v>
      </c>
      <c r="O48" s="84">
        <f>[46]人員・時間計画!$E$26</f>
        <v>0</v>
      </c>
      <c r="P48" s="84">
        <f>[46]人員・時間計画!$E$11</f>
        <v>17</v>
      </c>
      <c r="Q48" s="84">
        <f>[46]人員・時間計画!$E$12</f>
        <v>0</v>
      </c>
      <c r="R48" s="84">
        <f>[46]人員・時間計画!$F$25</f>
        <v>178</v>
      </c>
      <c r="S48" s="84">
        <f>[46]人員・時間計画!$F$26</f>
        <v>0</v>
      </c>
      <c r="T48" s="84">
        <f>[46]人員・時間計画!$F$11</f>
        <v>17</v>
      </c>
      <c r="U48" s="84">
        <f>[46]人員・時間計画!$F$12</f>
        <v>0</v>
      </c>
      <c r="V48" s="84">
        <f>[46]人員・時間計画!$G$25</f>
        <v>154</v>
      </c>
      <c r="W48" s="84">
        <f>[46]人員・時間計画!$G$26</f>
        <v>0</v>
      </c>
      <c r="X48" s="84">
        <f>[46]人員・時間計画!$G$11</f>
        <v>17</v>
      </c>
      <c r="Y48" s="84">
        <f>[46]人員・時間計画!$G$12</f>
        <v>0</v>
      </c>
      <c r="Z48" s="84">
        <f>[46]人員・時間計画!$H$25</f>
        <v>146</v>
      </c>
      <c r="AA48" s="84">
        <f>[46]人員・時間計画!$H$26</f>
        <v>0</v>
      </c>
      <c r="AB48" s="84">
        <f>[46]人員・時間計画!$H$11</f>
        <v>17</v>
      </c>
      <c r="AC48" s="84">
        <f>[46]人員・時間計画!$H$12</f>
        <v>0</v>
      </c>
      <c r="AD48" s="84">
        <f>[46]人員・時間計画!$I$25</f>
        <v>178</v>
      </c>
      <c r="AE48" s="84">
        <f>[46]人員・時間計画!$I$26</f>
        <v>0</v>
      </c>
      <c r="AF48" s="84">
        <f>[46]人員・時間計画!$I$11</f>
        <v>17</v>
      </c>
      <c r="AG48" s="84">
        <f>[46]人員・時間計画!$I$12</f>
        <v>0</v>
      </c>
      <c r="AH48" s="84">
        <f>[46]人員・時間計画!$J$25</f>
        <v>154</v>
      </c>
      <c r="AI48" s="84">
        <f>[46]人員・時間計画!$J$26</f>
        <v>0</v>
      </c>
      <c r="AJ48" s="84">
        <f>[46]人員・時間計画!$J$11</f>
        <v>17</v>
      </c>
      <c r="AK48" s="84">
        <f>[46]人員・時間計画!$J$12</f>
        <v>0</v>
      </c>
      <c r="AL48" s="84">
        <f>[46]人員・時間計画!$K$25</f>
        <v>170</v>
      </c>
      <c r="AM48" s="84">
        <f>[46]人員・時間計画!$K$26</f>
        <v>0</v>
      </c>
      <c r="AN48" s="84">
        <f>[46]人員・時間計画!$K$11</f>
        <v>17</v>
      </c>
      <c r="AO48" s="84">
        <f>[46]人員・時間計画!$K$12</f>
        <v>0</v>
      </c>
      <c r="AP48" s="84">
        <f>[46]人員・時間計画!$L$25</f>
        <v>194</v>
      </c>
      <c r="AQ48" s="84">
        <f>[46]人員・時間計画!$L$26</f>
        <v>0</v>
      </c>
      <c r="AR48" s="84">
        <f>[46]人員・時間計画!$L$11</f>
        <v>17</v>
      </c>
      <c r="AS48" s="84">
        <f>[46]人員・時間計画!$L$12</f>
        <v>0</v>
      </c>
      <c r="AT48" s="84">
        <f>[46]人員・時間計画!$M$25</f>
        <v>144</v>
      </c>
      <c r="AU48" s="84">
        <f>[46]人員・時間計画!$M$26</f>
        <v>0</v>
      </c>
      <c r="AV48" s="84">
        <f>[46]人員・時間計画!$M$11</f>
        <v>17</v>
      </c>
      <c r="AW48" s="84">
        <f>[46]人員・時間計画!$M$12</f>
        <v>0</v>
      </c>
      <c r="AX48" s="84">
        <f>[46]人員・時間計画!$N$25</f>
        <v>194</v>
      </c>
      <c r="AY48" s="84">
        <f>[46]人員・時間計画!$N$26</f>
        <v>0</v>
      </c>
      <c r="AZ48" s="84">
        <f>[46]人員・時間計画!$N$11</f>
        <v>17</v>
      </c>
      <c r="BA48" s="84">
        <f>[46]人員・時間計画!$N$12</f>
        <v>0</v>
      </c>
    </row>
    <row r="49" spans="1:53" ht="19.5" customHeight="1">
      <c r="A49" s="8"/>
      <c r="B49" s="8"/>
      <c r="C49" s="7"/>
      <c r="D49" s="6" t="str">
        <f>IF($A$1=1,Sheet1!C65,Sheet1!B65)</f>
        <v>第2資材課</v>
      </c>
      <c r="E49" s="81">
        <v>1412000042</v>
      </c>
      <c r="F49" s="84">
        <f>[47]人員・時間計画!$C$25</f>
        <v>38</v>
      </c>
      <c r="G49" s="84">
        <f>[47]人員・時間計画!$C$26</f>
        <v>0</v>
      </c>
      <c r="H49" s="84">
        <f>[47]人員・時間計画!$C$11</f>
        <v>4</v>
      </c>
      <c r="I49" s="84">
        <f>[47]人員・時間計画!$C$12</f>
        <v>0</v>
      </c>
      <c r="J49" s="84">
        <f>[47]人員・時間計画!$D$25</f>
        <v>36</v>
      </c>
      <c r="K49" s="84">
        <f>[47]人員・時間計画!$D$26</f>
        <v>0</v>
      </c>
      <c r="L49" s="84">
        <f>[47]人員・時間計画!$D$11</f>
        <v>4</v>
      </c>
      <c r="M49" s="84">
        <f>[47]人員・時間計画!$D$12</f>
        <v>0</v>
      </c>
      <c r="N49" s="84">
        <f>[47]人員・時間計画!$E$25</f>
        <v>38</v>
      </c>
      <c r="O49" s="84">
        <f>[47]人員・時間計画!$E$26</f>
        <v>0</v>
      </c>
      <c r="P49" s="84">
        <f>[47]人員・時間計画!$E$11</f>
        <v>4</v>
      </c>
      <c r="Q49" s="84">
        <f>[47]人員・時間計画!$E$12</f>
        <v>0</v>
      </c>
      <c r="R49" s="84">
        <f>[47]人員・時間計画!$F$25</f>
        <v>42</v>
      </c>
      <c r="S49" s="84">
        <f>[47]人員・時間計画!$F$26</f>
        <v>0</v>
      </c>
      <c r="T49" s="84">
        <f>[47]人員・時間計画!$F$11</f>
        <v>4</v>
      </c>
      <c r="U49" s="84">
        <f>[47]人員・時間計画!$F$12</f>
        <v>0</v>
      </c>
      <c r="V49" s="84">
        <f>[47]人員・時間計画!$G$25</f>
        <v>36</v>
      </c>
      <c r="W49" s="84">
        <f>[47]人員・時間計画!$G$26</f>
        <v>0</v>
      </c>
      <c r="X49" s="84">
        <f>[47]人員・時間計画!$G$11</f>
        <v>4</v>
      </c>
      <c r="Y49" s="84">
        <f>[47]人員・時間計画!$G$12</f>
        <v>0</v>
      </c>
      <c r="Z49" s="84">
        <f>[47]人員・時間計画!$H$25</f>
        <v>38</v>
      </c>
      <c r="AA49" s="84">
        <f>[47]人員・時間計画!$H$26</f>
        <v>0</v>
      </c>
      <c r="AB49" s="84">
        <f>[47]人員・時間計画!$H$11</f>
        <v>4</v>
      </c>
      <c r="AC49" s="84">
        <f>[47]人員・時間計画!$H$12</f>
        <v>0</v>
      </c>
      <c r="AD49" s="84">
        <f>[47]人員・時間計画!$I$25</f>
        <v>44</v>
      </c>
      <c r="AE49" s="84">
        <f>[47]人員・時間計画!$I$26</f>
        <v>0</v>
      </c>
      <c r="AF49" s="84">
        <f>[47]人員・時間計画!$I$11</f>
        <v>4</v>
      </c>
      <c r="AG49" s="84">
        <f>[47]人員・時間計画!$I$12</f>
        <v>0</v>
      </c>
      <c r="AH49" s="84">
        <f>[47]人員・時間計画!$J$25</f>
        <v>38</v>
      </c>
      <c r="AI49" s="84">
        <f>[47]人員・時間計画!$J$26</f>
        <v>0</v>
      </c>
      <c r="AJ49" s="84">
        <f>[47]人員・時間計画!$J$11</f>
        <v>4</v>
      </c>
      <c r="AK49" s="84">
        <f>[47]人員・時間計画!$J$12</f>
        <v>0</v>
      </c>
      <c r="AL49" s="84">
        <f>[47]人員・時間計画!$K$25</f>
        <v>44</v>
      </c>
      <c r="AM49" s="84">
        <f>[47]人員・時間計画!$K$26</f>
        <v>0</v>
      </c>
      <c r="AN49" s="84">
        <f>[47]人員・時間計画!$K$11</f>
        <v>4</v>
      </c>
      <c r="AO49" s="84">
        <f>[47]人員・時間計画!$K$12</f>
        <v>0</v>
      </c>
      <c r="AP49" s="84">
        <f>[47]人員・時間計画!$L$25</f>
        <v>38</v>
      </c>
      <c r="AQ49" s="84">
        <f>[47]人員・時間計画!$L$26</f>
        <v>0</v>
      </c>
      <c r="AR49" s="84">
        <f>[47]人員・時間計画!$L$11</f>
        <v>4</v>
      </c>
      <c r="AS49" s="84">
        <f>[47]人員・時間計画!$L$12</f>
        <v>0</v>
      </c>
      <c r="AT49" s="84">
        <f>[47]人員・時間計画!$M$25</f>
        <v>28</v>
      </c>
      <c r="AU49" s="84">
        <f>[47]人員・時間計画!$M$26</f>
        <v>0</v>
      </c>
      <c r="AV49" s="84">
        <f>[47]人員・時間計画!$M$11</f>
        <v>4</v>
      </c>
      <c r="AW49" s="84">
        <f>[47]人員・時間計画!$M$12</f>
        <v>0</v>
      </c>
      <c r="AX49" s="84">
        <f>[47]人員・時間計画!$N$25</f>
        <v>36</v>
      </c>
      <c r="AY49" s="84">
        <f>[47]人員・時間計画!$N$26</f>
        <v>0</v>
      </c>
      <c r="AZ49" s="84">
        <f>[47]人員・時間計画!$N$11</f>
        <v>4</v>
      </c>
      <c r="BA49" s="84">
        <f>[47]人員・時間計画!$N$12</f>
        <v>0</v>
      </c>
    </row>
    <row r="50" spans="1:53" ht="19.5" customHeight="1">
      <c r="A50" s="8"/>
      <c r="B50" s="8"/>
      <c r="C50" s="7"/>
      <c r="D50" s="6" t="str">
        <f>IF($A$1=1,Sheet1!C66,Sheet1!B66)</f>
        <v>第3資材課</v>
      </c>
      <c r="E50" s="81">
        <v>1412000021</v>
      </c>
      <c r="F50" s="84">
        <f>[48]人員・時間計画!$C$25</f>
        <v>38</v>
      </c>
      <c r="G50" s="84">
        <f>[48]人員・時間計画!$C$26</f>
        <v>0</v>
      </c>
      <c r="H50" s="84">
        <f>[48]人員・時間計画!$C$11</f>
        <v>6</v>
      </c>
      <c r="I50" s="84">
        <f>[48]人員・時間計画!$C$12</f>
        <v>0</v>
      </c>
      <c r="J50" s="84">
        <f>[48]人員・時間計画!$D$25</f>
        <v>36</v>
      </c>
      <c r="K50" s="84">
        <f>[48]人員・時間計画!$D$26</f>
        <v>0</v>
      </c>
      <c r="L50" s="84">
        <f>[48]人員・時間計画!$D$11</f>
        <v>6</v>
      </c>
      <c r="M50" s="84">
        <f>[48]人員・時間計画!$D$12</f>
        <v>0</v>
      </c>
      <c r="N50" s="84">
        <f>[48]人員・時間計画!$E$25</f>
        <v>40</v>
      </c>
      <c r="O50" s="84">
        <f>[48]人員・時間計画!$E$26</f>
        <v>0</v>
      </c>
      <c r="P50" s="84">
        <f>[48]人員・時間計画!$E$11</f>
        <v>6</v>
      </c>
      <c r="Q50" s="84">
        <f>[48]人員・時間計画!$E$12</f>
        <v>0</v>
      </c>
      <c r="R50" s="84">
        <f>[48]人員・時間計画!$F$25</f>
        <v>44</v>
      </c>
      <c r="S50" s="84">
        <f>[48]人員・時間計画!$F$26</f>
        <v>0</v>
      </c>
      <c r="T50" s="84">
        <f>[48]人員・時間計画!$F$11</f>
        <v>6</v>
      </c>
      <c r="U50" s="84">
        <f>[48]人員・時間計画!$F$12</f>
        <v>0</v>
      </c>
      <c r="V50" s="84">
        <f>[48]人員・時間計画!$G$25</f>
        <v>38</v>
      </c>
      <c r="W50" s="84">
        <f>[48]人員・時間計画!$G$26</f>
        <v>0</v>
      </c>
      <c r="X50" s="84">
        <f>[48]人員・時間計画!$G$11</f>
        <v>6</v>
      </c>
      <c r="Y50" s="84">
        <f>[48]人員・時間計画!$G$12</f>
        <v>0</v>
      </c>
      <c r="Z50" s="84">
        <f>[48]人員・時間計画!$H$25</f>
        <v>36</v>
      </c>
      <c r="AA50" s="84">
        <f>[48]人員・時間計画!$H$26</f>
        <v>0</v>
      </c>
      <c r="AB50" s="84">
        <f>[48]人員・時間計画!$H$11</f>
        <v>6</v>
      </c>
      <c r="AC50" s="84">
        <f>[48]人員・時間計画!$H$12</f>
        <v>0</v>
      </c>
      <c r="AD50" s="84">
        <f>[48]人員・時間計画!$I$25</f>
        <v>44</v>
      </c>
      <c r="AE50" s="84">
        <f>[48]人員・時間計画!$I$26</f>
        <v>0</v>
      </c>
      <c r="AF50" s="84">
        <f>[48]人員・時間計画!$I$11</f>
        <v>6</v>
      </c>
      <c r="AG50" s="84">
        <f>[48]人員・時間計画!$I$12</f>
        <v>0</v>
      </c>
      <c r="AH50" s="84">
        <f>[48]人員・時間計画!$J$25</f>
        <v>38</v>
      </c>
      <c r="AI50" s="84">
        <f>[48]人員・時間計画!$J$26</f>
        <v>0</v>
      </c>
      <c r="AJ50" s="84">
        <f>[48]人員・時間計画!$J$11</f>
        <v>6</v>
      </c>
      <c r="AK50" s="84">
        <f>[48]人員・時間計画!$J$12</f>
        <v>0</v>
      </c>
      <c r="AL50" s="84">
        <f>[48]人員・時間計画!$K$25</f>
        <v>42</v>
      </c>
      <c r="AM50" s="84">
        <f>[48]人員・時間計画!$K$26</f>
        <v>0</v>
      </c>
      <c r="AN50" s="84">
        <f>[48]人員・時間計画!$K$11</f>
        <v>6</v>
      </c>
      <c r="AO50" s="84">
        <f>[48]人員・時間計画!$K$12</f>
        <v>0</v>
      </c>
      <c r="AP50" s="84">
        <f>[48]人員・時間計画!$L$25</f>
        <v>38</v>
      </c>
      <c r="AQ50" s="84">
        <f>[48]人員・時間計画!$L$26</f>
        <v>0</v>
      </c>
      <c r="AR50" s="84">
        <f>[48]人員・時間計画!$L$11</f>
        <v>6</v>
      </c>
      <c r="AS50" s="84">
        <f>[48]人員・時間計画!$L$12</f>
        <v>0</v>
      </c>
      <c r="AT50" s="84">
        <f>[48]人員・時間計画!$M$25</f>
        <v>28</v>
      </c>
      <c r="AU50" s="84">
        <f>[48]人員・時間計画!$M$26</f>
        <v>0</v>
      </c>
      <c r="AV50" s="84">
        <f>[48]人員・時間計画!$M$11</f>
        <v>6</v>
      </c>
      <c r="AW50" s="84">
        <f>[48]人員・時間計画!$M$12</f>
        <v>0</v>
      </c>
      <c r="AX50" s="84">
        <f>[48]人員・時間計画!$N$25</f>
        <v>38</v>
      </c>
      <c r="AY50" s="84">
        <f>[48]人員・時間計画!$N$26</f>
        <v>0</v>
      </c>
      <c r="AZ50" s="84">
        <f>[48]人員・時間計画!$N$11</f>
        <v>6</v>
      </c>
      <c r="BA50" s="84">
        <f>[48]人員・時間計画!$N$12</f>
        <v>0</v>
      </c>
    </row>
    <row r="51" spans="1:53" ht="19.5" customHeight="1">
      <c r="A51" s="8"/>
      <c r="B51" s="8"/>
      <c r="C51" s="7"/>
      <c r="D51" s="6" t="str">
        <f>IF($A$1=1,Sheet1!C67,Sheet1!B67)</f>
        <v>第4資材課</v>
      </c>
      <c r="E51" s="81">
        <v>1412000070</v>
      </c>
      <c r="F51" s="84">
        <f>[49]人員・時間計画!$C$25</f>
        <v>38</v>
      </c>
      <c r="G51" s="84">
        <f>[49]人員・時間計画!$C$26</f>
        <v>0</v>
      </c>
      <c r="H51" s="84">
        <f>[49]人員・時間計画!$C$11</f>
        <v>8</v>
      </c>
      <c r="I51" s="84">
        <f>[49]人員・時間計画!$C$12</f>
        <v>0</v>
      </c>
      <c r="J51" s="84">
        <f>[49]人員・時間計画!$D$25</f>
        <v>36</v>
      </c>
      <c r="K51" s="84">
        <f>[49]人員・時間計画!$D$26</f>
        <v>0</v>
      </c>
      <c r="L51" s="84">
        <f>[49]人員・時間計画!$D$11</f>
        <v>8</v>
      </c>
      <c r="M51" s="84">
        <f>[49]人員・時間計画!$D$12</f>
        <v>0</v>
      </c>
      <c r="N51" s="84">
        <f>[49]人員・時間計画!$E$25</f>
        <v>40</v>
      </c>
      <c r="O51" s="84">
        <f>[49]人員・時間計画!$E$26</f>
        <v>0</v>
      </c>
      <c r="P51" s="84">
        <f>[49]人員・時間計画!E$11</f>
        <v>8</v>
      </c>
      <c r="Q51" s="84">
        <f>[49]人員・時間計画!$E$12</f>
        <v>0</v>
      </c>
      <c r="R51" s="84">
        <f>[49]人員・時間計画!$F$25</f>
        <v>44</v>
      </c>
      <c r="S51" s="84">
        <f>[49]人員・時間計画!$F$26</f>
        <v>0</v>
      </c>
      <c r="T51" s="84">
        <f>[49]人員・時間計画!$F$11</f>
        <v>8</v>
      </c>
      <c r="U51" s="84">
        <f>[49]人員・時間計画!$F$12</f>
        <v>0</v>
      </c>
      <c r="V51" s="84">
        <f>[49]人員・時間計画!$G$25</f>
        <v>38</v>
      </c>
      <c r="W51" s="84">
        <f>[49]人員・時間計画!$G$26</f>
        <v>0</v>
      </c>
      <c r="X51" s="84">
        <f>[49]人員・時間計画!$G$11</f>
        <v>8</v>
      </c>
      <c r="Y51" s="84">
        <f>[49]人員・時間計画!$G$12</f>
        <v>0</v>
      </c>
      <c r="Z51" s="84">
        <f>[49]人員・時間計画!$H$25</f>
        <v>36</v>
      </c>
      <c r="AA51" s="84">
        <f>[49]人員・時間計画!$H$26</f>
        <v>0</v>
      </c>
      <c r="AB51" s="84">
        <f>[49]人員・時間計画!$H$11</f>
        <v>8</v>
      </c>
      <c r="AC51" s="84">
        <f>[49]人員・時間計画!$H$12</f>
        <v>0</v>
      </c>
      <c r="AD51" s="84">
        <f>[49]人員・時間計画!$I$25</f>
        <v>44</v>
      </c>
      <c r="AE51" s="84">
        <f>[49]人員・時間計画!$I$26</f>
        <v>0</v>
      </c>
      <c r="AF51" s="84">
        <f>[49]人員・時間計画!$I$11</f>
        <v>8</v>
      </c>
      <c r="AG51" s="84">
        <f>[49]人員・時間計画!$I$12</f>
        <v>0</v>
      </c>
      <c r="AH51" s="84">
        <f>[49]人員・時間計画!$J$25</f>
        <v>38</v>
      </c>
      <c r="AI51" s="84">
        <f>[49]人員・時間計画!$J$26</f>
        <v>0</v>
      </c>
      <c r="AJ51" s="84">
        <f>[49]人員・時間計画!$J$11</f>
        <v>8</v>
      </c>
      <c r="AK51" s="84">
        <f>[49]人員・時間計画!$J$12</f>
        <v>0</v>
      </c>
      <c r="AL51" s="84">
        <f>[49]人員・時間計画!$K$25</f>
        <v>42</v>
      </c>
      <c r="AM51" s="84">
        <f>[49]人員・時間計画!$K$26</f>
        <v>0</v>
      </c>
      <c r="AN51" s="84">
        <f>[49]人員・時間計画!$K$11</f>
        <v>8</v>
      </c>
      <c r="AO51" s="84">
        <f>[49]人員・時間計画!$K$12</f>
        <v>0</v>
      </c>
      <c r="AP51" s="84">
        <f>[49]人員・時間計画!$L$25</f>
        <v>76</v>
      </c>
      <c r="AQ51" s="84">
        <f>[49]人員・時間計画!$L$26</f>
        <v>0</v>
      </c>
      <c r="AR51" s="84">
        <f>[49]人員・時間計画!$L$11</f>
        <v>8</v>
      </c>
      <c r="AS51" s="84">
        <f>[49]人員・時間計画!$L$12</f>
        <v>0</v>
      </c>
      <c r="AT51" s="84">
        <f>[49]人員・時間計画!$M$25</f>
        <v>56</v>
      </c>
      <c r="AU51" s="84">
        <f>[49]人員・時間計画!$M$26</f>
        <v>0</v>
      </c>
      <c r="AV51" s="84">
        <f>[49]人員・時間計画!$M$11</f>
        <v>8</v>
      </c>
      <c r="AW51" s="84">
        <f>[49]人員・時間計画!$M$12</f>
        <v>0</v>
      </c>
      <c r="AX51" s="84">
        <f>[49]人員・時間計画!$N$25</f>
        <v>76</v>
      </c>
      <c r="AY51" s="84">
        <f>[49]人員・時間計画!$N$26</f>
        <v>0</v>
      </c>
      <c r="AZ51" s="84">
        <f>[49]人員・時間計画!$N$11</f>
        <v>8</v>
      </c>
      <c r="BA51" s="84">
        <f>[49]人員・時間計画!$N$12</f>
        <v>0</v>
      </c>
    </row>
    <row r="52" spans="1:53" ht="19.5" customHeight="1">
      <c r="A52" s="3"/>
      <c r="B52" s="3"/>
      <c r="C52" s="1"/>
      <c r="D52" s="2" t="str">
        <f>IF($A$1=1,Sheet1!C68,Sheet1!B68)</f>
        <v>資材管理課</v>
      </c>
      <c r="E52" s="2">
        <v>1412000022</v>
      </c>
      <c r="F52" s="85">
        <f>[50]人員・時間計画!$C$25</f>
        <v>38</v>
      </c>
      <c r="G52" s="85">
        <f>[50]人員・時間計画!$C$26</f>
        <v>0</v>
      </c>
      <c r="H52" s="85">
        <f>[50]人員・時間計画!$C$11</f>
        <v>4</v>
      </c>
      <c r="I52" s="85">
        <f>[50]人員・時間計画!$C$12</f>
        <v>0</v>
      </c>
      <c r="J52" s="85">
        <f>[50]人員・時間計画!$D$25</f>
        <v>36</v>
      </c>
      <c r="K52" s="85">
        <f>[50]人員・時間計画!$D$26</f>
        <v>0</v>
      </c>
      <c r="L52" s="85">
        <f>[50]人員・時間計画!$D$11</f>
        <v>4</v>
      </c>
      <c r="M52" s="85">
        <f>[50]人員・時間計画!$D$12</f>
        <v>0</v>
      </c>
      <c r="N52" s="85">
        <f>[50]人員・時間計画!$E$25</f>
        <v>40</v>
      </c>
      <c r="O52" s="85">
        <f>[50]人員・時間計画!$E$26</f>
        <v>0</v>
      </c>
      <c r="P52" s="85">
        <f>[50]人員・時間計画!$E$11</f>
        <v>4</v>
      </c>
      <c r="Q52" s="85">
        <f>[50]人員・時間計画!$E$12</f>
        <v>0</v>
      </c>
      <c r="R52" s="85">
        <f>[50]人員・時間計画!$F$25</f>
        <v>44</v>
      </c>
      <c r="S52" s="85">
        <f>[50]人員・時間計画!$F$26</f>
        <v>0</v>
      </c>
      <c r="T52" s="85">
        <f>[50]人員・時間計画!$F$11</f>
        <v>4</v>
      </c>
      <c r="U52" s="85">
        <f>[50]人員・時間計画!$F$12</f>
        <v>0</v>
      </c>
      <c r="V52" s="85">
        <f>[50]人員・時間計画!$G$25</f>
        <v>38</v>
      </c>
      <c r="W52" s="85">
        <f>[50]人員・時間計画!$G$26</f>
        <v>0</v>
      </c>
      <c r="X52" s="85">
        <f>[50]人員・時間計画!$G$11</f>
        <v>4</v>
      </c>
      <c r="Y52" s="85">
        <f>[50]人員・時間計画!$G$12</f>
        <v>0</v>
      </c>
      <c r="Z52" s="85">
        <f>[50]人員・時間計画!$H$25</f>
        <v>36</v>
      </c>
      <c r="AA52" s="85">
        <f>[50]人員・時間計画!$H$26</f>
        <v>0</v>
      </c>
      <c r="AB52" s="85">
        <f>[50]人員・時間計画!$H$11</f>
        <v>4</v>
      </c>
      <c r="AC52" s="85">
        <f>[50]人員・時間計画!$H$12</f>
        <v>0</v>
      </c>
      <c r="AD52" s="85">
        <f>[50]人員・時間計画!$I$25</f>
        <v>44</v>
      </c>
      <c r="AE52" s="85">
        <f>[50]人員・時間計画!$I$26</f>
        <v>0</v>
      </c>
      <c r="AF52" s="85">
        <f>[50]人員・時間計画!$I$11</f>
        <v>4</v>
      </c>
      <c r="AG52" s="85">
        <f>[50]人員・時間計画!$I$12</f>
        <v>0</v>
      </c>
      <c r="AH52" s="85">
        <f>[50]人員・時間計画!$J$25</f>
        <v>38</v>
      </c>
      <c r="AI52" s="85">
        <f>[50]人員・時間計画!$J$26</f>
        <v>0</v>
      </c>
      <c r="AJ52" s="85">
        <f>[50]人員・時間計画!$J$11</f>
        <v>4</v>
      </c>
      <c r="AK52" s="85">
        <f>[50]人員・時間計画!$J$12</f>
        <v>0</v>
      </c>
      <c r="AL52" s="85">
        <f>[50]人員・時間計画!$K$25</f>
        <v>42</v>
      </c>
      <c r="AM52" s="85">
        <f>[50]人員・時間計画!$K$26</f>
        <v>0</v>
      </c>
      <c r="AN52" s="85">
        <f>[50]人員・時間計画!$K$11</f>
        <v>4</v>
      </c>
      <c r="AO52" s="85">
        <f>[50]人員・時間計画!$K$12</f>
        <v>0</v>
      </c>
      <c r="AP52" s="85">
        <f>[50]人員・時間計画!$L$25</f>
        <v>38</v>
      </c>
      <c r="AQ52" s="85">
        <f>[50]人員・時間計画!$L$26</f>
        <v>0</v>
      </c>
      <c r="AR52" s="85">
        <f>[50]人員・時間計画!$L$11</f>
        <v>4</v>
      </c>
      <c r="AS52" s="85">
        <f>[50]人員・時間計画!$L$12</f>
        <v>0</v>
      </c>
      <c r="AT52" s="85">
        <f>[50]人員・時間計画!$M$25</f>
        <v>28</v>
      </c>
      <c r="AU52" s="85">
        <f>[50]人員・時間計画!$M$26</f>
        <v>0</v>
      </c>
      <c r="AV52" s="85">
        <f>[50]人員・時間計画!$M$11</f>
        <v>4</v>
      </c>
      <c r="AW52" s="85">
        <f>[50]人員・時間計画!$M$12</f>
        <v>0</v>
      </c>
      <c r="AX52" s="85">
        <f>[50]人員・時間計画!$N$25</f>
        <v>38</v>
      </c>
      <c r="AY52" s="85">
        <f>[50]人員・時間計画!$N$26</f>
        <v>0</v>
      </c>
      <c r="AZ52" s="85">
        <f>[50]人員・時間計画!$N$11</f>
        <v>4</v>
      </c>
      <c r="BA52" s="85">
        <f>[50]人員・時間計画!$N$12</f>
        <v>0</v>
      </c>
    </row>
    <row r="54" spans="1:53">
      <c r="B54" t="s">
        <v>218</v>
      </c>
      <c r="F54" s="30">
        <f>SUM(F36:F52)</f>
        <v>1995</v>
      </c>
      <c r="G54" s="30">
        <f t="shared" ref="G54:AQ54" si="0">SUM(G36:G52)</f>
        <v>908</v>
      </c>
      <c r="H54" s="30">
        <f t="shared" si="0"/>
        <v>182</v>
      </c>
      <c r="I54" s="30">
        <f t="shared" si="0"/>
        <v>59</v>
      </c>
      <c r="J54" s="30">
        <f t="shared" si="0"/>
        <v>1990</v>
      </c>
      <c r="K54" s="30">
        <f t="shared" si="0"/>
        <v>908</v>
      </c>
      <c r="L54" s="30">
        <f t="shared" si="0"/>
        <v>186</v>
      </c>
      <c r="M54" s="30">
        <f t="shared" si="0"/>
        <v>59</v>
      </c>
      <c r="N54" s="30">
        <f t="shared" si="0"/>
        <v>2150.5</v>
      </c>
      <c r="O54" s="30">
        <f t="shared" si="0"/>
        <v>948</v>
      </c>
      <c r="P54" s="30">
        <f t="shared" si="0"/>
        <v>188</v>
      </c>
      <c r="Q54" s="30">
        <f t="shared" si="0"/>
        <v>61</v>
      </c>
      <c r="R54" s="30">
        <f t="shared" si="0"/>
        <v>2386</v>
      </c>
      <c r="S54" s="30">
        <f t="shared" si="0"/>
        <v>948</v>
      </c>
      <c r="T54" s="30">
        <f t="shared" si="0"/>
        <v>190</v>
      </c>
      <c r="U54" s="30">
        <f t="shared" si="0"/>
        <v>61</v>
      </c>
      <c r="V54" s="30">
        <f t="shared" si="0"/>
        <v>2211</v>
      </c>
      <c r="W54" s="30">
        <f t="shared" si="0"/>
        <v>968</v>
      </c>
      <c r="X54" s="30">
        <f t="shared" si="0"/>
        <v>193</v>
      </c>
      <c r="Y54" s="30">
        <f t="shared" si="0"/>
        <v>62</v>
      </c>
      <c r="Z54" s="30">
        <f t="shared" si="0"/>
        <v>2142</v>
      </c>
      <c r="AA54" s="30">
        <f t="shared" si="0"/>
        <v>898</v>
      </c>
      <c r="AB54" s="30">
        <f t="shared" si="0"/>
        <v>194</v>
      </c>
      <c r="AC54" s="30">
        <f t="shared" si="0"/>
        <v>62</v>
      </c>
      <c r="AD54" s="30">
        <f t="shared" si="0"/>
        <v>2405.5</v>
      </c>
      <c r="AE54" s="30">
        <f t="shared" si="0"/>
        <v>898</v>
      </c>
      <c r="AF54" s="30">
        <f t="shared" si="0"/>
        <v>195</v>
      </c>
      <c r="AG54" s="30">
        <f t="shared" si="0"/>
        <v>62</v>
      </c>
      <c r="AH54" s="30">
        <f t="shared" si="0"/>
        <v>2271</v>
      </c>
      <c r="AI54" s="30">
        <f t="shared" si="0"/>
        <v>898</v>
      </c>
      <c r="AJ54" s="30">
        <f t="shared" si="0"/>
        <v>195</v>
      </c>
      <c r="AK54" s="30">
        <f t="shared" si="0"/>
        <v>62</v>
      </c>
      <c r="AL54" s="30">
        <f t="shared" si="0"/>
        <v>2281</v>
      </c>
      <c r="AM54" s="30">
        <f t="shared" si="0"/>
        <v>898</v>
      </c>
      <c r="AN54" s="30">
        <f t="shared" si="0"/>
        <v>195</v>
      </c>
      <c r="AO54" s="30">
        <f t="shared" si="0"/>
        <v>62</v>
      </c>
      <c r="AP54" s="30">
        <f t="shared" si="0"/>
        <v>2209</v>
      </c>
      <c r="AQ54" s="30">
        <f t="shared" si="0"/>
        <v>898</v>
      </c>
      <c r="AR54" s="30">
        <f t="shared" ref="AR54:BA54" si="1">SUM(AR9:AR52)</f>
        <v>573</v>
      </c>
      <c r="AS54" s="30">
        <f t="shared" si="1"/>
        <v>638</v>
      </c>
      <c r="AT54" s="30">
        <f t="shared" si="1"/>
        <v>6881.5</v>
      </c>
      <c r="AU54" s="30">
        <f t="shared" si="1"/>
        <v>9746</v>
      </c>
      <c r="AV54" s="30">
        <f t="shared" si="1"/>
        <v>573</v>
      </c>
      <c r="AW54" s="30">
        <f t="shared" si="1"/>
        <v>670</v>
      </c>
      <c r="AX54" s="30">
        <f t="shared" si="1"/>
        <v>7367.75</v>
      </c>
      <c r="AY54" s="30">
        <f t="shared" si="1"/>
        <v>10201</v>
      </c>
      <c r="AZ54" s="30">
        <f t="shared" si="1"/>
        <v>573</v>
      </c>
      <c r="BA54" s="30">
        <f t="shared" si="1"/>
        <v>670</v>
      </c>
    </row>
    <row r="55" spans="1:53">
      <c r="F55" s="30"/>
      <c r="G55" s="30"/>
      <c r="H55" s="31"/>
      <c r="I55" s="31"/>
      <c r="J55" s="30"/>
      <c r="N55" s="30"/>
      <c r="R55" s="30"/>
      <c r="V55" s="30"/>
      <c r="Z55" s="30"/>
      <c r="AD55" s="30"/>
      <c r="AH55" s="30"/>
      <c r="AL55" s="30"/>
      <c r="AP55" s="30"/>
      <c r="AT55" s="30"/>
      <c r="AX55" s="30"/>
    </row>
    <row r="56" spans="1:53">
      <c r="F56">
        <v>6440</v>
      </c>
      <c r="G56">
        <v>6076</v>
      </c>
      <c r="H56">
        <v>465</v>
      </c>
      <c r="I56">
        <v>552</v>
      </c>
      <c r="J56">
        <v>6431</v>
      </c>
      <c r="K56">
        <v>6124</v>
      </c>
      <c r="L56">
        <v>471</v>
      </c>
      <c r="M56">
        <v>548</v>
      </c>
      <c r="N56">
        <v>6733.5</v>
      </c>
      <c r="O56">
        <v>6140</v>
      </c>
      <c r="P56">
        <v>472</v>
      </c>
      <c r="Q56">
        <v>547</v>
      </c>
      <c r="R56">
        <v>7544</v>
      </c>
      <c r="S56">
        <v>6108</v>
      </c>
      <c r="T56">
        <v>477</v>
      </c>
      <c r="U56">
        <v>541</v>
      </c>
      <c r="V56">
        <v>7290.5</v>
      </c>
      <c r="W56">
        <v>7906</v>
      </c>
      <c r="X56">
        <v>481</v>
      </c>
      <c r="Y56">
        <v>543</v>
      </c>
      <c r="Z56">
        <v>6894.75</v>
      </c>
      <c r="AA56">
        <v>8531</v>
      </c>
      <c r="AB56">
        <v>482</v>
      </c>
      <c r="AC56">
        <v>544</v>
      </c>
      <c r="AD56">
        <v>7698.5</v>
      </c>
      <c r="AE56">
        <v>8632</v>
      </c>
      <c r="AF56">
        <v>483</v>
      </c>
      <c r="AG56">
        <v>543</v>
      </c>
      <c r="AH56">
        <v>7235</v>
      </c>
      <c r="AI56">
        <v>7244</v>
      </c>
      <c r="AJ56">
        <v>483</v>
      </c>
      <c r="AK56">
        <v>541</v>
      </c>
      <c r="AL56">
        <v>7176</v>
      </c>
      <c r="AM56">
        <v>8975</v>
      </c>
      <c r="AN56">
        <v>483</v>
      </c>
      <c r="AO56">
        <v>539</v>
      </c>
      <c r="AP56">
        <v>7176</v>
      </c>
      <c r="AQ56">
        <v>9835</v>
      </c>
      <c r="AR56">
        <v>484</v>
      </c>
      <c r="AS56">
        <v>554</v>
      </c>
      <c r="AT56">
        <v>6981.5</v>
      </c>
      <c r="AU56">
        <v>9826</v>
      </c>
      <c r="AV56">
        <v>484</v>
      </c>
      <c r="AW56">
        <v>569</v>
      </c>
      <c r="AX56">
        <v>7567.75</v>
      </c>
      <c r="AY56">
        <v>10301</v>
      </c>
      <c r="AZ56">
        <v>484</v>
      </c>
      <c r="BA56">
        <v>569</v>
      </c>
    </row>
  </sheetData>
  <autoFilter ref="A6:BA52" xr:uid="{00000000-0009-0000-0000-000001000000}"/>
  <conditionalFormatting sqref="F8:BA8">
    <cfRule type="cellIs" dxfId="13" priority="1" operator="equal">
      <formula>0</formula>
    </cfRule>
  </conditionalFormatting>
  <conditionalFormatting sqref="F10:BA52">
    <cfRule type="cellIs" dxfId="12" priority="3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A19"/>
  <sheetViews>
    <sheetView workbookViewId="0">
      <pane xSplit="5" ySplit="6" topLeftCell="AU9" activePane="bottomRight" state="frozen"/>
      <selection pane="topRight" activeCell="F1" sqref="F1"/>
      <selection pane="bottomLeft" activeCell="A4" sqref="A4"/>
      <selection pane="bottomRight" activeCell="D8" sqref="D8:BA12 D14:BA15 D17:BA17"/>
    </sheetView>
  </sheetViews>
  <sheetFormatPr defaultRowHeight="13"/>
  <cols>
    <col min="1" max="1" width="3.7265625" customWidth="1"/>
    <col min="3" max="3" width="14.08984375" bestFit="1" customWidth="1"/>
    <col min="4" max="4" width="18.6328125" bestFit="1" customWidth="1"/>
    <col min="5" max="5" width="13" bestFit="1" customWidth="1"/>
    <col min="6" max="7" width="15" customWidth="1"/>
    <col min="8" max="9" width="12.90625" customWidth="1"/>
    <col min="10" max="11" width="15.08984375" customWidth="1"/>
    <col min="12" max="13" width="12.90625" customWidth="1"/>
    <col min="14" max="15" width="14.6328125" customWidth="1"/>
    <col min="16" max="17" width="12.90625" customWidth="1"/>
    <col min="18" max="19" width="16" customWidth="1"/>
    <col min="20" max="21" width="12.90625" customWidth="1"/>
    <col min="22" max="23" width="14.7265625" customWidth="1"/>
    <col min="24" max="25" width="12.90625" customWidth="1"/>
    <col min="26" max="27" width="14.7265625" customWidth="1"/>
    <col min="28" max="29" width="12.90625" customWidth="1"/>
    <col min="30" max="31" width="15.453125" customWidth="1"/>
    <col min="32" max="33" width="12.90625" customWidth="1"/>
    <col min="34" max="35" width="15.90625" customWidth="1"/>
    <col min="36" max="37" width="12.90625" customWidth="1"/>
    <col min="38" max="39" width="15.36328125" customWidth="1"/>
    <col min="40" max="41" width="12.90625" customWidth="1"/>
    <col min="42" max="43" width="14.6328125" customWidth="1"/>
    <col min="44" max="45" width="12.90625" customWidth="1"/>
    <col min="46" max="47" width="14.90625" customWidth="1"/>
    <col min="48" max="49" width="12.90625" customWidth="1"/>
    <col min="50" max="51" width="15.08984375" customWidth="1"/>
    <col min="52" max="53" width="12.90625" customWidth="1"/>
  </cols>
  <sheetData>
    <row r="1" spans="1:53" ht="19">
      <c r="A1" s="18">
        <v>1</v>
      </c>
      <c r="B1" s="17" t="s">
        <v>4</v>
      </c>
      <c r="F1" s="42">
        <v>4</v>
      </c>
      <c r="G1" s="43"/>
      <c r="H1" s="43"/>
      <c r="I1" s="44"/>
      <c r="J1" s="45">
        <v>5</v>
      </c>
      <c r="K1" s="46"/>
      <c r="L1" s="46"/>
      <c r="M1" s="47"/>
      <c r="N1" s="48">
        <v>6</v>
      </c>
      <c r="O1" s="49"/>
      <c r="P1" s="49"/>
      <c r="Q1" s="50"/>
      <c r="R1" s="51">
        <v>7</v>
      </c>
      <c r="S1" s="52"/>
      <c r="T1" s="52"/>
      <c r="U1" s="53"/>
      <c r="V1" s="54">
        <v>8</v>
      </c>
      <c r="W1" s="55"/>
      <c r="X1" s="55"/>
      <c r="Y1" s="56"/>
      <c r="Z1" s="57">
        <v>9</v>
      </c>
      <c r="AA1" s="58"/>
      <c r="AB1" s="58"/>
      <c r="AC1" s="59"/>
      <c r="AD1" s="60">
        <v>10</v>
      </c>
      <c r="AE1" s="61"/>
      <c r="AF1" s="61"/>
      <c r="AG1" s="62"/>
      <c r="AH1" s="63">
        <v>11</v>
      </c>
      <c r="AI1" s="64"/>
      <c r="AJ1" s="64"/>
      <c r="AK1" s="65"/>
      <c r="AL1" s="66">
        <v>12</v>
      </c>
      <c r="AM1" s="67"/>
      <c r="AN1" s="67"/>
      <c r="AO1" s="68"/>
      <c r="AP1" s="69">
        <v>1</v>
      </c>
      <c r="AQ1" s="70"/>
      <c r="AR1" s="70"/>
      <c r="AS1" s="71"/>
      <c r="AT1" s="72">
        <v>2</v>
      </c>
      <c r="AU1" s="73"/>
      <c r="AV1" s="73"/>
      <c r="AW1" s="74"/>
      <c r="AX1" s="75">
        <v>3</v>
      </c>
      <c r="AY1" s="76"/>
      <c r="AZ1" s="76"/>
      <c r="BA1" s="77"/>
    </row>
    <row r="2" spans="1:53" ht="47.25" customHeight="1">
      <c r="F2" s="37" t="s">
        <v>158</v>
      </c>
      <c r="G2" s="38"/>
      <c r="H2" s="39" t="s">
        <v>159</v>
      </c>
      <c r="I2" s="40"/>
      <c r="J2" s="41" t="s">
        <v>160</v>
      </c>
      <c r="K2" s="38"/>
      <c r="L2" s="39" t="s">
        <v>161</v>
      </c>
      <c r="M2" s="40"/>
      <c r="N2" s="37" t="s">
        <v>162</v>
      </c>
      <c r="O2" s="38"/>
      <c r="P2" s="39" t="s">
        <v>163</v>
      </c>
      <c r="Q2" s="40"/>
      <c r="R2" s="37" t="s">
        <v>164</v>
      </c>
      <c r="S2" s="38"/>
      <c r="T2" s="39" t="s">
        <v>165</v>
      </c>
      <c r="U2" s="40"/>
      <c r="V2" s="37" t="s">
        <v>166</v>
      </c>
      <c r="W2" s="38"/>
      <c r="X2" s="39" t="s">
        <v>167</v>
      </c>
      <c r="Y2" s="40"/>
      <c r="Z2" s="37" t="s">
        <v>168</v>
      </c>
      <c r="AA2" s="38"/>
      <c r="AB2" s="39" t="s">
        <v>169</v>
      </c>
      <c r="AC2" s="40"/>
      <c r="AD2" s="37" t="s">
        <v>170</v>
      </c>
      <c r="AE2" s="38"/>
      <c r="AF2" s="39" t="s">
        <v>171</v>
      </c>
      <c r="AG2" s="40"/>
      <c r="AH2" s="37" t="s">
        <v>172</v>
      </c>
      <c r="AI2" s="38"/>
      <c r="AJ2" s="39" t="s">
        <v>173</v>
      </c>
      <c r="AK2" s="40"/>
      <c r="AL2" s="37" t="s">
        <v>174</v>
      </c>
      <c r="AM2" s="38"/>
      <c r="AN2" s="39" t="s">
        <v>175</v>
      </c>
      <c r="AO2" s="40"/>
      <c r="AP2" s="37" t="s">
        <v>176</v>
      </c>
      <c r="AQ2" s="38"/>
      <c r="AR2" s="39" t="s">
        <v>177</v>
      </c>
      <c r="AS2" s="40"/>
      <c r="AT2" s="37" t="s">
        <v>178</v>
      </c>
      <c r="AU2" s="38"/>
      <c r="AV2" s="39" t="s">
        <v>179</v>
      </c>
      <c r="AW2" s="40"/>
      <c r="AX2" s="37" t="s">
        <v>180</v>
      </c>
      <c r="AY2" s="38"/>
      <c r="AZ2" s="39" t="s">
        <v>181</v>
      </c>
      <c r="BA2" s="40"/>
    </row>
    <row r="3" spans="1:53">
      <c r="F3" s="14">
        <v>4</v>
      </c>
      <c r="G3" s="14">
        <v>4</v>
      </c>
      <c r="H3" s="14">
        <v>4</v>
      </c>
      <c r="I3" s="32">
        <v>4</v>
      </c>
      <c r="J3" s="14">
        <v>5</v>
      </c>
      <c r="K3" s="14">
        <v>5</v>
      </c>
      <c r="L3" s="14">
        <v>5</v>
      </c>
      <c r="M3" s="32">
        <v>5</v>
      </c>
      <c r="N3" s="14">
        <v>6</v>
      </c>
      <c r="O3" s="14">
        <v>6</v>
      </c>
      <c r="P3" s="14">
        <v>6</v>
      </c>
      <c r="Q3" s="32">
        <v>6</v>
      </c>
      <c r="R3" s="14">
        <v>7</v>
      </c>
      <c r="S3" s="14">
        <v>7</v>
      </c>
      <c r="T3" s="14">
        <v>7</v>
      </c>
      <c r="U3" s="32">
        <v>7</v>
      </c>
      <c r="V3" s="14">
        <v>8</v>
      </c>
      <c r="W3" s="14">
        <v>8</v>
      </c>
      <c r="X3" s="14">
        <v>8</v>
      </c>
      <c r="Y3" s="32">
        <v>8</v>
      </c>
      <c r="Z3" s="14">
        <v>9</v>
      </c>
      <c r="AA3" s="14">
        <v>9</v>
      </c>
      <c r="AB3" s="14">
        <v>9</v>
      </c>
      <c r="AC3" s="32">
        <v>9</v>
      </c>
      <c r="AD3" s="14">
        <v>10</v>
      </c>
      <c r="AE3" s="14">
        <v>10</v>
      </c>
      <c r="AF3" s="14">
        <v>10</v>
      </c>
      <c r="AG3" s="32">
        <v>10</v>
      </c>
      <c r="AH3" s="34">
        <v>11</v>
      </c>
      <c r="AI3" s="14">
        <v>11</v>
      </c>
      <c r="AJ3" s="14">
        <v>11</v>
      </c>
      <c r="AK3" s="32">
        <v>11</v>
      </c>
      <c r="AL3" s="14">
        <v>12</v>
      </c>
      <c r="AM3" s="14">
        <v>12</v>
      </c>
      <c r="AN3" s="14">
        <v>12</v>
      </c>
      <c r="AO3" s="32">
        <v>12</v>
      </c>
      <c r="AP3" s="14">
        <v>1</v>
      </c>
      <c r="AQ3" s="14">
        <v>1</v>
      </c>
      <c r="AR3" s="14">
        <v>1</v>
      </c>
      <c r="AS3" s="32">
        <v>1</v>
      </c>
      <c r="AT3" s="14">
        <v>2</v>
      </c>
      <c r="AU3" s="14">
        <v>2</v>
      </c>
      <c r="AV3" s="14">
        <v>2</v>
      </c>
      <c r="AW3" s="32">
        <v>2</v>
      </c>
      <c r="AX3" s="14">
        <v>3</v>
      </c>
      <c r="AY3" s="14">
        <v>3</v>
      </c>
      <c r="AZ3" s="14">
        <v>3</v>
      </c>
      <c r="BA3" s="32">
        <v>3</v>
      </c>
    </row>
    <row r="4" spans="1:53">
      <c r="F4" s="14" t="s">
        <v>71</v>
      </c>
      <c r="G4" s="14" t="s">
        <v>71</v>
      </c>
      <c r="H4" s="14" t="s">
        <v>3</v>
      </c>
      <c r="I4" s="32" t="s">
        <v>3</v>
      </c>
      <c r="J4" s="14" t="s">
        <v>71</v>
      </c>
      <c r="K4" s="14" t="s">
        <v>71</v>
      </c>
      <c r="L4" s="14" t="s">
        <v>3</v>
      </c>
      <c r="M4" s="32" t="s">
        <v>3</v>
      </c>
      <c r="N4" s="14" t="s">
        <v>71</v>
      </c>
      <c r="O4" s="14" t="s">
        <v>71</v>
      </c>
      <c r="P4" s="14" t="s">
        <v>3</v>
      </c>
      <c r="Q4" s="32" t="s">
        <v>3</v>
      </c>
      <c r="R4" s="14" t="s">
        <v>71</v>
      </c>
      <c r="S4" s="14" t="s">
        <v>71</v>
      </c>
      <c r="T4" s="14" t="s">
        <v>3</v>
      </c>
      <c r="U4" s="32" t="s">
        <v>3</v>
      </c>
      <c r="V4" s="14" t="s">
        <v>71</v>
      </c>
      <c r="W4" s="14" t="s">
        <v>71</v>
      </c>
      <c r="X4" s="14" t="s">
        <v>3</v>
      </c>
      <c r="Y4" s="32" t="s">
        <v>3</v>
      </c>
      <c r="Z4" s="14" t="s">
        <v>71</v>
      </c>
      <c r="AA4" s="14" t="s">
        <v>71</v>
      </c>
      <c r="AB4" s="14" t="s">
        <v>3</v>
      </c>
      <c r="AC4" s="32" t="s">
        <v>3</v>
      </c>
      <c r="AD4" s="14" t="s">
        <v>71</v>
      </c>
      <c r="AE4" s="14" t="s">
        <v>71</v>
      </c>
      <c r="AF4" s="14" t="s">
        <v>3</v>
      </c>
      <c r="AG4" s="32" t="s">
        <v>3</v>
      </c>
      <c r="AH4" s="14" t="s">
        <v>71</v>
      </c>
      <c r="AI4" s="14" t="s">
        <v>71</v>
      </c>
      <c r="AJ4" s="14" t="s">
        <v>3</v>
      </c>
      <c r="AK4" s="32" t="s">
        <v>3</v>
      </c>
      <c r="AL4" s="14" t="s">
        <v>71</v>
      </c>
      <c r="AM4" s="14" t="s">
        <v>71</v>
      </c>
      <c r="AN4" s="14" t="s">
        <v>3</v>
      </c>
      <c r="AO4" s="32" t="s">
        <v>3</v>
      </c>
      <c r="AP4" s="14" t="s">
        <v>71</v>
      </c>
      <c r="AQ4" s="14" t="s">
        <v>71</v>
      </c>
      <c r="AR4" s="14" t="s">
        <v>3</v>
      </c>
      <c r="AS4" s="32" t="s">
        <v>3</v>
      </c>
      <c r="AT4" s="14" t="s">
        <v>71</v>
      </c>
      <c r="AU4" s="14" t="s">
        <v>71</v>
      </c>
      <c r="AV4" s="14" t="s">
        <v>3</v>
      </c>
      <c r="AW4" s="32" t="s">
        <v>3</v>
      </c>
      <c r="AX4" s="14" t="s">
        <v>71</v>
      </c>
      <c r="AY4" s="14" t="s">
        <v>71</v>
      </c>
      <c r="AZ4" s="14" t="s">
        <v>3</v>
      </c>
      <c r="BA4" s="32" t="s">
        <v>3</v>
      </c>
    </row>
    <row r="5" spans="1:53">
      <c r="F5" s="29" t="s">
        <v>139</v>
      </c>
      <c r="G5" s="29" t="s">
        <v>140</v>
      </c>
      <c r="H5" s="29" t="s">
        <v>139</v>
      </c>
      <c r="I5" s="33" t="s">
        <v>140</v>
      </c>
      <c r="J5" s="29" t="s">
        <v>139</v>
      </c>
      <c r="K5" s="29" t="s">
        <v>140</v>
      </c>
      <c r="L5" s="29" t="s">
        <v>139</v>
      </c>
      <c r="M5" s="33" t="s">
        <v>140</v>
      </c>
      <c r="N5" s="29" t="s">
        <v>139</v>
      </c>
      <c r="O5" s="29" t="s">
        <v>140</v>
      </c>
      <c r="P5" s="29" t="s">
        <v>139</v>
      </c>
      <c r="Q5" s="33" t="s">
        <v>140</v>
      </c>
      <c r="R5" s="29" t="s">
        <v>139</v>
      </c>
      <c r="S5" s="29" t="s">
        <v>140</v>
      </c>
      <c r="T5" s="29" t="s">
        <v>139</v>
      </c>
      <c r="U5" s="33" t="s">
        <v>140</v>
      </c>
      <c r="V5" s="29" t="s">
        <v>139</v>
      </c>
      <c r="W5" s="29" t="s">
        <v>140</v>
      </c>
      <c r="X5" s="29" t="s">
        <v>139</v>
      </c>
      <c r="Y5" s="33" t="s">
        <v>140</v>
      </c>
      <c r="Z5" s="29" t="s">
        <v>139</v>
      </c>
      <c r="AA5" s="29" t="s">
        <v>140</v>
      </c>
      <c r="AB5" s="29" t="s">
        <v>139</v>
      </c>
      <c r="AC5" s="33" t="s">
        <v>140</v>
      </c>
      <c r="AD5" s="29" t="s">
        <v>139</v>
      </c>
      <c r="AE5" s="29" t="s">
        <v>140</v>
      </c>
      <c r="AF5" s="29" t="s">
        <v>139</v>
      </c>
      <c r="AG5" s="33" t="s">
        <v>140</v>
      </c>
      <c r="AH5" s="29" t="s">
        <v>139</v>
      </c>
      <c r="AI5" s="29" t="s">
        <v>140</v>
      </c>
      <c r="AJ5" s="29" t="s">
        <v>139</v>
      </c>
      <c r="AK5" s="33" t="s">
        <v>140</v>
      </c>
      <c r="AL5" s="29" t="s">
        <v>139</v>
      </c>
      <c r="AM5" s="29" t="s">
        <v>140</v>
      </c>
      <c r="AN5" s="29" t="s">
        <v>139</v>
      </c>
      <c r="AO5" s="33" t="s">
        <v>140</v>
      </c>
      <c r="AP5" s="29" t="s">
        <v>139</v>
      </c>
      <c r="AQ5" s="29" t="s">
        <v>140</v>
      </c>
      <c r="AR5" s="29" t="s">
        <v>139</v>
      </c>
      <c r="AS5" s="33" t="s">
        <v>140</v>
      </c>
      <c r="AT5" s="29" t="s">
        <v>139</v>
      </c>
      <c r="AU5" s="29" t="s">
        <v>140</v>
      </c>
      <c r="AV5" s="29" t="s">
        <v>139</v>
      </c>
      <c r="AW5" s="33" t="s">
        <v>140</v>
      </c>
      <c r="AX5" s="29" t="s">
        <v>139</v>
      </c>
      <c r="AY5" s="29" t="s">
        <v>140</v>
      </c>
      <c r="AZ5" s="29" t="s">
        <v>139</v>
      </c>
      <c r="BA5" s="33" t="s">
        <v>140</v>
      </c>
    </row>
    <row r="6" spans="1:53" ht="26">
      <c r="A6" s="16"/>
      <c r="B6" s="15" t="s">
        <v>2</v>
      </c>
      <c r="C6" s="15" t="s">
        <v>1</v>
      </c>
      <c r="D6" s="15" t="s">
        <v>0</v>
      </c>
      <c r="E6" s="15" t="s">
        <v>70</v>
      </c>
      <c r="F6" s="25" t="s">
        <v>72</v>
      </c>
      <c r="G6" s="26" t="s">
        <v>73</v>
      </c>
      <c r="H6" s="25" t="s">
        <v>72</v>
      </c>
      <c r="I6" s="26" t="s">
        <v>73</v>
      </c>
      <c r="J6" s="25" t="s">
        <v>72</v>
      </c>
      <c r="K6" s="26" t="s">
        <v>73</v>
      </c>
      <c r="L6" s="25" t="s">
        <v>72</v>
      </c>
      <c r="M6" s="26" t="s">
        <v>73</v>
      </c>
      <c r="N6" s="25" t="s">
        <v>72</v>
      </c>
      <c r="O6" s="26" t="s">
        <v>73</v>
      </c>
      <c r="P6" s="25" t="s">
        <v>72</v>
      </c>
      <c r="Q6" s="26" t="s">
        <v>73</v>
      </c>
      <c r="R6" s="25" t="s">
        <v>72</v>
      </c>
      <c r="S6" s="26" t="s">
        <v>73</v>
      </c>
      <c r="T6" s="25" t="s">
        <v>72</v>
      </c>
      <c r="U6" s="26" t="s">
        <v>73</v>
      </c>
      <c r="V6" s="25" t="s">
        <v>72</v>
      </c>
      <c r="W6" s="26" t="s">
        <v>73</v>
      </c>
      <c r="X6" s="25" t="s">
        <v>72</v>
      </c>
      <c r="Y6" s="26" t="s">
        <v>73</v>
      </c>
      <c r="Z6" s="25" t="s">
        <v>72</v>
      </c>
      <c r="AA6" s="26" t="s">
        <v>73</v>
      </c>
      <c r="AB6" s="25" t="s">
        <v>72</v>
      </c>
      <c r="AC6" s="26" t="s">
        <v>73</v>
      </c>
      <c r="AD6" s="25" t="s">
        <v>72</v>
      </c>
      <c r="AE6" s="26" t="s">
        <v>73</v>
      </c>
      <c r="AF6" s="25" t="s">
        <v>72</v>
      </c>
      <c r="AG6" s="26" t="s">
        <v>73</v>
      </c>
      <c r="AH6" s="25" t="s">
        <v>72</v>
      </c>
      <c r="AI6" s="26" t="s">
        <v>73</v>
      </c>
      <c r="AJ6" s="25" t="s">
        <v>72</v>
      </c>
      <c r="AK6" s="26" t="s">
        <v>73</v>
      </c>
      <c r="AL6" s="25" t="s">
        <v>72</v>
      </c>
      <c r="AM6" s="26" t="s">
        <v>73</v>
      </c>
      <c r="AN6" s="25" t="s">
        <v>72</v>
      </c>
      <c r="AO6" s="26" t="s">
        <v>73</v>
      </c>
      <c r="AP6" s="25" t="s">
        <v>72</v>
      </c>
      <c r="AQ6" s="26" t="s">
        <v>73</v>
      </c>
      <c r="AR6" s="25" t="s">
        <v>72</v>
      </c>
      <c r="AS6" s="26" t="s">
        <v>73</v>
      </c>
      <c r="AT6" s="25" t="s">
        <v>72</v>
      </c>
      <c r="AU6" s="26" t="s">
        <v>73</v>
      </c>
      <c r="AV6" s="25" t="s">
        <v>72</v>
      </c>
      <c r="AW6" s="26" t="s">
        <v>73</v>
      </c>
      <c r="AX6" s="25" t="s">
        <v>72</v>
      </c>
      <c r="AY6" s="26" t="s">
        <v>73</v>
      </c>
      <c r="AZ6" s="25" t="s">
        <v>72</v>
      </c>
      <c r="BA6" s="26" t="s">
        <v>73</v>
      </c>
    </row>
    <row r="7" spans="1:53" ht="18.75" hidden="1" customHeight="1">
      <c r="A7" s="5"/>
      <c r="B7" s="5">
        <v>6421</v>
      </c>
      <c r="C7" s="9" t="str">
        <f>IF($A$1=1,Sheet1!D69,Sheet1!A69)</f>
        <v>総務人事部</v>
      </c>
      <c r="D7" s="4"/>
      <c r="E7" s="4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</row>
    <row r="8" spans="1:53" ht="18.75" customHeight="1">
      <c r="A8" s="8"/>
      <c r="B8" s="8"/>
      <c r="C8" s="7"/>
      <c r="D8" s="6" t="str">
        <f>IF($A$1=1,Sheet1!C70,Sheet1!B70)</f>
        <v>総務課</v>
      </c>
      <c r="E8" s="6">
        <v>1412000024</v>
      </c>
      <c r="F8" s="84">
        <f>[51]人員・時間計画!$C$25</f>
        <v>136.5</v>
      </c>
      <c r="G8" s="84">
        <f>[51]人員・時間計画!$C$26</f>
        <v>0</v>
      </c>
      <c r="H8" s="84">
        <f>[51]人員・時間計画!$C$11</f>
        <v>10</v>
      </c>
      <c r="I8" s="84">
        <f>[51]人員・時間計画!$C$12</f>
        <v>6</v>
      </c>
      <c r="J8" s="84">
        <f>[51]人員・時間計画!$D$25</f>
        <v>145.5</v>
      </c>
      <c r="K8" s="84">
        <f>[51]人員・時間計画!$D$26</f>
        <v>10</v>
      </c>
      <c r="L8" s="84">
        <f>[51]人員・時間計画!$D$11</f>
        <v>11</v>
      </c>
      <c r="M8" s="84">
        <f>[51]人員・時間計画!$D$12</f>
        <v>6</v>
      </c>
      <c r="N8" s="84">
        <f>[51]人員・時間計画!$E$25</f>
        <v>143.5</v>
      </c>
      <c r="O8" s="84">
        <f>[51]人員・時間計画!$E$26</f>
        <v>0</v>
      </c>
      <c r="P8" s="84">
        <f>[51]人員・時間計画!$E$11</f>
        <v>11</v>
      </c>
      <c r="Q8" s="84">
        <f>[51]人員・時間計画!$E$12</f>
        <v>6</v>
      </c>
      <c r="R8" s="84">
        <f>[51]人員・時間計画!$F$25</f>
        <v>157.5</v>
      </c>
      <c r="S8" s="84">
        <f>[51]人員・時間計画!$F$26</f>
        <v>0</v>
      </c>
      <c r="T8" s="84">
        <f>[51]人員・時間計画!$F$11</f>
        <v>11</v>
      </c>
      <c r="U8" s="84">
        <f>[51]人員・時間計画!$F$12</f>
        <v>6</v>
      </c>
      <c r="V8" s="84">
        <f>[51]人員・時間計画!$G$25</f>
        <v>136.5</v>
      </c>
      <c r="W8" s="84">
        <f>[51]人員・時間計画!$G$26</f>
        <v>0</v>
      </c>
      <c r="X8" s="84">
        <f>[51]人員・時間計画!$G$11</f>
        <v>11</v>
      </c>
      <c r="Y8" s="84">
        <f>[51]人員・時間計画!$G$12</f>
        <v>6</v>
      </c>
      <c r="Z8" s="84">
        <f>[51]人員・時間計画!$H$25</f>
        <v>183.5</v>
      </c>
      <c r="AA8" s="84">
        <f>[51]人員・時間計画!$H$26</f>
        <v>30</v>
      </c>
      <c r="AB8" s="84">
        <f>[51]人員・時間計画!$H$11</f>
        <v>11</v>
      </c>
      <c r="AC8" s="84">
        <f>[51]人員・時間計画!$H$12</f>
        <v>6</v>
      </c>
      <c r="AD8" s="84">
        <f>[51]人員・時間計画!$I$25</f>
        <v>157.5</v>
      </c>
      <c r="AE8" s="84">
        <f>[51]人員・時間計画!$I$26</f>
        <v>0</v>
      </c>
      <c r="AF8" s="84">
        <f>[51]人員・時間計画!$I$11</f>
        <v>11</v>
      </c>
      <c r="AG8" s="84">
        <f>[51]人員・時間計画!$I$12</f>
        <v>6</v>
      </c>
      <c r="AH8" s="84">
        <f>[51]人員・時間計画!$J$25</f>
        <v>181.5</v>
      </c>
      <c r="AI8" s="84">
        <f>[51]人員・時間計画!$J$26</f>
        <v>25</v>
      </c>
      <c r="AJ8" s="84">
        <f>[51]人員・時間計画!$J$11</f>
        <v>11</v>
      </c>
      <c r="AK8" s="84">
        <f>[51]人員・時間計画!$J$12</f>
        <v>6</v>
      </c>
      <c r="AL8" s="84">
        <f>[51]人員・時間計画!$K$25</f>
        <v>150.5</v>
      </c>
      <c r="AM8" s="84">
        <f>[51]人員・時間計画!$K$26</f>
        <v>0</v>
      </c>
      <c r="AN8" s="84">
        <f>[51]人員・時間計画!$K$11</f>
        <v>11</v>
      </c>
      <c r="AO8" s="84">
        <f>[51]人員・時間計画!$K$12</f>
        <v>6</v>
      </c>
      <c r="AP8" s="84">
        <f>[51]人員・時間計画!$L$25</f>
        <v>136.5</v>
      </c>
      <c r="AQ8" s="84">
        <f>[51]人員・時間計画!$L$26</f>
        <v>0</v>
      </c>
      <c r="AR8" s="84">
        <f>[51]人員・時間計画!$L$11</f>
        <v>11</v>
      </c>
      <c r="AS8" s="84">
        <f>[51]人員・時間計画!$L$12</f>
        <v>6</v>
      </c>
      <c r="AT8" s="84">
        <f>[51]人員・時間計画!$M$25</f>
        <v>101.5</v>
      </c>
      <c r="AU8" s="84">
        <f>[51]人員・時間計画!$M$26</f>
        <v>0</v>
      </c>
      <c r="AV8" s="84">
        <f>[51]人員・時間計画!$M$11</f>
        <v>11</v>
      </c>
      <c r="AW8" s="84">
        <f>[51]人員・時間計画!$M$12</f>
        <v>6</v>
      </c>
      <c r="AX8" s="84">
        <f>[51]人員・時間計画!$N$25</f>
        <v>136.5</v>
      </c>
      <c r="AY8" s="84">
        <f>[51]人員・時間計画!$N$26</f>
        <v>0</v>
      </c>
      <c r="AZ8" s="84">
        <f>[51]人員・時間計画!$N$11</f>
        <v>11</v>
      </c>
      <c r="BA8" s="84">
        <f>[51]人員・時間計画!$N$12</f>
        <v>6</v>
      </c>
    </row>
    <row r="9" spans="1:53" ht="18.75" customHeight="1">
      <c r="A9" s="8"/>
      <c r="B9" s="8"/>
      <c r="C9" s="7"/>
      <c r="D9" s="6" t="str">
        <f>IF($A$1=1,Sheet1!C71,Sheet1!B71)</f>
        <v>人事課</v>
      </c>
      <c r="E9" s="6">
        <v>1412000025</v>
      </c>
      <c r="F9" s="84">
        <f>[52]人員・時間計画!$C$25</f>
        <v>83</v>
      </c>
      <c r="G9" s="84">
        <f>[52]人員・時間計画!$C$26</f>
        <v>0</v>
      </c>
      <c r="H9" s="84">
        <f>[52]人員・時間計画!$C$11</f>
        <v>17</v>
      </c>
      <c r="I9" s="84">
        <f>[52]人員・時間計画!$C$12</f>
        <v>0</v>
      </c>
      <c r="J9" s="84">
        <f>[52]人員・時間計画!$D$25</f>
        <v>79</v>
      </c>
      <c r="K9" s="84">
        <f>[52]人員・時間計画!$D$26</f>
        <v>0</v>
      </c>
      <c r="L9" s="84">
        <f>[52]人員・時間計画!$D$11</f>
        <v>16</v>
      </c>
      <c r="M9" s="84">
        <f>[52]人員・時間計画!$D$12</f>
        <v>0</v>
      </c>
      <c r="N9" s="84">
        <f>[52]人員・時間計画!$E$25</f>
        <v>87</v>
      </c>
      <c r="O9" s="84">
        <f>[52]人員・時間計画!$E$26</f>
        <v>0</v>
      </c>
      <c r="P9" s="84">
        <f>[52]人員・時間計画!$E$11</f>
        <v>16</v>
      </c>
      <c r="Q9" s="84">
        <f>[52]人員・時間計画!$E$12</f>
        <v>0</v>
      </c>
      <c r="R9" s="84">
        <f>[52]人員・時間計画!$F$25</f>
        <v>95</v>
      </c>
      <c r="S9" s="84">
        <f>[52]人員・時間計画!$F$26</f>
        <v>0</v>
      </c>
      <c r="T9" s="84">
        <f>[52]人員・時間計画!$F$11</f>
        <v>16</v>
      </c>
      <c r="U9" s="84">
        <f>[52]人員・時間計画!$F$12</f>
        <v>0</v>
      </c>
      <c r="V9" s="84">
        <f>[52]人員・時間計画!$G$25</f>
        <v>83</v>
      </c>
      <c r="W9" s="84">
        <f>[52]人員・時間計画!$G$26</f>
        <v>0</v>
      </c>
      <c r="X9" s="84">
        <f>[52]人員・時間計画!$G$11</f>
        <v>16</v>
      </c>
      <c r="Y9" s="84">
        <f>[52]人員・時間計画!$G$12</f>
        <v>0</v>
      </c>
      <c r="Z9" s="84">
        <f>[52]人員・時間計画!$H$25</f>
        <v>79</v>
      </c>
      <c r="AA9" s="84">
        <f>[52]人員・時間計画!$H$26</f>
        <v>0</v>
      </c>
      <c r="AB9" s="84">
        <f>[52]人員・時間計画!$H$11</f>
        <v>16</v>
      </c>
      <c r="AC9" s="84">
        <f>[52]人員・時間計画!$H$12</f>
        <v>0</v>
      </c>
      <c r="AD9" s="84">
        <f>[52]人員・時間計画!$I$25</f>
        <v>95</v>
      </c>
      <c r="AE9" s="84">
        <f>[52]人員・時間計画!$I$26</f>
        <v>0</v>
      </c>
      <c r="AF9" s="84">
        <f>[52]人員・時間計画!$I$11</f>
        <v>16</v>
      </c>
      <c r="AG9" s="84">
        <f>[52]人員・時間計画!$I$12</f>
        <v>0</v>
      </c>
      <c r="AH9" s="84">
        <f>[52]人員・時間計画!$J$25</f>
        <v>83</v>
      </c>
      <c r="AI9" s="84">
        <f>[52]人員・時間計画!$J$26</f>
        <v>0</v>
      </c>
      <c r="AJ9" s="84">
        <f>[52]人員・時間計画!$J$11</f>
        <v>16</v>
      </c>
      <c r="AK9" s="84">
        <f>[52]人員・時間計画!$J$12</f>
        <v>0</v>
      </c>
      <c r="AL9" s="84">
        <f>[52]人員・時間計画!$K$25</f>
        <v>91</v>
      </c>
      <c r="AM9" s="84">
        <f>[52]人員・時間計画!$K$26</f>
        <v>0</v>
      </c>
      <c r="AN9" s="84">
        <f>[52]人員・時間計画!$K$11</f>
        <v>16</v>
      </c>
      <c r="AO9" s="84">
        <f>[52]人員・時間計画!$K$12</f>
        <v>0</v>
      </c>
      <c r="AP9" s="84">
        <f>[52]人員・時間計画!$L$25</f>
        <v>83</v>
      </c>
      <c r="AQ9" s="84">
        <f>[52]人員・時間計画!$L$26</f>
        <v>0</v>
      </c>
      <c r="AR9" s="84">
        <f>[52]人員・時間計画!$L$11</f>
        <v>16</v>
      </c>
      <c r="AS9" s="84">
        <f>[52]人員・時間計画!$L$12</f>
        <v>0</v>
      </c>
      <c r="AT9" s="84">
        <f>[52]人員・時間計画!$M$25</f>
        <v>63</v>
      </c>
      <c r="AU9" s="84">
        <f>[52]人員・時間計画!$M$26</f>
        <v>0</v>
      </c>
      <c r="AV9" s="84">
        <f>[52]人員・時間計画!$M$11</f>
        <v>16</v>
      </c>
      <c r="AW9" s="84">
        <f>[52]人員・時間計画!$M$12</f>
        <v>0</v>
      </c>
      <c r="AX9" s="84">
        <f>[52]人員・時間計画!$N$25</f>
        <v>83</v>
      </c>
      <c r="AY9" s="84">
        <f>[52]人員・時間計画!$N$26</f>
        <v>0</v>
      </c>
      <c r="AZ9" s="84">
        <f>[52]人員・時間計画!$N$11</f>
        <v>16</v>
      </c>
      <c r="BA9" s="84">
        <f>[52]人員・時間計画!$N$12</f>
        <v>0</v>
      </c>
    </row>
    <row r="10" spans="1:53" ht="18.75" customHeight="1">
      <c r="A10" s="8"/>
      <c r="B10" s="8"/>
      <c r="C10" s="7"/>
      <c r="D10" s="6" t="str">
        <f>IF($A$1=1,Sheet1!C73,Sheet1!B73)</f>
        <v>施設課</v>
      </c>
      <c r="E10" s="6">
        <v>1412000026</v>
      </c>
      <c r="F10" s="84">
        <f>[53]人員・時間計画!$C$25</f>
        <v>233</v>
      </c>
      <c r="G10" s="84">
        <f>[53]人員・時間計画!$C$26</f>
        <v>34</v>
      </c>
      <c r="H10" s="84">
        <f>[53]人員・時間計画!$C$11</f>
        <v>11</v>
      </c>
      <c r="I10" s="84">
        <f>[53]人員・時間計画!$C$12</f>
        <v>3</v>
      </c>
      <c r="J10" s="84">
        <f>[53]人員・時間計画!$D$25</f>
        <v>234</v>
      </c>
      <c r="K10" s="84">
        <f>[53]人員・時間計画!$D$26</f>
        <v>38</v>
      </c>
      <c r="L10" s="84">
        <f>[53]人員・時間計画!$D$11</f>
        <v>11</v>
      </c>
      <c r="M10" s="84">
        <f>[53]人員・時間計画!$D$12</f>
        <v>3</v>
      </c>
      <c r="N10" s="84">
        <f>[53]人員・時間計画!$E$25</f>
        <v>226</v>
      </c>
      <c r="O10" s="84">
        <f>[53]人員・時間計画!$E$26</f>
        <v>37</v>
      </c>
      <c r="P10" s="84">
        <f>[53]人員・時間計画!$E$11</f>
        <v>11</v>
      </c>
      <c r="Q10" s="84">
        <f>[53]人員・時間計画!$E$12</f>
        <v>3</v>
      </c>
      <c r="R10" s="84">
        <f>[53]人員・時間計画!$F$25</f>
        <v>257</v>
      </c>
      <c r="S10" s="84">
        <f>[53]人員・時間計画!$F$26</f>
        <v>39</v>
      </c>
      <c r="T10" s="84">
        <f>[53]人員・時間計画!$F$11</f>
        <v>11</v>
      </c>
      <c r="U10" s="84">
        <f>[53]人員・時間計画!$F$12</f>
        <v>3</v>
      </c>
      <c r="V10" s="84">
        <f>[53]人員・時間計画!$G$25</f>
        <v>251</v>
      </c>
      <c r="W10" s="84">
        <f>[53]人員・時間計画!$G$26</f>
        <v>35</v>
      </c>
      <c r="X10" s="84">
        <f>[53]人員・時間計画!$G$11</f>
        <v>11</v>
      </c>
      <c r="Y10" s="84">
        <f>[53]人員・時間計画!$G$12</f>
        <v>3</v>
      </c>
      <c r="Z10" s="84">
        <f>[53]人員・時間計画!$H$25</f>
        <v>240</v>
      </c>
      <c r="AA10" s="84">
        <f>[53]人員・時間計画!$H$26</f>
        <v>37</v>
      </c>
      <c r="AB10" s="84">
        <f>[53]人員・時間計画!$H$11</f>
        <v>11</v>
      </c>
      <c r="AC10" s="84">
        <f>[53]人員・時間計画!$H$12</f>
        <v>3</v>
      </c>
      <c r="AD10" s="84">
        <f>[53]人員・時間計画!$I$25</f>
        <v>257</v>
      </c>
      <c r="AE10" s="84">
        <f>[53]人員・時間計画!$I$26</f>
        <v>34</v>
      </c>
      <c r="AF10" s="84">
        <f>[53]人員・時間計画!$I$11</f>
        <v>11</v>
      </c>
      <c r="AG10" s="84">
        <f>[53]人員・時間計画!$I$12</f>
        <v>3</v>
      </c>
      <c r="AH10" s="84">
        <f>[53]人員・時間計画!$J$25</f>
        <v>243</v>
      </c>
      <c r="AI10" s="84">
        <f>[53]人員・時間計画!$J$26</f>
        <v>34</v>
      </c>
      <c r="AJ10" s="84">
        <f>[53]人員・時間計画!$J$11</f>
        <v>11</v>
      </c>
      <c r="AK10" s="84">
        <f>[53]人員・時間計画!$J$12</f>
        <v>3</v>
      </c>
      <c r="AL10" s="84">
        <f>[53]人員・時間計画!$K$25</f>
        <v>252</v>
      </c>
      <c r="AM10" s="84">
        <f>[53]人員・時間計画!$K$26</f>
        <v>34</v>
      </c>
      <c r="AN10" s="84">
        <f>[53]人員・時間計画!$K$11</f>
        <v>11</v>
      </c>
      <c r="AO10" s="84">
        <f>[53]人員・時間計画!$K$12</f>
        <v>3</v>
      </c>
      <c r="AP10" s="84">
        <f>[53]人員・時間計画!$L$25</f>
        <v>240</v>
      </c>
      <c r="AQ10" s="84">
        <f>[53]人員・時間計画!$L$26</f>
        <v>34</v>
      </c>
      <c r="AR10" s="84">
        <f>[53]人員・時間計画!$L$11</f>
        <v>11</v>
      </c>
      <c r="AS10" s="84">
        <f>[53]人員・時間計画!$L$12</f>
        <v>3</v>
      </c>
      <c r="AT10" s="84">
        <f>[53]人員・時間計画!$M$25</f>
        <v>204</v>
      </c>
      <c r="AU10" s="84">
        <f>[53]人員・時間計画!$M$26</f>
        <v>34</v>
      </c>
      <c r="AV10" s="84">
        <f>[53]人員・時間計画!$M$11</f>
        <v>11</v>
      </c>
      <c r="AW10" s="84">
        <f>[53]人員・時間計画!$M$12</f>
        <v>3</v>
      </c>
      <c r="AX10" s="84">
        <f>[53]人員・時間計画!$N$25</f>
        <v>258</v>
      </c>
      <c r="AY10" s="84">
        <f>[53]人員・時間計画!$N$26</f>
        <v>34</v>
      </c>
      <c r="AZ10" s="84">
        <f>[53]人員・時間計画!$N$11</f>
        <v>11</v>
      </c>
      <c r="BA10" s="84">
        <f>[53]人員・時間計画!$N$12</f>
        <v>3</v>
      </c>
    </row>
    <row r="11" spans="1:53" ht="18.75" customHeight="1">
      <c r="A11" s="8"/>
      <c r="B11" s="8"/>
      <c r="C11" s="7"/>
      <c r="D11" s="6" t="str">
        <f>IF($A$1=1,Sheet1!C74,Sheet1!B74)</f>
        <v>リスクマネジメント課</v>
      </c>
      <c r="E11" s="6">
        <v>1412000093</v>
      </c>
      <c r="F11" s="84">
        <f>[54]人員・時間計画!$C$25</f>
        <v>76</v>
      </c>
      <c r="G11" s="84">
        <f>[54]人員・時間計画!$C$26</f>
        <v>0</v>
      </c>
      <c r="H11" s="84">
        <f>[54]人員・時間計画!$C$11</f>
        <v>5</v>
      </c>
      <c r="I11" s="84">
        <f>[54]人員・時間計画!$C$12</f>
        <v>0</v>
      </c>
      <c r="J11" s="84">
        <f>[54]人員・時間計画!$D$25</f>
        <v>72</v>
      </c>
      <c r="K11" s="84">
        <f>[54]人員・時間計画!$D$26</f>
        <v>0</v>
      </c>
      <c r="L11" s="84">
        <f>[54]人員・時間計画!$D$11</f>
        <v>6</v>
      </c>
      <c r="M11" s="84">
        <f>[54]人員・時間計画!$D$12</f>
        <v>0</v>
      </c>
      <c r="N11" s="84">
        <f>[54]人員・時間計画!$E$25</f>
        <v>80</v>
      </c>
      <c r="O11" s="84">
        <f>[54]人員・時間計画!$E$26</f>
        <v>0</v>
      </c>
      <c r="P11" s="84">
        <f>[54]人員・時間計画!$E$11</f>
        <v>6</v>
      </c>
      <c r="Q11" s="84">
        <f>[54]人員・時間計画!$E$12</f>
        <v>0</v>
      </c>
      <c r="R11" s="84">
        <f>[54]人員・時間計画!$F$25</f>
        <v>88</v>
      </c>
      <c r="S11" s="84">
        <f>[54]人員・時間計画!$F$26</f>
        <v>0</v>
      </c>
      <c r="T11" s="84">
        <f>[54]人員・時間計画!$F$11</f>
        <v>6</v>
      </c>
      <c r="U11" s="84">
        <f>[54]人員・時間計画!$F$12</f>
        <v>0</v>
      </c>
      <c r="V11" s="84">
        <f>[54]人員・時間計画!$G$25</f>
        <v>76</v>
      </c>
      <c r="W11" s="84">
        <f>[54]人員・時間計画!$G$26</f>
        <v>0</v>
      </c>
      <c r="X11" s="84">
        <f>[54]人員・時間計画!$G$11</f>
        <v>6</v>
      </c>
      <c r="Y11" s="84">
        <f>[54]人員・時間計画!$G$12</f>
        <v>0</v>
      </c>
      <c r="Z11" s="84">
        <f>[54]人員・時間計画!$H$25</f>
        <v>72</v>
      </c>
      <c r="AA11" s="84">
        <f>[54]人員・時間計画!$H$26</f>
        <v>0</v>
      </c>
      <c r="AB11" s="84">
        <f>[54]人員・時間計画!$H$11</f>
        <v>6</v>
      </c>
      <c r="AC11" s="84">
        <f>[54]人員・時間計画!$H$12</f>
        <v>0</v>
      </c>
      <c r="AD11" s="84">
        <f>[54]人員・時間計画!$I$25</f>
        <v>88</v>
      </c>
      <c r="AE11" s="84">
        <f>[54]人員・時間計画!$I$26</f>
        <v>0</v>
      </c>
      <c r="AF11" s="84">
        <f>[54]人員・時間計画!$I$11</f>
        <v>6</v>
      </c>
      <c r="AG11" s="84">
        <f>[54]人員・時間計画!$I$12</f>
        <v>0</v>
      </c>
      <c r="AH11" s="84">
        <f>[54]人員・時間計画!$J$25</f>
        <v>76</v>
      </c>
      <c r="AI11" s="84">
        <f>[54]人員・時間計画!$J$26</f>
        <v>0</v>
      </c>
      <c r="AJ11" s="84">
        <f>[54]人員・時間計画!$J$11</f>
        <v>6</v>
      </c>
      <c r="AK11" s="84">
        <f>[54]人員・時間計画!$J$12</f>
        <v>0</v>
      </c>
      <c r="AL11" s="84">
        <f>[54]人員・時間計画!$K$25</f>
        <v>84</v>
      </c>
      <c r="AM11" s="84">
        <f>[54]人員・時間計画!$K$26</f>
        <v>0</v>
      </c>
      <c r="AN11" s="84">
        <f>[54]人員・時間計画!$K$11</f>
        <v>6</v>
      </c>
      <c r="AO11" s="84">
        <f>[54]人員・時間計画!$K$12</f>
        <v>0</v>
      </c>
      <c r="AP11" s="84">
        <f>[54]人員・時間計画!$L$25</f>
        <v>76</v>
      </c>
      <c r="AQ11" s="84">
        <f>[54]人員・時間計画!$L$26</f>
        <v>0</v>
      </c>
      <c r="AR11" s="84">
        <f>[54]人員・時間計画!$L$11</f>
        <v>6</v>
      </c>
      <c r="AS11" s="84">
        <f>[54]人員・時間計画!$L$12</f>
        <v>0</v>
      </c>
      <c r="AT11" s="84">
        <f>[54]人員・時間計画!$M$25</f>
        <v>56</v>
      </c>
      <c r="AU11" s="84">
        <f>[54]人員・時間計画!$M$26</f>
        <v>0</v>
      </c>
      <c r="AV11" s="84">
        <f>[54]人員・時間計画!$M$11</f>
        <v>6</v>
      </c>
      <c r="AW11" s="84">
        <f>[54]人員・時間計画!$M$12</f>
        <v>0</v>
      </c>
      <c r="AX11" s="84">
        <f>[54]人員・時間計画!$N$25</f>
        <v>76</v>
      </c>
      <c r="AY11" s="84">
        <f>[54]人員・時間計画!$N$26</f>
        <v>0</v>
      </c>
      <c r="AZ11" s="84">
        <f>[54]人員・時間計画!$N$11</f>
        <v>6</v>
      </c>
      <c r="BA11" s="84">
        <f>[54]人員・時間計画!$N$12</f>
        <v>0</v>
      </c>
    </row>
    <row r="12" spans="1:53" ht="18.75" customHeight="1">
      <c r="A12" s="3"/>
      <c r="B12" s="3"/>
      <c r="C12" s="1"/>
      <c r="D12" s="2" t="str">
        <f>IF($A$1=1,Sheet1!C75,Sheet1!B75)</f>
        <v>保安課</v>
      </c>
      <c r="E12" s="2">
        <v>1412000091</v>
      </c>
      <c r="F12" s="85">
        <f>[55]人員・時間計画!$C$25</f>
        <v>59.5</v>
      </c>
      <c r="G12" s="85">
        <f>[55]人員・時間計画!$C$26</f>
        <v>530.5</v>
      </c>
      <c r="H12" s="85">
        <f>[55]人員・時間計画!$C$11</f>
        <v>3</v>
      </c>
      <c r="I12" s="85">
        <f>[55]人員・時間計画!$C$12</f>
        <v>67</v>
      </c>
      <c r="J12" s="85">
        <f>[55]人員・時間計画!$D$25</f>
        <v>65.5</v>
      </c>
      <c r="K12" s="85">
        <f>[55]人員・時間計画!$D$26</f>
        <v>324.5</v>
      </c>
      <c r="L12" s="85">
        <f>[55]人員・時間計画!$D$11</f>
        <v>3</v>
      </c>
      <c r="M12" s="85">
        <f>[55]人員・時間計画!$D$12</f>
        <v>67</v>
      </c>
      <c r="N12" s="85">
        <f>[55]人員・時間計画!$E$25</f>
        <v>61.5</v>
      </c>
      <c r="O12" s="85">
        <f>[55]人員・時間計画!$E$26</f>
        <v>136.5</v>
      </c>
      <c r="P12" s="85">
        <f>[55]人員・時間計画!$E$11</f>
        <v>3</v>
      </c>
      <c r="Q12" s="85">
        <f>[55]人員・時間計画!$E$12</f>
        <v>67</v>
      </c>
      <c r="R12" s="85">
        <f>[55]人員・時間計画!$F$25</f>
        <v>65.5</v>
      </c>
      <c r="S12" s="85">
        <f>[55]人員・時間計画!$F$26</f>
        <v>148.5</v>
      </c>
      <c r="T12" s="85">
        <f>[55]人員・時間計画!$F$11</f>
        <v>3</v>
      </c>
      <c r="U12" s="85">
        <f>[55]人員・時間計画!$F$12</f>
        <v>67</v>
      </c>
      <c r="V12" s="85">
        <f>[55]人員・時間計画!$G$25</f>
        <v>59.5</v>
      </c>
      <c r="W12" s="85">
        <f>[55]人員・時間計画!$G$26</f>
        <v>130.5</v>
      </c>
      <c r="X12" s="85">
        <f>[55]人員・時間計画!$G$11</f>
        <v>3</v>
      </c>
      <c r="Y12" s="85">
        <f>[55]人員・時間計画!$G$12</f>
        <v>67</v>
      </c>
      <c r="Z12" s="85">
        <f>[55]人員・時間計画!$H$25</f>
        <v>65.5</v>
      </c>
      <c r="AA12" s="85">
        <f>[55]人員・時間計画!$H$26</f>
        <v>591</v>
      </c>
      <c r="AB12" s="85">
        <f>[55]人員・時間計画!$H$11</f>
        <v>3</v>
      </c>
      <c r="AC12" s="85">
        <f>[55]人員・時間計画!$H$12</f>
        <v>67</v>
      </c>
      <c r="AD12" s="85">
        <f>[55]人員・時間計画!$I$25</f>
        <v>65.5</v>
      </c>
      <c r="AE12" s="85">
        <f>[55]人員・時間計画!$I$26</f>
        <v>145.5</v>
      </c>
      <c r="AF12" s="85">
        <f>[55]人員・時間計画!$I$11</f>
        <v>3</v>
      </c>
      <c r="AG12" s="85">
        <f>[55]人員・時間計画!$I$12</f>
        <v>67</v>
      </c>
      <c r="AH12" s="85">
        <f>[55]人員・時間計画!$J$25</f>
        <v>59.5</v>
      </c>
      <c r="AI12" s="85">
        <f>[55]人員・時間計画!$J$26</f>
        <v>139.5</v>
      </c>
      <c r="AJ12" s="85">
        <f>[55]人員・時間計画!$J$11</f>
        <v>3</v>
      </c>
      <c r="AK12" s="85">
        <f>[55]人員・時間計画!$J$12</f>
        <v>67</v>
      </c>
      <c r="AL12" s="85">
        <f>[55]人員・時間計画!$K$25</f>
        <v>63.5</v>
      </c>
      <c r="AM12" s="85">
        <f>[55]人員・時間計画!$K$26</f>
        <v>142.5</v>
      </c>
      <c r="AN12" s="85">
        <f>[55]人員・時間計画!$K$11</f>
        <v>3</v>
      </c>
      <c r="AO12" s="85">
        <f>[55]人員・時間計画!$K$12</f>
        <v>67</v>
      </c>
      <c r="AP12" s="85">
        <f>[55]人員・時間計画!$L$25</f>
        <v>59.5</v>
      </c>
      <c r="AQ12" s="85">
        <f>[55]人員・時間計画!$L$26</f>
        <v>130.5</v>
      </c>
      <c r="AR12" s="85">
        <f>[55]人員・時間計画!$L$11</f>
        <v>3</v>
      </c>
      <c r="AS12" s="85">
        <f>[55]人員・時間計画!$L$12</f>
        <v>67</v>
      </c>
      <c r="AT12" s="85">
        <f>[55]人員・時間計画!$M$25</f>
        <v>57.5</v>
      </c>
      <c r="AU12" s="85">
        <f>[55]人員・時間計画!$M$26</f>
        <v>1116.5</v>
      </c>
      <c r="AV12" s="85">
        <f>[55]人員・時間計画!$M$11</f>
        <v>3</v>
      </c>
      <c r="AW12" s="85">
        <f>[55]人員・時間計画!$M$12</f>
        <v>67</v>
      </c>
      <c r="AX12" s="85">
        <f>[55]人員・時間計画!$N$25</f>
        <v>59.5</v>
      </c>
      <c r="AY12" s="85">
        <f>[55]人員・時間計画!$N$26</f>
        <v>130.5</v>
      </c>
      <c r="AZ12" s="85">
        <f>[55]人員・時間計画!$N$11</f>
        <v>3</v>
      </c>
      <c r="BA12" s="85">
        <f>[55]人員・時間計画!$N$12</f>
        <v>67</v>
      </c>
    </row>
    <row r="13" spans="1:53" ht="18.75" hidden="1" customHeight="1">
      <c r="A13" s="8"/>
      <c r="B13" s="8">
        <v>6421</v>
      </c>
      <c r="C13" s="7" t="str">
        <f>IF($A$1=1,Sheet1!D76,Sheet1!A76)</f>
        <v>経営管理部</v>
      </c>
      <c r="D13" s="11"/>
      <c r="E13" s="6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</row>
    <row r="14" spans="1:53" ht="18.75" customHeight="1">
      <c r="A14" s="8"/>
      <c r="B14" s="8"/>
      <c r="C14" s="7"/>
      <c r="D14" s="6" t="str">
        <f>IF($A$1=1,Sheet1!C77,Sheet1!B77)</f>
        <v>会計課</v>
      </c>
      <c r="E14" s="6">
        <v>1412000028</v>
      </c>
      <c r="F14" s="84">
        <f>[56]人員・時間計画!$C$25</f>
        <v>46</v>
      </c>
      <c r="G14" s="84">
        <f>[56]人員・時間計画!$C$26</f>
        <v>0</v>
      </c>
      <c r="H14" s="84">
        <f>[56]人員・時間計画!$C$11</f>
        <v>12</v>
      </c>
      <c r="I14" s="84">
        <f>[56]人員・時間計画!$C$12</f>
        <v>0</v>
      </c>
      <c r="J14" s="84">
        <f>[56]人員・時間計画!$D$25</f>
        <v>66</v>
      </c>
      <c r="K14" s="84">
        <f>[56]人員・時間計画!$D$26</f>
        <v>0</v>
      </c>
      <c r="L14" s="84">
        <f>[56]人員・時間計画!$D$11</f>
        <v>12</v>
      </c>
      <c r="M14" s="84">
        <f>[56]人員・時間計画!$D$12</f>
        <v>0</v>
      </c>
      <c r="N14" s="84">
        <f>[56]人員・時間計画!$E$25</f>
        <v>80</v>
      </c>
      <c r="O14" s="84">
        <f>[56]人員・時間計画!$E$26</f>
        <v>0</v>
      </c>
      <c r="P14" s="84">
        <f>[56]人員・時間計画!$E$11</f>
        <v>12</v>
      </c>
      <c r="Q14" s="84">
        <f>[56]人員・時間計画!$E$12</f>
        <v>0</v>
      </c>
      <c r="R14" s="84">
        <f>[56]人員・時間計画!$F$25</f>
        <v>88</v>
      </c>
      <c r="S14" s="84">
        <f>[56]人員・時間計画!$F$26</f>
        <v>0</v>
      </c>
      <c r="T14" s="84">
        <f>[56]人員・時間計画!$F$11</f>
        <v>12</v>
      </c>
      <c r="U14" s="84">
        <f>[56]人員・時間計画!$F$12</f>
        <v>0</v>
      </c>
      <c r="V14" s="84">
        <f>[56]人員・時間計画!$G$25</f>
        <v>122.5</v>
      </c>
      <c r="W14" s="84">
        <f>[56]人員・時間計画!$G$26</f>
        <v>0</v>
      </c>
      <c r="X14" s="84">
        <f>[56]人員・時間計画!$G$11</f>
        <v>12</v>
      </c>
      <c r="Y14" s="84">
        <f>[56]人員・時間計画!$G$12</f>
        <v>0</v>
      </c>
      <c r="Z14" s="84">
        <f>[56]人員・時間計画!$H$25</f>
        <v>68</v>
      </c>
      <c r="AA14" s="84">
        <f>[56]人員・時間計画!$H$26</f>
        <v>0</v>
      </c>
      <c r="AB14" s="84">
        <f>[56]人員・時間計画!$H$11</f>
        <v>12</v>
      </c>
      <c r="AC14" s="84">
        <f>[56]人員・時間計画!$H$12</f>
        <v>0</v>
      </c>
      <c r="AD14" s="84">
        <f>[56]人員・時間計画!$I$25</f>
        <v>88</v>
      </c>
      <c r="AE14" s="84">
        <f>[56]人員・時間計画!$I$26</f>
        <v>0</v>
      </c>
      <c r="AF14" s="84">
        <f>[56]人員・時間計画!$I$11</f>
        <v>12</v>
      </c>
      <c r="AG14" s="84">
        <f>[56]人員・時間計画!$I$12</f>
        <v>0</v>
      </c>
      <c r="AH14" s="84">
        <f>[56]人員・時間計画!$J$25</f>
        <v>76</v>
      </c>
      <c r="AI14" s="84">
        <f>[56]人員・時間計画!$J$26</f>
        <v>0</v>
      </c>
      <c r="AJ14" s="84">
        <f>[56]人員・時間計画!$J$11</f>
        <v>12</v>
      </c>
      <c r="AK14" s="84">
        <f>[56]人員・時間計画!$J$12</f>
        <v>0</v>
      </c>
      <c r="AL14" s="84">
        <f>[56]人員・時間計画!$K$25</f>
        <v>84</v>
      </c>
      <c r="AM14" s="84">
        <f>[56]人員・時間計画!$K$26</f>
        <v>0</v>
      </c>
      <c r="AN14" s="84">
        <f>[56]人員・時間計画!$K$11</f>
        <v>12</v>
      </c>
      <c r="AO14" s="84">
        <f>[56]人員・時間計画!$K$12</f>
        <v>0</v>
      </c>
      <c r="AP14" s="84">
        <f>[56]人員・時間計画!$L$25</f>
        <v>72</v>
      </c>
      <c r="AQ14" s="84">
        <f>[56]人員・時間計画!$L$26</f>
        <v>0</v>
      </c>
      <c r="AR14" s="84">
        <f>[56]人員・時間計画!$L$11</f>
        <v>12</v>
      </c>
      <c r="AS14" s="84">
        <f>[56]人員・時間計画!$L$12</f>
        <v>0</v>
      </c>
      <c r="AT14" s="84">
        <f>[56]人員・時間計画!$M$25</f>
        <v>60</v>
      </c>
      <c r="AU14" s="84">
        <f>[56]人員・時間計画!$M$26</f>
        <v>0</v>
      </c>
      <c r="AV14" s="84">
        <f>[56]人員・時間計画!$M$11</f>
        <v>12</v>
      </c>
      <c r="AW14" s="84">
        <f>[56]人員・時間計画!$M$12</f>
        <v>0</v>
      </c>
      <c r="AX14" s="84">
        <f>[56]人員・時間計画!$N$25</f>
        <v>122.5</v>
      </c>
      <c r="AY14" s="84">
        <f>[56]人員・時間計画!$N$26</f>
        <v>0</v>
      </c>
      <c r="AZ14" s="84">
        <f>[56]人員・時間計画!$N$11</f>
        <v>12</v>
      </c>
      <c r="BA14" s="84">
        <f>[56]人員・時間計画!$N$12</f>
        <v>0</v>
      </c>
    </row>
    <row r="15" spans="1:53" ht="18.75" customHeight="1">
      <c r="A15" s="78"/>
      <c r="B15" s="78"/>
      <c r="C15" s="79"/>
      <c r="D15" s="6" t="str">
        <f>IF($A$1=1,Sheet1!C78,Sheet1!B78)</f>
        <v>経営管理課</v>
      </c>
      <c r="E15" s="2">
        <v>1412000029</v>
      </c>
      <c r="F15" s="87">
        <f>[57]人員・時間計画!$C$25</f>
        <v>38</v>
      </c>
      <c r="G15" s="87">
        <f>[57]人員・時間計画!$C$26</f>
        <v>0</v>
      </c>
      <c r="H15" s="87">
        <f>[57]人員・時間計画!$C$11</f>
        <v>8</v>
      </c>
      <c r="I15" s="87">
        <f>[57]人員・時間計画!$C$12</f>
        <v>0</v>
      </c>
      <c r="J15" s="87">
        <f>[57]人員・時間計画!$D$25</f>
        <v>36</v>
      </c>
      <c r="K15" s="87">
        <f>[57]人員・時間計画!$D$26</f>
        <v>0</v>
      </c>
      <c r="L15" s="87">
        <f>[57]人員・時間計画!$D$11</f>
        <v>8</v>
      </c>
      <c r="M15" s="87">
        <f>[57]人員・時間計画!$D$12</f>
        <v>0</v>
      </c>
      <c r="N15" s="87">
        <f>[57]人員・時間計画!$E$25</f>
        <v>38</v>
      </c>
      <c r="O15" s="87">
        <f>[57]人員・時間計画!$E$26</f>
        <v>0</v>
      </c>
      <c r="P15" s="87">
        <f>[57]人員・時間計画!$E$11</f>
        <v>8</v>
      </c>
      <c r="Q15" s="87">
        <f>[57]人員・時間計画!$E$12</f>
        <v>0</v>
      </c>
      <c r="R15" s="87">
        <f>[57]人員・時間計画!$F$25</f>
        <v>44</v>
      </c>
      <c r="S15" s="87">
        <f>[57]人員・時間計画!$F$26</f>
        <v>0</v>
      </c>
      <c r="T15" s="87">
        <f>[57]人員・時間計画!$F$11</f>
        <v>8</v>
      </c>
      <c r="U15" s="87">
        <f>[57]人員・時間計画!$F$12</f>
        <v>0</v>
      </c>
      <c r="V15" s="87">
        <f>[57]人員・時間計画!$G$25</f>
        <v>75</v>
      </c>
      <c r="W15" s="87">
        <f>[57]人員・時間計画!$G$26</f>
        <v>0</v>
      </c>
      <c r="X15" s="87">
        <f>[57]人員・時間計画!$G$11</f>
        <v>8</v>
      </c>
      <c r="Y15" s="87">
        <f>[57]人員・時間計画!$G$12</f>
        <v>0</v>
      </c>
      <c r="Z15" s="87">
        <f>[57]人員・時間計画!$H$25</f>
        <v>36</v>
      </c>
      <c r="AA15" s="87">
        <f>[57]人員・時間計画!$H$26</f>
        <v>0</v>
      </c>
      <c r="AB15" s="87">
        <f>[57]人員・時間計画!$H$11</f>
        <v>8</v>
      </c>
      <c r="AC15" s="87">
        <f>[57]人員・時間計画!$H$12</f>
        <v>0</v>
      </c>
      <c r="AD15" s="87">
        <f>[57]人員・時間計画!$I$25</f>
        <v>42</v>
      </c>
      <c r="AE15" s="87">
        <f>[57]人員・時間計画!$I$26</f>
        <v>0</v>
      </c>
      <c r="AF15" s="87">
        <f>[57]人員・時間計画!$I$11</f>
        <v>8</v>
      </c>
      <c r="AG15" s="87">
        <f>[57]人員・時間計画!$I$12</f>
        <v>0</v>
      </c>
      <c r="AH15" s="87">
        <f>[57]人員・時間計画!$J$25</f>
        <v>38</v>
      </c>
      <c r="AI15" s="87">
        <f>[57]人員・時間計画!$J$26</f>
        <v>0</v>
      </c>
      <c r="AJ15" s="87">
        <f>[57]人員・時間計画!$J$11</f>
        <v>8</v>
      </c>
      <c r="AK15" s="87">
        <f>[57]人員・時間計画!$J$12</f>
        <v>0</v>
      </c>
      <c r="AL15" s="87">
        <f>[57]人員・時間計画!$K$25</f>
        <v>42</v>
      </c>
      <c r="AM15" s="87">
        <f>[57]人員・時間計画!$K$26</f>
        <v>0</v>
      </c>
      <c r="AN15" s="87">
        <f>[57]人員・時間計画!$K$11</f>
        <v>8</v>
      </c>
      <c r="AO15" s="87">
        <f>[57]人員・時間計画!$K$12</f>
        <v>0</v>
      </c>
      <c r="AP15" s="87">
        <f>[57]人員・時間計画!$L$25</f>
        <v>38</v>
      </c>
      <c r="AQ15" s="87">
        <f>[57]人員・時間計画!$L$26</f>
        <v>0</v>
      </c>
      <c r="AR15" s="87">
        <f>[57]人員・時間計画!$L$11</f>
        <v>8</v>
      </c>
      <c r="AS15" s="87">
        <f>[57]人員・時間計画!$L$12</f>
        <v>0</v>
      </c>
      <c r="AT15" s="87">
        <f>[57]人員・時間計画!$M$25</f>
        <v>30</v>
      </c>
      <c r="AU15" s="87">
        <f>[57]人員・時間計画!$M$26</f>
        <v>0</v>
      </c>
      <c r="AV15" s="87">
        <f>[57]人員・時間計画!$M$11</f>
        <v>8</v>
      </c>
      <c r="AW15" s="87">
        <f>[57]人員・時間計画!$M$12</f>
        <v>0</v>
      </c>
      <c r="AX15" s="87">
        <f>[57]人員・時間計画!$N$25</f>
        <v>75</v>
      </c>
      <c r="AY15" s="87">
        <f>[57]人員・時間計画!$N$26</f>
        <v>0</v>
      </c>
      <c r="AZ15" s="87">
        <f>[57]人員・時間計画!$N$11</f>
        <v>8</v>
      </c>
      <c r="BA15" s="87">
        <f>[57]人員・時間計画!$N$12</f>
        <v>0</v>
      </c>
    </row>
    <row r="16" spans="1:53" ht="18.75" hidden="1" customHeight="1">
      <c r="A16" s="5"/>
      <c r="B16" s="5">
        <v>6421</v>
      </c>
      <c r="C16" s="9" t="str">
        <f>IF($A$1=1,Sheet1!D80,Sheet1!A80)</f>
        <v>IT ソリューション推進部</v>
      </c>
      <c r="D16" s="22"/>
      <c r="E16" s="22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</row>
    <row r="17" spans="1:53" ht="18.75" customHeight="1">
      <c r="A17" s="3"/>
      <c r="B17" s="3"/>
      <c r="C17" s="1"/>
      <c r="D17" s="2" t="str">
        <f>IF($A$1=1,Sheet1!C81,Sheet1!B81)</f>
        <v>情報システム課</v>
      </c>
      <c r="E17" s="2">
        <v>1412000086</v>
      </c>
      <c r="F17" s="85">
        <f>[58]人員・時間計画!$C$25</f>
        <v>40</v>
      </c>
      <c r="G17" s="85">
        <f>[58]人員・時間計画!$C$26</f>
        <v>0</v>
      </c>
      <c r="H17" s="85">
        <f>[58]人員・時間計画!$C$11</f>
        <v>13</v>
      </c>
      <c r="I17" s="85">
        <f>[58]人員・時間計画!$C$12</f>
        <v>0</v>
      </c>
      <c r="J17" s="85">
        <f>[58]人員・時間計画!$D$25</f>
        <v>38</v>
      </c>
      <c r="K17" s="85">
        <f>[58]人員・時間計画!$D$26</f>
        <v>0</v>
      </c>
      <c r="L17" s="85">
        <f>[58]人員・時間計画!$D$11</f>
        <v>13</v>
      </c>
      <c r="M17" s="85">
        <f>[58]人員・時間計画!$D$12</f>
        <v>0</v>
      </c>
      <c r="N17" s="85">
        <f>[58]人員・時間計画!$E$25</f>
        <v>42</v>
      </c>
      <c r="O17" s="85">
        <f>[58]人員・時間計画!$E$26</f>
        <v>0</v>
      </c>
      <c r="P17" s="85">
        <f>[58]人員・時間計画!$E$11</f>
        <v>13</v>
      </c>
      <c r="Q17" s="85">
        <f>[58]人員・時間計画!$E$12</f>
        <v>0</v>
      </c>
      <c r="R17" s="85">
        <f>[58]人員・時間計画!$F$25</f>
        <v>40</v>
      </c>
      <c r="S17" s="85">
        <f>[58]人員・時間計画!$F$26</f>
        <v>0</v>
      </c>
      <c r="T17" s="85">
        <f>[58]人員・時間計画!$F$11</f>
        <v>13</v>
      </c>
      <c r="U17" s="85">
        <f>[58]人員・時間計画!$F$12</f>
        <v>0</v>
      </c>
      <c r="V17" s="85">
        <f>[58]人員・時間計画!$G$25</f>
        <v>40</v>
      </c>
      <c r="W17" s="85">
        <f>[58]人員・時間計画!$G$26</f>
        <v>0</v>
      </c>
      <c r="X17" s="85">
        <f>[58]人員・時間計画!$G$11</f>
        <v>13</v>
      </c>
      <c r="Y17" s="85">
        <f>[58]人員・時間計画!$G$12</f>
        <v>0</v>
      </c>
      <c r="Z17" s="85">
        <f>[58]人員・時間計画!$H$25</f>
        <v>38</v>
      </c>
      <c r="AA17" s="85">
        <f>[58]人員・時間計画!$H$26</f>
        <v>0</v>
      </c>
      <c r="AB17" s="85">
        <f>[58]人員・時間計画!$H$11</f>
        <v>14</v>
      </c>
      <c r="AC17" s="85">
        <f>[58]人員・時間計画!$H$12</f>
        <v>0</v>
      </c>
      <c r="AD17" s="85">
        <f>[58]人員・時間計画!$I$25</f>
        <v>46</v>
      </c>
      <c r="AE17" s="85">
        <f>[58]人員・時間計画!$I$26</f>
        <v>0</v>
      </c>
      <c r="AF17" s="85">
        <f>[58]人員・時間計画!$I$11</f>
        <v>14</v>
      </c>
      <c r="AG17" s="85">
        <f>[58]人員・時間計画!$I$12</f>
        <v>0</v>
      </c>
      <c r="AH17" s="85">
        <f>[58]人員・時間計画!$J$25</f>
        <v>40</v>
      </c>
      <c r="AI17" s="85">
        <f>[58]人員・時間計画!$J$26</f>
        <v>0</v>
      </c>
      <c r="AJ17" s="85">
        <f>[58]人員・時間計画!$J$11</f>
        <v>14</v>
      </c>
      <c r="AK17" s="85">
        <f>[58]人員・時間計画!$J$12</f>
        <v>0</v>
      </c>
      <c r="AL17" s="85">
        <f>[58]人員・時間計画!$K$25</f>
        <v>42</v>
      </c>
      <c r="AM17" s="85">
        <f>[58]人員・時間計画!$K$26</f>
        <v>0</v>
      </c>
      <c r="AN17" s="85">
        <f>[58]人員・時間計画!$K$11</f>
        <v>14</v>
      </c>
      <c r="AO17" s="85">
        <f>[58]人員・時間計画!$K$12</f>
        <v>0</v>
      </c>
      <c r="AP17" s="85">
        <f>[58]人員・時間計画!$L$25</f>
        <v>40</v>
      </c>
      <c r="AQ17" s="85">
        <f>[58]人員・時間計画!$L$26</f>
        <v>0</v>
      </c>
      <c r="AR17" s="85">
        <f>[58]人員・時間計画!$L$11</f>
        <v>14</v>
      </c>
      <c r="AS17" s="85">
        <f>[58]人員・時間計画!$L$12</f>
        <v>0</v>
      </c>
      <c r="AT17" s="85">
        <f>[58]人員・時間計画!$M$25</f>
        <v>30</v>
      </c>
      <c r="AU17" s="85">
        <f>[58]人員・時間計画!$M$26</f>
        <v>0</v>
      </c>
      <c r="AV17" s="85">
        <f>[58]人員・時間計画!$M$11</f>
        <v>14</v>
      </c>
      <c r="AW17" s="85">
        <f>[58]人員・時間計画!$M$12</f>
        <v>0</v>
      </c>
      <c r="AX17" s="85">
        <f>[58]人員・時間計画!$N$25</f>
        <v>40</v>
      </c>
      <c r="AY17" s="85">
        <f>[58]人員・時間計画!$N$26</f>
        <v>0</v>
      </c>
      <c r="AZ17" s="85">
        <f>[58]人員・時間計画!$N$11</f>
        <v>14</v>
      </c>
      <c r="BA17" s="85">
        <f>[58]人員・時間計画!$N$12</f>
        <v>0</v>
      </c>
    </row>
    <row r="18" spans="1:53" ht="18.75" customHeight="1"/>
    <row r="19" spans="1:53">
      <c r="B19" t="s">
        <v>218</v>
      </c>
      <c r="F19" s="30">
        <f>SUM(F8:F17)</f>
        <v>712</v>
      </c>
      <c r="G19" s="30">
        <f t="shared" ref="G19:BA19" si="0">SUM(G8:G17)</f>
        <v>564.5</v>
      </c>
      <c r="H19" s="30">
        <f t="shared" si="0"/>
        <v>79</v>
      </c>
      <c r="I19" s="30">
        <f t="shared" si="0"/>
        <v>76</v>
      </c>
      <c r="J19" s="30">
        <f t="shared" si="0"/>
        <v>736</v>
      </c>
      <c r="K19" s="30">
        <f t="shared" si="0"/>
        <v>372.5</v>
      </c>
      <c r="L19" s="30">
        <f t="shared" si="0"/>
        <v>80</v>
      </c>
      <c r="M19" s="30">
        <f t="shared" si="0"/>
        <v>76</v>
      </c>
      <c r="N19" s="30">
        <f t="shared" si="0"/>
        <v>758</v>
      </c>
      <c r="O19" s="30">
        <f t="shared" si="0"/>
        <v>173.5</v>
      </c>
      <c r="P19" s="30">
        <f t="shared" si="0"/>
        <v>80</v>
      </c>
      <c r="Q19" s="30">
        <f t="shared" si="0"/>
        <v>76</v>
      </c>
      <c r="R19" s="30">
        <f t="shared" si="0"/>
        <v>835</v>
      </c>
      <c r="S19" s="30">
        <f t="shared" si="0"/>
        <v>187.5</v>
      </c>
      <c r="T19" s="30">
        <f t="shared" si="0"/>
        <v>80</v>
      </c>
      <c r="U19" s="30">
        <f t="shared" si="0"/>
        <v>76</v>
      </c>
      <c r="V19" s="30">
        <f t="shared" si="0"/>
        <v>843.5</v>
      </c>
      <c r="W19" s="30">
        <f t="shared" si="0"/>
        <v>165.5</v>
      </c>
      <c r="X19" s="30">
        <f t="shared" si="0"/>
        <v>80</v>
      </c>
      <c r="Y19" s="30">
        <f t="shared" si="0"/>
        <v>76</v>
      </c>
      <c r="Z19" s="30">
        <f t="shared" si="0"/>
        <v>782</v>
      </c>
      <c r="AA19" s="30">
        <f t="shared" si="0"/>
        <v>658</v>
      </c>
      <c r="AB19" s="30">
        <f t="shared" si="0"/>
        <v>81</v>
      </c>
      <c r="AC19" s="30">
        <f t="shared" si="0"/>
        <v>76</v>
      </c>
      <c r="AD19" s="30">
        <f t="shared" si="0"/>
        <v>839</v>
      </c>
      <c r="AE19" s="30">
        <f t="shared" si="0"/>
        <v>179.5</v>
      </c>
      <c r="AF19" s="30">
        <f t="shared" si="0"/>
        <v>81</v>
      </c>
      <c r="AG19" s="30">
        <f t="shared" si="0"/>
        <v>76</v>
      </c>
      <c r="AH19" s="30">
        <f t="shared" si="0"/>
        <v>797</v>
      </c>
      <c r="AI19" s="30">
        <f t="shared" si="0"/>
        <v>198.5</v>
      </c>
      <c r="AJ19" s="30">
        <f t="shared" si="0"/>
        <v>81</v>
      </c>
      <c r="AK19" s="30">
        <f t="shared" si="0"/>
        <v>76</v>
      </c>
      <c r="AL19" s="30">
        <f t="shared" si="0"/>
        <v>809</v>
      </c>
      <c r="AM19" s="30">
        <f t="shared" si="0"/>
        <v>176.5</v>
      </c>
      <c r="AN19" s="30">
        <f t="shared" si="0"/>
        <v>81</v>
      </c>
      <c r="AO19" s="30">
        <f t="shared" si="0"/>
        <v>76</v>
      </c>
      <c r="AP19" s="30">
        <f t="shared" si="0"/>
        <v>745</v>
      </c>
      <c r="AQ19" s="30">
        <f t="shared" si="0"/>
        <v>164.5</v>
      </c>
      <c r="AR19" s="30">
        <f t="shared" si="0"/>
        <v>81</v>
      </c>
      <c r="AS19" s="30">
        <f t="shared" si="0"/>
        <v>76</v>
      </c>
      <c r="AT19" s="30">
        <f t="shared" si="0"/>
        <v>602</v>
      </c>
      <c r="AU19" s="30">
        <f t="shared" si="0"/>
        <v>1150.5</v>
      </c>
      <c r="AV19" s="30">
        <f t="shared" si="0"/>
        <v>81</v>
      </c>
      <c r="AW19" s="30">
        <f t="shared" si="0"/>
        <v>76</v>
      </c>
      <c r="AX19" s="30">
        <f t="shared" si="0"/>
        <v>850.5</v>
      </c>
      <c r="AY19" s="30">
        <f t="shared" si="0"/>
        <v>164.5</v>
      </c>
      <c r="AZ19" s="30">
        <f t="shared" si="0"/>
        <v>81</v>
      </c>
      <c r="BA19" s="30">
        <f t="shared" si="0"/>
        <v>76</v>
      </c>
    </row>
  </sheetData>
  <autoFilter ref="A6:BA17" xr:uid="{00000000-0001-0000-0200-000000000000}">
    <filterColumn colId="3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13"/>
  <sheetViews>
    <sheetView zoomScaleNormal="100" workbookViewId="0">
      <selection activeCell="F16" sqref="F16"/>
    </sheetView>
  </sheetViews>
  <sheetFormatPr defaultRowHeight="13"/>
  <cols>
    <col min="1" max="1" width="4" customWidth="1"/>
    <col min="3" max="3" width="22.08984375" bestFit="1" customWidth="1"/>
    <col min="4" max="4" width="17.26953125" bestFit="1" customWidth="1"/>
    <col min="5" max="5" width="10.90625" bestFit="1" customWidth="1"/>
    <col min="6" max="7" width="14.7265625" customWidth="1"/>
    <col min="8" max="9" width="12.6328125" customWidth="1"/>
    <col min="10" max="11" width="15.453125" customWidth="1"/>
    <col min="12" max="13" width="12.6328125" customWidth="1"/>
    <col min="14" max="15" width="14.90625" customWidth="1"/>
    <col min="16" max="17" width="12.6328125" customWidth="1"/>
    <col min="18" max="19" width="15.08984375" customWidth="1"/>
    <col min="20" max="21" width="12.6328125" customWidth="1"/>
    <col min="22" max="23" width="15.36328125" customWidth="1"/>
    <col min="24" max="25" width="12.6328125" customWidth="1"/>
    <col min="26" max="27" width="15.26953125" customWidth="1"/>
    <col min="28" max="29" width="12.6328125" customWidth="1"/>
    <col min="30" max="31" width="14.7265625" customWidth="1"/>
    <col min="32" max="33" width="12.6328125" customWidth="1"/>
    <col min="34" max="35" width="15.08984375" customWidth="1"/>
    <col min="36" max="37" width="12.6328125" customWidth="1"/>
    <col min="38" max="39" width="14.6328125" customWidth="1"/>
    <col min="40" max="41" width="12.6328125" customWidth="1"/>
    <col min="42" max="43" width="14.6328125" customWidth="1"/>
    <col min="44" max="45" width="12.6328125" customWidth="1"/>
    <col min="46" max="47" width="14.90625" customWidth="1"/>
    <col min="48" max="49" width="12.6328125" customWidth="1"/>
    <col min="50" max="51" width="15.453125" customWidth="1"/>
    <col min="52" max="53" width="12.6328125" customWidth="1"/>
  </cols>
  <sheetData>
    <row r="1" spans="1:53" ht="19">
      <c r="A1" s="18">
        <v>1</v>
      </c>
      <c r="B1" s="17" t="s">
        <v>4</v>
      </c>
      <c r="F1" s="42">
        <v>4</v>
      </c>
      <c r="G1" s="43"/>
      <c r="H1" s="43"/>
      <c r="I1" s="44"/>
      <c r="J1" s="45">
        <v>5</v>
      </c>
      <c r="K1" s="46"/>
      <c r="L1" s="46"/>
      <c r="M1" s="47"/>
      <c r="N1" s="48">
        <v>6</v>
      </c>
      <c r="O1" s="49"/>
      <c r="P1" s="49"/>
      <c r="Q1" s="50"/>
      <c r="R1" s="51">
        <v>7</v>
      </c>
      <c r="S1" s="52"/>
      <c r="T1" s="52"/>
      <c r="U1" s="53"/>
      <c r="V1" s="54">
        <v>8</v>
      </c>
      <c r="W1" s="55"/>
      <c r="X1" s="55"/>
      <c r="Y1" s="56"/>
      <c r="Z1" s="57">
        <v>9</v>
      </c>
      <c r="AA1" s="58"/>
      <c r="AB1" s="58"/>
      <c r="AC1" s="59"/>
      <c r="AD1" s="60">
        <v>10</v>
      </c>
      <c r="AE1" s="61"/>
      <c r="AF1" s="61"/>
      <c r="AG1" s="62"/>
      <c r="AH1" s="63">
        <v>11</v>
      </c>
      <c r="AI1" s="64"/>
      <c r="AJ1" s="64"/>
      <c r="AK1" s="65"/>
      <c r="AL1" s="66">
        <v>12</v>
      </c>
      <c r="AM1" s="67"/>
      <c r="AN1" s="67"/>
      <c r="AO1" s="68"/>
      <c r="AP1" s="69">
        <v>1</v>
      </c>
      <c r="AQ1" s="70"/>
      <c r="AR1" s="70"/>
      <c r="AS1" s="71"/>
      <c r="AT1" s="72">
        <v>2</v>
      </c>
      <c r="AU1" s="73"/>
      <c r="AV1" s="73"/>
      <c r="AW1" s="74"/>
      <c r="AX1" s="75">
        <v>3</v>
      </c>
      <c r="AY1" s="76"/>
      <c r="AZ1" s="76"/>
      <c r="BA1" s="77"/>
    </row>
    <row r="2" spans="1:53" ht="39" customHeight="1">
      <c r="F2" s="37" t="s">
        <v>158</v>
      </c>
      <c r="G2" s="38"/>
      <c r="H2" s="39" t="s">
        <v>159</v>
      </c>
      <c r="I2" s="40"/>
      <c r="J2" s="41" t="s">
        <v>160</v>
      </c>
      <c r="K2" s="38"/>
      <c r="L2" s="39" t="s">
        <v>161</v>
      </c>
      <c r="M2" s="40"/>
      <c r="N2" s="37" t="s">
        <v>162</v>
      </c>
      <c r="O2" s="38"/>
      <c r="P2" s="39" t="s">
        <v>163</v>
      </c>
      <c r="Q2" s="40"/>
      <c r="R2" s="37" t="s">
        <v>164</v>
      </c>
      <c r="S2" s="38"/>
      <c r="T2" s="39" t="s">
        <v>165</v>
      </c>
      <c r="U2" s="40"/>
      <c r="V2" s="37" t="s">
        <v>166</v>
      </c>
      <c r="W2" s="38"/>
      <c r="X2" s="39" t="s">
        <v>167</v>
      </c>
      <c r="Y2" s="40"/>
      <c r="Z2" s="37" t="s">
        <v>168</v>
      </c>
      <c r="AA2" s="38"/>
      <c r="AB2" s="39" t="s">
        <v>169</v>
      </c>
      <c r="AC2" s="40"/>
      <c r="AD2" s="37" t="s">
        <v>170</v>
      </c>
      <c r="AE2" s="38"/>
      <c r="AF2" s="39" t="s">
        <v>171</v>
      </c>
      <c r="AG2" s="40"/>
      <c r="AH2" s="37" t="s">
        <v>172</v>
      </c>
      <c r="AI2" s="38"/>
      <c r="AJ2" s="39" t="s">
        <v>173</v>
      </c>
      <c r="AK2" s="40"/>
      <c r="AL2" s="37" t="s">
        <v>174</v>
      </c>
      <c r="AM2" s="38"/>
      <c r="AN2" s="39" t="s">
        <v>175</v>
      </c>
      <c r="AO2" s="40"/>
      <c r="AP2" s="37" t="s">
        <v>176</v>
      </c>
      <c r="AQ2" s="38"/>
      <c r="AR2" s="39" t="s">
        <v>177</v>
      </c>
      <c r="AS2" s="40"/>
      <c r="AT2" s="37" t="s">
        <v>178</v>
      </c>
      <c r="AU2" s="38"/>
      <c r="AV2" s="39" t="s">
        <v>179</v>
      </c>
      <c r="AW2" s="40"/>
      <c r="AX2" s="37" t="s">
        <v>180</v>
      </c>
      <c r="AY2" s="38"/>
      <c r="AZ2" s="39" t="s">
        <v>181</v>
      </c>
      <c r="BA2" s="40"/>
    </row>
    <row r="3" spans="1:53">
      <c r="F3" s="35">
        <v>4</v>
      </c>
      <c r="G3" s="14">
        <v>4</v>
      </c>
      <c r="H3" s="14">
        <v>4</v>
      </c>
      <c r="I3" s="32">
        <v>4</v>
      </c>
      <c r="J3" s="14">
        <v>5</v>
      </c>
      <c r="K3" s="14">
        <v>5</v>
      </c>
      <c r="L3" s="14">
        <v>5</v>
      </c>
      <c r="M3" s="32">
        <v>5</v>
      </c>
      <c r="N3" s="14">
        <v>6</v>
      </c>
      <c r="O3" s="14">
        <v>6</v>
      </c>
      <c r="P3" s="14">
        <v>6</v>
      </c>
      <c r="Q3" s="32">
        <v>6</v>
      </c>
      <c r="R3" s="14">
        <v>7</v>
      </c>
      <c r="S3" s="14">
        <v>7</v>
      </c>
      <c r="T3" s="14">
        <v>7</v>
      </c>
      <c r="U3" s="32">
        <v>7</v>
      </c>
      <c r="V3" s="14">
        <v>8</v>
      </c>
      <c r="W3" s="14">
        <v>8</v>
      </c>
      <c r="X3" s="14">
        <v>8</v>
      </c>
      <c r="Y3" s="32">
        <v>8</v>
      </c>
      <c r="Z3" s="14">
        <v>9</v>
      </c>
      <c r="AA3" s="14">
        <v>9</v>
      </c>
      <c r="AB3" s="14">
        <v>9</v>
      </c>
      <c r="AC3" s="32">
        <v>9</v>
      </c>
      <c r="AD3" s="14">
        <v>10</v>
      </c>
      <c r="AE3" s="14">
        <v>10</v>
      </c>
      <c r="AF3" s="14">
        <v>10</v>
      </c>
      <c r="AG3" s="32">
        <v>10</v>
      </c>
      <c r="AH3" s="34">
        <v>11</v>
      </c>
      <c r="AI3" s="14">
        <v>11</v>
      </c>
      <c r="AJ3" s="14">
        <v>11</v>
      </c>
      <c r="AK3" s="32">
        <v>11</v>
      </c>
      <c r="AL3" s="14">
        <v>12</v>
      </c>
      <c r="AM3" s="14">
        <v>12</v>
      </c>
      <c r="AN3" s="14">
        <v>12</v>
      </c>
      <c r="AO3" s="32">
        <v>12</v>
      </c>
      <c r="AP3" s="14">
        <v>1</v>
      </c>
      <c r="AQ3" s="14">
        <v>1</v>
      </c>
      <c r="AR3" s="14">
        <v>1</v>
      </c>
      <c r="AS3" s="32">
        <v>1</v>
      </c>
      <c r="AT3" s="14">
        <v>2</v>
      </c>
      <c r="AU3" s="14">
        <v>2</v>
      </c>
      <c r="AV3" s="14">
        <v>2</v>
      </c>
      <c r="AW3" s="32">
        <v>2</v>
      </c>
      <c r="AX3" s="14">
        <v>3</v>
      </c>
      <c r="AY3" s="14">
        <v>3</v>
      </c>
      <c r="AZ3" s="14">
        <v>3</v>
      </c>
      <c r="BA3" s="32">
        <v>3</v>
      </c>
    </row>
    <row r="4" spans="1:53">
      <c r="F4" s="34" t="s">
        <v>71</v>
      </c>
      <c r="G4" s="14" t="s">
        <v>71</v>
      </c>
      <c r="H4" s="14" t="s">
        <v>3</v>
      </c>
      <c r="I4" s="32" t="s">
        <v>3</v>
      </c>
      <c r="J4" s="14" t="s">
        <v>71</v>
      </c>
      <c r="K4" s="14" t="s">
        <v>71</v>
      </c>
      <c r="L4" s="14" t="s">
        <v>3</v>
      </c>
      <c r="M4" s="32" t="s">
        <v>3</v>
      </c>
      <c r="N4" s="14" t="s">
        <v>71</v>
      </c>
      <c r="O4" s="14" t="s">
        <v>71</v>
      </c>
      <c r="P4" s="14" t="s">
        <v>3</v>
      </c>
      <c r="Q4" s="32" t="s">
        <v>3</v>
      </c>
      <c r="R4" s="14" t="s">
        <v>71</v>
      </c>
      <c r="S4" s="14" t="s">
        <v>71</v>
      </c>
      <c r="T4" s="14" t="s">
        <v>3</v>
      </c>
      <c r="U4" s="32" t="s">
        <v>3</v>
      </c>
      <c r="V4" s="14" t="s">
        <v>71</v>
      </c>
      <c r="W4" s="14" t="s">
        <v>71</v>
      </c>
      <c r="X4" s="14" t="s">
        <v>3</v>
      </c>
      <c r="Y4" s="32" t="s">
        <v>3</v>
      </c>
      <c r="Z4" s="14" t="s">
        <v>71</v>
      </c>
      <c r="AA4" s="14" t="s">
        <v>71</v>
      </c>
      <c r="AB4" s="14" t="s">
        <v>3</v>
      </c>
      <c r="AC4" s="32" t="s">
        <v>3</v>
      </c>
      <c r="AD4" s="14" t="s">
        <v>71</v>
      </c>
      <c r="AE4" s="14" t="s">
        <v>71</v>
      </c>
      <c r="AF4" s="14" t="s">
        <v>3</v>
      </c>
      <c r="AG4" s="32" t="s">
        <v>3</v>
      </c>
      <c r="AH4" s="14" t="s">
        <v>71</v>
      </c>
      <c r="AI4" s="14" t="s">
        <v>71</v>
      </c>
      <c r="AJ4" s="14" t="s">
        <v>3</v>
      </c>
      <c r="AK4" s="32" t="s">
        <v>3</v>
      </c>
      <c r="AL4" s="14" t="s">
        <v>71</v>
      </c>
      <c r="AM4" s="14" t="s">
        <v>71</v>
      </c>
      <c r="AN4" s="14" t="s">
        <v>3</v>
      </c>
      <c r="AO4" s="32" t="s">
        <v>3</v>
      </c>
      <c r="AP4" s="14" t="s">
        <v>71</v>
      </c>
      <c r="AQ4" s="14" t="s">
        <v>71</v>
      </c>
      <c r="AR4" s="14" t="s">
        <v>3</v>
      </c>
      <c r="AS4" s="32" t="s">
        <v>3</v>
      </c>
      <c r="AT4" s="14" t="s">
        <v>71</v>
      </c>
      <c r="AU4" s="14" t="s">
        <v>71</v>
      </c>
      <c r="AV4" s="14" t="s">
        <v>3</v>
      </c>
      <c r="AW4" s="32" t="s">
        <v>3</v>
      </c>
      <c r="AX4" s="14" t="s">
        <v>71</v>
      </c>
      <c r="AY4" s="14" t="s">
        <v>71</v>
      </c>
      <c r="AZ4" s="14" t="s">
        <v>3</v>
      </c>
      <c r="BA4" s="32" t="s">
        <v>3</v>
      </c>
    </row>
    <row r="5" spans="1:53">
      <c r="F5" s="36" t="s">
        <v>139</v>
      </c>
      <c r="G5" s="29" t="s">
        <v>140</v>
      </c>
      <c r="H5" s="29" t="s">
        <v>139</v>
      </c>
      <c r="I5" s="33" t="s">
        <v>140</v>
      </c>
      <c r="J5" s="29" t="s">
        <v>139</v>
      </c>
      <c r="K5" s="29" t="s">
        <v>140</v>
      </c>
      <c r="L5" s="29" t="s">
        <v>139</v>
      </c>
      <c r="M5" s="33" t="s">
        <v>140</v>
      </c>
      <c r="N5" s="29" t="s">
        <v>139</v>
      </c>
      <c r="O5" s="29" t="s">
        <v>140</v>
      </c>
      <c r="P5" s="29" t="s">
        <v>139</v>
      </c>
      <c r="Q5" s="33" t="s">
        <v>140</v>
      </c>
      <c r="R5" s="29" t="s">
        <v>139</v>
      </c>
      <c r="S5" s="29" t="s">
        <v>140</v>
      </c>
      <c r="T5" s="29" t="s">
        <v>139</v>
      </c>
      <c r="U5" s="33" t="s">
        <v>140</v>
      </c>
      <c r="V5" s="29" t="s">
        <v>139</v>
      </c>
      <c r="W5" s="29" t="s">
        <v>140</v>
      </c>
      <c r="X5" s="29" t="s">
        <v>139</v>
      </c>
      <c r="Y5" s="33" t="s">
        <v>140</v>
      </c>
      <c r="Z5" s="29" t="s">
        <v>139</v>
      </c>
      <c r="AA5" s="29" t="s">
        <v>140</v>
      </c>
      <c r="AB5" s="29" t="s">
        <v>139</v>
      </c>
      <c r="AC5" s="33" t="s">
        <v>140</v>
      </c>
      <c r="AD5" s="29" t="s">
        <v>139</v>
      </c>
      <c r="AE5" s="29" t="s">
        <v>140</v>
      </c>
      <c r="AF5" s="29" t="s">
        <v>139</v>
      </c>
      <c r="AG5" s="33" t="s">
        <v>140</v>
      </c>
      <c r="AH5" s="29" t="s">
        <v>139</v>
      </c>
      <c r="AI5" s="29" t="s">
        <v>140</v>
      </c>
      <c r="AJ5" s="29" t="s">
        <v>139</v>
      </c>
      <c r="AK5" s="33" t="s">
        <v>140</v>
      </c>
      <c r="AL5" s="29" t="s">
        <v>139</v>
      </c>
      <c r="AM5" s="29" t="s">
        <v>140</v>
      </c>
      <c r="AN5" s="29" t="s">
        <v>139</v>
      </c>
      <c r="AO5" s="33" t="s">
        <v>140</v>
      </c>
      <c r="AP5" s="29" t="s">
        <v>139</v>
      </c>
      <c r="AQ5" s="29" t="s">
        <v>140</v>
      </c>
      <c r="AR5" s="29" t="s">
        <v>139</v>
      </c>
      <c r="AS5" s="33" t="s">
        <v>140</v>
      </c>
      <c r="AT5" s="29" t="s">
        <v>139</v>
      </c>
      <c r="AU5" s="29" t="s">
        <v>140</v>
      </c>
      <c r="AV5" s="29" t="s">
        <v>139</v>
      </c>
      <c r="AW5" s="33" t="s">
        <v>140</v>
      </c>
      <c r="AX5" s="29" t="s">
        <v>139</v>
      </c>
      <c r="AY5" s="29" t="s">
        <v>140</v>
      </c>
      <c r="AZ5" s="29" t="s">
        <v>139</v>
      </c>
      <c r="BA5" s="33" t="s">
        <v>140</v>
      </c>
    </row>
    <row r="6" spans="1:53" ht="26">
      <c r="A6" s="16"/>
      <c r="B6" s="15" t="s">
        <v>2</v>
      </c>
      <c r="C6" s="15" t="s">
        <v>1</v>
      </c>
      <c r="D6" s="15" t="s">
        <v>0</v>
      </c>
      <c r="E6" s="15" t="s">
        <v>70</v>
      </c>
      <c r="F6" s="25" t="s">
        <v>72</v>
      </c>
      <c r="G6" s="26" t="s">
        <v>141</v>
      </c>
      <c r="H6" s="25" t="s">
        <v>72</v>
      </c>
      <c r="I6" s="26" t="s">
        <v>141</v>
      </c>
      <c r="J6" s="25" t="s">
        <v>72</v>
      </c>
      <c r="K6" s="26" t="s">
        <v>141</v>
      </c>
      <c r="L6" s="25" t="s">
        <v>72</v>
      </c>
      <c r="M6" s="26" t="s">
        <v>141</v>
      </c>
      <c r="N6" s="25" t="s">
        <v>72</v>
      </c>
      <c r="O6" s="26" t="s">
        <v>141</v>
      </c>
      <c r="P6" s="25" t="s">
        <v>72</v>
      </c>
      <c r="Q6" s="26" t="s">
        <v>141</v>
      </c>
      <c r="R6" s="25" t="s">
        <v>72</v>
      </c>
      <c r="S6" s="26" t="s">
        <v>141</v>
      </c>
      <c r="T6" s="25" t="s">
        <v>72</v>
      </c>
      <c r="U6" s="26" t="s">
        <v>141</v>
      </c>
      <c r="V6" s="25" t="s">
        <v>72</v>
      </c>
      <c r="W6" s="26" t="s">
        <v>141</v>
      </c>
      <c r="X6" s="25" t="s">
        <v>72</v>
      </c>
      <c r="Y6" s="26" t="s">
        <v>141</v>
      </c>
      <c r="Z6" s="25" t="s">
        <v>72</v>
      </c>
      <c r="AA6" s="26" t="s">
        <v>141</v>
      </c>
      <c r="AB6" s="25" t="s">
        <v>72</v>
      </c>
      <c r="AC6" s="26" t="s">
        <v>141</v>
      </c>
      <c r="AD6" s="25" t="s">
        <v>72</v>
      </c>
      <c r="AE6" s="26" t="s">
        <v>141</v>
      </c>
      <c r="AF6" s="25" t="s">
        <v>72</v>
      </c>
      <c r="AG6" s="26" t="s">
        <v>141</v>
      </c>
      <c r="AH6" s="25" t="s">
        <v>72</v>
      </c>
      <c r="AI6" s="26" t="s">
        <v>141</v>
      </c>
      <c r="AJ6" s="25" t="s">
        <v>72</v>
      </c>
      <c r="AK6" s="26" t="s">
        <v>141</v>
      </c>
      <c r="AL6" s="25" t="s">
        <v>72</v>
      </c>
      <c r="AM6" s="26" t="s">
        <v>141</v>
      </c>
      <c r="AN6" s="25" t="s">
        <v>72</v>
      </c>
      <c r="AO6" s="26" t="s">
        <v>141</v>
      </c>
      <c r="AP6" s="25" t="s">
        <v>72</v>
      </c>
      <c r="AQ6" s="26" t="s">
        <v>141</v>
      </c>
      <c r="AR6" s="25" t="s">
        <v>72</v>
      </c>
      <c r="AS6" s="26" t="s">
        <v>141</v>
      </c>
      <c r="AT6" s="25" t="s">
        <v>72</v>
      </c>
      <c r="AU6" s="26" t="s">
        <v>141</v>
      </c>
      <c r="AV6" s="25" t="s">
        <v>72</v>
      </c>
      <c r="AW6" s="26" t="s">
        <v>141</v>
      </c>
      <c r="AX6" s="25" t="s">
        <v>72</v>
      </c>
      <c r="AY6" s="26" t="s">
        <v>141</v>
      </c>
      <c r="AZ6" s="25" t="s">
        <v>72</v>
      </c>
      <c r="BA6" s="26" t="s">
        <v>141</v>
      </c>
    </row>
    <row r="7" spans="1:53" ht="17.25" customHeight="1">
      <c r="A7" s="10"/>
      <c r="B7" s="10">
        <v>6511</v>
      </c>
      <c r="C7" s="23" t="str">
        <f>IF($A$1=1,Sheet1!D76,Sheet1!A76)</f>
        <v>経営管理部</v>
      </c>
      <c r="D7" s="24" t="str">
        <f>IF($A$1=1,Sheet1!C79,Sheet1!B79)</f>
        <v>貿易管理課</v>
      </c>
      <c r="E7" s="24">
        <v>1412000030</v>
      </c>
      <c r="F7" s="82">
        <f>[59]人員・時間計画!$C$25</f>
        <v>80</v>
      </c>
      <c r="G7" s="82">
        <f>[59]人員・時間計画!$C$26</f>
        <v>0</v>
      </c>
      <c r="H7" s="82">
        <f>[59]人員・時間計画!$C$11</f>
        <v>17</v>
      </c>
      <c r="I7" s="82">
        <f>[59]人員・時間計画!$C$12</f>
        <v>0</v>
      </c>
      <c r="J7" s="82">
        <f>[59]人員・時間計画!$D$25</f>
        <v>76</v>
      </c>
      <c r="K7" s="82">
        <f>[59]人員・時間計画!$D$26</f>
        <v>0</v>
      </c>
      <c r="L7" s="82">
        <f>[59]人員・時間計画!$D$11</f>
        <v>17</v>
      </c>
      <c r="M7" s="82">
        <f>[59]人員・時間計画!$D$12</f>
        <v>0</v>
      </c>
      <c r="N7" s="82">
        <f>[59]人員・時間計画!$E$25</f>
        <v>84</v>
      </c>
      <c r="O7" s="82">
        <f>[59]人員・時間計画!$E$26</f>
        <v>0</v>
      </c>
      <c r="P7" s="82">
        <f>[59]人員・時間計画!$E$11</f>
        <v>17</v>
      </c>
      <c r="Q7" s="82">
        <f>[59]人員・時間計画!$E$12</f>
        <v>0</v>
      </c>
      <c r="R7" s="82">
        <f>[59]人員・時間計画!$F$25</f>
        <v>92</v>
      </c>
      <c r="S7" s="82">
        <f>[59]人員・時間計画!$F$26</f>
        <v>0</v>
      </c>
      <c r="T7" s="82">
        <f>[59]人員・時間計画!$F$11</f>
        <v>17</v>
      </c>
      <c r="U7" s="82">
        <f>[59]人員・時間計画!$F$12</f>
        <v>0</v>
      </c>
      <c r="V7" s="82">
        <f>[59]人員・時間計画!$G$25</f>
        <v>80</v>
      </c>
      <c r="W7" s="82">
        <f>[59]人員・時間計画!$G$26</f>
        <v>0</v>
      </c>
      <c r="X7" s="82">
        <f>[59]人員・時間計画!$G$11</f>
        <v>17</v>
      </c>
      <c r="Y7" s="82">
        <f>[59]人員・時間計画!$G$12</f>
        <v>0</v>
      </c>
      <c r="Z7" s="82">
        <f>[59]人員・時間計画!$H$25</f>
        <v>76</v>
      </c>
      <c r="AA7" s="82">
        <f>[59]人員・時間計画!$H$26</f>
        <v>0</v>
      </c>
      <c r="AB7" s="82">
        <f>[59]人員・時間計画!$H$11</f>
        <v>17</v>
      </c>
      <c r="AC7" s="82">
        <f>[59]人員・時間計画!$H$12</f>
        <v>0</v>
      </c>
      <c r="AD7" s="82">
        <f>[59]人員・時間計画!$C$25</f>
        <v>80</v>
      </c>
      <c r="AE7" s="82">
        <f>[59]人員・時間計画!$C$26</f>
        <v>0</v>
      </c>
      <c r="AF7" s="82">
        <f>[59]人員・時間計画!$C$11</f>
        <v>17</v>
      </c>
      <c r="AG7" s="82">
        <f>[59]人員・時間計画!$C$12</f>
        <v>0</v>
      </c>
      <c r="AH7" s="82">
        <f>[59]人員・時間計画!$C$25</f>
        <v>80</v>
      </c>
      <c r="AI7" s="82">
        <f>[59]人員・時間計画!$C$26</f>
        <v>0</v>
      </c>
      <c r="AJ7" s="82">
        <f>[59]人員・時間計画!$C$11</f>
        <v>17</v>
      </c>
      <c r="AK7" s="82">
        <f>[59]人員・時間計画!$C$12</f>
        <v>0</v>
      </c>
      <c r="AL7" s="82">
        <f>[59]人員・時間計画!$C$25</f>
        <v>80</v>
      </c>
      <c r="AM7" s="82">
        <f>[59]人員・時間計画!$C$26</f>
        <v>0</v>
      </c>
      <c r="AN7" s="82">
        <f>[59]人員・時間計画!$C$11</f>
        <v>17</v>
      </c>
      <c r="AO7" s="82">
        <f>[59]人員・時間計画!$C$12</f>
        <v>0</v>
      </c>
      <c r="AP7" s="82">
        <f>[59]人員・時間計画!$C$25</f>
        <v>80</v>
      </c>
      <c r="AQ7" s="82">
        <f>[59]人員・時間計画!$C$26</f>
        <v>0</v>
      </c>
      <c r="AR7" s="82">
        <f>[59]人員・時間計画!$C$11</f>
        <v>17</v>
      </c>
      <c r="AS7" s="82">
        <f>[59]人員・時間計画!$C$12</f>
        <v>0</v>
      </c>
      <c r="AT7" s="82">
        <f>[59]人員・時間計画!$C$25</f>
        <v>80</v>
      </c>
      <c r="AU7" s="82">
        <f>[59]人員・時間計画!$C$26</f>
        <v>0</v>
      </c>
      <c r="AV7" s="82">
        <f>[59]人員・時間計画!$C$11</f>
        <v>17</v>
      </c>
      <c r="AW7" s="82">
        <f>[59]人員・時間計画!$C$12</f>
        <v>0</v>
      </c>
      <c r="AX7" s="82">
        <f>[59]人員・時間計画!$C$25</f>
        <v>80</v>
      </c>
      <c r="AY7" s="82">
        <f>[59]人員・時間計画!$C$26</f>
        <v>0</v>
      </c>
      <c r="AZ7" s="82">
        <f>[59]人員・時間計画!$C$11</f>
        <v>17</v>
      </c>
      <c r="BA7" s="82">
        <f>[59]人員・時間計画!$C$12</f>
        <v>0</v>
      </c>
    </row>
    <row r="8" spans="1:53" ht="17.25" customHeight="1">
      <c r="A8" s="10"/>
      <c r="B8" s="10">
        <v>6511</v>
      </c>
      <c r="C8" s="23" t="str">
        <f>IF($A$1=1,Sheet1!D29,Sheet1!A29)</f>
        <v>物流部</v>
      </c>
      <c r="D8" s="23" t="str">
        <f>IF($A$1=1,Sheet1!C31,Sheet1!B31)</f>
        <v>製品管理課</v>
      </c>
      <c r="E8" s="24">
        <v>1412000072</v>
      </c>
      <c r="F8" s="82">
        <f>[60]人員・時間計画!$C$25</f>
        <v>100</v>
      </c>
      <c r="G8" s="82">
        <f>[60]人員・時間計画!$C$26</f>
        <v>150</v>
      </c>
      <c r="H8" s="82">
        <f>[60]人員・時間計画!$C$11</f>
        <v>11</v>
      </c>
      <c r="I8" s="82">
        <f>[60]人員・時間計画!$C$12</f>
        <v>53</v>
      </c>
      <c r="J8" s="82">
        <f>[60]人員・時間計画!$D$25</f>
        <v>96</v>
      </c>
      <c r="K8" s="82">
        <f>[60]人員・時間計画!$D$26</f>
        <v>150</v>
      </c>
      <c r="L8" s="82">
        <f>[60]人員・時間計画!$D$11</f>
        <v>11</v>
      </c>
      <c r="M8" s="82">
        <f>[60]人員・時間計画!$D$12</f>
        <v>53</v>
      </c>
      <c r="N8" s="82">
        <f>[60]人員・時間計画!$E$25</f>
        <v>104</v>
      </c>
      <c r="O8" s="82">
        <f>[60]人員・時間計画!$E$26</f>
        <v>150</v>
      </c>
      <c r="P8" s="82">
        <f>[60]人員・時間計画!$E$11</f>
        <v>11</v>
      </c>
      <c r="Q8" s="82">
        <f>[60]人員・時間計画!$E$12</f>
        <v>52</v>
      </c>
      <c r="R8" s="82">
        <f>[60]人員・時間計画!$F$25</f>
        <v>112</v>
      </c>
      <c r="S8" s="82">
        <f>[60]人員・時間計画!$F$26</f>
        <v>150</v>
      </c>
      <c r="T8" s="82">
        <f>[60]人員・時間計画!$F$11</f>
        <v>11</v>
      </c>
      <c r="U8" s="82">
        <f>[60]人員・時間計画!$F$12</f>
        <v>52</v>
      </c>
      <c r="V8" s="82">
        <f>[60]人員・時間計画!$G$25</f>
        <v>100</v>
      </c>
      <c r="W8" s="82">
        <f>[60]人員・時間計画!$G$26</f>
        <v>200</v>
      </c>
      <c r="X8" s="82">
        <f>[60]人員・時間計画!$G$11</f>
        <v>11</v>
      </c>
      <c r="Y8" s="82">
        <f>[60]人員・時間計画!$G$12</f>
        <v>51</v>
      </c>
      <c r="Z8" s="82">
        <f>[60]人員・時間計画!$H$25</f>
        <v>96</v>
      </c>
      <c r="AA8" s="82">
        <f>[60]人員・時間計画!$H$26</f>
        <v>200</v>
      </c>
      <c r="AB8" s="82">
        <f>[60]人員・時間計画!$H$11</f>
        <v>11</v>
      </c>
      <c r="AC8" s="82">
        <f>[60]人員・時間計画!$H$12</f>
        <v>50</v>
      </c>
      <c r="AD8" s="82">
        <f>[60]人員・時間計画!$I$25</f>
        <v>112</v>
      </c>
      <c r="AE8" s="82">
        <f>[60]人員・時間計画!$I$26</f>
        <v>200</v>
      </c>
      <c r="AF8" s="82">
        <f>[60]人員・時間計画!$I$11</f>
        <v>11</v>
      </c>
      <c r="AG8" s="82">
        <f>[60]人員・時間計画!$I$12</f>
        <v>50</v>
      </c>
      <c r="AH8" s="82">
        <f>[60]人員・時間計画!$J$25</f>
        <v>100</v>
      </c>
      <c r="AI8" s="82">
        <f>[60]人員・時間計画!$J$26</f>
        <v>200</v>
      </c>
      <c r="AJ8" s="82">
        <f>[60]人員・時間計画!$J$11</f>
        <v>11</v>
      </c>
      <c r="AK8" s="82">
        <f>[60]人員・時間計画!$J$12</f>
        <v>50</v>
      </c>
      <c r="AL8" s="82">
        <f>[60]人員・時間計画!$K$25</f>
        <v>108</v>
      </c>
      <c r="AM8" s="82">
        <f>[60]人員・時間計画!$K$26</f>
        <v>350</v>
      </c>
      <c r="AN8" s="82">
        <f>[60]人員・時間計画!$K$11</f>
        <v>11</v>
      </c>
      <c r="AO8" s="82">
        <f>[60]人員・時間計画!$K$12</f>
        <v>49</v>
      </c>
      <c r="AP8" s="82">
        <f>[60]人員・時間計画!$L$25</f>
        <v>100</v>
      </c>
      <c r="AQ8" s="82">
        <f>[60]人員・時間計画!$L$26</f>
        <v>450</v>
      </c>
      <c r="AR8" s="82">
        <f>[60]人員・時間計画!$L$11</f>
        <v>11</v>
      </c>
      <c r="AS8" s="82">
        <f>[60]人員・時間計画!$L$12</f>
        <v>50</v>
      </c>
      <c r="AT8" s="82">
        <f>[60]人員・時間計画!$M$25</f>
        <v>90</v>
      </c>
      <c r="AU8" s="82">
        <f>[60]人員・時間計画!$M$26</f>
        <v>800</v>
      </c>
      <c r="AV8" s="82">
        <f>[60]人員・時間計画!$M$11</f>
        <v>11</v>
      </c>
      <c r="AW8" s="82">
        <f>[60]人員・時間計画!$M$12</f>
        <v>51</v>
      </c>
      <c r="AX8" s="82">
        <f>[60]人員・時間計画!$N$25</f>
        <v>100</v>
      </c>
      <c r="AY8" s="82">
        <f>[60]人員・時間計画!$N$26</f>
        <v>600</v>
      </c>
      <c r="AZ8" s="82">
        <f>[60]人員・時間計画!$N$11</f>
        <v>11</v>
      </c>
      <c r="BA8" s="82">
        <f>[60]人員・時間計画!$N$12</f>
        <v>50</v>
      </c>
    </row>
    <row r="10" spans="1:53">
      <c r="B10" t="s">
        <v>218</v>
      </c>
      <c r="F10" s="30">
        <f>SUM(F7:F8)</f>
        <v>180</v>
      </c>
      <c r="G10" s="30">
        <f t="shared" ref="G10:BA10" si="0">SUM(G7:G8)</f>
        <v>150</v>
      </c>
      <c r="H10" s="30">
        <f t="shared" si="0"/>
        <v>28</v>
      </c>
      <c r="I10" s="30">
        <f t="shared" si="0"/>
        <v>53</v>
      </c>
      <c r="J10" s="30">
        <f t="shared" si="0"/>
        <v>172</v>
      </c>
      <c r="K10" s="30">
        <f t="shared" si="0"/>
        <v>150</v>
      </c>
      <c r="L10" s="30">
        <f t="shared" si="0"/>
        <v>28</v>
      </c>
      <c r="M10" s="30">
        <f t="shared" si="0"/>
        <v>53</v>
      </c>
      <c r="N10" s="30">
        <f t="shared" si="0"/>
        <v>188</v>
      </c>
      <c r="O10" s="30">
        <f t="shared" si="0"/>
        <v>150</v>
      </c>
      <c r="P10" s="30">
        <f t="shared" si="0"/>
        <v>28</v>
      </c>
      <c r="Q10" s="30">
        <f t="shared" si="0"/>
        <v>52</v>
      </c>
      <c r="R10" s="30">
        <f t="shared" si="0"/>
        <v>204</v>
      </c>
      <c r="S10" s="30">
        <f t="shared" si="0"/>
        <v>150</v>
      </c>
      <c r="T10" s="30">
        <f t="shared" si="0"/>
        <v>28</v>
      </c>
      <c r="U10" s="30">
        <f t="shared" si="0"/>
        <v>52</v>
      </c>
      <c r="V10" s="30">
        <f t="shared" si="0"/>
        <v>180</v>
      </c>
      <c r="W10" s="30">
        <f t="shared" si="0"/>
        <v>200</v>
      </c>
      <c r="X10" s="30">
        <f t="shared" si="0"/>
        <v>28</v>
      </c>
      <c r="Y10" s="30">
        <f t="shared" si="0"/>
        <v>51</v>
      </c>
      <c r="Z10" s="30">
        <f t="shared" si="0"/>
        <v>172</v>
      </c>
      <c r="AA10" s="30">
        <f t="shared" si="0"/>
        <v>200</v>
      </c>
      <c r="AB10" s="30">
        <f t="shared" si="0"/>
        <v>28</v>
      </c>
      <c r="AC10" s="30">
        <f t="shared" si="0"/>
        <v>50</v>
      </c>
      <c r="AD10" s="30">
        <f t="shared" si="0"/>
        <v>192</v>
      </c>
      <c r="AE10" s="30">
        <f t="shared" si="0"/>
        <v>200</v>
      </c>
      <c r="AF10" s="30">
        <f t="shared" si="0"/>
        <v>28</v>
      </c>
      <c r="AG10" s="30">
        <f t="shared" si="0"/>
        <v>50</v>
      </c>
      <c r="AH10" s="30">
        <f t="shared" si="0"/>
        <v>180</v>
      </c>
      <c r="AI10" s="30">
        <f t="shared" si="0"/>
        <v>200</v>
      </c>
      <c r="AJ10" s="30">
        <f t="shared" si="0"/>
        <v>28</v>
      </c>
      <c r="AK10" s="30">
        <f t="shared" si="0"/>
        <v>50</v>
      </c>
      <c r="AL10" s="30">
        <f t="shared" si="0"/>
        <v>188</v>
      </c>
      <c r="AM10" s="30">
        <f t="shared" si="0"/>
        <v>350</v>
      </c>
      <c r="AN10" s="30">
        <f t="shared" si="0"/>
        <v>28</v>
      </c>
      <c r="AO10" s="30">
        <f t="shared" si="0"/>
        <v>49</v>
      </c>
      <c r="AP10" s="30">
        <f t="shared" si="0"/>
        <v>180</v>
      </c>
      <c r="AQ10" s="30">
        <f t="shared" si="0"/>
        <v>450</v>
      </c>
      <c r="AR10" s="30">
        <f t="shared" si="0"/>
        <v>28</v>
      </c>
      <c r="AS10" s="30">
        <f t="shared" si="0"/>
        <v>50</v>
      </c>
      <c r="AT10" s="30">
        <f t="shared" si="0"/>
        <v>170</v>
      </c>
      <c r="AU10" s="30">
        <f t="shared" si="0"/>
        <v>800</v>
      </c>
      <c r="AV10" s="30">
        <f t="shared" si="0"/>
        <v>28</v>
      </c>
      <c r="AW10" s="30">
        <f t="shared" si="0"/>
        <v>51</v>
      </c>
      <c r="AX10" s="30">
        <f t="shared" si="0"/>
        <v>180</v>
      </c>
      <c r="AY10" s="30">
        <f t="shared" si="0"/>
        <v>600</v>
      </c>
      <c r="AZ10" s="30">
        <f t="shared" si="0"/>
        <v>28</v>
      </c>
      <c r="BA10" s="30">
        <f t="shared" si="0"/>
        <v>50</v>
      </c>
    </row>
    <row r="11" spans="1:53">
      <c r="F11">
        <v>180</v>
      </c>
      <c r="G11">
        <v>150</v>
      </c>
      <c r="H11">
        <v>28</v>
      </c>
      <c r="I11">
        <v>53</v>
      </c>
      <c r="J11">
        <v>172</v>
      </c>
      <c r="K11">
        <v>150</v>
      </c>
      <c r="L11">
        <v>28</v>
      </c>
      <c r="M11">
        <v>53</v>
      </c>
      <c r="N11">
        <v>188</v>
      </c>
      <c r="O11">
        <v>150</v>
      </c>
      <c r="P11">
        <v>28</v>
      </c>
      <c r="Q11">
        <v>52</v>
      </c>
      <c r="R11">
        <v>204</v>
      </c>
      <c r="S11">
        <v>150</v>
      </c>
      <c r="T11">
        <v>28</v>
      </c>
      <c r="U11">
        <v>52</v>
      </c>
      <c r="V11">
        <v>180</v>
      </c>
      <c r="W11">
        <v>200</v>
      </c>
      <c r="X11">
        <v>28</v>
      </c>
      <c r="Y11">
        <v>51</v>
      </c>
      <c r="Z11">
        <v>172</v>
      </c>
      <c r="AA11">
        <v>200</v>
      </c>
      <c r="AB11">
        <v>28</v>
      </c>
      <c r="AC11">
        <v>50</v>
      </c>
      <c r="AD11">
        <v>204</v>
      </c>
      <c r="AE11">
        <v>200</v>
      </c>
      <c r="AF11">
        <v>28</v>
      </c>
      <c r="AG11">
        <v>50</v>
      </c>
      <c r="AH11">
        <v>180</v>
      </c>
      <c r="AI11">
        <v>200</v>
      </c>
      <c r="AJ11">
        <v>28</v>
      </c>
      <c r="AK11">
        <v>50</v>
      </c>
      <c r="AL11">
        <v>196</v>
      </c>
      <c r="AM11">
        <v>350</v>
      </c>
      <c r="AN11">
        <v>28</v>
      </c>
      <c r="AO11">
        <v>49</v>
      </c>
      <c r="AP11">
        <v>180</v>
      </c>
      <c r="AQ11">
        <v>450</v>
      </c>
      <c r="AR11">
        <v>28</v>
      </c>
      <c r="AS11">
        <v>50</v>
      </c>
      <c r="AT11">
        <v>150</v>
      </c>
      <c r="AU11">
        <v>800</v>
      </c>
      <c r="AV11">
        <v>28</v>
      </c>
      <c r="AW11">
        <v>51</v>
      </c>
      <c r="AX11" s="92">
        <v>180</v>
      </c>
      <c r="AY11">
        <v>600</v>
      </c>
      <c r="AZ11">
        <v>28</v>
      </c>
      <c r="BA11">
        <v>50</v>
      </c>
    </row>
    <row r="13" spans="1:53">
      <c r="F13" s="30">
        <f>F10-F11</f>
        <v>0</v>
      </c>
      <c r="G13" s="30">
        <f t="shared" ref="G13:BA13" si="1">G10-G11</f>
        <v>0</v>
      </c>
      <c r="H13" s="30">
        <f t="shared" si="1"/>
        <v>0</v>
      </c>
      <c r="I13" s="30">
        <f t="shared" si="1"/>
        <v>0</v>
      </c>
      <c r="J13" s="30">
        <f t="shared" si="1"/>
        <v>0</v>
      </c>
      <c r="K13" s="30">
        <f t="shared" si="1"/>
        <v>0</v>
      </c>
      <c r="L13" s="30">
        <f t="shared" si="1"/>
        <v>0</v>
      </c>
      <c r="M13" s="30">
        <f t="shared" si="1"/>
        <v>0</v>
      </c>
      <c r="N13" s="30">
        <f t="shared" si="1"/>
        <v>0</v>
      </c>
      <c r="O13" s="30">
        <f t="shared" si="1"/>
        <v>0</v>
      </c>
      <c r="P13" s="30">
        <f t="shared" si="1"/>
        <v>0</v>
      </c>
      <c r="Q13" s="30">
        <f t="shared" si="1"/>
        <v>0</v>
      </c>
      <c r="R13" s="30">
        <f t="shared" si="1"/>
        <v>0</v>
      </c>
      <c r="S13" s="30">
        <f t="shared" si="1"/>
        <v>0</v>
      </c>
      <c r="T13" s="30">
        <f t="shared" si="1"/>
        <v>0</v>
      </c>
      <c r="U13" s="30">
        <f t="shared" si="1"/>
        <v>0</v>
      </c>
      <c r="V13" s="30">
        <f t="shared" si="1"/>
        <v>0</v>
      </c>
      <c r="W13" s="30">
        <f t="shared" si="1"/>
        <v>0</v>
      </c>
      <c r="X13" s="30">
        <f t="shared" si="1"/>
        <v>0</v>
      </c>
      <c r="Y13" s="30">
        <f t="shared" si="1"/>
        <v>0</v>
      </c>
      <c r="Z13" s="30">
        <f t="shared" si="1"/>
        <v>0</v>
      </c>
      <c r="AA13" s="30">
        <f t="shared" si="1"/>
        <v>0</v>
      </c>
      <c r="AB13" s="30">
        <f t="shared" si="1"/>
        <v>0</v>
      </c>
      <c r="AC13" s="30">
        <f t="shared" si="1"/>
        <v>0</v>
      </c>
      <c r="AD13" s="30">
        <f t="shared" si="1"/>
        <v>-12</v>
      </c>
      <c r="AE13" s="30">
        <f t="shared" si="1"/>
        <v>0</v>
      </c>
      <c r="AF13" s="30">
        <f t="shared" si="1"/>
        <v>0</v>
      </c>
      <c r="AG13" s="30">
        <f t="shared" si="1"/>
        <v>0</v>
      </c>
      <c r="AH13" s="30">
        <f t="shared" si="1"/>
        <v>0</v>
      </c>
      <c r="AI13" s="30">
        <f t="shared" si="1"/>
        <v>0</v>
      </c>
      <c r="AJ13" s="30">
        <f t="shared" si="1"/>
        <v>0</v>
      </c>
      <c r="AK13" s="30">
        <f t="shared" si="1"/>
        <v>0</v>
      </c>
      <c r="AL13" s="30">
        <f t="shared" si="1"/>
        <v>-8</v>
      </c>
      <c r="AM13" s="30">
        <f t="shared" si="1"/>
        <v>0</v>
      </c>
      <c r="AN13" s="30">
        <f t="shared" si="1"/>
        <v>0</v>
      </c>
      <c r="AO13" s="30">
        <f t="shared" si="1"/>
        <v>0</v>
      </c>
      <c r="AP13" s="30">
        <f t="shared" si="1"/>
        <v>0</v>
      </c>
      <c r="AQ13" s="30">
        <f t="shared" si="1"/>
        <v>0</v>
      </c>
      <c r="AR13" s="30">
        <f t="shared" si="1"/>
        <v>0</v>
      </c>
      <c r="AS13" s="30">
        <f t="shared" si="1"/>
        <v>0</v>
      </c>
      <c r="AT13" s="30">
        <f t="shared" si="1"/>
        <v>20</v>
      </c>
      <c r="AU13" s="30">
        <f t="shared" si="1"/>
        <v>0</v>
      </c>
      <c r="AV13" s="30">
        <f t="shared" si="1"/>
        <v>0</v>
      </c>
      <c r="AW13" s="30">
        <f t="shared" si="1"/>
        <v>0</v>
      </c>
      <c r="AX13" s="30">
        <f t="shared" si="1"/>
        <v>0</v>
      </c>
      <c r="AY13" s="30">
        <f t="shared" si="1"/>
        <v>0</v>
      </c>
      <c r="AZ13" s="30">
        <f t="shared" si="1"/>
        <v>0</v>
      </c>
      <c r="BA13" s="30">
        <f t="shared" si="1"/>
        <v>0</v>
      </c>
    </row>
  </sheetData>
  <conditionalFormatting sqref="F7:BA8">
    <cfRule type="cellIs" dxfId="11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82"/>
  <sheetViews>
    <sheetView topLeftCell="A46" workbookViewId="0">
      <selection activeCell="B57" sqref="B57:E57"/>
    </sheetView>
  </sheetViews>
  <sheetFormatPr defaultRowHeight="13"/>
  <cols>
    <col min="1" max="1" width="24" bestFit="1" customWidth="1"/>
    <col min="2" max="2" width="29" bestFit="1" customWidth="1"/>
    <col min="3" max="3" width="19" bestFit="1" customWidth="1"/>
    <col min="4" max="4" width="14.26953125" bestFit="1" customWidth="1"/>
    <col min="5" max="5" width="10.90625" bestFit="1" customWidth="1"/>
  </cols>
  <sheetData>
    <row r="2" spans="1:5">
      <c r="A2" s="19"/>
      <c r="B2" s="19"/>
      <c r="C2" s="19"/>
      <c r="D2" s="19"/>
    </row>
    <row r="3" spans="1:5">
      <c r="A3" s="20" t="s">
        <v>5</v>
      </c>
      <c r="B3" s="20"/>
      <c r="C3" s="20"/>
      <c r="D3" s="20" t="s">
        <v>108</v>
      </c>
    </row>
    <row r="4" spans="1:5">
      <c r="A4" s="20"/>
      <c r="B4" s="20" t="s">
        <v>74</v>
      </c>
      <c r="C4" s="20" t="s">
        <v>143</v>
      </c>
      <c r="D4" s="20"/>
      <c r="E4">
        <v>1412000004</v>
      </c>
    </row>
    <row r="5" spans="1:5">
      <c r="A5" s="20"/>
      <c r="B5" s="20" t="s">
        <v>75</v>
      </c>
      <c r="C5" s="20" t="s">
        <v>109</v>
      </c>
      <c r="D5" s="20"/>
      <c r="E5">
        <v>1412000005</v>
      </c>
    </row>
    <row r="6" spans="1:5">
      <c r="A6" s="20"/>
      <c r="B6" s="20" t="s">
        <v>66</v>
      </c>
      <c r="C6" s="20" t="s">
        <v>110</v>
      </c>
      <c r="D6" s="20"/>
      <c r="E6">
        <v>1412000062</v>
      </c>
    </row>
    <row r="7" spans="1:5">
      <c r="A7" s="20"/>
      <c r="B7" s="20" t="s">
        <v>111</v>
      </c>
      <c r="C7" s="20" t="s">
        <v>112</v>
      </c>
      <c r="D7" s="20"/>
      <c r="E7">
        <v>1412000081</v>
      </c>
    </row>
    <row r="8" spans="1:5">
      <c r="A8" s="20"/>
      <c r="B8" s="20" t="s">
        <v>81</v>
      </c>
      <c r="C8" s="20" t="s">
        <v>76</v>
      </c>
      <c r="D8" s="20" t="s">
        <v>76</v>
      </c>
      <c r="E8">
        <v>1412000066</v>
      </c>
    </row>
    <row r="9" spans="1:5">
      <c r="A9" s="20" t="s">
        <v>82</v>
      </c>
      <c r="B9" s="20"/>
      <c r="C9" s="20"/>
      <c r="D9" s="20" t="s">
        <v>113</v>
      </c>
    </row>
    <row r="10" spans="1:5">
      <c r="A10" s="20"/>
      <c r="B10" s="20" t="s">
        <v>94</v>
      </c>
      <c r="C10" s="20" t="s">
        <v>86</v>
      </c>
      <c r="D10" s="20"/>
      <c r="E10">
        <v>1412000053</v>
      </c>
    </row>
    <row r="11" spans="1:5">
      <c r="A11" s="20"/>
      <c r="B11" s="20" t="s">
        <v>95</v>
      </c>
      <c r="C11" s="20" t="s">
        <v>87</v>
      </c>
      <c r="D11" s="20"/>
      <c r="E11">
        <v>1412000075</v>
      </c>
    </row>
    <row r="12" spans="1:5">
      <c r="A12" s="20"/>
      <c r="B12" s="20"/>
      <c r="C12" s="20"/>
      <c r="D12" s="20"/>
    </row>
    <row r="13" spans="1:5">
      <c r="A13" s="20" t="s">
        <v>6</v>
      </c>
      <c r="B13" s="20"/>
      <c r="C13" s="20"/>
      <c r="D13" s="20" t="s">
        <v>35</v>
      </c>
    </row>
    <row r="14" spans="1:5">
      <c r="A14" s="20"/>
      <c r="B14" s="20" t="s">
        <v>7</v>
      </c>
      <c r="C14" s="20" t="s">
        <v>36</v>
      </c>
      <c r="D14" s="20"/>
      <c r="E14">
        <v>1412000034</v>
      </c>
    </row>
    <row r="15" spans="1:5">
      <c r="A15" s="20"/>
      <c r="B15" s="20" t="s">
        <v>8</v>
      </c>
      <c r="C15" s="20" t="s">
        <v>37</v>
      </c>
      <c r="D15" s="20"/>
      <c r="E15">
        <v>1412000048</v>
      </c>
    </row>
    <row r="16" spans="1:5">
      <c r="A16" s="20"/>
      <c r="B16" s="20" t="s">
        <v>67</v>
      </c>
      <c r="C16" s="20" t="s">
        <v>114</v>
      </c>
      <c r="D16" s="20"/>
      <c r="E16">
        <v>1412000063</v>
      </c>
    </row>
    <row r="17" spans="1:5">
      <c r="A17" s="20"/>
      <c r="B17" s="20" t="s">
        <v>144</v>
      </c>
      <c r="C17" s="20" t="s">
        <v>142</v>
      </c>
      <c r="D17" s="20"/>
      <c r="E17">
        <v>1412000055</v>
      </c>
    </row>
    <row r="18" spans="1:5">
      <c r="A18" s="20" t="s">
        <v>115</v>
      </c>
      <c r="B18" s="20"/>
      <c r="C18" s="20"/>
      <c r="D18" s="20" t="s">
        <v>38</v>
      </c>
    </row>
    <row r="19" spans="1:5">
      <c r="A19" s="20"/>
      <c r="B19" s="20" t="s">
        <v>68</v>
      </c>
      <c r="C19" s="20" t="s">
        <v>39</v>
      </c>
      <c r="D19" s="20"/>
      <c r="E19">
        <v>1412000056</v>
      </c>
    </row>
    <row r="20" spans="1:5">
      <c r="A20" s="20"/>
      <c r="B20" s="20" t="s">
        <v>9</v>
      </c>
      <c r="C20" s="20" t="s">
        <v>40</v>
      </c>
      <c r="D20" s="20"/>
      <c r="E20">
        <v>1412000044</v>
      </c>
    </row>
    <row r="21" spans="1:5">
      <c r="A21" s="20"/>
      <c r="B21" s="20" t="s">
        <v>116</v>
      </c>
      <c r="C21" s="20" t="s">
        <v>117</v>
      </c>
      <c r="D21" s="20"/>
      <c r="E21">
        <v>1412000087</v>
      </c>
    </row>
    <row r="22" spans="1:5">
      <c r="A22" s="20"/>
      <c r="B22" s="20" t="s">
        <v>118</v>
      </c>
      <c r="C22" s="20" t="s">
        <v>119</v>
      </c>
      <c r="D22" s="20"/>
      <c r="E22">
        <v>1412000088</v>
      </c>
    </row>
    <row r="23" spans="1:5">
      <c r="A23" s="20"/>
      <c r="B23" s="20" t="s">
        <v>18</v>
      </c>
      <c r="C23" s="20" t="s">
        <v>49</v>
      </c>
      <c r="D23" s="20"/>
      <c r="E23">
        <v>1412000067</v>
      </c>
    </row>
    <row r="24" spans="1:5">
      <c r="A24" s="20" t="s">
        <v>10</v>
      </c>
      <c r="B24" s="20"/>
      <c r="C24" s="20"/>
      <c r="D24" s="20" t="s">
        <v>41</v>
      </c>
    </row>
    <row r="25" spans="1:5">
      <c r="A25" s="20"/>
      <c r="B25" s="20" t="s">
        <v>11</v>
      </c>
      <c r="C25" s="20" t="s">
        <v>42</v>
      </c>
      <c r="D25" s="20"/>
      <c r="E25">
        <v>1412000008</v>
      </c>
    </row>
    <row r="26" spans="1:5">
      <c r="A26" s="20"/>
      <c r="B26" s="20" t="s">
        <v>12</v>
      </c>
      <c r="C26" s="20" t="s">
        <v>43</v>
      </c>
      <c r="D26" s="20"/>
      <c r="E26">
        <v>1412000010</v>
      </c>
    </row>
    <row r="27" spans="1:5">
      <c r="A27" s="20"/>
      <c r="B27" s="20" t="s">
        <v>13</v>
      </c>
      <c r="C27" s="20" t="s">
        <v>44</v>
      </c>
      <c r="D27" s="20"/>
      <c r="E27">
        <v>1412000054</v>
      </c>
    </row>
    <row r="28" spans="1:5">
      <c r="A28" s="20"/>
      <c r="B28" s="20" t="s">
        <v>182</v>
      </c>
      <c r="C28" s="20" t="s">
        <v>183</v>
      </c>
      <c r="D28" s="20"/>
      <c r="E28">
        <v>1412000094</v>
      </c>
    </row>
    <row r="29" spans="1:5">
      <c r="A29" s="20" t="s">
        <v>101</v>
      </c>
      <c r="B29" s="20"/>
      <c r="C29" s="20"/>
      <c r="D29" s="20" t="s">
        <v>91</v>
      </c>
    </row>
    <row r="30" spans="1:5">
      <c r="A30" s="20"/>
      <c r="B30" s="20" t="s">
        <v>107</v>
      </c>
      <c r="C30" s="20" t="s">
        <v>105</v>
      </c>
      <c r="D30" s="20"/>
      <c r="E30">
        <v>1412000036</v>
      </c>
    </row>
    <row r="31" spans="1:5">
      <c r="A31" s="20"/>
      <c r="B31" s="20" t="s">
        <v>120</v>
      </c>
      <c r="C31" s="20" t="s">
        <v>106</v>
      </c>
      <c r="D31" s="20"/>
      <c r="E31">
        <v>1412000072</v>
      </c>
    </row>
    <row r="32" spans="1:5">
      <c r="A32" s="20"/>
      <c r="B32" s="20" t="s">
        <v>96</v>
      </c>
      <c r="C32" s="20" t="s">
        <v>90</v>
      </c>
      <c r="D32" s="20"/>
      <c r="E32">
        <v>1412000073</v>
      </c>
    </row>
    <row r="33" spans="1:5">
      <c r="A33" s="20" t="s">
        <v>121</v>
      </c>
      <c r="B33" s="20"/>
      <c r="C33" s="20"/>
      <c r="D33" s="20" t="s">
        <v>122</v>
      </c>
    </row>
    <row r="34" spans="1:5">
      <c r="A34" s="20"/>
      <c r="B34" s="20" t="s">
        <v>97</v>
      </c>
      <c r="C34" s="20" t="s">
        <v>88</v>
      </c>
      <c r="D34" s="20"/>
      <c r="E34">
        <v>1412000076</v>
      </c>
    </row>
    <row r="35" spans="1:5">
      <c r="A35" s="20" t="s">
        <v>14</v>
      </c>
      <c r="B35" s="20"/>
      <c r="C35" s="20"/>
      <c r="D35" s="20" t="s">
        <v>45</v>
      </c>
    </row>
    <row r="36" spans="1:5">
      <c r="A36" s="20"/>
      <c r="B36" s="20" t="s">
        <v>15</v>
      </c>
      <c r="C36" s="20" t="s">
        <v>46</v>
      </c>
      <c r="D36" s="20"/>
      <c r="E36">
        <v>1412000006</v>
      </c>
    </row>
    <row r="37" spans="1:5">
      <c r="A37" s="20"/>
      <c r="B37" s="20" t="s">
        <v>16</v>
      </c>
      <c r="C37" s="20" t="s">
        <v>47</v>
      </c>
      <c r="D37" s="20"/>
      <c r="E37">
        <v>1412000039</v>
      </c>
    </row>
    <row r="38" spans="1:5">
      <c r="A38" s="20"/>
      <c r="B38" s="20" t="s">
        <v>123</v>
      </c>
      <c r="C38" s="20" t="s">
        <v>124</v>
      </c>
      <c r="D38" s="20"/>
      <c r="E38" t="s">
        <v>125</v>
      </c>
    </row>
    <row r="39" spans="1:5">
      <c r="A39" s="20"/>
      <c r="B39" s="222" t="s">
        <v>224</v>
      </c>
      <c r="C39" s="222" t="s">
        <v>225</v>
      </c>
      <c r="D39" s="222"/>
      <c r="E39" s="223" t="s">
        <v>226</v>
      </c>
    </row>
    <row r="40" spans="1:5">
      <c r="A40" s="20"/>
      <c r="B40" s="20" t="s">
        <v>17</v>
      </c>
      <c r="C40" s="20" t="s">
        <v>48</v>
      </c>
      <c r="D40" s="20"/>
      <c r="E40">
        <v>1412000040</v>
      </c>
    </row>
    <row r="41" spans="1:5">
      <c r="A41" s="20" t="s">
        <v>83</v>
      </c>
      <c r="B41" s="20"/>
      <c r="C41" s="20"/>
      <c r="D41" s="20" t="s">
        <v>77</v>
      </c>
    </row>
    <row r="42" spans="1:5">
      <c r="A42" s="20"/>
      <c r="B42" s="20" t="s">
        <v>145</v>
      </c>
      <c r="C42" s="20" t="s">
        <v>146</v>
      </c>
      <c r="D42" s="20"/>
      <c r="E42">
        <v>1412000013</v>
      </c>
    </row>
    <row r="43" spans="1:5">
      <c r="A43" s="20"/>
      <c r="B43" s="20" t="s">
        <v>147</v>
      </c>
      <c r="C43" s="20" t="s">
        <v>148</v>
      </c>
      <c r="D43" s="20"/>
      <c r="E43">
        <v>1412000092</v>
      </c>
    </row>
    <row r="44" spans="1:5">
      <c r="A44" s="20"/>
      <c r="B44" s="20" t="s">
        <v>98</v>
      </c>
      <c r="C44" s="20" t="s">
        <v>89</v>
      </c>
      <c r="D44" s="20"/>
      <c r="E44">
        <v>1412000035</v>
      </c>
    </row>
    <row r="45" spans="1:5">
      <c r="A45" s="20" t="s">
        <v>19</v>
      </c>
      <c r="B45" s="20"/>
      <c r="C45" s="20"/>
      <c r="D45" s="20" t="s">
        <v>50</v>
      </c>
    </row>
    <row r="46" spans="1:5">
      <c r="A46" s="20"/>
      <c r="B46" s="20" t="s">
        <v>126</v>
      </c>
      <c r="C46" s="20" t="s">
        <v>78</v>
      </c>
      <c r="D46" s="20"/>
      <c r="E46">
        <v>1412000016</v>
      </c>
    </row>
    <row r="47" spans="1:5">
      <c r="A47" s="20"/>
      <c r="B47" s="20" t="s">
        <v>127</v>
      </c>
      <c r="C47" s="20" t="s">
        <v>79</v>
      </c>
      <c r="D47" s="20"/>
      <c r="E47">
        <v>1412000069</v>
      </c>
    </row>
    <row r="48" spans="1:5">
      <c r="A48" s="20"/>
      <c r="B48" s="20" t="s">
        <v>128</v>
      </c>
      <c r="C48" s="20" t="s">
        <v>129</v>
      </c>
      <c r="D48" s="20"/>
      <c r="E48">
        <v>1412000084</v>
      </c>
    </row>
    <row r="49" spans="1:5">
      <c r="A49" s="20"/>
      <c r="B49" s="20"/>
      <c r="C49" s="20"/>
      <c r="D49" s="20"/>
    </row>
    <row r="50" spans="1:5">
      <c r="A50" s="20" t="s">
        <v>69</v>
      </c>
      <c r="B50" s="20"/>
      <c r="C50" s="20"/>
      <c r="D50" s="20" t="s">
        <v>51</v>
      </c>
    </row>
    <row r="51" spans="1:5">
      <c r="A51" s="20"/>
      <c r="B51" s="20" t="s">
        <v>130</v>
      </c>
      <c r="C51" s="20" t="s">
        <v>102</v>
      </c>
      <c r="D51" s="20"/>
      <c r="E51">
        <v>1412000050</v>
      </c>
    </row>
    <row r="52" spans="1:5">
      <c r="A52" s="20"/>
      <c r="B52" s="20" t="s">
        <v>131</v>
      </c>
      <c r="C52" s="20" t="s">
        <v>103</v>
      </c>
      <c r="D52" s="20"/>
      <c r="E52">
        <v>1412000077</v>
      </c>
    </row>
    <row r="53" spans="1:5">
      <c r="A53" s="20"/>
      <c r="B53" s="20" t="s">
        <v>133</v>
      </c>
      <c r="C53" s="20" t="s">
        <v>134</v>
      </c>
      <c r="D53" s="20"/>
      <c r="E53">
        <v>1412000083</v>
      </c>
    </row>
    <row r="54" spans="1:5">
      <c r="A54" s="20"/>
      <c r="B54" s="20" t="s">
        <v>187</v>
      </c>
      <c r="C54" s="20" t="s">
        <v>188</v>
      </c>
      <c r="D54" s="20"/>
      <c r="E54">
        <v>1412000099</v>
      </c>
    </row>
    <row r="55" spans="1:5">
      <c r="A55" s="20"/>
      <c r="B55" s="222" t="s">
        <v>221</v>
      </c>
      <c r="C55" s="222" t="s">
        <v>222</v>
      </c>
      <c r="D55" s="20"/>
      <c r="E55" s="223" t="s">
        <v>223</v>
      </c>
    </row>
    <row r="56" spans="1:5">
      <c r="A56" s="20"/>
      <c r="B56" s="20" t="s">
        <v>132</v>
      </c>
      <c r="C56" s="20" t="s">
        <v>104</v>
      </c>
      <c r="D56" s="20"/>
      <c r="E56">
        <v>1412000057</v>
      </c>
    </row>
    <row r="57" spans="1:5">
      <c r="A57" s="20"/>
      <c r="B57" s="222" t="s">
        <v>227</v>
      </c>
      <c r="C57" s="222" t="s">
        <v>228</v>
      </c>
      <c r="D57" s="20"/>
      <c r="E57" s="223" t="s">
        <v>229</v>
      </c>
    </row>
    <row r="58" spans="1:5">
      <c r="A58" s="20"/>
      <c r="B58" s="20" t="s">
        <v>149</v>
      </c>
      <c r="C58" s="20" t="s">
        <v>150</v>
      </c>
      <c r="D58" s="20"/>
      <c r="E58">
        <v>1412000078</v>
      </c>
    </row>
    <row r="59" spans="1:5">
      <c r="A59" s="20"/>
      <c r="B59" s="20" t="s">
        <v>184</v>
      </c>
      <c r="C59" s="20" t="s">
        <v>185</v>
      </c>
      <c r="D59" s="20"/>
      <c r="E59">
        <v>1412000096</v>
      </c>
    </row>
    <row r="60" spans="1:5">
      <c r="A60" s="20" t="s">
        <v>20</v>
      </c>
      <c r="B60" s="20"/>
      <c r="C60" s="20"/>
      <c r="D60" s="20" t="s">
        <v>52</v>
      </c>
    </row>
    <row r="61" spans="1:5">
      <c r="A61" s="20"/>
      <c r="B61" s="20" t="s">
        <v>21</v>
      </c>
      <c r="C61" s="20" t="s">
        <v>53</v>
      </c>
      <c r="D61" s="20"/>
      <c r="E61">
        <v>1412000018</v>
      </c>
    </row>
    <row r="62" spans="1:5">
      <c r="A62" s="20"/>
      <c r="B62" s="20" t="s">
        <v>99</v>
      </c>
      <c r="C62" s="20" t="s">
        <v>92</v>
      </c>
      <c r="D62" s="20"/>
      <c r="E62">
        <v>1412000019</v>
      </c>
    </row>
    <row r="63" spans="1:5">
      <c r="A63" s="20" t="s">
        <v>22</v>
      </c>
      <c r="B63" s="20"/>
      <c r="C63" s="20"/>
      <c r="D63" s="20" t="s">
        <v>157</v>
      </c>
    </row>
    <row r="64" spans="1:5">
      <c r="A64" s="20"/>
      <c r="B64" s="20" t="s">
        <v>23</v>
      </c>
      <c r="C64" s="20" t="s">
        <v>54</v>
      </c>
      <c r="D64" s="20"/>
      <c r="E64">
        <v>1412000058</v>
      </c>
    </row>
    <row r="65" spans="1:5">
      <c r="A65" s="20"/>
      <c r="B65" s="20" t="s">
        <v>24</v>
      </c>
      <c r="C65" s="20" t="s">
        <v>55</v>
      </c>
      <c r="D65" s="20"/>
      <c r="E65">
        <v>1412000042</v>
      </c>
    </row>
    <row r="66" spans="1:5">
      <c r="A66" s="20"/>
      <c r="B66" s="20" t="s">
        <v>25</v>
      </c>
      <c r="C66" s="20" t="s">
        <v>56</v>
      </c>
      <c r="D66" s="20"/>
      <c r="E66">
        <v>1412000021</v>
      </c>
    </row>
    <row r="67" spans="1:5">
      <c r="A67" s="20"/>
      <c r="B67" s="20" t="s">
        <v>100</v>
      </c>
      <c r="C67" s="20" t="s">
        <v>93</v>
      </c>
      <c r="D67" s="20"/>
      <c r="E67">
        <v>1412000070</v>
      </c>
    </row>
    <row r="68" spans="1:5">
      <c r="A68" s="20"/>
      <c r="B68" s="20" t="s">
        <v>26</v>
      </c>
      <c r="C68" s="20" t="s">
        <v>57</v>
      </c>
      <c r="D68" s="20"/>
      <c r="E68">
        <v>1412000022</v>
      </c>
    </row>
    <row r="69" spans="1:5">
      <c r="A69" s="20" t="s">
        <v>27</v>
      </c>
      <c r="B69" s="20"/>
      <c r="C69" s="20"/>
      <c r="D69" s="20" t="s">
        <v>58</v>
      </c>
    </row>
    <row r="70" spans="1:5">
      <c r="A70" s="20"/>
      <c r="B70" s="20" t="s">
        <v>28</v>
      </c>
      <c r="C70" s="20" t="s">
        <v>59</v>
      </c>
      <c r="D70" s="20"/>
      <c r="E70">
        <v>1412000024</v>
      </c>
    </row>
    <row r="71" spans="1:5">
      <c r="A71" s="20"/>
      <c r="B71" s="20" t="s">
        <v>29</v>
      </c>
      <c r="C71" s="20" t="s">
        <v>60</v>
      </c>
      <c r="D71" s="20"/>
      <c r="E71">
        <v>1412000025</v>
      </c>
    </row>
    <row r="72" spans="1:5">
      <c r="A72" s="20"/>
      <c r="B72" s="20" t="s">
        <v>151</v>
      </c>
      <c r="C72" s="20" t="s">
        <v>152</v>
      </c>
      <c r="D72" s="20"/>
      <c r="E72">
        <v>1412000061</v>
      </c>
    </row>
    <row r="73" spans="1:5">
      <c r="A73" s="20"/>
      <c r="B73" s="20" t="s">
        <v>30</v>
      </c>
      <c r="C73" s="20" t="s">
        <v>61</v>
      </c>
      <c r="D73" s="20"/>
      <c r="E73">
        <v>1412000026</v>
      </c>
    </row>
    <row r="74" spans="1:5">
      <c r="A74" s="20"/>
      <c r="B74" s="20" t="s">
        <v>153</v>
      </c>
      <c r="C74" s="20" t="s">
        <v>154</v>
      </c>
      <c r="D74" s="20"/>
      <c r="E74">
        <v>1412000093</v>
      </c>
    </row>
    <row r="75" spans="1:5">
      <c r="A75" s="20"/>
      <c r="B75" s="20" t="s">
        <v>155</v>
      </c>
      <c r="C75" s="20" t="s">
        <v>156</v>
      </c>
      <c r="D75" s="20"/>
      <c r="E75">
        <v>1412000091</v>
      </c>
    </row>
    <row r="76" spans="1:5">
      <c r="A76" s="20" t="s">
        <v>31</v>
      </c>
      <c r="B76" s="20"/>
      <c r="C76" s="20"/>
      <c r="D76" s="20" t="s">
        <v>62</v>
      </c>
    </row>
    <row r="77" spans="1:5">
      <c r="A77" s="20"/>
      <c r="B77" s="20" t="s">
        <v>32</v>
      </c>
      <c r="C77" s="20" t="s">
        <v>63</v>
      </c>
      <c r="D77" s="20"/>
      <c r="E77">
        <v>1412000028</v>
      </c>
    </row>
    <row r="78" spans="1:5">
      <c r="A78" s="20"/>
      <c r="B78" s="20" t="s">
        <v>33</v>
      </c>
      <c r="C78" s="20" t="s">
        <v>64</v>
      </c>
      <c r="D78" s="20"/>
      <c r="E78">
        <v>1412000029</v>
      </c>
    </row>
    <row r="79" spans="1:5">
      <c r="A79" s="20" t="s">
        <v>84</v>
      </c>
      <c r="B79" s="20" t="s">
        <v>85</v>
      </c>
      <c r="C79" s="20" t="s">
        <v>80</v>
      </c>
      <c r="D79" s="20" t="s">
        <v>80</v>
      </c>
      <c r="E79">
        <v>1412000030</v>
      </c>
    </row>
    <row r="80" spans="1:5">
      <c r="A80" s="20" t="s">
        <v>135</v>
      </c>
      <c r="B80" s="20"/>
      <c r="C80" s="20"/>
      <c r="D80" s="20" t="s">
        <v>136</v>
      </c>
    </row>
    <row r="81" spans="1:5">
      <c r="A81" s="20"/>
      <c r="B81" s="20" t="s">
        <v>34</v>
      </c>
      <c r="C81" s="20" t="s">
        <v>65</v>
      </c>
      <c r="D81" s="20"/>
      <c r="E81">
        <v>1412000086</v>
      </c>
    </row>
    <row r="82" spans="1:5">
      <c r="A82" s="20" t="s">
        <v>137</v>
      </c>
      <c r="B82" s="20"/>
      <c r="C82" s="20"/>
      <c r="D82" s="20" t="s">
        <v>138</v>
      </c>
    </row>
  </sheetData>
  <autoFilter ref="A3:E72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2C53-01FE-4C8B-B1B4-5EC8B1E4C72B}">
  <dimension ref="A1:CE258"/>
  <sheetViews>
    <sheetView tabSelected="1" zoomScale="70" zoomScaleNormal="70" workbookViewId="0">
      <pane xSplit="1" ySplit="2" topLeftCell="B19" activePane="bottomRight" state="frozen"/>
      <selection pane="topRight" activeCell="B1" sqref="B1"/>
      <selection pane="bottomLeft" activeCell="A3" sqref="A3"/>
      <selection pane="bottomRight" sqref="A1:CE1048576"/>
    </sheetView>
  </sheetViews>
  <sheetFormatPr defaultColWidth="9" defaultRowHeight="14.5"/>
  <cols>
    <col min="1" max="1" width="15.36328125" style="101" customWidth="1"/>
    <col min="2" max="2" width="14.08984375" style="101" customWidth="1"/>
    <col min="3" max="83" width="10.36328125" style="101" customWidth="1"/>
    <col min="84" max="16384" width="9" style="101"/>
  </cols>
  <sheetData>
    <row r="1" spans="1:83" ht="22.5" thickBot="1">
      <c r="A1" s="100" t="s">
        <v>199</v>
      </c>
      <c r="C1" s="101" t="s">
        <v>143</v>
      </c>
      <c r="D1" s="101" t="s">
        <v>109</v>
      </c>
      <c r="E1" s="101" t="s">
        <v>112</v>
      </c>
      <c r="F1" s="101" t="s">
        <v>76</v>
      </c>
      <c r="G1" s="101" t="s">
        <v>110</v>
      </c>
      <c r="H1" s="101" t="s">
        <v>235</v>
      </c>
      <c r="I1" s="101" t="s">
        <v>36</v>
      </c>
      <c r="J1" s="101" t="s">
        <v>37</v>
      </c>
      <c r="K1" s="101" t="s">
        <v>114</v>
      </c>
      <c r="L1" s="101" t="s">
        <v>142</v>
      </c>
      <c r="M1" s="101" t="s">
        <v>189</v>
      </c>
      <c r="N1" s="101" t="s">
        <v>39</v>
      </c>
      <c r="O1" s="101" t="s">
        <v>40</v>
      </c>
      <c r="P1" s="101" t="s">
        <v>117</v>
      </c>
      <c r="Q1" s="101" t="s">
        <v>119</v>
      </c>
      <c r="R1" s="101" t="s">
        <v>38</v>
      </c>
      <c r="S1" s="101" t="s">
        <v>200</v>
      </c>
      <c r="T1" s="101" t="s">
        <v>201</v>
      </c>
      <c r="U1" s="101" t="s">
        <v>42</v>
      </c>
      <c r="V1" s="101" t="s">
        <v>43</v>
      </c>
      <c r="W1" s="101" t="s">
        <v>44</v>
      </c>
      <c r="X1" s="101" t="s">
        <v>183</v>
      </c>
      <c r="Y1" s="101" t="s">
        <v>41</v>
      </c>
      <c r="Z1" s="101" t="s">
        <v>105</v>
      </c>
      <c r="AA1" s="101" t="s">
        <v>106</v>
      </c>
      <c r="AB1" s="101" t="s">
        <v>90</v>
      </c>
      <c r="AC1" s="101" t="s">
        <v>91</v>
      </c>
      <c r="AD1" s="101" t="s">
        <v>86</v>
      </c>
      <c r="AE1" s="101" t="s">
        <v>87</v>
      </c>
      <c r="AF1" s="101" t="s">
        <v>219</v>
      </c>
      <c r="AG1" s="101" t="s">
        <v>146</v>
      </c>
      <c r="AH1" s="101" t="s">
        <v>148</v>
      </c>
      <c r="AI1" s="101" t="s">
        <v>89</v>
      </c>
      <c r="AJ1" s="101" t="s">
        <v>77</v>
      </c>
      <c r="AK1" s="101" t="s">
        <v>220</v>
      </c>
      <c r="AL1" s="101" t="s">
        <v>46</v>
      </c>
      <c r="AM1" s="101" t="s">
        <v>47</v>
      </c>
      <c r="AN1" s="101" t="s">
        <v>124</v>
      </c>
      <c r="AO1" s="226" t="s">
        <v>225</v>
      </c>
      <c r="AP1" s="101" t="s">
        <v>48</v>
      </c>
      <c r="AQ1" s="101" t="s">
        <v>45</v>
      </c>
      <c r="AR1" s="101" t="s">
        <v>78</v>
      </c>
      <c r="AS1" s="101" t="s">
        <v>79</v>
      </c>
      <c r="AT1" s="101" t="s">
        <v>129</v>
      </c>
      <c r="AU1" s="101" t="s">
        <v>50</v>
      </c>
      <c r="AV1" s="101" t="s">
        <v>49</v>
      </c>
      <c r="AW1" s="101" t="s">
        <v>186</v>
      </c>
      <c r="AX1" s="101" t="s">
        <v>236</v>
      </c>
      <c r="AY1" s="101" t="s">
        <v>102</v>
      </c>
      <c r="AZ1" s="101" t="s">
        <v>103</v>
      </c>
      <c r="BA1" s="101" t="s">
        <v>134</v>
      </c>
      <c r="BB1" s="101" t="s">
        <v>188</v>
      </c>
      <c r="BC1" s="101" t="s">
        <v>222</v>
      </c>
      <c r="BD1" s="101" t="s">
        <v>104</v>
      </c>
      <c r="BE1" s="101" t="s">
        <v>228</v>
      </c>
      <c r="BF1" s="101" t="s">
        <v>150</v>
      </c>
      <c r="BG1" s="101" t="s">
        <v>185</v>
      </c>
      <c r="BH1" s="101" t="s">
        <v>51</v>
      </c>
      <c r="BI1" s="101" t="s">
        <v>190</v>
      </c>
      <c r="BJ1" s="101" t="s">
        <v>53</v>
      </c>
      <c r="BK1" s="101" t="s">
        <v>92</v>
      </c>
      <c r="BL1" s="101" t="s">
        <v>52</v>
      </c>
      <c r="BM1" s="101" t="s">
        <v>54</v>
      </c>
      <c r="BN1" s="101" t="s">
        <v>55</v>
      </c>
      <c r="BO1" s="101" t="s">
        <v>56</v>
      </c>
      <c r="BP1" s="101" t="s">
        <v>93</v>
      </c>
      <c r="BQ1" s="101" t="s">
        <v>57</v>
      </c>
      <c r="BR1" s="101" t="s">
        <v>191</v>
      </c>
      <c r="BS1" s="101" t="s">
        <v>59</v>
      </c>
      <c r="BT1" s="101" t="s">
        <v>60</v>
      </c>
      <c r="BU1" s="101" t="s">
        <v>61</v>
      </c>
      <c r="BV1" s="101" t="s">
        <v>154</v>
      </c>
      <c r="BW1" s="101" t="s">
        <v>156</v>
      </c>
      <c r="BX1" s="101" t="s">
        <v>58</v>
      </c>
      <c r="BY1" s="101" t="s">
        <v>63</v>
      </c>
      <c r="BZ1" s="101" t="s">
        <v>64</v>
      </c>
      <c r="CA1" s="101" t="s">
        <v>80</v>
      </c>
      <c r="CB1" s="101" t="s">
        <v>62</v>
      </c>
      <c r="CC1" s="101" t="s">
        <v>65</v>
      </c>
      <c r="CD1" s="101" t="s">
        <v>192</v>
      </c>
      <c r="CE1" s="101" t="s">
        <v>193</v>
      </c>
    </row>
    <row r="2" spans="1:83" ht="24.5" thickBot="1">
      <c r="A2" s="102"/>
      <c r="B2" s="103"/>
      <c r="C2" s="104" t="s">
        <v>143</v>
      </c>
      <c r="D2" s="104" t="s">
        <v>109</v>
      </c>
      <c r="E2" s="104" t="s">
        <v>112</v>
      </c>
      <c r="F2" s="104" t="s">
        <v>76</v>
      </c>
      <c r="G2" s="105" t="s">
        <v>110</v>
      </c>
      <c r="H2" s="106" t="s">
        <v>235</v>
      </c>
      <c r="I2" s="104" t="s">
        <v>36</v>
      </c>
      <c r="J2" s="105" t="s">
        <v>37</v>
      </c>
      <c r="K2" s="105" t="s">
        <v>114</v>
      </c>
      <c r="L2" s="105" t="s">
        <v>142</v>
      </c>
      <c r="M2" s="106" t="s">
        <v>189</v>
      </c>
      <c r="N2" s="104" t="s">
        <v>39</v>
      </c>
      <c r="O2" s="107" t="s">
        <v>40</v>
      </c>
      <c r="P2" s="107" t="s">
        <v>117</v>
      </c>
      <c r="Q2" s="107" t="s">
        <v>119</v>
      </c>
      <c r="R2" s="106" t="s">
        <v>38</v>
      </c>
      <c r="S2" s="104" t="s">
        <v>200</v>
      </c>
      <c r="T2" s="106" t="s">
        <v>201</v>
      </c>
      <c r="U2" s="104" t="s">
        <v>42</v>
      </c>
      <c r="V2" s="105" t="s">
        <v>43</v>
      </c>
      <c r="W2" s="105" t="s">
        <v>44</v>
      </c>
      <c r="X2" s="105" t="s">
        <v>183</v>
      </c>
      <c r="Y2" s="106" t="s">
        <v>41</v>
      </c>
      <c r="Z2" s="104" t="s">
        <v>105</v>
      </c>
      <c r="AA2" s="104" t="s">
        <v>106</v>
      </c>
      <c r="AB2" s="104" t="s">
        <v>90</v>
      </c>
      <c r="AC2" s="106" t="s">
        <v>91</v>
      </c>
      <c r="AD2" s="104" t="s">
        <v>86</v>
      </c>
      <c r="AE2" s="104" t="s">
        <v>87</v>
      </c>
      <c r="AF2" s="106" t="s">
        <v>219</v>
      </c>
      <c r="AG2" s="104" t="s">
        <v>146</v>
      </c>
      <c r="AH2" s="104" t="s">
        <v>148</v>
      </c>
      <c r="AI2" s="105" t="s">
        <v>89</v>
      </c>
      <c r="AJ2" s="106" t="s">
        <v>77</v>
      </c>
      <c r="AK2" s="106" t="s">
        <v>220</v>
      </c>
      <c r="AL2" s="104" t="s">
        <v>46</v>
      </c>
      <c r="AM2" s="105" t="s">
        <v>47</v>
      </c>
      <c r="AN2" s="105" t="s">
        <v>124</v>
      </c>
      <c r="AO2" s="105" t="s">
        <v>225</v>
      </c>
      <c r="AP2" s="105" t="s">
        <v>48</v>
      </c>
      <c r="AQ2" s="106" t="s">
        <v>45</v>
      </c>
      <c r="AR2" s="104" t="s">
        <v>78</v>
      </c>
      <c r="AS2" s="104" t="s">
        <v>79</v>
      </c>
      <c r="AT2" s="104" t="s">
        <v>129</v>
      </c>
      <c r="AU2" s="106" t="s">
        <v>50</v>
      </c>
      <c r="AV2" s="107" t="s">
        <v>49</v>
      </c>
      <c r="AW2" s="106" t="s">
        <v>186</v>
      </c>
      <c r="AX2" s="106" t="s">
        <v>236</v>
      </c>
      <c r="AY2" s="104" t="s">
        <v>102</v>
      </c>
      <c r="AZ2" s="104" t="s">
        <v>103</v>
      </c>
      <c r="BA2" s="104" t="s">
        <v>134</v>
      </c>
      <c r="BB2" s="104" t="s">
        <v>188</v>
      </c>
      <c r="BC2" s="104" t="s">
        <v>222</v>
      </c>
      <c r="BD2" s="104" t="s">
        <v>104</v>
      </c>
      <c r="BE2" s="104" t="s">
        <v>228</v>
      </c>
      <c r="BF2" s="105" t="s">
        <v>150</v>
      </c>
      <c r="BG2" s="105" t="s">
        <v>185</v>
      </c>
      <c r="BH2" s="106" t="s">
        <v>51</v>
      </c>
      <c r="BI2" s="106" t="s">
        <v>190</v>
      </c>
      <c r="BJ2" s="104" t="s">
        <v>53</v>
      </c>
      <c r="BK2" s="105" t="s">
        <v>92</v>
      </c>
      <c r="BL2" s="106" t="s">
        <v>52</v>
      </c>
      <c r="BM2" s="104" t="s">
        <v>54</v>
      </c>
      <c r="BN2" s="105" t="s">
        <v>55</v>
      </c>
      <c r="BO2" s="105" t="s">
        <v>56</v>
      </c>
      <c r="BP2" s="105" t="s">
        <v>93</v>
      </c>
      <c r="BQ2" s="105" t="s">
        <v>57</v>
      </c>
      <c r="BR2" s="106" t="s">
        <v>191</v>
      </c>
      <c r="BS2" s="104" t="s">
        <v>59</v>
      </c>
      <c r="BT2" s="105" t="s">
        <v>60</v>
      </c>
      <c r="BU2" s="105" t="s">
        <v>61</v>
      </c>
      <c r="BV2" s="105" t="s">
        <v>154</v>
      </c>
      <c r="BW2" s="105" t="s">
        <v>156</v>
      </c>
      <c r="BX2" s="106" t="s">
        <v>58</v>
      </c>
      <c r="BY2" s="104" t="s">
        <v>63</v>
      </c>
      <c r="BZ2" s="105" t="s">
        <v>64</v>
      </c>
      <c r="CA2" s="105" t="s">
        <v>80</v>
      </c>
      <c r="CB2" s="106" t="s">
        <v>62</v>
      </c>
      <c r="CC2" s="105" t="s">
        <v>65</v>
      </c>
      <c r="CD2" s="106" t="s">
        <v>192</v>
      </c>
      <c r="CE2" s="108" t="s">
        <v>193</v>
      </c>
    </row>
    <row r="3" spans="1:83" ht="21.5" thickBot="1">
      <c r="A3" s="109">
        <v>4</v>
      </c>
      <c r="B3" s="110" t="s">
        <v>3</v>
      </c>
      <c r="C3" s="111" t="str">
        <f>IF(C1=C2,"OK","NG")</f>
        <v>OK</v>
      </c>
      <c r="D3" s="111" t="str">
        <f t="shared" ref="D3:BO3" si="0">IF(D1=D2,"OK","NG")</f>
        <v>OK</v>
      </c>
      <c r="E3" s="111" t="str">
        <f t="shared" si="0"/>
        <v>OK</v>
      </c>
      <c r="F3" s="111" t="str">
        <f t="shared" si="0"/>
        <v>OK</v>
      </c>
      <c r="G3" s="111" t="str">
        <f t="shared" si="0"/>
        <v>OK</v>
      </c>
      <c r="H3" s="111" t="str">
        <f t="shared" si="0"/>
        <v>OK</v>
      </c>
      <c r="I3" s="111" t="str">
        <f t="shared" si="0"/>
        <v>OK</v>
      </c>
      <c r="J3" s="111" t="str">
        <f t="shared" si="0"/>
        <v>OK</v>
      </c>
      <c r="K3" s="111" t="str">
        <f t="shared" si="0"/>
        <v>OK</v>
      </c>
      <c r="L3" s="111" t="str">
        <f t="shared" si="0"/>
        <v>OK</v>
      </c>
      <c r="M3" s="111" t="str">
        <f t="shared" si="0"/>
        <v>OK</v>
      </c>
      <c r="N3" s="111" t="str">
        <f t="shared" si="0"/>
        <v>OK</v>
      </c>
      <c r="O3" s="111" t="str">
        <f t="shared" si="0"/>
        <v>OK</v>
      </c>
      <c r="P3" s="111" t="str">
        <f t="shared" si="0"/>
        <v>OK</v>
      </c>
      <c r="Q3" s="111" t="str">
        <f t="shared" si="0"/>
        <v>OK</v>
      </c>
      <c r="R3" s="111" t="str">
        <f t="shared" si="0"/>
        <v>OK</v>
      </c>
      <c r="S3" s="111" t="str">
        <f t="shared" si="0"/>
        <v>OK</v>
      </c>
      <c r="T3" s="111" t="str">
        <f t="shared" si="0"/>
        <v>OK</v>
      </c>
      <c r="U3" s="111" t="str">
        <f t="shared" si="0"/>
        <v>OK</v>
      </c>
      <c r="V3" s="111" t="str">
        <f t="shared" si="0"/>
        <v>OK</v>
      </c>
      <c r="W3" s="111" t="str">
        <f t="shared" si="0"/>
        <v>OK</v>
      </c>
      <c r="X3" s="111" t="str">
        <f t="shared" si="0"/>
        <v>OK</v>
      </c>
      <c r="Y3" s="111" t="str">
        <f t="shared" si="0"/>
        <v>OK</v>
      </c>
      <c r="Z3" s="111" t="str">
        <f t="shared" si="0"/>
        <v>OK</v>
      </c>
      <c r="AA3" s="111" t="str">
        <f t="shared" si="0"/>
        <v>OK</v>
      </c>
      <c r="AB3" s="111" t="str">
        <f t="shared" si="0"/>
        <v>OK</v>
      </c>
      <c r="AC3" s="111" t="str">
        <f t="shared" si="0"/>
        <v>OK</v>
      </c>
      <c r="AD3" s="111" t="str">
        <f t="shared" si="0"/>
        <v>OK</v>
      </c>
      <c r="AE3" s="111" t="str">
        <f t="shared" si="0"/>
        <v>OK</v>
      </c>
      <c r="AF3" s="111" t="str">
        <f t="shared" si="0"/>
        <v>OK</v>
      </c>
      <c r="AG3" s="111" t="str">
        <f t="shared" si="0"/>
        <v>OK</v>
      </c>
      <c r="AH3" s="111" t="str">
        <f t="shared" si="0"/>
        <v>OK</v>
      </c>
      <c r="AI3" s="111" t="str">
        <f t="shared" si="0"/>
        <v>OK</v>
      </c>
      <c r="AJ3" s="111" t="str">
        <f t="shared" si="0"/>
        <v>OK</v>
      </c>
      <c r="AK3" s="111" t="str">
        <f t="shared" si="0"/>
        <v>OK</v>
      </c>
      <c r="AL3" s="111" t="str">
        <f t="shared" si="0"/>
        <v>OK</v>
      </c>
      <c r="AM3" s="111" t="str">
        <f t="shared" si="0"/>
        <v>OK</v>
      </c>
      <c r="AN3" s="111" t="str">
        <f t="shared" si="0"/>
        <v>OK</v>
      </c>
      <c r="AO3" s="111" t="str">
        <f t="shared" si="0"/>
        <v>OK</v>
      </c>
      <c r="AP3" s="111" t="str">
        <f t="shared" si="0"/>
        <v>OK</v>
      </c>
      <c r="AQ3" s="111" t="str">
        <f t="shared" si="0"/>
        <v>OK</v>
      </c>
      <c r="AR3" s="111" t="str">
        <f t="shared" si="0"/>
        <v>OK</v>
      </c>
      <c r="AS3" s="111" t="str">
        <f t="shared" si="0"/>
        <v>OK</v>
      </c>
      <c r="AT3" s="111" t="str">
        <f t="shared" si="0"/>
        <v>OK</v>
      </c>
      <c r="AU3" s="111" t="str">
        <f t="shared" si="0"/>
        <v>OK</v>
      </c>
      <c r="AV3" s="111" t="str">
        <f t="shared" si="0"/>
        <v>OK</v>
      </c>
      <c r="AW3" s="111" t="str">
        <f t="shared" si="0"/>
        <v>OK</v>
      </c>
      <c r="AX3" s="111" t="str">
        <f t="shared" si="0"/>
        <v>OK</v>
      </c>
      <c r="AY3" s="111" t="str">
        <f t="shared" si="0"/>
        <v>OK</v>
      </c>
      <c r="AZ3" s="111" t="str">
        <f t="shared" si="0"/>
        <v>OK</v>
      </c>
      <c r="BA3" s="111" t="str">
        <f t="shared" si="0"/>
        <v>OK</v>
      </c>
      <c r="BB3" s="111" t="str">
        <f t="shared" si="0"/>
        <v>OK</v>
      </c>
      <c r="BC3" s="111" t="str">
        <f t="shared" si="0"/>
        <v>OK</v>
      </c>
      <c r="BD3" s="111" t="str">
        <f t="shared" si="0"/>
        <v>OK</v>
      </c>
      <c r="BE3" s="111" t="str">
        <f t="shared" si="0"/>
        <v>OK</v>
      </c>
      <c r="BF3" s="111" t="str">
        <f t="shared" si="0"/>
        <v>OK</v>
      </c>
      <c r="BG3" s="111" t="str">
        <f t="shared" si="0"/>
        <v>OK</v>
      </c>
      <c r="BH3" s="111" t="str">
        <f t="shared" si="0"/>
        <v>OK</v>
      </c>
      <c r="BI3" s="111" t="str">
        <f t="shared" si="0"/>
        <v>OK</v>
      </c>
      <c r="BJ3" s="111" t="str">
        <f t="shared" si="0"/>
        <v>OK</v>
      </c>
      <c r="BK3" s="111" t="str">
        <f t="shared" si="0"/>
        <v>OK</v>
      </c>
      <c r="BL3" s="111" t="str">
        <f t="shared" si="0"/>
        <v>OK</v>
      </c>
      <c r="BM3" s="111" t="str">
        <f t="shared" si="0"/>
        <v>OK</v>
      </c>
      <c r="BN3" s="111" t="str">
        <f t="shared" si="0"/>
        <v>OK</v>
      </c>
      <c r="BO3" s="111" t="str">
        <f t="shared" si="0"/>
        <v>OK</v>
      </c>
      <c r="BP3" s="111" t="str">
        <f t="shared" ref="BP3:CE3" si="1">IF(BP1=BP2,"OK","NG")</f>
        <v>OK</v>
      </c>
      <c r="BQ3" s="111" t="str">
        <f>IF(BQ1=BQ2,"OK","NG")</f>
        <v>OK</v>
      </c>
      <c r="BR3" s="111" t="str">
        <f t="shared" si="1"/>
        <v>OK</v>
      </c>
      <c r="BS3" s="111" t="str">
        <f t="shared" si="1"/>
        <v>OK</v>
      </c>
      <c r="BT3" s="111" t="str">
        <f t="shared" si="1"/>
        <v>OK</v>
      </c>
      <c r="BU3" s="111" t="str">
        <f t="shared" si="1"/>
        <v>OK</v>
      </c>
      <c r="BV3" s="111" t="str">
        <f t="shared" si="1"/>
        <v>OK</v>
      </c>
      <c r="BW3" s="111" t="str">
        <f t="shared" si="1"/>
        <v>OK</v>
      </c>
      <c r="BX3" s="111" t="str">
        <f t="shared" si="1"/>
        <v>OK</v>
      </c>
      <c r="BY3" s="111" t="str">
        <f t="shared" si="1"/>
        <v>OK</v>
      </c>
      <c r="BZ3" s="111" t="str">
        <f t="shared" si="1"/>
        <v>OK</v>
      </c>
      <c r="CA3" s="111" t="str">
        <f t="shared" si="1"/>
        <v>OK</v>
      </c>
      <c r="CB3" s="111" t="str">
        <f t="shared" si="1"/>
        <v>OK</v>
      </c>
      <c r="CC3" s="111" t="str">
        <f t="shared" si="1"/>
        <v>OK</v>
      </c>
      <c r="CD3" s="111" t="str">
        <f t="shared" si="1"/>
        <v>OK</v>
      </c>
      <c r="CE3" s="111" t="str">
        <f t="shared" si="1"/>
        <v>OK</v>
      </c>
    </row>
    <row r="4" spans="1:83" ht="15" thickBot="1">
      <c r="A4" s="112">
        <v>4</v>
      </c>
      <c r="B4" s="113" t="s">
        <v>194</v>
      </c>
      <c r="C4" s="114">
        <f>[1]人員・時間計画!$C$10</f>
        <v>2</v>
      </c>
      <c r="D4" s="114">
        <f>[2]人員・時間計画!$C10</f>
        <v>0</v>
      </c>
      <c r="E4" s="114">
        <f>[3]人員・時間計画!$C10</f>
        <v>0</v>
      </c>
      <c r="F4" s="114">
        <f>[4]人員・時間計画!$C10</f>
        <v>0</v>
      </c>
      <c r="G4" s="114">
        <f>[17]人員・時間計画!$C10</f>
        <v>0</v>
      </c>
      <c r="H4" s="115">
        <f>SUM(C4:G4)</f>
        <v>2</v>
      </c>
      <c r="I4" s="114">
        <f>[5]人員・時間計画!$C10</f>
        <v>1</v>
      </c>
      <c r="J4" s="114">
        <f>[18]人員・時間計画!$C10</f>
        <v>0</v>
      </c>
      <c r="K4" s="114">
        <f>[19]人員・時間計画!$C10</f>
        <v>0</v>
      </c>
      <c r="L4" s="114">
        <f>[20]人員・時間計画!$C10</f>
        <v>0</v>
      </c>
      <c r="M4" s="115">
        <f>SUM(I4:L4)</f>
        <v>1</v>
      </c>
      <c r="N4" s="114">
        <f>[6]人員・時間計画!$C10</f>
        <v>1</v>
      </c>
      <c r="O4" s="114">
        <f>'[21]Kế hoạch số người - thời gian'!$C10</f>
        <v>2</v>
      </c>
      <c r="P4" s="114">
        <f>[22]人員・時間計画!$C10</f>
        <v>0</v>
      </c>
      <c r="Q4" s="114">
        <f>[23]人員・時間計画!$C10</f>
        <v>0</v>
      </c>
      <c r="R4" s="115">
        <f>SUM(N4:Q4)</f>
        <v>3</v>
      </c>
      <c r="S4" s="114">
        <f>'[7]人員・時間計画 '!$C10</f>
        <v>2</v>
      </c>
      <c r="T4" s="115">
        <f>S4</f>
        <v>2</v>
      </c>
      <c r="U4" s="114">
        <f>[26]人員・時間計画!$C10</f>
        <v>1</v>
      </c>
      <c r="V4" s="114">
        <f>[27]人員・時間計画!$C10</f>
        <v>0</v>
      </c>
      <c r="W4" s="114">
        <f>[28]人員・時間計画!$C10</f>
        <v>0</v>
      </c>
      <c r="X4" s="114">
        <f>[29]人員・時間計画!$C10</f>
        <v>0</v>
      </c>
      <c r="Y4" s="115">
        <f>SUM(U4:X4)</f>
        <v>1</v>
      </c>
      <c r="Z4" s="114">
        <f>[30]人員・時間計画!$C10</f>
        <v>0</v>
      </c>
      <c r="AA4" s="114">
        <f>[60]人員・時間計画!$C10</f>
        <v>0</v>
      </c>
      <c r="AB4" s="114">
        <f>[31]人員・時間計画!$C10</f>
        <v>1</v>
      </c>
      <c r="AC4" s="115">
        <f>SUM(Z4:AB4)</f>
        <v>1</v>
      </c>
      <c r="AD4" s="114">
        <f>[24]人員・時間計画!$C10</f>
        <v>2</v>
      </c>
      <c r="AE4" s="114">
        <f>[25]人員・時間計画!$C10</f>
        <v>0</v>
      </c>
      <c r="AF4" s="115">
        <f>SUM(AD4:AE4)</f>
        <v>2</v>
      </c>
      <c r="AG4" s="114">
        <f>[37]人員・時間計画!$C10</f>
        <v>0</v>
      </c>
      <c r="AH4" s="114">
        <f>[38]人員・時間計画!$C10</f>
        <v>0</v>
      </c>
      <c r="AI4" s="114">
        <f>[39]人員・時間計画!$C10</f>
        <v>2</v>
      </c>
      <c r="AJ4" s="115">
        <f>SUM(AG4:AI4)</f>
        <v>2</v>
      </c>
      <c r="AK4" s="115">
        <f>AJ4+AF4+AC4+Y4+T4+R4+M4+H4</f>
        <v>14</v>
      </c>
      <c r="AL4" s="114">
        <f>[32]人員・時間計画!$C10</f>
        <v>0</v>
      </c>
      <c r="AM4" s="114">
        <f>[33]人員・時間計画!C10</f>
        <v>2</v>
      </c>
      <c r="AN4" s="114">
        <f>[34]人員・時間計画!$C10</f>
        <v>0</v>
      </c>
      <c r="AO4" s="114">
        <f>[35]人員・時間計画!$C10</f>
        <v>0</v>
      </c>
      <c r="AP4" s="114">
        <f>[36]人員・時間計画!$C10</f>
        <v>1</v>
      </c>
      <c r="AQ4" s="115">
        <f>SUM(AL4:AP4)</f>
        <v>3</v>
      </c>
      <c r="AR4" s="114">
        <f>[41]人員・時間計画!$C10</f>
        <v>1</v>
      </c>
      <c r="AS4" s="114">
        <f>[42]人員・時間計画!$C10</f>
        <v>1</v>
      </c>
      <c r="AT4" s="114">
        <f>[43]人員・時間計画!$C10</f>
        <v>0</v>
      </c>
      <c r="AU4" s="115">
        <f>SUM(AR4:AT4)</f>
        <v>2</v>
      </c>
      <c r="AV4" s="114">
        <f>[40]人員・時間計画!$C10</f>
        <v>2</v>
      </c>
      <c r="AW4" s="115">
        <f>AV4</f>
        <v>2</v>
      </c>
      <c r="AX4" s="115">
        <f>AQ4+AU4+AW4</f>
        <v>7</v>
      </c>
      <c r="AY4" s="114">
        <f>[8]人員・時間計画!$C10</f>
        <v>0</v>
      </c>
      <c r="AZ4" s="114">
        <f>[9]人員・時間計画!$C10</f>
        <v>9</v>
      </c>
      <c r="BA4" s="114">
        <f>[10]人員・時間計画!$C10</f>
        <v>1</v>
      </c>
      <c r="BB4" s="114">
        <f>[11]人員・時間計画!$C10</f>
        <v>1</v>
      </c>
      <c r="BC4" s="114">
        <f>[12]人員・時間計画!$C10</f>
        <v>1</v>
      </c>
      <c r="BD4" s="114">
        <f>[13]人員・時間計画!$C10</f>
        <v>0</v>
      </c>
      <c r="BE4" s="114">
        <f>[14]人員・時間計画!$C10</f>
        <v>1</v>
      </c>
      <c r="BF4" s="114">
        <f>[15]人員・時間計画!$C10</f>
        <v>1</v>
      </c>
      <c r="BG4" s="114">
        <f>[16]人員・時間計画!$C10</f>
        <v>0</v>
      </c>
      <c r="BH4" s="115">
        <f>SUM(AY4:BG4)</f>
        <v>14</v>
      </c>
      <c r="BI4" s="115">
        <f>BH4</f>
        <v>14</v>
      </c>
      <c r="BJ4" s="114">
        <f>[44]人員・時間計画!$C10</f>
        <v>2</v>
      </c>
      <c r="BK4" s="114">
        <f>[45]人員・時間計画!$C10</f>
        <v>0</v>
      </c>
      <c r="BL4" s="115">
        <f>SUM(BJ4:BK4)</f>
        <v>2</v>
      </c>
      <c r="BM4" s="114">
        <f>[46]人員・時間計画!$C10</f>
        <v>1</v>
      </c>
      <c r="BN4" s="114">
        <f>[47]人員・時間計画!$C10</f>
        <v>1</v>
      </c>
      <c r="BO4" s="114">
        <f>[48]人員・時間計画!$C10</f>
        <v>1</v>
      </c>
      <c r="BP4" s="114">
        <f>[49]人員・時間計画!$C10</f>
        <v>0</v>
      </c>
      <c r="BQ4" s="114">
        <f>[50]人員・時間計画!$C10</f>
        <v>2</v>
      </c>
      <c r="BR4" s="115">
        <f>SUM(BM4:BQ4)</f>
        <v>5</v>
      </c>
      <c r="BS4" s="114">
        <f>[51]人員・時間計画!$C10</f>
        <v>1</v>
      </c>
      <c r="BT4" s="114">
        <f>[52]人員・時間計画!$C10</f>
        <v>1</v>
      </c>
      <c r="BU4" s="114">
        <f>[53]人員・時間計画!$C10</f>
        <v>0</v>
      </c>
      <c r="BV4" s="114">
        <f>[54]人員・時間計画!$C10</f>
        <v>1</v>
      </c>
      <c r="BW4" s="114">
        <f>[55]人員・時間計画!$C10</f>
        <v>0</v>
      </c>
      <c r="BX4" s="115">
        <f>SUM(BS4:BW4)</f>
        <v>3</v>
      </c>
      <c r="BY4" s="114">
        <f>[56]人員・時間計画!$C10</f>
        <v>0</v>
      </c>
      <c r="BZ4" s="114">
        <f>[57]人員・時間計画!$C10</f>
        <v>1</v>
      </c>
      <c r="CA4" s="114">
        <f>[59]人員・時間計画!$C10</f>
        <v>1</v>
      </c>
      <c r="CB4" s="115">
        <f>SUM(BY4:CA4)</f>
        <v>2</v>
      </c>
      <c r="CC4" s="114">
        <f>[58]人員・時間計画!$C10</f>
        <v>1</v>
      </c>
      <c r="CD4" s="115">
        <f>CC4</f>
        <v>1</v>
      </c>
      <c r="CE4" s="115">
        <f>CD4+CB4+BX4+BR4+BL4+BI4+AX4+AK4</f>
        <v>48</v>
      </c>
    </row>
    <row r="5" spans="1:83">
      <c r="A5" s="112">
        <v>4</v>
      </c>
      <c r="B5" s="116" t="s">
        <v>139</v>
      </c>
      <c r="C5" s="114">
        <f>[1]人員・時間計画!$C$11</f>
        <v>77</v>
      </c>
      <c r="D5" s="114">
        <f>[2]人員・時間計画!$C11</f>
        <v>100</v>
      </c>
      <c r="E5" s="114">
        <f>[3]人員・時間計画!$C11</f>
        <v>81</v>
      </c>
      <c r="F5" s="114">
        <f>[4]人員・時間計画!$C11</f>
        <v>0</v>
      </c>
      <c r="G5" s="114">
        <f>[17]人員・時間計画!$C11</f>
        <v>21</v>
      </c>
      <c r="H5" s="115">
        <f t="shared" ref="H5:H6" si="2">SUM(C5:G5)</f>
        <v>279</v>
      </c>
      <c r="I5" s="114">
        <f>[5]人員・時間計画!$C11</f>
        <v>22</v>
      </c>
      <c r="J5" s="114">
        <f>[18]人員・時間計画!$C11</f>
        <v>14</v>
      </c>
      <c r="K5" s="114">
        <f>[19]人員・時間計画!$C11</f>
        <v>7</v>
      </c>
      <c r="L5" s="114">
        <f>[20]人員・時間計画!$C11</f>
        <v>11</v>
      </c>
      <c r="M5" s="115">
        <f t="shared" ref="M5:M6" si="3">SUM(I5:L5)</f>
        <v>54</v>
      </c>
      <c r="N5" s="114">
        <f>[6]人員・時間計画!$C11</f>
        <v>16</v>
      </c>
      <c r="O5" s="114">
        <f>'[21]Kế hoạch số người - thời gian'!$C11</f>
        <v>23</v>
      </c>
      <c r="P5" s="114">
        <f>[22]人員・時間計画!$C11</f>
        <v>9</v>
      </c>
      <c r="Q5" s="114">
        <f>[23]人員・時間計画!$C11</f>
        <v>12</v>
      </c>
      <c r="R5" s="115">
        <f>SUM(N5:Q5)</f>
        <v>60</v>
      </c>
      <c r="S5" s="114">
        <f>'[7]人員・時間計画 '!$C11</f>
        <v>15</v>
      </c>
      <c r="T5" s="115">
        <f t="shared" ref="T5:T6" si="4">S5</f>
        <v>15</v>
      </c>
      <c r="U5" s="114">
        <f>[26]人員・時間計画!$C11</f>
        <v>10</v>
      </c>
      <c r="V5" s="114">
        <f>[27]人員・時間計画!$C11</f>
        <v>6</v>
      </c>
      <c r="W5" s="114">
        <f>[28]人員・時間計画!$C11</f>
        <v>15</v>
      </c>
      <c r="X5" s="114">
        <f>[29]人員・時間計画!$C11</f>
        <v>3</v>
      </c>
      <c r="Y5" s="115">
        <f t="shared" ref="Y5:Y6" si="5">SUM(U5:X5)</f>
        <v>34</v>
      </c>
      <c r="Z5" s="114">
        <f>[30]人員・時間計画!$C11</f>
        <v>35</v>
      </c>
      <c r="AA5" s="114">
        <f>[60]人員・時間計画!$C11</f>
        <v>11</v>
      </c>
      <c r="AB5" s="114">
        <f>[31]人員・時間計画!$C11</f>
        <v>12</v>
      </c>
      <c r="AC5" s="115">
        <f t="shared" ref="AC5:AC6" si="6">SUM(Z5:AB5)</f>
        <v>58</v>
      </c>
      <c r="AD5" s="114">
        <f>[24]人員・時間計画!$C11</f>
        <v>94</v>
      </c>
      <c r="AE5" s="114">
        <f>[25]人員・時間計画!$C11</f>
        <v>7</v>
      </c>
      <c r="AF5" s="115">
        <f t="shared" ref="AF5:AF6" si="7">SUM(AD5:AE5)</f>
        <v>101</v>
      </c>
      <c r="AG5" s="114">
        <f>[37]人員・時間計画!$C11</f>
        <v>25</v>
      </c>
      <c r="AH5" s="114">
        <f>[38]人員・時間計画!$C11</f>
        <v>23</v>
      </c>
      <c r="AI5" s="114">
        <f>[39]人員・時間計画!$C11</f>
        <v>25</v>
      </c>
      <c r="AJ5" s="115">
        <f t="shared" ref="AJ5:AJ6" si="8">SUM(AG5:AI5)</f>
        <v>73</v>
      </c>
      <c r="AK5" s="115">
        <f t="shared" ref="AK5:AK8" si="9">AJ5+AF5+AC5+Y5+T5+R5+M5+H5</f>
        <v>674</v>
      </c>
      <c r="AL5" s="114">
        <f>[32]人員・時間計画!$C11</f>
        <v>14</v>
      </c>
      <c r="AM5" s="114">
        <f>[33]人員・時間計画!C11</f>
        <v>19</v>
      </c>
      <c r="AN5" s="114">
        <f>[34]人員・時間計画!$C11</f>
        <v>13</v>
      </c>
      <c r="AO5" s="114">
        <f>[35]人員・時間計画!$C11</f>
        <v>9</v>
      </c>
      <c r="AP5" s="114">
        <f>[36]人員・時間計画!$C11</f>
        <v>18</v>
      </c>
      <c r="AQ5" s="115">
        <f t="shared" ref="AQ5:AQ6" si="10">SUM(AL5:AP5)</f>
        <v>73</v>
      </c>
      <c r="AR5" s="114">
        <f>[41]人員・時間計画!$C11</f>
        <v>16</v>
      </c>
      <c r="AS5" s="114">
        <f>[42]人員・時間計画!$C11</f>
        <v>12</v>
      </c>
      <c r="AT5" s="114">
        <f>[43]人員・時間計画!$C11</f>
        <v>22</v>
      </c>
      <c r="AU5" s="115">
        <f t="shared" ref="AU5:AU6" si="11">SUM(AR5:AT5)</f>
        <v>50</v>
      </c>
      <c r="AV5" s="114">
        <f>[40]人員・時間計画!$C11</f>
        <v>21</v>
      </c>
      <c r="AW5" s="115">
        <f t="shared" ref="AW5:AW6" si="12">AV5</f>
        <v>21</v>
      </c>
      <c r="AX5" s="115">
        <f t="shared" ref="AX5:AX8" si="13">AQ5+AU5+AW5</f>
        <v>144</v>
      </c>
      <c r="AY5" s="114">
        <f>[8]人員・時間計画!$C11</f>
        <v>8</v>
      </c>
      <c r="AZ5" s="114">
        <f>[9]人員・時間計画!$C11</f>
        <v>9</v>
      </c>
      <c r="BA5" s="114">
        <f>[10]人員・時間計画!$C11</f>
        <v>11</v>
      </c>
      <c r="BB5" s="114">
        <f>[11]人員・時間計画!$C11</f>
        <v>15</v>
      </c>
      <c r="BC5" s="114">
        <f>[12]人員・時間計画!$C11</f>
        <v>7</v>
      </c>
      <c r="BD5" s="114">
        <f>[13]人員・時間計画!$C11</f>
        <v>9</v>
      </c>
      <c r="BE5" s="114">
        <f>[14]人員・時間計画!$C11</f>
        <v>7</v>
      </c>
      <c r="BF5" s="114">
        <f>[15]人員・時間計画!$C11</f>
        <v>11</v>
      </c>
      <c r="BG5" s="114">
        <f>[16]人員・時間計画!$C11</f>
        <v>10</v>
      </c>
      <c r="BH5" s="115">
        <f t="shared" ref="BH5:BH8" si="14">SUM(AY5:BG5)</f>
        <v>87</v>
      </c>
      <c r="BI5" s="115">
        <f t="shared" ref="BI5:BI6" si="15">BH5</f>
        <v>87</v>
      </c>
      <c r="BJ5" s="114">
        <f>[44]人員・時間計画!$C11</f>
        <v>11</v>
      </c>
      <c r="BK5" s="114">
        <f>[45]人員・時間計画!$C11</f>
        <v>13</v>
      </c>
      <c r="BL5" s="115">
        <f t="shared" ref="BL5:BL6" si="16">SUM(BJ5:BK5)</f>
        <v>24</v>
      </c>
      <c r="BM5" s="114">
        <f>[46]人員・時間計画!$C11</f>
        <v>17</v>
      </c>
      <c r="BN5" s="114">
        <f>[47]人員・時間計画!$C11</f>
        <v>4</v>
      </c>
      <c r="BO5" s="114">
        <f>[48]人員・時間計画!$C11</f>
        <v>6</v>
      </c>
      <c r="BP5" s="114">
        <f>[49]人員・時間計画!$C11</f>
        <v>8</v>
      </c>
      <c r="BQ5" s="114">
        <f>[50]人員・時間計画!$C11</f>
        <v>4</v>
      </c>
      <c r="BR5" s="115">
        <f t="shared" ref="BR5:BR8" si="17">SUM(BM5:BQ5)</f>
        <v>39</v>
      </c>
      <c r="BS5" s="114">
        <f>[51]人員・時間計画!$C11</f>
        <v>10</v>
      </c>
      <c r="BT5" s="114">
        <f>[52]人員・時間計画!$C11</f>
        <v>17</v>
      </c>
      <c r="BU5" s="114">
        <f>[53]人員・時間計画!$C11</f>
        <v>11</v>
      </c>
      <c r="BV5" s="114">
        <f>[54]人員・時間計画!$C11</f>
        <v>5</v>
      </c>
      <c r="BW5" s="114">
        <f>[55]人員・時間計画!$C11</f>
        <v>3</v>
      </c>
      <c r="BX5" s="115">
        <f t="shared" ref="BX5:BX8" si="18">SUM(BS5:BW5)</f>
        <v>46</v>
      </c>
      <c r="BY5" s="114">
        <f>[56]人員・時間計画!$C11</f>
        <v>12</v>
      </c>
      <c r="BZ5" s="114">
        <f>[57]人員・時間計画!$C11</f>
        <v>8</v>
      </c>
      <c r="CA5" s="114">
        <f>[59]人員・時間計画!$C11</f>
        <v>17</v>
      </c>
      <c r="CB5" s="115">
        <f t="shared" ref="CB5:CB6" si="19">SUM(BY5:CA5)</f>
        <v>37</v>
      </c>
      <c r="CC5" s="114">
        <f>[58]人員・時間計画!$C11</f>
        <v>13</v>
      </c>
      <c r="CD5" s="115">
        <f t="shared" ref="CD5:CD6" si="20">CC5</f>
        <v>13</v>
      </c>
      <c r="CE5" s="115">
        <f>CD5+CB5+BX5+BR5+BL5+BI5+AX5+AK5</f>
        <v>1064</v>
      </c>
    </row>
    <row r="6" spans="1:83">
      <c r="A6" s="112">
        <v>4</v>
      </c>
      <c r="B6" s="117" t="s">
        <v>140</v>
      </c>
      <c r="C6" s="114">
        <f>[1]人員・時間計画!$C$12</f>
        <v>928</v>
      </c>
      <c r="D6" s="114">
        <f>[2]人員・時間計画!$C12</f>
        <v>1514</v>
      </c>
      <c r="E6" s="114">
        <f>[3]人員・時間計画!$C12</f>
        <v>1024</v>
      </c>
      <c r="F6" s="114">
        <f>[4]人員・時間計画!$C12</f>
        <v>0</v>
      </c>
      <c r="G6" s="114">
        <f>[17]人員・時間計画!$C12</f>
        <v>7</v>
      </c>
      <c r="H6" s="118">
        <f t="shared" si="2"/>
        <v>3473</v>
      </c>
      <c r="I6" s="114">
        <f>[5]人員・時間計画!$C12</f>
        <v>297</v>
      </c>
      <c r="J6" s="114">
        <f>[18]人員・時間計画!$C12</f>
        <v>10</v>
      </c>
      <c r="K6" s="114">
        <f>[19]人員・時間計画!$C12</f>
        <v>6</v>
      </c>
      <c r="L6" s="114">
        <f>[20]人員・時間計画!$C12</f>
        <v>14</v>
      </c>
      <c r="M6" s="118">
        <f t="shared" si="3"/>
        <v>327</v>
      </c>
      <c r="N6" s="119">
        <f>[6]人員・時間計画!$C12</f>
        <v>125</v>
      </c>
      <c r="O6" s="119">
        <f>'[21]Kế hoạch số người - thời gian'!$C12</f>
        <v>9</v>
      </c>
      <c r="P6" s="119">
        <f>[22]人員・時間計画!$C12</f>
        <v>0</v>
      </c>
      <c r="Q6" s="119">
        <f>[23]人員・時間計画!$C12</f>
        <v>13</v>
      </c>
      <c r="R6" s="118">
        <f>SUM(N6:Q6)</f>
        <v>147</v>
      </c>
      <c r="S6" s="119">
        <f>'[7]人員・時間計画 '!$C12</f>
        <v>14</v>
      </c>
      <c r="T6" s="118">
        <f t="shared" si="4"/>
        <v>14</v>
      </c>
      <c r="U6" s="119">
        <f>[26]人員・時間計画!$C12</f>
        <v>0</v>
      </c>
      <c r="V6" s="119">
        <f>[27]人員・時間計画!$C12</f>
        <v>0</v>
      </c>
      <c r="W6" s="119">
        <f>[28]人員・時間計画!$C12</f>
        <v>1</v>
      </c>
      <c r="X6" s="119">
        <f>[29]人員・時間計画!$C12</f>
        <v>0</v>
      </c>
      <c r="Y6" s="118">
        <f t="shared" si="5"/>
        <v>1</v>
      </c>
      <c r="Z6" s="119">
        <f>[30]人員・時間計画!$C12</f>
        <v>348</v>
      </c>
      <c r="AA6" s="119">
        <f>[60]人員・時間計画!$C12</f>
        <v>53</v>
      </c>
      <c r="AB6" s="119">
        <f>[31]人員・時間計画!$C12</f>
        <v>5</v>
      </c>
      <c r="AC6" s="118">
        <f t="shared" si="6"/>
        <v>406</v>
      </c>
      <c r="AD6" s="119">
        <f>[24]人員・時間計画!$C12</f>
        <v>102</v>
      </c>
      <c r="AE6" s="119">
        <f>[25]人員・時間計画!$C12</f>
        <v>1</v>
      </c>
      <c r="AF6" s="118">
        <f t="shared" si="7"/>
        <v>103</v>
      </c>
      <c r="AG6" s="119">
        <f>[37]人員・時間計画!$C12</f>
        <v>79</v>
      </c>
      <c r="AH6" s="119">
        <f>[38]人員・時間計画!$C12</f>
        <v>22</v>
      </c>
      <c r="AI6" s="119">
        <f>[39]人員・時間計画!$C12</f>
        <v>4</v>
      </c>
      <c r="AJ6" s="118">
        <f t="shared" si="8"/>
        <v>105</v>
      </c>
      <c r="AK6" s="118">
        <f t="shared" si="9"/>
        <v>4576</v>
      </c>
      <c r="AL6" s="119">
        <f>[32]人員・時間計画!$C12</f>
        <v>0</v>
      </c>
      <c r="AM6" s="119">
        <f>[33]人員・時間計画!C12</f>
        <v>0</v>
      </c>
      <c r="AN6" s="119">
        <f>[34]人員・時間計画!$C12</f>
        <v>0</v>
      </c>
      <c r="AO6" s="114">
        <f>[35]人員・時間計画!$C12</f>
        <v>0</v>
      </c>
      <c r="AP6" s="119">
        <f>[36]人員・時間計画!$C12</f>
        <v>0</v>
      </c>
      <c r="AQ6" s="118">
        <f t="shared" si="10"/>
        <v>0</v>
      </c>
      <c r="AR6" s="119">
        <f>[41]人員・時間計画!$C12</f>
        <v>0</v>
      </c>
      <c r="AS6" s="119">
        <f>[42]人員・時間計画!$C12</f>
        <v>0</v>
      </c>
      <c r="AT6" s="119">
        <f>[43]人員・時間計画!$C12</f>
        <v>0</v>
      </c>
      <c r="AU6" s="118">
        <f t="shared" si="11"/>
        <v>0</v>
      </c>
      <c r="AV6" s="119">
        <f>[40]人員・時間計画!$C12</f>
        <v>0</v>
      </c>
      <c r="AW6" s="118">
        <f t="shared" si="12"/>
        <v>0</v>
      </c>
      <c r="AX6" s="118">
        <f t="shared" si="13"/>
        <v>0</v>
      </c>
      <c r="AY6" s="119">
        <f>[8]人員・時間計画!$C12</f>
        <v>0</v>
      </c>
      <c r="AZ6" s="119">
        <f>[9]人員・時間計画!$C12</f>
        <v>0</v>
      </c>
      <c r="BA6" s="119">
        <f>[10]人員・時間計画!$C12</f>
        <v>0</v>
      </c>
      <c r="BB6" s="119">
        <f>[11]人員・時間計画!$C12</f>
        <v>0</v>
      </c>
      <c r="BC6" s="114">
        <f>[12]人員・時間計画!$C12</f>
        <v>0</v>
      </c>
      <c r="BD6" s="119">
        <f>[13]人員・時間計画!$C12</f>
        <v>0</v>
      </c>
      <c r="BE6" s="114">
        <f>[14]人員・時間計画!$C12</f>
        <v>0</v>
      </c>
      <c r="BF6" s="119">
        <f>[15]人員・時間計画!$C12</f>
        <v>0</v>
      </c>
      <c r="BG6" s="119">
        <f>[16]人員・時間計画!$C12</f>
        <v>0</v>
      </c>
      <c r="BH6" s="118">
        <f t="shared" si="14"/>
        <v>0</v>
      </c>
      <c r="BI6" s="118">
        <f t="shared" si="15"/>
        <v>0</v>
      </c>
      <c r="BJ6" s="119">
        <f>[44]人員・時間計画!$C12</f>
        <v>1</v>
      </c>
      <c r="BK6" s="119">
        <f>[45]人員・時間計画!$C12</f>
        <v>32</v>
      </c>
      <c r="BL6" s="118">
        <f t="shared" si="16"/>
        <v>33</v>
      </c>
      <c r="BM6" s="119">
        <f>[46]人員・時間計画!$C12</f>
        <v>0</v>
      </c>
      <c r="BN6" s="119">
        <f>[47]人員・時間計画!$C12</f>
        <v>0</v>
      </c>
      <c r="BO6" s="119">
        <f>[48]人員・時間計画!$C12</f>
        <v>0</v>
      </c>
      <c r="BP6" s="119">
        <f>[49]人員・時間計画!$C12</f>
        <v>0</v>
      </c>
      <c r="BQ6" s="119">
        <f>[50]人員・時間計画!$C12</f>
        <v>0</v>
      </c>
      <c r="BR6" s="118">
        <f t="shared" si="17"/>
        <v>0</v>
      </c>
      <c r="BS6" s="119">
        <f>[51]人員・時間計画!$C12</f>
        <v>6</v>
      </c>
      <c r="BT6" s="119">
        <f>[52]人員・時間計画!$C12</f>
        <v>0</v>
      </c>
      <c r="BU6" s="119">
        <f>[53]人員・時間計画!$C12</f>
        <v>3</v>
      </c>
      <c r="BV6" s="119">
        <f>[54]人員・時間計画!$C12</f>
        <v>0</v>
      </c>
      <c r="BW6" s="119">
        <f>[55]人員・時間計画!$C12</f>
        <v>67</v>
      </c>
      <c r="BX6" s="118">
        <f t="shared" si="18"/>
        <v>76</v>
      </c>
      <c r="BY6" s="119">
        <f>[56]人員・時間計画!$C12</f>
        <v>0</v>
      </c>
      <c r="BZ6" s="119">
        <f>[57]人員・時間計画!$C12</f>
        <v>0</v>
      </c>
      <c r="CA6" s="119">
        <f>[59]人員・時間計画!$C12</f>
        <v>0</v>
      </c>
      <c r="CB6" s="118">
        <f t="shared" si="19"/>
        <v>0</v>
      </c>
      <c r="CC6" s="119">
        <f>[58]人員・時間計画!$C12</f>
        <v>0</v>
      </c>
      <c r="CD6" s="118">
        <f t="shared" si="20"/>
        <v>0</v>
      </c>
      <c r="CE6" s="118">
        <f>CD6+CB6+BX6+BR6+BL6+BI6+AX6+AK6</f>
        <v>4685</v>
      </c>
    </row>
    <row r="7" spans="1:83">
      <c r="A7" s="112">
        <v>4</v>
      </c>
      <c r="B7" s="120" t="s">
        <v>195</v>
      </c>
      <c r="C7" s="121">
        <f>[1]人員・時間計画!$C$13</f>
        <v>1005</v>
      </c>
      <c r="D7" s="114">
        <f>[2]人員・時間計画!$C13</f>
        <v>1614</v>
      </c>
      <c r="E7" s="121">
        <f>[3]人員・時間計画!$C13</f>
        <v>1105</v>
      </c>
      <c r="F7" s="121">
        <f>[4]人員・時間計画!$C13</f>
        <v>0</v>
      </c>
      <c r="G7" s="121">
        <f>[17]人員・時間計画!$C13</f>
        <v>28</v>
      </c>
      <c r="H7" s="122">
        <f>SUM(H5:H6)</f>
        <v>3752</v>
      </c>
      <c r="I7" s="121">
        <f>[5]人員・時間計画!$C13</f>
        <v>319</v>
      </c>
      <c r="J7" s="121">
        <f>[18]人員・時間計画!$C13</f>
        <v>24</v>
      </c>
      <c r="K7" s="114">
        <f>[19]人員・時間計画!$C13</f>
        <v>13</v>
      </c>
      <c r="L7" s="114">
        <f>[20]人員・時間計画!$C13</f>
        <v>25</v>
      </c>
      <c r="M7" s="122">
        <f>SUM(M5:M6)</f>
        <v>381</v>
      </c>
      <c r="N7" s="121">
        <f>[6]人員・時間計画!$C13</f>
        <v>141</v>
      </c>
      <c r="O7" s="121">
        <f>'[21]Kế hoạch số người - thời gian'!$C13</f>
        <v>32</v>
      </c>
      <c r="P7" s="121">
        <f>[22]人員・時間計画!$C13</f>
        <v>9</v>
      </c>
      <c r="Q7" s="121">
        <f>[23]人員・時間計画!$C13</f>
        <v>25</v>
      </c>
      <c r="R7" s="122">
        <f>SUM(R5:R6)</f>
        <v>207</v>
      </c>
      <c r="S7" s="121">
        <f>'[7]人員・時間計画 '!$C13</f>
        <v>29</v>
      </c>
      <c r="T7" s="122">
        <f>SUM(T5:T6)</f>
        <v>29</v>
      </c>
      <c r="U7" s="121">
        <f>[26]人員・時間計画!$C13</f>
        <v>10</v>
      </c>
      <c r="V7" s="121">
        <f>[27]人員・時間計画!$C13</f>
        <v>6</v>
      </c>
      <c r="W7" s="121">
        <f>[28]人員・時間計画!$C13</f>
        <v>16</v>
      </c>
      <c r="X7" s="121">
        <f>[29]人員・時間計画!$C13</f>
        <v>3</v>
      </c>
      <c r="Y7" s="122">
        <f>SUM(Y5:Y6)</f>
        <v>35</v>
      </c>
      <c r="Z7" s="121">
        <f>[30]人員・時間計画!$C13</f>
        <v>383</v>
      </c>
      <c r="AA7" s="121">
        <f>[60]人員・時間計画!$C13</f>
        <v>64</v>
      </c>
      <c r="AB7" s="121">
        <f>[31]人員・時間計画!$C13</f>
        <v>17</v>
      </c>
      <c r="AC7" s="122">
        <f t="shared" ref="AC7" si="21">SUM(AC5:AC6)</f>
        <v>464</v>
      </c>
      <c r="AD7" s="121">
        <f>[24]人員・時間計画!$C13</f>
        <v>196</v>
      </c>
      <c r="AE7" s="121">
        <f>[25]人員・時間計画!$C13</f>
        <v>8</v>
      </c>
      <c r="AF7" s="122">
        <f>SUM(AF5:AF6)</f>
        <v>204</v>
      </c>
      <c r="AG7" s="121">
        <f>[37]人員・時間計画!$C13</f>
        <v>104</v>
      </c>
      <c r="AH7" s="121">
        <f>[38]人員・時間計画!$C13</f>
        <v>45</v>
      </c>
      <c r="AI7" s="121">
        <f>[39]人員・時間計画!$C13</f>
        <v>29</v>
      </c>
      <c r="AJ7" s="122">
        <f>SUM(AJ5:AJ6)</f>
        <v>178</v>
      </c>
      <c r="AK7" s="122">
        <f t="shared" si="9"/>
        <v>5250</v>
      </c>
      <c r="AL7" s="121">
        <f>[32]人員・時間計画!$C13</f>
        <v>14</v>
      </c>
      <c r="AM7" s="121">
        <f>[33]人員・時間計画!C13</f>
        <v>19</v>
      </c>
      <c r="AN7" s="121">
        <f>[34]人員・時間計画!$C13</f>
        <v>13</v>
      </c>
      <c r="AO7" s="114">
        <f>[35]人員・時間計画!$C13</f>
        <v>9</v>
      </c>
      <c r="AP7" s="121">
        <f>[36]人員・時間計画!$C13</f>
        <v>18</v>
      </c>
      <c r="AQ7" s="122">
        <f>SUM(AQ5:AQ6)</f>
        <v>73</v>
      </c>
      <c r="AR7" s="121">
        <f>[41]人員・時間計画!$C13</f>
        <v>16</v>
      </c>
      <c r="AS7" s="121">
        <f>[42]人員・時間計画!$C13</f>
        <v>12</v>
      </c>
      <c r="AT7" s="121">
        <f>[43]人員・時間計画!$C13</f>
        <v>22</v>
      </c>
      <c r="AU7" s="122">
        <f>SUM(AU5:AU6)</f>
        <v>50</v>
      </c>
      <c r="AV7" s="121">
        <f>[40]人員・時間計画!$C13</f>
        <v>21</v>
      </c>
      <c r="AW7" s="122">
        <f>SUM(AW5:AW6)</f>
        <v>21</v>
      </c>
      <c r="AX7" s="122">
        <f t="shared" si="13"/>
        <v>144</v>
      </c>
      <c r="AY7" s="121">
        <f>[8]人員・時間計画!$C13</f>
        <v>8</v>
      </c>
      <c r="AZ7" s="121">
        <f>[9]人員・時間計画!$C13</f>
        <v>9</v>
      </c>
      <c r="BA7" s="121">
        <f>[10]人員・時間計画!$C13</f>
        <v>11</v>
      </c>
      <c r="BB7" s="121">
        <f>[11]人員・時間計画!$C13</f>
        <v>15</v>
      </c>
      <c r="BC7" s="114">
        <f>[12]人員・時間計画!$C13</f>
        <v>7</v>
      </c>
      <c r="BD7" s="121">
        <f>[13]人員・時間計画!$C13</f>
        <v>9</v>
      </c>
      <c r="BE7" s="114">
        <f>[14]人員・時間計画!$C13</f>
        <v>7</v>
      </c>
      <c r="BF7" s="121">
        <f>[15]人員・時間計画!$C13</f>
        <v>11</v>
      </c>
      <c r="BG7" s="121">
        <f>[16]人員・時間計画!$C13</f>
        <v>10</v>
      </c>
      <c r="BH7" s="122">
        <f t="shared" si="14"/>
        <v>87</v>
      </c>
      <c r="BI7" s="122">
        <f t="shared" ref="BI7" si="22">SUM(BI5:BI6)</f>
        <v>87</v>
      </c>
      <c r="BJ7" s="121">
        <f>[44]人員・時間計画!$C13</f>
        <v>12</v>
      </c>
      <c r="BK7" s="121">
        <f>[45]人員・時間計画!$C13</f>
        <v>45</v>
      </c>
      <c r="BL7" s="122">
        <f>SUM(BL5:BL6)</f>
        <v>57</v>
      </c>
      <c r="BM7" s="121">
        <f>[46]人員・時間計画!$C13</f>
        <v>17</v>
      </c>
      <c r="BN7" s="121">
        <f>[47]人員・時間計画!$C13</f>
        <v>4</v>
      </c>
      <c r="BO7" s="121">
        <f>[48]人員・時間計画!$C13</f>
        <v>6</v>
      </c>
      <c r="BP7" s="121">
        <f>[49]人員・時間計画!$C13</f>
        <v>8</v>
      </c>
      <c r="BQ7" s="121">
        <f>[50]人員・時間計画!$C13</f>
        <v>4</v>
      </c>
      <c r="BR7" s="122">
        <f t="shared" si="17"/>
        <v>39</v>
      </c>
      <c r="BS7" s="121">
        <f>[51]人員・時間計画!$C13</f>
        <v>16</v>
      </c>
      <c r="BT7" s="121">
        <f>[52]人員・時間計画!$C13</f>
        <v>17</v>
      </c>
      <c r="BU7" s="121">
        <f>[53]人員・時間計画!$C13</f>
        <v>14</v>
      </c>
      <c r="BV7" s="121">
        <f>[54]人員・時間計画!$C13</f>
        <v>5</v>
      </c>
      <c r="BW7" s="121">
        <f>[55]人員・時間計画!$C13</f>
        <v>70</v>
      </c>
      <c r="BX7" s="122">
        <f t="shared" si="18"/>
        <v>122</v>
      </c>
      <c r="BY7" s="121">
        <f>[56]人員・時間計画!$C13</f>
        <v>12</v>
      </c>
      <c r="BZ7" s="121">
        <f>[57]人員・時間計画!$C13</f>
        <v>8</v>
      </c>
      <c r="CA7" s="121">
        <f>[59]人員・時間計画!$C13</f>
        <v>17</v>
      </c>
      <c r="CB7" s="122">
        <f>SUM(CB5:CB6)</f>
        <v>37</v>
      </c>
      <c r="CC7" s="121">
        <f>[58]人員・時間計画!$C13</f>
        <v>13</v>
      </c>
      <c r="CD7" s="122">
        <f>SUM(CD5:CD6)</f>
        <v>13</v>
      </c>
      <c r="CE7" s="122">
        <f>CD7+CB7+BX7+BR7+BL7+BI7+AX7+AK7</f>
        <v>5749</v>
      </c>
    </row>
    <row r="8" spans="1:83" ht="15" thickBot="1">
      <c r="A8" s="112">
        <v>4</v>
      </c>
      <c r="B8" s="123" t="s">
        <v>196</v>
      </c>
      <c r="C8" s="124">
        <f>[1]人員・時間計画!$C$14</f>
        <v>1007</v>
      </c>
      <c r="D8" s="114">
        <f>[2]人員・時間計画!$C14</f>
        <v>1614</v>
      </c>
      <c r="E8" s="124">
        <f>[3]人員・時間計画!$C14</f>
        <v>1105</v>
      </c>
      <c r="F8" s="124">
        <f>[4]人員・時間計画!$C14</f>
        <v>0</v>
      </c>
      <c r="G8" s="124">
        <f>[17]人員・時間計画!$C14</f>
        <v>28</v>
      </c>
      <c r="H8" s="125">
        <f>H7+H4</f>
        <v>3754</v>
      </c>
      <c r="I8" s="124">
        <f>[5]人員・時間計画!$C14</f>
        <v>320</v>
      </c>
      <c r="J8" s="124">
        <f>[18]人員・時間計画!$C14</f>
        <v>24</v>
      </c>
      <c r="K8" s="114">
        <f>[19]人員・時間計画!$C14</f>
        <v>13</v>
      </c>
      <c r="L8" s="114">
        <f>[20]人員・時間計画!$C14</f>
        <v>25</v>
      </c>
      <c r="M8" s="125">
        <f>M7+M4</f>
        <v>382</v>
      </c>
      <c r="N8" s="124">
        <f>[6]人員・時間計画!$C14</f>
        <v>142</v>
      </c>
      <c r="O8" s="124">
        <f>'[21]Kế hoạch số người - thời gian'!$C14</f>
        <v>34</v>
      </c>
      <c r="P8" s="124">
        <f>[22]人員・時間計画!$C14</f>
        <v>9</v>
      </c>
      <c r="Q8" s="124">
        <f>[23]人員・時間計画!$C14</f>
        <v>25</v>
      </c>
      <c r="R8" s="125">
        <f>R7+R4</f>
        <v>210</v>
      </c>
      <c r="S8" s="124">
        <f>'[7]人員・時間計画 '!$C14</f>
        <v>31</v>
      </c>
      <c r="T8" s="125">
        <f>T7+T4</f>
        <v>31</v>
      </c>
      <c r="U8" s="124">
        <f>[26]人員・時間計画!$C14</f>
        <v>11</v>
      </c>
      <c r="V8" s="124">
        <f>[27]人員・時間計画!$C14</f>
        <v>6</v>
      </c>
      <c r="W8" s="124">
        <f>[28]人員・時間計画!$C14</f>
        <v>16</v>
      </c>
      <c r="X8" s="124">
        <f>[29]人員・時間計画!$C14</f>
        <v>3</v>
      </c>
      <c r="Y8" s="125">
        <f>Y7+Y4</f>
        <v>36</v>
      </c>
      <c r="Z8" s="124">
        <f>[30]人員・時間計画!$C14</f>
        <v>383</v>
      </c>
      <c r="AA8" s="124">
        <f>[60]人員・時間計画!$C14</f>
        <v>64</v>
      </c>
      <c r="AB8" s="124">
        <f>[31]人員・時間計画!$C14</f>
        <v>18</v>
      </c>
      <c r="AC8" s="125">
        <f t="shared" ref="AC8" si="23">AC7+AC4</f>
        <v>465</v>
      </c>
      <c r="AD8" s="124">
        <f>[24]人員・時間計画!$C14</f>
        <v>198</v>
      </c>
      <c r="AE8" s="124">
        <f>[25]人員・時間計画!$C14</f>
        <v>8</v>
      </c>
      <c r="AF8" s="125">
        <f>AF7+AF4</f>
        <v>206</v>
      </c>
      <c r="AG8" s="124">
        <f>[37]人員・時間計画!$C14</f>
        <v>104</v>
      </c>
      <c r="AH8" s="124">
        <f>[38]人員・時間計画!$C14</f>
        <v>45</v>
      </c>
      <c r="AI8" s="124">
        <f>[39]人員・時間計画!$C14</f>
        <v>31</v>
      </c>
      <c r="AJ8" s="125">
        <f>AJ7+AJ4</f>
        <v>180</v>
      </c>
      <c r="AK8" s="125">
        <f t="shared" si="9"/>
        <v>5264</v>
      </c>
      <c r="AL8" s="124">
        <f>[32]人員・時間計画!$C14</f>
        <v>14</v>
      </c>
      <c r="AM8" s="124">
        <f>[33]人員・時間計画!C14</f>
        <v>21</v>
      </c>
      <c r="AN8" s="124">
        <f>[34]人員・時間計画!$C14</f>
        <v>13</v>
      </c>
      <c r="AO8" s="114">
        <f>[35]人員・時間計画!$C14</f>
        <v>9</v>
      </c>
      <c r="AP8" s="124">
        <f>[36]人員・時間計画!$C14</f>
        <v>19</v>
      </c>
      <c r="AQ8" s="125">
        <f>AQ7+AQ4</f>
        <v>76</v>
      </c>
      <c r="AR8" s="124">
        <f>[41]人員・時間計画!$C14</f>
        <v>17</v>
      </c>
      <c r="AS8" s="124">
        <f>[42]人員・時間計画!$C14</f>
        <v>13</v>
      </c>
      <c r="AT8" s="124">
        <f>[43]人員・時間計画!$C14</f>
        <v>22</v>
      </c>
      <c r="AU8" s="125">
        <f>AU7+AU4</f>
        <v>52</v>
      </c>
      <c r="AV8" s="124">
        <f>[40]人員・時間計画!$C14</f>
        <v>23</v>
      </c>
      <c r="AW8" s="125">
        <f>AW7+AW4</f>
        <v>23</v>
      </c>
      <c r="AX8" s="125">
        <f t="shared" si="13"/>
        <v>151</v>
      </c>
      <c r="AY8" s="124">
        <f>[8]人員・時間計画!$C14</f>
        <v>8</v>
      </c>
      <c r="AZ8" s="124">
        <f>[9]人員・時間計画!$C14</f>
        <v>18</v>
      </c>
      <c r="BA8" s="124">
        <f>[10]人員・時間計画!$C14</f>
        <v>12</v>
      </c>
      <c r="BB8" s="124">
        <f>[11]人員・時間計画!$C14</f>
        <v>16</v>
      </c>
      <c r="BC8" s="114">
        <f>[12]人員・時間計画!$C14</f>
        <v>8</v>
      </c>
      <c r="BD8" s="124">
        <f>[13]人員・時間計画!$C14</f>
        <v>9</v>
      </c>
      <c r="BE8" s="114">
        <f>[14]人員・時間計画!$C14</f>
        <v>8</v>
      </c>
      <c r="BF8" s="124">
        <f>[15]人員・時間計画!$C14</f>
        <v>12</v>
      </c>
      <c r="BG8" s="124">
        <f>[16]人員・時間計画!$C14</f>
        <v>10</v>
      </c>
      <c r="BH8" s="125">
        <f t="shared" si="14"/>
        <v>101</v>
      </c>
      <c r="BI8" s="125">
        <f t="shared" ref="BI8" si="24">BI7+BI4</f>
        <v>101</v>
      </c>
      <c r="BJ8" s="124">
        <f>[44]人員・時間計画!$C14</f>
        <v>14</v>
      </c>
      <c r="BK8" s="124">
        <f>[45]人員・時間計画!$C14</f>
        <v>45</v>
      </c>
      <c r="BL8" s="125">
        <f>BL7+BL4</f>
        <v>59</v>
      </c>
      <c r="BM8" s="124">
        <f>[46]人員・時間計画!$C14</f>
        <v>18</v>
      </c>
      <c r="BN8" s="124">
        <f>[47]人員・時間計画!$C14</f>
        <v>5</v>
      </c>
      <c r="BO8" s="124">
        <f>[48]人員・時間計画!$C14</f>
        <v>7</v>
      </c>
      <c r="BP8" s="124">
        <f>[49]人員・時間計画!$C14</f>
        <v>8</v>
      </c>
      <c r="BQ8" s="124">
        <f>[50]人員・時間計画!$C14</f>
        <v>6</v>
      </c>
      <c r="BR8" s="125">
        <f t="shared" si="17"/>
        <v>44</v>
      </c>
      <c r="BS8" s="124">
        <f>[51]人員・時間計画!$C14</f>
        <v>17</v>
      </c>
      <c r="BT8" s="124">
        <f>[52]人員・時間計画!$C14</f>
        <v>18</v>
      </c>
      <c r="BU8" s="124">
        <f>[53]人員・時間計画!$C14</f>
        <v>14</v>
      </c>
      <c r="BV8" s="124">
        <f>[54]人員・時間計画!$C14</f>
        <v>6</v>
      </c>
      <c r="BW8" s="124">
        <f>[55]人員・時間計画!$C14</f>
        <v>70</v>
      </c>
      <c r="BX8" s="125">
        <f t="shared" si="18"/>
        <v>125</v>
      </c>
      <c r="BY8" s="124">
        <f>[56]人員・時間計画!$C14</f>
        <v>12</v>
      </c>
      <c r="BZ8" s="124">
        <f>[57]人員・時間計画!$C14</f>
        <v>9</v>
      </c>
      <c r="CA8" s="124">
        <f>[59]人員・時間計画!$C14</f>
        <v>18</v>
      </c>
      <c r="CB8" s="125">
        <f>CB7+CB4</f>
        <v>39</v>
      </c>
      <c r="CC8" s="124">
        <f>[58]人員・時間計画!$C14</f>
        <v>14</v>
      </c>
      <c r="CD8" s="125">
        <f>CD7+CD4</f>
        <v>14</v>
      </c>
      <c r="CE8" s="125">
        <f>CD8+CB8+BX8+BR8+BL8+BI8+AX8+AK8</f>
        <v>5797</v>
      </c>
    </row>
    <row r="9" spans="1:83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</row>
    <row r="10" spans="1:83" ht="21.5" thickBot="1">
      <c r="A10" s="109">
        <v>5</v>
      </c>
      <c r="B10" s="110" t="s">
        <v>3</v>
      </c>
      <c r="C10" s="129"/>
      <c r="D10" s="129"/>
      <c r="E10" s="129"/>
      <c r="F10" s="129"/>
      <c r="G10" s="129"/>
      <c r="H10" s="130"/>
      <c r="I10" s="129"/>
      <c r="J10" s="129"/>
      <c r="K10" s="129"/>
      <c r="L10" s="129"/>
      <c r="M10" s="130"/>
      <c r="N10" s="129"/>
      <c r="O10" s="129"/>
      <c r="P10" s="130"/>
      <c r="Q10" s="130"/>
      <c r="R10" s="130"/>
      <c r="S10" s="129"/>
      <c r="T10" s="130"/>
      <c r="U10" s="129"/>
      <c r="V10" s="129"/>
      <c r="W10" s="129"/>
      <c r="X10" s="129"/>
      <c r="Y10" s="130"/>
      <c r="Z10" s="129"/>
      <c r="AA10" s="129"/>
      <c r="AB10" s="129"/>
      <c r="AC10" s="130"/>
      <c r="AD10" s="129"/>
      <c r="AE10" s="129"/>
      <c r="AF10" s="130"/>
      <c r="AG10" s="129"/>
      <c r="AH10" s="129"/>
      <c r="AI10" s="129"/>
      <c r="AJ10" s="130"/>
      <c r="AK10" s="130"/>
      <c r="AL10" s="129"/>
      <c r="AM10" s="129"/>
      <c r="AN10" s="129"/>
      <c r="AO10" s="129"/>
      <c r="AP10" s="129"/>
      <c r="AQ10" s="130"/>
      <c r="AR10" s="129"/>
      <c r="AS10" s="129"/>
      <c r="AT10" s="129"/>
      <c r="AU10" s="130"/>
      <c r="AV10" s="130"/>
      <c r="AW10" s="130"/>
      <c r="AX10" s="130"/>
      <c r="AY10" s="129"/>
      <c r="AZ10" s="129"/>
      <c r="BA10" s="129"/>
      <c r="BB10" s="129"/>
      <c r="BC10" s="129"/>
      <c r="BD10" s="129"/>
      <c r="BE10" s="129"/>
      <c r="BF10" s="129"/>
      <c r="BG10" s="129"/>
      <c r="BH10" s="130"/>
      <c r="BI10" s="130"/>
      <c r="BJ10" s="129"/>
      <c r="BK10" s="129"/>
      <c r="BL10" s="130"/>
      <c r="BM10" s="129"/>
      <c r="BN10" s="129"/>
      <c r="BO10" s="129"/>
      <c r="BP10" s="129"/>
      <c r="BQ10" s="129"/>
      <c r="BR10" s="130"/>
      <c r="BS10" s="129"/>
      <c r="BT10" s="129"/>
      <c r="BU10" s="129"/>
      <c r="BV10" s="129"/>
      <c r="BW10" s="129"/>
      <c r="BX10" s="130"/>
      <c r="BY10" s="129"/>
      <c r="BZ10" s="129"/>
      <c r="CA10" s="129"/>
      <c r="CB10" s="130"/>
      <c r="CC10" s="129"/>
      <c r="CD10" s="130"/>
      <c r="CE10" s="131"/>
    </row>
    <row r="11" spans="1:83" ht="15" thickBot="1">
      <c r="A11" s="112">
        <v>5</v>
      </c>
      <c r="B11" s="113" t="s">
        <v>194</v>
      </c>
      <c r="C11" s="114">
        <f>[1]人員・時間計画!$D$10</f>
        <v>2</v>
      </c>
      <c r="D11" s="114">
        <f>[2]人員・時間計画!$D10</f>
        <v>0</v>
      </c>
      <c r="E11" s="114">
        <f>[3]人員・時間計画!$D10</f>
        <v>0</v>
      </c>
      <c r="F11" s="114">
        <f>[4]人員・時間計画!$D10</f>
        <v>0</v>
      </c>
      <c r="G11" s="114">
        <f>[17]人員・時間計画!$D10</f>
        <v>0</v>
      </c>
      <c r="H11" s="115">
        <f>SUM(C11:G11)</f>
        <v>2</v>
      </c>
      <c r="I11" s="114">
        <f>[5]人員・時間計画!$D10</f>
        <v>1</v>
      </c>
      <c r="J11" s="114">
        <f>[18]人員・時間計画!$D10</f>
        <v>0</v>
      </c>
      <c r="K11" s="114">
        <f>[19]人員・時間計画!$D10</f>
        <v>0</v>
      </c>
      <c r="L11" s="114">
        <f>[20]人員・時間計画!$D10</f>
        <v>0</v>
      </c>
      <c r="M11" s="115">
        <f>SUM(I11:L11)</f>
        <v>1</v>
      </c>
      <c r="N11" s="114">
        <f>[6]人員・時間計画!$D10</f>
        <v>1</v>
      </c>
      <c r="O11" s="114">
        <f>'[21]Kế hoạch số người - thời gian'!$D10</f>
        <v>2</v>
      </c>
      <c r="P11" s="114">
        <f>[22]人員・時間計画!$D10</f>
        <v>0</v>
      </c>
      <c r="Q11" s="114">
        <f>[23]人員・時間計画!$D10</f>
        <v>0</v>
      </c>
      <c r="R11" s="115">
        <f>SUM(N11:Q11)</f>
        <v>3</v>
      </c>
      <c r="S11" s="114">
        <f>'[7]人員・時間計画 '!$D10</f>
        <v>2</v>
      </c>
      <c r="T11" s="115">
        <f>S11</f>
        <v>2</v>
      </c>
      <c r="U11" s="114">
        <f>[26]人員・時間計画!$D10</f>
        <v>1</v>
      </c>
      <c r="V11" s="114">
        <f>[27]人員・時間計画!$D10</f>
        <v>0</v>
      </c>
      <c r="W11" s="114">
        <f>[28]人員・時間計画!$D10</f>
        <v>0</v>
      </c>
      <c r="X11" s="114">
        <f>[29]人員・時間計画!D10</f>
        <v>0</v>
      </c>
      <c r="Y11" s="115">
        <f>SUM(U11:X11)</f>
        <v>1</v>
      </c>
      <c r="Z11" s="114">
        <f>[30]人員・時間計画!$D10</f>
        <v>0</v>
      </c>
      <c r="AA11" s="114">
        <f>[60]人員・時間計画!$D10</f>
        <v>0</v>
      </c>
      <c r="AB11" s="114">
        <f>[31]人員・時間計画!D10</f>
        <v>1</v>
      </c>
      <c r="AC11" s="115">
        <f>SUM(Z11:AB11)</f>
        <v>1</v>
      </c>
      <c r="AD11" s="114">
        <f>[24]人員・時間計画!$D10</f>
        <v>2</v>
      </c>
      <c r="AE11" s="114">
        <f>[25]人員・時間計画!$D10</f>
        <v>0</v>
      </c>
      <c r="AF11" s="115">
        <f>SUM(AD11:AE11)</f>
        <v>2</v>
      </c>
      <c r="AG11" s="114">
        <f>[37]人員・時間計画!$D10</f>
        <v>0</v>
      </c>
      <c r="AH11" s="114">
        <f>[38]人員・時間計画!$D10</f>
        <v>0</v>
      </c>
      <c r="AI11" s="114">
        <f>[39]人員・時間計画!$D10</f>
        <v>2</v>
      </c>
      <c r="AJ11" s="115">
        <f>SUM(AG11:AI11)</f>
        <v>2</v>
      </c>
      <c r="AK11" s="115">
        <f>AJ11+AF11+AC11+Y11+T11+R11+M11+H11</f>
        <v>14</v>
      </c>
      <c r="AL11" s="114">
        <f>[32]人員・時間計画!$D10</f>
        <v>0</v>
      </c>
      <c r="AM11" s="114">
        <f>[33]人員・時間計画!D10</f>
        <v>2</v>
      </c>
      <c r="AN11" s="114">
        <f>[34]人員・時間計画!$D10</f>
        <v>0</v>
      </c>
      <c r="AO11" s="114">
        <f>[35]人員・時間計画!$D10</f>
        <v>0</v>
      </c>
      <c r="AP11" s="114">
        <f>[36]人員・時間計画!$D10</f>
        <v>1</v>
      </c>
      <c r="AQ11" s="115">
        <f>SUM(AL11:AP11)</f>
        <v>3</v>
      </c>
      <c r="AR11" s="114">
        <f>[41]人員・時間計画!$D10</f>
        <v>1</v>
      </c>
      <c r="AS11" s="114">
        <f>[42]人員・時間計画!$D10</f>
        <v>1</v>
      </c>
      <c r="AT11" s="114">
        <f>[43]人員・時間計画!$D10</f>
        <v>0</v>
      </c>
      <c r="AU11" s="115">
        <f>SUM(AR11:AT11)</f>
        <v>2</v>
      </c>
      <c r="AV11" s="114">
        <f>[40]人員・時間計画!$D10</f>
        <v>2</v>
      </c>
      <c r="AW11" s="115">
        <f>AV11</f>
        <v>2</v>
      </c>
      <c r="AX11" s="115">
        <f>AQ11+AU11+AW11</f>
        <v>7</v>
      </c>
      <c r="AY11" s="114">
        <f>[8]人員・時間計画!$D10</f>
        <v>0</v>
      </c>
      <c r="AZ11" s="114">
        <f>[9]人員・時間計画!$D10</f>
        <v>9</v>
      </c>
      <c r="BA11" s="114">
        <f>[10]人員・時間計画!$D10</f>
        <v>1</v>
      </c>
      <c r="BB11" s="114">
        <f>[11]人員・時間計画!$D10</f>
        <v>1</v>
      </c>
      <c r="BC11" s="114">
        <f>[12]人員・時間計画!$D10</f>
        <v>1</v>
      </c>
      <c r="BD11" s="114">
        <f>[13]人員・時間計画!$D10</f>
        <v>0</v>
      </c>
      <c r="BE11" s="114">
        <f>[14]人員・時間計画!$D10</f>
        <v>1</v>
      </c>
      <c r="BF11" s="114">
        <f>[15]人員・時間計画!$D10</f>
        <v>1</v>
      </c>
      <c r="BG11" s="114">
        <f>[16]人員・時間計画!$D10</f>
        <v>0</v>
      </c>
      <c r="BH11" s="115">
        <f>SUM(AY11:BG11)</f>
        <v>14</v>
      </c>
      <c r="BI11" s="115">
        <f>BH11</f>
        <v>14</v>
      </c>
      <c r="BJ11" s="114">
        <f>[44]人員・時間計画!$D10</f>
        <v>2</v>
      </c>
      <c r="BK11" s="114">
        <f>[45]人員・時間計画!$D10</f>
        <v>0</v>
      </c>
      <c r="BL11" s="115">
        <f>SUM(BJ11:BK11)</f>
        <v>2</v>
      </c>
      <c r="BM11" s="114">
        <f>[46]人員・時間計画!$D10</f>
        <v>1</v>
      </c>
      <c r="BN11" s="114">
        <f>[47]人員・時間計画!$D10</f>
        <v>1</v>
      </c>
      <c r="BO11" s="114">
        <f>[48]人員・時間計画!$D10</f>
        <v>1</v>
      </c>
      <c r="BP11" s="114">
        <f>[49]人員・時間計画!$D10</f>
        <v>0</v>
      </c>
      <c r="BQ11" s="114">
        <f>[50]人員・時間計画!$D10</f>
        <v>2</v>
      </c>
      <c r="BR11" s="115">
        <f>SUM(BM11:BQ11)</f>
        <v>5</v>
      </c>
      <c r="BS11" s="114">
        <f>[51]人員・時間計画!$D10</f>
        <v>1</v>
      </c>
      <c r="BT11" s="114">
        <f>[52]人員・時間計画!$D10</f>
        <v>1</v>
      </c>
      <c r="BU11" s="114">
        <f>[53]人員・時間計画!$D10</f>
        <v>0</v>
      </c>
      <c r="BV11" s="114">
        <f>[54]人員・時間計画!$D10</f>
        <v>1</v>
      </c>
      <c r="BW11" s="114">
        <f>[55]人員・時間計画!$D10</f>
        <v>0</v>
      </c>
      <c r="BX11" s="115">
        <f>SUM(BS11:BW11)</f>
        <v>3</v>
      </c>
      <c r="BY11" s="114">
        <f>[56]人員・時間計画!$D10</f>
        <v>0</v>
      </c>
      <c r="BZ11" s="114">
        <f>[57]人員・時間計画!$D10</f>
        <v>1</v>
      </c>
      <c r="CA11" s="114">
        <f>[59]人員・時間計画!$D10</f>
        <v>1</v>
      </c>
      <c r="CB11" s="115">
        <f>SUM(BY11:CA11)</f>
        <v>2</v>
      </c>
      <c r="CC11" s="114">
        <f>[58]人員・時間計画!$D10</f>
        <v>1</v>
      </c>
      <c r="CD11" s="115">
        <f>CC11</f>
        <v>1</v>
      </c>
      <c r="CE11" s="115">
        <f>CD11+CB11+BX11+BR11+BL11+BI11+AX11+AK11</f>
        <v>48</v>
      </c>
    </row>
    <row r="12" spans="1:83">
      <c r="A12" s="112">
        <v>5</v>
      </c>
      <c r="B12" s="116" t="s">
        <v>139</v>
      </c>
      <c r="C12" s="114">
        <f>[1]人員・時間計画!$D$11</f>
        <v>77</v>
      </c>
      <c r="D12" s="114">
        <f>[2]人員・時間計画!$D11</f>
        <v>100</v>
      </c>
      <c r="E12" s="132">
        <f>[3]人員・時間計画!$D11</f>
        <v>81</v>
      </c>
      <c r="F12" s="132">
        <f>[4]人員・時間計画!$D11</f>
        <v>0</v>
      </c>
      <c r="G12" s="132">
        <f>[17]人員・時間計画!$D11</f>
        <v>21</v>
      </c>
      <c r="H12" s="115">
        <f t="shared" ref="H12:H13" si="25">SUM(C12:G12)</f>
        <v>279</v>
      </c>
      <c r="I12" s="132">
        <f>[5]人員・時間計画!$D11</f>
        <v>22</v>
      </c>
      <c r="J12" s="132">
        <f>[18]人員・時間計画!$D11</f>
        <v>14</v>
      </c>
      <c r="K12" s="114">
        <f>[19]人員・時間計画!$D11</f>
        <v>6</v>
      </c>
      <c r="L12" s="114">
        <f>[20]人員・時間計画!$D11</f>
        <v>11</v>
      </c>
      <c r="M12" s="115">
        <f t="shared" ref="M12:M13" si="26">SUM(I12:L12)</f>
        <v>53</v>
      </c>
      <c r="N12" s="132">
        <f>[6]人員・時間計画!$D11</f>
        <v>16</v>
      </c>
      <c r="O12" s="132">
        <f>'[21]Kế hoạch số người - thời gian'!$D11</f>
        <v>23</v>
      </c>
      <c r="P12" s="114">
        <f>[22]人員・時間計画!$D11</f>
        <v>9</v>
      </c>
      <c r="Q12" s="114">
        <f>[23]人員・時間計画!$D11</f>
        <v>12</v>
      </c>
      <c r="R12" s="115">
        <f>SUM(N12:Q12)</f>
        <v>60</v>
      </c>
      <c r="S12" s="114">
        <f>'[7]人員・時間計画 '!$D11</f>
        <v>15</v>
      </c>
      <c r="T12" s="115">
        <f t="shared" ref="T12:T13" si="27">S12</f>
        <v>15</v>
      </c>
      <c r="U12" s="114">
        <f>[26]人員・時間計画!$D11</f>
        <v>10</v>
      </c>
      <c r="V12" s="114">
        <f>[27]人員・時間計画!$D11</f>
        <v>6</v>
      </c>
      <c r="W12" s="114">
        <f>[28]人員・時間計画!$D11</f>
        <v>16</v>
      </c>
      <c r="X12" s="114">
        <f>[29]人員・時間計画!D11</f>
        <v>3</v>
      </c>
      <c r="Y12" s="115">
        <f t="shared" ref="Y12:Y13" si="28">SUM(U12:X12)</f>
        <v>35</v>
      </c>
      <c r="Z12" s="132">
        <f>[30]人員・時間計画!$D11</f>
        <v>35</v>
      </c>
      <c r="AA12" s="132">
        <f>[60]人員・時間計画!$D11</f>
        <v>11</v>
      </c>
      <c r="AB12" s="114">
        <f>[31]人員・時間計画!D11</f>
        <v>12</v>
      </c>
      <c r="AC12" s="115">
        <f t="shared" ref="AC12:AC13" si="29">SUM(Z12:AB12)</f>
        <v>58</v>
      </c>
      <c r="AD12" s="132">
        <f>[24]人員・時間計画!$D11</f>
        <v>94</v>
      </c>
      <c r="AE12" s="132">
        <f>[25]人員・時間計画!$D11</f>
        <v>7</v>
      </c>
      <c r="AF12" s="115">
        <f t="shared" ref="AF12:AF13" si="30">SUM(AD12:AE12)</f>
        <v>101</v>
      </c>
      <c r="AG12" s="132">
        <f>[37]人員・時間計画!$D11</f>
        <v>25</v>
      </c>
      <c r="AH12" s="132">
        <f>[38]人員・時間計画!$D11</f>
        <v>23</v>
      </c>
      <c r="AI12" s="132">
        <f>[39]人員・時間計画!$D11</f>
        <v>27</v>
      </c>
      <c r="AJ12" s="115">
        <f t="shared" ref="AJ12:AJ13" si="31">SUM(AG12:AI12)</f>
        <v>75</v>
      </c>
      <c r="AK12" s="115">
        <f t="shared" ref="AK12:AK15" si="32">AJ12+AF12+AC12+Y12+T12+R12+M12+H12</f>
        <v>676</v>
      </c>
      <c r="AL12" s="132">
        <f>[32]人員・時間計画!$D11</f>
        <v>14</v>
      </c>
      <c r="AM12" s="132">
        <f>[33]人員・時間計画!D11</f>
        <v>21</v>
      </c>
      <c r="AN12" s="132">
        <f>[34]人員・時間計画!$D11</f>
        <v>13</v>
      </c>
      <c r="AO12" s="114">
        <f>[35]人員・時間計画!$D11</f>
        <v>9</v>
      </c>
      <c r="AP12" s="132">
        <f>[36]人員・時間計画!$D11</f>
        <v>18</v>
      </c>
      <c r="AQ12" s="115">
        <f t="shared" ref="AQ12:AQ13" si="33">SUM(AL12:AP12)</f>
        <v>75</v>
      </c>
      <c r="AR12" s="132">
        <f>[41]人員・時間計画!$D11</f>
        <v>17</v>
      </c>
      <c r="AS12" s="132">
        <f>[42]人員・時間計画!$D11</f>
        <v>13</v>
      </c>
      <c r="AT12" s="132">
        <f>[43]人員・時間計画!$D11</f>
        <v>22</v>
      </c>
      <c r="AU12" s="115">
        <f t="shared" ref="AU12:AU13" si="34">SUM(AR12:AT12)</f>
        <v>52</v>
      </c>
      <c r="AV12" s="114">
        <f>[40]人員・時間計画!$D11</f>
        <v>21</v>
      </c>
      <c r="AW12" s="115">
        <f t="shared" ref="AW12:AW13" si="35">AV12</f>
        <v>21</v>
      </c>
      <c r="AX12" s="115">
        <f t="shared" ref="AX12:AX15" si="36">AQ12+AU12+AW12</f>
        <v>148</v>
      </c>
      <c r="AY12" s="132">
        <f>[8]人員・時間計画!$D11</f>
        <v>8</v>
      </c>
      <c r="AZ12" s="132">
        <f>[9]人員・時間計画!$D11</f>
        <v>9</v>
      </c>
      <c r="BA12" s="132">
        <f>[10]人員・時間計画!$D11</f>
        <v>11</v>
      </c>
      <c r="BB12" s="132">
        <f>[11]人員・時間計画!$D11</f>
        <v>15</v>
      </c>
      <c r="BC12" s="114">
        <f>[12]人員・時間計画!$D11</f>
        <v>7</v>
      </c>
      <c r="BD12" s="132">
        <f>[13]人員・時間計画!$D11</f>
        <v>9</v>
      </c>
      <c r="BE12" s="114">
        <f>[14]人員・時間計画!$D11</f>
        <v>7</v>
      </c>
      <c r="BF12" s="132">
        <f>[15]人員・時間計画!$D11</f>
        <v>11</v>
      </c>
      <c r="BG12" s="132">
        <f>[16]人員・時間計画!$D11</f>
        <v>10</v>
      </c>
      <c r="BH12" s="115">
        <f t="shared" ref="BH12:BH15" si="37">SUM(AY12:BG12)</f>
        <v>87</v>
      </c>
      <c r="BI12" s="115">
        <f t="shared" ref="BI12:BI13" si="38">BH12</f>
        <v>87</v>
      </c>
      <c r="BJ12" s="132">
        <f>[44]人員・時間計画!$D11</f>
        <v>11</v>
      </c>
      <c r="BK12" s="132">
        <f>[45]人員・時間計画!$D11</f>
        <v>13</v>
      </c>
      <c r="BL12" s="115">
        <f t="shared" ref="BL12:BL13" si="39">SUM(BJ12:BK12)</f>
        <v>24</v>
      </c>
      <c r="BM12" s="132">
        <f>[46]人員・時間計画!$D11</f>
        <v>17</v>
      </c>
      <c r="BN12" s="132">
        <f>[47]人員・時間計画!$D11</f>
        <v>4</v>
      </c>
      <c r="BO12" s="132">
        <f>[48]人員・時間計画!$D11</f>
        <v>6</v>
      </c>
      <c r="BP12" s="132">
        <f>[49]人員・時間計画!$D11</f>
        <v>8</v>
      </c>
      <c r="BQ12" s="132">
        <f>[50]人員・時間計画!$D11</f>
        <v>4</v>
      </c>
      <c r="BR12" s="115">
        <f t="shared" ref="BR12:BR15" si="40">SUM(BM12:BQ12)</f>
        <v>39</v>
      </c>
      <c r="BS12" s="132">
        <f>[51]人員・時間計画!$D11</f>
        <v>11</v>
      </c>
      <c r="BT12" s="132">
        <f>[52]人員・時間計画!$D11</f>
        <v>16</v>
      </c>
      <c r="BU12" s="132">
        <f>[53]人員・時間計画!$D11</f>
        <v>11</v>
      </c>
      <c r="BV12" s="132">
        <f>[54]人員・時間計画!$D11</f>
        <v>6</v>
      </c>
      <c r="BW12" s="132">
        <f>[55]人員・時間計画!$D11</f>
        <v>3</v>
      </c>
      <c r="BX12" s="115">
        <f t="shared" ref="BX12:BX15" si="41">SUM(BS12:BW12)</f>
        <v>47</v>
      </c>
      <c r="BY12" s="132">
        <f>[56]人員・時間計画!$D11</f>
        <v>12</v>
      </c>
      <c r="BZ12" s="132">
        <f>[57]人員・時間計画!$D11</f>
        <v>8</v>
      </c>
      <c r="CA12" s="132">
        <f>[59]人員・時間計画!$D11</f>
        <v>17</v>
      </c>
      <c r="CB12" s="115">
        <f t="shared" ref="CB12:CB13" si="42">SUM(BY12:CA12)</f>
        <v>37</v>
      </c>
      <c r="CC12" s="132">
        <f>[58]人員・時間計画!$D11</f>
        <v>13</v>
      </c>
      <c r="CD12" s="115">
        <f t="shared" ref="CD12:CD13" si="43">CC12</f>
        <v>13</v>
      </c>
      <c r="CE12" s="115">
        <f>CD12+CB12+BX12+BR12+BL12+BI12+AX12+AK12</f>
        <v>1071</v>
      </c>
    </row>
    <row r="13" spans="1:83">
      <c r="A13" s="112">
        <v>5</v>
      </c>
      <c r="B13" s="117" t="s">
        <v>140</v>
      </c>
      <c r="C13" s="114">
        <f>[1]人員・時間計画!$D$12</f>
        <v>965</v>
      </c>
      <c r="D13" s="114">
        <f>[2]人員・時間計画!$D12</f>
        <v>1454</v>
      </c>
      <c r="E13" s="119">
        <f>[3]人員・時間計画!$D12</f>
        <v>1000</v>
      </c>
      <c r="F13" s="119">
        <f>[4]人員・時間計画!$D12</f>
        <v>0</v>
      </c>
      <c r="G13" s="119">
        <f>[17]人員・時間計画!$D12</f>
        <v>7</v>
      </c>
      <c r="H13" s="118">
        <f t="shared" si="25"/>
        <v>3426</v>
      </c>
      <c r="I13" s="119">
        <f>[5]人員・時間計画!$D12</f>
        <v>297</v>
      </c>
      <c r="J13" s="119">
        <f>[18]人員・時間計画!$D12</f>
        <v>10</v>
      </c>
      <c r="K13" s="114">
        <f>[19]人員・時間計画!$D12</f>
        <v>6</v>
      </c>
      <c r="L13" s="114">
        <f>[20]人員・時間計画!$D12</f>
        <v>14</v>
      </c>
      <c r="M13" s="118">
        <f t="shared" si="26"/>
        <v>327</v>
      </c>
      <c r="N13" s="119">
        <f>[6]人員・時間計画!$D12</f>
        <v>125</v>
      </c>
      <c r="O13" s="119">
        <f>'[21]Kế hoạch số người - thời gian'!$D12</f>
        <v>9</v>
      </c>
      <c r="P13" s="119">
        <f>[22]人員・時間計画!$D12</f>
        <v>0</v>
      </c>
      <c r="Q13" s="119">
        <f>[23]人員・時間計画!$D12</f>
        <v>13</v>
      </c>
      <c r="R13" s="118">
        <f>SUM(N13:Q13)</f>
        <v>147</v>
      </c>
      <c r="S13" s="119">
        <f>'[7]人員・時間計画 '!$D12</f>
        <v>14</v>
      </c>
      <c r="T13" s="118">
        <f t="shared" si="27"/>
        <v>14</v>
      </c>
      <c r="U13" s="114">
        <f>[26]人員・時間計画!$D12</f>
        <v>0</v>
      </c>
      <c r="V13" s="114">
        <f>[27]人員・時間計画!$D12</f>
        <v>0</v>
      </c>
      <c r="W13" s="114">
        <f>[28]人員・時間計画!$D12</f>
        <v>1</v>
      </c>
      <c r="X13" s="114">
        <f>[29]人員・時間計画!D12</f>
        <v>0</v>
      </c>
      <c r="Y13" s="118">
        <f t="shared" si="28"/>
        <v>1</v>
      </c>
      <c r="Z13" s="119">
        <f>[30]人員・時間計画!$D12</f>
        <v>344</v>
      </c>
      <c r="AA13" s="119">
        <f>[60]人員・時間計画!$D12</f>
        <v>53</v>
      </c>
      <c r="AB13" s="114">
        <f>[31]人員・時間計画!D12</f>
        <v>5</v>
      </c>
      <c r="AC13" s="118">
        <f t="shared" si="29"/>
        <v>402</v>
      </c>
      <c r="AD13" s="119">
        <f>[24]人員・時間計画!$D12</f>
        <v>102</v>
      </c>
      <c r="AE13" s="119">
        <f>[25]人員・時間計画!$D12</f>
        <v>1</v>
      </c>
      <c r="AF13" s="118">
        <f t="shared" si="30"/>
        <v>103</v>
      </c>
      <c r="AG13" s="119">
        <f>[37]人員・時間計画!$D12</f>
        <v>79</v>
      </c>
      <c r="AH13" s="119">
        <f>[38]人員・時間計画!$D12</f>
        <v>22</v>
      </c>
      <c r="AI13" s="119">
        <f>[39]人員・時間計画!$D12</f>
        <v>4</v>
      </c>
      <c r="AJ13" s="118">
        <f t="shared" si="31"/>
        <v>105</v>
      </c>
      <c r="AK13" s="118">
        <f t="shared" si="32"/>
        <v>4525</v>
      </c>
      <c r="AL13" s="119">
        <f>[32]人員・時間計画!$D12</f>
        <v>0</v>
      </c>
      <c r="AM13" s="119">
        <f>[33]人員・時間計画!D12</f>
        <v>0</v>
      </c>
      <c r="AN13" s="119">
        <f>[34]人員・時間計画!$D12</f>
        <v>0</v>
      </c>
      <c r="AO13" s="114">
        <f>[35]人員・時間計画!$D12</f>
        <v>0</v>
      </c>
      <c r="AP13" s="119">
        <f>[36]人員・時間計画!$D12</f>
        <v>0</v>
      </c>
      <c r="AQ13" s="118">
        <f t="shared" si="33"/>
        <v>0</v>
      </c>
      <c r="AR13" s="119">
        <f>[41]人員・時間計画!$D12</f>
        <v>0</v>
      </c>
      <c r="AS13" s="119">
        <f>[42]人員・時間計画!$D12</f>
        <v>0</v>
      </c>
      <c r="AT13" s="119">
        <f>[43]人員・時間計画!$D12</f>
        <v>0</v>
      </c>
      <c r="AU13" s="118">
        <f t="shared" si="34"/>
        <v>0</v>
      </c>
      <c r="AV13" s="119">
        <f>[40]人員・時間計画!$D12</f>
        <v>0</v>
      </c>
      <c r="AW13" s="118">
        <f t="shared" si="35"/>
        <v>0</v>
      </c>
      <c r="AX13" s="118">
        <f t="shared" si="36"/>
        <v>0</v>
      </c>
      <c r="AY13" s="119">
        <f>[8]人員・時間計画!$D12</f>
        <v>0</v>
      </c>
      <c r="AZ13" s="119">
        <f>[9]人員・時間計画!$D12</f>
        <v>0</v>
      </c>
      <c r="BA13" s="119">
        <f>[10]人員・時間計画!$D12</f>
        <v>0</v>
      </c>
      <c r="BB13" s="119">
        <f>[11]人員・時間計画!$D12</f>
        <v>0</v>
      </c>
      <c r="BC13" s="114">
        <f>[12]人員・時間計画!$D12</f>
        <v>0</v>
      </c>
      <c r="BD13" s="119">
        <f>[13]人員・時間計画!$D12</f>
        <v>0</v>
      </c>
      <c r="BE13" s="114">
        <f>[14]人員・時間計画!$D12</f>
        <v>0</v>
      </c>
      <c r="BF13" s="119">
        <f>[15]人員・時間計画!$D12</f>
        <v>0</v>
      </c>
      <c r="BG13" s="119">
        <f>[16]人員・時間計画!$D12</f>
        <v>0</v>
      </c>
      <c r="BH13" s="118">
        <f t="shared" si="37"/>
        <v>0</v>
      </c>
      <c r="BI13" s="118">
        <f t="shared" si="38"/>
        <v>0</v>
      </c>
      <c r="BJ13" s="119">
        <f>[44]人員・時間計画!$D12</f>
        <v>1</v>
      </c>
      <c r="BK13" s="119">
        <f>[45]人員・時間計画!$D12</f>
        <v>32</v>
      </c>
      <c r="BL13" s="118">
        <f t="shared" si="39"/>
        <v>33</v>
      </c>
      <c r="BM13" s="119">
        <f>[46]人員・時間計画!$D12</f>
        <v>0</v>
      </c>
      <c r="BN13" s="119">
        <f>[47]人員・時間計画!$D12</f>
        <v>0</v>
      </c>
      <c r="BO13" s="119">
        <f>[48]人員・時間計画!$D12</f>
        <v>0</v>
      </c>
      <c r="BP13" s="119">
        <f>[49]人員・時間計画!$D12</f>
        <v>0</v>
      </c>
      <c r="BQ13" s="119">
        <f>[50]人員・時間計画!$D12</f>
        <v>0</v>
      </c>
      <c r="BR13" s="118">
        <f t="shared" si="40"/>
        <v>0</v>
      </c>
      <c r="BS13" s="119">
        <f>[51]人員・時間計画!$D12</f>
        <v>6</v>
      </c>
      <c r="BT13" s="119">
        <f>[52]人員・時間計画!$D12</f>
        <v>0</v>
      </c>
      <c r="BU13" s="119">
        <f>[53]人員・時間計画!$D12</f>
        <v>3</v>
      </c>
      <c r="BV13" s="119">
        <f>[54]人員・時間計画!$D12</f>
        <v>0</v>
      </c>
      <c r="BW13" s="119">
        <f>[55]人員・時間計画!$D12</f>
        <v>67</v>
      </c>
      <c r="BX13" s="118">
        <f t="shared" si="41"/>
        <v>76</v>
      </c>
      <c r="BY13" s="119">
        <f>[56]人員・時間計画!$D12</f>
        <v>0</v>
      </c>
      <c r="BZ13" s="119">
        <f>[57]人員・時間計画!$D12</f>
        <v>0</v>
      </c>
      <c r="CA13" s="119">
        <f>[59]人員・時間計画!$D12</f>
        <v>0</v>
      </c>
      <c r="CB13" s="118">
        <f t="shared" si="42"/>
        <v>0</v>
      </c>
      <c r="CC13" s="119">
        <f>[58]人員・時間計画!$D12</f>
        <v>0</v>
      </c>
      <c r="CD13" s="118">
        <f t="shared" si="43"/>
        <v>0</v>
      </c>
      <c r="CE13" s="118">
        <f>CD13+CB13+BX13+BR13+BL13+BI13+AX13+AK13</f>
        <v>4634</v>
      </c>
    </row>
    <row r="14" spans="1:83">
      <c r="A14" s="112">
        <v>5</v>
      </c>
      <c r="B14" s="120" t="s">
        <v>195</v>
      </c>
      <c r="C14" s="121">
        <f>[1]人員・時間計画!$D$13</f>
        <v>1042</v>
      </c>
      <c r="D14" s="114">
        <f>[2]人員・時間計画!$D13</f>
        <v>1554</v>
      </c>
      <c r="E14" s="121">
        <f>[3]人員・時間計画!$D13</f>
        <v>1081</v>
      </c>
      <c r="F14" s="121">
        <f>[4]人員・時間計画!$D13</f>
        <v>0</v>
      </c>
      <c r="G14" s="121">
        <f>[17]人員・時間計画!$D13</f>
        <v>28</v>
      </c>
      <c r="H14" s="122">
        <f>SUM(H12:H13)</f>
        <v>3705</v>
      </c>
      <c r="I14" s="121">
        <f>[5]人員・時間計画!$D13</f>
        <v>319</v>
      </c>
      <c r="J14" s="121">
        <f>[18]人員・時間計画!$D13</f>
        <v>24</v>
      </c>
      <c r="K14" s="114">
        <f>[19]人員・時間計画!$D13</f>
        <v>12</v>
      </c>
      <c r="L14" s="114">
        <f>[20]人員・時間計画!$D13</f>
        <v>25</v>
      </c>
      <c r="M14" s="122">
        <f>SUM(M12:M13)</f>
        <v>380</v>
      </c>
      <c r="N14" s="121">
        <f>[6]人員・時間計画!$D13</f>
        <v>141</v>
      </c>
      <c r="O14" s="121">
        <f>'[21]Kế hoạch số người - thời gian'!$D13</f>
        <v>32</v>
      </c>
      <c r="P14" s="121">
        <f>[22]人員・時間計画!$D13</f>
        <v>9</v>
      </c>
      <c r="Q14" s="121">
        <f>[23]人員・時間計画!$D13</f>
        <v>25</v>
      </c>
      <c r="R14" s="122">
        <f>SUM(R12:R13)</f>
        <v>207</v>
      </c>
      <c r="S14" s="121">
        <f>'[7]人員・時間計画 '!$D13</f>
        <v>29</v>
      </c>
      <c r="T14" s="122">
        <f t="shared" ref="T14" si="44">SUM(T12:T13)</f>
        <v>29</v>
      </c>
      <c r="U14" s="114">
        <f>[26]人員・時間計画!$D13</f>
        <v>10</v>
      </c>
      <c r="V14" s="114">
        <f>[27]人員・時間計画!$D13</f>
        <v>6</v>
      </c>
      <c r="W14" s="114">
        <f>[28]人員・時間計画!$D13</f>
        <v>17</v>
      </c>
      <c r="X14" s="114">
        <f>[29]人員・時間計画!D13</f>
        <v>3</v>
      </c>
      <c r="Y14" s="122">
        <f>SUM(Y12:Y13)</f>
        <v>36</v>
      </c>
      <c r="Z14" s="121">
        <f>[30]人員・時間計画!$D13</f>
        <v>379</v>
      </c>
      <c r="AA14" s="121">
        <f>[60]人員・時間計画!$D13</f>
        <v>64</v>
      </c>
      <c r="AB14" s="114">
        <f>[31]人員・時間計画!D13</f>
        <v>17</v>
      </c>
      <c r="AC14" s="122">
        <f t="shared" ref="AC14" si="45">SUM(AC12:AC13)</f>
        <v>460</v>
      </c>
      <c r="AD14" s="121">
        <f>[24]人員・時間計画!$D13</f>
        <v>196</v>
      </c>
      <c r="AE14" s="121">
        <f>[25]人員・時間計画!$D13</f>
        <v>8</v>
      </c>
      <c r="AF14" s="122">
        <f>SUM(AF12:AF13)</f>
        <v>204</v>
      </c>
      <c r="AG14" s="121">
        <f>[37]人員・時間計画!$D13</f>
        <v>104</v>
      </c>
      <c r="AH14" s="121">
        <f>[38]人員・時間計画!$D13</f>
        <v>45</v>
      </c>
      <c r="AI14" s="121">
        <f>[39]人員・時間計画!$D13</f>
        <v>31</v>
      </c>
      <c r="AJ14" s="122">
        <f t="shared" ref="AJ14" si="46">SUM(AJ12:AJ13)</f>
        <v>180</v>
      </c>
      <c r="AK14" s="122">
        <f t="shared" si="32"/>
        <v>5201</v>
      </c>
      <c r="AL14" s="121">
        <f>[32]人員・時間計画!$D13</f>
        <v>14</v>
      </c>
      <c r="AM14" s="121">
        <f>[33]人員・時間計画!D13</f>
        <v>21</v>
      </c>
      <c r="AN14" s="121">
        <f>[34]人員・時間計画!$D13</f>
        <v>13</v>
      </c>
      <c r="AO14" s="114">
        <f>[35]人員・時間計画!$D13</f>
        <v>9</v>
      </c>
      <c r="AP14" s="121">
        <f>[36]人員・時間計画!$D13</f>
        <v>18</v>
      </c>
      <c r="AQ14" s="122">
        <f>SUM(AQ12:AQ13)</f>
        <v>75</v>
      </c>
      <c r="AR14" s="121">
        <f>[41]人員・時間計画!$D13</f>
        <v>17</v>
      </c>
      <c r="AS14" s="121">
        <f>[42]人員・時間計画!$D13</f>
        <v>13</v>
      </c>
      <c r="AT14" s="121">
        <f>[43]人員・時間計画!$D13</f>
        <v>22</v>
      </c>
      <c r="AU14" s="122">
        <f>SUM(AU12:AU13)</f>
        <v>52</v>
      </c>
      <c r="AV14" s="121">
        <f>[40]人員・時間計画!$D13</f>
        <v>21</v>
      </c>
      <c r="AW14" s="122">
        <f>SUM(AW12:AW13)</f>
        <v>21</v>
      </c>
      <c r="AX14" s="122">
        <f t="shared" si="36"/>
        <v>148</v>
      </c>
      <c r="AY14" s="121">
        <f>[8]人員・時間計画!$D13</f>
        <v>8</v>
      </c>
      <c r="AZ14" s="121">
        <f>[9]人員・時間計画!$D13</f>
        <v>9</v>
      </c>
      <c r="BA14" s="121">
        <f>[10]人員・時間計画!$D13</f>
        <v>11</v>
      </c>
      <c r="BB14" s="121">
        <f>[11]人員・時間計画!$D13</f>
        <v>15</v>
      </c>
      <c r="BC14" s="114">
        <f>[12]人員・時間計画!$D13</f>
        <v>7</v>
      </c>
      <c r="BD14" s="121">
        <f>[13]人員・時間計画!$D13</f>
        <v>9</v>
      </c>
      <c r="BE14" s="114">
        <f>[14]人員・時間計画!$D13</f>
        <v>7</v>
      </c>
      <c r="BF14" s="121">
        <f>[15]人員・時間計画!$D13</f>
        <v>11</v>
      </c>
      <c r="BG14" s="121">
        <f>[16]人員・時間計画!$D13</f>
        <v>10</v>
      </c>
      <c r="BH14" s="122">
        <f t="shared" si="37"/>
        <v>87</v>
      </c>
      <c r="BI14" s="122">
        <f t="shared" ref="BI14" si="47">SUM(BI12:BI13)</f>
        <v>87</v>
      </c>
      <c r="BJ14" s="121">
        <f>[44]人員・時間計画!$D13</f>
        <v>12</v>
      </c>
      <c r="BK14" s="121">
        <f>[45]人員・時間計画!$D13</f>
        <v>45</v>
      </c>
      <c r="BL14" s="122">
        <f>SUM(BL12:BL13)</f>
        <v>57</v>
      </c>
      <c r="BM14" s="121">
        <f>[46]人員・時間計画!$D13</f>
        <v>17</v>
      </c>
      <c r="BN14" s="121">
        <f>[47]人員・時間計画!$D13</f>
        <v>4</v>
      </c>
      <c r="BO14" s="121">
        <f>[48]人員・時間計画!$D13</f>
        <v>6</v>
      </c>
      <c r="BP14" s="121">
        <f>[49]人員・時間計画!$D13</f>
        <v>8</v>
      </c>
      <c r="BQ14" s="121">
        <f>[50]人員・時間計画!$D13</f>
        <v>4</v>
      </c>
      <c r="BR14" s="122">
        <f t="shared" si="40"/>
        <v>39</v>
      </c>
      <c r="BS14" s="121">
        <f>[51]人員・時間計画!$D13</f>
        <v>17</v>
      </c>
      <c r="BT14" s="121">
        <f>[52]人員・時間計画!$D13</f>
        <v>16</v>
      </c>
      <c r="BU14" s="121">
        <f>[53]人員・時間計画!$D13</f>
        <v>14</v>
      </c>
      <c r="BV14" s="121">
        <f>[54]人員・時間計画!$D13</f>
        <v>6</v>
      </c>
      <c r="BW14" s="121">
        <f>[55]人員・時間計画!$D13</f>
        <v>70</v>
      </c>
      <c r="BX14" s="122">
        <f t="shared" si="41"/>
        <v>123</v>
      </c>
      <c r="BY14" s="121">
        <f>[56]人員・時間計画!$D13</f>
        <v>12</v>
      </c>
      <c r="BZ14" s="121">
        <f>[57]人員・時間計画!$D13</f>
        <v>8</v>
      </c>
      <c r="CA14" s="121">
        <f>[59]人員・時間計画!$D13</f>
        <v>17</v>
      </c>
      <c r="CB14" s="122">
        <f>SUM(CB12:CB13)</f>
        <v>37</v>
      </c>
      <c r="CC14" s="121">
        <f>[58]人員・時間計画!$D13</f>
        <v>13</v>
      </c>
      <c r="CD14" s="122">
        <f>SUM(CD12:CD13)</f>
        <v>13</v>
      </c>
      <c r="CE14" s="122">
        <f>CD14+CB14+BX14+BR14+BL14+BI14+AX14+AK14</f>
        <v>5705</v>
      </c>
    </row>
    <row r="15" spans="1:83" ht="15" thickBot="1">
      <c r="A15" s="112">
        <v>5</v>
      </c>
      <c r="B15" s="123" t="s">
        <v>196</v>
      </c>
      <c r="C15" s="124">
        <f>[1]人員・時間計画!$D$14</f>
        <v>1044</v>
      </c>
      <c r="D15" s="114">
        <f>[2]人員・時間計画!$D14</f>
        <v>1554</v>
      </c>
      <c r="E15" s="124">
        <f>[3]人員・時間計画!$D14</f>
        <v>1081</v>
      </c>
      <c r="F15" s="124">
        <f>[4]人員・時間計画!$D14</f>
        <v>0</v>
      </c>
      <c r="G15" s="124">
        <f>[17]人員・時間計画!$D14</f>
        <v>28</v>
      </c>
      <c r="H15" s="125">
        <f>H14+H11</f>
        <v>3707</v>
      </c>
      <c r="I15" s="124">
        <f>[5]人員・時間計画!$D14</f>
        <v>320</v>
      </c>
      <c r="J15" s="124">
        <f>[18]人員・時間計画!$D14</f>
        <v>24</v>
      </c>
      <c r="K15" s="114">
        <f>[19]人員・時間計画!$D14</f>
        <v>12</v>
      </c>
      <c r="L15" s="114">
        <f>[20]人員・時間計画!$D14</f>
        <v>25</v>
      </c>
      <c r="M15" s="125">
        <f>M14+M11</f>
        <v>381</v>
      </c>
      <c r="N15" s="124">
        <f>[6]人員・時間計画!$D14</f>
        <v>142</v>
      </c>
      <c r="O15" s="124">
        <f>'[21]Kế hoạch số người - thời gian'!$D14</f>
        <v>34</v>
      </c>
      <c r="P15" s="124">
        <f>[22]人員・時間計画!$D14</f>
        <v>9</v>
      </c>
      <c r="Q15" s="124">
        <f>[23]人員・時間計画!$D14</f>
        <v>25</v>
      </c>
      <c r="R15" s="125">
        <f>R14+R11</f>
        <v>210</v>
      </c>
      <c r="S15" s="124">
        <f>'[7]人員・時間計画 '!$D14</f>
        <v>31</v>
      </c>
      <c r="T15" s="125">
        <f t="shared" ref="T15" si="48">T14+T11</f>
        <v>31</v>
      </c>
      <c r="U15" s="114">
        <f>[26]人員・時間計画!$D14</f>
        <v>11</v>
      </c>
      <c r="V15" s="114">
        <f>[27]人員・時間計画!$D14</f>
        <v>6</v>
      </c>
      <c r="W15" s="114">
        <f>[28]人員・時間計画!$D14</f>
        <v>17</v>
      </c>
      <c r="X15" s="114">
        <f>[29]人員・時間計画!D14</f>
        <v>3</v>
      </c>
      <c r="Y15" s="125">
        <f>Y14+Y11</f>
        <v>37</v>
      </c>
      <c r="Z15" s="124">
        <f>[30]人員・時間計画!$D14</f>
        <v>379</v>
      </c>
      <c r="AA15" s="124">
        <f>[60]人員・時間計画!$D14</f>
        <v>64</v>
      </c>
      <c r="AB15" s="114">
        <f>[31]人員・時間計画!D14</f>
        <v>18</v>
      </c>
      <c r="AC15" s="125">
        <f t="shared" ref="AC15" si="49">AC14+AC11</f>
        <v>461</v>
      </c>
      <c r="AD15" s="124">
        <f>[24]人員・時間計画!$D14</f>
        <v>198</v>
      </c>
      <c r="AE15" s="124">
        <f>[25]人員・時間計画!$D14</f>
        <v>8</v>
      </c>
      <c r="AF15" s="125">
        <f>AF14+AF11</f>
        <v>206</v>
      </c>
      <c r="AG15" s="124">
        <f>[37]人員・時間計画!$D14</f>
        <v>104</v>
      </c>
      <c r="AH15" s="124">
        <f>[38]人員・時間計画!$D14</f>
        <v>45</v>
      </c>
      <c r="AI15" s="124">
        <f>[39]人員・時間計画!$D14</f>
        <v>33</v>
      </c>
      <c r="AJ15" s="125">
        <f t="shared" ref="AJ15" si="50">AJ14+AJ11</f>
        <v>182</v>
      </c>
      <c r="AK15" s="125">
        <f t="shared" si="32"/>
        <v>5215</v>
      </c>
      <c r="AL15" s="124">
        <f>[32]人員・時間計画!$D14</f>
        <v>14</v>
      </c>
      <c r="AM15" s="124">
        <f>[33]人員・時間計画!D14</f>
        <v>23</v>
      </c>
      <c r="AN15" s="124">
        <f>[34]人員・時間計画!$D14</f>
        <v>13</v>
      </c>
      <c r="AO15" s="114">
        <f>[35]人員・時間計画!$D14</f>
        <v>9</v>
      </c>
      <c r="AP15" s="124">
        <f>[36]人員・時間計画!$D14</f>
        <v>19</v>
      </c>
      <c r="AQ15" s="125">
        <f>AQ14+AQ11</f>
        <v>78</v>
      </c>
      <c r="AR15" s="124">
        <f>[41]人員・時間計画!$D14</f>
        <v>18</v>
      </c>
      <c r="AS15" s="124">
        <f>[42]人員・時間計画!$D14</f>
        <v>14</v>
      </c>
      <c r="AT15" s="124">
        <f>[43]人員・時間計画!$D14</f>
        <v>22</v>
      </c>
      <c r="AU15" s="125">
        <f>AU14+AU11</f>
        <v>54</v>
      </c>
      <c r="AV15" s="124">
        <f>[40]人員・時間計画!$D14</f>
        <v>23</v>
      </c>
      <c r="AW15" s="125">
        <f>AW14+AW11</f>
        <v>23</v>
      </c>
      <c r="AX15" s="125">
        <f t="shared" si="36"/>
        <v>155</v>
      </c>
      <c r="AY15" s="124">
        <f>[8]人員・時間計画!$D14</f>
        <v>8</v>
      </c>
      <c r="AZ15" s="124">
        <f>[9]人員・時間計画!$D14</f>
        <v>18</v>
      </c>
      <c r="BA15" s="124">
        <f>[10]人員・時間計画!$D14</f>
        <v>12</v>
      </c>
      <c r="BB15" s="124">
        <f>[11]人員・時間計画!$D14</f>
        <v>16</v>
      </c>
      <c r="BC15" s="114">
        <f>[12]人員・時間計画!$D14</f>
        <v>8</v>
      </c>
      <c r="BD15" s="124">
        <f>[13]人員・時間計画!$D14</f>
        <v>9</v>
      </c>
      <c r="BE15" s="114">
        <f>[14]人員・時間計画!$D14</f>
        <v>8</v>
      </c>
      <c r="BF15" s="124">
        <f>[15]人員・時間計画!$D14</f>
        <v>12</v>
      </c>
      <c r="BG15" s="124">
        <f>[16]人員・時間計画!$D14</f>
        <v>10</v>
      </c>
      <c r="BH15" s="125">
        <f t="shared" si="37"/>
        <v>101</v>
      </c>
      <c r="BI15" s="125">
        <f t="shared" ref="BI15" si="51">BI14+BI11</f>
        <v>101</v>
      </c>
      <c r="BJ15" s="124">
        <f>[44]人員・時間計画!$D14</f>
        <v>14</v>
      </c>
      <c r="BK15" s="124">
        <f>[45]人員・時間計画!$D14</f>
        <v>45</v>
      </c>
      <c r="BL15" s="125">
        <f>BL14+BL11</f>
        <v>59</v>
      </c>
      <c r="BM15" s="124">
        <f>[46]人員・時間計画!$D14</f>
        <v>18</v>
      </c>
      <c r="BN15" s="124">
        <f>[47]人員・時間計画!$D14</f>
        <v>5</v>
      </c>
      <c r="BO15" s="124">
        <f>[48]人員・時間計画!$D14</f>
        <v>7</v>
      </c>
      <c r="BP15" s="124">
        <f>[49]人員・時間計画!$D14</f>
        <v>8</v>
      </c>
      <c r="BQ15" s="124">
        <f>[50]人員・時間計画!$D14</f>
        <v>6</v>
      </c>
      <c r="BR15" s="125">
        <f t="shared" si="40"/>
        <v>44</v>
      </c>
      <c r="BS15" s="124">
        <f>[51]人員・時間計画!$D14</f>
        <v>18</v>
      </c>
      <c r="BT15" s="124">
        <f>[52]人員・時間計画!$D14</f>
        <v>17</v>
      </c>
      <c r="BU15" s="124">
        <f>[53]人員・時間計画!$D14</f>
        <v>14</v>
      </c>
      <c r="BV15" s="124">
        <f>[54]人員・時間計画!$D14</f>
        <v>7</v>
      </c>
      <c r="BW15" s="124">
        <f>[55]人員・時間計画!$D14</f>
        <v>70</v>
      </c>
      <c r="BX15" s="125">
        <f t="shared" si="41"/>
        <v>126</v>
      </c>
      <c r="BY15" s="124">
        <f>[56]人員・時間計画!$D14</f>
        <v>12</v>
      </c>
      <c r="BZ15" s="124">
        <f>[57]人員・時間計画!$D14</f>
        <v>9</v>
      </c>
      <c r="CA15" s="124">
        <f>[59]人員・時間計画!$D14</f>
        <v>18</v>
      </c>
      <c r="CB15" s="125">
        <f>CB14+CB11</f>
        <v>39</v>
      </c>
      <c r="CC15" s="124">
        <f>[58]人員・時間計画!$D14</f>
        <v>14</v>
      </c>
      <c r="CD15" s="125">
        <f>CD14+CD11</f>
        <v>14</v>
      </c>
      <c r="CE15" s="125">
        <f>CD15+CB15+BX15+BR15+BL15+BI15+AX15+AK15</f>
        <v>5753</v>
      </c>
    </row>
    <row r="16" spans="1:83">
      <c r="A16" s="126"/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</row>
    <row r="17" spans="1:83" ht="21.5" thickBot="1">
      <c r="A17" s="109">
        <v>6</v>
      </c>
      <c r="B17" s="110" t="s">
        <v>3</v>
      </c>
      <c r="C17" s="129"/>
      <c r="D17" s="129"/>
      <c r="E17" s="129"/>
      <c r="F17" s="129"/>
      <c r="G17" s="129"/>
      <c r="H17" s="130"/>
      <c r="I17" s="129"/>
      <c r="J17" s="129"/>
      <c r="K17" s="129"/>
      <c r="L17" s="129"/>
      <c r="M17" s="130"/>
      <c r="N17" s="129"/>
      <c r="O17" s="129"/>
      <c r="P17" s="130"/>
      <c r="Q17" s="130"/>
      <c r="R17" s="130"/>
      <c r="S17" s="129"/>
      <c r="T17" s="130"/>
      <c r="U17" s="129"/>
      <c r="V17" s="129"/>
      <c r="W17" s="129"/>
      <c r="X17" s="129"/>
      <c r="Y17" s="130"/>
      <c r="Z17" s="129"/>
      <c r="AA17" s="129"/>
      <c r="AB17" s="129"/>
      <c r="AC17" s="130"/>
      <c r="AD17" s="129"/>
      <c r="AE17" s="129"/>
      <c r="AF17" s="130"/>
      <c r="AG17" s="129"/>
      <c r="AH17" s="129"/>
      <c r="AI17" s="129"/>
      <c r="AJ17" s="130"/>
      <c r="AK17" s="130"/>
      <c r="AL17" s="129"/>
      <c r="AM17" s="129"/>
      <c r="AN17" s="129"/>
      <c r="AO17" s="129"/>
      <c r="AP17" s="129"/>
      <c r="AQ17" s="130"/>
      <c r="AR17" s="129"/>
      <c r="AS17" s="129"/>
      <c r="AT17" s="129"/>
      <c r="AU17" s="130"/>
      <c r="AV17" s="130"/>
      <c r="AW17" s="130"/>
      <c r="AX17" s="130"/>
      <c r="AY17" s="129"/>
      <c r="AZ17" s="129"/>
      <c r="BA17" s="129"/>
      <c r="BB17" s="129"/>
      <c r="BC17" s="129"/>
      <c r="BD17" s="129"/>
      <c r="BE17" s="129"/>
      <c r="BF17" s="129"/>
      <c r="BG17" s="129"/>
      <c r="BH17" s="130"/>
      <c r="BI17" s="130"/>
      <c r="BJ17" s="129"/>
      <c r="BK17" s="129"/>
      <c r="BL17" s="130"/>
      <c r="BM17" s="129"/>
      <c r="BN17" s="129"/>
      <c r="BO17" s="129"/>
      <c r="BP17" s="129"/>
      <c r="BQ17" s="129"/>
      <c r="BR17" s="130"/>
      <c r="BS17" s="129"/>
      <c r="BT17" s="129"/>
      <c r="BU17" s="129"/>
      <c r="BV17" s="129"/>
      <c r="BW17" s="129"/>
      <c r="BX17" s="130"/>
      <c r="BY17" s="129"/>
      <c r="BZ17" s="129"/>
      <c r="CA17" s="129"/>
      <c r="CB17" s="130"/>
      <c r="CC17" s="129"/>
      <c r="CD17" s="130"/>
      <c r="CE17" s="131"/>
    </row>
    <row r="18" spans="1:83" ht="15" thickBot="1">
      <c r="A18" s="112">
        <v>6</v>
      </c>
      <c r="B18" s="113" t="s">
        <v>194</v>
      </c>
      <c r="C18" s="114">
        <f>[1]人員・時間計画!$E$10</f>
        <v>2</v>
      </c>
      <c r="D18" s="114">
        <f>[2]人員・時間計画!$E10</f>
        <v>0</v>
      </c>
      <c r="E18" s="114">
        <f>[3]人員・時間計画!$E10</f>
        <v>0</v>
      </c>
      <c r="F18" s="114">
        <f>[4]人員・時間計画!$E10</f>
        <v>0</v>
      </c>
      <c r="G18" s="114">
        <f>[17]人員・時間計画!$E10</f>
        <v>0</v>
      </c>
      <c r="H18" s="115">
        <f>SUM(C18:G18)</f>
        <v>2</v>
      </c>
      <c r="I18" s="114">
        <f>[5]人員・時間計画!$E10</f>
        <v>1</v>
      </c>
      <c r="J18" s="114">
        <f>[18]人員・時間計画!$E10</f>
        <v>0</v>
      </c>
      <c r="K18" s="114">
        <f>[19]人員・時間計画!$E10</f>
        <v>0</v>
      </c>
      <c r="L18" s="114">
        <f>[20]人員・時間計画!$E10</f>
        <v>0</v>
      </c>
      <c r="M18" s="115">
        <f>SUM(I18:L18)</f>
        <v>1</v>
      </c>
      <c r="N18" s="114">
        <f>[6]人員・時間計画!$E10</f>
        <v>1</v>
      </c>
      <c r="O18" s="114">
        <f>'[21]Kế hoạch số người - thời gian'!$E10</f>
        <v>2</v>
      </c>
      <c r="P18" s="114">
        <f>[22]人員・時間計画!$E10</f>
        <v>0</v>
      </c>
      <c r="Q18" s="114">
        <f>[23]人員・時間計画!$E10</f>
        <v>0</v>
      </c>
      <c r="R18" s="115">
        <f>SUM(N18:Q18)</f>
        <v>3</v>
      </c>
      <c r="S18" s="114">
        <f>'[7]人員・時間計画 '!$E10</f>
        <v>2</v>
      </c>
      <c r="T18" s="115">
        <f>S18</f>
        <v>2</v>
      </c>
      <c r="U18" s="114">
        <f>[26]人員・時間計画!$E10</f>
        <v>1</v>
      </c>
      <c r="V18" s="114">
        <f>[27]人員・時間計画!$E10</f>
        <v>0</v>
      </c>
      <c r="W18" s="114">
        <f>[28]人員・時間計画!$E10</f>
        <v>0</v>
      </c>
      <c r="X18" s="114">
        <f>[29]人員・時間計画!$E10</f>
        <v>0</v>
      </c>
      <c r="Y18" s="115">
        <f>SUM(U18:X18)</f>
        <v>1</v>
      </c>
      <c r="Z18" s="114">
        <f>[30]人員・時間計画!$E10</f>
        <v>0</v>
      </c>
      <c r="AA18" s="114">
        <f>[60]人員・時間計画!$E10</f>
        <v>0</v>
      </c>
      <c r="AB18" s="114">
        <f>[31]人員・時間計画!$E10</f>
        <v>1</v>
      </c>
      <c r="AC18" s="115">
        <f>SUM(Z18:AB18)</f>
        <v>1</v>
      </c>
      <c r="AD18" s="114">
        <f>[24]人員・時間計画!$E10</f>
        <v>2</v>
      </c>
      <c r="AE18" s="114">
        <f>[25]人員・時間計画!$E10</f>
        <v>0</v>
      </c>
      <c r="AF18" s="115">
        <f>SUM(AD18:AE18)</f>
        <v>2</v>
      </c>
      <c r="AG18" s="114">
        <f>[37]人員・時間計画!$E10</f>
        <v>0</v>
      </c>
      <c r="AH18" s="114">
        <f>[38]人員・時間計画!$E10</f>
        <v>0</v>
      </c>
      <c r="AI18" s="114">
        <f>[39]人員・時間計画!$E10</f>
        <v>2</v>
      </c>
      <c r="AJ18" s="115">
        <f>SUM(AG18:AI18)</f>
        <v>2</v>
      </c>
      <c r="AK18" s="115">
        <f>AJ18+AF18+AC18+Y18+T18+R18+M18+H18</f>
        <v>14</v>
      </c>
      <c r="AL18" s="114">
        <f>[32]人員・時間計画!$E10</f>
        <v>0</v>
      </c>
      <c r="AM18" s="114">
        <f>[33]人員・時間計画!E10</f>
        <v>2</v>
      </c>
      <c r="AN18" s="114">
        <f>[34]人員・時間計画!$E10</f>
        <v>0</v>
      </c>
      <c r="AO18" s="114">
        <f>[35]人員・時間計画!$E10</f>
        <v>0</v>
      </c>
      <c r="AP18" s="114">
        <f>[36]人員・時間計画!$E10</f>
        <v>1</v>
      </c>
      <c r="AQ18" s="115">
        <f>SUM(AL18:AP18)</f>
        <v>3</v>
      </c>
      <c r="AR18" s="114">
        <f>[41]人員・時間計画!$E10</f>
        <v>1</v>
      </c>
      <c r="AS18" s="114">
        <f>[42]人員・時間計画!$E10</f>
        <v>1</v>
      </c>
      <c r="AT18" s="114">
        <f>[43]人員・時間計画!$E10</f>
        <v>0</v>
      </c>
      <c r="AU18" s="115">
        <f>SUM(AR18:AT18)</f>
        <v>2</v>
      </c>
      <c r="AV18" s="114">
        <f>[40]人員・時間計画!$E10</f>
        <v>2</v>
      </c>
      <c r="AW18" s="115">
        <f>AV18</f>
        <v>2</v>
      </c>
      <c r="AX18" s="115">
        <f>AQ18+AU18+AW18</f>
        <v>7</v>
      </c>
      <c r="AY18" s="114">
        <f>[8]人員・時間計画!$E10</f>
        <v>0</v>
      </c>
      <c r="AZ18" s="114">
        <f>[9]人員・時間計画!$E10</f>
        <v>9</v>
      </c>
      <c r="BA18" s="114">
        <f>[10]人員・時間計画!$E10</f>
        <v>1</v>
      </c>
      <c r="BB18" s="114">
        <f>[11]人員・時間計画!$E10</f>
        <v>1</v>
      </c>
      <c r="BC18" s="114">
        <f>[12]人員・時間計画!$E10</f>
        <v>1</v>
      </c>
      <c r="BD18" s="114">
        <f>[13]人員・時間計画!$E10</f>
        <v>0</v>
      </c>
      <c r="BE18" s="114">
        <f>[14]人員・時間計画!$E10</f>
        <v>1</v>
      </c>
      <c r="BF18" s="114">
        <f>[15]人員・時間計画!$E10</f>
        <v>1</v>
      </c>
      <c r="BG18" s="114">
        <f>[16]人員・時間計画!$E10</f>
        <v>0</v>
      </c>
      <c r="BH18" s="115">
        <f>SUM(AY18:BG18)</f>
        <v>14</v>
      </c>
      <c r="BI18" s="115">
        <f>BH18</f>
        <v>14</v>
      </c>
      <c r="BJ18" s="114">
        <f>[44]人員・時間計画!$E10</f>
        <v>2</v>
      </c>
      <c r="BK18" s="114">
        <f>[45]人員・時間計画!$E10</f>
        <v>0</v>
      </c>
      <c r="BL18" s="115">
        <f>SUM(BJ18:BK18)</f>
        <v>2</v>
      </c>
      <c r="BM18" s="114">
        <f>[46]人員・時間計画!$E10</f>
        <v>1</v>
      </c>
      <c r="BN18" s="114">
        <f>[47]人員・時間計画!$E10</f>
        <v>1</v>
      </c>
      <c r="BO18" s="114">
        <f>[48]人員・時間計画!$E10</f>
        <v>1</v>
      </c>
      <c r="BP18" s="114">
        <f>[49]人員・時間計画!$E10</f>
        <v>0</v>
      </c>
      <c r="BQ18" s="114">
        <f>[50]人員・時間計画!$E10</f>
        <v>2</v>
      </c>
      <c r="BR18" s="115">
        <f>SUM(BM18:BQ18)</f>
        <v>5</v>
      </c>
      <c r="BS18" s="114">
        <f>[51]人員・時間計画!$E10</f>
        <v>1</v>
      </c>
      <c r="BT18" s="114">
        <f>[52]人員・時間計画!$E10</f>
        <v>1</v>
      </c>
      <c r="BU18" s="114">
        <f>[53]人員・時間計画!$E10</f>
        <v>0</v>
      </c>
      <c r="BV18" s="114">
        <f>[54]人員・時間計画!$E10</f>
        <v>1</v>
      </c>
      <c r="BW18" s="114">
        <f>[55]人員・時間計画!$E10</f>
        <v>0</v>
      </c>
      <c r="BX18" s="115">
        <f>SUM(BS18:BW18)</f>
        <v>3</v>
      </c>
      <c r="BY18" s="114">
        <f>[56]人員・時間計画!$E10</f>
        <v>0</v>
      </c>
      <c r="BZ18" s="114">
        <f>[57]人員・時間計画!$E10</f>
        <v>1</v>
      </c>
      <c r="CA18" s="114">
        <f>[59]人員・時間計画!$E10</f>
        <v>1</v>
      </c>
      <c r="CB18" s="115">
        <f>SUM(BY18:CA18)</f>
        <v>2</v>
      </c>
      <c r="CC18" s="114">
        <f>[58]人員・時間計画!$E10</f>
        <v>1</v>
      </c>
      <c r="CD18" s="115">
        <f>CC18</f>
        <v>1</v>
      </c>
      <c r="CE18" s="115">
        <f>CD18+CB18+BX18+BR18+BL18+BI18+AX18+AK18</f>
        <v>48</v>
      </c>
    </row>
    <row r="19" spans="1:83">
      <c r="A19" s="112">
        <v>6</v>
      </c>
      <c r="B19" s="116" t="s">
        <v>139</v>
      </c>
      <c r="C19" s="132">
        <f>[1]人員・時間計画!$E$11</f>
        <v>77</v>
      </c>
      <c r="D19" s="132">
        <f>[2]人員・時間計画!$E11</f>
        <v>100</v>
      </c>
      <c r="E19" s="132">
        <f>[3]人員・時間計画!$E11</f>
        <v>81</v>
      </c>
      <c r="F19" s="132">
        <f>[4]人員・時間計画!$E11</f>
        <v>0</v>
      </c>
      <c r="G19" s="132">
        <f>[17]人員・時間計画!$E11</f>
        <v>21</v>
      </c>
      <c r="H19" s="115">
        <f t="shared" ref="H19:H20" si="52">SUM(C19:G19)</f>
        <v>279</v>
      </c>
      <c r="I19" s="132">
        <f>[5]人員・時間計画!$E11</f>
        <v>22</v>
      </c>
      <c r="J19" s="132">
        <f>[18]人員・時間計画!$E11</f>
        <v>14</v>
      </c>
      <c r="K19" s="114">
        <f>[19]人員・時間計画!$E11</f>
        <v>5</v>
      </c>
      <c r="L19" s="114">
        <f>[20]人員・時間計画!$E11</f>
        <v>11</v>
      </c>
      <c r="M19" s="115">
        <f t="shared" ref="M19:M20" si="53">SUM(I19:L19)</f>
        <v>52</v>
      </c>
      <c r="N19" s="132">
        <f>[6]人員・時間計画!$E11</f>
        <v>16</v>
      </c>
      <c r="O19" s="132">
        <f>'[21]Kế hoạch số người - thời gian'!$E11</f>
        <v>23</v>
      </c>
      <c r="P19" s="114">
        <f>[22]人員・時間計画!$E11</f>
        <v>9</v>
      </c>
      <c r="Q19" s="114">
        <f>[23]人員・時間計画!$E11</f>
        <v>12</v>
      </c>
      <c r="R19" s="115">
        <f>SUM(N19:Q19)</f>
        <v>60</v>
      </c>
      <c r="S19" s="114">
        <f>'[7]人員・時間計画 '!$E11</f>
        <v>15</v>
      </c>
      <c r="T19" s="115">
        <f t="shared" ref="T19:T20" si="54">S19</f>
        <v>15</v>
      </c>
      <c r="U19" s="132">
        <f>[26]人員・時間計画!$E11</f>
        <v>10</v>
      </c>
      <c r="V19" s="132">
        <f>[27]人員・時間計画!$E11</f>
        <v>6</v>
      </c>
      <c r="W19" s="132">
        <f>[28]人員・時間計画!$E11</f>
        <v>16</v>
      </c>
      <c r="X19" s="132">
        <f>[29]人員・時間計画!$E11</f>
        <v>3</v>
      </c>
      <c r="Y19" s="115">
        <f t="shared" ref="Y19:Y20" si="55">SUM(U19:X19)</f>
        <v>35</v>
      </c>
      <c r="Z19" s="132">
        <f>[30]人員・時間計画!$E11</f>
        <v>35</v>
      </c>
      <c r="AA19" s="132">
        <f>[60]人員・時間計画!$E11</f>
        <v>11</v>
      </c>
      <c r="AB19" s="132">
        <f>[31]人員・時間計画!$E11</f>
        <v>12</v>
      </c>
      <c r="AC19" s="115">
        <f t="shared" ref="AC19:AC20" si="56">SUM(Z19:AB19)</f>
        <v>58</v>
      </c>
      <c r="AD19" s="132">
        <f>[24]人員・時間計画!$E11</f>
        <v>94</v>
      </c>
      <c r="AE19" s="132">
        <f>[25]人員・時間計画!$E11</f>
        <v>7</v>
      </c>
      <c r="AF19" s="115">
        <f t="shared" ref="AF19:AF20" si="57">SUM(AD19:AE19)</f>
        <v>101</v>
      </c>
      <c r="AG19" s="132">
        <f>[37]人員・時間計画!$E11</f>
        <v>25</v>
      </c>
      <c r="AH19" s="132">
        <f>[38]人員・時間計画!$E11</f>
        <v>23</v>
      </c>
      <c r="AI19" s="132">
        <f>[39]人員・時間計画!$E11</f>
        <v>29</v>
      </c>
      <c r="AJ19" s="115">
        <f t="shared" ref="AJ19:AJ20" si="58">SUM(AG19:AI19)</f>
        <v>77</v>
      </c>
      <c r="AK19" s="115">
        <f t="shared" ref="AK19:AK22" si="59">AJ19+AF19+AC19+Y19+T19+R19+M19+H19</f>
        <v>677</v>
      </c>
      <c r="AL19" s="132">
        <f>[32]人員・時間計画!$E11</f>
        <v>14</v>
      </c>
      <c r="AM19" s="132">
        <f>[33]人員・時間計画!E11</f>
        <v>21</v>
      </c>
      <c r="AN19" s="132">
        <f>[34]人員・時間計画!$E11</f>
        <v>13</v>
      </c>
      <c r="AO19" s="114">
        <f>[35]人員・時間計画!$E11</f>
        <v>9</v>
      </c>
      <c r="AP19" s="132">
        <f>[36]人員・時間計画!$E11</f>
        <v>18</v>
      </c>
      <c r="AQ19" s="115">
        <f t="shared" ref="AQ19:AQ20" si="60">SUM(AL19:AP19)</f>
        <v>75</v>
      </c>
      <c r="AR19" s="132">
        <f>[41]人員・時間計画!$E11</f>
        <v>17</v>
      </c>
      <c r="AS19" s="132">
        <f>[42]人員・時間計画!$E11</f>
        <v>13</v>
      </c>
      <c r="AT19" s="132">
        <f>[43]人員・時間計画!$E11</f>
        <v>22</v>
      </c>
      <c r="AU19" s="115">
        <f t="shared" ref="AU19:AU20" si="61">SUM(AR19:AT19)</f>
        <v>52</v>
      </c>
      <c r="AV19" s="114">
        <f>[40]人員・時間計画!$E11</f>
        <v>21</v>
      </c>
      <c r="AW19" s="115">
        <f t="shared" ref="AW19:AW20" si="62">AV19</f>
        <v>21</v>
      </c>
      <c r="AX19" s="115">
        <f t="shared" ref="AX19:AX22" si="63">AQ19+AU19+AW19</f>
        <v>148</v>
      </c>
      <c r="AY19" s="132">
        <f>[8]人員・時間計画!$E11</f>
        <v>8</v>
      </c>
      <c r="AZ19" s="132">
        <f>[9]人員・時間計画!$E11</f>
        <v>9</v>
      </c>
      <c r="BA19" s="132">
        <f>[10]人員・時間計画!$E11</f>
        <v>11</v>
      </c>
      <c r="BB19" s="132">
        <f>[11]人員・時間計画!$E11</f>
        <v>15</v>
      </c>
      <c r="BC19" s="114">
        <f>[12]人員・時間計画!$E11</f>
        <v>7</v>
      </c>
      <c r="BD19" s="132">
        <f>[13]人員・時間計画!$E11</f>
        <v>9</v>
      </c>
      <c r="BE19" s="114">
        <f>[14]人員・時間計画!$E11</f>
        <v>7</v>
      </c>
      <c r="BF19" s="132">
        <f>[15]人員・時間計画!$E11</f>
        <v>11</v>
      </c>
      <c r="BG19" s="132">
        <f>[16]人員・時間計画!$E11</f>
        <v>10</v>
      </c>
      <c r="BH19" s="115">
        <f t="shared" ref="BH19:BH22" si="64">SUM(AY19:BG19)</f>
        <v>87</v>
      </c>
      <c r="BI19" s="115">
        <f t="shared" ref="BI19:BI20" si="65">BH19</f>
        <v>87</v>
      </c>
      <c r="BJ19" s="132">
        <f>[44]人員・時間計画!$E11</f>
        <v>11</v>
      </c>
      <c r="BK19" s="132">
        <f>[45]人員・時間計画!$E11</f>
        <v>13</v>
      </c>
      <c r="BL19" s="115">
        <f t="shared" ref="BL19:BL20" si="66">SUM(BJ19:BK19)</f>
        <v>24</v>
      </c>
      <c r="BM19" s="132">
        <f>[46]人員・時間計画!$E11</f>
        <v>17</v>
      </c>
      <c r="BN19" s="132">
        <f>[47]人員・時間計画!$E11</f>
        <v>4</v>
      </c>
      <c r="BO19" s="132">
        <f>[48]人員・時間計画!$E11</f>
        <v>6</v>
      </c>
      <c r="BP19" s="132">
        <f>[49]人員・時間計画!$E11</f>
        <v>8</v>
      </c>
      <c r="BQ19" s="132">
        <f>[50]人員・時間計画!$E11</f>
        <v>4</v>
      </c>
      <c r="BR19" s="115">
        <f t="shared" ref="BR19:BR22" si="67">SUM(BM19:BQ19)</f>
        <v>39</v>
      </c>
      <c r="BS19" s="132">
        <f>[51]人員・時間計画!$E11</f>
        <v>11</v>
      </c>
      <c r="BT19" s="132">
        <f>[52]人員・時間計画!$E11</f>
        <v>16</v>
      </c>
      <c r="BU19" s="132">
        <f>[53]人員・時間計画!$E11</f>
        <v>11</v>
      </c>
      <c r="BV19" s="132">
        <f>[54]人員・時間計画!$E11</f>
        <v>6</v>
      </c>
      <c r="BW19" s="132">
        <f>[55]人員・時間計画!$E11</f>
        <v>3</v>
      </c>
      <c r="BX19" s="115">
        <f t="shared" ref="BX19:BX22" si="68">SUM(BS19:BW19)</f>
        <v>47</v>
      </c>
      <c r="BY19" s="132">
        <f>[56]人員・時間計画!$E11</f>
        <v>12</v>
      </c>
      <c r="BZ19" s="132">
        <f>[57]人員・時間計画!$E11</f>
        <v>8</v>
      </c>
      <c r="CA19" s="132">
        <f>[59]人員・時間計画!$E11</f>
        <v>17</v>
      </c>
      <c r="CB19" s="115">
        <f t="shared" ref="CB19:CB20" si="69">SUM(BY19:CA19)</f>
        <v>37</v>
      </c>
      <c r="CC19" s="132">
        <f>[58]人員・時間計画!$E11</f>
        <v>13</v>
      </c>
      <c r="CD19" s="115">
        <f t="shared" ref="CD19:CD20" si="70">CC19</f>
        <v>13</v>
      </c>
      <c r="CE19" s="115">
        <f>CD19+CB19+BX19+BR19+BL19+BI19+AX19+AK19</f>
        <v>1072</v>
      </c>
    </row>
    <row r="20" spans="1:83">
      <c r="A20" s="112">
        <v>6</v>
      </c>
      <c r="B20" s="117" t="s">
        <v>140</v>
      </c>
      <c r="C20" s="119">
        <f>[1]人員・時間計画!$E$12</f>
        <v>961</v>
      </c>
      <c r="D20" s="119">
        <f>[2]人員・時間計画!$E12</f>
        <v>1418</v>
      </c>
      <c r="E20" s="119">
        <f>[3]人員・時間計画!$E12</f>
        <v>905</v>
      </c>
      <c r="F20" s="119">
        <f>[4]人員・時間計画!$E12</f>
        <v>0</v>
      </c>
      <c r="G20" s="119">
        <f>[17]人員・時間計画!$E12</f>
        <v>7</v>
      </c>
      <c r="H20" s="118">
        <f t="shared" si="52"/>
        <v>3291</v>
      </c>
      <c r="I20" s="119">
        <f>[5]人員・時間計画!$E12</f>
        <v>298</v>
      </c>
      <c r="J20" s="119">
        <f>[18]人員・時間計画!$E12</f>
        <v>11</v>
      </c>
      <c r="K20" s="114">
        <f>[19]人員・時間計画!$E12</f>
        <v>4</v>
      </c>
      <c r="L20" s="114">
        <f>[20]人員・時間計画!$E12</f>
        <v>14</v>
      </c>
      <c r="M20" s="118">
        <f t="shared" si="53"/>
        <v>327</v>
      </c>
      <c r="N20" s="119">
        <f>[6]人員・時間計画!$E12</f>
        <v>125</v>
      </c>
      <c r="O20" s="119">
        <f>'[21]Kế hoạch số người - thời gian'!$E12</f>
        <v>9</v>
      </c>
      <c r="P20" s="119">
        <f>[22]人員・時間計画!$E12</f>
        <v>0</v>
      </c>
      <c r="Q20" s="119">
        <f>[23]人員・時間計画!$E12</f>
        <v>13</v>
      </c>
      <c r="R20" s="118">
        <f>SUM(N20:Q20)</f>
        <v>147</v>
      </c>
      <c r="S20" s="119">
        <f>'[7]人員・時間計画 '!$E12</f>
        <v>14</v>
      </c>
      <c r="T20" s="118">
        <f t="shared" si="54"/>
        <v>14</v>
      </c>
      <c r="U20" s="119">
        <f>[26]人員・時間計画!$E12</f>
        <v>0</v>
      </c>
      <c r="V20" s="119">
        <f>[27]人員・時間計画!$E12</f>
        <v>0</v>
      </c>
      <c r="W20" s="119">
        <f>[28]人員・時間計画!$E12</f>
        <v>1</v>
      </c>
      <c r="X20" s="119">
        <f>[29]人員・時間計画!$E12</f>
        <v>0</v>
      </c>
      <c r="Y20" s="118">
        <f t="shared" si="55"/>
        <v>1</v>
      </c>
      <c r="Z20" s="119">
        <f>[30]人員・時間計画!$E12</f>
        <v>342</v>
      </c>
      <c r="AA20" s="119">
        <f>[60]人員・時間計画!$E12</f>
        <v>52</v>
      </c>
      <c r="AB20" s="119">
        <f>[31]人員・時間計画!$E12</f>
        <v>5</v>
      </c>
      <c r="AC20" s="118">
        <f t="shared" si="56"/>
        <v>399</v>
      </c>
      <c r="AD20" s="119">
        <f>[24]人員・時間計画!$E12</f>
        <v>102</v>
      </c>
      <c r="AE20" s="119">
        <f>[25]人員・時間計画!$E12</f>
        <v>1</v>
      </c>
      <c r="AF20" s="118">
        <f t="shared" si="57"/>
        <v>103</v>
      </c>
      <c r="AG20" s="119">
        <f>[37]人員・時間計画!$E12</f>
        <v>79</v>
      </c>
      <c r="AH20" s="119">
        <f>[38]人員・時間計画!$E12</f>
        <v>24</v>
      </c>
      <c r="AI20" s="119">
        <f>[39]人員・時間計画!$E12</f>
        <v>4</v>
      </c>
      <c r="AJ20" s="118">
        <f t="shared" si="58"/>
        <v>107</v>
      </c>
      <c r="AK20" s="118">
        <f t="shared" si="59"/>
        <v>4389</v>
      </c>
      <c r="AL20" s="119">
        <f>[32]人員・時間計画!$E12</f>
        <v>0</v>
      </c>
      <c r="AM20" s="119">
        <f>[33]人員・時間計画!E12</f>
        <v>0</v>
      </c>
      <c r="AN20" s="119">
        <f>[34]人員・時間計画!$E12</f>
        <v>0</v>
      </c>
      <c r="AO20" s="114">
        <f>[35]人員・時間計画!$E12</f>
        <v>0</v>
      </c>
      <c r="AP20" s="119">
        <f>[36]人員・時間計画!$E12</f>
        <v>0</v>
      </c>
      <c r="AQ20" s="118">
        <f t="shared" si="60"/>
        <v>0</v>
      </c>
      <c r="AR20" s="119">
        <f>[41]人員・時間計画!$E12</f>
        <v>0</v>
      </c>
      <c r="AS20" s="119">
        <f>[42]人員・時間計画!$E12</f>
        <v>0</v>
      </c>
      <c r="AT20" s="119">
        <f>[43]人員・時間計画!$E12</f>
        <v>0</v>
      </c>
      <c r="AU20" s="118">
        <f t="shared" si="61"/>
        <v>0</v>
      </c>
      <c r="AV20" s="119">
        <f>[40]人員・時間計画!$E12</f>
        <v>0</v>
      </c>
      <c r="AW20" s="118">
        <f t="shared" si="62"/>
        <v>0</v>
      </c>
      <c r="AX20" s="118">
        <f t="shared" si="63"/>
        <v>0</v>
      </c>
      <c r="AY20" s="119">
        <f>[8]人員・時間計画!$E12</f>
        <v>0</v>
      </c>
      <c r="AZ20" s="119">
        <f>[9]人員・時間計画!$E12</f>
        <v>0</v>
      </c>
      <c r="BA20" s="119">
        <f>[10]人員・時間計画!$E12</f>
        <v>0</v>
      </c>
      <c r="BB20" s="119">
        <f>[11]人員・時間計画!$E12</f>
        <v>0</v>
      </c>
      <c r="BC20" s="114">
        <f>[12]人員・時間計画!$E12</f>
        <v>0</v>
      </c>
      <c r="BD20" s="119">
        <f>[13]人員・時間計画!$E12</f>
        <v>0</v>
      </c>
      <c r="BE20" s="114">
        <f>[14]人員・時間計画!$E12</f>
        <v>0</v>
      </c>
      <c r="BF20" s="119">
        <f>[15]人員・時間計画!$E12</f>
        <v>0</v>
      </c>
      <c r="BG20" s="119">
        <f>[16]人員・時間計画!$E12</f>
        <v>0</v>
      </c>
      <c r="BH20" s="118">
        <f t="shared" si="64"/>
        <v>0</v>
      </c>
      <c r="BI20" s="118">
        <f t="shared" si="65"/>
        <v>0</v>
      </c>
      <c r="BJ20" s="119">
        <f>[44]人員・時間計画!$E12</f>
        <v>1</v>
      </c>
      <c r="BK20" s="119">
        <f>[45]人員・時間計画!$E12</f>
        <v>32</v>
      </c>
      <c r="BL20" s="118">
        <f t="shared" si="66"/>
        <v>33</v>
      </c>
      <c r="BM20" s="119">
        <f>[46]人員・時間計画!$E12</f>
        <v>0</v>
      </c>
      <c r="BN20" s="119">
        <f>[47]人員・時間計画!$E12</f>
        <v>0</v>
      </c>
      <c r="BO20" s="119">
        <f>[48]人員・時間計画!$E12</f>
        <v>0</v>
      </c>
      <c r="BP20" s="119">
        <f>[49]人員・時間計画!$E12</f>
        <v>0</v>
      </c>
      <c r="BQ20" s="119">
        <f>[50]人員・時間計画!$E12</f>
        <v>0</v>
      </c>
      <c r="BR20" s="118">
        <f t="shared" si="67"/>
        <v>0</v>
      </c>
      <c r="BS20" s="119">
        <f>[51]人員・時間計画!$E12</f>
        <v>6</v>
      </c>
      <c r="BT20" s="119">
        <f>[52]人員・時間計画!$E12</f>
        <v>0</v>
      </c>
      <c r="BU20" s="119">
        <f>[53]人員・時間計画!$E12</f>
        <v>3</v>
      </c>
      <c r="BV20" s="119">
        <f>[54]人員・時間計画!$E12</f>
        <v>0</v>
      </c>
      <c r="BW20" s="119">
        <f>[55]人員・時間計画!$E12</f>
        <v>67</v>
      </c>
      <c r="BX20" s="118">
        <f t="shared" si="68"/>
        <v>76</v>
      </c>
      <c r="BY20" s="119">
        <f>[56]人員・時間計画!$E12</f>
        <v>0</v>
      </c>
      <c r="BZ20" s="119">
        <f>[57]人員・時間計画!$E12</f>
        <v>0</v>
      </c>
      <c r="CA20" s="119">
        <f>[59]人員・時間計画!$E12</f>
        <v>0</v>
      </c>
      <c r="CB20" s="118">
        <f t="shared" si="69"/>
        <v>0</v>
      </c>
      <c r="CC20" s="119">
        <f>[58]人員・時間計画!$E12</f>
        <v>0</v>
      </c>
      <c r="CD20" s="118">
        <f t="shared" si="70"/>
        <v>0</v>
      </c>
      <c r="CE20" s="118">
        <f>CD20+CB20+BX20+BR20+BL20+BI20+AX20+AK20</f>
        <v>4498</v>
      </c>
    </row>
    <row r="21" spans="1:83">
      <c r="A21" s="112">
        <v>6</v>
      </c>
      <c r="B21" s="120" t="s">
        <v>195</v>
      </c>
      <c r="C21" s="121">
        <f>[1]人員・時間計画!$E$13</f>
        <v>1038</v>
      </c>
      <c r="D21" s="121">
        <f>[2]人員・時間計画!$E13</f>
        <v>1518</v>
      </c>
      <c r="E21" s="121">
        <f>[3]人員・時間計画!$E13</f>
        <v>986</v>
      </c>
      <c r="F21" s="121">
        <f>[4]人員・時間計画!$E13</f>
        <v>0</v>
      </c>
      <c r="G21" s="121">
        <f>[17]人員・時間計画!$E13</f>
        <v>28</v>
      </c>
      <c r="H21" s="122">
        <f>SUM(H19:H20)</f>
        <v>3570</v>
      </c>
      <c r="I21" s="121">
        <f>[5]人員・時間計画!$E13</f>
        <v>320</v>
      </c>
      <c r="J21" s="121">
        <f>[18]人員・時間計画!$E13</f>
        <v>25</v>
      </c>
      <c r="K21" s="114">
        <f>[19]人員・時間計画!$E13</f>
        <v>9</v>
      </c>
      <c r="L21" s="114">
        <f>[20]人員・時間計画!$E13</f>
        <v>25</v>
      </c>
      <c r="M21" s="122">
        <f>SUM(M19:M20)</f>
        <v>379</v>
      </c>
      <c r="N21" s="121">
        <f>[6]人員・時間計画!$E13</f>
        <v>141</v>
      </c>
      <c r="O21" s="121">
        <f>'[21]Kế hoạch số người - thời gian'!$E13</f>
        <v>32</v>
      </c>
      <c r="P21" s="121">
        <f>[22]人員・時間計画!$E13</f>
        <v>9</v>
      </c>
      <c r="Q21" s="121">
        <f>[23]人員・時間計画!$E13</f>
        <v>25</v>
      </c>
      <c r="R21" s="122">
        <f>SUM(R19:R20)</f>
        <v>207</v>
      </c>
      <c r="S21" s="121">
        <f>'[7]人員・時間計画 '!$E13</f>
        <v>29</v>
      </c>
      <c r="T21" s="122">
        <f>SUM(T19:T20)</f>
        <v>29</v>
      </c>
      <c r="U21" s="121">
        <f>[26]人員・時間計画!$E13</f>
        <v>10</v>
      </c>
      <c r="V21" s="121">
        <f>[27]人員・時間計画!$E13</f>
        <v>6</v>
      </c>
      <c r="W21" s="121">
        <f>[28]人員・時間計画!$E13</f>
        <v>17</v>
      </c>
      <c r="X21" s="121">
        <f>[29]人員・時間計画!$E13</f>
        <v>3</v>
      </c>
      <c r="Y21" s="122">
        <f>SUM(Y19:Y20)</f>
        <v>36</v>
      </c>
      <c r="Z21" s="121">
        <f>[30]人員・時間計画!$E13</f>
        <v>377</v>
      </c>
      <c r="AA21" s="121">
        <f>[60]人員・時間計画!$E13</f>
        <v>63</v>
      </c>
      <c r="AB21" s="121">
        <f>[31]人員・時間計画!$E13</f>
        <v>17</v>
      </c>
      <c r="AC21" s="122">
        <f t="shared" ref="AC21" si="71">SUM(AC19:AC20)</f>
        <v>457</v>
      </c>
      <c r="AD21" s="121">
        <f>[24]人員・時間計画!$E13</f>
        <v>196</v>
      </c>
      <c r="AE21" s="121">
        <f>[25]人員・時間計画!$E13</f>
        <v>8</v>
      </c>
      <c r="AF21" s="122">
        <f>SUM(AF19:AF20)</f>
        <v>204</v>
      </c>
      <c r="AG21" s="121">
        <f>[37]人員・時間計画!$E13</f>
        <v>104</v>
      </c>
      <c r="AH21" s="121">
        <f>[38]人員・時間計画!$E13</f>
        <v>47</v>
      </c>
      <c r="AI21" s="121">
        <f>[39]人員・時間計画!$E13</f>
        <v>33</v>
      </c>
      <c r="AJ21" s="122">
        <f t="shared" ref="AJ21" si="72">SUM(AJ19:AJ20)</f>
        <v>184</v>
      </c>
      <c r="AK21" s="122">
        <f t="shared" si="59"/>
        <v>5066</v>
      </c>
      <c r="AL21" s="121">
        <f>[32]人員・時間計画!$E13</f>
        <v>14</v>
      </c>
      <c r="AM21" s="121">
        <f>[33]人員・時間計画!E13</f>
        <v>21</v>
      </c>
      <c r="AN21" s="121">
        <f>[34]人員・時間計画!$E13</f>
        <v>13</v>
      </c>
      <c r="AO21" s="114">
        <f>[35]人員・時間計画!$E13</f>
        <v>9</v>
      </c>
      <c r="AP21" s="121">
        <f>[36]人員・時間計画!$E13</f>
        <v>18</v>
      </c>
      <c r="AQ21" s="122">
        <f>SUM(AQ19:AQ20)</f>
        <v>75</v>
      </c>
      <c r="AR21" s="121">
        <f>[41]人員・時間計画!$E13</f>
        <v>17</v>
      </c>
      <c r="AS21" s="121">
        <f>[42]人員・時間計画!$E13</f>
        <v>13</v>
      </c>
      <c r="AT21" s="121">
        <f>[43]人員・時間計画!$E13</f>
        <v>22</v>
      </c>
      <c r="AU21" s="122">
        <f>SUM(AU19:AU20)</f>
        <v>52</v>
      </c>
      <c r="AV21" s="121">
        <f>[40]人員・時間計画!$E13</f>
        <v>21</v>
      </c>
      <c r="AW21" s="122">
        <f>SUM(AW19:AW20)</f>
        <v>21</v>
      </c>
      <c r="AX21" s="122">
        <f t="shared" si="63"/>
        <v>148</v>
      </c>
      <c r="AY21" s="121">
        <f>[8]人員・時間計画!$E13</f>
        <v>8</v>
      </c>
      <c r="AZ21" s="121">
        <f>[9]人員・時間計画!$E13</f>
        <v>9</v>
      </c>
      <c r="BA21" s="121">
        <f>[10]人員・時間計画!$E13</f>
        <v>11</v>
      </c>
      <c r="BB21" s="121">
        <f>[11]人員・時間計画!$E13</f>
        <v>15</v>
      </c>
      <c r="BC21" s="114">
        <f>[12]人員・時間計画!$E13</f>
        <v>7</v>
      </c>
      <c r="BD21" s="121">
        <f>[13]人員・時間計画!$E13</f>
        <v>9</v>
      </c>
      <c r="BE21" s="114">
        <f>[14]人員・時間計画!$E13</f>
        <v>7</v>
      </c>
      <c r="BF21" s="121">
        <f>[15]人員・時間計画!$E13</f>
        <v>11</v>
      </c>
      <c r="BG21" s="121">
        <f>[16]人員・時間計画!$E13</f>
        <v>10</v>
      </c>
      <c r="BH21" s="122">
        <f t="shared" si="64"/>
        <v>87</v>
      </c>
      <c r="BI21" s="122">
        <f t="shared" ref="BI21" si="73">SUM(BI19:BI20)</f>
        <v>87</v>
      </c>
      <c r="BJ21" s="121">
        <f>[44]人員・時間計画!$E13</f>
        <v>12</v>
      </c>
      <c r="BK21" s="121">
        <f>[45]人員・時間計画!$E13</f>
        <v>45</v>
      </c>
      <c r="BL21" s="122">
        <f>SUM(BL19:BL20)</f>
        <v>57</v>
      </c>
      <c r="BM21" s="121">
        <f>[46]人員・時間計画!$E13</f>
        <v>17</v>
      </c>
      <c r="BN21" s="121">
        <f>[47]人員・時間計画!$E13</f>
        <v>4</v>
      </c>
      <c r="BO21" s="121">
        <f>[48]人員・時間計画!$E13</f>
        <v>6</v>
      </c>
      <c r="BP21" s="121">
        <f>[49]人員・時間計画!$E13</f>
        <v>8</v>
      </c>
      <c r="BQ21" s="121">
        <f>[50]人員・時間計画!$E13</f>
        <v>4</v>
      </c>
      <c r="BR21" s="122">
        <f t="shared" si="67"/>
        <v>39</v>
      </c>
      <c r="BS21" s="121">
        <f>[51]人員・時間計画!$E13</f>
        <v>17</v>
      </c>
      <c r="BT21" s="121">
        <f>[52]人員・時間計画!$E13</f>
        <v>16</v>
      </c>
      <c r="BU21" s="121">
        <f>[53]人員・時間計画!$E13</f>
        <v>14</v>
      </c>
      <c r="BV21" s="121">
        <f>[54]人員・時間計画!$E13</f>
        <v>6</v>
      </c>
      <c r="BW21" s="121">
        <f>[55]人員・時間計画!$E13</f>
        <v>70</v>
      </c>
      <c r="BX21" s="122">
        <f t="shared" si="68"/>
        <v>123</v>
      </c>
      <c r="BY21" s="121">
        <f>[56]人員・時間計画!$E13</f>
        <v>12</v>
      </c>
      <c r="BZ21" s="121">
        <f>[57]人員・時間計画!$E13</f>
        <v>8</v>
      </c>
      <c r="CA21" s="121">
        <f>[59]人員・時間計画!$E13</f>
        <v>17</v>
      </c>
      <c r="CB21" s="122">
        <f>SUM(CB19:CB20)</f>
        <v>37</v>
      </c>
      <c r="CC21" s="121">
        <f>[58]人員・時間計画!$E13</f>
        <v>13</v>
      </c>
      <c r="CD21" s="122">
        <f>SUM(CD19:CD20)</f>
        <v>13</v>
      </c>
      <c r="CE21" s="122">
        <f>CD21+CB21+BX21+BR21+BL21+BI21+AX21+AK21</f>
        <v>5570</v>
      </c>
    </row>
    <row r="22" spans="1:83" ht="15" thickBot="1">
      <c r="A22" s="112">
        <v>6</v>
      </c>
      <c r="B22" s="123" t="s">
        <v>196</v>
      </c>
      <c r="C22" s="124">
        <f>[1]人員・時間計画!$E$14</f>
        <v>1040</v>
      </c>
      <c r="D22" s="124">
        <f>[2]人員・時間計画!$E14</f>
        <v>1518</v>
      </c>
      <c r="E22" s="124">
        <f>[3]人員・時間計画!$E14</f>
        <v>986</v>
      </c>
      <c r="F22" s="124">
        <f>[4]人員・時間計画!$E14</f>
        <v>0</v>
      </c>
      <c r="G22" s="124">
        <f>[17]人員・時間計画!$E14</f>
        <v>28</v>
      </c>
      <c r="H22" s="125">
        <f>H21+H18</f>
        <v>3572</v>
      </c>
      <c r="I22" s="124">
        <f>[5]人員・時間計画!$E14</f>
        <v>321</v>
      </c>
      <c r="J22" s="124">
        <f>[18]人員・時間計画!$E14</f>
        <v>25</v>
      </c>
      <c r="K22" s="114">
        <f>[19]人員・時間計画!$E14</f>
        <v>9</v>
      </c>
      <c r="L22" s="114">
        <f>[20]人員・時間計画!$E14</f>
        <v>25</v>
      </c>
      <c r="M22" s="125">
        <f>M21+M18</f>
        <v>380</v>
      </c>
      <c r="N22" s="124">
        <f>[6]人員・時間計画!$E14</f>
        <v>142</v>
      </c>
      <c r="O22" s="124">
        <f>'[21]Kế hoạch số người - thời gian'!$E14</f>
        <v>34</v>
      </c>
      <c r="P22" s="124">
        <f>[22]人員・時間計画!$E14</f>
        <v>9</v>
      </c>
      <c r="Q22" s="124">
        <f>[23]人員・時間計画!$E14</f>
        <v>25</v>
      </c>
      <c r="R22" s="125">
        <f>R21+R18</f>
        <v>210</v>
      </c>
      <c r="S22" s="124">
        <f>'[7]人員・時間計画 '!$E14</f>
        <v>31</v>
      </c>
      <c r="T22" s="125">
        <f>T21+T18</f>
        <v>31</v>
      </c>
      <c r="U22" s="124">
        <f>[26]人員・時間計画!$E14</f>
        <v>11</v>
      </c>
      <c r="V22" s="124">
        <f>[27]人員・時間計画!$E14</f>
        <v>6</v>
      </c>
      <c r="W22" s="124">
        <f>[28]人員・時間計画!$E14</f>
        <v>17</v>
      </c>
      <c r="X22" s="124">
        <f>[29]人員・時間計画!$E14</f>
        <v>3</v>
      </c>
      <c r="Y22" s="125">
        <f>Y21+Y18</f>
        <v>37</v>
      </c>
      <c r="Z22" s="124">
        <f>[30]人員・時間計画!$E14</f>
        <v>377</v>
      </c>
      <c r="AA22" s="124">
        <f>[60]人員・時間計画!$E14</f>
        <v>63</v>
      </c>
      <c r="AB22" s="124">
        <f>[31]人員・時間計画!$E14</f>
        <v>18</v>
      </c>
      <c r="AC22" s="125">
        <f t="shared" ref="AC22" si="74">AC21+AC18</f>
        <v>458</v>
      </c>
      <c r="AD22" s="124">
        <f>[24]人員・時間計画!$E14</f>
        <v>198</v>
      </c>
      <c r="AE22" s="124">
        <f>[25]人員・時間計画!$E14</f>
        <v>8</v>
      </c>
      <c r="AF22" s="125">
        <f>AF21+AF18</f>
        <v>206</v>
      </c>
      <c r="AG22" s="124">
        <f>[37]人員・時間計画!$E14</f>
        <v>104</v>
      </c>
      <c r="AH22" s="124">
        <f>[38]人員・時間計画!$E14</f>
        <v>47</v>
      </c>
      <c r="AI22" s="124">
        <f>[39]人員・時間計画!$E14</f>
        <v>35</v>
      </c>
      <c r="AJ22" s="125">
        <f t="shared" ref="AJ22" si="75">AJ21+AJ18</f>
        <v>186</v>
      </c>
      <c r="AK22" s="125">
        <f t="shared" si="59"/>
        <v>5080</v>
      </c>
      <c r="AL22" s="124">
        <f>[32]人員・時間計画!$E14</f>
        <v>14</v>
      </c>
      <c r="AM22" s="124">
        <f>[33]人員・時間計画!E14</f>
        <v>23</v>
      </c>
      <c r="AN22" s="124">
        <f>[34]人員・時間計画!$E14</f>
        <v>13</v>
      </c>
      <c r="AO22" s="114">
        <f>[35]人員・時間計画!$E14</f>
        <v>9</v>
      </c>
      <c r="AP22" s="124">
        <f>[36]人員・時間計画!$E14</f>
        <v>19</v>
      </c>
      <c r="AQ22" s="125">
        <f>AQ21+AQ18</f>
        <v>78</v>
      </c>
      <c r="AR22" s="124">
        <f>[41]人員・時間計画!$E14</f>
        <v>18</v>
      </c>
      <c r="AS22" s="124">
        <f>[42]人員・時間計画!$E14</f>
        <v>14</v>
      </c>
      <c r="AT22" s="124">
        <f>[43]人員・時間計画!$E14</f>
        <v>22</v>
      </c>
      <c r="AU22" s="125">
        <f>AU21+AU18</f>
        <v>54</v>
      </c>
      <c r="AV22" s="124">
        <f>[40]人員・時間計画!$E14</f>
        <v>23</v>
      </c>
      <c r="AW22" s="125">
        <f>AW21+AW18</f>
        <v>23</v>
      </c>
      <c r="AX22" s="125">
        <f t="shared" si="63"/>
        <v>155</v>
      </c>
      <c r="AY22" s="124">
        <f>[8]人員・時間計画!$E14</f>
        <v>8</v>
      </c>
      <c r="AZ22" s="124">
        <f>[9]人員・時間計画!$E14</f>
        <v>18</v>
      </c>
      <c r="BA22" s="124">
        <f>[10]人員・時間計画!$E14</f>
        <v>12</v>
      </c>
      <c r="BB22" s="124">
        <f>[11]人員・時間計画!$E14</f>
        <v>16</v>
      </c>
      <c r="BC22" s="114">
        <f>[12]人員・時間計画!$E14</f>
        <v>8</v>
      </c>
      <c r="BD22" s="124">
        <f>[13]人員・時間計画!$E14</f>
        <v>9</v>
      </c>
      <c r="BE22" s="114">
        <f>[14]人員・時間計画!$E14</f>
        <v>8</v>
      </c>
      <c r="BF22" s="124">
        <f>[15]人員・時間計画!$E14</f>
        <v>12</v>
      </c>
      <c r="BG22" s="124">
        <f>[16]人員・時間計画!$E14</f>
        <v>10</v>
      </c>
      <c r="BH22" s="125">
        <f t="shared" si="64"/>
        <v>101</v>
      </c>
      <c r="BI22" s="125">
        <f t="shared" ref="BI22" si="76">BI21+BI18</f>
        <v>101</v>
      </c>
      <c r="BJ22" s="124">
        <f>[44]人員・時間計画!$E14</f>
        <v>14</v>
      </c>
      <c r="BK22" s="124">
        <f>[45]人員・時間計画!$E14</f>
        <v>45</v>
      </c>
      <c r="BL22" s="125">
        <f>BL21+BL18</f>
        <v>59</v>
      </c>
      <c r="BM22" s="124">
        <f>[46]人員・時間計画!$E14</f>
        <v>18</v>
      </c>
      <c r="BN22" s="124">
        <f>[47]人員・時間計画!$E14</f>
        <v>5</v>
      </c>
      <c r="BO22" s="124">
        <f>[48]人員・時間計画!$E14</f>
        <v>7</v>
      </c>
      <c r="BP22" s="124">
        <f>[49]人員・時間計画!$E14</f>
        <v>8</v>
      </c>
      <c r="BQ22" s="124">
        <f>[50]人員・時間計画!$E14</f>
        <v>6</v>
      </c>
      <c r="BR22" s="125">
        <f t="shared" si="67"/>
        <v>44</v>
      </c>
      <c r="BS22" s="124">
        <f>[51]人員・時間計画!$E14</f>
        <v>18</v>
      </c>
      <c r="BT22" s="124">
        <f>[52]人員・時間計画!$E14</f>
        <v>17</v>
      </c>
      <c r="BU22" s="124">
        <f>[53]人員・時間計画!$E14</f>
        <v>14</v>
      </c>
      <c r="BV22" s="124">
        <f>[54]人員・時間計画!$E14</f>
        <v>7</v>
      </c>
      <c r="BW22" s="124">
        <f>[55]人員・時間計画!$E14</f>
        <v>70</v>
      </c>
      <c r="BX22" s="125">
        <f t="shared" si="68"/>
        <v>126</v>
      </c>
      <c r="BY22" s="124">
        <f>[56]人員・時間計画!$E14</f>
        <v>12</v>
      </c>
      <c r="BZ22" s="124">
        <f>[57]人員・時間計画!$E14</f>
        <v>9</v>
      </c>
      <c r="CA22" s="124">
        <f>[59]人員・時間計画!$E14</f>
        <v>18</v>
      </c>
      <c r="CB22" s="125">
        <f>CB21+CB18</f>
        <v>39</v>
      </c>
      <c r="CC22" s="124">
        <f>[58]人員・時間計画!$E14</f>
        <v>14</v>
      </c>
      <c r="CD22" s="125">
        <f>CD21+CD18</f>
        <v>14</v>
      </c>
      <c r="CE22" s="125">
        <f>CD22+CB22+BX22+BR22+BL22+BI22+AX22+AK22</f>
        <v>5618</v>
      </c>
    </row>
    <row r="23" spans="1:83">
      <c r="A23" s="126"/>
      <c r="B23" s="127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</row>
    <row r="24" spans="1:83" ht="21.5" thickBot="1">
      <c r="A24" s="109">
        <v>7</v>
      </c>
      <c r="B24" s="110" t="s">
        <v>3</v>
      </c>
      <c r="C24" s="129"/>
      <c r="D24" s="129"/>
      <c r="E24" s="129"/>
      <c r="F24" s="129"/>
      <c r="G24" s="129"/>
      <c r="H24" s="130"/>
      <c r="I24" s="129"/>
      <c r="J24" s="129"/>
      <c r="K24" s="129"/>
      <c r="L24" s="129"/>
      <c r="M24" s="130"/>
      <c r="N24" s="129"/>
      <c r="O24" s="129"/>
      <c r="P24" s="130"/>
      <c r="Q24" s="130"/>
      <c r="R24" s="130"/>
      <c r="S24" s="129"/>
      <c r="T24" s="130"/>
      <c r="U24" s="129"/>
      <c r="V24" s="129"/>
      <c r="W24" s="129"/>
      <c r="X24" s="129"/>
      <c r="Y24" s="130"/>
      <c r="Z24" s="129"/>
      <c r="AA24" s="129"/>
      <c r="AB24" s="129"/>
      <c r="AC24" s="130"/>
      <c r="AD24" s="129"/>
      <c r="AE24" s="129"/>
      <c r="AF24" s="130"/>
      <c r="AG24" s="129"/>
      <c r="AH24" s="129"/>
      <c r="AI24" s="129"/>
      <c r="AJ24" s="130"/>
      <c r="AK24" s="130"/>
      <c r="AL24" s="129"/>
      <c r="AM24" s="129"/>
      <c r="AN24" s="129"/>
      <c r="AO24" s="129"/>
      <c r="AP24" s="129"/>
      <c r="AQ24" s="130"/>
      <c r="AR24" s="129"/>
      <c r="AS24" s="129"/>
      <c r="AT24" s="129"/>
      <c r="AU24" s="130"/>
      <c r="AV24" s="130"/>
      <c r="AW24" s="130"/>
      <c r="AX24" s="130"/>
      <c r="AY24" s="129"/>
      <c r="AZ24" s="129"/>
      <c r="BA24" s="129"/>
      <c r="BB24" s="129"/>
      <c r="BC24" s="129"/>
      <c r="BD24" s="129"/>
      <c r="BE24" s="129"/>
      <c r="BF24" s="129"/>
      <c r="BG24" s="129"/>
      <c r="BH24" s="130"/>
      <c r="BI24" s="130"/>
      <c r="BJ24" s="129"/>
      <c r="BK24" s="129"/>
      <c r="BL24" s="130"/>
      <c r="BM24" s="129"/>
      <c r="BN24" s="129"/>
      <c r="BO24" s="129"/>
      <c r="BP24" s="129"/>
      <c r="BQ24" s="129"/>
      <c r="BR24" s="130"/>
      <c r="BS24" s="129"/>
      <c r="BT24" s="129"/>
      <c r="BU24" s="129"/>
      <c r="BV24" s="129"/>
      <c r="BW24" s="129"/>
      <c r="BX24" s="130"/>
      <c r="BY24" s="129"/>
      <c r="BZ24" s="129"/>
      <c r="CA24" s="129"/>
      <c r="CB24" s="130"/>
      <c r="CC24" s="129"/>
      <c r="CD24" s="130"/>
      <c r="CE24" s="131"/>
    </row>
    <row r="25" spans="1:83" ht="15" thickBot="1">
      <c r="A25" s="112">
        <v>7</v>
      </c>
      <c r="B25" s="113" t="s">
        <v>194</v>
      </c>
      <c r="C25" s="114">
        <f>[1]人員・時間計画!$F$10</f>
        <v>2</v>
      </c>
      <c r="D25" s="114">
        <f>[2]人員・時間計画!$F10</f>
        <v>0</v>
      </c>
      <c r="E25" s="114">
        <f>[3]人員・時間計画!$F10</f>
        <v>0</v>
      </c>
      <c r="F25" s="114">
        <f>[4]人員・時間計画!$F10</f>
        <v>0</v>
      </c>
      <c r="G25" s="114">
        <f>[17]人員・時間計画!$F10</f>
        <v>0</v>
      </c>
      <c r="H25" s="115">
        <f>SUM(C25:G25)</f>
        <v>2</v>
      </c>
      <c r="I25" s="114">
        <f>[5]人員・時間計画!$F10</f>
        <v>1</v>
      </c>
      <c r="J25" s="114">
        <f>[18]人員・時間計画!$F10</f>
        <v>0</v>
      </c>
      <c r="K25" s="114">
        <f>[19]人員・時間計画!$F10</f>
        <v>0</v>
      </c>
      <c r="L25" s="114">
        <f>[20]人員・時間計画!$F10</f>
        <v>0</v>
      </c>
      <c r="M25" s="115">
        <f>SUM(I25:L25)</f>
        <v>1</v>
      </c>
      <c r="N25" s="114">
        <f>[6]人員・時間計画!$F10</f>
        <v>1</v>
      </c>
      <c r="O25" s="114">
        <f>'[21]Kế hoạch số người - thời gian'!$F10</f>
        <v>2</v>
      </c>
      <c r="P25" s="114">
        <f>[22]人員・時間計画!$F10</f>
        <v>0</v>
      </c>
      <c r="Q25" s="114">
        <f>[23]人員・時間計画!$E10</f>
        <v>0</v>
      </c>
      <c r="R25" s="115">
        <f>SUM(N25:Q25)</f>
        <v>3</v>
      </c>
      <c r="S25" s="114">
        <f>'[7]人員・時間計画 '!$F10</f>
        <v>2</v>
      </c>
      <c r="T25" s="115">
        <f>S25</f>
        <v>2</v>
      </c>
      <c r="U25" s="114">
        <f>[26]人員・時間計画!$F10</f>
        <v>1</v>
      </c>
      <c r="V25" s="114">
        <f>[27]人員・時間計画!$F10</f>
        <v>0</v>
      </c>
      <c r="W25" s="114">
        <f>[28]人員・時間計画!$F10</f>
        <v>0</v>
      </c>
      <c r="X25" s="114">
        <f>[29]人員・時間計画!D10</f>
        <v>0</v>
      </c>
      <c r="Y25" s="115">
        <f>SUM(U25:X25)</f>
        <v>1</v>
      </c>
      <c r="Z25" s="114">
        <f>[30]人員・時間計画!$F10</f>
        <v>0</v>
      </c>
      <c r="AA25" s="114">
        <f>[60]人員・時間計画!$F10</f>
        <v>0</v>
      </c>
      <c r="AB25" s="114">
        <f>[31]人員・時間計画!$F10</f>
        <v>1</v>
      </c>
      <c r="AC25" s="115">
        <f>SUM(Z25:AB25)</f>
        <v>1</v>
      </c>
      <c r="AD25" s="114">
        <f>[24]人員・時間計画!$F10</f>
        <v>2</v>
      </c>
      <c r="AE25" s="114">
        <f>[25]人員・時間計画!$F10</f>
        <v>0</v>
      </c>
      <c r="AF25" s="115">
        <f>SUM(AD25:AE25)</f>
        <v>2</v>
      </c>
      <c r="AG25" s="114">
        <f>[37]人員・時間計画!$F10</f>
        <v>0</v>
      </c>
      <c r="AH25" s="114">
        <f>[38]人員・時間計画!$F10</f>
        <v>0</v>
      </c>
      <c r="AI25" s="114">
        <f>[39]人員・時間計画!$F10</f>
        <v>2</v>
      </c>
      <c r="AJ25" s="115">
        <f>SUM(AG25:AI25)</f>
        <v>2</v>
      </c>
      <c r="AK25" s="115">
        <f>AJ25+AF25+AC25+Y25+T25+R25+M25+H25</f>
        <v>14</v>
      </c>
      <c r="AL25" s="114">
        <f>[32]人員・時間計画!$F10</f>
        <v>0</v>
      </c>
      <c r="AM25" s="114">
        <f>[33]人員・時間計画!F10</f>
        <v>2</v>
      </c>
      <c r="AN25" s="114">
        <f>[34]人員・時間計画!$F10</f>
        <v>0</v>
      </c>
      <c r="AO25" s="114">
        <f>[35]人員・時間計画!$F10</f>
        <v>0</v>
      </c>
      <c r="AP25" s="114">
        <f>[36]人員・時間計画!$F10</f>
        <v>1</v>
      </c>
      <c r="AQ25" s="115">
        <f>SUM(AL25:AP25)</f>
        <v>3</v>
      </c>
      <c r="AR25" s="114">
        <f>[41]人員・時間計画!$F10</f>
        <v>1</v>
      </c>
      <c r="AS25" s="114">
        <f>[42]人員・時間計画!$F10</f>
        <v>1</v>
      </c>
      <c r="AT25" s="114">
        <f>[43]人員・時間計画!$F10</f>
        <v>0</v>
      </c>
      <c r="AU25" s="115">
        <f>SUM(AR25:AT25)</f>
        <v>2</v>
      </c>
      <c r="AV25" s="114">
        <f>[40]人員・時間計画!$F10</f>
        <v>2</v>
      </c>
      <c r="AW25" s="115">
        <f>AV25</f>
        <v>2</v>
      </c>
      <c r="AX25" s="115">
        <f>AQ25+AU25+AW25</f>
        <v>7</v>
      </c>
      <c r="AY25" s="114">
        <f>[8]人員・時間計画!$F10</f>
        <v>0</v>
      </c>
      <c r="AZ25" s="114">
        <f>[9]人員・時間計画!$F10</f>
        <v>9</v>
      </c>
      <c r="BA25" s="114">
        <f>[10]人員・時間計画!$F10</f>
        <v>1</v>
      </c>
      <c r="BB25" s="114">
        <f>[11]人員・時間計画!$F10</f>
        <v>1</v>
      </c>
      <c r="BC25" s="114">
        <f>[12]人員・時間計画!$F10</f>
        <v>1</v>
      </c>
      <c r="BD25" s="114">
        <f>[13]人員・時間計画!$F10</f>
        <v>0</v>
      </c>
      <c r="BE25" s="114">
        <f>[14]人員・時間計画!$F10</f>
        <v>1</v>
      </c>
      <c r="BF25" s="114">
        <f>[15]人員・時間計画!$F10</f>
        <v>1</v>
      </c>
      <c r="BG25" s="114">
        <f>[16]人員・時間計画!$F10</f>
        <v>0</v>
      </c>
      <c r="BH25" s="115">
        <f>SUM(AY25:BG25)</f>
        <v>14</v>
      </c>
      <c r="BI25" s="115">
        <f>BH25</f>
        <v>14</v>
      </c>
      <c r="BJ25" s="114">
        <f>[44]人員・時間計画!$F10</f>
        <v>2</v>
      </c>
      <c r="BK25" s="114">
        <f>[45]人員・時間計画!$F10</f>
        <v>0</v>
      </c>
      <c r="BL25" s="115">
        <f>SUM(BJ25:BK25)</f>
        <v>2</v>
      </c>
      <c r="BM25" s="114">
        <f>[46]人員・時間計画!$F10</f>
        <v>1</v>
      </c>
      <c r="BN25" s="114">
        <f>[47]人員・時間計画!$F10</f>
        <v>1</v>
      </c>
      <c r="BO25" s="114">
        <f>[48]人員・時間計画!$F10</f>
        <v>1</v>
      </c>
      <c r="BP25" s="114">
        <f>[49]人員・時間計画!$F10</f>
        <v>0</v>
      </c>
      <c r="BQ25" s="114">
        <f>[50]人員・時間計画!$F10</f>
        <v>2</v>
      </c>
      <c r="BR25" s="115">
        <f>SUM(BM25:BQ25)</f>
        <v>5</v>
      </c>
      <c r="BS25" s="114">
        <f>[51]人員・時間計画!$F10</f>
        <v>1</v>
      </c>
      <c r="BT25" s="114">
        <f>[52]人員・時間計画!$F10</f>
        <v>1</v>
      </c>
      <c r="BU25" s="114">
        <f>[53]人員・時間計画!$F10</f>
        <v>0</v>
      </c>
      <c r="BV25" s="114">
        <f>[54]人員・時間計画!$F10</f>
        <v>1</v>
      </c>
      <c r="BW25" s="114">
        <f>[55]人員・時間計画!$F10</f>
        <v>0</v>
      </c>
      <c r="BX25" s="115">
        <f>SUM(BS25:BW25)</f>
        <v>3</v>
      </c>
      <c r="BY25" s="114">
        <f>[56]人員・時間計画!$F10</f>
        <v>0</v>
      </c>
      <c r="BZ25" s="114">
        <f>[57]人員・時間計画!$F10</f>
        <v>1</v>
      </c>
      <c r="CA25" s="114">
        <f>[59]人員・時間計画!$F10</f>
        <v>1</v>
      </c>
      <c r="CB25" s="115">
        <f>SUM(BY25:CA25)</f>
        <v>2</v>
      </c>
      <c r="CC25" s="114">
        <f>[58]人員・時間計画!$F10</f>
        <v>1</v>
      </c>
      <c r="CD25" s="115">
        <f>CC25</f>
        <v>1</v>
      </c>
      <c r="CE25" s="115">
        <f>CD25+CB25+BX25+BR25+BL25+BI25+AX25+AK25</f>
        <v>48</v>
      </c>
    </row>
    <row r="26" spans="1:83">
      <c r="A26" s="112">
        <v>7</v>
      </c>
      <c r="B26" s="116" t="s">
        <v>139</v>
      </c>
      <c r="C26" s="132">
        <f>[1]人員・時間計画!$F$11</f>
        <v>85</v>
      </c>
      <c r="D26" s="132">
        <f>[2]人員・時間計画!$F11</f>
        <v>116</v>
      </c>
      <c r="E26" s="132">
        <f>[3]人員・時間計画!$F11</f>
        <v>90</v>
      </c>
      <c r="F26" s="132">
        <f>[4]人員・時間計画!$F11</f>
        <v>0</v>
      </c>
      <c r="G26" s="132">
        <f>[17]人員・時間計画!$F11</f>
        <v>21</v>
      </c>
      <c r="H26" s="115">
        <f t="shared" ref="H26:H27" si="77">SUM(C26:G26)</f>
        <v>312</v>
      </c>
      <c r="I26" s="132">
        <f>[5]人員・時間計画!$F11</f>
        <v>22</v>
      </c>
      <c r="J26" s="132">
        <f>[18]人員・時間計画!$F11</f>
        <v>14</v>
      </c>
      <c r="K26" s="114">
        <f>[19]人員・時間計画!$F11</f>
        <v>6</v>
      </c>
      <c r="L26" s="114">
        <f>[20]人員・時間計画!$F11</f>
        <v>10</v>
      </c>
      <c r="M26" s="115">
        <f t="shared" ref="M26:M27" si="78">SUM(I26:L26)</f>
        <v>52</v>
      </c>
      <c r="N26" s="132">
        <f>[6]人員・時間計画!$F11</f>
        <v>16</v>
      </c>
      <c r="O26" s="132">
        <f>'[21]Kế hoạch số người - thời gian'!$F11</f>
        <v>23</v>
      </c>
      <c r="P26" s="114">
        <f>[22]人員・時間計画!$F11</f>
        <v>9</v>
      </c>
      <c r="Q26" s="114">
        <f>[23]人員・時間計画!$E11</f>
        <v>12</v>
      </c>
      <c r="R26" s="115">
        <f>SUM(N26:Q26)</f>
        <v>60</v>
      </c>
      <c r="S26" s="114">
        <f>'[7]人員・時間計画 '!$F11</f>
        <v>15</v>
      </c>
      <c r="T26" s="115">
        <f t="shared" ref="T26:T27" si="79">S26</f>
        <v>15</v>
      </c>
      <c r="U26" s="132">
        <f>[26]人員・時間計画!$F11</f>
        <v>10</v>
      </c>
      <c r="V26" s="132">
        <f>[27]人員・時間計画!$F11</f>
        <v>6</v>
      </c>
      <c r="W26" s="132">
        <f>[28]人員・時間計画!$F11</f>
        <v>16</v>
      </c>
      <c r="X26" s="114">
        <f>[29]人員・時間計画!D11</f>
        <v>3</v>
      </c>
      <c r="Y26" s="115">
        <f t="shared" ref="Y26:Y27" si="80">SUM(U26:X26)</f>
        <v>35</v>
      </c>
      <c r="Z26" s="132">
        <f>[30]人員・時間計画!$F11</f>
        <v>38</v>
      </c>
      <c r="AA26" s="132">
        <f>[60]人員・時間計画!$F11</f>
        <v>11</v>
      </c>
      <c r="AB26" s="132">
        <f>[31]人員・時間計画!$F11</f>
        <v>12</v>
      </c>
      <c r="AC26" s="115">
        <f t="shared" ref="AC26:AC27" si="81">SUM(Z26:AB26)</f>
        <v>61</v>
      </c>
      <c r="AD26" s="132">
        <f>[24]人員・時間計画!$F11</f>
        <v>102</v>
      </c>
      <c r="AE26" s="132">
        <f>[25]人員・時間計画!$F11</f>
        <v>7</v>
      </c>
      <c r="AF26" s="115">
        <f t="shared" ref="AF26:AF27" si="82">SUM(AD26:AE26)</f>
        <v>109</v>
      </c>
      <c r="AG26" s="132">
        <f>[37]人員・時間計画!$F11</f>
        <v>25</v>
      </c>
      <c r="AH26" s="132">
        <f>[38]人員・時間計画!$F11</f>
        <v>23</v>
      </c>
      <c r="AI26" s="132">
        <f>[39]人員・時間計画!$F11</f>
        <v>30</v>
      </c>
      <c r="AJ26" s="115">
        <f t="shared" ref="AJ26:AJ27" si="83">SUM(AG26:AI26)</f>
        <v>78</v>
      </c>
      <c r="AK26" s="115">
        <f t="shared" ref="AK26:AK29" si="84">AJ26+AF26+AC26+Y26+T26+R26+M26+H26</f>
        <v>722</v>
      </c>
      <c r="AL26" s="132">
        <f>[32]人員・時間計画!$F11</f>
        <v>14</v>
      </c>
      <c r="AM26" s="132">
        <f>[33]人員・時間計画!F11</f>
        <v>21</v>
      </c>
      <c r="AN26" s="132">
        <f>[34]人員・時間計画!$F11</f>
        <v>13</v>
      </c>
      <c r="AO26" s="114">
        <f>[35]人員・時間計画!$F11</f>
        <v>9</v>
      </c>
      <c r="AP26" s="132">
        <f>[36]人員・時間計画!$F11</f>
        <v>18</v>
      </c>
      <c r="AQ26" s="115">
        <f t="shared" ref="AQ26:AQ27" si="85">SUM(AL26:AP26)</f>
        <v>75</v>
      </c>
      <c r="AR26" s="132">
        <f>[41]人員・時間計画!$F11</f>
        <v>17</v>
      </c>
      <c r="AS26" s="132">
        <f>[42]人員・時間計画!$F11</f>
        <v>13</v>
      </c>
      <c r="AT26" s="132">
        <f>[43]人員・時間計画!$F11</f>
        <v>23</v>
      </c>
      <c r="AU26" s="115">
        <f t="shared" ref="AU26:AU27" si="86">SUM(AR26:AT26)</f>
        <v>53</v>
      </c>
      <c r="AV26" s="114">
        <f>[40]人員・時間計画!$F11</f>
        <v>21</v>
      </c>
      <c r="AW26" s="115">
        <f t="shared" ref="AW26:AW27" si="87">AV26</f>
        <v>21</v>
      </c>
      <c r="AX26" s="115">
        <f t="shared" ref="AX26:AX29" si="88">AQ26+AU26+AW26</f>
        <v>149</v>
      </c>
      <c r="AY26" s="132">
        <f>[8]人員・時間計画!$F11</f>
        <v>8</v>
      </c>
      <c r="AZ26" s="132">
        <f>[9]人員・時間計画!$F11</f>
        <v>9</v>
      </c>
      <c r="BA26" s="132">
        <f>[10]人員・時間計画!$F11</f>
        <v>11</v>
      </c>
      <c r="BB26" s="132">
        <f>[11]人員・時間計画!$F11</f>
        <v>15</v>
      </c>
      <c r="BC26" s="114">
        <f>[12]人員・時間計画!$F11</f>
        <v>7</v>
      </c>
      <c r="BD26" s="132">
        <f>[13]人員・時間計画!$F11</f>
        <v>9</v>
      </c>
      <c r="BE26" s="114">
        <f>[14]人員・時間計画!$F11</f>
        <v>7</v>
      </c>
      <c r="BF26" s="132">
        <f>[15]人員・時間計画!$F11</f>
        <v>11</v>
      </c>
      <c r="BG26" s="132">
        <f>[16]人員・時間計画!$F11</f>
        <v>10</v>
      </c>
      <c r="BH26" s="115">
        <f t="shared" ref="BH26:BH29" si="89">SUM(AY26:BG26)</f>
        <v>87</v>
      </c>
      <c r="BI26" s="115">
        <f t="shared" ref="BI26:BI27" si="90">BH26</f>
        <v>87</v>
      </c>
      <c r="BJ26" s="132">
        <f>[44]人員・時間計画!$F11</f>
        <v>11</v>
      </c>
      <c r="BK26" s="132">
        <f>[45]人員・時間計画!$F11</f>
        <v>13</v>
      </c>
      <c r="BL26" s="115">
        <f t="shared" ref="BL26:BL27" si="91">SUM(BJ26:BK26)</f>
        <v>24</v>
      </c>
      <c r="BM26" s="132">
        <f>[46]人員・時間計画!$F11</f>
        <v>17</v>
      </c>
      <c r="BN26" s="132">
        <f>[47]人員・時間計画!$F11</f>
        <v>4</v>
      </c>
      <c r="BO26" s="132">
        <f>[48]人員・時間計画!$F11</f>
        <v>6</v>
      </c>
      <c r="BP26" s="132">
        <f>[49]人員・時間計画!$F11</f>
        <v>8</v>
      </c>
      <c r="BQ26" s="132">
        <f>[50]人員・時間計画!$F11</f>
        <v>4</v>
      </c>
      <c r="BR26" s="115">
        <f t="shared" ref="BR26:BR29" si="92">SUM(BM26:BQ26)</f>
        <v>39</v>
      </c>
      <c r="BS26" s="132">
        <f>[51]人員・時間計画!$F11</f>
        <v>11</v>
      </c>
      <c r="BT26" s="132">
        <f>[52]人員・時間計画!$F11</f>
        <v>16</v>
      </c>
      <c r="BU26" s="132">
        <f>[53]人員・時間計画!$F11</f>
        <v>11</v>
      </c>
      <c r="BV26" s="132">
        <f>[54]人員・時間計画!$F11</f>
        <v>6</v>
      </c>
      <c r="BW26" s="132">
        <f>[55]人員・時間計画!$F11</f>
        <v>3</v>
      </c>
      <c r="BX26" s="115">
        <f t="shared" ref="BX26:BX29" si="93">SUM(BS26:BW26)</f>
        <v>47</v>
      </c>
      <c r="BY26" s="132">
        <f>[56]人員・時間計画!$F11</f>
        <v>12</v>
      </c>
      <c r="BZ26" s="132">
        <f>[57]人員・時間計画!$F11</f>
        <v>8</v>
      </c>
      <c r="CA26" s="132">
        <f>[59]人員・時間計画!$F11</f>
        <v>17</v>
      </c>
      <c r="CB26" s="115">
        <f t="shared" ref="CB26:CB27" si="94">SUM(BY26:CA26)</f>
        <v>37</v>
      </c>
      <c r="CC26" s="132">
        <f>[58]人員・時間計画!$F11</f>
        <v>13</v>
      </c>
      <c r="CD26" s="115">
        <f t="shared" ref="CD26:CD27" si="95">CC26</f>
        <v>13</v>
      </c>
      <c r="CE26" s="115">
        <f>CD26+CB26+BX26+BR26+BL26+BI26+AX26+AK26</f>
        <v>1118</v>
      </c>
    </row>
    <row r="27" spans="1:83">
      <c r="A27" s="112">
        <v>7</v>
      </c>
      <c r="B27" s="117" t="s">
        <v>140</v>
      </c>
      <c r="C27" s="119">
        <f>[1]人員・時間計画!$F$12</f>
        <v>1105</v>
      </c>
      <c r="D27" s="119">
        <f>[2]人員・時間計画!$F12</f>
        <v>1637</v>
      </c>
      <c r="E27" s="119">
        <f>[3]人員・時間計画!$F12</f>
        <v>1014</v>
      </c>
      <c r="F27" s="119">
        <f>[4]人員・時間計画!$F12</f>
        <v>0</v>
      </c>
      <c r="G27" s="119">
        <f>[17]人員・時間計画!$F12</f>
        <v>7</v>
      </c>
      <c r="H27" s="118">
        <f t="shared" si="77"/>
        <v>3763</v>
      </c>
      <c r="I27" s="119">
        <f>[5]人員・時間計画!$F12</f>
        <v>298</v>
      </c>
      <c r="J27" s="119">
        <f>[18]人員・時間計画!$F12</f>
        <v>11</v>
      </c>
      <c r="K27" s="114">
        <f>[19]人員・時間計画!$F12</f>
        <v>3</v>
      </c>
      <c r="L27" s="114">
        <f>[20]人員・時間計画!$F12</f>
        <v>14</v>
      </c>
      <c r="M27" s="118">
        <f t="shared" si="78"/>
        <v>326</v>
      </c>
      <c r="N27" s="119">
        <f>[6]人員・時間計画!$F12</f>
        <v>125</v>
      </c>
      <c r="O27" s="119">
        <f>'[21]Kế hoạch số người - thời gian'!$F12</f>
        <v>9</v>
      </c>
      <c r="P27" s="114">
        <f>[22]人員・時間計画!$F12</f>
        <v>0</v>
      </c>
      <c r="Q27" s="114">
        <f>[23]人員・時間計画!$E12</f>
        <v>13</v>
      </c>
      <c r="R27" s="118">
        <f>SUM(N27:Q27)</f>
        <v>147</v>
      </c>
      <c r="S27" s="119">
        <f>'[7]人員・時間計画 '!$F12</f>
        <v>29</v>
      </c>
      <c r="T27" s="118">
        <f t="shared" si="79"/>
        <v>29</v>
      </c>
      <c r="U27" s="119">
        <f>[26]人員・時間計画!$F12</f>
        <v>0</v>
      </c>
      <c r="V27" s="119">
        <f>[27]人員・時間計画!$F12</f>
        <v>0</v>
      </c>
      <c r="W27" s="119">
        <f>[28]人員・時間計画!$F12</f>
        <v>1</v>
      </c>
      <c r="X27" s="114">
        <f>[29]人員・時間計画!D12</f>
        <v>0</v>
      </c>
      <c r="Y27" s="118">
        <f t="shared" si="80"/>
        <v>1</v>
      </c>
      <c r="Z27" s="119">
        <f>[30]人員・時間計画!$F12</f>
        <v>337</v>
      </c>
      <c r="AA27" s="119">
        <f>[60]人員・時間計画!$F12</f>
        <v>52</v>
      </c>
      <c r="AB27" s="119">
        <f>[31]人員・時間計画!$F12</f>
        <v>5</v>
      </c>
      <c r="AC27" s="118">
        <f t="shared" si="81"/>
        <v>394</v>
      </c>
      <c r="AD27" s="119">
        <f>[24]人員・時間計画!$F12</f>
        <v>94</v>
      </c>
      <c r="AE27" s="119">
        <f>[25]人員・時間計画!$F12</f>
        <v>1</v>
      </c>
      <c r="AF27" s="118">
        <f t="shared" si="82"/>
        <v>95</v>
      </c>
      <c r="AG27" s="119">
        <f>[37]人員・時間計画!$F12</f>
        <v>79</v>
      </c>
      <c r="AH27" s="119">
        <f>[38]人員・時間計画!$F12</f>
        <v>24</v>
      </c>
      <c r="AI27" s="119">
        <f>[39]人員・時間計画!$F12</f>
        <v>4</v>
      </c>
      <c r="AJ27" s="118">
        <f t="shared" si="83"/>
        <v>107</v>
      </c>
      <c r="AK27" s="118">
        <f t="shared" si="84"/>
        <v>4862</v>
      </c>
      <c r="AL27" s="119">
        <f>[32]人員・時間計画!$F12</f>
        <v>0</v>
      </c>
      <c r="AM27" s="119">
        <f>[33]人員・時間計画!F12</f>
        <v>0</v>
      </c>
      <c r="AN27" s="119">
        <f>[34]人員・時間計画!$F12</f>
        <v>0</v>
      </c>
      <c r="AO27" s="114">
        <f>[35]人員・時間計画!$F12</f>
        <v>0</v>
      </c>
      <c r="AP27" s="119">
        <f>[36]人員・時間計画!$F12</f>
        <v>0</v>
      </c>
      <c r="AQ27" s="118">
        <f t="shared" si="85"/>
        <v>0</v>
      </c>
      <c r="AR27" s="119">
        <f>[41]人員・時間計画!$F12</f>
        <v>0</v>
      </c>
      <c r="AS27" s="119">
        <f>[42]人員・時間計画!$F12</f>
        <v>0</v>
      </c>
      <c r="AT27" s="119">
        <f>[43]人員・時間計画!$F12</f>
        <v>0</v>
      </c>
      <c r="AU27" s="118">
        <f t="shared" si="86"/>
        <v>0</v>
      </c>
      <c r="AV27" s="119">
        <f>[40]人員・時間計画!$F12</f>
        <v>0</v>
      </c>
      <c r="AW27" s="118">
        <f t="shared" si="87"/>
        <v>0</v>
      </c>
      <c r="AX27" s="118">
        <f t="shared" si="88"/>
        <v>0</v>
      </c>
      <c r="AY27" s="119">
        <f>[8]人員・時間計画!$F12</f>
        <v>0</v>
      </c>
      <c r="AZ27" s="119">
        <f>[9]人員・時間計画!$F12</f>
        <v>0</v>
      </c>
      <c r="BA27" s="119">
        <f>[10]人員・時間計画!$F12</f>
        <v>0</v>
      </c>
      <c r="BB27" s="119">
        <f>[11]人員・時間計画!$F12</f>
        <v>0</v>
      </c>
      <c r="BC27" s="114">
        <f>[12]人員・時間計画!$F12</f>
        <v>0</v>
      </c>
      <c r="BD27" s="119">
        <f>[13]人員・時間計画!$F12</f>
        <v>0</v>
      </c>
      <c r="BE27" s="114">
        <f>[14]人員・時間計画!$F12</f>
        <v>0</v>
      </c>
      <c r="BF27" s="119">
        <f>[15]人員・時間計画!$F12</f>
        <v>0</v>
      </c>
      <c r="BG27" s="119">
        <f>[16]人員・時間計画!$F12</f>
        <v>0</v>
      </c>
      <c r="BH27" s="118">
        <f t="shared" si="89"/>
        <v>0</v>
      </c>
      <c r="BI27" s="118">
        <f t="shared" si="90"/>
        <v>0</v>
      </c>
      <c r="BJ27" s="119">
        <f>[44]人員・時間計画!$F12</f>
        <v>1</v>
      </c>
      <c r="BK27" s="119">
        <f>[45]人員・時間計画!$F12</f>
        <v>32</v>
      </c>
      <c r="BL27" s="118">
        <f t="shared" si="91"/>
        <v>33</v>
      </c>
      <c r="BM27" s="119">
        <f>[46]人員・時間計画!$F12</f>
        <v>0</v>
      </c>
      <c r="BN27" s="119">
        <f>[47]人員・時間計画!$F12</f>
        <v>0</v>
      </c>
      <c r="BO27" s="119">
        <f>[48]人員・時間計画!$F12</f>
        <v>0</v>
      </c>
      <c r="BP27" s="119">
        <f>[49]人員・時間計画!$F12</f>
        <v>0</v>
      </c>
      <c r="BQ27" s="119">
        <f>[50]人員・時間計画!$F12</f>
        <v>0</v>
      </c>
      <c r="BR27" s="118">
        <f t="shared" si="92"/>
        <v>0</v>
      </c>
      <c r="BS27" s="119">
        <f>[51]人員・時間計画!$F12</f>
        <v>6</v>
      </c>
      <c r="BT27" s="119">
        <f>[52]人員・時間計画!$F12</f>
        <v>0</v>
      </c>
      <c r="BU27" s="119">
        <f>[53]人員・時間計画!$F12</f>
        <v>3</v>
      </c>
      <c r="BV27" s="119">
        <f>[54]人員・時間計画!$F12</f>
        <v>0</v>
      </c>
      <c r="BW27" s="119">
        <f>[55]人員・時間計画!$F12</f>
        <v>67</v>
      </c>
      <c r="BX27" s="118">
        <f t="shared" si="93"/>
        <v>76</v>
      </c>
      <c r="BY27" s="119">
        <f>[56]人員・時間計画!$F12</f>
        <v>0</v>
      </c>
      <c r="BZ27" s="119">
        <f>[57]人員・時間計画!$F12</f>
        <v>0</v>
      </c>
      <c r="CA27" s="119">
        <f>[59]人員・時間計画!$F12</f>
        <v>0</v>
      </c>
      <c r="CB27" s="118">
        <f t="shared" si="94"/>
        <v>0</v>
      </c>
      <c r="CC27" s="119">
        <f>[58]人員・時間計画!$F12</f>
        <v>0</v>
      </c>
      <c r="CD27" s="118">
        <f t="shared" si="95"/>
        <v>0</v>
      </c>
      <c r="CE27" s="118">
        <f>CD27+CB27+BX27+BR27+BL27+BI27+AX27+AK27</f>
        <v>4971</v>
      </c>
    </row>
    <row r="28" spans="1:83">
      <c r="A28" s="112">
        <v>7</v>
      </c>
      <c r="B28" s="120" t="s">
        <v>195</v>
      </c>
      <c r="C28" s="121">
        <f>[1]人員・時間計画!$F$13</f>
        <v>1190</v>
      </c>
      <c r="D28" s="121">
        <f>[2]人員・時間計画!$F13</f>
        <v>1753</v>
      </c>
      <c r="E28" s="121">
        <f>[3]人員・時間計画!$F13</f>
        <v>1104</v>
      </c>
      <c r="F28" s="121">
        <f>[4]人員・時間計画!$F13</f>
        <v>0</v>
      </c>
      <c r="G28" s="121">
        <f>[17]人員・時間計画!$F13</f>
        <v>28</v>
      </c>
      <c r="H28" s="122">
        <f>SUM(H26:H27)</f>
        <v>4075</v>
      </c>
      <c r="I28" s="121">
        <f>[5]人員・時間計画!$F13</f>
        <v>320</v>
      </c>
      <c r="J28" s="121">
        <f>[18]人員・時間計画!$F13</f>
        <v>25</v>
      </c>
      <c r="K28" s="114">
        <f>[19]人員・時間計画!$F13</f>
        <v>9</v>
      </c>
      <c r="L28" s="114">
        <f>[20]人員・時間計画!$F13</f>
        <v>24</v>
      </c>
      <c r="M28" s="122">
        <f>SUM(M26:M27)</f>
        <v>378</v>
      </c>
      <c r="N28" s="121">
        <f>[6]人員・時間計画!$F13</f>
        <v>141</v>
      </c>
      <c r="O28" s="121">
        <f>'[21]Kế hoạch số người - thời gian'!$F13</f>
        <v>32</v>
      </c>
      <c r="P28" s="114">
        <f>[22]人員・時間計画!$F13</f>
        <v>9</v>
      </c>
      <c r="Q28" s="114">
        <f>[23]人員・時間計画!$E13</f>
        <v>25</v>
      </c>
      <c r="R28" s="122">
        <f>SUM(R26:R27)</f>
        <v>207</v>
      </c>
      <c r="S28" s="121">
        <f>'[7]人員・時間計画 '!$F13</f>
        <v>44</v>
      </c>
      <c r="T28" s="122">
        <f>SUM(T26:T27)</f>
        <v>44</v>
      </c>
      <c r="U28" s="121">
        <f>[26]人員・時間計画!$F13</f>
        <v>10</v>
      </c>
      <c r="V28" s="121">
        <f>[27]人員・時間計画!$F13</f>
        <v>6</v>
      </c>
      <c r="W28" s="121">
        <f>[28]人員・時間計画!$F13</f>
        <v>17</v>
      </c>
      <c r="X28" s="114">
        <f>[29]人員・時間計画!D13</f>
        <v>3</v>
      </c>
      <c r="Y28" s="122">
        <f>SUM(Y26:Y27)</f>
        <v>36</v>
      </c>
      <c r="Z28" s="121">
        <f>[30]人員・時間計画!$F13</f>
        <v>375</v>
      </c>
      <c r="AA28" s="121">
        <f>[60]人員・時間計画!$F13</f>
        <v>63</v>
      </c>
      <c r="AB28" s="121">
        <f>[31]人員・時間計画!$F13</f>
        <v>17</v>
      </c>
      <c r="AC28" s="122">
        <f t="shared" ref="AC28" si="96">SUM(AC26:AC27)</f>
        <v>455</v>
      </c>
      <c r="AD28" s="121">
        <f>[24]人員・時間計画!$F13</f>
        <v>196</v>
      </c>
      <c r="AE28" s="121">
        <f>[25]人員・時間計画!$F13</f>
        <v>8</v>
      </c>
      <c r="AF28" s="122">
        <f>SUM(AF26:AF27)</f>
        <v>204</v>
      </c>
      <c r="AG28" s="121">
        <f>[37]人員・時間計画!$F13</f>
        <v>104</v>
      </c>
      <c r="AH28" s="121">
        <f>[38]人員・時間計画!$F13</f>
        <v>47</v>
      </c>
      <c r="AI28" s="121">
        <f>[39]人員・時間計画!$F13</f>
        <v>34</v>
      </c>
      <c r="AJ28" s="122">
        <f t="shared" ref="AJ28" si="97">SUM(AJ26:AJ27)</f>
        <v>185</v>
      </c>
      <c r="AK28" s="122">
        <f t="shared" si="84"/>
        <v>5584</v>
      </c>
      <c r="AL28" s="121">
        <f>[32]人員・時間計画!$F13</f>
        <v>14</v>
      </c>
      <c r="AM28" s="121">
        <f>[33]人員・時間計画!F13</f>
        <v>21</v>
      </c>
      <c r="AN28" s="121">
        <f>[34]人員・時間計画!$F13</f>
        <v>13</v>
      </c>
      <c r="AO28" s="114">
        <f>[35]人員・時間計画!$F13</f>
        <v>9</v>
      </c>
      <c r="AP28" s="121">
        <f>[36]人員・時間計画!$F13</f>
        <v>18</v>
      </c>
      <c r="AQ28" s="122">
        <f>SUM(AQ26:AQ27)</f>
        <v>75</v>
      </c>
      <c r="AR28" s="121">
        <f>[41]人員・時間計画!$F13</f>
        <v>17</v>
      </c>
      <c r="AS28" s="121">
        <f>[42]人員・時間計画!$F13</f>
        <v>13</v>
      </c>
      <c r="AT28" s="121">
        <f>[43]人員・時間計画!$F13</f>
        <v>23</v>
      </c>
      <c r="AU28" s="122">
        <f>SUM(AU26:AU27)</f>
        <v>53</v>
      </c>
      <c r="AV28" s="121">
        <f>[40]人員・時間計画!$F13</f>
        <v>21</v>
      </c>
      <c r="AW28" s="122">
        <f>SUM(AW26:AW27)</f>
        <v>21</v>
      </c>
      <c r="AX28" s="122">
        <f t="shared" si="88"/>
        <v>149</v>
      </c>
      <c r="AY28" s="121">
        <f>[8]人員・時間計画!$F13</f>
        <v>8</v>
      </c>
      <c r="AZ28" s="121">
        <f>[9]人員・時間計画!$F13</f>
        <v>9</v>
      </c>
      <c r="BA28" s="121">
        <f>[10]人員・時間計画!$F13</f>
        <v>11</v>
      </c>
      <c r="BB28" s="121">
        <f>[11]人員・時間計画!$F13</f>
        <v>15</v>
      </c>
      <c r="BC28" s="114">
        <f>[12]人員・時間計画!$F13</f>
        <v>7</v>
      </c>
      <c r="BD28" s="121">
        <f>[13]人員・時間計画!$F13</f>
        <v>9</v>
      </c>
      <c r="BE28" s="114">
        <f>[14]人員・時間計画!$F13</f>
        <v>7</v>
      </c>
      <c r="BF28" s="121">
        <f>[15]人員・時間計画!$F13</f>
        <v>11</v>
      </c>
      <c r="BG28" s="121">
        <f>[16]人員・時間計画!$F13</f>
        <v>10</v>
      </c>
      <c r="BH28" s="122">
        <f t="shared" si="89"/>
        <v>87</v>
      </c>
      <c r="BI28" s="122">
        <f t="shared" ref="BI28" si="98">SUM(BI26:BI27)</f>
        <v>87</v>
      </c>
      <c r="BJ28" s="121">
        <f>[44]人員・時間計画!$F13</f>
        <v>12</v>
      </c>
      <c r="BK28" s="121">
        <f>[45]人員・時間計画!$F13</f>
        <v>45</v>
      </c>
      <c r="BL28" s="122">
        <f>SUM(BL26:BL27)</f>
        <v>57</v>
      </c>
      <c r="BM28" s="121">
        <f>[46]人員・時間計画!$F13</f>
        <v>17</v>
      </c>
      <c r="BN28" s="121">
        <f>[47]人員・時間計画!$F13</f>
        <v>4</v>
      </c>
      <c r="BO28" s="121">
        <f>[48]人員・時間計画!$F13</f>
        <v>6</v>
      </c>
      <c r="BP28" s="121">
        <f>[49]人員・時間計画!$F13</f>
        <v>8</v>
      </c>
      <c r="BQ28" s="121">
        <f>[50]人員・時間計画!$F13</f>
        <v>4</v>
      </c>
      <c r="BR28" s="122">
        <f t="shared" si="92"/>
        <v>39</v>
      </c>
      <c r="BS28" s="121">
        <f>[51]人員・時間計画!$F13</f>
        <v>17</v>
      </c>
      <c r="BT28" s="121">
        <f>[52]人員・時間計画!$F13</f>
        <v>16</v>
      </c>
      <c r="BU28" s="121">
        <f>[53]人員・時間計画!$F13</f>
        <v>14</v>
      </c>
      <c r="BV28" s="121">
        <f>[54]人員・時間計画!$F13</f>
        <v>6</v>
      </c>
      <c r="BW28" s="121">
        <f>[55]人員・時間計画!$F13</f>
        <v>70</v>
      </c>
      <c r="BX28" s="122">
        <f t="shared" si="93"/>
        <v>123</v>
      </c>
      <c r="BY28" s="121">
        <f>[56]人員・時間計画!$F13</f>
        <v>12</v>
      </c>
      <c r="BZ28" s="121">
        <f>[57]人員・時間計画!$F13</f>
        <v>8</v>
      </c>
      <c r="CA28" s="121">
        <f>[59]人員・時間計画!$F13</f>
        <v>17</v>
      </c>
      <c r="CB28" s="122">
        <f>SUM(CB26:CB27)</f>
        <v>37</v>
      </c>
      <c r="CC28" s="121">
        <f>[58]人員・時間計画!$F13</f>
        <v>13</v>
      </c>
      <c r="CD28" s="122">
        <f>SUM(CD26:CD27)</f>
        <v>13</v>
      </c>
      <c r="CE28" s="122">
        <f>CD28+CB28+BX28+BR28+BL28+BI28+AX28+AK28</f>
        <v>6089</v>
      </c>
    </row>
    <row r="29" spans="1:83" ht="15" thickBot="1">
      <c r="A29" s="112">
        <v>7</v>
      </c>
      <c r="B29" s="123" t="s">
        <v>196</v>
      </c>
      <c r="C29" s="124">
        <f>[1]人員・時間計画!$F$14</f>
        <v>1192</v>
      </c>
      <c r="D29" s="124">
        <f>[2]人員・時間計画!$F14</f>
        <v>1753</v>
      </c>
      <c r="E29" s="124">
        <f>[3]人員・時間計画!$F14</f>
        <v>1104</v>
      </c>
      <c r="F29" s="124">
        <f>[4]人員・時間計画!$F14</f>
        <v>0</v>
      </c>
      <c r="G29" s="124">
        <f>[17]人員・時間計画!$F14</f>
        <v>28</v>
      </c>
      <c r="H29" s="125">
        <f>H28+H25</f>
        <v>4077</v>
      </c>
      <c r="I29" s="124">
        <f>[5]人員・時間計画!$F14</f>
        <v>321</v>
      </c>
      <c r="J29" s="124">
        <f>[18]人員・時間計画!$F14</f>
        <v>25</v>
      </c>
      <c r="K29" s="114">
        <f>[19]人員・時間計画!$F14</f>
        <v>9</v>
      </c>
      <c r="L29" s="114">
        <f>[20]人員・時間計画!$F14</f>
        <v>24</v>
      </c>
      <c r="M29" s="125">
        <f>M28+M25</f>
        <v>379</v>
      </c>
      <c r="N29" s="124">
        <f>[6]人員・時間計画!$F14</f>
        <v>142</v>
      </c>
      <c r="O29" s="124">
        <f>'[21]Kế hoạch số người - thời gian'!$F14</f>
        <v>34</v>
      </c>
      <c r="P29" s="114">
        <f>[22]人員・時間計画!$F14</f>
        <v>9</v>
      </c>
      <c r="Q29" s="114">
        <f>[23]人員・時間計画!$E14</f>
        <v>25</v>
      </c>
      <c r="R29" s="125">
        <f>R28+R25</f>
        <v>210</v>
      </c>
      <c r="S29" s="124">
        <f>'[7]人員・時間計画 '!$F14</f>
        <v>46</v>
      </c>
      <c r="T29" s="125">
        <f>T28+T25</f>
        <v>46</v>
      </c>
      <c r="U29" s="124">
        <f>[26]人員・時間計画!$F14</f>
        <v>11</v>
      </c>
      <c r="V29" s="124">
        <f>[27]人員・時間計画!$F14</f>
        <v>6</v>
      </c>
      <c r="W29" s="124">
        <f>[28]人員・時間計画!$F14</f>
        <v>17</v>
      </c>
      <c r="X29" s="114">
        <f>[29]人員・時間計画!D14</f>
        <v>3</v>
      </c>
      <c r="Y29" s="125">
        <f>Y28+Y25</f>
        <v>37</v>
      </c>
      <c r="Z29" s="124">
        <f>[30]人員・時間計画!$F14</f>
        <v>375</v>
      </c>
      <c r="AA29" s="124">
        <f>[60]人員・時間計画!$F14</f>
        <v>63</v>
      </c>
      <c r="AB29" s="124">
        <f>[31]人員・時間計画!$F14</f>
        <v>18</v>
      </c>
      <c r="AC29" s="125">
        <f t="shared" ref="AC29" si="99">AC28+AC25</f>
        <v>456</v>
      </c>
      <c r="AD29" s="124">
        <f>[24]人員・時間計画!$F14</f>
        <v>198</v>
      </c>
      <c r="AE29" s="124">
        <f>[25]人員・時間計画!$F14</f>
        <v>8</v>
      </c>
      <c r="AF29" s="125">
        <f>AF28+AF25</f>
        <v>206</v>
      </c>
      <c r="AG29" s="124">
        <f>[37]人員・時間計画!$F14</f>
        <v>104</v>
      </c>
      <c r="AH29" s="124">
        <f>[38]人員・時間計画!$F14</f>
        <v>47</v>
      </c>
      <c r="AI29" s="124">
        <f>[39]人員・時間計画!$F14</f>
        <v>36</v>
      </c>
      <c r="AJ29" s="125">
        <f t="shared" ref="AJ29" si="100">AJ28+AJ25</f>
        <v>187</v>
      </c>
      <c r="AK29" s="125">
        <f t="shared" si="84"/>
        <v>5598</v>
      </c>
      <c r="AL29" s="124">
        <f>[32]人員・時間計画!$F14</f>
        <v>14</v>
      </c>
      <c r="AM29" s="124">
        <f>[33]人員・時間計画!F14</f>
        <v>23</v>
      </c>
      <c r="AN29" s="124">
        <f>[34]人員・時間計画!$F14</f>
        <v>13</v>
      </c>
      <c r="AO29" s="114">
        <f>[35]人員・時間計画!$F14</f>
        <v>9</v>
      </c>
      <c r="AP29" s="124">
        <f>[36]人員・時間計画!$F14</f>
        <v>19</v>
      </c>
      <c r="AQ29" s="125">
        <f>AQ28+AQ25</f>
        <v>78</v>
      </c>
      <c r="AR29" s="124">
        <f>[41]人員・時間計画!$F14</f>
        <v>18</v>
      </c>
      <c r="AS29" s="124">
        <f>[42]人員・時間計画!$F14</f>
        <v>14</v>
      </c>
      <c r="AT29" s="124">
        <f>[43]人員・時間計画!$F14</f>
        <v>23</v>
      </c>
      <c r="AU29" s="125">
        <f>AU28+AU25</f>
        <v>55</v>
      </c>
      <c r="AV29" s="124">
        <f>[40]人員・時間計画!$F14</f>
        <v>23</v>
      </c>
      <c r="AW29" s="125">
        <f>AW28+AW25</f>
        <v>23</v>
      </c>
      <c r="AX29" s="125">
        <f t="shared" si="88"/>
        <v>156</v>
      </c>
      <c r="AY29" s="124">
        <f>[8]人員・時間計画!$F14</f>
        <v>8</v>
      </c>
      <c r="AZ29" s="124">
        <f>[9]人員・時間計画!$F14</f>
        <v>18</v>
      </c>
      <c r="BA29" s="124">
        <f>[10]人員・時間計画!$F14</f>
        <v>12</v>
      </c>
      <c r="BB29" s="124">
        <f>[11]人員・時間計画!$F14</f>
        <v>16</v>
      </c>
      <c r="BC29" s="114">
        <f>[12]人員・時間計画!$F14</f>
        <v>8</v>
      </c>
      <c r="BD29" s="124">
        <f>[13]人員・時間計画!$F14</f>
        <v>9</v>
      </c>
      <c r="BE29" s="114">
        <f>[14]人員・時間計画!$F14</f>
        <v>8</v>
      </c>
      <c r="BF29" s="124">
        <f>[15]人員・時間計画!$F14</f>
        <v>12</v>
      </c>
      <c r="BG29" s="124">
        <f>[16]人員・時間計画!$F14</f>
        <v>10</v>
      </c>
      <c r="BH29" s="125">
        <f t="shared" si="89"/>
        <v>101</v>
      </c>
      <c r="BI29" s="125">
        <f t="shared" ref="BI29" si="101">BI28+BI25</f>
        <v>101</v>
      </c>
      <c r="BJ29" s="124">
        <f>[44]人員・時間計画!$F14</f>
        <v>14</v>
      </c>
      <c r="BK29" s="124">
        <f>[45]人員・時間計画!$F14</f>
        <v>45</v>
      </c>
      <c r="BL29" s="125">
        <f>BL28+BL25</f>
        <v>59</v>
      </c>
      <c r="BM29" s="124">
        <f>[46]人員・時間計画!$F14</f>
        <v>18</v>
      </c>
      <c r="BN29" s="124">
        <f>[47]人員・時間計画!$F14</f>
        <v>5</v>
      </c>
      <c r="BO29" s="124">
        <f>[48]人員・時間計画!$F14</f>
        <v>7</v>
      </c>
      <c r="BP29" s="124">
        <f>[49]人員・時間計画!$F14</f>
        <v>8</v>
      </c>
      <c r="BQ29" s="124">
        <f>[50]人員・時間計画!$F14</f>
        <v>6</v>
      </c>
      <c r="BR29" s="125">
        <f t="shared" si="92"/>
        <v>44</v>
      </c>
      <c r="BS29" s="124">
        <f>[51]人員・時間計画!$F14</f>
        <v>18</v>
      </c>
      <c r="BT29" s="124">
        <f>[52]人員・時間計画!$F14</f>
        <v>17</v>
      </c>
      <c r="BU29" s="124">
        <f>[53]人員・時間計画!$F14</f>
        <v>14</v>
      </c>
      <c r="BV29" s="124">
        <f>[54]人員・時間計画!$F14</f>
        <v>7</v>
      </c>
      <c r="BW29" s="124">
        <f>[55]人員・時間計画!$F14</f>
        <v>70</v>
      </c>
      <c r="BX29" s="125">
        <f t="shared" si="93"/>
        <v>126</v>
      </c>
      <c r="BY29" s="124">
        <f>[56]人員・時間計画!$F14</f>
        <v>12</v>
      </c>
      <c r="BZ29" s="124">
        <f>[57]人員・時間計画!$F14</f>
        <v>9</v>
      </c>
      <c r="CA29" s="124">
        <f>[59]人員・時間計画!$F14</f>
        <v>18</v>
      </c>
      <c r="CB29" s="125">
        <f>CB28+CB25</f>
        <v>39</v>
      </c>
      <c r="CC29" s="124">
        <f>[58]人員・時間計画!$F14</f>
        <v>14</v>
      </c>
      <c r="CD29" s="125">
        <f>CD28+CD25</f>
        <v>14</v>
      </c>
      <c r="CE29" s="125">
        <f>CD29+CB29+BX29+BR29+BL29+BI29+AX29+AK29</f>
        <v>6137</v>
      </c>
    </row>
    <row r="30" spans="1:83">
      <c r="A30" s="126"/>
      <c r="B30" s="127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8"/>
    </row>
    <row r="31" spans="1:83" ht="21.5" thickBot="1">
      <c r="A31" s="109">
        <v>8</v>
      </c>
      <c r="B31" s="110" t="s">
        <v>3</v>
      </c>
      <c r="C31" s="129"/>
      <c r="D31" s="129"/>
      <c r="E31" s="129"/>
      <c r="F31" s="129"/>
      <c r="G31" s="129"/>
      <c r="H31" s="130"/>
      <c r="I31" s="129"/>
      <c r="J31" s="129"/>
      <c r="K31" s="129"/>
      <c r="L31" s="129"/>
      <c r="M31" s="130"/>
      <c r="N31" s="129"/>
      <c r="O31" s="129"/>
      <c r="P31" s="130"/>
      <c r="Q31" s="130"/>
      <c r="R31" s="130"/>
      <c r="S31" s="129"/>
      <c r="T31" s="130"/>
      <c r="U31" s="129"/>
      <c r="V31" s="129"/>
      <c r="W31" s="129"/>
      <c r="X31" s="129"/>
      <c r="Y31" s="130"/>
      <c r="Z31" s="129"/>
      <c r="AA31" s="129"/>
      <c r="AB31" s="129"/>
      <c r="AC31" s="130"/>
      <c r="AD31" s="129"/>
      <c r="AE31" s="129"/>
      <c r="AF31" s="130"/>
      <c r="AG31" s="129"/>
      <c r="AH31" s="129"/>
      <c r="AI31" s="129"/>
      <c r="AJ31" s="130"/>
      <c r="AK31" s="130"/>
      <c r="AL31" s="129"/>
      <c r="AM31" s="129"/>
      <c r="AN31" s="129"/>
      <c r="AO31" s="129"/>
      <c r="AP31" s="129"/>
      <c r="AQ31" s="130"/>
      <c r="AR31" s="129"/>
      <c r="AS31" s="129"/>
      <c r="AT31" s="129"/>
      <c r="AU31" s="130"/>
      <c r="AV31" s="130"/>
      <c r="AW31" s="130"/>
      <c r="AX31" s="130"/>
      <c r="AY31" s="129"/>
      <c r="AZ31" s="129"/>
      <c r="BA31" s="129"/>
      <c r="BB31" s="129"/>
      <c r="BC31" s="129"/>
      <c r="BD31" s="129"/>
      <c r="BE31" s="129"/>
      <c r="BF31" s="129"/>
      <c r="BG31" s="129"/>
      <c r="BH31" s="130"/>
      <c r="BI31" s="130"/>
      <c r="BJ31" s="129"/>
      <c r="BK31" s="129"/>
      <c r="BL31" s="130"/>
      <c r="BM31" s="129"/>
      <c r="BN31" s="129"/>
      <c r="BO31" s="129"/>
      <c r="BP31" s="129"/>
      <c r="BQ31" s="129"/>
      <c r="BR31" s="130"/>
      <c r="BS31" s="129"/>
      <c r="BT31" s="129"/>
      <c r="BU31" s="129"/>
      <c r="BV31" s="129"/>
      <c r="BW31" s="129"/>
      <c r="BX31" s="130"/>
      <c r="BY31" s="129"/>
      <c r="BZ31" s="129"/>
      <c r="CA31" s="129"/>
      <c r="CB31" s="130"/>
      <c r="CC31" s="129"/>
      <c r="CD31" s="130"/>
      <c r="CE31" s="131"/>
    </row>
    <row r="32" spans="1:83" ht="15" thickBot="1">
      <c r="A32" s="112">
        <v>8</v>
      </c>
      <c r="B32" s="113" t="s">
        <v>194</v>
      </c>
      <c r="C32" s="114">
        <f>[1]人員・時間計画!$G$10</f>
        <v>2</v>
      </c>
      <c r="D32" s="114">
        <f>[2]人員・時間計画!$G10</f>
        <v>0</v>
      </c>
      <c r="E32" s="114">
        <f>[3]人員・時間計画!$G10</f>
        <v>0</v>
      </c>
      <c r="F32" s="114">
        <f>[4]人員・時間計画!$G10</f>
        <v>0</v>
      </c>
      <c r="G32" s="114">
        <f>[17]人員・時間計画!$G10</f>
        <v>0</v>
      </c>
      <c r="H32" s="115">
        <f>SUM(C32:G32)</f>
        <v>2</v>
      </c>
      <c r="I32" s="114">
        <f>[5]人員・時間計画!$G10</f>
        <v>1</v>
      </c>
      <c r="J32" s="114">
        <f>[18]人員・時間計画!$G10</f>
        <v>0</v>
      </c>
      <c r="K32" s="114">
        <f>[19]人員・時間計画!$G10</f>
        <v>0</v>
      </c>
      <c r="L32" s="114">
        <f>[20]人員・時間計画!$G10</f>
        <v>0</v>
      </c>
      <c r="M32" s="115">
        <f>SUM(I32:L32)</f>
        <v>1</v>
      </c>
      <c r="N32" s="114">
        <f>[6]人員・時間計画!$G10</f>
        <v>1</v>
      </c>
      <c r="O32" s="114">
        <f>'[21]Kế hoạch số người - thời gian'!$G10</f>
        <v>2</v>
      </c>
      <c r="P32" s="114">
        <f>[22]人員・時間計画!$G10</f>
        <v>0</v>
      </c>
      <c r="Q32" s="114">
        <f>[23]人員・時間計画!$G10</f>
        <v>0</v>
      </c>
      <c r="R32" s="115">
        <f>SUM(N32:Q32)</f>
        <v>3</v>
      </c>
      <c r="S32" s="114">
        <f>'[7]人員・時間計画 '!$G10</f>
        <v>2</v>
      </c>
      <c r="T32" s="115">
        <f>S32</f>
        <v>2</v>
      </c>
      <c r="U32" s="114">
        <f>[26]人員・時間計画!$G10</f>
        <v>1</v>
      </c>
      <c r="V32" s="114">
        <f>[27]人員・時間計画!$G10</f>
        <v>0</v>
      </c>
      <c r="W32" s="114">
        <f>[28]人員・時間計画!$G10</f>
        <v>0</v>
      </c>
      <c r="X32" s="114">
        <f>[29]人員・時間計画!$G10</f>
        <v>0</v>
      </c>
      <c r="Y32" s="115">
        <f>SUM(U32:X32)</f>
        <v>1</v>
      </c>
      <c r="Z32" s="114">
        <f>[30]人員・時間計画!$G10</f>
        <v>0</v>
      </c>
      <c r="AA32" s="114">
        <f>[60]人員・時間計画!$G10</f>
        <v>0</v>
      </c>
      <c r="AB32" s="114">
        <f>[31]人員・時間計画!$G10</f>
        <v>1</v>
      </c>
      <c r="AC32" s="115">
        <f>SUM(Z32:AB32)</f>
        <v>1</v>
      </c>
      <c r="AD32" s="114">
        <f>[24]人員・時間計画!$G10</f>
        <v>2</v>
      </c>
      <c r="AE32" s="114">
        <f>[25]人員・時間計画!$G10</f>
        <v>0</v>
      </c>
      <c r="AF32" s="115">
        <f>SUM(AD32:AE32)</f>
        <v>2</v>
      </c>
      <c r="AG32" s="114">
        <f>[37]人員・時間計画!$G10</f>
        <v>0</v>
      </c>
      <c r="AH32" s="114">
        <f>[38]人員・時間計画!$G10</f>
        <v>0</v>
      </c>
      <c r="AI32" s="114">
        <f>[39]人員・時間計画!$G10</f>
        <v>2</v>
      </c>
      <c r="AJ32" s="115">
        <f>SUM(AG32:AI32)</f>
        <v>2</v>
      </c>
      <c r="AK32" s="115">
        <f>AJ32+AF32+AC32+Y32+T32+R32+M32+H32</f>
        <v>14</v>
      </c>
      <c r="AL32" s="114">
        <f>[32]人員・時間計画!$G10</f>
        <v>0</v>
      </c>
      <c r="AM32" s="114">
        <f>[33]人員・時間計画!G10</f>
        <v>2</v>
      </c>
      <c r="AN32" s="114">
        <f>[34]人員・時間計画!$G10</f>
        <v>0</v>
      </c>
      <c r="AO32" s="114">
        <f>[35]人員・時間計画!$G10</f>
        <v>0</v>
      </c>
      <c r="AP32" s="114">
        <f>[36]人員・時間計画!$G10</f>
        <v>1</v>
      </c>
      <c r="AQ32" s="115">
        <f>SUM(AL32:AP32)</f>
        <v>3</v>
      </c>
      <c r="AR32" s="114">
        <f>[41]人員・時間計画!$G10</f>
        <v>1</v>
      </c>
      <c r="AS32" s="114">
        <f>[42]人員・時間計画!$G10</f>
        <v>1</v>
      </c>
      <c r="AT32" s="114">
        <f>[43]人員・時間計画!$G10</f>
        <v>0</v>
      </c>
      <c r="AU32" s="115">
        <f>SUM(AR32:AT32)</f>
        <v>2</v>
      </c>
      <c r="AV32" s="114">
        <f>[40]人員・時間計画!$G10</f>
        <v>2</v>
      </c>
      <c r="AW32" s="115">
        <f>AV32</f>
        <v>2</v>
      </c>
      <c r="AX32" s="115">
        <f>AQ32+AU32+AW32</f>
        <v>7</v>
      </c>
      <c r="AY32" s="114">
        <f>[8]人員・時間計画!$G10</f>
        <v>0</v>
      </c>
      <c r="AZ32" s="114">
        <f>[9]人員・時間計画!$G10</f>
        <v>9</v>
      </c>
      <c r="BA32" s="114">
        <f>[10]人員・時間計画!$G10</f>
        <v>1</v>
      </c>
      <c r="BB32" s="114">
        <f>[11]人員・時間計画!$G10</f>
        <v>1</v>
      </c>
      <c r="BC32" s="114">
        <f>[12]人員・時間計画!$G10</f>
        <v>1</v>
      </c>
      <c r="BD32" s="114">
        <f>[13]人員・時間計画!$G10</f>
        <v>0</v>
      </c>
      <c r="BE32" s="114">
        <f>[14]人員・時間計画!$G10</f>
        <v>1</v>
      </c>
      <c r="BF32" s="114">
        <f>[15]人員・時間計画!$G10</f>
        <v>1</v>
      </c>
      <c r="BG32" s="114">
        <f>[16]人員・時間計画!$G10</f>
        <v>0</v>
      </c>
      <c r="BH32" s="115">
        <f>SUM(AY32:BG32)</f>
        <v>14</v>
      </c>
      <c r="BI32" s="115">
        <f>BH32</f>
        <v>14</v>
      </c>
      <c r="BJ32" s="114">
        <f>[44]人員・時間計画!$G10</f>
        <v>2</v>
      </c>
      <c r="BK32" s="114">
        <f>[45]人員・時間計画!$G10</f>
        <v>0</v>
      </c>
      <c r="BL32" s="115">
        <f>SUM(BJ32:BK32)</f>
        <v>2</v>
      </c>
      <c r="BM32" s="114">
        <f>[46]人員・時間計画!$G10</f>
        <v>1</v>
      </c>
      <c r="BN32" s="114">
        <f>[47]人員・時間計画!$G10</f>
        <v>1</v>
      </c>
      <c r="BO32" s="114">
        <f>[48]人員・時間計画!$G10</f>
        <v>1</v>
      </c>
      <c r="BP32" s="114">
        <f>[49]人員・時間計画!$G10</f>
        <v>0</v>
      </c>
      <c r="BQ32" s="114">
        <f>[50]人員・時間計画!$G10</f>
        <v>2</v>
      </c>
      <c r="BR32" s="115">
        <f>SUM(BM32:BQ32)</f>
        <v>5</v>
      </c>
      <c r="BS32" s="114">
        <f>[51]人員・時間計画!$G10</f>
        <v>1</v>
      </c>
      <c r="BT32" s="114">
        <f>[52]人員・時間計画!$G10</f>
        <v>1</v>
      </c>
      <c r="BU32" s="114">
        <f>[53]人員・時間計画!$G10</f>
        <v>0</v>
      </c>
      <c r="BV32" s="114">
        <f>[54]人員・時間計画!$G10</f>
        <v>1</v>
      </c>
      <c r="BW32" s="114">
        <f>[55]人員・時間計画!$G10</f>
        <v>0</v>
      </c>
      <c r="BX32" s="115">
        <f>SUM(BS32:BW32)</f>
        <v>3</v>
      </c>
      <c r="BY32" s="114">
        <f>[56]人員・時間計画!$G10</f>
        <v>0</v>
      </c>
      <c r="BZ32" s="114">
        <f>[57]人員・時間計画!$G10</f>
        <v>1</v>
      </c>
      <c r="CA32" s="114">
        <f>[59]人員・時間計画!$G10</f>
        <v>1</v>
      </c>
      <c r="CB32" s="115">
        <f>SUM(BY32:CA32)</f>
        <v>2</v>
      </c>
      <c r="CC32" s="114">
        <f>[58]人員・時間計画!$G10</f>
        <v>1</v>
      </c>
      <c r="CD32" s="115">
        <f>CC32</f>
        <v>1</v>
      </c>
      <c r="CE32" s="115">
        <f>CD32+CB32+BX32+BR32+BL32+BI32+AX32+AK32</f>
        <v>48</v>
      </c>
    </row>
    <row r="33" spans="1:83">
      <c r="A33" s="112">
        <v>8</v>
      </c>
      <c r="B33" s="116" t="s">
        <v>139</v>
      </c>
      <c r="C33" s="132">
        <f>[1]人員・時間計画!$G$11</f>
        <v>85</v>
      </c>
      <c r="D33" s="132">
        <f>[2]人員・時間計画!$G11</f>
        <v>116</v>
      </c>
      <c r="E33" s="132">
        <f>[3]人員・時間計画!$G11</f>
        <v>90</v>
      </c>
      <c r="F33" s="132">
        <f>[4]人員・時間計画!$G11</f>
        <v>0</v>
      </c>
      <c r="G33" s="132">
        <f>[17]人員・時間計画!$G11</f>
        <v>21</v>
      </c>
      <c r="H33" s="115">
        <f t="shared" ref="H33:H34" si="102">SUM(C33:G33)</f>
        <v>312</v>
      </c>
      <c r="I33" s="132">
        <f>[5]人員・時間計画!$G11</f>
        <v>22</v>
      </c>
      <c r="J33" s="132">
        <f>[18]人員・時間計画!$G11</f>
        <v>14</v>
      </c>
      <c r="K33" s="114">
        <f>[19]人員・時間計画!$G11</f>
        <v>6</v>
      </c>
      <c r="L33" s="114">
        <f>[20]人員・時間計画!$G11</f>
        <v>10</v>
      </c>
      <c r="M33" s="115">
        <f t="shared" ref="M33:M34" si="103">SUM(I33:L33)</f>
        <v>52</v>
      </c>
      <c r="N33" s="132">
        <f>[6]人員・時間計画!$G11</f>
        <v>16</v>
      </c>
      <c r="O33" s="132">
        <f>'[21]Kế hoạch số người - thời gian'!$G11</f>
        <v>23</v>
      </c>
      <c r="P33" s="114">
        <f>[22]人員・時間計画!$G11</f>
        <v>9</v>
      </c>
      <c r="Q33" s="114">
        <f>[23]人員・時間計画!$G11</f>
        <v>12</v>
      </c>
      <c r="R33" s="115">
        <f>SUM(N33:Q33)</f>
        <v>60</v>
      </c>
      <c r="S33" s="114">
        <f>'[7]人員・時間計画 '!$G11</f>
        <v>15</v>
      </c>
      <c r="T33" s="115">
        <f t="shared" ref="T33:T34" si="104">S33</f>
        <v>15</v>
      </c>
      <c r="U33" s="132">
        <f>[26]人員・時間計画!$G11</f>
        <v>10</v>
      </c>
      <c r="V33" s="132">
        <f>[27]人員・時間計画!$G11</f>
        <v>6</v>
      </c>
      <c r="W33" s="132">
        <f>[28]人員・時間計画!$G11</f>
        <v>16</v>
      </c>
      <c r="X33" s="132">
        <f>[29]人員・時間計画!$G11</f>
        <v>3</v>
      </c>
      <c r="Y33" s="115">
        <f t="shared" ref="Y33:Y34" si="105">SUM(U33:X33)</f>
        <v>35</v>
      </c>
      <c r="Z33" s="132">
        <f>[30]人員・時間計画!$G11</f>
        <v>38</v>
      </c>
      <c r="AA33" s="132">
        <f>[60]人員・時間計画!$G11</f>
        <v>11</v>
      </c>
      <c r="AB33" s="132">
        <f>[31]人員・時間計画!$G11</f>
        <v>12</v>
      </c>
      <c r="AC33" s="115">
        <f t="shared" ref="AC33:AC34" si="106">SUM(Z33:AB33)</f>
        <v>61</v>
      </c>
      <c r="AD33" s="132">
        <f>[24]人員・時間計画!$G11</f>
        <v>102</v>
      </c>
      <c r="AE33" s="132">
        <f>[25]人員・時間計画!$G11</f>
        <v>7</v>
      </c>
      <c r="AF33" s="115">
        <f t="shared" ref="AF33:AF34" si="107">SUM(AD33:AE33)</f>
        <v>109</v>
      </c>
      <c r="AG33" s="132">
        <f>[37]人員・時間計画!$G11</f>
        <v>25</v>
      </c>
      <c r="AH33" s="132">
        <f>[38]人員・時間計画!$G11</f>
        <v>23</v>
      </c>
      <c r="AI33" s="132">
        <f>[39]人員・時間計画!$G11</f>
        <v>30</v>
      </c>
      <c r="AJ33" s="115">
        <f t="shared" ref="AJ33:AJ34" si="108">SUM(AG33:AI33)</f>
        <v>78</v>
      </c>
      <c r="AK33" s="115">
        <f t="shared" ref="AK33:AK36" si="109">AJ33+AF33+AC33+Y33+T33+R33+M33+H33</f>
        <v>722</v>
      </c>
      <c r="AL33" s="132">
        <f>[32]人員・時間計画!$G11</f>
        <v>15</v>
      </c>
      <c r="AM33" s="132">
        <f>[33]人員・時間計画!G11</f>
        <v>21</v>
      </c>
      <c r="AN33" s="132">
        <f>[34]人員・時間計画!$G11</f>
        <v>13</v>
      </c>
      <c r="AO33" s="114">
        <f>[35]人員・時間計画!$G11</f>
        <v>9</v>
      </c>
      <c r="AP33" s="132">
        <f>[36]人員・時間計画!$G11</f>
        <v>18</v>
      </c>
      <c r="AQ33" s="115">
        <f t="shared" ref="AQ33:AQ34" si="110">SUM(AL33:AP33)</f>
        <v>76</v>
      </c>
      <c r="AR33" s="132">
        <f>[41]人員・時間計画!$G11</f>
        <v>17</v>
      </c>
      <c r="AS33" s="132">
        <f>[42]人員・時間計画!$G11</f>
        <v>13</v>
      </c>
      <c r="AT33" s="132">
        <f>[43]人員・時間計画!$G11</f>
        <v>23</v>
      </c>
      <c r="AU33" s="115">
        <f t="shared" ref="AU33:AU34" si="111">SUM(AR33:AT33)</f>
        <v>53</v>
      </c>
      <c r="AV33" s="114">
        <f>[40]人員・時間計画!$G11</f>
        <v>23</v>
      </c>
      <c r="AW33" s="115">
        <f t="shared" ref="AW33:AW34" si="112">AV33</f>
        <v>23</v>
      </c>
      <c r="AX33" s="115">
        <f t="shared" ref="AX33:AX36" si="113">AQ33+AU33+AW33</f>
        <v>152</v>
      </c>
      <c r="AY33" s="132">
        <f>[8]人員・時間計画!$G11</f>
        <v>8</v>
      </c>
      <c r="AZ33" s="132">
        <f>[9]人員・時間計画!$G11</f>
        <v>9</v>
      </c>
      <c r="BA33" s="132">
        <f>[10]人員・時間計画!$G11</f>
        <v>11</v>
      </c>
      <c r="BB33" s="132">
        <f>[11]人員・時間計画!$G11</f>
        <v>15</v>
      </c>
      <c r="BC33" s="114">
        <f>[12]人員・時間計画!$G11</f>
        <v>7</v>
      </c>
      <c r="BD33" s="132">
        <f>[13]人員・時間計画!$G11</f>
        <v>9</v>
      </c>
      <c r="BE33" s="114">
        <f>[14]人員・時間計画!$G11</f>
        <v>7</v>
      </c>
      <c r="BF33" s="132">
        <f>[15]人員・時間計画!$G11</f>
        <v>11</v>
      </c>
      <c r="BG33" s="132">
        <f>[16]人員・時間計画!$G11</f>
        <v>10</v>
      </c>
      <c r="BH33" s="115">
        <f t="shared" ref="BH33:BH36" si="114">SUM(AY33:BG33)</f>
        <v>87</v>
      </c>
      <c r="BI33" s="115">
        <f t="shared" ref="BI33:BI34" si="115">BH33</f>
        <v>87</v>
      </c>
      <c r="BJ33" s="132">
        <f>[44]人員・時間計画!$G11</f>
        <v>11</v>
      </c>
      <c r="BK33" s="132">
        <f>[45]人員・時間計画!$G11</f>
        <v>14</v>
      </c>
      <c r="BL33" s="115">
        <f t="shared" ref="BL33:BL34" si="116">SUM(BJ33:BK33)</f>
        <v>25</v>
      </c>
      <c r="BM33" s="132">
        <f>[46]人員・時間計画!$G11</f>
        <v>17</v>
      </c>
      <c r="BN33" s="132">
        <f>[47]人員・時間計画!$G11</f>
        <v>4</v>
      </c>
      <c r="BO33" s="132">
        <f>[48]人員・時間計画!$G11</f>
        <v>6</v>
      </c>
      <c r="BP33" s="132">
        <f>[49]人員・時間計画!$G11</f>
        <v>8</v>
      </c>
      <c r="BQ33" s="132">
        <f>[50]人員・時間計画!$G11</f>
        <v>4</v>
      </c>
      <c r="BR33" s="115">
        <f t="shared" ref="BR33:BR36" si="117">SUM(BM33:BQ33)</f>
        <v>39</v>
      </c>
      <c r="BS33" s="132">
        <f>[51]人員・時間計画!$G11</f>
        <v>11</v>
      </c>
      <c r="BT33" s="132">
        <f>[52]人員・時間計画!$G11</f>
        <v>16</v>
      </c>
      <c r="BU33" s="132">
        <f>[53]人員・時間計画!$G11</f>
        <v>11</v>
      </c>
      <c r="BV33" s="132">
        <f>[54]人員・時間計画!$G11</f>
        <v>6</v>
      </c>
      <c r="BW33" s="132">
        <f>[55]人員・時間計画!$G11</f>
        <v>3</v>
      </c>
      <c r="BX33" s="115">
        <f t="shared" ref="BX33:BX36" si="118">SUM(BS33:BW33)</f>
        <v>47</v>
      </c>
      <c r="BY33" s="132">
        <f>[56]人員・時間計画!$G11</f>
        <v>12</v>
      </c>
      <c r="BZ33" s="132">
        <f>[57]人員・時間計画!$G11</f>
        <v>8</v>
      </c>
      <c r="CA33" s="132">
        <f>[59]人員・時間計画!$G11</f>
        <v>17</v>
      </c>
      <c r="CB33" s="115">
        <f t="shared" ref="CB33:CB34" si="119">SUM(BY33:CA33)</f>
        <v>37</v>
      </c>
      <c r="CC33" s="132">
        <f>[58]人員・時間計画!$G11</f>
        <v>13</v>
      </c>
      <c r="CD33" s="115">
        <f t="shared" ref="CD33:CD34" si="120">CC33</f>
        <v>13</v>
      </c>
      <c r="CE33" s="115">
        <f>CD33+CB33+BX33+BR33+BL33+BI33+AX33+AK33</f>
        <v>1122</v>
      </c>
    </row>
    <row r="34" spans="1:83">
      <c r="A34" s="112">
        <v>8</v>
      </c>
      <c r="B34" s="117" t="s">
        <v>140</v>
      </c>
      <c r="C34" s="119">
        <f>[1]人員・時間計画!$G$12</f>
        <v>1185</v>
      </c>
      <c r="D34" s="119">
        <f>[2]人員・時間計画!$G12</f>
        <v>1688</v>
      </c>
      <c r="E34" s="119">
        <f>[3]人員・時間計画!$G12</f>
        <v>1058</v>
      </c>
      <c r="F34" s="119">
        <f>[4]人員・時間計画!$G12</f>
        <v>0</v>
      </c>
      <c r="G34" s="119">
        <f>[17]人員・時間計画!$G12</f>
        <v>7</v>
      </c>
      <c r="H34" s="118">
        <f t="shared" si="102"/>
        <v>3938</v>
      </c>
      <c r="I34" s="119">
        <f>[5]人員・時間計画!$G12</f>
        <v>306</v>
      </c>
      <c r="J34" s="119">
        <f>[18]人員・時間計画!$G12</f>
        <v>11</v>
      </c>
      <c r="K34" s="114">
        <f>[19]人員・時間計画!$G12</f>
        <v>3</v>
      </c>
      <c r="L34" s="114">
        <f>[20]人員・時間計画!$G12</f>
        <v>15</v>
      </c>
      <c r="M34" s="118">
        <f t="shared" si="103"/>
        <v>335</v>
      </c>
      <c r="N34" s="119">
        <f>[6]人員・時間計画!$G12</f>
        <v>125</v>
      </c>
      <c r="O34" s="119">
        <f>'[21]Kế hoạch số người - thời gian'!$G12</f>
        <v>9</v>
      </c>
      <c r="P34" s="119">
        <f>[22]人員・時間計画!$G12</f>
        <v>0</v>
      </c>
      <c r="Q34" s="119">
        <f>[23]人員・時間計画!$G12</f>
        <v>13</v>
      </c>
      <c r="R34" s="118">
        <f>SUM(N34:Q34)</f>
        <v>147</v>
      </c>
      <c r="S34" s="119">
        <f>'[7]人員・時間計画 '!$G12</f>
        <v>29</v>
      </c>
      <c r="T34" s="118">
        <f t="shared" si="104"/>
        <v>29</v>
      </c>
      <c r="U34" s="119">
        <f>[26]人員・時間計画!$G12</f>
        <v>0</v>
      </c>
      <c r="V34" s="119">
        <f>[27]人員・時間計画!$G12</f>
        <v>0</v>
      </c>
      <c r="W34" s="119">
        <f>[28]人員・時間計画!$G12</f>
        <v>1</v>
      </c>
      <c r="X34" s="119">
        <f>[29]人員・時間計画!$G12</f>
        <v>0</v>
      </c>
      <c r="Y34" s="118">
        <f t="shared" si="105"/>
        <v>1</v>
      </c>
      <c r="Z34" s="119">
        <f>[30]人員・時間計画!$G12</f>
        <v>337</v>
      </c>
      <c r="AA34" s="119">
        <f>[60]人員・時間計画!$G12</f>
        <v>51</v>
      </c>
      <c r="AB34" s="119">
        <f>[31]人員・時間計画!$G12</f>
        <v>5</v>
      </c>
      <c r="AC34" s="118">
        <f t="shared" si="106"/>
        <v>393</v>
      </c>
      <c r="AD34" s="119">
        <f>[24]人員・時間計画!$G12</f>
        <v>94</v>
      </c>
      <c r="AE34" s="119">
        <f>[25]人員・時間計画!$G12</f>
        <v>1</v>
      </c>
      <c r="AF34" s="118">
        <f t="shared" si="107"/>
        <v>95</v>
      </c>
      <c r="AG34" s="119">
        <f>[37]人員・時間計画!$G12</f>
        <v>79</v>
      </c>
      <c r="AH34" s="119">
        <f>[38]人員・時間計画!$G12</f>
        <v>24</v>
      </c>
      <c r="AI34" s="119">
        <f>[39]人員・時間計画!$G12</f>
        <v>4</v>
      </c>
      <c r="AJ34" s="118">
        <f t="shared" si="108"/>
        <v>107</v>
      </c>
      <c r="AK34" s="118">
        <f t="shared" si="109"/>
        <v>5045</v>
      </c>
      <c r="AL34" s="119">
        <f>[32]人員・時間計画!$G12</f>
        <v>0</v>
      </c>
      <c r="AM34" s="119">
        <f>[33]人員・時間計画!G12</f>
        <v>0</v>
      </c>
      <c r="AN34" s="119">
        <f>[34]人員・時間計画!$G12</f>
        <v>0</v>
      </c>
      <c r="AO34" s="114">
        <f>[35]人員・時間計画!$G12</f>
        <v>0</v>
      </c>
      <c r="AP34" s="119">
        <f>[36]人員・時間計画!$G12</f>
        <v>0</v>
      </c>
      <c r="AQ34" s="118">
        <f t="shared" si="110"/>
        <v>0</v>
      </c>
      <c r="AR34" s="119">
        <f>[41]人員・時間計画!$G12</f>
        <v>0</v>
      </c>
      <c r="AS34" s="119">
        <f>[42]人員・時間計画!$G12</f>
        <v>0</v>
      </c>
      <c r="AT34" s="119">
        <f>[43]人員・時間計画!$G12</f>
        <v>0</v>
      </c>
      <c r="AU34" s="118">
        <f t="shared" si="111"/>
        <v>0</v>
      </c>
      <c r="AV34" s="119">
        <f>[40]人員・時間計画!$G12</f>
        <v>0</v>
      </c>
      <c r="AW34" s="118">
        <f t="shared" si="112"/>
        <v>0</v>
      </c>
      <c r="AX34" s="118">
        <f t="shared" si="113"/>
        <v>0</v>
      </c>
      <c r="AY34" s="119">
        <f>[8]人員・時間計画!$G12</f>
        <v>0</v>
      </c>
      <c r="AZ34" s="119">
        <f>[9]人員・時間計画!$G12</f>
        <v>0</v>
      </c>
      <c r="BA34" s="119">
        <f>[10]人員・時間計画!$G12</f>
        <v>0</v>
      </c>
      <c r="BB34" s="119">
        <f>[11]人員・時間計画!$G12</f>
        <v>0</v>
      </c>
      <c r="BC34" s="114">
        <f>[12]人員・時間計画!$G12</f>
        <v>0</v>
      </c>
      <c r="BD34" s="119">
        <f>[13]人員・時間計画!$G12</f>
        <v>0</v>
      </c>
      <c r="BE34" s="114">
        <f>[14]人員・時間計画!$G12</f>
        <v>0</v>
      </c>
      <c r="BF34" s="119">
        <f>[15]人員・時間計画!$G12</f>
        <v>0</v>
      </c>
      <c r="BG34" s="119">
        <f>[16]人員・時間計画!$G12</f>
        <v>0</v>
      </c>
      <c r="BH34" s="118">
        <f t="shared" si="114"/>
        <v>0</v>
      </c>
      <c r="BI34" s="118">
        <f t="shared" si="115"/>
        <v>0</v>
      </c>
      <c r="BJ34" s="119">
        <f>[44]人員・時間計画!$G12</f>
        <v>1</v>
      </c>
      <c r="BK34" s="119">
        <f>[45]人員・時間計画!$G12</f>
        <v>33</v>
      </c>
      <c r="BL34" s="118">
        <f t="shared" si="116"/>
        <v>34</v>
      </c>
      <c r="BM34" s="119">
        <f>[46]人員・時間計画!$G12</f>
        <v>0</v>
      </c>
      <c r="BN34" s="119">
        <f>[47]人員・時間計画!$G12</f>
        <v>0</v>
      </c>
      <c r="BO34" s="119">
        <f>[48]人員・時間計画!$G12</f>
        <v>0</v>
      </c>
      <c r="BP34" s="119">
        <f>[49]人員・時間計画!$G12</f>
        <v>0</v>
      </c>
      <c r="BQ34" s="119">
        <f>[50]人員・時間計画!$G12</f>
        <v>0</v>
      </c>
      <c r="BR34" s="118">
        <f t="shared" si="117"/>
        <v>0</v>
      </c>
      <c r="BS34" s="119">
        <f>[51]人員・時間計画!$G12</f>
        <v>6</v>
      </c>
      <c r="BT34" s="119">
        <f>[52]人員・時間計画!$G12</f>
        <v>0</v>
      </c>
      <c r="BU34" s="119">
        <f>[53]人員・時間計画!$G12</f>
        <v>3</v>
      </c>
      <c r="BV34" s="119">
        <f>[54]人員・時間計画!$G12</f>
        <v>0</v>
      </c>
      <c r="BW34" s="119">
        <f>[55]人員・時間計画!$G12</f>
        <v>67</v>
      </c>
      <c r="BX34" s="118">
        <f t="shared" si="118"/>
        <v>76</v>
      </c>
      <c r="BY34" s="119">
        <f>[56]人員・時間計画!$G12</f>
        <v>0</v>
      </c>
      <c r="BZ34" s="119">
        <f>[57]人員・時間計画!$G12</f>
        <v>0</v>
      </c>
      <c r="CA34" s="119">
        <f>[59]人員・時間計画!$G12</f>
        <v>0</v>
      </c>
      <c r="CB34" s="118">
        <f t="shared" si="119"/>
        <v>0</v>
      </c>
      <c r="CC34" s="119">
        <f>[58]人員・時間計画!$G12</f>
        <v>0</v>
      </c>
      <c r="CD34" s="118">
        <f t="shared" si="120"/>
        <v>0</v>
      </c>
      <c r="CE34" s="118">
        <f>CD34+CB34+BX34+BR34+BL34+BI34+AX34+AK34</f>
        <v>5155</v>
      </c>
    </row>
    <row r="35" spans="1:83">
      <c r="A35" s="112">
        <v>8</v>
      </c>
      <c r="B35" s="120" t="s">
        <v>195</v>
      </c>
      <c r="C35" s="121">
        <f>[1]人員・時間計画!$G$13</f>
        <v>1270</v>
      </c>
      <c r="D35" s="121">
        <f>[2]人員・時間計画!$G13</f>
        <v>1804</v>
      </c>
      <c r="E35" s="121">
        <f>[3]人員・時間計画!$G13</f>
        <v>1148</v>
      </c>
      <c r="F35" s="121">
        <f>[4]人員・時間計画!$G13</f>
        <v>0</v>
      </c>
      <c r="G35" s="121">
        <f>[17]人員・時間計画!$G13</f>
        <v>28</v>
      </c>
      <c r="H35" s="122">
        <f>SUM(H33:H34)</f>
        <v>4250</v>
      </c>
      <c r="I35" s="121">
        <f>[5]人員・時間計画!$G13</f>
        <v>328</v>
      </c>
      <c r="J35" s="121">
        <f>[18]人員・時間計画!$G13</f>
        <v>25</v>
      </c>
      <c r="K35" s="114">
        <f>[19]人員・時間計画!$G13</f>
        <v>9</v>
      </c>
      <c r="L35" s="114">
        <f>[20]人員・時間計画!$G13</f>
        <v>25</v>
      </c>
      <c r="M35" s="122">
        <f>SUM(M33:M34)</f>
        <v>387</v>
      </c>
      <c r="N35" s="121">
        <f>[6]人員・時間計画!$G13</f>
        <v>141</v>
      </c>
      <c r="O35" s="121">
        <f>'[21]Kế hoạch số người - thời gian'!$G13</f>
        <v>32</v>
      </c>
      <c r="P35" s="121">
        <f>[22]人員・時間計画!$G13</f>
        <v>9</v>
      </c>
      <c r="Q35" s="121">
        <f>[23]人員・時間計画!$G13</f>
        <v>25</v>
      </c>
      <c r="R35" s="122">
        <f>SUM(R33:R34)</f>
        <v>207</v>
      </c>
      <c r="S35" s="121">
        <f>'[7]人員・時間計画 '!$G13</f>
        <v>44</v>
      </c>
      <c r="T35" s="122">
        <f>SUM(T33:T34)</f>
        <v>44</v>
      </c>
      <c r="U35" s="121">
        <f>[26]人員・時間計画!$G13</f>
        <v>10</v>
      </c>
      <c r="V35" s="121">
        <f>[27]人員・時間計画!$G13</f>
        <v>6</v>
      </c>
      <c r="W35" s="121">
        <f>[28]人員・時間計画!$G13</f>
        <v>17</v>
      </c>
      <c r="X35" s="121">
        <f>[29]人員・時間計画!$G13</f>
        <v>3</v>
      </c>
      <c r="Y35" s="122">
        <f>SUM(Y33:Y34)</f>
        <v>36</v>
      </c>
      <c r="Z35" s="121">
        <f>[30]人員・時間計画!$G13</f>
        <v>375</v>
      </c>
      <c r="AA35" s="121">
        <f>[60]人員・時間計画!$G13</f>
        <v>62</v>
      </c>
      <c r="AB35" s="121">
        <f>[31]人員・時間計画!$G13</f>
        <v>17</v>
      </c>
      <c r="AC35" s="122">
        <f t="shared" ref="AC35" si="121">SUM(AC33:AC34)</f>
        <v>454</v>
      </c>
      <c r="AD35" s="121">
        <f>[24]人員・時間計画!$G13</f>
        <v>196</v>
      </c>
      <c r="AE35" s="121">
        <f>[25]人員・時間計画!$G13</f>
        <v>8</v>
      </c>
      <c r="AF35" s="122">
        <f>SUM(AF33:AF34)</f>
        <v>204</v>
      </c>
      <c r="AG35" s="121">
        <f>[37]人員・時間計画!$G13</f>
        <v>104</v>
      </c>
      <c r="AH35" s="121">
        <f>[38]人員・時間計画!$G13</f>
        <v>47</v>
      </c>
      <c r="AI35" s="121">
        <f>[39]人員・時間計画!$G13</f>
        <v>34</v>
      </c>
      <c r="AJ35" s="122">
        <f t="shared" ref="AJ35" si="122">SUM(AJ33:AJ34)</f>
        <v>185</v>
      </c>
      <c r="AK35" s="122">
        <f t="shared" si="109"/>
        <v>5767</v>
      </c>
      <c r="AL35" s="121">
        <f>[32]人員・時間計画!$G13</f>
        <v>15</v>
      </c>
      <c r="AM35" s="121">
        <f>[33]人員・時間計画!G13</f>
        <v>21</v>
      </c>
      <c r="AN35" s="121">
        <f>[34]人員・時間計画!$G13</f>
        <v>13</v>
      </c>
      <c r="AO35" s="114">
        <f>[35]人員・時間計画!$G13</f>
        <v>9</v>
      </c>
      <c r="AP35" s="121">
        <f>[36]人員・時間計画!$G13</f>
        <v>18</v>
      </c>
      <c r="AQ35" s="122">
        <f>SUM(AQ33:AQ34)</f>
        <v>76</v>
      </c>
      <c r="AR35" s="121">
        <f>[41]人員・時間計画!$G13</f>
        <v>17</v>
      </c>
      <c r="AS35" s="121">
        <f>[42]人員・時間計画!$G13</f>
        <v>13</v>
      </c>
      <c r="AT35" s="121">
        <f>[43]人員・時間計画!$G13</f>
        <v>23</v>
      </c>
      <c r="AU35" s="122">
        <f>SUM(AU33:AU34)</f>
        <v>53</v>
      </c>
      <c r="AV35" s="121">
        <f>[40]人員・時間計画!$G13</f>
        <v>23</v>
      </c>
      <c r="AW35" s="122">
        <f>SUM(AW33:AW34)</f>
        <v>23</v>
      </c>
      <c r="AX35" s="122">
        <f t="shared" si="113"/>
        <v>152</v>
      </c>
      <c r="AY35" s="121">
        <f>[8]人員・時間計画!$G13</f>
        <v>8</v>
      </c>
      <c r="AZ35" s="121">
        <f>[9]人員・時間計画!$G13</f>
        <v>9</v>
      </c>
      <c r="BA35" s="121">
        <f>[10]人員・時間計画!$G13</f>
        <v>11</v>
      </c>
      <c r="BB35" s="121">
        <f>[11]人員・時間計画!$G13</f>
        <v>15</v>
      </c>
      <c r="BC35" s="114">
        <f>[12]人員・時間計画!$G13</f>
        <v>7</v>
      </c>
      <c r="BD35" s="121">
        <f>[13]人員・時間計画!$G13</f>
        <v>9</v>
      </c>
      <c r="BE35" s="114">
        <f>[14]人員・時間計画!$G13</f>
        <v>7</v>
      </c>
      <c r="BF35" s="121">
        <f>[15]人員・時間計画!$G13</f>
        <v>11</v>
      </c>
      <c r="BG35" s="121">
        <f>[16]人員・時間計画!$G13</f>
        <v>10</v>
      </c>
      <c r="BH35" s="122">
        <f t="shared" si="114"/>
        <v>87</v>
      </c>
      <c r="BI35" s="122">
        <f t="shared" ref="BI35" si="123">SUM(BI33:BI34)</f>
        <v>87</v>
      </c>
      <c r="BJ35" s="121">
        <f>[44]人員・時間計画!$G13</f>
        <v>12</v>
      </c>
      <c r="BK35" s="121">
        <f>[45]人員・時間計画!$G13</f>
        <v>47</v>
      </c>
      <c r="BL35" s="122">
        <f>SUM(BL33:BL34)</f>
        <v>59</v>
      </c>
      <c r="BM35" s="121">
        <f>[46]人員・時間計画!$G13</f>
        <v>17</v>
      </c>
      <c r="BN35" s="121">
        <f>[47]人員・時間計画!$G13</f>
        <v>4</v>
      </c>
      <c r="BO35" s="121">
        <f>[48]人員・時間計画!$G13</f>
        <v>6</v>
      </c>
      <c r="BP35" s="121">
        <f>[49]人員・時間計画!$G13</f>
        <v>8</v>
      </c>
      <c r="BQ35" s="121">
        <f>[50]人員・時間計画!$G13</f>
        <v>4</v>
      </c>
      <c r="BR35" s="122">
        <f t="shared" si="117"/>
        <v>39</v>
      </c>
      <c r="BS35" s="121">
        <f>[51]人員・時間計画!$G13</f>
        <v>17</v>
      </c>
      <c r="BT35" s="121">
        <f>[52]人員・時間計画!$G13</f>
        <v>16</v>
      </c>
      <c r="BU35" s="121">
        <f>[53]人員・時間計画!$G13</f>
        <v>14</v>
      </c>
      <c r="BV35" s="121">
        <f>[54]人員・時間計画!$G13</f>
        <v>6</v>
      </c>
      <c r="BW35" s="121">
        <f>[55]人員・時間計画!$G13</f>
        <v>70</v>
      </c>
      <c r="BX35" s="122">
        <f t="shared" si="118"/>
        <v>123</v>
      </c>
      <c r="BY35" s="121">
        <f>[56]人員・時間計画!$G13</f>
        <v>12</v>
      </c>
      <c r="BZ35" s="121">
        <f>[57]人員・時間計画!$G13</f>
        <v>8</v>
      </c>
      <c r="CA35" s="121">
        <f>[59]人員・時間計画!$G13</f>
        <v>17</v>
      </c>
      <c r="CB35" s="122">
        <f>SUM(CB33:CB34)</f>
        <v>37</v>
      </c>
      <c r="CC35" s="121">
        <f>[58]人員・時間計画!$G13</f>
        <v>13</v>
      </c>
      <c r="CD35" s="122">
        <f>SUM(CD33:CD34)</f>
        <v>13</v>
      </c>
      <c r="CE35" s="122">
        <f>CD35+CB35+BX35+BR35+BL35+BI35+AX35+AK35</f>
        <v>6277</v>
      </c>
    </row>
    <row r="36" spans="1:83" ht="15" thickBot="1">
      <c r="A36" s="112">
        <v>8</v>
      </c>
      <c r="B36" s="123" t="s">
        <v>196</v>
      </c>
      <c r="C36" s="124">
        <f>[1]人員・時間計画!$G$14</f>
        <v>1272</v>
      </c>
      <c r="D36" s="124">
        <f>[2]人員・時間計画!$G14</f>
        <v>1804</v>
      </c>
      <c r="E36" s="124">
        <f>[3]人員・時間計画!$G14</f>
        <v>1148</v>
      </c>
      <c r="F36" s="124">
        <f>[4]人員・時間計画!$G14</f>
        <v>0</v>
      </c>
      <c r="G36" s="124">
        <f>[17]人員・時間計画!$G14</f>
        <v>28</v>
      </c>
      <c r="H36" s="125">
        <f>H35+H32</f>
        <v>4252</v>
      </c>
      <c r="I36" s="124">
        <f>[5]人員・時間計画!$G14</f>
        <v>329</v>
      </c>
      <c r="J36" s="124">
        <f>[18]人員・時間計画!$G14</f>
        <v>25</v>
      </c>
      <c r="K36" s="114">
        <f>[19]人員・時間計画!$G14</f>
        <v>9</v>
      </c>
      <c r="L36" s="114">
        <f>[20]人員・時間計画!$G14</f>
        <v>25</v>
      </c>
      <c r="M36" s="125">
        <f>M35+M32</f>
        <v>388</v>
      </c>
      <c r="N36" s="124">
        <f>[6]人員・時間計画!$G14</f>
        <v>142</v>
      </c>
      <c r="O36" s="124">
        <f>'[21]Kế hoạch số người - thời gian'!$G14</f>
        <v>34</v>
      </c>
      <c r="P36" s="124">
        <f>[22]人員・時間計画!$G14</f>
        <v>9</v>
      </c>
      <c r="Q36" s="124">
        <f>[23]人員・時間計画!$G14</f>
        <v>25</v>
      </c>
      <c r="R36" s="125">
        <f>R35+R32</f>
        <v>210</v>
      </c>
      <c r="S36" s="124">
        <f>'[7]人員・時間計画 '!$G14</f>
        <v>46</v>
      </c>
      <c r="T36" s="125">
        <f>T35+T32</f>
        <v>46</v>
      </c>
      <c r="U36" s="124">
        <f>[26]人員・時間計画!$G14</f>
        <v>11</v>
      </c>
      <c r="V36" s="124">
        <f>[27]人員・時間計画!$G14</f>
        <v>6</v>
      </c>
      <c r="W36" s="124">
        <f>[28]人員・時間計画!$G14</f>
        <v>17</v>
      </c>
      <c r="X36" s="124">
        <f>[29]人員・時間計画!$G14</f>
        <v>3</v>
      </c>
      <c r="Y36" s="125">
        <f>Y35+Y32</f>
        <v>37</v>
      </c>
      <c r="Z36" s="124">
        <f>[30]人員・時間計画!$G14</f>
        <v>375</v>
      </c>
      <c r="AA36" s="124">
        <f>[60]人員・時間計画!$G14</f>
        <v>62</v>
      </c>
      <c r="AB36" s="124">
        <f>[31]人員・時間計画!$G14</f>
        <v>18</v>
      </c>
      <c r="AC36" s="125">
        <f t="shared" ref="AC36" si="124">AC35+AC32</f>
        <v>455</v>
      </c>
      <c r="AD36" s="124">
        <f>[24]人員・時間計画!$G14</f>
        <v>198</v>
      </c>
      <c r="AE36" s="124">
        <f>[25]人員・時間計画!$G14</f>
        <v>8</v>
      </c>
      <c r="AF36" s="125">
        <f>AF35+AF32</f>
        <v>206</v>
      </c>
      <c r="AG36" s="124">
        <f>[37]人員・時間計画!$G14</f>
        <v>104</v>
      </c>
      <c r="AH36" s="124">
        <f>[38]人員・時間計画!$G14</f>
        <v>47</v>
      </c>
      <c r="AI36" s="124">
        <f>[39]人員・時間計画!$G14</f>
        <v>36</v>
      </c>
      <c r="AJ36" s="125">
        <f t="shared" ref="AJ36" si="125">AJ35+AJ32</f>
        <v>187</v>
      </c>
      <c r="AK36" s="125">
        <f t="shared" si="109"/>
        <v>5781</v>
      </c>
      <c r="AL36" s="124">
        <f>[32]人員・時間計画!$G14</f>
        <v>15</v>
      </c>
      <c r="AM36" s="124">
        <f>[33]人員・時間計画!G14</f>
        <v>23</v>
      </c>
      <c r="AN36" s="124">
        <f>[34]人員・時間計画!$G14</f>
        <v>13</v>
      </c>
      <c r="AO36" s="114">
        <f>[35]人員・時間計画!$G14</f>
        <v>9</v>
      </c>
      <c r="AP36" s="124">
        <f>[36]人員・時間計画!$G14</f>
        <v>19</v>
      </c>
      <c r="AQ36" s="125">
        <f>AQ35+AQ32</f>
        <v>79</v>
      </c>
      <c r="AR36" s="124">
        <f>[41]人員・時間計画!$G14</f>
        <v>18</v>
      </c>
      <c r="AS36" s="124">
        <f>[42]人員・時間計画!$G14</f>
        <v>14</v>
      </c>
      <c r="AT36" s="124">
        <f>[43]人員・時間計画!$G14</f>
        <v>23</v>
      </c>
      <c r="AU36" s="125">
        <f>AU35+AU32</f>
        <v>55</v>
      </c>
      <c r="AV36" s="124">
        <f>[40]人員・時間計画!$G14</f>
        <v>25</v>
      </c>
      <c r="AW36" s="125">
        <f>AW35+AW32</f>
        <v>25</v>
      </c>
      <c r="AX36" s="125">
        <f t="shared" si="113"/>
        <v>159</v>
      </c>
      <c r="AY36" s="124">
        <f>[8]人員・時間計画!$G14</f>
        <v>8</v>
      </c>
      <c r="AZ36" s="124">
        <f>[9]人員・時間計画!$G14</f>
        <v>18</v>
      </c>
      <c r="BA36" s="124">
        <f>[10]人員・時間計画!$G14</f>
        <v>12</v>
      </c>
      <c r="BB36" s="124">
        <f>[11]人員・時間計画!$G14</f>
        <v>16</v>
      </c>
      <c r="BC36" s="114">
        <f>[12]人員・時間計画!$G14</f>
        <v>8</v>
      </c>
      <c r="BD36" s="124">
        <f>[13]人員・時間計画!$G14</f>
        <v>9</v>
      </c>
      <c r="BE36" s="114">
        <f>[14]人員・時間計画!$G14</f>
        <v>8</v>
      </c>
      <c r="BF36" s="124">
        <f>[15]人員・時間計画!$G14</f>
        <v>12</v>
      </c>
      <c r="BG36" s="124">
        <f>[16]人員・時間計画!$G14</f>
        <v>10</v>
      </c>
      <c r="BH36" s="125">
        <f t="shared" si="114"/>
        <v>101</v>
      </c>
      <c r="BI36" s="125">
        <f t="shared" ref="BI36" si="126">BI35+BI32</f>
        <v>101</v>
      </c>
      <c r="BJ36" s="124">
        <f>[44]人員・時間計画!$G14</f>
        <v>14</v>
      </c>
      <c r="BK36" s="124">
        <f>[45]人員・時間計画!$G14</f>
        <v>47</v>
      </c>
      <c r="BL36" s="125">
        <f>BL35+BL32</f>
        <v>61</v>
      </c>
      <c r="BM36" s="124">
        <f>[46]人員・時間計画!$G14</f>
        <v>18</v>
      </c>
      <c r="BN36" s="124">
        <f>[47]人員・時間計画!$G14</f>
        <v>5</v>
      </c>
      <c r="BO36" s="124">
        <f>[48]人員・時間計画!$G14</f>
        <v>7</v>
      </c>
      <c r="BP36" s="124">
        <f>[49]人員・時間計画!$G14</f>
        <v>8</v>
      </c>
      <c r="BQ36" s="124">
        <f>[50]人員・時間計画!$G14</f>
        <v>6</v>
      </c>
      <c r="BR36" s="125">
        <f t="shared" si="117"/>
        <v>44</v>
      </c>
      <c r="BS36" s="124">
        <f>[51]人員・時間計画!$G14</f>
        <v>18</v>
      </c>
      <c r="BT36" s="124">
        <f>[52]人員・時間計画!$G14</f>
        <v>17</v>
      </c>
      <c r="BU36" s="124">
        <f>[53]人員・時間計画!$G14</f>
        <v>14</v>
      </c>
      <c r="BV36" s="124">
        <f>[54]人員・時間計画!$G14</f>
        <v>7</v>
      </c>
      <c r="BW36" s="124">
        <f>[55]人員・時間計画!$G14</f>
        <v>70</v>
      </c>
      <c r="BX36" s="125">
        <f t="shared" si="118"/>
        <v>126</v>
      </c>
      <c r="BY36" s="124">
        <f>[56]人員・時間計画!$G14</f>
        <v>12</v>
      </c>
      <c r="BZ36" s="124">
        <f>[57]人員・時間計画!$G14</f>
        <v>9</v>
      </c>
      <c r="CA36" s="124">
        <f>[59]人員・時間計画!$G14</f>
        <v>18</v>
      </c>
      <c r="CB36" s="125">
        <f>CB35+CB32</f>
        <v>39</v>
      </c>
      <c r="CC36" s="124">
        <f>[58]人員・時間計画!$G14</f>
        <v>14</v>
      </c>
      <c r="CD36" s="125">
        <f>CD35+CD32</f>
        <v>14</v>
      </c>
      <c r="CE36" s="125">
        <f>CD36+CB36+BX36+BR36+BL36+BI36+AX36+AK36</f>
        <v>6325</v>
      </c>
    </row>
    <row r="37" spans="1:83">
      <c r="A37" s="126"/>
      <c r="B37" s="127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28"/>
      <c r="CB37" s="128"/>
      <c r="CC37" s="128"/>
      <c r="CD37" s="128"/>
      <c r="CE37" s="128"/>
    </row>
    <row r="38" spans="1:83" ht="21.5" thickBot="1">
      <c r="A38" s="109">
        <v>9</v>
      </c>
      <c r="B38" s="110" t="s">
        <v>3</v>
      </c>
      <c r="C38" s="129"/>
      <c r="D38" s="129"/>
      <c r="E38" s="129"/>
      <c r="F38" s="129"/>
      <c r="G38" s="129"/>
      <c r="H38" s="130"/>
      <c r="I38" s="129"/>
      <c r="J38" s="129"/>
      <c r="K38" s="129"/>
      <c r="L38" s="129"/>
      <c r="M38" s="130"/>
      <c r="N38" s="129"/>
      <c r="O38" s="129"/>
      <c r="P38" s="130"/>
      <c r="Q38" s="130"/>
      <c r="R38" s="130"/>
      <c r="S38" s="129"/>
      <c r="T38" s="130"/>
      <c r="U38" s="129"/>
      <c r="V38" s="129"/>
      <c r="W38" s="129"/>
      <c r="X38" s="129"/>
      <c r="Y38" s="130"/>
      <c r="Z38" s="129"/>
      <c r="AA38" s="129"/>
      <c r="AB38" s="129"/>
      <c r="AC38" s="130"/>
      <c r="AD38" s="129"/>
      <c r="AE38" s="129"/>
      <c r="AF38" s="130"/>
      <c r="AG38" s="129"/>
      <c r="AH38" s="129"/>
      <c r="AI38" s="129"/>
      <c r="AJ38" s="130"/>
      <c r="AK38" s="130"/>
      <c r="AL38" s="129"/>
      <c r="AM38" s="129"/>
      <c r="AN38" s="129"/>
      <c r="AO38" s="129"/>
      <c r="AP38" s="129"/>
      <c r="AQ38" s="130"/>
      <c r="AR38" s="129"/>
      <c r="AS38" s="129"/>
      <c r="AT38" s="129"/>
      <c r="AU38" s="130"/>
      <c r="AV38" s="130"/>
      <c r="AW38" s="130"/>
      <c r="AX38" s="130"/>
      <c r="AY38" s="129"/>
      <c r="AZ38" s="129"/>
      <c r="BA38" s="129"/>
      <c r="BB38" s="129"/>
      <c r="BC38" s="129"/>
      <c r="BD38" s="129"/>
      <c r="BE38" s="129"/>
      <c r="BF38" s="129"/>
      <c r="BG38" s="129"/>
      <c r="BH38" s="130"/>
      <c r="BI38" s="130"/>
      <c r="BJ38" s="129"/>
      <c r="BK38" s="129"/>
      <c r="BL38" s="130"/>
      <c r="BM38" s="129"/>
      <c r="BN38" s="129"/>
      <c r="BO38" s="129"/>
      <c r="BP38" s="129"/>
      <c r="BQ38" s="129"/>
      <c r="BR38" s="130"/>
      <c r="BS38" s="129"/>
      <c r="BT38" s="129"/>
      <c r="BU38" s="129"/>
      <c r="BV38" s="129"/>
      <c r="BW38" s="129"/>
      <c r="BX38" s="130"/>
      <c r="BY38" s="129"/>
      <c r="BZ38" s="129"/>
      <c r="CA38" s="129"/>
      <c r="CB38" s="130"/>
      <c r="CC38" s="129"/>
      <c r="CD38" s="130"/>
      <c r="CE38" s="131"/>
    </row>
    <row r="39" spans="1:83" ht="15" thickBot="1">
      <c r="A39" s="112">
        <v>9</v>
      </c>
      <c r="B39" s="113" t="s">
        <v>194</v>
      </c>
      <c r="C39" s="114">
        <f>[1]人員・時間計画!$H$10</f>
        <v>2</v>
      </c>
      <c r="D39" s="114">
        <f>[2]人員・時間計画!$H10</f>
        <v>0</v>
      </c>
      <c r="E39" s="114">
        <f>[3]人員・時間計画!$H10</f>
        <v>0</v>
      </c>
      <c r="F39" s="114">
        <f>[4]人員・時間計画!$H10</f>
        <v>0</v>
      </c>
      <c r="G39" s="114">
        <f>[17]人員・時間計画!$H10</f>
        <v>0</v>
      </c>
      <c r="H39" s="115">
        <f>SUM(C39:G39)</f>
        <v>2</v>
      </c>
      <c r="I39" s="114">
        <f>[5]人員・時間計画!$H10</f>
        <v>1</v>
      </c>
      <c r="J39" s="114">
        <f>[18]人員・時間計画!$H10</f>
        <v>0</v>
      </c>
      <c r="K39" s="114">
        <f>[19]人員・時間計画!$H10</f>
        <v>0</v>
      </c>
      <c r="L39" s="114">
        <f>[20]人員・時間計画!$H10</f>
        <v>0</v>
      </c>
      <c r="M39" s="115">
        <f>SUM(I39:L39)</f>
        <v>1</v>
      </c>
      <c r="N39" s="114">
        <f>[6]人員・時間計画!$H10</f>
        <v>1</v>
      </c>
      <c r="O39" s="114">
        <f>'[21]Kế hoạch số người - thời gian'!$H10</f>
        <v>2</v>
      </c>
      <c r="P39" s="114">
        <f>[22]人員・時間計画!$H10</f>
        <v>0</v>
      </c>
      <c r="Q39" s="114">
        <f>[23]人員・時間計画!$H10</f>
        <v>0</v>
      </c>
      <c r="R39" s="115">
        <f>SUM(N39:Q39)</f>
        <v>3</v>
      </c>
      <c r="S39" s="114">
        <f>'[7]人員・時間計画 '!H10</f>
        <v>2</v>
      </c>
      <c r="T39" s="115">
        <f>S39</f>
        <v>2</v>
      </c>
      <c r="U39" s="114">
        <f>[26]人員・時間計画!$H10</f>
        <v>1</v>
      </c>
      <c r="V39" s="114">
        <f>[27]人員・時間計画!$H10</f>
        <v>0</v>
      </c>
      <c r="W39" s="114">
        <f>[28]人員・時間計画!$H10</f>
        <v>0</v>
      </c>
      <c r="X39" s="114">
        <f>[29]人員・時間計画!$H10</f>
        <v>0</v>
      </c>
      <c r="Y39" s="115">
        <f>SUM(U39:X39)</f>
        <v>1</v>
      </c>
      <c r="Z39" s="114">
        <f>[30]人員・時間計画!$H10</f>
        <v>0</v>
      </c>
      <c r="AA39" s="114">
        <f>[60]人員・時間計画!$H10</f>
        <v>0</v>
      </c>
      <c r="AB39" s="114">
        <f>[31]人員・時間計画!$H10</f>
        <v>1</v>
      </c>
      <c r="AC39" s="115">
        <f>SUM(Z39:AB39)</f>
        <v>1</v>
      </c>
      <c r="AD39" s="114">
        <f>[24]人員・時間計画!$H10</f>
        <v>2</v>
      </c>
      <c r="AE39" s="114">
        <f>[25]人員・時間計画!$H10</f>
        <v>0</v>
      </c>
      <c r="AF39" s="115">
        <f>SUM(AD39:AE39)</f>
        <v>2</v>
      </c>
      <c r="AG39" s="114">
        <f>[37]人員・時間計画!$H10</f>
        <v>0</v>
      </c>
      <c r="AH39" s="114">
        <f>[38]人員・時間計画!$H10</f>
        <v>0</v>
      </c>
      <c r="AI39" s="114">
        <f>[39]人員・時間計画!$H10</f>
        <v>2</v>
      </c>
      <c r="AJ39" s="115">
        <f>SUM(AG39:AI39)</f>
        <v>2</v>
      </c>
      <c r="AK39" s="115">
        <f>AJ39+AF39+AC39+Y39+T39+R39+M39+H39</f>
        <v>14</v>
      </c>
      <c r="AL39" s="114">
        <f>[32]人員・時間計画!$H10</f>
        <v>0</v>
      </c>
      <c r="AM39" s="114">
        <f>[33]人員・時間計画!H10</f>
        <v>2</v>
      </c>
      <c r="AN39" s="114">
        <f>[34]人員・時間計画!$H10</f>
        <v>0</v>
      </c>
      <c r="AO39" s="114">
        <f>[35]人員・時間計画!$H10</f>
        <v>0</v>
      </c>
      <c r="AP39" s="114">
        <f>[36]人員・時間計画!$H10</f>
        <v>1</v>
      </c>
      <c r="AQ39" s="115">
        <f>SUM(AL39:AP39)</f>
        <v>3</v>
      </c>
      <c r="AR39" s="114">
        <f>[41]人員・時間計画!$H10</f>
        <v>1</v>
      </c>
      <c r="AS39" s="114">
        <f>[42]人員・時間計画!$H10</f>
        <v>1</v>
      </c>
      <c r="AT39" s="114">
        <f>[43]人員・時間計画!$H10</f>
        <v>0</v>
      </c>
      <c r="AU39" s="115">
        <f>SUM(AR39:AT39)</f>
        <v>2</v>
      </c>
      <c r="AV39" s="114">
        <f>[40]人員・時間計画!$H10</f>
        <v>2</v>
      </c>
      <c r="AW39" s="115">
        <f>AV39</f>
        <v>2</v>
      </c>
      <c r="AX39" s="115">
        <f>AQ39+AU39+AW39</f>
        <v>7</v>
      </c>
      <c r="AY39" s="114">
        <f>[8]人員・時間計画!$H10</f>
        <v>0</v>
      </c>
      <c r="AZ39" s="114">
        <f>[9]人員・時間計画!$H10</f>
        <v>9</v>
      </c>
      <c r="BA39" s="114">
        <f>[10]人員・時間計画!$H10</f>
        <v>1</v>
      </c>
      <c r="BB39" s="114">
        <f>[11]人員・時間計画!$H10</f>
        <v>1</v>
      </c>
      <c r="BC39" s="114">
        <f>[12]人員・時間計画!$H10</f>
        <v>1</v>
      </c>
      <c r="BD39" s="114">
        <f>[13]人員・時間計画!$H10</f>
        <v>0</v>
      </c>
      <c r="BE39" s="114">
        <f>[14]人員・時間計画!$H10</f>
        <v>1</v>
      </c>
      <c r="BF39" s="114">
        <f>[15]人員・時間計画!$H10</f>
        <v>1</v>
      </c>
      <c r="BG39" s="114">
        <f>[16]人員・時間計画!$H10</f>
        <v>0</v>
      </c>
      <c r="BH39" s="115">
        <f>SUM(AY39:BG39)</f>
        <v>14</v>
      </c>
      <c r="BI39" s="115">
        <f>BH39</f>
        <v>14</v>
      </c>
      <c r="BJ39" s="114">
        <f>[44]人員・時間計画!$H10</f>
        <v>2</v>
      </c>
      <c r="BK39" s="114">
        <f>[45]人員・時間計画!$H10</f>
        <v>0</v>
      </c>
      <c r="BL39" s="115">
        <f>SUM(BJ39:BK39)</f>
        <v>2</v>
      </c>
      <c r="BM39" s="114">
        <f>[46]人員・時間計画!$H10</f>
        <v>1</v>
      </c>
      <c r="BN39" s="114">
        <f>[47]人員・時間計画!$H10</f>
        <v>1</v>
      </c>
      <c r="BO39" s="114">
        <f>[48]人員・時間計画!$H10</f>
        <v>1</v>
      </c>
      <c r="BP39" s="114">
        <f>[49]人員・時間計画!$H10</f>
        <v>0</v>
      </c>
      <c r="BQ39" s="114">
        <f>[50]人員・時間計画!$H10</f>
        <v>2</v>
      </c>
      <c r="BR39" s="115">
        <f>SUM(BM39:BQ39)</f>
        <v>5</v>
      </c>
      <c r="BS39" s="114">
        <f>[51]人員・時間計画!$H10</f>
        <v>1</v>
      </c>
      <c r="BT39" s="114">
        <f>[52]人員・時間計画!$H10</f>
        <v>1</v>
      </c>
      <c r="BU39" s="114">
        <f>[53]人員・時間計画!$H10</f>
        <v>0</v>
      </c>
      <c r="BV39" s="114">
        <f>[54]人員・時間計画!$H10</f>
        <v>1</v>
      </c>
      <c r="BW39" s="114">
        <f>[55]人員・時間計画!$H10</f>
        <v>0</v>
      </c>
      <c r="BX39" s="115">
        <f>SUM(BS39:BW39)</f>
        <v>3</v>
      </c>
      <c r="BY39" s="114">
        <f>[56]人員・時間計画!$H10</f>
        <v>0</v>
      </c>
      <c r="BZ39" s="114">
        <f>[57]人員・時間計画!$H10</f>
        <v>1</v>
      </c>
      <c r="CA39" s="114">
        <f>[59]人員・時間計画!$H10</f>
        <v>1</v>
      </c>
      <c r="CB39" s="115">
        <f>SUM(BY39:CA39)</f>
        <v>2</v>
      </c>
      <c r="CC39" s="114">
        <f>[58]人員・時間計画!$H10</f>
        <v>1</v>
      </c>
      <c r="CD39" s="115">
        <f>CC39</f>
        <v>1</v>
      </c>
      <c r="CE39" s="115">
        <f>CD39+CB39+BX39+BR39+BL39+BI39+AX39+AK39</f>
        <v>48</v>
      </c>
    </row>
    <row r="40" spans="1:83">
      <c r="A40" s="112">
        <v>9</v>
      </c>
      <c r="B40" s="116" t="s">
        <v>139</v>
      </c>
      <c r="C40" s="132">
        <f>[1]人員・時間計画!$H$11</f>
        <v>85</v>
      </c>
      <c r="D40" s="132">
        <f>[2]人員・時間計画!$H11</f>
        <v>116</v>
      </c>
      <c r="E40" s="132">
        <f>[3]人員・時間計画!$H11</f>
        <v>90</v>
      </c>
      <c r="F40" s="132">
        <f>[4]人員・時間計画!$H11</f>
        <v>0</v>
      </c>
      <c r="G40" s="132">
        <f>[17]人員・時間計画!$H11</f>
        <v>21</v>
      </c>
      <c r="H40" s="115">
        <f t="shared" ref="H40:H41" si="127">SUM(C40:G40)</f>
        <v>312</v>
      </c>
      <c r="I40" s="132">
        <f>[5]人員・時間計画!$H11</f>
        <v>22</v>
      </c>
      <c r="J40" s="132">
        <f>[18]人員・時間計画!$H11</f>
        <v>14</v>
      </c>
      <c r="K40" s="114">
        <f>[19]人員・時間計画!$H11</f>
        <v>6</v>
      </c>
      <c r="L40" s="114">
        <f>[20]人員・時間計画!$H11</f>
        <v>10</v>
      </c>
      <c r="M40" s="115">
        <f t="shared" ref="M40:M41" si="128">SUM(I40:L40)</f>
        <v>52</v>
      </c>
      <c r="N40" s="132">
        <f>[6]人員・時間計画!$H11</f>
        <v>16</v>
      </c>
      <c r="O40" s="132">
        <f>'[21]Kế hoạch số người - thời gian'!$H11</f>
        <v>23</v>
      </c>
      <c r="P40" s="114">
        <f>[22]人員・時間計画!$H11</f>
        <v>9</v>
      </c>
      <c r="Q40" s="114">
        <f>[23]人員・時間計画!$H11</f>
        <v>12</v>
      </c>
      <c r="R40" s="115">
        <f>SUM(N40:Q40)</f>
        <v>60</v>
      </c>
      <c r="S40" s="114">
        <f>'[7]人員・時間計画 '!H11</f>
        <v>15</v>
      </c>
      <c r="T40" s="115">
        <f t="shared" ref="T40:T41" si="129">S40</f>
        <v>15</v>
      </c>
      <c r="U40" s="132">
        <f>[26]人員・時間計画!$H11</f>
        <v>10</v>
      </c>
      <c r="V40" s="132">
        <f>[27]人員・時間計画!$H11</f>
        <v>6</v>
      </c>
      <c r="W40" s="132">
        <f>[28]人員・時間計画!$H11</f>
        <v>16</v>
      </c>
      <c r="X40" s="132">
        <f>[29]人員・時間計画!$H11</f>
        <v>3</v>
      </c>
      <c r="Y40" s="115">
        <f t="shared" ref="Y40:Y41" si="130">SUM(U40:X40)</f>
        <v>35</v>
      </c>
      <c r="Z40" s="132">
        <f>[30]人員・時間計画!$H11</f>
        <v>38</v>
      </c>
      <c r="AA40" s="132">
        <f>[60]人員・時間計画!$H11</f>
        <v>11</v>
      </c>
      <c r="AB40" s="132">
        <f>[31]人員・時間計画!$H11</f>
        <v>12</v>
      </c>
      <c r="AC40" s="115">
        <f t="shared" ref="AC40:AC41" si="131">SUM(Z40:AB40)</f>
        <v>61</v>
      </c>
      <c r="AD40" s="132">
        <f>[24]人員・時間計画!$H11</f>
        <v>102</v>
      </c>
      <c r="AE40" s="132">
        <f>[25]人員・時間計画!$H11</f>
        <v>7</v>
      </c>
      <c r="AF40" s="115">
        <f t="shared" ref="AF40:AF41" si="132">SUM(AD40:AE40)</f>
        <v>109</v>
      </c>
      <c r="AG40" s="132">
        <f>[37]人員・時間計画!$H11</f>
        <v>25</v>
      </c>
      <c r="AH40" s="132">
        <f>[38]人員・時間計画!$H11</f>
        <v>23</v>
      </c>
      <c r="AI40" s="132">
        <f>[39]人員・時間計画!$H11</f>
        <v>31</v>
      </c>
      <c r="AJ40" s="115">
        <f t="shared" ref="AJ40:AJ41" si="133">SUM(AG40:AI40)</f>
        <v>79</v>
      </c>
      <c r="AK40" s="115">
        <f t="shared" ref="AK40:AK43" si="134">AJ40+AF40+AC40+Y40+T40+R40+M40+H40</f>
        <v>723</v>
      </c>
      <c r="AL40" s="132">
        <f>[32]人員・時間計画!$H11</f>
        <v>15</v>
      </c>
      <c r="AM40" s="132">
        <f>[33]人員・時間計画!H11</f>
        <v>21</v>
      </c>
      <c r="AN40" s="132">
        <f>[34]人員・時間計画!$H11</f>
        <v>13</v>
      </c>
      <c r="AO40" s="114">
        <f>[35]人員・時間計画!$H11</f>
        <v>9</v>
      </c>
      <c r="AP40" s="132">
        <f>[36]人員・時間計画!$H11</f>
        <v>18</v>
      </c>
      <c r="AQ40" s="115">
        <f t="shared" ref="AQ40:AQ41" si="135">SUM(AL40:AP40)</f>
        <v>76</v>
      </c>
      <c r="AR40" s="132">
        <f>[41]人員・時間計画!$H11</f>
        <v>17</v>
      </c>
      <c r="AS40" s="132">
        <f>[42]人員・時間計画!$H11</f>
        <v>13</v>
      </c>
      <c r="AT40" s="132">
        <f>[43]人員・時間計画!$H11</f>
        <v>23</v>
      </c>
      <c r="AU40" s="115">
        <f t="shared" ref="AU40:AU41" si="136">SUM(AR40:AT40)</f>
        <v>53</v>
      </c>
      <c r="AV40" s="114">
        <f>[40]人員・時間計画!$H11</f>
        <v>23</v>
      </c>
      <c r="AW40" s="115">
        <f t="shared" ref="AW40:AW41" si="137">AV40</f>
        <v>23</v>
      </c>
      <c r="AX40" s="115">
        <f t="shared" ref="AX40:AX43" si="138">AQ40+AU40+AW40</f>
        <v>152</v>
      </c>
      <c r="AY40" s="132">
        <f>[8]人員・時間計画!$H11</f>
        <v>9</v>
      </c>
      <c r="AZ40" s="132">
        <f>[9]人員・時間計画!$H11</f>
        <v>9</v>
      </c>
      <c r="BA40" s="132">
        <f>[10]人員・時間計画!$H11</f>
        <v>11</v>
      </c>
      <c r="BB40" s="132">
        <f>[11]人員・時間計画!$H11</f>
        <v>15</v>
      </c>
      <c r="BC40" s="114">
        <f>[12]人員・時間計画!$H11</f>
        <v>7</v>
      </c>
      <c r="BD40" s="132">
        <f>[13]人員・時間計画!$H11</f>
        <v>10</v>
      </c>
      <c r="BE40" s="114">
        <f>[14]人員・時間計画!$H11</f>
        <v>8</v>
      </c>
      <c r="BF40" s="132">
        <f>[15]人員・時間計画!$H11</f>
        <v>13</v>
      </c>
      <c r="BG40" s="132">
        <f>[16]人員・時間計画!$H11</f>
        <v>12</v>
      </c>
      <c r="BH40" s="115">
        <f t="shared" ref="BH40:BH43" si="139">SUM(AY40:BG40)</f>
        <v>94</v>
      </c>
      <c r="BI40" s="115">
        <f t="shared" ref="BI40:BI41" si="140">BH40</f>
        <v>94</v>
      </c>
      <c r="BJ40" s="132">
        <f>[44]人員・時間計画!$H11</f>
        <v>11</v>
      </c>
      <c r="BK40" s="132">
        <f>[45]人員・時間計画!$H11</f>
        <v>14</v>
      </c>
      <c r="BL40" s="115">
        <f t="shared" ref="BL40:BL41" si="141">SUM(BJ40:BK40)</f>
        <v>25</v>
      </c>
      <c r="BM40" s="132">
        <f>[46]人員・時間計画!$H11</f>
        <v>17</v>
      </c>
      <c r="BN40" s="132">
        <f>[47]人員・時間計画!$H11</f>
        <v>4</v>
      </c>
      <c r="BO40" s="132">
        <f>[48]人員・時間計画!$H11</f>
        <v>6</v>
      </c>
      <c r="BP40" s="132">
        <f>[49]人員・時間計画!$H11</f>
        <v>8</v>
      </c>
      <c r="BQ40" s="132">
        <f>[50]人員・時間計画!$H11</f>
        <v>4</v>
      </c>
      <c r="BR40" s="115">
        <f t="shared" ref="BR40:BR43" si="142">SUM(BM40:BQ40)</f>
        <v>39</v>
      </c>
      <c r="BS40" s="132">
        <f>[51]人員・時間計画!$H11</f>
        <v>11</v>
      </c>
      <c r="BT40" s="132">
        <f>[52]人員・時間計画!$H11</f>
        <v>16</v>
      </c>
      <c r="BU40" s="132">
        <f>[53]人員・時間計画!$H11</f>
        <v>11</v>
      </c>
      <c r="BV40" s="132">
        <f>[54]人員・時間計画!$H11</f>
        <v>6</v>
      </c>
      <c r="BW40" s="132">
        <f>[55]人員・時間計画!$H11</f>
        <v>3</v>
      </c>
      <c r="BX40" s="115">
        <f t="shared" ref="BX40:BX43" si="143">SUM(BS40:BW40)</f>
        <v>47</v>
      </c>
      <c r="BY40" s="132">
        <f>[56]人員・時間計画!$H11</f>
        <v>12</v>
      </c>
      <c r="BZ40" s="132">
        <f>[57]人員・時間計画!$H11</f>
        <v>8</v>
      </c>
      <c r="CA40" s="132">
        <f>[59]人員・時間計画!$H11</f>
        <v>17</v>
      </c>
      <c r="CB40" s="115">
        <f t="shared" ref="CB40:CB41" si="144">SUM(BY40:CA40)</f>
        <v>37</v>
      </c>
      <c r="CC40" s="132">
        <f>[58]人員・時間計画!$H11</f>
        <v>14</v>
      </c>
      <c r="CD40" s="115">
        <f t="shared" ref="CD40:CD41" si="145">CC40</f>
        <v>14</v>
      </c>
      <c r="CE40" s="115">
        <f>CD40+CB40+BX40+BR40+BL40+BI40+AX40+AK40</f>
        <v>1131</v>
      </c>
    </row>
    <row r="41" spans="1:83">
      <c r="A41" s="112">
        <v>9</v>
      </c>
      <c r="B41" s="117" t="s">
        <v>140</v>
      </c>
      <c r="C41" s="119">
        <f>[1]人員・時間計画!$H$12</f>
        <v>1450</v>
      </c>
      <c r="D41" s="119">
        <f>[2]人員・時間計画!$H12</f>
        <v>1616</v>
      </c>
      <c r="E41" s="119">
        <f>[3]人員・時間計画!$H12</f>
        <v>1070</v>
      </c>
      <c r="F41" s="119">
        <f>[4]人員・時間計画!$H12</f>
        <v>0</v>
      </c>
      <c r="G41" s="119">
        <f>[17]人員・時間計画!$H12</f>
        <v>7</v>
      </c>
      <c r="H41" s="118">
        <f t="shared" si="127"/>
        <v>4143</v>
      </c>
      <c r="I41" s="119">
        <f>[5]人員・時間計画!$H12</f>
        <v>314</v>
      </c>
      <c r="J41" s="119">
        <f>[18]人員・時間計画!$H12</f>
        <v>11</v>
      </c>
      <c r="K41" s="114">
        <f>[19]人員・時間計画!$H12</f>
        <v>3</v>
      </c>
      <c r="L41" s="114">
        <f>[20]人員・時間計画!$H12</f>
        <v>17</v>
      </c>
      <c r="M41" s="118">
        <f t="shared" si="128"/>
        <v>345</v>
      </c>
      <c r="N41" s="119">
        <f>[6]人員・時間計画!$H12</f>
        <v>125</v>
      </c>
      <c r="O41" s="119">
        <f>'[21]Kế hoạch số người - thời gian'!$H12</f>
        <v>9</v>
      </c>
      <c r="P41" s="119">
        <f>[22]人員・時間計画!$H12</f>
        <v>0</v>
      </c>
      <c r="Q41" s="119">
        <f>[23]人員・時間計画!$H12</f>
        <v>13</v>
      </c>
      <c r="R41" s="118">
        <f>SUM(N41:Q41)</f>
        <v>147</v>
      </c>
      <c r="S41" s="119">
        <f>'[7]人員・時間計画 '!H12</f>
        <v>29</v>
      </c>
      <c r="T41" s="118">
        <f t="shared" si="129"/>
        <v>29</v>
      </c>
      <c r="U41" s="119">
        <f>[26]人員・時間計画!$H12</f>
        <v>0</v>
      </c>
      <c r="V41" s="119">
        <f>[27]人員・時間計画!$H12</f>
        <v>0</v>
      </c>
      <c r="W41" s="119">
        <f>[28]人員・時間計画!$H12</f>
        <v>1</v>
      </c>
      <c r="X41" s="119">
        <f>[29]人員・時間計画!$H12</f>
        <v>0</v>
      </c>
      <c r="Y41" s="118">
        <f t="shared" si="130"/>
        <v>1</v>
      </c>
      <c r="Z41" s="119">
        <f>[30]人員・時間計画!$H12</f>
        <v>336</v>
      </c>
      <c r="AA41" s="119">
        <f>[60]人員・時間計画!$H12</f>
        <v>50</v>
      </c>
      <c r="AB41" s="119">
        <f>[31]人員・時間計画!$H12</f>
        <v>5</v>
      </c>
      <c r="AC41" s="118">
        <f t="shared" si="131"/>
        <v>391</v>
      </c>
      <c r="AD41" s="119">
        <f>[24]人員・時間計画!$H12</f>
        <v>94</v>
      </c>
      <c r="AE41" s="119">
        <f>[25]人員・時間計画!$H12</f>
        <v>1</v>
      </c>
      <c r="AF41" s="118">
        <f t="shared" si="132"/>
        <v>95</v>
      </c>
      <c r="AG41" s="119">
        <f>[37]人員・時間計画!$H12</f>
        <v>79</v>
      </c>
      <c r="AH41" s="119">
        <f>[38]人員・時間計画!$H12</f>
        <v>24</v>
      </c>
      <c r="AI41" s="119">
        <f>[39]人員・時間計画!$H12</f>
        <v>4</v>
      </c>
      <c r="AJ41" s="118">
        <f t="shared" si="133"/>
        <v>107</v>
      </c>
      <c r="AK41" s="118">
        <f t="shared" si="134"/>
        <v>5258</v>
      </c>
      <c r="AL41" s="119">
        <f>[32]人員・時間計画!$H12</f>
        <v>0</v>
      </c>
      <c r="AM41" s="119">
        <f>[33]人員・時間計画!H12</f>
        <v>0</v>
      </c>
      <c r="AN41" s="119">
        <f>[34]人員・時間計画!$H12</f>
        <v>0</v>
      </c>
      <c r="AO41" s="114">
        <f>[35]人員・時間計画!$H12</f>
        <v>0</v>
      </c>
      <c r="AP41" s="119">
        <f>[36]人員・時間計画!$H12</f>
        <v>0</v>
      </c>
      <c r="AQ41" s="118">
        <f t="shared" si="135"/>
        <v>0</v>
      </c>
      <c r="AR41" s="119">
        <f>[41]人員・時間計画!$H12</f>
        <v>0</v>
      </c>
      <c r="AS41" s="119">
        <f>[42]人員・時間計画!$H12</f>
        <v>0</v>
      </c>
      <c r="AT41" s="119">
        <f>[43]人員・時間計画!$H12</f>
        <v>0</v>
      </c>
      <c r="AU41" s="118">
        <f t="shared" si="136"/>
        <v>0</v>
      </c>
      <c r="AV41" s="119">
        <f>[40]人員・時間計画!$H12</f>
        <v>0</v>
      </c>
      <c r="AW41" s="118">
        <f t="shared" si="137"/>
        <v>0</v>
      </c>
      <c r="AX41" s="118">
        <f t="shared" si="138"/>
        <v>0</v>
      </c>
      <c r="AY41" s="119">
        <f>[8]人員・時間計画!$H12</f>
        <v>0</v>
      </c>
      <c r="AZ41" s="119">
        <f>[9]人員・時間計画!$H12</f>
        <v>0</v>
      </c>
      <c r="BA41" s="119">
        <f>[10]人員・時間計画!$H12</f>
        <v>0</v>
      </c>
      <c r="BB41" s="119">
        <f>[11]人員・時間計画!$H12</f>
        <v>0</v>
      </c>
      <c r="BC41" s="114">
        <f>[12]人員・時間計画!$H12</f>
        <v>0</v>
      </c>
      <c r="BD41" s="119">
        <f>[13]人員・時間計画!$H12</f>
        <v>0</v>
      </c>
      <c r="BE41" s="114">
        <f>[14]人員・時間計画!$H12</f>
        <v>0</v>
      </c>
      <c r="BF41" s="119">
        <f>[15]人員・時間計画!$H12</f>
        <v>0</v>
      </c>
      <c r="BG41" s="119">
        <f>[16]人員・時間計画!$H12</f>
        <v>0</v>
      </c>
      <c r="BH41" s="118">
        <f t="shared" si="139"/>
        <v>0</v>
      </c>
      <c r="BI41" s="118">
        <f t="shared" si="140"/>
        <v>0</v>
      </c>
      <c r="BJ41" s="119">
        <f>[44]人員・時間計画!$H12</f>
        <v>1</v>
      </c>
      <c r="BK41" s="119">
        <f>[45]人員・時間計画!$H12</f>
        <v>33</v>
      </c>
      <c r="BL41" s="118">
        <f t="shared" si="141"/>
        <v>34</v>
      </c>
      <c r="BM41" s="119">
        <f>[46]人員・時間計画!$H12</f>
        <v>0</v>
      </c>
      <c r="BN41" s="119">
        <f>[47]人員・時間計画!$H12</f>
        <v>0</v>
      </c>
      <c r="BO41" s="119">
        <f>[48]人員・時間計画!$H12</f>
        <v>0</v>
      </c>
      <c r="BP41" s="119">
        <f>[49]人員・時間計画!$H12</f>
        <v>0</v>
      </c>
      <c r="BQ41" s="119">
        <f>[50]人員・時間計画!$H12</f>
        <v>0</v>
      </c>
      <c r="BR41" s="118">
        <f t="shared" si="142"/>
        <v>0</v>
      </c>
      <c r="BS41" s="119">
        <f>[51]人員・時間計画!$H12</f>
        <v>6</v>
      </c>
      <c r="BT41" s="119">
        <f>[52]人員・時間計画!$H12</f>
        <v>0</v>
      </c>
      <c r="BU41" s="119">
        <f>[53]人員・時間計画!$H12</f>
        <v>3</v>
      </c>
      <c r="BV41" s="119">
        <f>[54]人員・時間計画!$H12</f>
        <v>0</v>
      </c>
      <c r="BW41" s="119">
        <f>[55]人員・時間計画!$H12</f>
        <v>67</v>
      </c>
      <c r="BX41" s="118">
        <f t="shared" si="143"/>
        <v>76</v>
      </c>
      <c r="BY41" s="119">
        <f>[56]人員・時間計画!$H12</f>
        <v>0</v>
      </c>
      <c r="BZ41" s="119">
        <f>[57]人員・時間計画!$H12</f>
        <v>0</v>
      </c>
      <c r="CA41" s="119">
        <f>[59]人員・時間計画!$H12</f>
        <v>0</v>
      </c>
      <c r="CB41" s="118">
        <f t="shared" si="144"/>
        <v>0</v>
      </c>
      <c r="CC41" s="119">
        <f>[58]人員・時間計画!$H12</f>
        <v>0</v>
      </c>
      <c r="CD41" s="118">
        <f t="shared" si="145"/>
        <v>0</v>
      </c>
      <c r="CE41" s="118">
        <f>CD41+CB41+BX41+BR41+BL41+BI41+AX41+AK41</f>
        <v>5368</v>
      </c>
    </row>
    <row r="42" spans="1:83">
      <c r="A42" s="112">
        <v>9</v>
      </c>
      <c r="B42" s="120" t="s">
        <v>195</v>
      </c>
      <c r="C42" s="121">
        <f>[1]人員・時間計画!$H$13</f>
        <v>1535</v>
      </c>
      <c r="D42" s="121">
        <f>[2]人員・時間計画!$H13</f>
        <v>1732</v>
      </c>
      <c r="E42" s="121">
        <f>[3]人員・時間計画!$H13</f>
        <v>1160</v>
      </c>
      <c r="F42" s="121">
        <f>[4]人員・時間計画!$H13</f>
        <v>0</v>
      </c>
      <c r="G42" s="121">
        <f>[17]人員・時間計画!$H13</f>
        <v>28</v>
      </c>
      <c r="H42" s="122">
        <f>SUM(H40:H41)</f>
        <v>4455</v>
      </c>
      <c r="I42" s="121">
        <f>[5]人員・時間計画!$H13</f>
        <v>336</v>
      </c>
      <c r="J42" s="121">
        <f>[18]人員・時間計画!$H13</f>
        <v>25</v>
      </c>
      <c r="K42" s="114">
        <f>[19]人員・時間計画!$H13</f>
        <v>9</v>
      </c>
      <c r="L42" s="114">
        <f>[20]人員・時間計画!$H13</f>
        <v>27</v>
      </c>
      <c r="M42" s="122">
        <f>SUM(M40:M41)</f>
        <v>397</v>
      </c>
      <c r="N42" s="121">
        <f>[6]人員・時間計画!$H13</f>
        <v>141</v>
      </c>
      <c r="O42" s="121">
        <f>'[21]Kế hoạch số người - thời gian'!$H13</f>
        <v>32</v>
      </c>
      <c r="P42" s="121">
        <f>[22]人員・時間計画!$H13</f>
        <v>9</v>
      </c>
      <c r="Q42" s="121">
        <f>[23]人員・時間計画!$H13</f>
        <v>25</v>
      </c>
      <c r="R42" s="122">
        <f>SUM(R40:R41)</f>
        <v>207</v>
      </c>
      <c r="S42" s="121">
        <f>'[7]人員・時間計画 '!H13</f>
        <v>44</v>
      </c>
      <c r="T42" s="122">
        <f>SUM(T40:T41)</f>
        <v>44</v>
      </c>
      <c r="U42" s="121">
        <f>[26]人員・時間計画!$H13</f>
        <v>10</v>
      </c>
      <c r="V42" s="121">
        <f>[27]人員・時間計画!$H13</f>
        <v>6</v>
      </c>
      <c r="W42" s="121">
        <f>[28]人員・時間計画!$H13</f>
        <v>17</v>
      </c>
      <c r="X42" s="121">
        <f>[29]人員・時間計画!$H13</f>
        <v>3</v>
      </c>
      <c r="Y42" s="122">
        <f>SUM(Y40:Y41)</f>
        <v>36</v>
      </c>
      <c r="Z42" s="121">
        <f>[30]人員・時間計画!$H13</f>
        <v>374</v>
      </c>
      <c r="AA42" s="121">
        <f>[60]人員・時間計画!$H13</f>
        <v>61</v>
      </c>
      <c r="AB42" s="121">
        <f>[31]人員・時間計画!$H13</f>
        <v>17</v>
      </c>
      <c r="AC42" s="122">
        <f t="shared" ref="AC42" si="146">SUM(AC40:AC41)</f>
        <v>452</v>
      </c>
      <c r="AD42" s="121">
        <f>[24]人員・時間計画!$H13</f>
        <v>196</v>
      </c>
      <c r="AE42" s="121">
        <f>[25]人員・時間計画!$H13</f>
        <v>8</v>
      </c>
      <c r="AF42" s="122">
        <f>SUM(AF40:AF41)</f>
        <v>204</v>
      </c>
      <c r="AG42" s="121">
        <f>[37]人員・時間計画!$H13</f>
        <v>104</v>
      </c>
      <c r="AH42" s="121">
        <f>[38]人員・時間計画!$H13</f>
        <v>47</v>
      </c>
      <c r="AI42" s="121">
        <f>[39]人員・時間計画!$H13</f>
        <v>35</v>
      </c>
      <c r="AJ42" s="122">
        <f t="shared" ref="AJ42" si="147">SUM(AJ40:AJ41)</f>
        <v>186</v>
      </c>
      <c r="AK42" s="122">
        <f t="shared" si="134"/>
        <v>5981</v>
      </c>
      <c r="AL42" s="121">
        <f>[32]人員・時間計画!$H13</f>
        <v>15</v>
      </c>
      <c r="AM42" s="121">
        <f>[33]人員・時間計画!H13</f>
        <v>21</v>
      </c>
      <c r="AN42" s="121">
        <f>[34]人員・時間計画!$H13</f>
        <v>13</v>
      </c>
      <c r="AO42" s="114">
        <f>[35]人員・時間計画!$H13</f>
        <v>9</v>
      </c>
      <c r="AP42" s="121">
        <f>[36]人員・時間計画!$H13</f>
        <v>18</v>
      </c>
      <c r="AQ42" s="122">
        <f>SUM(AQ40:AQ41)</f>
        <v>76</v>
      </c>
      <c r="AR42" s="121">
        <f>[41]人員・時間計画!$H13</f>
        <v>17</v>
      </c>
      <c r="AS42" s="121">
        <f>[42]人員・時間計画!$H13</f>
        <v>13</v>
      </c>
      <c r="AT42" s="121">
        <f>[43]人員・時間計画!$H13</f>
        <v>23</v>
      </c>
      <c r="AU42" s="122">
        <f>SUM(AU40:AU41)</f>
        <v>53</v>
      </c>
      <c r="AV42" s="121">
        <f>[40]人員・時間計画!$H13</f>
        <v>23</v>
      </c>
      <c r="AW42" s="122">
        <f>SUM(AW40:AW41)</f>
        <v>23</v>
      </c>
      <c r="AX42" s="122">
        <f t="shared" si="138"/>
        <v>152</v>
      </c>
      <c r="AY42" s="121">
        <f>[8]人員・時間計画!$H13</f>
        <v>9</v>
      </c>
      <c r="AZ42" s="121">
        <f>[9]人員・時間計画!$H13</f>
        <v>9</v>
      </c>
      <c r="BA42" s="121">
        <f>[10]人員・時間計画!$H13</f>
        <v>11</v>
      </c>
      <c r="BB42" s="121">
        <f>[11]人員・時間計画!$H13</f>
        <v>15</v>
      </c>
      <c r="BC42" s="114">
        <f>[12]人員・時間計画!$H13</f>
        <v>7</v>
      </c>
      <c r="BD42" s="121">
        <f>[13]人員・時間計画!$H13</f>
        <v>10</v>
      </c>
      <c r="BE42" s="114">
        <f>[14]人員・時間計画!$H13</f>
        <v>8</v>
      </c>
      <c r="BF42" s="121">
        <f>[15]人員・時間計画!$H13</f>
        <v>13</v>
      </c>
      <c r="BG42" s="121">
        <f>[16]人員・時間計画!$H13</f>
        <v>12</v>
      </c>
      <c r="BH42" s="122">
        <f t="shared" si="139"/>
        <v>94</v>
      </c>
      <c r="BI42" s="122">
        <f t="shared" ref="BI42" si="148">SUM(BI40:BI41)</f>
        <v>94</v>
      </c>
      <c r="BJ42" s="121">
        <f>[44]人員・時間計画!$H13</f>
        <v>12</v>
      </c>
      <c r="BK42" s="121">
        <f>[45]人員・時間計画!$H13</f>
        <v>47</v>
      </c>
      <c r="BL42" s="122">
        <f>SUM(BL40:BL41)</f>
        <v>59</v>
      </c>
      <c r="BM42" s="121">
        <f>[46]人員・時間計画!$H13</f>
        <v>17</v>
      </c>
      <c r="BN42" s="121">
        <f>[47]人員・時間計画!$H13</f>
        <v>4</v>
      </c>
      <c r="BO42" s="121">
        <f>[48]人員・時間計画!$H13</f>
        <v>6</v>
      </c>
      <c r="BP42" s="121">
        <f>[49]人員・時間計画!$H13</f>
        <v>8</v>
      </c>
      <c r="BQ42" s="121">
        <f>[50]人員・時間計画!$H13</f>
        <v>4</v>
      </c>
      <c r="BR42" s="122">
        <f t="shared" si="142"/>
        <v>39</v>
      </c>
      <c r="BS42" s="121">
        <f>[51]人員・時間計画!$H13</f>
        <v>17</v>
      </c>
      <c r="BT42" s="121">
        <f>[52]人員・時間計画!$H13</f>
        <v>16</v>
      </c>
      <c r="BU42" s="121">
        <f>[53]人員・時間計画!$H13</f>
        <v>14</v>
      </c>
      <c r="BV42" s="121">
        <f>[54]人員・時間計画!$H13</f>
        <v>6</v>
      </c>
      <c r="BW42" s="121">
        <f>[55]人員・時間計画!$H13</f>
        <v>70</v>
      </c>
      <c r="BX42" s="122">
        <f t="shared" si="143"/>
        <v>123</v>
      </c>
      <c r="BY42" s="121">
        <f>[56]人員・時間計画!$H13</f>
        <v>12</v>
      </c>
      <c r="BZ42" s="121">
        <f>[57]人員・時間計画!$H13</f>
        <v>8</v>
      </c>
      <c r="CA42" s="121">
        <f>[59]人員・時間計画!$H13</f>
        <v>17</v>
      </c>
      <c r="CB42" s="122">
        <f>SUM(CB40:CB41)</f>
        <v>37</v>
      </c>
      <c r="CC42" s="121">
        <f>[58]人員・時間計画!$H13</f>
        <v>14</v>
      </c>
      <c r="CD42" s="122">
        <f>SUM(CD40:CD41)</f>
        <v>14</v>
      </c>
      <c r="CE42" s="122">
        <f>CD42+CB42+BX42+BR42+BL42+BI42+AX42+AK42</f>
        <v>6499</v>
      </c>
    </row>
    <row r="43" spans="1:83" ht="15" thickBot="1">
      <c r="A43" s="112">
        <v>9</v>
      </c>
      <c r="B43" s="123" t="s">
        <v>196</v>
      </c>
      <c r="C43" s="124">
        <f>[1]人員・時間計画!$H$14</f>
        <v>1537</v>
      </c>
      <c r="D43" s="124">
        <f>[2]人員・時間計画!$H14</f>
        <v>1732</v>
      </c>
      <c r="E43" s="124">
        <f>[3]人員・時間計画!$H14</f>
        <v>1160</v>
      </c>
      <c r="F43" s="124">
        <f>[4]人員・時間計画!$H14</f>
        <v>0</v>
      </c>
      <c r="G43" s="124">
        <f>[17]人員・時間計画!$H14</f>
        <v>28</v>
      </c>
      <c r="H43" s="125">
        <f>H42+H39</f>
        <v>4457</v>
      </c>
      <c r="I43" s="124">
        <f>[5]人員・時間計画!$H14</f>
        <v>337</v>
      </c>
      <c r="J43" s="124">
        <f>[18]人員・時間計画!$H14</f>
        <v>25</v>
      </c>
      <c r="K43" s="114">
        <f>[19]人員・時間計画!$H14</f>
        <v>9</v>
      </c>
      <c r="L43" s="114">
        <f>[20]人員・時間計画!$H14</f>
        <v>27</v>
      </c>
      <c r="M43" s="125">
        <f>M42+M39</f>
        <v>398</v>
      </c>
      <c r="N43" s="124">
        <f>[6]人員・時間計画!$H14</f>
        <v>142</v>
      </c>
      <c r="O43" s="124">
        <f>'[21]Kế hoạch số người - thời gian'!$H14</f>
        <v>34</v>
      </c>
      <c r="P43" s="124">
        <f>[22]人員・時間計画!$H14</f>
        <v>9</v>
      </c>
      <c r="Q43" s="124">
        <f>[23]人員・時間計画!$H14</f>
        <v>25</v>
      </c>
      <c r="R43" s="125">
        <f>R42+R39</f>
        <v>210</v>
      </c>
      <c r="S43" s="124">
        <f>'[7]人員・時間計画 '!H14</f>
        <v>46</v>
      </c>
      <c r="T43" s="125">
        <f>T42+T39</f>
        <v>46</v>
      </c>
      <c r="U43" s="124">
        <f>[26]人員・時間計画!$H14</f>
        <v>11</v>
      </c>
      <c r="V43" s="124">
        <f>[27]人員・時間計画!$H14</f>
        <v>6</v>
      </c>
      <c r="W43" s="124">
        <f>[28]人員・時間計画!$H14</f>
        <v>17</v>
      </c>
      <c r="X43" s="124">
        <f>[29]人員・時間計画!$H14</f>
        <v>3</v>
      </c>
      <c r="Y43" s="125">
        <f>Y42+Y39</f>
        <v>37</v>
      </c>
      <c r="Z43" s="124">
        <f>[30]人員・時間計画!$H14</f>
        <v>374</v>
      </c>
      <c r="AA43" s="124">
        <f>[60]人員・時間計画!$H14</f>
        <v>61</v>
      </c>
      <c r="AB43" s="124">
        <f>[31]人員・時間計画!$H14</f>
        <v>18</v>
      </c>
      <c r="AC43" s="125">
        <f t="shared" ref="AC43" si="149">AC42+AC39</f>
        <v>453</v>
      </c>
      <c r="AD43" s="124">
        <f>[24]人員・時間計画!$H14</f>
        <v>198</v>
      </c>
      <c r="AE43" s="124">
        <f>[25]人員・時間計画!$H14</f>
        <v>8</v>
      </c>
      <c r="AF43" s="125">
        <f>AF42+AF39</f>
        <v>206</v>
      </c>
      <c r="AG43" s="124">
        <f>[37]人員・時間計画!$H14</f>
        <v>104</v>
      </c>
      <c r="AH43" s="124">
        <f>[38]人員・時間計画!$H14</f>
        <v>47</v>
      </c>
      <c r="AI43" s="124">
        <f>[39]人員・時間計画!$H14</f>
        <v>37</v>
      </c>
      <c r="AJ43" s="125">
        <f t="shared" ref="AJ43" si="150">AJ42+AJ39</f>
        <v>188</v>
      </c>
      <c r="AK43" s="125">
        <f t="shared" si="134"/>
        <v>5995</v>
      </c>
      <c r="AL43" s="124">
        <f>[32]人員・時間計画!$H14</f>
        <v>15</v>
      </c>
      <c r="AM43" s="124">
        <f>[33]人員・時間計画!H14</f>
        <v>23</v>
      </c>
      <c r="AN43" s="124">
        <f>[34]人員・時間計画!$H14</f>
        <v>13</v>
      </c>
      <c r="AO43" s="114">
        <f>[35]人員・時間計画!$H14</f>
        <v>9</v>
      </c>
      <c r="AP43" s="124">
        <f>[36]人員・時間計画!$H14</f>
        <v>19</v>
      </c>
      <c r="AQ43" s="125">
        <f>AQ42+AQ39</f>
        <v>79</v>
      </c>
      <c r="AR43" s="124">
        <f>[41]人員・時間計画!$H14</f>
        <v>18</v>
      </c>
      <c r="AS43" s="124">
        <f>[42]人員・時間計画!$H14</f>
        <v>14</v>
      </c>
      <c r="AT43" s="124">
        <f>[43]人員・時間計画!$H14</f>
        <v>23</v>
      </c>
      <c r="AU43" s="125">
        <f>AU42+AU39</f>
        <v>55</v>
      </c>
      <c r="AV43" s="124">
        <f>[40]人員・時間計画!$H14</f>
        <v>25</v>
      </c>
      <c r="AW43" s="125">
        <f>AW42+AW39</f>
        <v>25</v>
      </c>
      <c r="AX43" s="125">
        <f t="shared" si="138"/>
        <v>159</v>
      </c>
      <c r="AY43" s="124">
        <f>[8]人員・時間計画!$H14</f>
        <v>9</v>
      </c>
      <c r="AZ43" s="124">
        <f>[9]人員・時間計画!$H14</f>
        <v>18</v>
      </c>
      <c r="BA43" s="124">
        <f>[10]人員・時間計画!$H14</f>
        <v>12</v>
      </c>
      <c r="BB43" s="124">
        <f>[11]人員・時間計画!$H14</f>
        <v>16</v>
      </c>
      <c r="BC43" s="114">
        <f>[12]人員・時間計画!$H14</f>
        <v>8</v>
      </c>
      <c r="BD43" s="124">
        <f>[13]人員・時間計画!$H14</f>
        <v>10</v>
      </c>
      <c r="BE43" s="114">
        <f>[14]人員・時間計画!$H14</f>
        <v>9</v>
      </c>
      <c r="BF43" s="124">
        <f>[15]人員・時間計画!$H14</f>
        <v>14</v>
      </c>
      <c r="BG43" s="124">
        <f>[16]人員・時間計画!$H14</f>
        <v>12</v>
      </c>
      <c r="BH43" s="125">
        <f t="shared" si="139"/>
        <v>108</v>
      </c>
      <c r="BI43" s="125">
        <f t="shared" ref="BI43" si="151">BI42+BI39</f>
        <v>108</v>
      </c>
      <c r="BJ43" s="124">
        <f>[44]人員・時間計画!$H14</f>
        <v>14</v>
      </c>
      <c r="BK43" s="124">
        <f>[45]人員・時間計画!$H14</f>
        <v>47</v>
      </c>
      <c r="BL43" s="125">
        <f>BL42+BL39</f>
        <v>61</v>
      </c>
      <c r="BM43" s="124">
        <f>[46]人員・時間計画!$H14</f>
        <v>18</v>
      </c>
      <c r="BN43" s="124">
        <f>[47]人員・時間計画!$H14</f>
        <v>5</v>
      </c>
      <c r="BO43" s="124">
        <f>[48]人員・時間計画!$H14</f>
        <v>7</v>
      </c>
      <c r="BP43" s="124">
        <f>[49]人員・時間計画!$H14</f>
        <v>8</v>
      </c>
      <c r="BQ43" s="124">
        <f>[50]人員・時間計画!$H14</f>
        <v>6</v>
      </c>
      <c r="BR43" s="125">
        <f t="shared" si="142"/>
        <v>44</v>
      </c>
      <c r="BS43" s="124">
        <f>[51]人員・時間計画!$H14</f>
        <v>18</v>
      </c>
      <c r="BT43" s="124">
        <f>[52]人員・時間計画!$H14</f>
        <v>17</v>
      </c>
      <c r="BU43" s="124">
        <f>[53]人員・時間計画!$H14</f>
        <v>14</v>
      </c>
      <c r="BV43" s="124">
        <f>[54]人員・時間計画!$H14</f>
        <v>7</v>
      </c>
      <c r="BW43" s="124">
        <f>[55]人員・時間計画!$H14</f>
        <v>70</v>
      </c>
      <c r="BX43" s="125">
        <f t="shared" si="143"/>
        <v>126</v>
      </c>
      <c r="BY43" s="124">
        <f>[56]人員・時間計画!$H14</f>
        <v>12</v>
      </c>
      <c r="BZ43" s="124">
        <f>[57]人員・時間計画!$H14</f>
        <v>9</v>
      </c>
      <c r="CA43" s="124">
        <f>[59]人員・時間計画!$H14</f>
        <v>18</v>
      </c>
      <c r="CB43" s="125">
        <f>CB42+CB39</f>
        <v>39</v>
      </c>
      <c r="CC43" s="124">
        <f>[58]人員・時間計画!$H14</f>
        <v>15</v>
      </c>
      <c r="CD43" s="125">
        <f>CD42+CD39</f>
        <v>15</v>
      </c>
      <c r="CE43" s="125">
        <f>CD43+CB43+BX43+BR43+BL43+BI43+AX43+AK43</f>
        <v>6547</v>
      </c>
    </row>
    <row r="44" spans="1:83">
      <c r="A44" s="126"/>
      <c r="B44" s="127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  <c r="BP44" s="128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28"/>
      <c r="CB44" s="128"/>
      <c r="CC44" s="128"/>
      <c r="CD44" s="128"/>
      <c r="CE44" s="128"/>
    </row>
    <row r="45" spans="1:83" ht="21.5" thickBot="1">
      <c r="A45" s="109">
        <v>10</v>
      </c>
      <c r="B45" s="110" t="s">
        <v>3</v>
      </c>
      <c r="C45" s="129"/>
      <c r="D45" s="129"/>
      <c r="E45" s="129"/>
      <c r="F45" s="129"/>
      <c r="G45" s="129"/>
      <c r="H45" s="130"/>
      <c r="I45" s="129"/>
      <c r="J45" s="129"/>
      <c r="K45" s="129"/>
      <c r="L45" s="129"/>
      <c r="M45" s="130"/>
      <c r="N45" s="129"/>
      <c r="O45" s="129"/>
      <c r="P45" s="130"/>
      <c r="Q45" s="130"/>
      <c r="R45" s="130"/>
      <c r="S45" s="129"/>
      <c r="T45" s="130"/>
      <c r="U45" s="129"/>
      <c r="V45" s="129"/>
      <c r="W45" s="129"/>
      <c r="X45" s="129"/>
      <c r="Y45" s="130"/>
      <c r="Z45" s="129"/>
      <c r="AA45" s="129"/>
      <c r="AB45" s="129"/>
      <c r="AC45" s="130"/>
      <c r="AD45" s="129"/>
      <c r="AE45" s="129"/>
      <c r="AF45" s="130"/>
      <c r="AG45" s="129"/>
      <c r="AH45" s="129"/>
      <c r="AI45" s="129"/>
      <c r="AJ45" s="130"/>
      <c r="AK45" s="130"/>
      <c r="AL45" s="129"/>
      <c r="AM45" s="129"/>
      <c r="AN45" s="129"/>
      <c r="AO45" s="129"/>
      <c r="AP45" s="129"/>
      <c r="AQ45" s="130"/>
      <c r="AR45" s="129"/>
      <c r="AS45" s="129"/>
      <c r="AT45" s="129"/>
      <c r="AU45" s="130"/>
      <c r="AV45" s="130"/>
      <c r="AW45" s="130"/>
      <c r="AX45" s="130"/>
      <c r="AY45" s="129"/>
      <c r="AZ45" s="129"/>
      <c r="BA45" s="129"/>
      <c r="BB45" s="129"/>
      <c r="BC45" s="129"/>
      <c r="BD45" s="129"/>
      <c r="BE45" s="129"/>
      <c r="BF45" s="129"/>
      <c r="BG45" s="129"/>
      <c r="BH45" s="130"/>
      <c r="BI45" s="130"/>
      <c r="BJ45" s="129"/>
      <c r="BK45" s="129"/>
      <c r="BL45" s="130"/>
      <c r="BM45" s="129"/>
      <c r="BN45" s="129"/>
      <c r="BO45" s="129"/>
      <c r="BP45" s="129"/>
      <c r="BQ45" s="129"/>
      <c r="BR45" s="130"/>
      <c r="BS45" s="129"/>
      <c r="BT45" s="129"/>
      <c r="BU45" s="129"/>
      <c r="BV45" s="129"/>
      <c r="BW45" s="129"/>
      <c r="BX45" s="130"/>
      <c r="BY45" s="129"/>
      <c r="BZ45" s="129"/>
      <c r="CA45" s="129"/>
      <c r="CB45" s="130"/>
      <c r="CC45" s="129"/>
      <c r="CD45" s="130"/>
      <c r="CE45" s="131"/>
    </row>
    <row r="46" spans="1:83" ht="15" thickBot="1">
      <c r="A46" s="112">
        <v>10</v>
      </c>
      <c r="B46" s="113" t="s">
        <v>194</v>
      </c>
      <c r="C46" s="114">
        <f>[1]人員・時間計画!$I$10</f>
        <v>2</v>
      </c>
      <c r="D46" s="114">
        <f>[2]人員・時間計画!$I10</f>
        <v>0</v>
      </c>
      <c r="E46" s="114">
        <f>[3]人員・時間計画!$I10</f>
        <v>0</v>
      </c>
      <c r="F46" s="114">
        <f>[4]人員・時間計画!$I10</f>
        <v>0</v>
      </c>
      <c r="G46" s="114">
        <f>[17]人員・時間計画!$I10</f>
        <v>0</v>
      </c>
      <c r="H46" s="115">
        <f>SUM(C46:G46)</f>
        <v>2</v>
      </c>
      <c r="I46" s="114">
        <f>[5]人員・時間計画!$I10</f>
        <v>1</v>
      </c>
      <c r="J46" s="114">
        <f>[18]人員・時間計画!$I10</f>
        <v>0</v>
      </c>
      <c r="K46" s="114">
        <f>[19]人員・時間計画!$I10</f>
        <v>0</v>
      </c>
      <c r="L46" s="114">
        <f>[20]人員・時間計画!$I10</f>
        <v>0</v>
      </c>
      <c r="M46" s="115">
        <f>SUM(I46:L46)</f>
        <v>1</v>
      </c>
      <c r="N46" s="114">
        <f>[6]人員・時間計画!$I10</f>
        <v>1</v>
      </c>
      <c r="O46" s="114">
        <f>'[21]Kế hoạch số người - thời gian'!$I10</f>
        <v>2</v>
      </c>
      <c r="P46" s="114">
        <f>[22]人員・時間計画!$I10</f>
        <v>0</v>
      </c>
      <c r="Q46" s="114">
        <f>[23]人員・時間計画!$I10</f>
        <v>0</v>
      </c>
      <c r="R46" s="115">
        <f>SUM(N46:Q46)</f>
        <v>3</v>
      </c>
      <c r="S46" s="114">
        <f>'[7]人員・時間計画 '!$I10</f>
        <v>2</v>
      </c>
      <c r="T46" s="115">
        <f>S46</f>
        <v>2</v>
      </c>
      <c r="U46" s="114">
        <f>[26]人員・時間計画!$I10</f>
        <v>1</v>
      </c>
      <c r="V46" s="114">
        <f>[27]人員・時間計画!$I10</f>
        <v>0</v>
      </c>
      <c r="W46" s="114">
        <f>[28]人員・時間計画!$I10</f>
        <v>0</v>
      </c>
      <c r="X46" s="114">
        <f>[29]人員・時間計画!$I10</f>
        <v>0</v>
      </c>
      <c r="Y46" s="115">
        <f>SUM(U46:X46)</f>
        <v>1</v>
      </c>
      <c r="Z46" s="114">
        <f>[30]人員・時間計画!$I10</f>
        <v>0</v>
      </c>
      <c r="AA46" s="114">
        <f>[60]人員・時間計画!$I10</f>
        <v>0</v>
      </c>
      <c r="AB46" s="114">
        <f>[31]人員・時間計画!$I10</f>
        <v>1</v>
      </c>
      <c r="AC46" s="115">
        <f>SUM(Z46:AB46)</f>
        <v>1</v>
      </c>
      <c r="AD46" s="114">
        <f>[24]人員・時間計画!$I10</f>
        <v>2</v>
      </c>
      <c r="AE46" s="114">
        <f>[25]人員・時間計画!$I10</f>
        <v>0</v>
      </c>
      <c r="AF46" s="115">
        <f>SUM(AD46:AE46)</f>
        <v>2</v>
      </c>
      <c r="AG46" s="114">
        <f>[37]人員・時間計画!$I10</f>
        <v>0</v>
      </c>
      <c r="AH46" s="114">
        <f>[38]人員・時間計画!$I10</f>
        <v>0</v>
      </c>
      <c r="AI46" s="114">
        <f>[39]人員・時間計画!$I10</f>
        <v>2</v>
      </c>
      <c r="AJ46" s="115">
        <f>SUM(AG46:AI46)</f>
        <v>2</v>
      </c>
      <c r="AK46" s="115">
        <f>AJ46+AF46+AC46+Y46+T46+R46+M46+H46</f>
        <v>14</v>
      </c>
      <c r="AL46" s="114">
        <f>[32]人員・時間計画!$I10</f>
        <v>0</v>
      </c>
      <c r="AM46" s="114">
        <f>[33]人員・時間計画!I10</f>
        <v>2</v>
      </c>
      <c r="AN46" s="114">
        <f>[34]人員・時間計画!$I10</f>
        <v>0</v>
      </c>
      <c r="AO46" s="114">
        <f>[35]人員・時間計画!$I10</f>
        <v>0</v>
      </c>
      <c r="AP46" s="114">
        <f>[36]人員・時間計画!$I10</f>
        <v>1</v>
      </c>
      <c r="AQ46" s="115">
        <f>SUM(AL46:AP46)</f>
        <v>3</v>
      </c>
      <c r="AR46" s="114">
        <f>[41]人員・時間計画!$I10</f>
        <v>1</v>
      </c>
      <c r="AS46" s="114">
        <f>[42]人員・時間計画!$I10</f>
        <v>1</v>
      </c>
      <c r="AT46" s="114">
        <f>[43]人員・時間計画!$I10</f>
        <v>0</v>
      </c>
      <c r="AU46" s="115">
        <f>SUM(AR46:AT46)</f>
        <v>2</v>
      </c>
      <c r="AV46" s="114">
        <f>[40]人員・時間計画!$I10</f>
        <v>2</v>
      </c>
      <c r="AW46" s="115">
        <f>AV46</f>
        <v>2</v>
      </c>
      <c r="AX46" s="115">
        <f>AQ46+AU46+AW46</f>
        <v>7</v>
      </c>
      <c r="AY46" s="114">
        <f>[8]人員・時間計画!$I10</f>
        <v>0</v>
      </c>
      <c r="AZ46" s="114">
        <f>[9]人員・時間計画!$I10</f>
        <v>11</v>
      </c>
      <c r="BA46" s="114">
        <f>[10]人員・時間計画!$I10</f>
        <v>1</v>
      </c>
      <c r="BB46" s="114">
        <f>[11]人員・時間計画!$I10</f>
        <v>1</v>
      </c>
      <c r="BC46" s="114">
        <f>[12]人員・時間計画!$I10</f>
        <v>1</v>
      </c>
      <c r="BD46" s="114">
        <f>[13]人員・時間計画!$I10</f>
        <v>0</v>
      </c>
      <c r="BE46" s="114">
        <f>[14]人員・時間計画!$I10</f>
        <v>1</v>
      </c>
      <c r="BF46" s="114">
        <f>[15]人員・時間計画!$I10</f>
        <v>2</v>
      </c>
      <c r="BG46" s="114">
        <f>[16]人員・時間計画!$I10</f>
        <v>0</v>
      </c>
      <c r="BH46" s="115">
        <f>SUM(AY46:BG46)</f>
        <v>17</v>
      </c>
      <c r="BI46" s="115">
        <f>BH46</f>
        <v>17</v>
      </c>
      <c r="BJ46" s="114">
        <f>[44]人員・時間計画!$I10</f>
        <v>2</v>
      </c>
      <c r="BK46" s="114">
        <f>[45]人員・時間計画!$I10</f>
        <v>0</v>
      </c>
      <c r="BL46" s="115">
        <f>SUM(BJ46:BK46)</f>
        <v>2</v>
      </c>
      <c r="BM46" s="114">
        <f>[46]人員・時間計画!$I10</f>
        <v>1</v>
      </c>
      <c r="BN46" s="114">
        <f>[47]人員・時間計画!$I10</f>
        <v>1</v>
      </c>
      <c r="BO46" s="114">
        <f>[48]人員・時間計画!$I10</f>
        <v>1</v>
      </c>
      <c r="BP46" s="114">
        <f>[49]人員・時間計画!$I10</f>
        <v>0</v>
      </c>
      <c r="BQ46" s="114">
        <f>[50]人員・時間計画!$I10</f>
        <v>2</v>
      </c>
      <c r="BR46" s="115">
        <f>SUM(BM46:BQ46)</f>
        <v>5</v>
      </c>
      <c r="BS46" s="114">
        <f>[51]人員・時間計画!$I10</f>
        <v>1</v>
      </c>
      <c r="BT46" s="114">
        <f>[52]人員・時間計画!$I10</f>
        <v>1</v>
      </c>
      <c r="BU46" s="114">
        <f>[53]人員・時間計画!$I10</f>
        <v>0</v>
      </c>
      <c r="BV46" s="114">
        <f>[54]人員・時間計画!$I10</f>
        <v>1</v>
      </c>
      <c r="BW46" s="114">
        <f>[55]人員・時間計画!$I10</f>
        <v>0</v>
      </c>
      <c r="BX46" s="115">
        <f>SUM(BS46:BW46)</f>
        <v>3</v>
      </c>
      <c r="BY46" s="114">
        <f>[56]人員・時間計画!$I10</f>
        <v>0</v>
      </c>
      <c r="BZ46" s="114">
        <f>[57]人員・時間計画!$I10</f>
        <v>1</v>
      </c>
      <c r="CA46" s="114">
        <f>[59]人員・時間計画!$I10</f>
        <v>1</v>
      </c>
      <c r="CB46" s="115">
        <f>SUM(BY46:CA46)</f>
        <v>2</v>
      </c>
      <c r="CC46" s="114">
        <f>[58]人員・時間計画!$I10</f>
        <v>1</v>
      </c>
      <c r="CD46" s="115">
        <f>CC46</f>
        <v>1</v>
      </c>
      <c r="CE46" s="115">
        <f>CD46+CB46+BX46+BR46+BL46+BI46+AX46+AK46</f>
        <v>51</v>
      </c>
    </row>
    <row r="47" spans="1:83">
      <c r="A47" s="112">
        <v>10</v>
      </c>
      <c r="B47" s="116" t="s">
        <v>139</v>
      </c>
      <c r="C47" s="132">
        <f>[1]人員・時間計画!$I$11</f>
        <v>85</v>
      </c>
      <c r="D47" s="132">
        <f>[2]人員・時間計画!$I11</f>
        <v>116</v>
      </c>
      <c r="E47" s="132">
        <f>[3]人員・時間計画!$I11</f>
        <v>90</v>
      </c>
      <c r="F47" s="132">
        <f>[4]人員・時間計画!$I11</f>
        <v>0</v>
      </c>
      <c r="G47" s="132">
        <f>[17]人員・時間計画!$I11</f>
        <v>21</v>
      </c>
      <c r="H47" s="115">
        <f t="shared" ref="H47:H48" si="152">SUM(C47:G47)</f>
        <v>312</v>
      </c>
      <c r="I47" s="132">
        <f>[5]人員・時間計画!$I11</f>
        <v>22</v>
      </c>
      <c r="J47" s="132">
        <f>[18]人員・時間計画!$I11</f>
        <v>14</v>
      </c>
      <c r="K47" s="114">
        <f>[19]人員・時間計画!$I11</f>
        <v>6</v>
      </c>
      <c r="L47" s="114">
        <f>[20]人員・時間計画!$I11</f>
        <v>10</v>
      </c>
      <c r="M47" s="115">
        <f t="shared" ref="M47:M48" si="153">SUM(I47:L47)</f>
        <v>52</v>
      </c>
      <c r="N47" s="132">
        <f>[6]人員・時間計画!$I11</f>
        <v>16</v>
      </c>
      <c r="O47" s="132">
        <f>'[21]Kế hoạch số người - thời gian'!$I11</f>
        <v>23</v>
      </c>
      <c r="P47" s="114">
        <f>[22]人員・時間計画!$I11</f>
        <v>9</v>
      </c>
      <c r="Q47" s="114">
        <f>[23]人員・時間計画!$I11</f>
        <v>12</v>
      </c>
      <c r="R47" s="115">
        <f>SUM(N47:Q47)</f>
        <v>60</v>
      </c>
      <c r="S47" s="114">
        <f>'[7]人員・時間計画 '!$I11</f>
        <v>15</v>
      </c>
      <c r="T47" s="115">
        <f t="shared" ref="T47:T48" si="154">S47</f>
        <v>15</v>
      </c>
      <c r="U47" s="132">
        <f>[26]人員・時間計画!$I11</f>
        <v>10</v>
      </c>
      <c r="V47" s="132">
        <f>[27]人員・時間計画!$I11</f>
        <v>6</v>
      </c>
      <c r="W47" s="132">
        <f>[28]人員・時間計画!$I11</f>
        <v>16</v>
      </c>
      <c r="X47" s="132">
        <f>[29]人員・時間計画!$I11</f>
        <v>3</v>
      </c>
      <c r="Y47" s="115">
        <f t="shared" ref="Y47:Y48" si="155">SUM(U47:X47)</f>
        <v>35</v>
      </c>
      <c r="Z47" s="132">
        <f>[30]人員・時間計画!$I11</f>
        <v>38</v>
      </c>
      <c r="AA47" s="132">
        <f>[60]人員・時間計画!$I11</f>
        <v>11</v>
      </c>
      <c r="AB47" s="132">
        <f>[31]人員・時間計画!$I11</f>
        <v>12</v>
      </c>
      <c r="AC47" s="115">
        <f t="shared" ref="AC47:AC48" si="156">SUM(Z47:AB47)</f>
        <v>61</v>
      </c>
      <c r="AD47" s="132">
        <f>[24]人員・時間計画!$I11</f>
        <v>103</v>
      </c>
      <c r="AE47" s="132">
        <f>[25]人員・時間計画!$I11</f>
        <v>7</v>
      </c>
      <c r="AF47" s="115">
        <f t="shared" ref="AF47:AF48" si="157">SUM(AD47:AE47)</f>
        <v>110</v>
      </c>
      <c r="AG47" s="132">
        <f>[37]人員・時間計画!$I11</f>
        <v>25</v>
      </c>
      <c r="AH47" s="132">
        <f>[38]人員・時間計画!$I11</f>
        <v>23</v>
      </c>
      <c r="AI47" s="132">
        <f>[39]人員・時間計画!$I11</f>
        <v>32</v>
      </c>
      <c r="AJ47" s="115">
        <f t="shared" ref="AJ47:AJ48" si="158">SUM(AG47:AI47)</f>
        <v>80</v>
      </c>
      <c r="AK47" s="115">
        <f t="shared" ref="AK47:AK50" si="159">AJ47+AF47+AC47+Y47+T47+R47+M47+H47</f>
        <v>725</v>
      </c>
      <c r="AL47" s="132">
        <f>[32]人員・時間計画!$I11</f>
        <v>15</v>
      </c>
      <c r="AM47" s="132">
        <f>[33]人員・時間計画!I11</f>
        <v>21</v>
      </c>
      <c r="AN47" s="132">
        <f>[34]人員・時間計画!$I11</f>
        <v>13</v>
      </c>
      <c r="AO47" s="114">
        <f>[35]人員・時間計画!$I11</f>
        <v>9</v>
      </c>
      <c r="AP47" s="132">
        <f>[36]人員・時間計画!$I11</f>
        <v>18</v>
      </c>
      <c r="AQ47" s="115">
        <f t="shared" ref="AQ47:AQ48" si="160">SUM(AL47:AP47)</f>
        <v>76</v>
      </c>
      <c r="AR47" s="132">
        <f>[41]人員・時間計画!$I11</f>
        <v>17</v>
      </c>
      <c r="AS47" s="132">
        <f>[42]人員・時間計画!$I11</f>
        <v>13</v>
      </c>
      <c r="AT47" s="132">
        <f>[43]人員・時間計画!$I11</f>
        <v>23</v>
      </c>
      <c r="AU47" s="115">
        <f t="shared" ref="AU47:AU48" si="161">SUM(AR47:AT47)</f>
        <v>53</v>
      </c>
      <c r="AV47" s="114">
        <f>[40]人員・時間計画!$I11</f>
        <v>23</v>
      </c>
      <c r="AW47" s="115">
        <f t="shared" ref="AW47:AW48" si="162">AV47</f>
        <v>23</v>
      </c>
      <c r="AX47" s="115">
        <f t="shared" ref="AX47:AX50" si="163">AQ47+AU47+AW47</f>
        <v>152</v>
      </c>
      <c r="AY47" s="132">
        <f>[8]人員・時間計画!$I11</f>
        <v>9</v>
      </c>
      <c r="AZ47" s="132">
        <f>[9]人員・時間計画!$I11</f>
        <v>9</v>
      </c>
      <c r="BA47" s="132">
        <f>[10]人員・時間計画!$I11</f>
        <v>11</v>
      </c>
      <c r="BB47" s="132">
        <f>[11]人員・時間計画!$I11</f>
        <v>15</v>
      </c>
      <c r="BC47" s="114">
        <f>[12]人員・時間計画!$I11</f>
        <v>7</v>
      </c>
      <c r="BD47" s="132">
        <f>[13]人員・時間計画!$I11</f>
        <v>10</v>
      </c>
      <c r="BE47" s="114">
        <f>[14]人員・時間計画!$I11</f>
        <v>8</v>
      </c>
      <c r="BF47" s="132">
        <f>[15]人員・時間計画!$I11</f>
        <v>13</v>
      </c>
      <c r="BG47" s="132">
        <f>[16]人員・時間計画!$I11</f>
        <v>12</v>
      </c>
      <c r="BH47" s="115">
        <f t="shared" ref="BH47:BH50" si="164">SUM(AY47:BG47)</f>
        <v>94</v>
      </c>
      <c r="BI47" s="115">
        <f t="shared" ref="BI47:BI48" si="165">BH47</f>
        <v>94</v>
      </c>
      <c r="BJ47" s="132">
        <f>[44]人員・時間計画!$I11</f>
        <v>11</v>
      </c>
      <c r="BK47" s="132">
        <f>[45]人員・時間計画!$I11</f>
        <v>14</v>
      </c>
      <c r="BL47" s="115">
        <f t="shared" ref="BL47:BL48" si="166">SUM(BJ47:BK47)</f>
        <v>25</v>
      </c>
      <c r="BM47" s="132">
        <f>[46]人員・時間計画!$I11</f>
        <v>17</v>
      </c>
      <c r="BN47" s="132">
        <f>[47]人員・時間計画!$I11</f>
        <v>4</v>
      </c>
      <c r="BO47" s="132">
        <f>[48]人員・時間計画!$I11</f>
        <v>6</v>
      </c>
      <c r="BP47" s="132">
        <f>[49]人員・時間計画!$I11</f>
        <v>8</v>
      </c>
      <c r="BQ47" s="132">
        <f>[50]人員・時間計画!$I11</f>
        <v>4</v>
      </c>
      <c r="BR47" s="115">
        <f t="shared" ref="BR47:BR50" si="167">SUM(BM47:BQ47)</f>
        <v>39</v>
      </c>
      <c r="BS47" s="132">
        <f>[51]人員・時間計画!$I11</f>
        <v>11</v>
      </c>
      <c r="BT47" s="132">
        <f>[52]人員・時間計画!$I11</f>
        <v>16</v>
      </c>
      <c r="BU47" s="132">
        <f>[53]人員・時間計画!$I11</f>
        <v>11</v>
      </c>
      <c r="BV47" s="132">
        <f>[54]人員・時間計画!$I11</f>
        <v>6</v>
      </c>
      <c r="BW47" s="132">
        <f>[55]人員・時間計画!$I11</f>
        <v>3</v>
      </c>
      <c r="BX47" s="115">
        <f t="shared" ref="BX47:BX50" si="168">SUM(BS47:BW47)</f>
        <v>47</v>
      </c>
      <c r="BY47" s="132">
        <f>[56]人員・時間計画!$I11</f>
        <v>12</v>
      </c>
      <c r="BZ47" s="132">
        <f>[57]人員・時間計画!$I11</f>
        <v>8</v>
      </c>
      <c r="CA47" s="132">
        <f>[59]人員・時間計画!$I11</f>
        <v>17</v>
      </c>
      <c r="CB47" s="115">
        <f t="shared" ref="CB47:CB48" si="169">SUM(BY47:CA47)</f>
        <v>37</v>
      </c>
      <c r="CC47" s="132">
        <f>[58]人員・時間計画!$I11</f>
        <v>14</v>
      </c>
      <c r="CD47" s="115">
        <f t="shared" ref="CD47:CD48" si="170">CC47</f>
        <v>14</v>
      </c>
      <c r="CE47" s="115">
        <f>CD47+CB47+BX47+BR47+BL47+BI47+AX47+AK47</f>
        <v>1133</v>
      </c>
    </row>
    <row r="48" spans="1:83">
      <c r="A48" s="112">
        <v>10</v>
      </c>
      <c r="B48" s="117" t="s">
        <v>140</v>
      </c>
      <c r="C48" s="119">
        <f>[1]人員・時間計画!$I$12</f>
        <v>1751</v>
      </c>
      <c r="D48" s="119">
        <f>[2]人員・時間計画!$I12</f>
        <v>1660</v>
      </c>
      <c r="E48" s="119">
        <f>[3]人員・時間計画!$I12</f>
        <v>1067</v>
      </c>
      <c r="F48" s="119">
        <f>[4]人員・時間計画!$I12</f>
        <v>0</v>
      </c>
      <c r="G48" s="119">
        <f>[17]人員・時間計画!$I12</f>
        <v>7</v>
      </c>
      <c r="H48" s="118">
        <f t="shared" si="152"/>
        <v>4485</v>
      </c>
      <c r="I48" s="119">
        <f>[5]人員・時間計画!$I12</f>
        <v>314</v>
      </c>
      <c r="J48" s="119">
        <f>[18]人員・時間計画!$I12</f>
        <v>11</v>
      </c>
      <c r="K48" s="114">
        <f>[19]人員・時間計画!$I12</f>
        <v>3</v>
      </c>
      <c r="L48" s="114">
        <f>[20]人員・時間計画!$I12</f>
        <v>17</v>
      </c>
      <c r="M48" s="118">
        <f t="shared" si="153"/>
        <v>345</v>
      </c>
      <c r="N48" s="119">
        <f>[6]人員・時間計画!$I12</f>
        <v>125</v>
      </c>
      <c r="O48" s="119">
        <f>'[21]Kế hoạch số người - thời gian'!$I12</f>
        <v>9</v>
      </c>
      <c r="P48" s="119">
        <f>[22]人員・時間計画!$I12</f>
        <v>0</v>
      </c>
      <c r="Q48" s="119">
        <f>[23]人員・時間計画!$I12</f>
        <v>13</v>
      </c>
      <c r="R48" s="118">
        <f>SUM(N48:Q48)</f>
        <v>147</v>
      </c>
      <c r="S48" s="119">
        <f>'[7]人員・時間計画 '!$I12</f>
        <v>30</v>
      </c>
      <c r="T48" s="118">
        <f t="shared" si="154"/>
        <v>30</v>
      </c>
      <c r="U48" s="119">
        <f>[26]人員・時間計画!$I12</f>
        <v>0</v>
      </c>
      <c r="V48" s="119">
        <f>[27]人員・時間計画!$I12</f>
        <v>0</v>
      </c>
      <c r="W48" s="119">
        <f>[28]人員・時間計画!$I12</f>
        <v>1</v>
      </c>
      <c r="X48" s="119">
        <f>[29]人員・時間計画!$I12</f>
        <v>0</v>
      </c>
      <c r="Y48" s="118">
        <f t="shared" si="155"/>
        <v>1</v>
      </c>
      <c r="Z48" s="119">
        <f>[30]人員・時間計画!$I12</f>
        <v>334</v>
      </c>
      <c r="AA48" s="119">
        <f>[60]人員・時間計画!$I12</f>
        <v>50</v>
      </c>
      <c r="AB48" s="119">
        <f>[31]人員・時間計画!$I12</f>
        <v>5</v>
      </c>
      <c r="AC48" s="118">
        <f t="shared" si="156"/>
        <v>389</v>
      </c>
      <c r="AD48" s="119">
        <f>[24]人員・時間計画!$I12</f>
        <v>97</v>
      </c>
      <c r="AE48" s="119">
        <f>[25]人員・時間計画!$I12</f>
        <v>2</v>
      </c>
      <c r="AF48" s="118">
        <f t="shared" si="157"/>
        <v>99</v>
      </c>
      <c r="AG48" s="119">
        <f>[37]人員・時間計画!$I12</f>
        <v>79</v>
      </c>
      <c r="AH48" s="119">
        <f>[38]人員・時間計画!$I12</f>
        <v>24</v>
      </c>
      <c r="AI48" s="119">
        <f>[39]人員・時間計画!$I12</f>
        <v>4</v>
      </c>
      <c r="AJ48" s="118">
        <f t="shared" si="158"/>
        <v>107</v>
      </c>
      <c r="AK48" s="118">
        <f t="shared" si="159"/>
        <v>5603</v>
      </c>
      <c r="AL48" s="119">
        <f>[32]人員・時間計画!$I12</f>
        <v>0</v>
      </c>
      <c r="AM48" s="119">
        <f>[33]人員・時間計画!I12</f>
        <v>0</v>
      </c>
      <c r="AN48" s="119">
        <f>[34]人員・時間計画!$I12</f>
        <v>0</v>
      </c>
      <c r="AO48" s="114">
        <f>[35]人員・時間計画!$I12</f>
        <v>0</v>
      </c>
      <c r="AP48" s="119">
        <f>[36]人員・時間計画!$I12</f>
        <v>0</v>
      </c>
      <c r="AQ48" s="118">
        <f t="shared" si="160"/>
        <v>0</v>
      </c>
      <c r="AR48" s="119">
        <f>[41]人員・時間計画!$I12</f>
        <v>0</v>
      </c>
      <c r="AS48" s="119">
        <f>[42]人員・時間計画!$I12</f>
        <v>0</v>
      </c>
      <c r="AT48" s="119">
        <f>[43]人員・時間計画!$I12</f>
        <v>0</v>
      </c>
      <c r="AU48" s="118">
        <f t="shared" si="161"/>
        <v>0</v>
      </c>
      <c r="AV48" s="119">
        <f>[40]人員・時間計画!$I12</f>
        <v>0</v>
      </c>
      <c r="AW48" s="118">
        <f t="shared" si="162"/>
        <v>0</v>
      </c>
      <c r="AX48" s="118">
        <f t="shared" si="163"/>
        <v>0</v>
      </c>
      <c r="AY48" s="119">
        <f>[8]人員・時間計画!$I12</f>
        <v>0</v>
      </c>
      <c r="AZ48" s="119">
        <f>[9]人員・時間計画!$I12</f>
        <v>0</v>
      </c>
      <c r="BA48" s="119">
        <f>[10]人員・時間計画!$I12</f>
        <v>0</v>
      </c>
      <c r="BB48" s="119">
        <f>[11]人員・時間計画!$I12</f>
        <v>0</v>
      </c>
      <c r="BC48" s="114">
        <f>[12]人員・時間計画!$I12</f>
        <v>0</v>
      </c>
      <c r="BD48" s="119">
        <f>[13]人員・時間計画!$I12</f>
        <v>0</v>
      </c>
      <c r="BE48" s="114">
        <f>[14]人員・時間計画!$I12</f>
        <v>0</v>
      </c>
      <c r="BF48" s="119">
        <f>[15]人員・時間計画!$I12</f>
        <v>0</v>
      </c>
      <c r="BG48" s="119">
        <f>[16]人員・時間計画!$I12</f>
        <v>0</v>
      </c>
      <c r="BH48" s="118">
        <f t="shared" si="164"/>
        <v>0</v>
      </c>
      <c r="BI48" s="118">
        <f t="shared" si="165"/>
        <v>0</v>
      </c>
      <c r="BJ48" s="119">
        <f>[44]人員・時間計画!$I12</f>
        <v>1</v>
      </c>
      <c r="BK48" s="119">
        <f>[45]人員・時間計画!$I12</f>
        <v>33</v>
      </c>
      <c r="BL48" s="118">
        <f t="shared" si="166"/>
        <v>34</v>
      </c>
      <c r="BM48" s="119">
        <f>[46]人員・時間計画!$I12</f>
        <v>0</v>
      </c>
      <c r="BN48" s="119">
        <f>[47]人員・時間計画!$I12</f>
        <v>0</v>
      </c>
      <c r="BO48" s="119">
        <f>[48]人員・時間計画!$I12</f>
        <v>0</v>
      </c>
      <c r="BP48" s="119">
        <f>[49]人員・時間計画!$I12</f>
        <v>0</v>
      </c>
      <c r="BQ48" s="119">
        <f>[50]人員・時間計画!$I12</f>
        <v>0</v>
      </c>
      <c r="BR48" s="118">
        <f t="shared" si="167"/>
        <v>0</v>
      </c>
      <c r="BS48" s="119">
        <f>[51]人員・時間計画!$I12</f>
        <v>6</v>
      </c>
      <c r="BT48" s="119">
        <f>[52]人員・時間計画!$I12</f>
        <v>0</v>
      </c>
      <c r="BU48" s="119">
        <f>[53]人員・時間計画!$I12</f>
        <v>3</v>
      </c>
      <c r="BV48" s="119">
        <f>[54]人員・時間計画!$I12</f>
        <v>0</v>
      </c>
      <c r="BW48" s="119">
        <f>[55]人員・時間計画!$I12</f>
        <v>67</v>
      </c>
      <c r="BX48" s="118">
        <f t="shared" si="168"/>
        <v>76</v>
      </c>
      <c r="BY48" s="119">
        <f>[56]人員・時間計画!$I12</f>
        <v>0</v>
      </c>
      <c r="BZ48" s="119">
        <f>[57]人員・時間計画!$I12</f>
        <v>0</v>
      </c>
      <c r="CA48" s="119">
        <f>[59]人員・時間計画!$I12</f>
        <v>0</v>
      </c>
      <c r="CB48" s="118">
        <f t="shared" si="169"/>
        <v>0</v>
      </c>
      <c r="CC48" s="119">
        <f>[58]人員・時間計画!$I12</f>
        <v>0</v>
      </c>
      <c r="CD48" s="118">
        <f t="shared" si="170"/>
        <v>0</v>
      </c>
      <c r="CE48" s="118">
        <f>CD48+CB48+BX48+BR48+BL48+BI48+AX48+AK48</f>
        <v>5713</v>
      </c>
    </row>
    <row r="49" spans="1:83">
      <c r="A49" s="112">
        <v>10</v>
      </c>
      <c r="B49" s="120" t="s">
        <v>195</v>
      </c>
      <c r="C49" s="121">
        <f>[1]人員・時間計画!$I$13</f>
        <v>1836</v>
      </c>
      <c r="D49" s="121">
        <f>[2]人員・時間計画!$I13</f>
        <v>1776</v>
      </c>
      <c r="E49" s="121">
        <f>[3]人員・時間計画!$I13</f>
        <v>1157</v>
      </c>
      <c r="F49" s="121">
        <f>[4]人員・時間計画!$I13</f>
        <v>0</v>
      </c>
      <c r="G49" s="121">
        <f>[17]人員・時間計画!$I13</f>
        <v>28</v>
      </c>
      <c r="H49" s="122">
        <f>SUM(H47:H48)</f>
        <v>4797</v>
      </c>
      <c r="I49" s="121">
        <f>[5]人員・時間計画!$I13</f>
        <v>336</v>
      </c>
      <c r="J49" s="121">
        <f>[18]人員・時間計画!$I13</f>
        <v>25</v>
      </c>
      <c r="K49" s="114">
        <f>[19]人員・時間計画!$I13</f>
        <v>9</v>
      </c>
      <c r="L49" s="114">
        <f>[20]人員・時間計画!$I13</f>
        <v>27</v>
      </c>
      <c r="M49" s="122">
        <f>SUM(M47:M48)</f>
        <v>397</v>
      </c>
      <c r="N49" s="121">
        <f>[6]人員・時間計画!$I13</f>
        <v>141</v>
      </c>
      <c r="O49" s="121">
        <f>'[21]Kế hoạch số người - thời gian'!$I13</f>
        <v>32</v>
      </c>
      <c r="P49" s="121">
        <f>[22]人員・時間計画!$I13</f>
        <v>9</v>
      </c>
      <c r="Q49" s="121">
        <f>[23]人員・時間計画!$I13</f>
        <v>25</v>
      </c>
      <c r="R49" s="122">
        <f>SUM(R47:R48)</f>
        <v>207</v>
      </c>
      <c r="S49" s="121">
        <f>'[7]人員・時間計画 '!$I13</f>
        <v>45</v>
      </c>
      <c r="T49" s="122">
        <f>SUM(T47:T48)</f>
        <v>45</v>
      </c>
      <c r="U49" s="121">
        <f>[26]人員・時間計画!$I13</f>
        <v>10</v>
      </c>
      <c r="V49" s="121">
        <f>[27]人員・時間計画!$I13</f>
        <v>6</v>
      </c>
      <c r="W49" s="121">
        <f>[28]人員・時間計画!$I13</f>
        <v>17</v>
      </c>
      <c r="X49" s="121">
        <f>[29]人員・時間計画!$I13</f>
        <v>3</v>
      </c>
      <c r="Y49" s="122">
        <f>SUM(Y47:Y48)</f>
        <v>36</v>
      </c>
      <c r="Z49" s="121">
        <f>[30]人員・時間計画!$I13</f>
        <v>372</v>
      </c>
      <c r="AA49" s="121">
        <f>[60]人員・時間計画!$I13</f>
        <v>61</v>
      </c>
      <c r="AB49" s="121">
        <f>[31]人員・時間計画!$I13</f>
        <v>17</v>
      </c>
      <c r="AC49" s="122">
        <f t="shared" ref="AC49" si="171">SUM(AC47:AC48)</f>
        <v>450</v>
      </c>
      <c r="AD49" s="121">
        <f>[24]人員・時間計画!$I13</f>
        <v>200</v>
      </c>
      <c r="AE49" s="121">
        <f>[25]人員・時間計画!$I13</f>
        <v>9</v>
      </c>
      <c r="AF49" s="122">
        <f>SUM(AF47:AF48)</f>
        <v>209</v>
      </c>
      <c r="AG49" s="121">
        <f>[37]人員・時間計画!$I13</f>
        <v>104</v>
      </c>
      <c r="AH49" s="121">
        <f>[38]人員・時間計画!$I13</f>
        <v>47</v>
      </c>
      <c r="AI49" s="121">
        <f>[39]人員・時間計画!$I13</f>
        <v>36</v>
      </c>
      <c r="AJ49" s="122">
        <f t="shared" ref="AJ49" si="172">SUM(AJ47:AJ48)</f>
        <v>187</v>
      </c>
      <c r="AK49" s="122">
        <f t="shared" si="159"/>
        <v>6328</v>
      </c>
      <c r="AL49" s="121">
        <f>[32]人員・時間計画!$I13</f>
        <v>15</v>
      </c>
      <c r="AM49" s="121">
        <f>[33]人員・時間計画!I13</f>
        <v>21</v>
      </c>
      <c r="AN49" s="121">
        <f>[34]人員・時間計画!$I13</f>
        <v>13</v>
      </c>
      <c r="AO49" s="114">
        <f>[35]人員・時間計画!$I13</f>
        <v>9</v>
      </c>
      <c r="AP49" s="121">
        <f>[36]人員・時間計画!$I13</f>
        <v>18</v>
      </c>
      <c r="AQ49" s="122">
        <f>SUM(AQ47:AQ48)</f>
        <v>76</v>
      </c>
      <c r="AR49" s="121">
        <f>[41]人員・時間計画!$I13</f>
        <v>17</v>
      </c>
      <c r="AS49" s="121">
        <f>[42]人員・時間計画!$I13</f>
        <v>13</v>
      </c>
      <c r="AT49" s="121">
        <f>[43]人員・時間計画!$I13</f>
        <v>23</v>
      </c>
      <c r="AU49" s="122">
        <f>SUM(AU47:AU48)</f>
        <v>53</v>
      </c>
      <c r="AV49" s="121">
        <f>[40]人員・時間計画!$I13</f>
        <v>23</v>
      </c>
      <c r="AW49" s="122">
        <f>SUM(AW47:AW48)</f>
        <v>23</v>
      </c>
      <c r="AX49" s="122">
        <f t="shared" si="163"/>
        <v>152</v>
      </c>
      <c r="AY49" s="121">
        <f>[8]人員・時間計画!$I13</f>
        <v>9</v>
      </c>
      <c r="AZ49" s="121">
        <f>[9]人員・時間計画!$I13</f>
        <v>9</v>
      </c>
      <c r="BA49" s="121">
        <f>[10]人員・時間計画!$I13</f>
        <v>11</v>
      </c>
      <c r="BB49" s="121">
        <f>[11]人員・時間計画!$I13</f>
        <v>15</v>
      </c>
      <c r="BC49" s="114">
        <f>[12]人員・時間計画!$I13</f>
        <v>7</v>
      </c>
      <c r="BD49" s="121">
        <f>[13]人員・時間計画!$I13</f>
        <v>10</v>
      </c>
      <c r="BE49" s="114">
        <f>[14]人員・時間計画!$I13</f>
        <v>8</v>
      </c>
      <c r="BF49" s="121">
        <f>[15]人員・時間計画!$I13</f>
        <v>13</v>
      </c>
      <c r="BG49" s="121">
        <f>[16]人員・時間計画!$I13</f>
        <v>12</v>
      </c>
      <c r="BH49" s="122">
        <f t="shared" si="164"/>
        <v>94</v>
      </c>
      <c r="BI49" s="122">
        <f t="shared" ref="BI49" si="173">SUM(BI47:BI48)</f>
        <v>94</v>
      </c>
      <c r="BJ49" s="121">
        <f>[44]人員・時間計画!$I13</f>
        <v>12</v>
      </c>
      <c r="BK49" s="121">
        <f>[45]人員・時間計画!$I13</f>
        <v>47</v>
      </c>
      <c r="BL49" s="122">
        <f>SUM(BL47:BL48)</f>
        <v>59</v>
      </c>
      <c r="BM49" s="121">
        <f>[46]人員・時間計画!$I13</f>
        <v>17</v>
      </c>
      <c r="BN49" s="121">
        <f>[47]人員・時間計画!$I13</f>
        <v>4</v>
      </c>
      <c r="BO49" s="121">
        <f>[48]人員・時間計画!$I13</f>
        <v>6</v>
      </c>
      <c r="BP49" s="121">
        <f>[49]人員・時間計画!$I13</f>
        <v>8</v>
      </c>
      <c r="BQ49" s="121">
        <f>[50]人員・時間計画!$I13</f>
        <v>4</v>
      </c>
      <c r="BR49" s="122">
        <f t="shared" si="167"/>
        <v>39</v>
      </c>
      <c r="BS49" s="121">
        <f>[51]人員・時間計画!$I13</f>
        <v>17</v>
      </c>
      <c r="BT49" s="121">
        <f>[52]人員・時間計画!$I13</f>
        <v>16</v>
      </c>
      <c r="BU49" s="121">
        <f>[53]人員・時間計画!$I13</f>
        <v>14</v>
      </c>
      <c r="BV49" s="121">
        <f>[54]人員・時間計画!$I13</f>
        <v>6</v>
      </c>
      <c r="BW49" s="121">
        <f>[55]人員・時間計画!$I13</f>
        <v>70</v>
      </c>
      <c r="BX49" s="122">
        <f t="shared" si="168"/>
        <v>123</v>
      </c>
      <c r="BY49" s="121">
        <f>[56]人員・時間計画!$I13</f>
        <v>12</v>
      </c>
      <c r="BZ49" s="121">
        <f>[57]人員・時間計画!$I13</f>
        <v>8</v>
      </c>
      <c r="CA49" s="121">
        <f>[59]人員・時間計画!$I13</f>
        <v>17</v>
      </c>
      <c r="CB49" s="122">
        <f>SUM(CB47:CB48)</f>
        <v>37</v>
      </c>
      <c r="CC49" s="121">
        <f>[58]人員・時間計画!$I13</f>
        <v>14</v>
      </c>
      <c r="CD49" s="122">
        <f>SUM(CD47:CD48)</f>
        <v>14</v>
      </c>
      <c r="CE49" s="122">
        <f>CD49+CB49+BX49+BR49+BL49+BI49+AX49+AK49</f>
        <v>6846</v>
      </c>
    </row>
    <row r="50" spans="1:83" ht="15" thickBot="1">
      <c r="A50" s="112">
        <v>10</v>
      </c>
      <c r="B50" s="123" t="s">
        <v>196</v>
      </c>
      <c r="C50" s="124">
        <f>[1]人員・時間計画!$I$14</f>
        <v>1838</v>
      </c>
      <c r="D50" s="124">
        <f>[2]人員・時間計画!$I14</f>
        <v>1776</v>
      </c>
      <c r="E50" s="124">
        <f>[3]人員・時間計画!$I14</f>
        <v>1157</v>
      </c>
      <c r="F50" s="124">
        <f>[4]人員・時間計画!$I14</f>
        <v>0</v>
      </c>
      <c r="G50" s="124">
        <f>[17]人員・時間計画!$I14</f>
        <v>28</v>
      </c>
      <c r="H50" s="125">
        <f>H49+H46</f>
        <v>4799</v>
      </c>
      <c r="I50" s="124">
        <f>[5]人員・時間計画!$I14</f>
        <v>337</v>
      </c>
      <c r="J50" s="124">
        <f>[18]人員・時間計画!$I14</f>
        <v>25</v>
      </c>
      <c r="K50" s="114">
        <f>[19]人員・時間計画!$I14</f>
        <v>9</v>
      </c>
      <c r="L50" s="114">
        <f>[20]人員・時間計画!$I14</f>
        <v>27</v>
      </c>
      <c r="M50" s="125">
        <f>M49+M46</f>
        <v>398</v>
      </c>
      <c r="N50" s="124">
        <f>[6]人員・時間計画!$I14</f>
        <v>142</v>
      </c>
      <c r="O50" s="124">
        <f>'[21]Kế hoạch số người - thời gian'!$I14</f>
        <v>34</v>
      </c>
      <c r="P50" s="124">
        <f>[22]人員・時間計画!$I14</f>
        <v>9</v>
      </c>
      <c r="Q50" s="124">
        <f>[23]人員・時間計画!$I14</f>
        <v>25</v>
      </c>
      <c r="R50" s="125">
        <f>R49+R46</f>
        <v>210</v>
      </c>
      <c r="S50" s="124">
        <f>'[7]人員・時間計画 '!$I14</f>
        <v>47</v>
      </c>
      <c r="T50" s="125">
        <f>T49+T46</f>
        <v>47</v>
      </c>
      <c r="U50" s="124">
        <f>[26]人員・時間計画!$I14</f>
        <v>11</v>
      </c>
      <c r="V50" s="124">
        <f>[27]人員・時間計画!$I14</f>
        <v>6</v>
      </c>
      <c r="W50" s="124">
        <f>[28]人員・時間計画!$I14</f>
        <v>17</v>
      </c>
      <c r="X50" s="124">
        <f>[29]人員・時間計画!$I14</f>
        <v>3</v>
      </c>
      <c r="Y50" s="125">
        <f>Y49+Y46</f>
        <v>37</v>
      </c>
      <c r="Z50" s="124">
        <f>[30]人員・時間計画!$I14</f>
        <v>372</v>
      </c>
      <c r="AA50" s="124">
        <f>[60]人員・時間計画!$I14</f>
        <v>61</v>
      </c>
      <c r="AB50" s="124">
        <f>[31]人員・時間計画!$I14</f>
        <v>18</v>
      </c>
      <c r="AC50" s="125">
        <f t="shared" ref="AC50" si="174">AC49+AC46</f>
        <v>451</v>
      </c>
      <c r="AD50" s="124">
        <f>[24]人員・時間計画!$I14</f>
        <v>202</v>
      </c>
      <c r="AE50" s="124">
        <f>[25]人員・時間計画!$I14</f>
        <v>9</v>
      </c>
      <c r="AF50" s="125">
        <f>AF49+AF46</f>
        <v>211</v>
      </c>
      <c r="AG50" s="124">
        <f>[37]人員・時間計画!$I14</f>
        <v>104</v>
      </c>
      <c r="AH50" s="124">
        <f>[38]人員・時間計画!$I14</f>
        <v>47</v>
      </c>
      <c r="AI50" s="124">
        <f>[39]人員・時間計画!$I14</f>
        <v>38</v>
      </c>
      <c r="AJ50" s="125">
        <f t="shared" ref="AJ50" si="175">AJ49+AJ46</f>
        <v>189</v>
      </c>
      <c r="AK50" s="125">
        <f t="shared" si="159"/>
        <v>6342</v>
      </c>
      <c r="AL50" s="124">
        <f>[32]人員・時間計画!$I14</f>
        <v>15</v>
      </c>
      <c r="AM50" s="124">
        <f>[33]人員・時間計画!I14</f>
        <v>23</v>
      </c>
      <c r="AN50" s="124">
        <f>[34]人員・時間計画!$I14</f>
        <v>13</v>
      </c>
      <c r="AO50" s="114">
        <f>[35]人員・時間計画!$I14</f>
        <v>9</v>
      </c>
      <c r="AP50" s="124">
        <f>[36]人員・時間計画!$I14</f>
        <v>19</v>
      </c>
      <c r="AQ50" s="125">
        <f>AQ49+AQ46</f>
        <v>79</v>
      </c>
      <c r="AR50" s="124">
        <f>[41]人員・時間計画!$I14</f>
        <v>18</v>
      </c>
      <c r="AS50" s="124">
        <f>[42]人員・時間計画!$I14</f>
        <v>14</v>
      </c>
      <c r="AT50" s="124">
        <f>[43]人員・時間計画!$I14</f>
        <v>23</v>
      </c>
      <c r="AU50" s="125">
        <f>AU49+AU46</f>
        <v>55</v>
      </c>
      <c r="AV50" s="124">
        <f>[40]人員・時間計画!$I14</f>
        <v>25</v>
      </c>
      <c r="AW50" s="125">
        <f>AW49+AW46</f>
        <v>25</v>
      </c>
      <c r="AX50" s="125">
        <f t="shared" si="163"/>
        <v>159</v>
      </c>
      <c r="AY50" s="124">
        <f>[8]人員・時間計画!$I14</f>
        <v>9</v>
      </c>
      <c r="AZ50" s="124">
        <f>[9]人員・時間計画!$I14</f>
        <v>20</v>
      </c>
      <c r="BA50" s="124">
        <f>[10]人員・時間計画!$I14</f>
        <v>12</v>
      </c>
      <c r="BB50" s="124">
        <f>[11]人員・時間計画!$I14</f>
        <v>16</v>
      </c>
      <c r="BC50" s="114">
        <f>[12]人員・時間計画!$I14</f>
        <v>8</v>
      </c>
      <c r="BD50" s="124">
        <f>[13]人員・時間計画!$I14</f>
        <v>10</v>
      </c>
      <c r="BE50" s="114">
        <f>[14]人員・時間計画!$I14</f>
        <v>9</v>
      </c>
      <c r="BF50" s="124">
        <f>[15]人員・時間計画!$I14</f>
        <v>15</v>
      </c>
      <c r="BG50" s="124">
        <f>[16]人員・時間計画!$I14</f>
        <v>12</v>
      </c>
      <c r="BH50" s="125">
        <f t="shared" si="164"/>
        <v>111</v>
      </c>
      <c r="BI50" s="125">
        <f t="shared" ref="BI50" si="176">BI49+BI46</f>
        <v>111</v>
      </c>
      <c r="BJ50" s="124">
        <f>[44]人員・時間計画!$I14</f>
        <v>14</v>
      </c>
      <c r="BK50" s="124">
        <f>[45]人員・時間計画!$I14</f>
        <v>47</v>
      </c>
      <c r="BL50" s="125">
        <f>BL49+BL46</f>
        <v>61</v>
      </c>
      <c r="BM50" s="124">
        <f>[46]人員・時間計画!$I14</f>
        <v>18</v>
      </c>
      <c r="BN50" s="124">
        <f>[47]人員・時間計画!$I14</f>
        <v>5</v>
      </c>
      <c r="BO50" s="124">
        <f>[48]人員・時間計画!$I14</f>
        <v>7</v>
      </c>
      <c r="BP50" s="124">
        <f>[49]人員・時間計画!$I14</f>
        <v>8</v>
      </c>
      <c r="BQ50" s="124">
        <f>[50]人員・時間計画!$I14</f>
        <v>6</v>
      </c>
      <c r="BR50" s="125">
        <f t="shared" si="167"/>
        <v>44</v>
      </c>
      <c r="BS50" s="124">
        <f>[51]人員・時間計画!$I14</f>
        <v>18</v>
      </c>
      <c r="BT50" s="124">
        <f>[52]人員・時間計画!$I14</f>
        <v>17</v>
      </c>
      <c r="BU50" s="124">
        <f>[53]人員・時間計画!$I14</f>
        <v>14</v>
      </c>
      <c r="BV50" s="124">
        <f>[54]人員・時間計画!$I14</f>
        <v>7</v>
      </c>
      <c r="BW50" s="124">
        <f>[55]人員・時間計画!$I14</f>
        <v>70</v>
      </c>
      <c r="BX50" s="125">
        <f t="shared" si="168"/>
        <v>126</v>
      </c>
      <c r="BY50" s="124">
        <f>[56]人員・時間計画!$I14</f>
        <v>12</v>
      </c>
      <c r="BZ50" s="124">
        <f>[57]人員・時間計画!$I14</f>
        <v>9</v>
      </c>
      <c r="CA50" s="124">
        <f>[59]人員・時間計画!$I14</f>
        <v>18</v>
      </c>
      <c r="CB50" s="125">
        <f>CB49+CB46</f>
        <v>39</v>
      </c>
      <c r="CC50" s="124">
        <f>[58]人員・時間計画!$I14</f>
        <v>15</v>
      </c>
      <c r="CD50" s="125">
        <f>CD49+CD46</f>
        <v>15</v>
      </c>
      <c r="CE50" s="125">
        <f>CD50+CB50+BX50+BR50+BL50+BI50+AX50+AK50</f>
        <v>6897</v>
      </c>
    </row>
    <row r="51" spans="1:83">
      <c r="A51" s="126"/>
      <c r="B51" s="127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  <c r="BP51" s="128"/>
      <c r="BQ51" s="128"/>
      <c r="BR51" s="128"/>
      <c r="BS51" s="128"/>
      <c r="BT51" s="128"/>
      <c r="BU51" s="128"/>
      <c r="BV51" s="128"/>
      <c r="BW51" s="128"/>
      <c r="BX51" s="128"/>
      <c r="BY51" s="128"/>
      <c r="BZ51" s="128"/>
      <c r="CA51" s="128"/>
      <c r="CB51" s="128"/>
      <c r="CC51" s="128"/>
      <c r="CD51" s="128"/>
      <c r="CE51" s="128"/>
    </row>
    <row r="52" spans="1:83" ht="21.5" thickBot="1">
      <c r="A52" s="109">
        <v>11</v>
      </c>
      <c r="B52" s="110" t="s">
        <v>3</v>
      </c>
      <c r="C52" s="129"/>
      <c r="D52" s="129"/>
      <c r="E52" s="129"/>
      <c r="F52" s="129"/>
      <c r="G52" s="129"/>
      <c r="H52" s="130"/>
      <c r="I52" s="129"/>
      <c r="J52" s="129"/>
      <c r="K52" s="129"/>
      <c r="L52" s="129"/>
      <c r="M52" s="130"/>
      <c r="N52" s="129"/>
      <c r="O52" s="129"/>
      <c r="P52" s="130"/>
      <c r="Q52" s="130"/>
      <c r="R52" s="130"/>
      <c r="S52" s="129"/>
      <c r="T52" s="130"/>
      <c r="U52" s="129"/>
      <c r="V52" s="129"/>
      <c r="W52" s="129"/>
      <c r="X52" s="129"/>
      <c r="Y52" s="130"/>
      <c r="Z52" s="129"/>
      <c r="AA52" s="129"/>
      <c r="AB52" s="129"/>
      <c r="AC52" s="130"/>
      <c r="AD52" s="129"/>
      <c r="AE52" s="129"/>
      <c r="AF52" s="130"/>
      <c r="AG52" s="129"/>
      <c r="AH52" s="129"/>
      <c r="AI52" s="129"/>
      <c r="AJ52" s="130"/>
      <c r="AK52" s="130"/>
      <c r="AL52" s="129"/>
      <c r="AM52" s="129"/>
      <c r="AN52" s="129"/>
      <c r="AO52" s="129"/>
      <c r="AP52" s="129"/>
      <c r="AQ52" s="130"/>
      <c r="AR52" s="129"/>
      <c r="AS52" s="129"/>
      <c r="AT52" s="129"/>
      <c r="AU52" s="130"/>
      <c r="AV52" s="130"/>
      <c r="AW52" s="130"/>
      <c r="AX52" s="130"/>
      <c r="AY52" s="129"/>
      <c r="AZ52" s="129"/>
      <c r="BA52" s="129"/>
      <c r="BB52" s="129"/>
      <c r="BC52" s="129"/>
      <c r="BD52" s="129"/>
      <c r="BE52" s="129"/>
      <c r="BF52" s="129"/>
      <c r="BG52" s="129"/>
      <c r="BH52" s="130"/>
      <c r="BI52" s="130"/>
      <c r="BJ52" s="129"/>
      <c r="BK52" s="129"/>
      <c r="BL52" s="130"/>
      <c r="BM52" s="129"/>
      <c r="BN52" s="129"/>
      <c r="BO52" s="129"/>
      <c r="BP52" s="129"/>
      <c r="BQ52" s="129"/>
      <c r="BR52" s="130"/>
      <c r="BS52" s="129"/>
      <c r="BT52" s="129"/>
      <c r="BU52" s="129"/>
      <c r="BV52" s="129"/>
      <c r="BW52" s="129"/>
      <c r="BX52" s="130"/>
      <c r="BY52" s="129"/>
      <c r="BZ52" s="129"/>
      <c r="CA52" s="129"/>
      <c r="CB52" s="130"/>
      <c r="CC52" s="129"/>
      <c r="CD52" s="130"/>
      <c r="CE52" s="131"/>
    </row>
    <row r="53" spans="1:83" ht="15" thickBot="1">
      <c r="A53" s="112">
        <v>11</v>
      </c>
      <c r="B53" s="113" t="s">
        <v>194</v>
      </c>
      <c r="C53" s="114">
        <f>[1]人員・時間計画!$J$10</f>
        <v>2</v>
      </c>
      <c r="D53" s="114">
        <f>[2]人員・時間計画!$J10</f>
        <v>0</v>
      </c>
      <c r="E53" s="114">
        <f>[3]人員・時間計画!$J10</f>
        <v>0</v>
      </c>
      <c r="F53" s="114">
        <f>[4]人員・時間計画!$J10</f>
        <v>0</v>
      </c>
      <c r="G53" s="114">
        <f>[17]人員・時間計画!$J10</f>
        <v>0</v>
      </c>
      <c r="H53" s="115">
        <f>SUM(C53:G53)</f>
        <v>2</v>
      </c>
      <c r="I53" s="114">
        <f>[5]人員・時間計画!$J10</f>
        <v>1</v>
      </c>
      <c r="J53" s="114">
        <f>[18]人員・時間計画!$J10</f>
        <v>0</v>
      </c>
      <c r="K53" s="114">
        <f>[19]人員・時間計画!$J10</f>
        <v>0</v>
      </c>
      <c r="L53" s="114">
        <f>[20]人員・時間計画!$J10</f>
        <v>0</v>
      </c>
      <c r="M53" s="115">
        <f>SUM(I53:L53)</f>
        <v>1</v>
      </c>
      <c r="N53" s="114">
        <f>[6]人員・時間計画!$J10</f>
        <v>1</v>
      </c>
      <c r="O53" s="114">
        <f>'[21]Kế hoạch số người - thời gian'!$J10</f>
        <v>2</v>
      </c>
      <c r="P53" s="114">
        <f>[22]人員・時間計画!$J10</f>
        <v>0</v>
      </c>
      <c r="Q53" s="114">
        <f>[23]人員・時間計画!$J10</f>
        <v>0</v>
      </c>
      <c r="R53" s="115">
        <f>SUM(N53:Q53)</f>
        <v>3</v>
      </c>
      <c r="S53" s="114">
        <f>'[7]人員・時間計画 '!$J10</f>
        <v>2</v>
      </c>
      <c r="T53" s="115">
        <f>S53</f>
        <v>2</v>
      </c>
      <c r="U53" s="114">
        <f>[26]人員・時間計画!$J10</f>
        <v>1</v>
      </c>
      <c r="V53" s="114">
        <f>[27]人員・時間計画!$J10</f>
        <v>0</v>
      </c>
      <c r="W53" s="114">
        <f>[28]人員・時間計画!$J10</f>
        <v>0</v>
      </c>
      <c r="X53" s="114">
        <f>[29]人員・時間計画!$J10</f>
        <v>0</v>
      </c>
      <c r="Y53" s="115">
        <f>SUM(U53:X53)</f>
        <v>1</v>
      </c>
      <c r="Z53" s="114">
        <f>[30]人員・時間計画!$J10</f>
        <v>0</v>
      </c>
      <c r="AA53" s="114">
        <f>[60]人員・時間計画!$J10</f>
        <v>0</v>
      </c>
      <c r="AB53" s="114">
        <f>[31]人員・時間計画!$J10</f>
        <v>1</v>
      </c>
      <c r="AC53" s="115">
        <f>SUM(Z53:AB53)</f>
        <v>1</v>
      </c>
      <c r="AD53" s="114">
        <f>[24]人員・時間計画!$J10</f>
        <v>2</v>
      </c>
      <c r="AE53" s="114">
        <f>[25]人員・時間計画!$J10</f>
        <v>0</v>
      </c>
      <c r="AF53" s="115">
        <f>SUM(AD53:AE53)</f>
        <v>2</v>
      </c>
      <c r="AG53" s="114">
        <f>[37]人員・時間計画!$J10</f>
        <v>0</v>
      </c>
      <c r="AH53" s="114">
        <f>[38]人員・時間計画!$J10</f>
        <v>0</v>
      </c>
      <c r="AI53" s="114">
        <f>[39]人員・時間計画!$J10</f>
        <v>2</v>
      </c>
      <c r="AJ53" s="115">
        <f>SUM(AG53:AI53)</f>
        <v>2</v>
      </c>
      <c r="AK53" s="115">
        <f>AJ53+AF53+AC53+Y53+T53+R53+M53+H53</f>
        <v>14</v>
      </c>
      <c r="AL53" s="114">
        <f>[32]人員・時間計画!$J10</f>
        <v>0</v>
      </c>
      <c r="AM53" s="114">
        <f>[33]人員・時間計画!J10</f>
        <v>2</v>
      </c>
      <c r="AN53" s="114">
        <f>[34]人員・時間計画!$J10</f>
        <v>0</v>
      </c>
      <c r="AO53" s="114">
        <f>[35]人員・時間計画!$J10</f>
        <v>0</v>
      </c>
      <c r="AP53" s="114">
        <f>[36]人員・時間計画!$J10</f>
        <v>1</v>
      </c>
      <c r="AQ53" s="115">
        <f>SUM(AL53:AP53)</f>
        <v>3</v>
      </c>
      <c r="AR53" s="114">
        <f>[41]人員・時間計画!$J10</f>
        <v>1</v>
      </c>
      <c r="AS53" s="114">
        <f>[42]人員・時間計画!$J10</f>
        <v>1</v>
      </c>
      <c r="AT53" s="114">
        <f>[43]人員・時間計画!$J10</f>
        <v>0</v>
      </c>
      <c r="AU53" s="115">
        <f>SUM(AR53:AT53)</f>
        <v>2</v>
      </c>
      <c r="AV53" s="114">
        <f>[40]人員・時間計画!$J10</f>
        <v>2</v>
      </c>
      <c r="AW53" s="115">
        <f>AV53</f>
        <v>2</v>
      </c>
      <c r="AX53" s="115">
        <f>AQ53+AU53+AW53</f>
        <v>7</v>
      </c>
      <c r="AY53" s="114">
        <f>[8]人員・時間計画!$J10</f>
        <v>0</v>
      </c>
      <c r="AZ53" s="114">
        <f>[9]人員・時間計画!$J10</f>
        <v>11</v>
      </c>
      <c r="BA53" s="114">
        <f>[10]人員・時間計画!$J10</f>
        <v>1</v>
      </c>
      <c r="BB53" s="114">
        <f>[11]人員・時間計画!$J10</f>
        <v>1</v>
      </c>
      <c r="BC53" s="114">
        <f>[12]人員・時間計画!$J10</f>
        <v>1</v>
      </c>
      <c r="BD53" s="114">
        <f>[13]人員・時間計画!$J10</f>
        <v>0</v>
      </c>
      <c r="BE53" s="114">
        <f>[14]人員・時間計画!$J10</f>
        <v>1</v>
      </c>
      <c r="BF53" s="114">
        <f>[15]人員・時間計画!$J10</f>
        <v>2</v>
      </c>
      <c r="BG53" s="114">
        <f>[16]人員・時間計画!$J10</f>
        <v>0</v>
      </c>
      <c r="BH53" s="115">
        <f>SUM(AY53:BG53)</f>
        <v>17</v>
      </c>
      <c r="BI53" s="115">
        <f>BH53</f>
        <v>17</v>
      </c>
      <c r="BJ53" s="114">
        <f>[44]人員・時間計画!$J10</f>
        <v>2</v>
      </c>
      <c r="BK53" s="114">
        <f>[45]人員・時間計画!$J10</f>
        <v>0</v>
      </c>
      <c r="BL53" s="115">
        <f>SUM(BJ53:BK53)</f>
        <v>2</v>
      </c>
      <c r="BM53" s="114">
        <f>[46]人員・時間計画!$J10</f>
        <v>1</v>
      </c>
      <c r="BN53" s="114">
        <f>[47]人員・時間計画!$J10</f>
        <v>1</v>
      </c>
      <c r="BO53" s="114">
        <f>[48]人員・時間計画!$J10</f>
        <v>1</v>
      </c>
      <c r="BP53" s="114">
        <f>[49]人員・時間計画!$J10</f>
        <v>0</v>
      </c>
      <c r="BQ53" s="114">
        <f>[50]人員・時間計画!$J10</f>
        <v>2</v>
      </c>
      <c r="BR53" s="115">
        <f>SUM(BM53:BQ53)</f>
        <v>5</v>
      </c>
      <c r="BS53" s="114">
        <f>[51]人員・時間計画!$J10</f>
        <v>1</v>
      </c>
      <c r="BT53" s="114">
        <f>[52]人員・時間計画!$J10</f>
        <v>1</v>
      </c>
      <c r="BU53" s="114">
        <f>[53]人員・時間計画!$J10</f>
        <v>0</v>
      </c>
      <c r="BV53" s="114">
        <f>[54]人員・時間計画!$J10</f>
        <v>1</v>
      </c>
      <c r="BW53" s="114">
        <f>[55]人員・時間計画!$J10</f>
        <v>0</v>
      </c>
      <c r="BX53" s="115">
        <f>SUM(BS53:BW53)</f>
        <v>3</v>
      </c>
      <c r="BY53" s="114">
        <f>[56]人員・時間計画!$J10</f>
        <v>0</v>
      </c>
      <c r="BZ53" s="114">
        <f>[57]人員・時間計画!$J10</f>
        <v>1</v>
      </c>
      <c r="CA53" s="114">
        <f>[59]人員・時間計画!$J10</f>
        <v>1</v>
      </c>
      <c r="CB53" s="115">
        <f>SUM(BY53:CA53)</f>
        <v>2</v>
      </c>
      <c r="CC53" s="114">
        <f>[58]人員・時間計画!$J10</f>
        <v>1</v>
      </c>
      <c r="CD53" s="115">
        <f>CC53</f>
        <v>1</v>
      </c>
      <c r="CE53" s="115">
        <f>CD53+CB53+BX53+BR53+BL53+BI53+AX53+AK53</f>
        <v>51</v>
      </c>
    </row>
    <row r="54" spans="1:83">
      <c r="A54" s="112">
        <v>11</v>
      </c>
      <c r="B54" s="116" t="s">
        <v>139</v>
      </c>
      <c r="C54" s="132">
        <f>[1]人員・時間計画!$J$11</f>
        <v>85</v>
      </c>
      <c r="D54" s="132">
        <f>[2]人員・時間計画!$J11</f>
        <v>116</v>
      </c>
      <c r="E54" s="132">
        <f>[3]人員・時間計画!$J11</f>
        <v>90</v>
      </c>
      <c r="F54" s="132">
        <f>[4]人員・時間計画!$J11</f>
        <v>0</v>
      </c>
      <c r="G54" s="132">
        <f>[17]人員・時間計画!$J11</f>
        <v>21</v>
      </c>
      <c r="H54" s="115">
        <f t="shared" ref="H54:H55" si="177">SUM(C54:G54)</f>
        <v>312</v>
      </c>
      <c r="I54" s="132">
        <f>[5]人員・時間計画!$J11</f>
        <v>22</v>
      </c>
      <c r="J54" s="132">
        <f>[18]人員・時間計画!$J11</f>
        <v>14</v>
      </c>
      <c r="K54" s="114">
        <f>[19]人員・時間計画!$J11</f>
        <v>6</v>
      </c>
      <c r="L54" s="114">
        <f>[20]人員・時間計画!$J11</f>
        <v>10</v>
      </c>
      <c r="M54" s="115">
        <f t="shared" ref="M54:M55" si="178">SUM(I54:L54)</f>
        <v>52</v>
      </c>
      <c r="N54" s="132">
        <f>[6]人員・時間計画!$J11</f>
        <v>16</v>
      </c>
      <c r="O54" s="132">
        <f>'[21]Kế hoạch số người - thời gian'!$J11</f>
        <v>23</v>
      </c>
      <c r="P54" s="114">
        <f>[22]人員・時間計画!$J11</f>
        <v>9</v>
      </c>
      <c r="Q54" s="114">
        <f>[23]人員・時間計画!$J11</f>
        <v>12</v>
      </c>
      <c r="R54" s="115">
        <f>SUM(N54:Q54)</f>
        <v>60</v>
      </c>
      <c r="S54" s="114">
        <f>'[7]人員・時間計画 '!$J11</f>
        <v>15</v>
      </c>
      <c r="T54" s="115">
        <f t="shared" ref="T54:T55" si="179">S54</f>
        <v>15</v>
      </c>
      <c r="U54" s="132">
        <f>[26]人員・時間計画!$J11</f>
        <v>10</v>
      </c>
      <c r="V54" s="132">
        <f>[27]人員・時間計画!$J11</f>
        <v>6</v>
      </c>
      <c r="W54" s="132">
        <f>[28]人員・時間計画!$J11</f>
        <v>16</v>
      </c>
      <c r="X54" s="132">
        <f>[29]人員・時間計画!$J11</f>
        <v>3</v>
      </c>
      <c r="Y54" s="115">
        <f t="shared" ref="Y54:Y55" si="180">SUM(U54:X54)</f>
        <v>35</v>
      </c>
      <c r="Z54" s="132">
        <f>[30]人員・時間計画!$J11</f>
        <v>38</v>
      </c>
      <c r="AA54" s="132">
        <f>[60]人員・時間計画!$J11</f>
        <v>11</v>
      </c>
      <c r="AB54" s="132">
        <f>[31]人員・時間計画!$J11</f>
        <v>12</v>
      </c>
      <c r="AC54" s="115">
        <f t="shared" ref="AC54:AC55" si="181">SUM(Z54:AB54)</f>
        <v>61</v>
      </c>
      <c r="AD54" s="132">
        <f>[24]人員・時間計画!$J11</f>
        <v>103</v>
      </c>
      <c r="AE54" s="132">
        <f>[25]人員・時間計画!$J11</f>
        <v>7</v>
      </c>
      <c r="AF54" s="115">
        <f t="shared" ref="AF54:AF55" si="182">SUM(AD54:AE54)</f>
        <v>110</v>
      </c>
      <c r="AG54" s="132">
        <f>[37]人員・時間計画!$J11</f>
        <v>25</v>
      </c>
      <c r="AH54" s="132">
        <f>[38]人員・時間計画!$J11</f>
        <v>23</v>
      </c>
      <c r="AI54" s="132">
        <f>[39]人員・時間計画!$J11</f>
        <v>32</v>
      </c>
      <c r="AJ54" s="115">
        <f t="shared" ref="AJ54:AJ55" si="183">SUM(AG54:AI54)</f>
        <v>80</v>
      </c>
      <c r="AK54" s="115">
        <f t="shared" ref="AK54:AK57" si="184">AJ54+AF54+AC54+Y54+T54+R54+M54+H54</f>
        <v>725</v>
      </c>
      <c r="AL54" s="132">
        <f>[32]人員・時間計画!$J11</f>
        <v>15</v>
      </c>
      <c r="AM54" s="132">
        <f>[33]人員・時間計画!J11</f>
        <v>21</v>
      </c>
      <c r="AN54" s="132">
        <f>[34]人員・時間計画!$J11</f>
        <v>13</v>
      </c>
      <c r="AO54" s="114">
        <f>[35]人員・時間計画!$J11</f>
        <v>9</v>
      </c>
      <c r="AP54" s="132">
        <f>[36]人員・時間計画!$J11</f>
        <v>18</v>
      </c>
      <c r="AQ54" s="115">
        <f t="shared" ref="AQ54:AQ55" si="185">SUM(AL54:AP54)</f>
        <v>76</v>
      </c>
      <c r="AR54" s="132">
        <f>[41]人員・時間計画!$J11</f>
        <v>17</v>
      </c>
      <c r="AS54" s="132">
        <f>[42]人員・時間計画!$J11</f>
        <v>13</v>
      </c>
      <c r="AT54" s="132">
        <f>[43]人員・時間計画!$J11</f>
        <v>23</v>
      </c>
      <c r="AU54" s="115">
        <f t="shared" ref="AU54:AU55" si="186">SUM(AR54:AT54)</f>
        <v>53</v>
      </c>
      <c r="AV54" s="114">
        <f>[40]人員・時間計画!$J11</f>
        <v>23</v>
      </c>
      <c r="AW54" s="115">
        <f t="shared" ref="AW54:AW55" si="187">AV54</f>
        <v>23</v>
      </c>
      <c r="AX54" s="115">
        <f t="shared" ref="AX54:AX57" si="188">AQ54+AU54+AW54</f>
        <v>152</v>
      </c>
      <c r="AY54" s="132">
        <f>[8]人員・時間計画!$J11</f>
        <v>9</v>
      </c>
      <c r="AZ54" s="132">
        <f>[9]人員・時間計画!$J11</f>
        <v>9</v>
      </c>
      <c r="BA54" s="132">
        <f>[10]人員・時間計画!$J11</f>
        <v>11</v>
      </c>
      <c r="BB54" s="132">
        <f>[11]人員・時間計画!$J11</f>
        <v>15</v>
      </c>
      <c r="BC54" s="114">
        <f>[12]人員・時間計画!$J11</f>
        <v>7</v>
      </c>
      <c r="BD54" s="132">
        <f>[13]人員・時間計画!$J11</f>
        <v>10</v>
      </c>
      <c r="BE54" s="114">
        <f>[14]人員・時間計画!$J11</f>
        <v>8</v>
      </c>
      <c r="BF54" s="132">
        <f>[15]人員・時間計画!$J11</f>
        <v>13</v>
      </c>
      <c r="BG54" s="132">
        <f>[16]人員・時間計画!$J11</f>
        <v>12</v>
      </c>
      <c r="BH54" s="115">
        <f t="shared" ref="BH54:BH57" si="189">SUM(AY54:BG54)</f>
        <v>94</v>
      </c>
      <c r="BI54" s="115">
        <f t="shared" ref="BI54:BI55" si="190">BH54</f>
        <v>94</v>
      </c>
      <c r="BJ54" s="132">
        <f>[44]人員・時間計画!$J11</f>
        <v>11</v>
      </c>
      <c r="BK54" s="132">
        <f>[45]人員・時間計画!$J11</f>
        <v>14</v>
      </c>
      <c r="BL54" s="115">
        <f t="shared" ref="BL54:BL55" si="191">SUM(BJ54:BK54)</f>
        <v>25</v>
      </c>
      <c r="BM54" s="132">
        <f>[46]人員・時間計画!$J11</f>
        <v>17</v>
      </c>
      <c r="BN54" s="132">
        <f>[47]人員・時間計画!$J11</f>
        <v>4</v>
      </c>
      <c r="BO54" s="132">
        <f>[48]人員・時間計画!$J11</f>
        <v>6</v>
      </c>
      <c r="BP54" s="132">
        <f>[49]人員・時間計画!$J11</f>
        <v>8</v>
      </c>
      <c r="BQ54" s="132">
        <f>[50]人員・時間計画!$J11</f>
        <v>4</v>
      </c>
      <c r="BR54" s="115">
        <f t="shared" ref="BR54:BR57" si="192">SUM(BM54:BQ54)</f>
        <v>39</v>
      </c>
      <c r="BS54" s="132">
        <f>[51]人員・時間計画!$J11</f>
        <v>11</v>
      </c>
      <c r="BT54" s="132">
        <f>[52]人員・時間計画!$J11</f>
        <v>16</v>
      </c>
      <c r="BU54" s="132">
        <f>[53]人員・時間計画!$J11</f>
        <v>11</v>
      </c>
      <c r="BV54" s="132">
        <f>[54]人員・時間計画!$J11</f>
        <v>6</v>
      </c>
      <c r="BW54" s="132">
        <f>[55]人員・時間計画!$J11</f>
        <v>3</v>
      </c>
      <c r="BX54" s="115">
        <f t="shared" ref="BX54:BX57" si="193">SUM(BS54:BW54)</f>
        <v>47</v>
      </c>
      <c r="BY54" s="132">
        <f>[56]人員・時間計画!$J11</f>
        <v>12</v>
      </c>
      <c r="BZ54" s="132">
        <f>[57]人員・時間計画!$J11</f>
        <v>8</v>
      </c>
      <c r="CA54" s="132">
        <f>[59]人員・時間計画!$J11</f>
        <v>17</v>
      </c>
      <c r="CB54" s="115">
        <f t="shared" ref="CB54:CB55" si="194">SUM(BY54:CA54)</f>
        <v>37</v>
      </c>
      <c r="CC54" s="132">
        <f>[58]人員・時間計画!$J11</f>
        <v>14</v>
      </c>
      <c r="CD54" s="115">
        <f t="shared" ref="CD54:CD55" si="195">CC54</f>
        <v>14</v>
      </c>
      <c r="CE54" s="115">
        <f>CD54+CB54+BX54+BR54+BL54+BI54+AX54+AK54</f>
        <v>1133</v>
      </c>
    </row>
    <row r="55" spans="1:83">
      <c r="A55" s="112">
        <v>11</v>
      </c>
      <c r="B55" s="117" t="s">
        <v>140</v>
      </c>
      <c r="C55" s="119">
        <f>[1]人員・時間計画!$J$12</f>
        <v>1757</v>
      </c>
      <c r="D55" s="119">
        <f>[2]人員・時間計画!$J12</f>
        <v>1761</v>
      </c>
      <c r="E55" s="119">
        <f>[3]人員・時間計画!$J12</f>
        <v>1068</v>
      </c>
      <c r="F55" s="119">
        <f>[4]人員・時間計画!$J12</f>
        <v>0</v>
      </c>
      <c r="G55" s="119">
        <f>[17]人員・時間計画!$J12</f>
        <v>7</v>
      </c>
      <c r="H55" s="118">
        <f t="shared" si="177"/>
        <v>4593</v>
      </c>
      <c r="I55" s="119">
        <f>[5]人員・時間計画!$J12</f>
        <v>314</v>
      </c>
      <c r="J55" s="119">
        <f>[18]人員・時間計画!$J12</f>
        <v>11</v>
      </c>
      <c r="K55" s="114">
        <f>[19]人員・時間計画!$J12</f>
        <v>3</v>
      </c>
      <c r="L55" s="114">
        <f>[20]人員・時間計画!$J12</f>
        <v>17</v>
      </c>
      <c r="M55" s="118">
        <f t="shared" si="178"/>
        <v>345</v>
      </c>
      <c r="N55" s="119">
        <f>[6]人員・時間計画!$J12</f>
        <v>125</v>
      </c>
      <c r="O55" s="119">
        <f>'[21]Kế hoạch số người - thời gian'!$J12</f>
        <v>9</v>
      </c>
      <c r="P55" s="119">
        <f>[22]人員・時間計画!$J12</f>
        <v>0</v>
      </c>
      <c r="Q55" s="119">
        <f>[23]人員・時間計画!$J12</f>
        <v>13</v>
      </c>
      <c r="R55" s="118">
        <f>SUM(N55:Q55)</f>
        <v>147</v>
      </c>
      <c r="S55" s="119">
        <f>'[7]人員・時間計画 '!$J12</f>
        <v>30</v>
      </c>
      <c r="T55" s="118">
        <f t="shared" si="179"/>
        <v>30</v>
      </c>
      <c r="U55" s="119">
        <f>[26]人員・時間計画!$J12</f>
        <v>0</v>
      </c>
      <c r="V55" s="119">
        <f>[27]人員・時間計画!$J12</f>
        <v>0</v>
      </c>
      <c r="W55" s="119">
        <f>[28]人員・時間計画!$J12</f>
        <v>1</v>
      </c>
      <c r="X55" s="119">
        <f>[29]人員・時間計画!$J12</f>
        <v>0</v>
      </c>
      <c r="Y55" s="118">
        <f t="shared" si="180"/>
        <v>1</v>
      </c>
      <c r="Z55" s="119">
        <f>[30]人員・時間計画!$J12</f>
        <v>332</v>
      </c>
      <c r="AA55" s="119">
        <f>[60]人員・時間計画!$J12</f>
        <v>50</v>
      </c>
      <c r="AB55" s="119">
        <f>[31]人員・時間計画!$J12</f>
        <v>5</v>
      </c>
      <c r="AC55" s="118">
        <f t="shared" si="181"/>
        <v>387</v>
      </c>
      <c r="AD55" s="119">
        <f>[24]人員・時間計画!$J12</f>
        <v>97</v>
      </c>
      <c r="AE55" s="119">
        <f>[25]人員・時間計画!$J12</f>
        <v>2</v>
      </c>
      <c r="AF55" s="118">
        <f t="shared" si="182"/>
        <v>99</v>
      </c>
      <c r="AG55" s="119">
        <f>[37]人員・時間計画!$J12</f>
        <v>79</v>
      </c>
      <c r="AH55" s="119">
        <f>[38]人員・時間計画!$J12</f>
        <v>24</v>
      </c>
      <c r="AI55" s="119">
        <f>[39]人員・時間計画!$J12</f>
        <v>4</v>
      </c>
      <c r="AJ55" s="118">
        <f t="shared" si="183"/>
        <v>107</v>
      </c>
      <c r="AK55" s="118">
        <f t="shared" si="184"/>
        <v>5709</v>
      </c>
      <c r="AL55" s="119">
        <f>[32]人員・時間計画!$J12</f>
        <v>0</v>
      </c>
      <c r="AM55" s="119">
        <f>[33]人員・時間計画!J12</f>
        <v>0</v>
      </c>
      <c r="AN55" s="119">
        <f>[34]人員・時間計画!$J12</f>
        <v>0</v>
      </c>
      <c r="AO55" s="114">
        <f>[35]人員・時間計画!$J12</f>
        <v>0</v>
      </c>
      <c r="AP55" s="119">
        <f>[36]人員・時間計画!$J12</f>
        <v>0</v>
      </c>
      <c r="AQ55" s="118">
        <f t="shared" si="185"/>
        <v>0</v>
      </c>
      <c r="AR55" s="119">
        <f>[41]人員・時間計画!$J12</f>
        <v>0</v>
      </c>
      <c r="AS55" s="119">
        <f>[42]人員・時間計画!$J12</f>
        <v>0</v>
      </c>
      <c r="AT55" s="119">
        <f>[43]人員・時間計画!$J12</f>
        <v>0</v>
      </c>
      <c r="AU55" s="118">
        <f t="shared" si="186"/>
        <v>0</v>
      </c>
      <c r="AV55" s="119">
        <f>[40]人員・時間計画!$J12</f>
        <v>0</v>
      </c>
      <c r="AW55" s="118">
        <f t="shared" si="187"/>
        <v>0</v>
      </c>
      <c r="AX55" s="118">
        <f t="shared" si="188"/>
        <v>0</v>
      </c>
      <c r="AY55" s="119">
        <f>[8]人員・時間計画!$J12</f>
        <v>0</v>
      </c>
      <c r="AZ55" s="119">
        <f>[9]人員・時間計画!$J12</f>
        <v>0</v>
      </c>
      <c r="BA55" s="119">
        <f>[10]人員・時間計画!$J12</f>
        <v>0</v>
      </c>
      <c r="BB55" s="119">
        <f>[11]人員・時間計画!$J12</f>
        <v>0</v>
      </c>
      <c r="BC55" s="114">
        <f>[12]人員・時間計画!$J12</f>
        <v>0</v>
      </c>
      <c r="BD55" s="119">
        <f>[13]人員・時間計画!$J12</f>
        <v>0</v>
      </c>
      <c r="BE55" s="114">
        <f>[14]人員・時間計画!$J12</f>
        <v>0</v>
      </c>
      <c r="BF55" s="119">
        <f>[15]人員・時間計画!$J12</f>
        <v>0</v>
      </c>
      <c r="BG55" s="119">
        <f>[16]人員・時間計画!$J12</f>
        <v>0</v>
      </c>
      <c r="BH55" s="118">
        <f t="shared" si="189"/>
        <v>0</v>
      </c>
      <c r="BI55" s="118">
        <f t="shared" si="190"/>
        <v>0</v>
      </c>
      <c r="BJ55" s="119">
        <f>[44]人員・時間計画!$J12</f>
        <v>1</v>
      </c>
      <c r="BK55" s="119">
        <f>[45]人員・時間計画!$J12</f>
        <v>33</v>
      </c>
      <c r="BL55" s="118">
        <f t="shared" si="191"/>
        <v>34</v>
      </c>
      <c r="BM55" s="119">
        <f>[46]人員・時間計画!$J12</f>
        <v>0</v>
      </c>
      <c r="BN55" s="119">
        <f>[47]人員・時間計画!$J12</f>
        <v>0</v>
      </c>
      <c r="BO55" s="119">
        <f>[48]人員・時間計画!$J12</f>
        <v>0</v>
      </c>
      <c r="BP55" s="119">
        <f>[49]人員・時間計画!$J12</f>
        <v>0</v>
      </c>
      <c r="BQ55" s="119">
        <f>[50]人員・時間計画!$J12</f>
        <v>0</v>
      </c>
      <c r="BR55" s="118">
        <f t="shared" si="192"/>
        <v>0</v>
      </c>
      <c r="BS55" s="119">
        <f>[51]人員・時間計画!$J12</f>
        <v>6</v>
      </c>
      <c r="BT55" s="119">
        <f>[52]人員・時間計画!$J12</f>
        <v>0</v>
      </c>
      <c r="BU55" s="119">
        <f>[53]人員・時間計画!$J12</f>
        <v>3</v>
      </c>
      <c r="BV55" s="119">
        <f>[54]人員・時間計画!$J12</f>
        <v>0</v>
      </c>
      <c r="BW55" s="119">
        <f>[55]人員・時間計画!$J12</f>
        <v>67</v>
      </c>
      <c r="BX55" s="118">
        <f t="shared" si="193"/>
        <v>76</v>
      </c>
      <c r="BY55" s="119">
        <f>[56]人員・時間計画!$J12</f>
        <v>0</v>
      </c>
      <c r="BZ55" s="119">
        <f>[57]人員・時間計画!$J12</f>
        <v>0</v>
      </c>
      <c r="CA55" s="119">
        <f>[59]人員・時間計画!$J12</f>
        <v>0</v>
      </c>
      <c r="CB55" s="118">
        <f t="shared" si="194"/>
        <v>0</v>
      </c>
      <c r="CC55" s="119">
        <f>[58]人員・時間計画!$J12</f>
        <v>0</v>
      </c>
      <c r="CD55" s="118">
        <f t="shared" si="195"/>
        <v>0</v>
      </c>
      <c r="CE55" s="118">
        <f>CD55+CB55+BX55+BR55+BL55+BI55+AX55+AK55</f>
        <v>5819</v>
      </c>
    </row>
    <row r="56" spans="1:83">
      <c r="A56" s="112">
        <v>11</v>
      </c>
      <c r="B56" s="120" t="s">
        <v>195</v>
      </c>
      <c r="C56" s="121">
        <f>[1]人員・時間計画!$J$13</f>
        <v>1842</v>
      </c>
      <c r="D56" s="121">
        <f>[2]人員・時間計画!$J13</f>
        <v>1877</v>
      </c>
      <c r="E56" s="121">
        <f>[3]人員・時間計画!$J13</f>
        <v>1158</v>
      </c>
      <c r="F56" s="121">
        <f>[4]人員・時間計画!$J13</f>
        <v>0</v>
      </c>
      <c r="G56" s="121">
        <f>[17]人員・時間計画!$J13</f>
        <v>28</v>
      </c>
      <c r="H56" s="122">
        <f>SUM(H54:H55)</f>
        <v>4905</v>
      </c>
      <c r="I56" s="121">
        <f>[5]人員・時間計画!$J13</f>
        <v>336</v>
      </c>
      <c r="J56" s="121">
        <f>[18]人員・時間計画!$J13</f>
        <v>25</v>
      </c>
      <c r="K56" s="114">
        <f>[19]人員・時間計画!$J13</f>
        <v>9</v>
      </c>
      <c r="L56" s="114">
        <f>[20]人員・時間計画!$J13</f>
        <v>27</v>
      </c>
      <c r="M56" s="122">
        <f>SUM(M54:M55)</f>
        <v>397</v>
      </c>
      <c r="N56" s="121">
        <f>[6]人員・時間計画!$J13</f>
        <v>141</v>
      </c>
      <c r="O56" s="121">
        <f>'[21]Kế hoạch số người - thời gian'!$J13</f>
        <v>32</v>
      </c>
      <c r="P56" s="121">
        <f>[22]人員・時間計画!$J13</f>
        <v>9</v>
      </c>
      <c r="Q56" s="121">
        <f>[23]人員・時間計画!$J13</f>
        <v>25</v>
      </c>
      <c r="R56" s="122">
        <f>SUM(R54:R55)</f>
        <v>207</v>
      </c>
      <c r="S56" s="121">
        <f>'[7]人員・時間計画 '!$J13</f>
        <v>45</v>
      </c>
      <c r="T56" s="122">
        <f>SUM(T54:T55)</f>
        <v>45</v>
      </c>
      <c r="U56" s="121">
        <f>[26]人員・時間計画!$J13</f>
        <v>10</v>
      </c>
      <c r="V56" s="121">
        <f>[27]人員・時間計画!$J13</f>
        <v>6</v>
      </c>
      <c r="W56" s="121">
        <f>[28]人員・時間計画!$J13</f>
        <v>17</v>
      </c>
      <c r="X56" s="121">
        <f>[29]人員・時間計画!$J13</f>
        <v>3</v>
      </c>
      <c r="Y56" s="122">
        <f>SUM(Y54:Y55)</f>
        <v>36</v>
      </c>
      <c r="Z56" s="121">
        <f>[30]人員・時間計画!$J13</f>
        <v>370</v>
      </c>
      <c r="AA56" s="121">
        <f>[60]人員・時間計画!$J13</f>
        <v>61</v>
      </c>
      <c r="AB56" s="121">
        <f>[31]人員・時間計画!$J13</f>
        <v>17</v>
      </c>
      <c r="AC56" s="122">
        <f t="shared" ref="AC56" si="196">SUM(AC54:AC55)</f>
        <v>448</v>
      </c>
      <c r="AD56" s="121">
        <f>[24]人員・時間計画!$J13</f>
        <v>200</v>
      </c>
      <c r="AE56" s="121">
        <f>[25]人員・時間計画!$J13</f>
        <v>9</v>
      </c>
      <c r="AF56" s="122">
        <f>SUM(AF54:AF55)</f>
        <v>209</v>
      </c>
      <c r="AG56" s="121">
        <f>[37]人員・時間計画!$J13</f>
        <v>104</v>
      </c>
      <c r="AH56" s="121">
        <f>[38]人員・時間計画!$J13</f>
        <v>47</v>
      </c>
      <c r="AI56" s="121">
        <f>[39]人員・時間計画!$J13</f>
        <v>36</v>
      </c>
      <c r="AJ56" s="122">
        <f t="shared" ref="AJ56" si="197">SUM(AJ54:AJ55)</f>
        <v>187</v>
      </c>
      <c r="AK56" s="122">
        <f t="shared" si="184"/>
        <v>6434</v>
      </c>
      <c r="AL56" s="121">
        <f>[32]人員・時間計画!$J13</f>
        <v>15</v>
      </c>
      <c r="AM56" s="121">
        <f>[33]人員・時間計画!J13</f>
        <v>21</v>
      </c>
      <c r="AN56" s="121">
        <f>[34]人員・時間計画!$J13</f>
        <v>13</v>
      </c>
      <c r="AO56" s="114">
        <f>[35]人員・時間計画!$J13</f>
        <v>9</v>
      </c>
      <c r="AP56" s="121">
        <f>[36]人員・時間計画!$J13</f>
        <v>18</v>
      </c>
      <c r="AQ56" s="122">
        <f>SUM(AQ54:AQ55)</f>
        <v>76</v>
      </c>
      <c r="AR56" s="121">
        <f>[41]人員・時間計画!$J13</f>
        <v>17</v>
      </c>
      <c r="AS56" s="121">
        <f>[42]人員・時間計画!$J13</f>
        <v>13</v>
      </c>
      <c r="AT56" s="121">
        <f>[43]人員・時間計画!$J13</f>
        <v>23</v>
      </c>
      <c r="AU56" s="122">
        <f>SUM(AU54:AU55)</f>
        <v>53</v>
      </c>
      <c r="AV56" s="121">
        <f>[40]人員・時間計画!$J13</f>
        <v>23</v>
      </c>
      <c r="AW56" s="122">
        <f>SUM(AW54:AW55)</f>
        <v>23</v>
      </c>
      <c r="AX56" s="122">
        <f t="shared" si="188"/>
        <v>152</v>
      </c>
      <c r="AY56" s="121">
        <f>[8]人員・時間計画!$J13</f>
        <v>9</v>
      </c>
      <c r="AZ56" s="121">
        <f>[9]人員・時間計画!$J13</f>
        <v>9</v>
      </c>
      <c r="BA56" s="121">
        <f>[10]人員・時間計画!$J13</f>
        <v>11</v>
      </c>
      <c r="BB56" s="121">
        <f>[11]人員・時間計画!$J13</f>
        <v>15</v>
      </c>
      <c r="BC56" s="114">
        <f>[12]人員・時間計画!$J13</f>
        <v>7</v>
      </c>
      <c r="BD56" s="121">
        <f>[13]人員・時間計画!$J13</f>
        <v>10</v>
      </c>
      <c r="BE56" s="114">
        <f>[14]人員・時間計画!$J13</f>
        <v>8</v>
      </c>
      <c r="BF56" s="121">
        <f>[15]人員・時間計画!$J13</f>
        <v>13</v>
      </c>
      <c r="BG56" s="121">
        <f>[16]人員・時間計画!$J13</f>
        <v>12</v>
      </c>
      <c r="BH56" s="122">
        <f t="shared" si="189"/>
        <v>94</v>
      </c>
      <c r="BI56" s="122">
        <f t="shared" ref="BI56" si="198">SUM(BI54:BI55)</f>
        <v>94</v>
      </c>
      <c r="BJ56" s="121">
        <f>[44]人員・時間計画!$J13</f>
        <v>12</v>
      </c>
      <c r="BK56" s="121">
        <f>[45]人員・時間計画!$J13</f>
        <v>47</v>
      </c>
      <c r="BL56" s="122">
        <f>SUM(BL54:BL55)</f>
        <v>59</v>
      </c>
      <c r="BM56" s="121">
        <f>[46]人員・時間計画!$J13</f>
        <v>17</v>
      </c>
      <c r="BN56" s="121">
        <f>[47]人員・時間計画!$J13</f>
        <v>4</v>
      </c>
      <c r="BO56" s="121">
        <f>[48]人員・時間計画!$J13</f>
        <v>6</v>
      </c>
      <c r="BP56" s="121">
        <f>[49]人員・時間計画!$J13</f>
        <v>8</v>
      </c>
      <c r="BQ56" s="121">
        <f>[50]人員・時間計画!$J13</f>
        <v>4</v>
      </c>
      <c r="BR56" s="122">
        <f t="shared" si="192"/>
        <v>39</v>
      </c>
      <c r="BS56" s="121">
        <f>[51]人員・時間計画!$J13</f>
        <v>17</v>
      </c>
      <c r="BT56" s="121">
        <f>[52]人員・時間計画!$J13</f>
        <v>16</v>
      </c>
      <c r="BU56" s="121">
        <f>[53]人員・時間計画!$J13</f>
        <v>14</v>
      </c>
      <c r="BV56" s="121">
        <f>[54]人員・時間計画!$J13</f>
        <v>6</v>
      </c>
      <c r="BW56" s="121">
        <f>[55]人員・時間計画!$J13</f>
        <v>70</v>
      </c>
      <c r="BX56" s="122">
        <f t="shared" si="193"/>
        <v>123</v>
      </c>
      <c r="BY56" s="121">
        <f>[56]人員・時間計画!$J13</f>
        <v>12</v>
      </c>
      <c r="BZ56" s="121">
        <f>[57]人員・時間計画!$J13</f>
        <v>8</v>
      </c>
      <c r="CA56" s="121">
        <f>[59]人員・時間計画!$J13</f>
        <v>17</v>
      </c>
      <c r="CB56" s="122">
        <f>SUM(CB54:CB55)</f>
        <v>37</v>
      </c>
      <c r="CC56" s="121">
        <f>[58]人員・時間計画!$J13</f>
        <v>14</v>
      </c>
      <c r="CD56" s="122">
        <f>SUM(CD54:CD55)</f>
        <v>14</v>
      </c>
      <c r="CE56" s="122">
        <f>CD56+CB56+BX56+BR56+BL56+BI56+AX56+AK56</f>
        <v>6952</v>
      </c>
    </row>
    <row r="57" spans="1:83" ht="15" thickBot="1">
      <c r="A57" s="112">
        <v>11</v>
      </c>
      <c r="B57" s="123" t="s">
        <v>196</v>
      </c>
      <c r="C57" s="124">
        <f>[1]人員・時間計画!$J$14</f>
        <v>1844</v>
      </c>
      <c r="D57" s="124">
        <f>[2]人員・時間計画!$J14</f>
        <v>1877</v>
      </c>
      <c r="E57" s="124">
        <f>[3]人員・時間計画!$J14</f>
        <v>1158</v>
      </c>
      <c r="F57" s="124">
        <f>[4]人員・時間計画!$J14</f>
        <v>0</v>
      </c>
      <c r="G57" s="124">
        <f>[17]人員・時間計画!$J14</f>
        <v>28</v>
      </c>
      <c r="H57" s="125">
        <f>H56+H53</f>
        <v>4907</v>
      </c>
      <c r="I57" s="124">
        <f>[5]人員・時間計画!$J14</f>
        <v>337</v>
      </c>
      <c r="J57" s="124">
        <f>[18]人員・時間計画!$J14</f>
        <v>25</v>
      </c>
      <c r="K57" s="114">
        <f>[19]人員・時間計画!$J14</f>
        <v>9</v>
      </c>
      <c r="L57" s="114">
        <f>[20]人員・時間計画!$J14</f>
        <v>27</v>
      </c>
      <c r="M57" s="125">
        <f>M56+M53</f>
        <v>398</v>
      </c>
      <c r="N57" s="124">
        <f>[6]人員・時間計画!$J14</f>
        <v>142</v>
      </c>
      <c r="O57" s="124">
        <f>'[21]Kế hoạch số người - thời gian'!$J14</f>
        <v>34</v>
      </c>
      <c r="P57" s="124">
        <f>[22]人員・時間計画!$J14</f>
        <v>9</v>
      </c>
      <c r="Q57" s="124">
        <f>[23]人員・時間計画!$J14</f>
        <v>25</v>
      </c>
      <c r="R57" s="125">
        <f>R56+R53</f>
        <v>210</v>
      </c>
      <c r="S57" s="124">
        <f>'[7]人員・時間計画 '!$J14</f>
        <v>47</v>
      </c>
      <c r="T57" s="125">
        <f>T56+T53</f>
        <v>47</v>
      </c>
      <c r="U57" s="124">
        <f>[26]人員・時間計画!$J14</f>
        <v>11</v>
      </c>
      <c r="V57" s="124">
        <f>[27]人員・時間計画!$J14</f>
        <v>6</v>
      </c>
      <c r="W57" s="124">
        <f>[28]人員・時間計画!$J14</f>
        <v>17</v>
      </c>
      <c r="X57" s="124">
        <f>[29]人員・時間計画!$J14</f>
        <v>3</v>
      </c>
      <c r="Y57" s="125">
        <f>Y56+Y53</f>
        <v>37</v>
      </c>
      <c r="Z57" s="124">
        <f>[30]人員・時間計画!$J14</f>
        <v>370</v>
      </c>
      <c r="AA57" s="124">
        <f>[60]人員・時間計画!$J14</f>
        <v>61</v>
      </c>
      <c r="AB57" s="124">
        <f>[31]人員・時間計画!$J14</f>
        <v>18</v>
      </c>
      <c r="AC57" s="125">
        <f t="shared" ref="AC57" si="199">AC56+AC53</f>
        <v>449</v>
      </c>
      <c r="AD57" s="124">
        <f>[24]人員・時間計画!$J14</f>
        <v>202</v>
      </c>
      <c r="AE57" s="124">
        <f>[25]人員・時間計画!$J14</f>
        <v>9</v>
      </c>
      <c r="AF57" s="125">
        <f>AF56+AF53</f>
        <v>211</v>
      </c>
      <c r="AG57" s="124">
        <f>[37]人員・時間計画!$J14</f>
        <v>104</v>
      </c>
      <c r="AH57" s="124">
        <f>[38]人員・時間計画!$J14</f>
        <v>47</v>
      </c>
      <c r="AI57" s="124">
        <f>[39]人員・時間計画!$J14</f>
        <v>38</v>
      </c>
      <c r="AJ57" s="125">
        <f t="shared" ref="AJ57" si="200">AJ56+AJ53</f>
        <v>189</v>
      </c>
      <c r="AK57" s="125">
        <f t="shared" si="184"/>
        <v>6448</v>
      </c>
      <c r="AL57" s="124">
        <f>[32]人員・時間計画!$J14</f>
        <v>15</v>
      </c>
      <c r="AM57" s="124">
        <f>[33]人員・時間計画!J14</f>
        <v>23</v>
      </c>
      <c r="AN57" s="124">
        <f>[34]人員・時間計画!$J14</f>
        <v>13</v>
      </c>
      <c r="AO57" s="114">
        <f>[35]人員・時間計画!$J14</f>
        <v>9</v>
      </c>
      <c r="AP57" s="124">
        <f>[36]人員・時間計画!$J14</f>
        <v>19</v>
      </c>
      <c r="AQ57" s="125">
        <f>AQ56+AQ53</f>
        <v>79</v>
      </c>
      <c r="AR57" s="124">
        <f>[41]人員・時間計画!$J14</f>
        <v>18</v>
      </c>
      <c r="AS57" s="124">
        <f>[42]人員・時間計画!$J14</f>
        <v>14</v>
      </c>
      <c r="AT57" s="124">
        <f>[43]人員・時間計画!$J14</f>
        <v>23</v>
      </c>
      <c r="AU57" s="125">
        <f>AU56+AU53</f>
        <v>55</v>
      </c>
      <c r="AV57" s="124">
        <f>[40]人員・時間計画!$J14</f>
        <v>25</v>
      </c>
      <c r="AW57" s="125">
        <f>AW56+AW53</f>
        <v>25</v>
      </c>
      <c r="AX57" s="125">
        <f t="shared" si="188"/>
        <v>159</v>
      </c>
      <c r="AY57" s="124">
        <f>[8]人員・時間計画!$J14</f>
        <v>9</v>
      </c>
      <c r="AZ57" s="124">
        <f>[9]人員・時間計画!$J14</f>
        <v>20</v>
      </c>
      <c r="BA57" s="124">
        <f>[10]人員・時間計画!$J14</f>
        <v>12</v>
      </c>
      <c r="BB57" s="124">
        <f>[11]人員・時間計画!$J14</f>
        <v>16</v>
      </c>
      <c r="BC57" s="114">
        <f>[12]人員・時間計画!$J14</f>
        <v>8</v>
      </c>
      <c r="BD57" s="124">
        <f>[13]人員・時間計画!$J14</f>
        <v>10</v>
      </c>
      <c r="BE57" s="114">
        <f>[14]人員・時間計画!$J14</f>
        <v>9</v>
      </c>
      <c r="BF57" s="124">
        <f>[15]人員・時間計画!$J14</f>
        <v>15</v>
      </c>
      <c r="BG57" s="124">
        <f>[16]人員・時間計画!$J14</f>
        <v>12</v>
      </c>
      <c r="BH57" s="125">
        <f t="shared" si="189"/>
        <v>111</v>
      </c>
      <c r="BI57" s="125">
        <f t="shared" ref="BI57" si="201">BI56+BI53</f>
        <v>111</v>
      </c>
      <c r="BJ57" s="124">
        <f>[44]人員・時間計画!$J14</f>
        <v>14</v>
      </c>
      <c r="BK57" s="124">
        <f>[45]人員・時間計画!$J14</f>
        <v>47</v>
      </c>
      <c r="BL57" s="125">
        <f>BL56+BL53</f>
        <v>61</v>
      </c>
      <c r="BM57" s="124">
        <f>[46]人員・時間計画!$J14</f>
        <v>18</v>
      </c>
      <c r="BN57" s="124">
        <f>[47]人員・時間計画!$J14</f>
        <v>5</v>
      </c>
      <c r="BO57" s="124">
        <f>[48]人員・時間計画!$J14</f>
        <v>7</v>
      </c>
      <c r="BP57" s="124">
        <f>[49]人員・時間計画!$J14</f>
        <v>8</v>
      </c>
      <c r="BQ57" s="124">
        <f>[50]人員・時間計画!$J14</f>
        <v>6</v>
      </c>
      <c r="BR57" s="125">
        <f t="shared" si="192"/>
        <v>44</v>
      </c>
      <c r="BS57" s="124">
        <f>[51]人員・時間計画!$J14</f>
        <v>18</v>
      </c>
      <c r="BT57" s="124">
        <f>[52]人員・時間計画!$J14</f>
        <v>17</v>
      </c>
      <c r="BU57" s="124">
        <f>[53]人員・時間計画!$J14</f>
        <v>14</v>
      </c>
      <c r="BV57" s="124">
        <f>[54]人員・時間計画!$J14</f>
        <v>7</v>
      </c>
      <c r="BW57" s="124">
        <f>[55]人員・時間計画!$J14</f>
        <v>70</v>
      </c>
      <c r="BX57" s="125">
        <f t="shared" si="193"/>
        <v>126</v>
      </c>
      <c r="BY57" s="124">
        <f>[56]人員・時間計画!$J14</f>
        <v>12</v>
      </c>
      <c r="BZ57" s="124">
        <f>[57]人員・時間計画!$J14</f>
        <v>9</v>
      </c>
      <c r="CA57" s="124">
        <f>[59]人員・時間計画!$J14</f>
        <v>18</v>
      </c>
      <c r="CB57" s="125">
        <f>CB56+CB53</f>
        <v>39</v>
      </c>
      <c r="CC57" s="124">
        <f>[58]人員・時間計画!$J14</f>
        <v>15</v>
      </c>
      <c r="CD57" s="125">
        <f>CD56+CD53</f>
        <v>15</v>
      </c>
      <c r="CE57" s="125">
        <f>CD57+CB57+BX57+BR57+BL57+BI57+AX57+AK57</f>
        <v>7003</v>
      </c>
    </row>
    <row r="58" spans="1:83">
      <c r="A58" s="126"/>
      <c r="B58" s="127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  <c r="BP58" s="128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</row>
    <row r="59" spans="1:83" ht="21.5" thickBot="1">
      <c r="A59" s="109">
        <v>12</v>
      </c>
      <c r="B59" s="110" t="s">
        <v>3</v>
      </c>
      <c r="C59" s="129"/>
      <c r="D59" s="129"/>
      <c r="E59" s="129"/>
      <c r="F59" s="129"/>
      <c r="G59" s="129"/>
      <c r="H59" s="130"/>
      <c r="I59" s="129"/>
      <c r="J59" s="129"/>
      <c r="K59" s="129"/>
      <c r="L59" s="129"/>
      <c r="M59" s="130"/>
      <c r="N59" s="129"/>
      <c r="O59" s="129"/>
      <c r="P59" s="130"/>
      <c r="Q59" s="130"/>
      <c r="R59" s="130"/>
      <c r="S59" s="129"/>
      <c r="T59" s="130"/>
      <c r="U59" s="129"/>
      <c r="V59" s="129"/>
      <c r="W59" s="129"/>
      <c r="X59" s="129"/>
      <c r="Y59" s="130"/>
      <c r="Z59" s="129"/>
      <c r="AA59" s="129"/>
      <c r="AB59" s="129"/>
      <c r="AC59" s="130"/>
      <c r="AD59" s="129"/>
      <c r="AE59" s="129"/>
      <c r="AF59" s="130"/>
      <c r="AG59" s="129"/>
      <c r="AH59" s="129"/>
      <c r="AI59" s="129"/>
      <c r="AJ59" s="130"/>
      <c r="AK59" s="130"/>
      <c r="AL59" s="129"/>
      <c r="AM59" s="129"/>
      <c r="AN59" s="129"/>
      <c r="AO59" s="129"/>
      <c r="AP59" s="129"/>
      <c r="AQ59" s="130"/>
      <c r="AR59" s="129"/>
      <c r="AS59" s="129"/>
      <c r="AT59" s="129"/>
      <c r="AU59" s="130"/>
      <c r="AV59" s="130"/>
      <c r="AW59" s="130"/>
      <c r="AX59" s="130"/>
      <c r="AY59" s="129"/>
      <c r="AZ59" s="129"/>
      <c r="BA59" s="129"/>
      <c r="BB59" s="129"/>
      <c r="BC59" s="129"/>
      <c r="BD59" s="129"/>
      <c r="BE59" s="129"/>
      <c r="BF59" s="129"/>
      <c r="BG59" s="129"/>
      <c r="BH59" s="130"/>
      <c r="BI59" s="130"/>
      <c r="BJ59" s="129"/>
      <c r="BK59" s="129"/>
      <c r="BL59" s="130"/>
      <c r="BM59" s="129"/>
      <c r="BN59" s="129"/>
      <c r="BO59" s="129"/>
      <c r="BP59" s="129"/>
      <c r="BQ59" s="129"/>
      <c r="BR59" s="130"/>
      <c r="BS59" s="129"/>
      <c r="BT59" s="129"/>
      <c r="BU59" s="129"/>
      <c r="BV59" s="129"/>
      <c r="BW59" s="129"/>
      <c r="BX59" s="130"/>
      <c r="BY59" s="129"/>
      <c r="BZ59" s="129"/>
      <c r="CA59" s="129"/>
      <c r="CB59" s="130"/>
      <c r="CC59" s="129"/>
      <c r="CD59" s="130"/>
      <c r="CE59" s="131"/>
    </row>
    <row r="60" spans="1:83" ht="15" thickBot="1">
      <c r="A60" s="112">
        <v>12</v>
      </c>
      <c r="B60" s="113" t="s">
        <v>194</v>
      </c>
      <c r="C60" s="114">
        <f>[1]人員・時間計画!$K$10</f>
        <v>2</v>
      </c>
      <c r="D60" s="114">
        <f>[2]人員・時間計画!$K10</f>
        <v>0</v>
      </c>
      <c r="E60" s="114">
        <f>[3]人員・時間計画!$K10</f>
        <v>0</v>
      </c>
      <c r="F60" s="114">
        <f>[4]人員・時間計画!$K10</f>
        <v>0</v>
      </c>
      <c r="G60" s="114">
        <f>[17]人員・時間計画!$K10</f>
        <v>0</v>
      </c>
      <c r="H60" s="115">
        <f>SUM(C60:G60)</f>
        <v>2</v>
      </c>
      <c r="I60" s="114">
        <f>[5]人員・時間計画!$K10</f>
        <v>1</v>
      </c>
      <c r="J60" s="114">
        <f>[18]人員・時間計画!$K10</f>
        <v>0</v>
      </c>
      <c r="K60" s="114">
        <f>[19]人員・時間計画!$K10</f>
        <v>0</v>
      </c>
      <c r="L60" s="114">
        <f>[20]人員・時間計画!$K10</f>
        <v>0</v>
      </c>
      <c r="M60" s="115">
        <f>SUM(I60:L60)</f>
        <v>1</v>
      </c>
      <c r="N60" s="114">
        <f>[6]人員・時間計画!$K10</f>
        <v>1</v>
      </c>
      <c r="O60" s="114">
        <f>'[21]Kế hoạch số người - thời gian'!$K10</f>
        <v>2</v>
      </c>
      <c r="P60" s="114">
        <f>[22]人員・時間計画!$K10</f>
        <v>0</v>
      </c>
      <c r="Q60" s="114">
        <f>[23]人員・時間計画!$K10</f>
        <v>0</v>
      </c>
      <c r="R60" s="115">
        <f>SUM(N60:Q60)</f>
        <v>3</v>
      </c>
      <c r="S60" s="114">
        <f>'[7]人員・時間計画 '!$K10</f>
        <v>2</v>
      </c>
      <c r="T60" s="115">
        <f>S60</f>
        <v>2</v>
      </c>
      <c r="U60" s="114">
        <f>[26]人員・時間計画!$K10</f>
        <v>1</v>
      </c>
      <c r="V60" s="114">
        <f>[27]人員・時間計画!$K10</f>
        <v>0</v>
      </c>
      <c r="W60" s="114">
        <f>[28]人員・時間計画!$K10</f>
        <v>0</v>
      </c>
      <c r="X60" s="114">
        <f>[29]人員・時間計画!$K10</f>
        <v>0</v>
      </c>
      <c r="Y60" s="115">
        <f>SUM(U60:X60)</f>
        <v>1</v>
      </c>
      <c r="Z60" s="114">
        <f>[30]人員・時間計画!$K10</f>
        <v>0</v>
      </c>
      <c r="AA60" s="114">
        <f>[60]人員・時間計画!$K10</f>
        <v>0</v>
      </c>
      <c r="AB60" s="114">
        <f>[31]人員・時間計画!$K10</f>
        <v>1</v>
      </c>
      <c r="AC60" s="115">
        <f>SUM(Z60:AB60)</f>
        <v>1</v>
      </c>
      <c r="AD60" s="114">
        <f>[24]人員・時間計画!$K10</f>
        <v>2</v>
      </c>
      <c r="AE60" s="114">
        <f>[25]人員・時間計画!$K10</f>
        <v>0</v>
      </c>
      <c r="AF60" s="115">
        <f>SUM(AD60:AE60)</f>
        <v>2</v>
      </c>
      <c r="AG60" s="114">
        <f>[37]人員・時間計画!$K10</f>
        <v>0</v>
      </c>
      <c r="AH60" s="114">
        <f>[38]人員・時間計画!$K10</f>
        <v>0</v>
      </c>
      <c r="AI60" s="114">
        <f>[39]人員・時間計画!$K10</f>
        <v>2</v>
      </c>
      <c r="AJ60" s="115">
        <f>SUM(AG60:AI60)</f>
        <v>2</v>
      </c>
      <c r="AK60" s="115">
        <f>AJ60+AF60+AC60+Y60+T60+R60+M60+H60</f>
        <v>14</v>
      </c>
      <c r="AL60" s="114">
        <f>[32]人員・時間計画!$K10</f>
        <v>0</v>
      </c>
      <c r="AM60" s="114">
        <f>[33]人員・時間計画!K10</f>
        <v>2</v>
      </c>
      <c r="AN60" s="114">
        <f>[34]人員・時間計画!$K10</f>
        <v>0</v>
      </c>
      <c r="AO60" s="114">
        <f>[35]人員・時間計画!$K10</f>
        <v>0</v>
      </c>
      <c r="AP60" s="114">
        <f>[36]人員・時間計画!$K10</f>
        <v>1</v>
      </c>
      <c r="AQ60" s="115">
        <f>SUM(AL60:AP60)</f>
        <v>3</v>
      </c>
      <c r="AR60" s="114">
        <f>[41]人員・時間計画!$K10</f>
        <v>1</v>
      </c>
      <c r="AS60" s="114">
        <f>[42]人員・時間計画!$K10</f>
        <v>1</v>
      </c>
      <c r="AT60" s="114">
        <f>[43]人員・時間計画!$K10</f>
        <v>0</v>
      </c>
      <c r="AU60" s="115">
        <f>SUM(AR60:AT60)</f>
        <v>2</v>
      </c>
      <c r="AV60" s="114">
        <f>[40]人員・時間計画!$K10</f>
        <v>2</v>
      </c>
      <c r="AW60" s="115">
        <f>AV60</f>
        <v>2</v>
      </c>
      <c r="AX60" s="115">
        <f>AQ60+AU60+AW60</f>
        <v>7</v>
      </c>
      <c r="AY60" s="114">
        <f>[8]人員・時間計画!$K10</f>
        <v>0</v>
      </c>
      <c r="AZ60" s="114">
        <f>[9]人員・時間計画!$K10</f>
        <v>11</v>
      </c>
      <c r="BA60" s="114">
        <f>[10]人員・時間計画!$K10</f>
        <v>1</v>
      </c>
      <c r="BB60" s="114">
        <f>[11]人員・時間計画!$K10</f>
        <v>1</v>
      </c>
      <c r="BC60" s="114">
        <f>[12]人員・時間計画!$K10</f>
        <v>1</v>
      </c>
      <c r="BD60" s="114">
        <f>[13]人員・時間計画!$K10</f>
        <v>0</v>
      </c>
      <c r="BE60" s="114">
        <f>[14]人員・時間計画!$K10</f>
        <v>1</v>
      </c>
      <c r="BF60" s="114">
        <f>[15]人員・時間計画!$K10</f>
        <v>2</v>
      </c>
      <c r="BG60" s="114">
        <f>[16]人員・時間計画!$K10</f>
        <v>0</v>
      </c>
      <c r="BH60" s="115">
        <f>SUM(AY60:BG60)</f>
        <v>17</v>
      </c>
      <c r="BI60" s="115">
        <f>BH60</f>
        <v>17</v>
      </c>
      <c r="BJ60" s="114">
        <f>[44]人員・時間計画!$K10</f>
        <v>2</v>
      </c>
      <c r="BK60" s="114">
        <f>[45]人員・時間計画!$K10</f>
        <v>0</v>
      </c>
      <c r="BL60" s="115">
        <f>SUM(BJ60:BK60)</f>
        <v>2</v>
      </c>
      <c r="BM60" s="114">
        <f>[46]人員・時間計画!K10</f>
        <v>1</v>
      </c>
      <c r="BN60" s="114">
        <f>[47]人員・時間計画!K10</f>
        <v>1</v>
      </c>
      <c r="BO60" s="114">
        <f>[48]人員・時間計画!$K10</f>
        <v>1</v>
      </c>
      <c r="BP60" s="114">
        <f>[49]人員・時間計画!$K10</f>
        <v>0</v>
      </c>
      <c r="BQ60" s="114">
        <f>[50]人員・時間計画!$K10</f>
        <v>2</v>
      </c>
      <c r="BR60" s="115">
        <f>SUM(BM60:BQ60)</f>
        <v>5</v>
      </c>
      <c r="BS60" s="114">
        <f>[51]人員・時間計画!$K10</f>
        <v>1</v>
      </c>
      <c r="BT60" s="114">
        <f>[52]人員・時間計画!$K10</f>
        <v>1</v>
      </c>
      <c r="BU60" s="114">
        <f>[53]人員・時間計画!$K10</f>
        <v>0</v>
      </c>
      <c r="BV60" s="114">
        <f>[54]人員・時間計画!$K10</f>
        <v>1</v>
      </c>
      <c r="BW60" s="114">
        <f>[55]人員・時間計画!$K10</f>
        <v>0</v>
      </c>
      <c r="BX60" s="115">
        <f>SUM(BS60:BW60)</f>
        <v>3</v>
      </c>
      <c r="BY60" s="114">
        <f>[56]人員・時間計画!$K10</f>
        <v>0</v>
      </c>
      <c r="BZ60" s="114">
        <f>[57]人員・時間計画!$K10</f>
        <v>1</v>
      </c>
      <c r="CA60" s="114">
        <f>[59]人員・時間計画!$K10</f>
        <v>1</v>
      </c>
      <c r="CB60" s="115">
        <f>SUM(BY60:CA60)</f>
        <v>2</v>
      </c>
      <c r="CC60" s="114">
        <f>[58]人員・時間計画!$K10</f>
        <v>1</v>
      </c>
      <c r="CD60" s="115">
        <f>CC60</f>
        <v>1</v>
      </c>
      <c r="CE60" s="115">
        <f>CD60+CB60+BX60+BR60+BL60+BI60+AX60+AK60</f>
        <v>51</v>
      </c>
    </row>
    <row r="61" spans="1:83">
      <c r="A61" s="112">
        <v>12</v>
      </c>
      <c r="B61" s="116" t="s">
        <v>139</v>
      </c>
      <c r="C61" s="132">
        <f>[1]人員・時間計画!$K$11</f>
        <v>85</v>
      </c>
      <c r="D61" s="132">
        <f>[2]人員・時間計画!$K11</f>
        <v>116</v>
      </c>
      <c r="E61" s="132">
        <f>[3]人員・時間計画!$K11</f>
        <v>90</v>
      </c>
      <c r="F61" s="132">
        <f>[4]人員・時間計画!$K11</f>
        <v>0</v>
      </c>
      <c r="G61" s="132">
        <f>[17]人員・時間計画!$K11</f>
        <v>21</v>
      </c>
      <c r="H61" s="115">
        <f t="shared" ref="H61:H62" si="202">SUM(C61:G61)</f>
        <v>312</v>
      </c>
      <c r="I61" s="132">
        <f>[5]人員・時間計画!$K11</f>
        <v>22</v>
      </c>
      <c r="J61" s="132">
        <f>[18]人員・時間計画!$K11</f>
        <v>14</v>
      </c>
      <c r="K61" s="114">
        <f>[19]人員・時間計画!$K11</f>
        <v>5</v>
      </c>
      <c r="L61" s="114">
        <f>[20]人員・時間計画!$K11</f>
        <v>11</v>
      </c>
      <c r="M61" s="115">
        <f t="shared" ref="M61:M62" si="203">SUM(I61:L61)</f>
        <v>52</v>
      </c>
      <c r="N61" s="132">
        <f>[6]人員・時間計画!$K11</f>
        <v>16</v>
      </c>
      <c r="O61" s="132">
        <f>'[21]Kế hoạch số người - thời gian'!$K11</f>
        <v>23</v>
      </c>
      <c r="P61" s="114">
        <f>[22]人員・時間計画!$K11</f>
        <v>9</v>
      </c>
      <c r="Q61" s="114">
        <f>[23]人員・時間計画!$K11</f>
        <v>12</v>
      </c>
      <c r="R61" s="115">
        <f>SUM(N61:Q61)</f>
        <v>60</v>
      </c>
      <c r="S61" s="114">
        <f>'[7]人員・時間計画 '!$K11</f>
        <v>15</v>
      </c>
      <c r="T61" s="115">
        <f t="shared" ref="T61:T62" si="204">S61</f>
        <v>15</v>
      </c>
      <c r="U61" s="132">
        <f>[26]人員・時間計画!$K11</f>
        <v>10</v>
      </c>
      <c r="V61" s="132">
        <f>[27]人員・時間計画!$K11</f>
        <v>6</v>
      </c>
      <c r="W61" s="132">
        <f>[28]人員・時間計画!$K11</f>
        <v>16</v>
      </c>
      <c r="X61" s="132">
        <f>[29]人員・時間計画!$K11</f>
        <v>3</v>
      </c>
      <c r="Y61" s="115">
        <f t="shared" ref="Y61:Y62" si="205">SUM(U61:X61)</f>
        <v>35</v>
      </c>
      <c r="Z61" s="132">
        <f>[30]人員・時間計画!$K11</f>
        <v>38</v>
      </c>
      <c r="AA61" s="132">
        <f>[60]人員・時間計画!$K11</f>
        <v>11</v>
      </c>
      <c r="AB61" s="132">
        <f>[31]人員・時間計画!$K11</f>
        <v>12</v>
      </c>
      <c r="AC61" s="115">
        <f t="shared" ref="AC61:AC62" si="206">SUM(Z61:AB61)</f>
        <v>61</v>
      </c>
      <c r="AD61" s="132">
        <f>[24]人員・時間計画!$K11</f>
        <v>103</v>
      </c>
      <c r="AE61" s="132">
        <f>[25]人員・時間計画!$K11</f>
        <v>7</v>
      </c>
      <c r="AF61" s="115">
        <f t="shared" ref="AF61:AF62" si="207">SUM(AD61:AE61)</f>
        <v>110</v>
      </c>
      <c r="AG61" s="132">
        <f>[37]人員・時間計画!$K11</f>
        <v>25</v>
      </c>
      <c r="AH61" s="132">
        <f>[38]人員・時間計画!$K11</f>
        <v>23</v>
      </c>
      <c r="AI61" s="132">
        <f>[39]人員・時間計画!$K11</f>
        <v>32</v>
      </c>
      <c r="AJ61" s="115">
        <f t="shared" ref="AJ61:AJ62" si="208">SUM(AG61:AI61)</f>
        <v>80</v>
      </c>
      <c r="AK61" s="115">
        <f t="shared" ref="AK61:AK64" si="209">AJ61+AF61+AC61+Y61+T61+R61+M61+H61</f>
        <v>725</v>
      </c>
      <c r="AL61" s="132">
        <f>[32]人員・時間計画!$K11</f>
        <v>15</v>
      </c>
      <c r="AM61" s="132">
        <f>[33]人員・時間計画!K11</f>
        <v>21</v>
      </c>
      <c r="AN61" s="132">
        <f>[34]人員・時間計画!$K11</f>
        <v>13</v>
      </c>
      <c r="AO61" s="114">
        <f>[35]人員・時間計画!$K11</f>
        <v>9</v>
      </c>
      <c r="AP61" s="132">
        <f>[36]人員・時間計画!$K11</f>
        <v>18</v>
      </c>
      <c r="AQ61" s="115">
        <f t="shared" ref="AQ61:AQ62" si="210">SUM(AL61:AP61)</f>
        <v>76</v>
      </c>
      <c r="AR61" s="132">
        <f>[41]人員・時間計画!$K11</f>
        <v>17</v>
      </c>
      <c r="AS61" s="132">
        <f>[42]人員・時間計画!$K11</f>
        <v>13</v>
      </c>
      <c r="AT61" s="132">
        <f>[43]人員・時間計画!$K11</f>
        <v>23</v>
      </c>
      <c r="AU61" s="115">
        <f t="shared" ref="AU61:AU62" si="211">SUM(AR61:AT61)</f>
        <v>53</v>
      </c>
      <c r="AV61" s="114">
        <f>[40]人員・時間計画!$K11</f>
        <v>23</v>
      </c>
      <c r="AW61" s="115">
        <f t="shared" ref="AW61:AW62" si="212">AV61</f>
        <v>23</v>
      </c>
      <c r="AX61" s="115">
        <f t="shared" ref="AX61:AX64" si="213">AQ61+AU61+AW61</f>
        <v>152</v>
      </c>
      <c r="AY61" s="132">
        <f>[8]人員・時間計画!$K11</f>
        <v>9</v>
      </c>
      <c r="AZ61" s="132">
        <f>[9]人員・時間計画!$K11</f>
        <v>9</v>
      </c>
      <c r="BA61" s="132">
        <f>[10]人員・時間計画!$K11</f>
        <v>11</v>
      </c>
      <c r="BB61" s="132">
        <f>[11]人員・時間計画!$K11</f>
        <v>15</v>
      </c>
      <c r="BC61" s="114">
        <f>[12]人員・時間計画!$K11</f>
        <v>7</v>
      </c>
      <c r="BD61" s="132">
        <f>[13]人員・時間計画!$K11</f>
        <v>10</v>
      </c>
      <c r="BE61" s="114">
        <f>[14]人員・時間計画!$K11</f>
        <v>8</v>
      </c>
      <c r="BF61" s="132">
        <f>[15]人員・時間計画!$K11</f>
        <v>13</v>
      </c>
      <c r="BG61" s="132">
        <f>[16]人員・時間計画!$K11</f>
        <v>12</v>
      </c>
      <c r="BH61" s="115">
        <f t="shared" ref="BH61:BH64" si="214">SUM(AY61:BG61)</f>
        <v>94</v>
      </c>
      <c r="BI61" s="115">
        <f t="shared" ref="BI61:BI62" si="215">BH61</f>
        <v>94</v>
      </c>
      <c r="BJ61" s="132">
        <f>[44]人員・時間計画!$K11</f>
        <v>11</v>
      </c>
      <c r="BK61" s="132">
        <f>[45]人員・時間計画!$K11</f>
        <v>14</v>
      </c>
      <c r="BL61" s="115">
        <f t="shared" ref="BL61:BL62" si="216">SUM(BJ61:BK61)</f>
        <v>25</v>
      </c>
      <c r="BM61" s="132">
        <f>[46]人員・時間計画!K11</f>
        <v>17</v>
      </c>
      <c r="BN61" s="132">
        <f>[47]人員・時間計画!K11</f>
        <v>4</v>
      </c>
      <c r="BO61" s="132">
        <f>[48]人員・時間計画!$K11</f>
        <v>6</v>
      </c>
      <c r="BP61" s="132">
        <f>[49]人員・時間計画!$K11</f>
        <v>8</v>
      </c>
      <c r="BQ61" s="132">
        <f>[50]人員・時間計画!$K11</f>
        <v>4</v>
      </c>
      <c r="BR61" s="115">
        <f t="shared" ref="BR61:BR64" si="217">SUM(BM61:BQ61)</f>
        <v>39</v>
      </c>
      <c r="BS61" s="132">
        <f>[51]人員・時間計画!$K11</f>
        <v>11</v>
      </c>
      <c r="BT61" s="132">
        <f>[52]人員・時間計画!$K11</f>
        <v>16</v>
      </c>
      <c r="BU61" s="132">
        <f>[53]人員・時間計画!$K11</f>
        <v>11</v>
      </c>
      <c r="BV61" s="132">
        <f>[54]人員・時間計画!$K11</f>
        <v>6</v>
      </c>
      <c r="BW61" s="132">
        <f>[55]人員・時間計画!$K11</f>
        <v>3</v>
      </c>
      <c r="BX61" s="115">
        <f t="shared" ref="BX61:BX64" si="218">SUM(BS61:BW61)</f>
        <v>47</v>
      </c>
      <c r="BY61" s="132">
        <f>[56]人員・時間計画!$K11</f>
        <v>12</v>
      </c>
      <c r="BZ61" s="132">
        <f>[57]人員・時間計画!$K11</f>
        <v>8</v>
      </c>
      <c r="CA61" s="132">
        <f>[59]人員・時間計画!$K11</f>
        <v>17</v>
      </c>
      <c r="CB61" s="115">
        <f t="shared" ref="CB61:CB62" si="219">SUM(BY61:CA61)</f>
        <v>37</v>
      </c>
      <c r="CC61" s="132">
        <f>[58]人員・時間計画!$K11</f>
        <v>14</v>
      </c>
      <c r="CD61" s="115">
        <f t="shared" ref="CD61:CD62" si="220">CC61</f>
        <v>14</v>
      </c>
      <c r="CE61" s="115">
        <f>CD61+CB61+BX61+BR61+BL61+BI61+AX61+AK61</f>
        <v>1133</v>
      </c>
    </row>
    <row r="62" spans="1:83">
      <c r="A62" s="112">
        <v>12</v>
      </c>
      <c r="B62" s="117" t="s">
        <v>140</v>
      </c>
      <c r="C62" s="119">
        <f>[1]人員・時間計画!$K$12</f>
        <v>1752</v>
      </c>
      <c r="D62" s="119">
        <f>[2]人員・時間計画!$K12</f>
        <v>1714</v>
      </c>
      <c r="E62" s="119">
        <f>[3]人員・時間計画!$K12</f>
        <v>1061</v>
      </c>
      <c r="F62" s="119">
        <f>[4]人員・時間計画!$K12</f>
        <v>0</v>
      </c>
      <c r="G62" s="119">
        <f>[17]人員・時間計画!$K12</f>
        <v>7</v>
      </c>
      <c r="H62" s="118">
        <f t="shared" si="202"/>
        <v>4534</v>
      </c>
      <c r="I62" s="119">
        <f>[5]人員・時間計画!$K12</f>
        <v>314</v>
      </c>
      <c r="J62" s="119">
        <f>[18]人員・時間計画!$K12</f>
        <v>11</v>
      </c>
      <c r="K62" s="114">
        <f>[19]人員・時間計画!$K12</f>
        <v>3</v>
      </c>
      <c r="L62" s="114">
        <f>[20]人員・時間計画!$K12</f>
        <v>17</v>
      </c>
      <c r="M62" s="118">
        <f t="shared" si="203"/>
        <v>345</v>
      </c>
      <c r="N62" s="119">
        <f>[6]人員・時間計画!$K12</f>
        <v>125</v>
      </c>
      <c r="O62" s="119">
        <f>'[21]Kế hoạch số người - thời gian'!$K12</f>
        <v>9</v>
      </c>
      <c r="P62" s="119">
        <f>[22]人員・時間計画!$K12</f>
        <v>0</v>
      </c>
      <c r="Q62" s="119">
        <f>[23]人員・時間計画!$K12</f>
        <v>13</v>
      </c>
      <c r="R62" s="118">
        <f>SUM(N62:Q62)</f>
        <v>147</v>
      </c>
      <c r="S62" s="119">
        <f>'[7]人員・時間計画 '!$K12</f>
        <v>30</v>
      </c>
      <c r="T62" s="118">
        <f t="shared" si="204"/>
        <v>30</v>
      </c>
      <c r="U62" s="119">
        <f>[26]人員・時間計画!$K12</f>
        <v>0</v>
      </c>
      <c r="V62" s="119">
        <f>[27]人員・時間計画!$K12</f>
        <v>0</v>
      </c>
      <c r="W62" s="119">
        <f>[28]人員・時間計画!$K12</f>
        <v>1</v>
      </c>
      <c r="X62" s="119">
        <f>[29]人員・時間計画!$K12</f>
        <v>0</v>
      </c>
      <c r="Y62" s="118">
        <f t="shared" si="205"/>
        <v>1</v>
      </c>
      <c r="Z62" s="119">
        <f>[30]人員・時間計画!$K12</f>
        <v>330</v>
      </c>
      <c r="AA62" s="119">
        <f>[60]人員・時間計画!$K12</f>
        <v>49</v>
      </c>
      <c r="AB62" s="119">
        <f>[31]人員・時間計画!$K12</f>
        <v>5</v>
      </c>
      <c r="AC62" s="118">
        <f t="shared" si="206"/>
        <v>384</v>
      </c>
      <c r="AD62" s="119">
        <f>[24]人員・時間計画!$K12</f>
        <v>97</v>
      </c>
      <c r="AE62" s="119">
        <f>[25]人員・時間計画!$K12</f>
        <v>2</v>
      </c>
      <c r="AF62" s="118">
        <f t="shared" si="207"/>
        <v>99</v>
      </c>
      <c r="AG62" s="119">
        <f>[37]人員・時間計画!$K12</f>
        <v>79</v>
      </c>
      <c r="AH62" s="119">
        <f>[38]人員・時間計画!$K12</f>
        <v>24</v>
      </c>
      <c r="AI62" s="119">
        <f>[39]人員・時間計画!$K12</f>
        <v>4</v>
      </c>
      <c r="AJ62" s="118">
        <f t="shared" si="208"/>
        <v>107</v>
      </c>
      <c r="AK62" s="118">
        <f t="shared" si="209"/>
        <v>5647</v>
      </c>
      <c r="AL62" s="119">
        <f>[32]人員・時間計画!$K12</f>
        <v>0</v>
      </c>
      <c r="AM62" s="119">
        <f>[33]人員・時間計画!K12</f>
        <v>0</v>
      </c>
      <c r="AN62" s="119">
        <f>[34]人員・時間計画!$K12</f>
        <v>0</v>
      </c>
      <c r="AO62" s="114">
        <f>[35]人員・時間計画!$K12</f>
        <v>0</v>
      </c>
      <c r="AP62" s="119">
        <f>[36]人員・時間計画!$K12</f>
        <v>0</v>
      </c>
      <c r="AQ62" s="118">
        <f t="shared" si="210"/>
        <v>0</v>
      </c>
      <c r="AR62" s="119">
        <f>[41]人員・時間計画!$K12</f>
        <v>0</v>
      </c>
      <c r="AS62" s="119">
        <f>[42]人員・時間計画!$K12</f>
        <v>0</v>
      </c>
      <c r="AT62" s="119">
        <f>[43]人員・時間計画!$K12</f>
        <v>0</v>
      </c>
      <c r="AU62" s="118">
        <f t="shared" si="211"/>
        <v>0</v>
      </c>
      <c r="AV62" s="119">
        <f>[40]人員・時間計画!$K12</f>
        <v>0</v>
      </c>
      <c r="AW62" s="118">
        <f t="shared" si="212"/>
        <v>0</v>
      </c>
      <c r="AX62" s="118">
        <f t="shared" si="213"/>
        <v>0</v>
      </c>
      <c r="AY62" s="119">
        <f>[8]人員・時間計画!$K12</f>
        <v>0</v>
      </c>
      <c r="AZ62" s="119">
        <f>[9]人員・時間計画!$K12</f>
        <v>0</v>
      </c>
      <c r="BA62" s="119">
        <f>[10]人員・時間計画!$K12</f>
        <v>0</v>
      </c>
      <c r="BB62" s="119">
        <f>[11]人員・時間計画!$K12</f>
        <v>0</v>
      </c>
      <c r="BC62" s="114">
        <f>[12]人員・時間計画!$K12</f>
        <v>0</v>
      </c>
      <c r="BD62" s="119">
        <f>[13]人員・時間計画!$K12</f>
        <v>0</v>
      </c>
      <c r="BE62" s="114">
        <f>[14]人員・時間計画!$K12</f>
        <v>0</v>
      </c>
      <c r="BF62" s="119">
        <f>[15]人員・時間計画!$K12</f>
        <v>0</v>
      </c>
      <c r="BG62" s="119">
        <f>[16]人員・時間計画!$K12</f>
        <v>0</v>
      </c>
      <c r="BH62" s="118">
        <f t="shared" si="214"/>
        <v>0</v>
      </c>
      <c r="BI62" s="118">
        <f t="shared" si="215"/>
        <v>0</v>
      </c>
      <c r="BJ62" s="119">
        <f>[44]人員・時間計画!$K12</f>
        <v>1</v>
      </c>
      <c r="BK62" s="119">
        <f>[45]人員・時間計画!$K12</f>
        <v>33</v>
      </c>
      <c r="BL62" s="118">
        <f t="shared" si="216"/>
        <v>34</v>
      </c>
      <c r="BM62" s="119">
        <f>[46]人員・時間計画!K12</f>
        <v>0</v>
      </c>
      <c r="BN62" s="119">
        <f>[47]人員・時間計画!K12</f>
        <v>0</v>
      </c>
      <c r="BO62" s="119">
        <f>[48]人員・時間計画!$K12</f>
        <v>0</v>
      </c>
      <c r="BP62" s="119">
        <f>[49]人員・時間計画!$K12</f>
        <v>0</v>
      </c>
      <c r="BQ62" s="119">
        <f>[50]人員・時間計画!$K12</f>
        <v>0</v>
      </c>
      <c r="BR62" s="118">
        <f t="shared" si="217"/>
        <v>0</v>
      </c>
      <c r="BS62" s="119">
        <f>[51]人員・時間計画!$K12</f>
        <v>6</v>
      </c>
      <c r="BT62" s="119">
        <f>[52]人員・時間計画!$K12</f>
        <v>0</v>
      </c>
      <c r="BU62" s="119">
        <f>[53]人員・時間計画!$K12</f>
        <v>3</v>
      </c>
      <c r="BV62" s="119">
        <f>[54]人員・時間計画!$K12</f>
        <v>0</v>
      </c>
      <c r="BW62" s="119">
        <f>[55]人員・時間計画!$K12</f>
        <v>67</v>
      </c>
      <c r="BX62" s="118">
        <f t="shared" si="218"/>
        <v>76</v>
      </c>
      <c r="BY62" s="119">
        <f>[56]人員・時間計画!$K12</f>
        <v>0</v>
      </c>
      <c r="BZ62" s="119">
        <f>[57]人員・時間計画!$K12</f>
        <v>0</v>
      </c>
      <c r="CA62" s="119">
        <f>[59]人員・時間計画!$K12</f>
        <v>0</v>
      </c>
      <c r="CB62" s="118">
        <f t="shared" si="219"/>
        <v>0</v>
      </c>
      <c r="CC62" s="119">
        <f>[58]人員・時間計画!$K12</f>
        <v>0</v>
      </c>
      <c r="CD62" s="118">
        <f t="shared" si="220"/>
        <v>0</v>
      </c>
      <c r="CE62" s="118">
        <f>CD62+CB62+BX62+BR62+BL62+BI62+AX62+AK62</f>
        <v>5757</v>
      </c>
    </row>
    <row r="63" spans="1:83">
      <c r="A63" s="112">
        <v>12</v>
      </c>
      <c r="B63" s="120" t="s">
        <v>195</v>
      </c>
      <c r="C63" s="121">
        <f>[1]人員・時間計画!$K$13</f>
        <v>1837</v>
      </c>
      <c r="D63" s="121">
        <f>[2]人員・時間計画!$K13</f>
        <v>1830</v>
      </c>
      <c r="E63" s="121">
        <f>[3]人員・時間計画!$K13</f>
        <v>1151</v>
      </c>
      <c r="F63" s="121">
        <f>[4]人員・時間計画!$K13</f>
        <v>0</v>
      </c>
      <c r="G63" s="121">
        <f>[17]人員・時間計画!$K13</f>
        <v>28</v>
      </c>
      <c r="H63" s="122">
        <f>SUM(H61:H62)</f>
        <v>4846</v>
      </c>
      <c r="I63" s="121">
        <f>[5]人員・時間計画!$K13</f>
        <v>336</v>
      </c>
      <c r="J63" s="121">
        <f>[18]人員・時間計画!$K13</f>
        <v>25</v>
      </c>
      <c r="K63" s="114">
        <f>[19]人員・時間計画!$K13</f>
        <v>8</v>
      </c>
      <c r="L63" s="114">
        <f>[20]人員・時間計画!$K13</f>
        <v>28</v>
      </c>
      <c r="M63" s="122">
        <f>SUM(M61:M62)</f>
        <v>397</v>
      </c>
      <c r="N63" s="121">
        <f>[6]人員・時間計画!$K13</f>
        <v>141</v>
      </c>
      <c r="O63" s="121">
        <f>'[21]Kế hoạch số người - thời gian'!$K13</f>
        <v>32</v>
      </c>
      <c r="P63" s="121">
        <f>[22]人員・時間計画!$K13</f>
        <v>9</v>
      </c>
      <c r="Q63" s="121">
        <f>[23]人員・時間計画!$K13</f>
        <v>25</v>
      </c>
      <c r="R63" s="122">
        <f>SUM(R61:R62)</f>
        <v>207</v>
      </c>
      <c r="S63" s="121">
        <f>'[7]人員・時間計画 '!$K13</f>
        <v>45</v>
      </c>
      <c r="T63" s="122">
        <f>SUM(T61:T62)</f>
        <v>45</v>
      </c>
      <c r="U63" s="121">
        <f>[26]人員・時間計画!$K13</f>
        <v>10</v>
      </c>
      <c r="V63" s="121">
        <f>[27]人員・時間計画!$K13</f>
        <v>6</v>
      </c>
      <c r="W63" s="121">
        <f>[28]人員・時間計画!$K13</f>
        <v>17</v>
      </c>
      <c r="X63" s="121">
        <f>[29]人員・時間計画!$K13</f>
        <v>3</v>
      </c>
      <c r="Y63" s="122">
        <f>SUM(Y61:Y62)</f>
        <v>36</v>
      </c>
      <c r="Z63" s="121">
        <f>[30]人員・時間計画!$K13</f>
        <v>368</v>
      </c>
      <c r="AA63" s="121">
        <f>[60]人員・時間計画!$K13</f>
        <v>60</v>
      </c>
      <c r="AB63" s="121">
        <f>[31]人員・時間計画!$K13</f>
        <v>17</v>
      </c>
      <c r="AC63" s="122">
        <f t="shared" ref="AC63" si="221">SUM(AC61:AC62)</f>
        <v>445</v>
      </c>
      <c r="AD63" s="121">
        <f>[24]人員・時間計画!$K13</f>
        <v>200</v>
      </c>
      <c r="AE63" s="121">
        <f>[25]人員・時間計画!$K13</f>
        <v>9</v>
      </c>
      <c r="AF63" s="122">
        <f>SUM(AF61:AF62)</f>
        <v>209</v>
      </c>
      <c r="AG63" s="121">
        <f>[37]人員・時間計画!$K13</f>
        <v>104</v>
      </c>
      <c r="AH63" s="121">
        <f>[38]人員・時間計画!$K13</f>
        <v>47</v>
      </c>
      <c r="AI63" s="121">
        <f>[39]人員・時間計画!$K13</f>
        <v>36</v>
      </c>
      <c r="AJ63" s="122">
        <f t="shared" ref="AJ63" si="222">SUM(AJ61:AJ62)</f>
        <v>187</v>
      </c>
      <c r="AK63" s="122">
        <f t="shared" si="209"/>
        <v>6372</v>
      </c>
      <c r="AL63" s="121">
        <f>[32]人員・時間計画!$K13</f>
        <v>15</v>
      </c>
      <c r="AM63" s="121">
        <f>[33]人員・時間計画!K13</f>
        <v>21</v>
      </c>
      <c r="AN63" s="121">
        <f>[34]人員・時間計画!$K13</f>
        <v>13</v>
      </c>
      <c r="AO63" s="114">
        <f>[35]人員・時間計画!$K13</f>
        <v>9</v>
      </c>
      <c r="AP63" s="121">
        <f>[36]人員・時間計画!$K13</f>
        <v>18</v>
      </c>
      <c r="AQ63" s="122">
        <f>SUM(AQ61:AQ62)</f>
        <v>76</v>
      </c>
      <c r="AR63" s="121">
        <f>[41]人員・時間計画!$K13</f>
        <v>17</v>
      </c>
      <c r="AS63" s="121">
        <f>[42]人員・時間計画!$K13</f>
        <v>13</v>
      </c>
      <c r="AT63" s="121">
        <f>[43]人員・時間計画!$K13</f>
        <v>23</v>
      </c>
      <c r="AU63" s="122">
        <f>SUM(AU61:AU62)</f>
        <v>53</v>
      </c>
      <c r="AV63" s="121">
        <f>[40]人員・時間計画!$K13</f>
        <v>23</v>
      </c>
      <c r="AW63" s="122">
        <f>SUM(AW61:AW62)</f>
        <v>23</v>
      </c>
      <c r="AX63" s="122">
        <f t="shared" si="213"/>
        <v>152</v>
      </c>
      <c r="AY63" s="121">
        <f>[8]人員・時間計画!$K13</f>
        <v>9</v>
      </c>
      <c r="AZ63" s="121">
        <f>[9]人員・時間計画!$K13</f>
        <v>9</v>
      </c>
      <c r="BA63" s="121">
        <f>[10]人員・時間計画!$K13</f>
        <v>11</v>
      </c>
      <c r="BB63" s="121">
        <f>[11]人員・時間計画!$K13</f>
        <v>15</v>
      </c>
      <c r="BC63" s="114">
        <f>[12]人員・時間計画!$K13</f>
        <v>7</v>
      </c>
      <c r="BD63" s="121">
        <f>[13]人員・時間計画!$K13</f>
        <v>10</v>
      </c>
      <c r="BE63" s="114">
        <f>[14]人員・時間計画!$K13</f>
        <v>8</v>
      </c>
      <c r="BF63" s="121">
        <f>[15]人員・時間計画!$K13</f>
        <v>13</v>
      </c>
      <c r="BG63" s="121">
        <f>[16]人員・時間計画!$K13</f>
        <v>12</v>
      </c>
      <c r="BH63" s="122">
        <f t="shared" si="214"/>
        <v>94</v>
      </c>
      <c r="BI63" s="122">
        <f t="shared" ref="BI63" si="223">SUM(BI61:BI62)</f>
        <v>94</v>
      </c>
      <c r="BJ63" s="121">
        <f>[44]人員・時間計画!$K13</f>
        <v>12</v>
      </c>
      <c r="BK63" s="121">
        <f>[45]人員・時間計画!$K13</f>
        <v>47</v>
      </c>
      <c r="BL63" s="122">
        <f>SUM(BL61:BL62)</f>
        <v>59</v>
      </c>
      <c r="BM63" s="121">
        <f>[46]人員・時間計画!K13</f>
        <v>17</v>
      </c>
      <c r="BN63" s="121">
        <f>[47]人員・時間計画!K13</f>
        <v>4</v>
      </c>
      <c r="BO63" s="121">
        <f>[48]人員・時間計画!$K13</f>
        <v>6</v>
      </c>
      <c r="BP63" s="121">
        <f>[49]人員・時間計画!$K13</f>
        <v>8</v>
      </c>
      <c r="BQ63" s="121">
        <f>[50]人員・時間計画!$K13</f>
        <v>4</v>
      </c>
      <c r="BR63" s="122">
        <f t="shared" si="217"/>
        <v>39</v>
      </c>
      <c r="BS63" s="121">
        <f>[51]人員・時間計画!$K13</f>
        <v>17</v>
      </c>
      <c r="BT63" s="121">
        <f>[52]人員・時間計画!$K13</f>
        <v>16</v>
      </c>
      <c r="BU63" s="121">
        <f>[53]人員・時間計画!$K13</f>
        <v>14</v>
      </c>
      <c r="BV63" s="121">
        <f>[54]人員・時間計画!$K13</f>
        <v>6</v>
      </c>
      <c r="BW63" s="121">
        <f>[55]人員・時間計画!$K13</f>
        <v>70</v>
      </c>
      <c r="BX63" s="122">
        <f t="shared" si="218"/>
        <v>123</v>
      </c>
      <c r="BY63" s="121">
        <f>[56]人員・時間計画!$K13</f>
        <v>12</v>
      </c>
      <c r="BZ63" s="121">
        <f>[57]人員・時間計画!$K13</f>
        <v>8</v>
      </c>
      <c r="CA63" s="121">
        <f>[59]人員・時間計画!$K13</f>
        <v>17</v>
      </c>
      <c r="CB63" s="122">
        <f>SUM(CB61:CB62)</f>
        <v>37</v>
      </c>
      <c r="CC63" s="121">
        <f>[58]人員・時間計画!$K13</f>
        <v>14</v>
      </c>
      <c r="CD63" s="122">
        <f>SUM(CD61:CD62)</f>
        <v>14</v>
      </c>
      <c r="CE63" s="122">
        <f>CD63+CB63+BX63+BR63+BL63+BI63+AX63+AK63</f>
        <v>6890</v>
      </c>
    </row>
    <row r="64" spans="1:83" ht="15" thickBot="1">
      <c r="A64" s="112">
        <v>12</v>
      </c>
      <c r="B64" s="123" t="s">
        <v>196</v>
      </c>
      <c r="C64" s="124">
        <f>[1]人員・時間計画!$K$14</f>
        <v>1839</v>
      </c>
      <c r="D64" s="124">
        <f>[2]人員・時間計画!$K14</f>
        <v>1830</v>
      </c>
      <c r="E64" s="124">
        <f>[3]人員・時間計画!$K14</f>
        <v>1151</v>
      </c>
      <c r="F64" s="124">
        <f>[4]人員・時間計画!$K14</f>
        <v>0</v>
      </c>
      <c r="G64" s="124">
        <f>[17]人員・時間計画!$K14</f>
        <v>28</v>
      </c>
      <c r="H64" s="125">
        <f>H63+H60</f>
        <v>4848</v>
      </c>
      <c r="I64" s="124">
        <f>[5]人員・時間計画!$K14</f>
        <v>337</v>
      </c>
      <c r="J64" s="124">
        <f>[18]人員・時間計画!$K14</f>
        <v>25</v>
      </c>
      <c r="K64" s="114">
        <f>[19]人員・時間計画!$K14</f>
        <v>8</v>
      </c>
      <c r="L64" s="114">
        <f>[20]人員・時間計画!$K14</f>
        <v>28</v>
      </c>
      <c r="M64" s="125">
        <f>M63+M60</f>
        <v>398</v>
      </c>
      <c r="N64" s="124">
        <f>[6]人員・時間計画!$K14</f>
        <v>142</v>
      </c>
      <c r="O64" s="124">
        <f>'[21]Kế hoạch số người - thời gian'!$K14</f>
        <v>34</v>
      </c>
      <c r="P64" s="124">
        <f>[22]人員・時間計画!$K14</f>
        <v>9</v>
      </c>
      <c r="Q64" s="124">
        <f>[23]人員・時間計画!$K14</f>
        <v>25</v>
      </c>
      <c r="R64" s="125">
        <f>R63+R60</f>
        <v>210</v>
      </c>
      <c r="S64" s="124">
        <f>'[7]人員・時間計画 '!$K14</f>
        <v>47</v>
      </c>
      <c r="T64" s="125">
        <f>T63+T60</f>
        <v>47</v>
      </c>
      <c r="U64" s="124">
        <f>[26]人員・時間計画!$K14</f>
        <v>11</v>
      </c>
      <c r="V64" s="124">
        <f>[27]人員・時間計画!$K14</f>
        <v>6</v>
      </c>
      <c r="W64" s="124">
        <f>[28]人員・時間計画!$K14</f>
        <v>17</v>
      </c>
      <c r="X64" s="124">
        <f>[29]人員・時間計画!$K14</f>
        <v>3</v>
      </c>
      <c r="Y64" s="125">
        <f>Y63+Y60</f>
        <v>37</v>
      </c>
      <c r="Z64" s="124">
        <f>[30]人員・時間計画!$K14</f>
        <v>368</v>
      </c>
      <c r="AA64" s="124">
        <f>[60]人員・時間計画!$K14</f>
        <v>60</v>
      </c>
      <c r="AB64" s="124">
        <f>[31]人員・時間計画!$K14</f>
        <v>18</v>
      </c>
      <c r="AC64" s="125">
        <f t="shared" ref="AC64" si="224">AC63+AC60</f>
        <v>446</v>
      </c>
      <c r="AD64" s="124">
        <f>[24]人員・時間計画!$K14</f>
        <v>202</v>
      </c>
      <c r="AE64" s="124">
        <f>[25]人員・時間計画!$K14</f>
        <v>9</v>
      </c>
      <c r="AF64" s="125">
        <f>AF63+AF60</f>
        <v>211</v>
      </c>
      <c r="AG64" s="124">
        <f>[37]人員・時間計画!$K14</f>
        <v>104</v>
      </c>
      <c r="AH64" s="124">
        <f>[38]人員・時間計画!$K14</f>
        <v>47</v>
      </c>
      <c r="AI64" s="124">
        <f>[39]人員・時間計画!$K14</f>
        <v>38</v>
      </c>
      <c r="AJ64" s="125">
        <f t="shared" ref="AJ64" si="225">AJ63+AJ60</f>
        <v>189</v>
      </c>
      <c r="AK64" s="125">
        <f t="shared" si="209"/>
        <v>6386</v>
      </c>
      <c r="AL64" s="124">
        <f>[32]人員・時間計画!$K14</f>
        <v>15</v>
      </c>
      <c r="AM64" s="124">
        <f>[33]人員・時間計画!K14</f>
        <v>23</v>
      </c>
      <c r="AN64" s="124">
        <f>[34]人員・時間計画!$K14</f>
        <v>13</v>
      </c>
      <c r="AO64" s="114">
        <f>[35]人員・時間計画!$K14</f>
        <v>9</v>
      </c>
      <c r="AP64" s="124">
        <f>[36]人員・時間計画!$K14</f>
        <v>19</v>
      </c>
      <c r="AQ64" s="125">
        <f>AQ63+AQ60</f>
        <v>79</v>
      </c>
      <c r="AR64" s="124">
        <f>[41]人員・時間計画!$K14</f>
        <v>18</v>
      </c>
      <c r="AS64" s="124">
        <f>[42]人員・時間計画!$K14</f>
        <v>14</v>
      </c>
      <c r="AT64" s="124">
        <f>[43]人員・時間計画!$K14</f>
        <v>23</v>
      </c>
      <c r="AU64" s="125">
        <f>AU63+AU60</f>
        <v>55</v>
      </c>
      <c r="AV64" s="124">
        <f>[40]人員・時間計画!$K14</f>
        <v>25</v>
      </c>
      <c r="AW64" s="125">
        <f>AW63+AW60</f>
        <v>25</v>
      </c>
      <c r="AX64" s="125">
        <f t="shared" si="213"/>
        <v>159</v>
      </c>
      <c r="AY64" s="124">
        <f>[8]人員・時間計画!$K14</f>
        <v>9</v>
      </c>
      <c r="AZ64" s="124">
        <f>[9]人員・時間計画!$K14</f>
        <v>20</v>
      </c>
      <c r="BA64" s="124">
        <f>[10]人員・時間計画!$K14</f>
        <v>12</v>
      </c>
      <c r="BB64" s="124">
        <f>[11]人員・時間計画!$K14</f>
        <v>16</v>
      </c>
      <c r="BC64" s="114">
        <f>[12]人員・時間計画!$K14</f>
        <v>8</v>
      </c>
      <c r="BD64" s="124">
        <f>[13]人員・時間計画!$K14</f>
        <v>10</v>
      </c>
      <c r="BE64" s="114">
        <f>[14]人員・時間計画!$K14</f>
        <v>9</v>
      </c>
      <c r="BF64" s="124">
        <f>[15]人員・時間計画!$K14</f>
        <v>15</v>
      </c>
      <c r="BG64" s="124">
        <f>[16]人員・時間計画!$K14</f>
        <v>12</v>
      </c>
      <c r="BH64" s="125">
        <f t="shared" si="214"/>
        <v>111</v>
      </c>
      <c r="BI64" s="125">
        <f t="shared" ref="BI64" si="226">BI63+BI60</f>
        <v>111</v>
      </c>
      <c r="BJ64" s="124">
        <f>[44]人員・時間計画!$K14</f>
        <v>14</v>
      </c>
      <c r="BK64" s="124">
        <f>[45]人員・時間計画!$K14</f>
        <v>47</v>
      </c>
      <c r="BL64" s="125">
        <f>BL63+BL60</f>
        <v>61</v>
      </c>
      <c r="BM64" s="124">
        <f>[46]人員・時間計画!K14</f>
        <v>18</v>
      </c>
      <c r="BN64" s="124">
        <f>[47]人員・時間計画!K14</f>
        <v>5</v>
      </c>
      <c r="BO64" s="124">
        <f>[48]人員・時間計画!$K14</f>
        <v>7</v>
      </c>
      <c r="BP64" s="124">
        <f>[49]人員・時間計画!$K14</f>
        <v>8</v>
      </c>
      <c r="BQ64" s="124">
        <f>[50]人員・時間計画!$K14</f>
        <v>6</v>
      </c>
      <c r="BR64" s="125">
        <f t="shared" si="217"/>
        <v>44</v>
      </c>
      <c r="BS64" s="124">
        <f>[51]人員・時間計画!$K14</f>
        <v>18</v>
      </c>
      <c r="BT64" s="124">
        <f>[52]人員・時間計画!$K14</f>
        <v>17</v>
      </c>
      <c r="BU64" s="124">
        <f>[53]人員・時間計画!$K14</f>
        <v>14</v>
      </c>
      <c r="BV64" s="124">
        <f>[54]人員・時間計画!$K14</f>
        <v>7</v>
      </c>
      <c r="BW64" s="124">
        <f>[55]人員・時間計画!$K14</f>
        <v>70</v>
      </c>
      <c r="BX64" s="125">
        <f t="shared" si="218"/>
        <v>126</v>
      </c>
      <c r="BY64" s="124">
        <f>[56]人員・時間計画!$K14</f>
        <v>12</v>
      </c>
      <c r="BZ64" s="124">
        <f>[57]人員・時間計画!$K14</f>
        <v>9</v>
      </c>
      <c r="CA64" s="124">
        <f>[59]人員・時間計画!$K14</f>
        <v>18</v>
      </c>
      <c r="CB64" s="125">
        <f>CB63+CB60</f>
        <v>39</v>
      </c>
      <c r="CC64" s="124">
        <f>[58]人員・時間計画!$K14</f>
        <v>15</v>
      </c>
      <c r="CD64" s="125">
        <f>CD63+CD60</f>
        <v>15</v>
      </c>
      <c r="CE64" s="125">
        <f>CD64+CB64+BX64+BR64+BL64+BI64+AX64+AK64</f>
        <v>6941</v>
      </c>
    </row>
    <row r="65" spans="1:83">
      <c r="A65" s="126"/>
      <c r="B65" s="127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  <c r="BP65" s="128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</row>
    <row r="66" spans="1:83" ht="21.5" thickBot="1">
      <c r="A66" s="109">
        <v>1</v>
      </c>
      <c r="B66" s="110" t="s">
        <v>3</v>
      </c>
      <c r="C66" s="129"/>
      <c r="D66" s="129"/>
      <c r="E66" s="129"/>
      <c r="F66" s="129"/>
      <c r="G66" s="129"/>
      <c r="H66" s="130"/>
      <c r="I66" s="129"/>
      <c r="J66" s="129"/>
      <c r="K66" s="129"/>
      <c r="L66" s="129"/>
      <c r="M66" s="130"/>
      <c r="N66" s="129"/>
      <c r="O66" s="129"/>
      <c r="P66" s="130"/>
      <c r="Q66" s="130"/>
      <c r="R66" s="130"/>
      <c r="S66" s="129"/>
      <c r="T66" s="130"/>
      <c r="U66" s="129"/>
      <c r="V66" s="129"/>
      <c r="W66" s="129"/>
      <c r="X66" s="129"/>
      <c r="Y66" s="130"/>
      <c r="Z66" s="129"/>
      <c r="AA66" s="129"/>
      <c r="AB66" s="129"/>
      <c r="AC66" s="130"/>
      <c r="AD66" s="129"/>
      <c r="AE66" s="129"/>
      <c r="AF66" s="130"/>
      <c r="AG66" s="129"/>
      <c r="AH66" s="129"/>
      <c r="AI66" s="129"/>
      <c r="AJ66" s="130"/>
      <c r="AK66" s="130"/>
      <c r="AL66" s="129"/>
      <c r="AM66" s="129"/>
      <c r="AN66" s="129"/>
      <c r="AO66" s="129"/>
      <c r="AP66" s="129"/>
      <c r="AQ66" s="130"/>
      <c r="AR66" s="129"/>
      <c r="AS66" s="129"/>
      <c r="AT66" s="129"/>
      <c r="AU66" s="130"/>
      <c r="AV66" s="130"/>
      <c r="AW66" s="130"/>
      <c r="AX66" s="130"/>
      <c r="AY66" s="129"/>
      <c r="AZ66" s="129"/>
      <c r="BA66" s="129"/>
      <c r="BB66" s="129"/>
      <c r="BC66" s="129"/>
      <c r="BD66" s="129"/>
      <c r="BE66" s="129"/>
      <c r="BF66" s="129"/>
      <c r="BG66" s="129"/>
      <c r="BH66" s="130"/>
      <c r="BI66" s="130"/>
      <c r="BJ66" s="129"/>
      <c r="BK66" s="129"/>
      <c r="BL66" s="130"/>
      <c r="BM66" s="129"/>
      <c r="BN66" s="129"/>
      <c r="BO66" s="129"/>
      <c r="BP66" s="129"/>
      <c r="BQ66" s="129"/>
      <c r="BR66" s="130"/>
      <c r="BS66" s="129"/>
      <c r="BT66" s="129"/>
      <c r="BU66" s="129"/>
      <c r="BV66" s="129"/>
      <c r="BW66" s="129"/>
      <c r="BX66" s="130"/>
      <c r="BY66" s="129"/>
      <c r="BZ66" s="129"/>
      <c r="CA66" s="129"/>
      <c r="CB66" s="130"/>
      <c r="CC66" s="129"/>
      <c r="CD66" s="130"/>
      <c r="CE66" s="131"/>
    </row>
    <row r="67" spans="1:83" ht="15" thickBot="1">
      <c r="A67" s="112">
        <v>13</v>
      </c>
      <c r="B67" s="113" t="s">
        <v>194</v>
      </c>
      <c r="C67" s="114">
        <f>[1]人員・時間計画!$L$10</f>
        <v>2</v>
      </c>
      <c r="D67" s="114">
        <f>[2]人員・時間計画!$L10</f>
        <v>0</v>
      </c>
      <c r="E67" s="114">
        <f>[3]人員・時間計画!$L10</f>
        <v>0</v>
      </c>
      <c r="F67" s="114">
        <f>[4]人員・時間計画!$L10</f>
        <v>0</v>
      </c>
      <c r="G67" s="114">
        <f>[17]人員・時間計画!$L10</f>
        <v>0</v>
      </c>
      <c r="H67" s="115">
        <f>SUM(C67:G67)</f>
        <v>2</v>
      </c>
      <c r="I67" s="114">
        <f>[5]人員・時間計画!$L10</f>
        <v>1</v>
      </c>
      <c r="J67" s="114">
        <f>[18]人員・時間計画!$L10</f>
        <v>0</v>
      </c>
      <c r="K67" s="114">
        <f>[19]人員・時間計画!$L10</f>
        <v>0</v>
      </c>
      <c r="L67" s="114">
        <f>[20]人員・時間計画!$L10</f>
        <v>0</v>
      </c>
      <c r="M67" s="115">
        <f>SUM(I67:L67)</f>
        <v>1</v>
      </c>
      <c r="N67" s="114">
        <f>[6]人員・時間計画!$L10</f>
        <v>1</v>
      </c>
      <c r="O67" s="114">
        <f>'[21]Kế hoạch số người - thời gian'!$L10</f>
        <v>2</v>
      </c>
      <c r="P67" s="114">
        <f>[22]人員・時間計画!$L10</f>
        <v>0</v>
      </c>
      <c r="Q67" s="114">
        <f>[23]人員・時間計画!$L10</f>
        <v>0</v>
      </c>
      <c r="R67" s="115">
        <f>SUM(N67:Q67)</f>
        <v>3</v>
      </c>
      <c r="S67" s="114">
        <f>'[7]人員・時間計画 '!$L10</f>
        <v>2</v>
      </c>
      <c r="T67" s="115">
        <f>S67</f>
        <v>2</v>
      </c>
      <c r="U67" s="114">
        <f>[26]人員・時間計画!$L10</f>
        <v>1</v>
      </c>
      <c r="V67" s="114">
        <f>[27]人員・時間計画!$L10</f>
        <v>0</v>
      </c>
      <c r="W67" s="114">
        <f>[28]人員・時間計画!$L10</f>
        <v>0</v>
      </c>
      <c r="X67" s="114">
        <f>[29]人員・時間計画!$L10</f>
        <v>0</v>
      </c>
      <c r="Y67" s="115">
        <f>SUM(U67:X67)</f>
        <v>1</v>
      </c>
      <c r="Z67" s="114">
        <f>[30]人員・時間計画!$L10</f>
        <v>0</v>
      </c>
      <c r="AA67" s="114">
        <f>[60]人員・時間計画!$L10</f>
        <v>0</v>
      </c>
      <c r="AB67" s="114">
        <f>[31]人員・時間計画!$L10</f>
        <v>1</v>
      </c>
      <c r="AC67" s="115">
        <f>SUM(Z67:AB67)</f>
        <v>1</v>
      </c>
      <c r="AD67" s="114">
        <f>[24]人員・時間計画!$L10</f>
        <v>2</v>
      </c>
      <c r="AE67" s="114">
        <f>[25]人員・時間計画!$L10</f>
        <v>0</v>
      </c>
      <c r="AF67" s="115">
        <f>SUM(AD67:AE67)</f>
        <v>2</v>
      </c>
      <c r="AG67" s="114">
        <f>[37]人員・時間計画!$L10</f>
        <v>0</v>
      </c>
      <c r="AH67" s="114">
        <f>[38]人員・時間計画!$L10</f>
        <v>0</v>
      </c>
      <c r="AI67" s="114">
        <f>[39]人員・時間計画!$L10</f>
        <v>2</v>
      </c>
      <c r="AJ67" s="115">
        <f>SUM(AG67:AI67)</f>
        <v>2</v>
      </c>
      <c r="AK67" s="115">
        <f>AJ67+AF67+AC67+Y67+T67+R67+M67+H67</f>
        <v>14</v>
      </c>
      <c r="AL67" s="114">
        <f>[32]人員・時間計画!$L10</f>
        <v>0</v>
      </c>
      <c r="AM67" s="114">
        <f>[33]人員・時間計画!L10</f>
        <v>2</v>
      </c>
      <c r="AN67" s="114">
        <f>[34]人員・時間計画!$L10</f>
        <v>0</v>
      </c>
      <c r="AO67" s="114">
        <f>[35]人員・時間計画!$L10</f>
        <v>0</v>
      </c>
      <c r="AP67" s="114">
        <f>[36]人員・時間計画!$L10</f>
        <v>1</v>
      </c>
      <c r="AQ67" s="115">
        <f>SUM(AL67:AP67)</f>
        <v>3</v>
      </c>
      <c r="AR67" s="114">
        <f>[41]人員・時間計画!$L10</f>
        <v>1</v>
      </c>
      <c r="AS67" s="114">
        <f>[42]人員・時間計画!$L10</f>
        <v>1</v>
      </c>
      <c r="AT67" s="114">
        <f>[43]人員・時間計画!L10</f>
        <v>0</v>
      </c>
      <c r="AU67" s="115">
        <f>SUM(AR67:AT67)</f>
        <v>2</v>
      </c>
      <c r="AV67" s="114">
        <f>[40]人員・時間計画!$L10</f>
        <v>2</v>
      </c>
      <c r="AW67" s="115">
        <f>AV67</f>
        <v>2</v>
      </c>
      <c r="AX67" s="115">
        <f>AQ67+AU67+AW67</f>
        <v>7</v>
      </c>
      <c r="AY67" s="114">
        <f>[8]人員・時間計画!$L10</f>
        <v>0</v>
      </c>
      <c r="AZ67" s="114">
        <f>[9]人員・時間計画!$L10</f>
        <v>11</v>
      </c>
      <c r="BA67" s="114">
        <f>[10]人員・時間計画!$L10</f>
        <v>1</v>
      </c>
      <c r="BB67" s="114">
        <f>[11]人員・時間計画!$L10</f>
        <v>1</v>
      </c>
      <c r="BC67" s="114">
        <f>[12]人員・時間計画!$L10</f>
        <v>1</v>
      </c>
      <c r="BD67" s="114">
        <f>[13]人員・時間計画!L10</f>
        <v>0</v>
      </c>
      <c r="BE67" s="114">
        <f>[14]人員・時間計画!$L10</f>
        <v>1</v>
      </c>
      <c r="BF67" s="114">
        <f>[15]人員・時間計画!$L10</f>
        <v>2</v>
      </c>
      <c r="BG67" s="114">
        <f>[16]人員・時間計画!$L10</f>
        <v>0</v>
      </c>
      <c r="BH67" s="115">
        <f>SUM(AY67:BG67)</f>
        <v>17</v>
      </c>
      <c r="BI67" s="115">
        <f>BH67</f>
        <v>17</v>
      </c>
      <c r="BJ67" s="114">
        <f>[44]人員・時間計画!$L10</f>
        <v>2</v>
      </c>
      <c r="BK67" s="114">
        <f>[45]人員・時間計画!$L10</f>
        <v>0</v>
      </c>
      <c r="BL67" s="115">
        <f>SUM(BJ67:BK67)</f>
        <v>2</v>
      </c>
      <c r="BM67" s="114">
        <f>[46]人員・時間計画!$L10</f>
        <v>1</v>
      </c>
      <c r="BN67" s="114">
        <f>[47]人員・時間計画!$L10</f>
        <v>1</v>
      </c>
      <c r="BO67" s="114">
        <f>[48]人員・時間計画!$L10</f>
        <v>1</v>
      </c>
      <c r="BP67" s="114">
        <f>[49]人員・時間計画!$L10</f>
        <v>0</v>
      </c>
      <c r="BQ67" s="114">
        <f>[50]人員・時間計画!$L10</f>
        <v>2</v>
      </c>
      <c r="BR67" s="115">
        <f>SUM(BM67:BQ67)</f>
        <v>5</v>
      </c>
      <c r="BS67" s="114">
        <f>[51]人員・時間計画!$L10</f>
        <v>1</v>
      </c>
      <c r="BT67" s="114">
        <f>[52]人員・時間計画!$L10</f>
        <v>1</v>
      </c>
      <c r="BU67" s="114">
        <f>[53]人員・時間計画!$L10</f>
        <v>0</v>
      </c>
      <c r="BV67" s="114">
        <f>[54]人員・時間計画!$L10</f>
        <v>1</v>
      </c>
      <c r="BW67" s="114">
        <f>[55]人員・時間計画!$L10</f>
        <v>0</v>
      </c>
      <c r="BX67" s="115">
        <f>SUM(BS67:BW67)</f>
        <v>3</v>
      </c>
      <c r="BY67" s="114">
        <f>[56]人員・時間計画!$L10</f>
        <v>0</v>
      </c>
      <c r="BZ67" s="114">
        <f>[57]人員・時間計画!$L10</f>
        <v>1</v>
      </c>
      <c r="CA67" s="114">
        <f>[59]人員・時間計画!$L10</f>
        <v>1</v>
      </c>
      <c r="CB67" s="115">
        <f>SUM(BY67:CA67)</f>
        <v>2</v>
      </c>
      <c r="CC67" s="114">
        <f>[58]人員・時間計画!$L10</f>
        <v>1</v>
      </c>
      <c r="CD67" s="115">
        <f>CC67</f>
        <v>1</v>
      </c>
      <c r="CE67" s="115">
        <f>CD67+CB67+BX67+BR67+BL67+BI67+AX67+AK67</f>
        <v>51</v>
      </c>
    </row>
    <row r="68" spans="1:83">
      <c r="A68" s="112">
        <v>13</v>
      </c>
      <c r="B68" s="116" t="s">
        <v>139</v>
      </c>
      <c r="C68" s="132">
        <f>[1]人員・時間計画!$L$11</f>
        <v>93</v>
      </c>
      <c r="D68" s="132">
        <f>[2]人員・時間計画!$L11</f>
        <v>132</v>
      </c>
      <c r="E68" s="132">
        <f>[3]人員・時間計画!$L11</f>
        <v>99</v>
      </c>
      <c r="F68" s="132">
        <f>[4]人員・時間計画!$L11</f>
        <v>0</v>
      </c>
      <c r="G68" s="132">
        <f>[17]人員・時間計画!$L11</f>
        <v>21</v>
      </c>
      <c r="H68" s="115">
        <f t="shared" ref="H68:H69" si="227">SUM(C68:G68)</f>
        <v>345</v>
      </c>
      <c r="I68" s="132">
        <f>[5]人員・時間計画!$L11</f>
        <v>22</v>
      </c>
      <c r="J68" s="132">
        <f>[18]人員・時間計画!$L11</f>
        <v>14</v>
      </c>
      <c r="K68" s="114">
        <f>[19]人員・時間計画!$L11</f>
        <v>5</v>
      </c>
      <c r="L68" s="114">
        <f>[20]人員・時間計画!$L11</f>
        <v>11</v>
      </c>
      <c r="M68" s="115">
        <f t="shared" ref="M68:M69" si="228">SUM(I68:L68)</f>
        <v>52</v>
      </c>
      <c r="N68" s="132">
        <f>[6]人員・時間計画!$L11</f>
        <v>16</v>
      </c>
      <c r="O68" s="132">
        <f>'[21]Kế hoạch số người - thời gian'!$L11</f>
        <v>23</v>
      </c>
      <c r="P68" s="114">
        <f>[22]人員・時間計画!$L11</f>
        <v>9</v>
      </c>
      <c r="Q68" s="114">
        <f>[23]人員・時間計画!$L11</f>
        <v>12</v>
      </c>
      <c r="R68" s="115">
        <f>SUM(N68:Q68)</f>
        <v>60</v>
      </c>
      <c r="S68" s="114">
        <f>'[7]人員・時間計画 '!$L11</f>
        <v>15</v>
      </c>
      <c r="T68" s="115">
        <f t="shared" ref="T68:T69" si="229">S68</f>
        <v>15</v>
      </c>
      <c r="U68" s="132">
        <f>[26]人員・時間計画!$L11</f>
        <v>10</v>
      </c>
      <c r="V68" s="132">
        <f>[27]人員・時間計画!$L11</f>
        <v>6</v>
      </c>
      <c r="W68" s="132">
        <f>[28]人員・時間計画!$L11</f>
        <v>16</v>
      </c>
      <c r="X68" s="132">
        <f>[29]人員・時間計画!$L11</f>
        <v>3</v>
      </c>
      <c r="Y68" s="115">
        <f t="shared" ref="Y68:Y69" si="230">SUM(U68:X68)</f>
        <v>35</v>
      </c>
      <c r="Z68" s="132">
        <f>[30]人員・時間計画!$L11</f>
        <v>38</v>
      </c>
      <c r="AA68" s="132">
        <f>[60]人員・時間計画!$L11</f>
        <v>11</v>
      </c>
      <c r="AB68" s="132">
        <f>[31]人員・時間計画!$L11</f>
        <v>12</v>
      </c>
      <c r="AC68" s="115">
        <f t="shared" ref="AC68:AC69" si="231">SUM(Z68:AB68)</f>
        <v>61</v>
      </c>
      <c r="AD68" s="132">
        <f>[24]人員・時間計画!$L11</f>
        <v>110</v>
      </c>
      <c r="AE68" s="132">
        <f>[25]人員・時間計画!$L11</f>
        <v>8</v>
      </c>
      <c r="AF68" s="115">
        <f t="shared" ref="AF68:AF69" si="232">SUM(AD68:AE68)</f>
        <v>118</v>
      </c>
      <c r="AG68" s="132">
        <f>[37]人員・時間計画!$L11</f>
        <v>25</v>
      </c>
      <c r="AH68" s="132">
        <f>[38]人員・時間計画!$L11</f>
        <v>23</v>
      </c>
      <c r="AI68" s="132">
        <f>[39]人員・時間計画!$L11</f>
        <v>32</v>
      </c>
      <c r="AJ68" s="115">
        <f t="shared" ref="AJ68:AJ69" si="233">SUM(AG68:AI68)</f>
        <v>80</v>
      </c>
      <c r="AK68" s="115">
        <f t="shared" ref="AK68:AK71" si="234">AJ68+AF68+AC68+Y68+T68+R68+M68+H68</f>
        <v>766</v>
      </c>
      <c r="AL68" s="132">
        <f>[32]人員・時間計画!$L11</f>
        <v>15</v>
      </c>
      <c r="AM68" s="132">
        <f>[33]人員・時間計画!L11</f>
        <v>21</v>
      </c>
      <c r="AN68" s="132">
        <f>[34]人員・時間計画!$L11</f>
        <v>13</v>
      </c>
      <c r="AO68" s="114">
        <f>[35]人員・時間計画!$L11</f>
        <v>9</v>
      </c>
      <c r="AP68" s="132">
        <f>[36]人員・時間計画!$L11</f>
        <v>18</v>
      </c>
      <c r="AQ68" s="115">
        <f t="shared" ref="AQ68:AQ69" si="235">SUM(AL68:AP68)</f>
        <v>76</v>
      </c>
      <c r="AR68" s="132">
        <f>[41]人員・時間計画!$L11</f>
        <v>17</v>
      </c>
      <c r="AS68" s="132">
        <f>[42]人員・時間計画!$L11</f>
        <v>13</v>
      </c>
      <c r="AT68" s="132">
        <f>[43]人員・時間計画!L11</f>
        <v>23</v>
      </c>
      <c r="AU68" s="115">
        <f t="shared" ref="AU68:AU69" si="236">SUM(AR68:AT68)</f>
        <v>53</v>
      </c>
      <c r="AV68" s="114">
        <f>[40]人員・時間計画!$L11</f>
        <v>23</v>
      </c>
      <c r="AW68" s="115">
        <f t="shared" ref="AW68:AW69" si="237">AV68</f>
        <v>23</v>
      </c>
      <c r="AX68" s="115">
        <f t="shared" ref="AX68:AX71" si="238">AQ68+AU68+AW68</f>
        <v>152</v>
      </c>
      <c r="AY68" s="132">
        <f>[8]人員・時間計画!$L11</f>
        <v>9</v>
      </c>
      <c r="AZ68" s="132">
        <f>[9]人員・時間計画!$L11</f>
        <v>9</v>
      </c>
      <c r="BA68" s="132">
        <f>[10]人員・時間計画!$L11</f>
        <v>11</v>
      </c>
      <c r="BB68" s="132">
        <f>[11]人員・時間計画!$L11</f>
        <v>15</v>
      </c>
      <c r="BC68" s="114">
        <f>[12]人員・時間計画!$L11</f>
        <v>7</v>
      </c>
      <c r="BD68" s="132">
        <f>[13]人員・時間計画!L11</f>
        <v>10</v>
      </c>
      <c r="BE68" s="114">
        <f>[14]人員・時間計画!$L11</f>
        <v>8</v>
      </c>
      <c r="BF68" s="132">
        <f>[15]人員・時間計画!$L11</f>
        <v>13</v>
      </c>
      <c r="BG68" s="132">
        <f>[16]人員・時間計画!$L11</f>
        <v>12</v>
      </c>
      <c r="BH68" s="115">
        <f t="shared" ref="BH68:BH71" si="239">SUM(AY68:BG68)</f>
        <v>94</v>
      </c>
      <c r="BI68" s="115">
        <f t="shared" ref="BI68:BI69" si="240">BH68</f>
        <v>94</v>
      </c>
      <c r="BJ68" s="132">
        <f>[44]人員・時間計画!$L11</f>
        <v>11</v>
      </c>
      <c r="BK68" s="132">
        <f>[45]人員・時間計画!$L11</f>
        <v>14</v>
      </c>
      <c r="BL68" s="115">
        <f t="shared" ref="BL68:BL69" si="241">SUM(BJ68:BK68)</f>
        <v>25</v>
      </c>
      <c r="BM68" s="132">
        <f>[46]人員・時間計画!$L11</f>
        <v>17</v>
      </c>
      <c r="BN68" s="132">
        <f>[47]人員・時間計画!$L11</f>
        <v>4</v>
      </c>
      <c r="BO68" s="132">
        <f>[48]人員・時間計画!$L11</f>
        <v>6</v>
      </c>
      <c r="BP68" s="132">
        <f>[49]人員・時間計画!$L11</f>
        <v>8</v>
      </c>
      <c r="BQ68" s="132">
        <f>[50]人員・時間計画!$L11</f>
        <v>4</v>
      </c>
      <c r="BR68" s="115">
        <f t="shared" ref="BR68:BR71" si="242">SUM(BM68:BQ68)</f>
        <v>39</v>
      </c>
      <c r="BS68" s="132">
        <f>[51]人員・時間計画!$L11</f>
        <v>11</v>
      </c>
      <c r="BT68" s="132">
        <f>[52]人員・時間計画!$L11</f>
        <v>16</v>
      </c>
      <c r="BU68" s="132">
        <f>[53]人員・時間計画!$L11</f>
        <v>11</v>
      </c>
      <c r="BV68" s="132">
        <f>[54]人員・時間計画!$L11</f>
        <v>6</v>
      </c>
      <c r="BW68" s="132">
        <f>[55]人員・時間計画!$L11</f>
        <v>3</v>
      </c>
      <c r="BX68" s="115">
        <f t="shared" ref="BX68:BX71" si="243">SUM(BS68:BW68)</f>
        <v>47</v>
      </c>
      <c r="BY68" s="132">
        <f>[56]人員・時間計画!$L11</f>
        <v>12</v>
      </c>
      <c r="BZ68" s="132">
        <f>[57]人員・時間計画!$L11</f>
        <v>8</v>
      </c>
      <c r="CA68" s="132">
        <f>[59]人員・時間計画!$L11</f>
        <v>17</v>
      </c>
      <c r="CB68" s="115">
        <f t="shared" ref="CB68:CB69" si="244">SUM(BY68:CA68)</f>
        <v>37</v>
      </c>
      <c r="CC68" s="132">
        <f>[58]人員・時間計画!$L11</f>
        <v>14</v>
      </c>
      <c r="CD68" s="115">
        <f t="shared" ref="CD68:CD69" si="245">CC68</f>
        <v>14</v>
      </c>
      <c r="CE68" s="115">
        <f>CD68+CB68+BX68+BR68+BL68+BI68+AX68+AK68</f>
        <v>1174</v>
      </c>
    </row>
    <row r="69" spans="1:83">
      <c r="A69" s="112">
        <v>13</v>
      </c>
      <c r="B69" s="117" t="s">
        <v>140</v>
      </c>
      <c r="C69" s="119">
        <f>[1]人員・時間計画!$L$12</f>
        <v>1772</v>
      </c>
      <c r="D69" s="119">
        <f>[2]人員・時間計画!$L12</f>
        <v>1862</v>
      </c>
      <c r="E69" s="119">
        <f>[3]人員・時間計画!$L12</f>
        <v>1095</v>
      </c>
      <c r="F69" s="119">
        <f>[4]人員・時間計画!$L12</f>
        <v>0</v>
      </c>
      <c r="G69" s="119">
        <f>[17]人員・時間計画!$L12</f>
        <v>7</v>
      </c>
      <c r="H69" s="118">
        <f t="shared" si="227"/>
        <v>4736</v>
      </c>
      <c r="I69" s="119">
        <f>[5]人員・時間計画!$L12</f>
        <v>314</v>
      </c>
      <c r="J69" s="119">
        <f>[18]人員・時間計画!$L12</f>
        <v>11</v>
      </c>
      <c r="K69" s="114">
        <f>[19]人員・時間計画!$L12</f>
        <v>3</v>
      </c>
      <c r="L69" s="114">
        <f>[20]人員・時間計画!$L12</f>
        <v>17</v>
      </c>
      <c r="M69" s="118">
        <f t="shared" si="228"/>
        <v>345</v>
      </c>
      <c r="N69" s="119">
        <f>[6]人員・時間計画!$L12</f>
        <v>125</v>
      </c>
      <c r="O69" s="119">
        <f>'[21]Kế hoạch số người - thời gian'!$L12</f>
        <v>9</v>
      </c>
      <c r="P69" s="119">
        <f>[22]人員・時間計画!$L12</f>
        <v>0</v>
      </c>
      <c r="Q69" s="119">
        <f>[23]人員・時間計画!$L12</f>
        <v>13</v>
      </c>
      <c r="R69" s="118">
        <f>SUM(N69:Q69)</f>
        <v>147</v>
      </c>
      <c r="S69" s="119">
        <f>'[7]人員・時間計画 '!$L12</f>
        <v>43</v>
      </c>
      <c r="T69" s="118">
        <f t="shared" si="229"/>
        <v>43</v>
      </c>
      <c r="U69" s="119">
        <f>[26]人員・時間計画!$L12</f>
        <v>0</v>
      </c>
      <c r="V69" s="119">
        <f>[27]人員・時間計画!$L12</f>
        <v>0</v>
      </c>
      <c r="W69" s="119">
        <f>[28]人員・時間計画!$L12</f>
        <v>1</v>
      </c>
      <c r="X69" s="119">
        <f>[29]人員・時間計画!$L12</f>
        <v>0</v>
      </c>
      <c r="Y69" s="118">
        <f t="shared" si="230"/>
        <v>1</v>
      </c>
      <c r="Z69" s="119">
        <f>[30]人員・時間計画!$L12</f>
        <v>346</v>
      </c>
      <c r="AA69" s="119">
        <f>[60]人員・時間計画!$L12</f>
        <v>50</v>
      </c>
      <c r="AB69" s="119">
        <f>[31]人員・時間計画!$L12</f>
        <v>5</v>
      </c>
      <c r="AC69" s="118">
        <f t="shared" si="231"/>
        <v>401</v>
      </c>
      <c r="AD69" s="119">
        <f>[24]人員・時間計画!$L12</f>
        <v>91</v>
      </c>
      <c r="AE69" s="119">
        <f>[25]人員・時間計画!$L12</f>
        <v>1</v>
      </c>
      <c r="AF69" s="118">
        <f t="shared" si="232"/>
        <v>92</v>
      </c>
      <c r="AG69" s="119">
        <f>[37]人員・時間計画!$L12</f>
        <v>79</v>
      </c>
      <c r="AH69" s="119">
        <f>[38]人員・時間計画!$L12</f>
        <v>24</v>
      </c>
      <c r="AI69" s="119">
        <f>[39]人員・時間計画!$L12</f>
        <v>4</v>
      </c>
      <c r="AJ69" s="118">
        <f t="shared" si="233"/>
        <v>107</v>
      </c>
      <c r="AK69" s="118">
        <f t="shared" si="234"/>
        <v>5872</v>
      </c>
      <c r="AL69" s="119">
        <f>[32]人員・時間計画!$L12</f>
        <v>0</v>
      </c>
      <c r="AM69" s="119">
        <f>[33]人員・時間計画!L12</f>
        <v>0</v>
      </c>
      <c r="AN69" s="119">
        <f>[34]人員・時間計画!$L12</f>
        <v>0</v>
      </c>
      <c r="AO69" s="114">
        <f>[35]人員・時間計画!$L12</f>
        <v>0</v>
      </c>
      <c r="AP69" s="119">
        <f>[36]人員・時間計画!$L12</f>
        <v>0</v>
      </c>
      <c r="AQ69" s="118">
        <f t="shared" si="235"/>
        <v>0</v>
      </c>
      <c r="AR69" s="119">
        <f>[41]人員・時間計画!$L12</f>
        <v>0</v>
      </c>
      <c r="AS69" s="119">
        <f>[42]人員・時間計画!$L12</f>
        <v>0</v>
      </c>
      <c r="AT69" s="119">
        <f>[43]人員・時間計画!L12</f>
        <v>0</v>
      </c>
      <c r="AU69" s="118">
        <f t="shared" si="236"/>
        <v>0</v>
      </c>
      <c r="AV69" s="119">
        <f>[40]人員・時間計画!$L12</f>
        <v>0</v>
      </c>
      <c r="AW69" s="118">
        <f t="shared" si="237"/>
        <v>0</v>
      </c>
      <c r="AX69" s="118">
        <f t="shared" si="238"/>
        <v>0</v>
      </c>
      <c r="AY69" s="119">
        <f>[8]人員・時間計画!$L12</f>
        <v>0</v>
      </c>
      <c r="AZ69" s="119">
        <f>[9]人員・時間計画!$L12</f>
        <v>0</v>
      </c>
      <c r="BA69" s="119">
        <f>[10]人員・時間計画!$L12</f>
        <v>0</v>
      </c>
      <c r="BB69" s="119">
        <f>[11]人員・時間計画!$L12</f>
        <v>0</v>
      </c>
      <c r="BC69" s="114">
        <f>[12]人員・時間計画!$L12</f>
        <v>0</v>
      </c>
      <c r="BD69" s="119">
        <f>[13]人員・時間計画!L12</f>
        <v>0</v>
      </c>
      <c r="BE69" s="114">
        <f>[14]人員・時間計画!$L12</f>
        <v>0</v>
      </c>
      <c r="BF69" s="119">
        <f>[15]人員・時間計画!$L12</f>
        <v>0</v>
      </c>
      <c r="BG69" s="119">
        <f>[16]人員・時間計画!$L12</f>
        <v>0</v>
      </c>
      <c r="BH69" s="118">
        <f t="shared" si="239"/>
        <v>0</v>
      </c>
      <c r="BI69" s="118">
        <f t="shared" si="240"/>
        <v>0</v>
      </c>
      <c r="BJ69" s="119">
        <f>[44]人員・時間計画!$L12</f>
        <v>1</v>
      </c>
      <c r="BK69" s="119">
        <f>[45]人員・時間計画!$L12</f>
        <v>33</v>
      </c>
      <c r="BL69" s="118">
        <f t="shared" si="241"/>
        <v>34</v>
      </c>
      <c r="BM69" s="119">
        <f>[46]人員・時間計画!$L12</f>
        <v>0</v>
      </c>
      <c r="BN69" s="119">
        <f>[47]人員・時間計画!$L12</f>
        <v>0</v>
      </c>
      <c r="BO69" s="119">
        <f>[48]人員・時間計画!$L12</f>
        <v>0</v>
      </c>
      <c r="BP69" s="119">
        <f>[49]人員・時間計画!$L12</f>
        <v>0</v>
      </c>
      <c r="BQ69" s="119">
        <f>[50]人員・時間計画!$L12</f>
        <v>0</v>
      </c>
      <c r="BR69" s="118">
        <f t="shared" si="242"/>
        <v>0</v>
      </c>
      <c r="BS69" s="119">
        <f>[51]人員・時間計画!$L12</f>
        <v>6</v>
      </c>
      <c r="BT69" s="119">
        <f>[52]人員・時間計画!$L12</f>
        <v>0</v>
      </c>
      <c r="BU69" s="119">
        <f>[53]人員・時間計画!$L12</f>
        <v>3</v>
      </c>
      <c r="BV69" s="119">
        <f>[54]人員・時間計画!$L12</f>
        <v>0</v>
      </c>
      <c r="BW69" s="119">
        <f>[55]人員・時間計画!$L12</f>
        <v>67</v>
      </c>
      <c r="BX69" s="118">
        <f t="shared" si="243"/>
        <v>76</v>
      </c>
      <c r="BY69" s="119">
        <f>[56]人員・時間計画!$L12</f>
        <v>0</v>
      </c>
      <c r="BZ69" s="119">
        <f>[57]人員・時間計画!$L12</f>
        <v>0</v>
      </c>
      <c r="CA69" s="119">
        <f>[59]人員・時間計画!$L12</f>
        <v>0</v>
      </c>
      <c r="CB69" s="118">
        <f t="shared" si="244"/>
        <v>0</v>
      </c>
      <c r="CC69" s="119">
        <f>[58]人員・時間計画!$L12</f>
        <v>0</v>
      </c>
      <c r="CD69" s="118">
        <f t="shared" si="245"/>
        <v>0</v>
      </c>
      <c r="CE69" s="118">
        <f>CD69+CB69+BX69+BR69+BL69+BI69+AX69+AK69</f>
        <v>5982</v>
      </c>
    </row>
    <row r="70" spans="1:83">
      <c r="A70" s="112">
        <v>13</v>
      </c>
      <c r="B70" s="120" t="s">
        <v>195</v>
      </c>
      <c r="C70" s="121">
        <f>[1]人員・時間計画!$L$13</f>
        <v>1865</v>
      </c>
      <c r="D70" s="121">
        <f>[2]人員・時間計画!$L13</f>
        <v>1994</v>
      </c>
      <c r="E70" s="121">
        <f>[3]人員・時間計画!$L13</f>
        <v>1194</v>
      </c>
      <c r="F70" s="121">
        <f>[4]人員・時間計画!$L13</f>
        <v>0</v>
      </c>
      <c r="G70" s="121">
        <f>[17]人員・時間計画!$L13</f>
        <v>28</v>
      </c>
      <c r="H70" s="122">
        <f>SUM(H68:H69)</f>
        <v>5081</v>
      </c>
      <c r="I70" s="121">
        <f>[5]人員・時間計画!$L13</f>
        <v>336</v>
      </c>
      <c r="J70" s="121">
        <f>[18]人員・時間計画!$L13</f>
        <v>25</v>
      </c>
      <c r="K70" s="114">
        <f>[19]人員・時間計画!$L13</f>
        <v>8</v>
      </c>
      <c r="L70" s="114">
        <f>[20]人員・時間計画!$L13</f>
        <v>28</v>
      </c>
      <c r="M70" s="122">
        <f>SUM(M68:M69)</f>
        <v>397</v>
      </c>
      <c r="N70" s="121">
        <f>[6]人員・時間計画!$L13</f>
        <v>141</v>
      </c>
      <c r="O70" s="121">
        <f>'[21]Kế hoạch số người - thời gian'!$L13</f>
        <v>32</v>
      </c>
      <c r="P70" s="121">
        <f>[22]人員・時間計画!$L13</f>
        <v>9</v>
      </c>
      <c r="Q70" s="121">
        <f>[23]人員・時間計画!$L13</f>
        <v>25</v>
      </c>
      <c r="R70" s="122">
        <f>SUM(R68:R69)</f>
        <v>207</v>
      </c>
      <c r="S70" s="121">
        <f>'[7]人員・時間計画 '!$L13</f>
        <v>58</v>
      </c>
      <c r="T70" s="122">
        <f>SUM(T68:T69)</f>
        <v>58</v>
      </c>
      <c r="U70" s="121">
        <f>[26]人員・時間計画!$L13</f>
        <v>10</v>
      </c>
      <c r="V70" s="121">
        <f>[27]人員・時間計画!$L13</f>
        <v>6</v>
      </c>
      <c r="W70" s="121">
        <f>[28]人員・時間計画!$L13</f>
        <v>17</v>
      </c>
      <c r="X70" s="121">
        <f>[29]人員・時間計画!$L13</f>
        <v>3</v>
      </c>
      <c r="Y70" s="122">
        <f>SUM(Y68:Y69)</f>
        <v>36</v>
      </c>
      <c r="Z70" s="121">
        <f>[30]人員・時間計画!$L13</f>
        <v>384</v>
      </c>
      <c r="AA70" s="121">
        <f>[60]人員・時間計画!$L13</f>
        <v>61</v>
      </c>
      <c r="AB70" s="121">
        <f>[31]人員・時間計画!$L13</f>
        <v>17</v>
      </c>
      <c r="AC70" s="122">
        <f t="shared" ref="AC70" si="246">SUM(AC68:AC69)</f>
        <v>462</v>
      </c>
      <c r="AD70" s="121">
        <f>[24]人員・時間計画!$L13</f>
        <v>201</v>
      </c>
      <c r="AE70" s="121">
        <f>[25]人員・時間計画!$L13</f>
        <v>9</v>
      </c>
      <c r="AF70" s="122">
        <f>SUM(AF68:AF69)</f>
        <v>210</v>
      </c>
      <c r="AG70" s="121">
        <f>[37]人員・時間計画!$L13</f>
        <v>104</v>
      </c>
      <c r="AH70" s="121">
        <f>[38]人員・時間計画!$L13</f>
        <v>47</v>
      </c>
      <c r="AI70" s="121">
        <f>[39]人員・時間計画!$L13</f>
        <v>36</v>
      </c>
      <c r="AJ70" s="122">
        <f t="shared" ref="AJ70" si="247">SUM(AJ68:AJ69)</f>
        <v>187</v>
      </c>
      <c r="AK70" s="122">
        <f t="shared" si="234"/>
        <v>6638</v>
      </c>
      <c r="AL70" s="121">
        <f>[32]人員・時間計画!$L13</f>
        <v>15</v>
      </c>
      <c r="AM70" s="121">
        <f>[33]人員・時間計画!L13</f>
        <v>21</v>
      </c>
      <c r="AN70" s="121">
        <f>[34]人員・時間計画!$L13</f>
        <v>13</v>
      </c>
      <c r="AO70" s="114">
        <f>[35]人員・時間計画!$L13</f>
        <v>9</v>
      </c>
      <c r="AP70" s="121">
        <f>[36]人員・時間計画!$L13</f>
        <v>18</v>
      </c>
      <c r="AQ70" s="122">
        <f>SUM(AQ68:AQ69)</f>
        <v>76</v>
      </c>
      <c r="AR70" s="121">
        <f>[41]人員・時間計画!$L13</f>
        <v>17</v>
      </c>
      <c r="AS70" s="121">
        <f>[42]人員・時間計画!$L13</f>
        <v>13</v>
      </c>
      <c r="AT70" s="121">
        <f>[43]人員・時間計画!L13</f>
        <v>23</v>
      </c>
      <c r="AU70" s="122">
        <f>SUM(AU68:AU69)</f>
        <v>53</v>
      </c>
      <c r="AV70" s="121">
        <f>[40]人員・時間計画!$L13</f>
        <v>23</v>
      </c>
      <c r="AW70" s="122">
        <f>SUM(AW68:AW69)</f>
        <v>23</v>
      </c>
      <c r="AX70" s="122">
        <f t="shared" si="238"/>
        <v>152</v>
      </c>
      <c r="AY70" s="121">
        <f>[8]人員・時間計画!$L13</f>
        <v>9</v>
      </c>
      <c r="AZ70" s="121">
        <f>[9]人員・時間計画!$L13</f>
        <v>9</v>
      </c>
      <c r="BA70" s="121">
        <f>[10]人員・時間計画!$L13</f>
        <v>11</v>
      </c>
      <c r="BB70" s="121">
        <f>[11]人員・時間計画!$L13</f>
        <v>15</v>
      </c>
      <c r="BC70" s="114">
        <f>[12]人員・時間計画!$L13</f>
        <v>7</v>
      </c>
      <c r="BD70" s="121">
        <f>[13]人員・時間計画!L13</f>
        <v>10</v>
      </c>
      <c r="BE70" s="114">
        <f>[14]人員・時間計画!$L13</f>
        <v>8</v>
      </c>
      <c r="BF70" s="121">
        <f>[15]人員・時間計画!$L13</f>
        <v>13</v>
      </c>
      <c r="BG70" s="121">
        <f>[16]人員・時間計画!$L13</f>
        <v>12</v>
      </c>
      <c r="BH70" s="122">
        <f t="shared" si="239"/>
        <v>94</v>
      </c>
      <c r="BI70" s="122">
        <f t="shared" ref="BI70" si="248">SUM(BI68:BI69)</f>
        <v>94</v>
      </c>
      <c r="BJ70" s="121">
        <f>[44]人員・時間計画!$L13</f>
        <v>12</v>
      </c>
      <c r="BK70" s="121">
        <f>[45]人員・時間計画!$L13</f>
        <v>47</v>
      </c>
      <c r="BL70" s="122">
        <f>SUM(BL68:BL69)</f>
        <v>59</v>
      </c>
      <c r="BM70" s="121">
        <f>[46]人員・時間計画!$L13</f>
        <v>17</v>
      </c>
      <c r="BN70" s="121">
        <f>[47]人員・時間計画!$L13</f>
        <v>4</v>
      </c>
      <c r="BO70" s="121">
        <f>[48]人員・時間計画!$L13</f>
        <v>6</v>
      </c>
      <c r="BP70" s="121">
        <f>[49]人員・時間計画!$L13</f>
        <v>8</v>
      </c>
      <c r="BQ70" s="121">
        <f>[50]人員・時間計画!$L13</f>
        <v>4</v>
      </c>
      <c r="BR70" s="122">
        <f t="shared" si="242"/>
        <v>39</v>
      </c>
      <c r="BS70" s="121">
        <f>[51]人員・時間計画!$L13</f>
        <v>17</v>
      </c>
      <c r="BT70" s="121">
        <f>[52]人員・時間計画!$L13</f>
        <v>16</v>
      </c>
      <c r="BU70" s="121">
        <f>[53]人員・時間計画!$L13</f>
        <v>14</v>
      </c>
      <c r="BV70" s="121">
        <f>[54]人員・時間計画!$L13</f>
        <v>6</v>
      </c>
      <c r="BW70" s="121">
        <f>[55]人員・時間計画!$L13</f>
        <v>70</v>
      </c>
      <c r="BX70" s="122">
        <f t="shared" si="243"/>
        <v>123</v>
      </c>
      <c r="BY70" s="121">
        <f>[56]人員・時間計画!$L13</f>
        <v>12</v>
      </c>
      <c r="BZ70" s="121">
        <f>[57]人員・時間計画!$L13</f>
        <v>8</v>
      </c>
      <c r="CA70" s="121">
        <f>[59]人員・時間計画!$L13</f>
        <v>17</v>
      </c>
      <c r="CB70" s="122">
        <f>SUM(CB68:CB69)</f>
        <v>37</v>
      </c>
      <c r="CC70" s="121">
        <f>[58]人員・時間計画!$L13</f>
        <v>14</v>
      </c>
      <c r="CD70" s="122">
        <f>SUM(CD68:CD69)</f>
        <v>14</v>
      </c>
      <c r="CE70" s="122">
        <f>CD70+CB70+BX70+BR70+BL70+BI70+AX70+AK70</f>
        <v>7156</v>
      </c>
    </row>
    <row r="71" spans="1:83" ht="15" thickBot="1">
      <c r="A71" s="112">
        <v>13</v>
      </c>
      <c r="B71" s="123" t="s">
        <v>196</v>
      </c>
      <c r="C71" s="124">
        <f>[1]人員・時間計画!$L$14</f>
        <v>1867</v>
      </c>
      <c r="D71" s="124">
        <f>[2]人員・時間計画!$L14</f>
        <v>1994</v>
      </c>
      <c r="E71" s="124">
        <f>[3]人員・時間計画!$L14</f>
        <v>1194</v>
      </c>
      <c r="F71" s="124">
        <f>[4]人員・時間計画!$L14</f>
        <v>0</v>
      </c>
      <c r="G71" s="124">
        <f>[17]人員・時間計画!$L14</f>
        <v>28</v>
      </c>
      <c r="H71" s="125">
        <f>H70+H67</f>
        <v>5083</v>
      </c>
      <c r="I71" s="124">
        <f>[5]人員・時間計画!$L14</f>
        <v>337</v>
      </c>
      <c r="J71" s="124">
        <f>[18]人員・時間計画!$L14</f>
        <v>25</v>
      </c>
      <c r="K71" s="114">
        <f>[19]人員・時間計画!$L14</f>
        <v>8</v>
      </c>
      <c r="L71" s="114">
        <f>[20]人員・時間計画!$L14</f>
        <v>28</v>
      </c>
      <c r="M71" s="125">
        <f>M70+M67</f>
        <v>398</v>
      </c>
      <c r="N71" s="124">
        <f>[6]人員・時間計画!$L14</f>
        <v>142</v>
      </c>
      <c r="O71" s="124">
        <f>'[21]Kế hoạch số người - thời gian'!$L14</f>
        <v>34</v>
      </c>
      <c r="P71" s="124">
        <f>[22]人員・時間計画!$L14</f>
        <v>9</v>
      </c>
      <c r="Q71" s="124">
        <f>[23]人員・時間計画!$L14</f>
        <v>25</v>
      </c>
      <c r="R71" s="125">
        <f>R70+R67</f>
        <v>210</v>
      </c>
      <c r="S71" s="124">
        <f>'[7]人員・時間計画 '!$L14</f>
        <v>60</v>
      </c>
      <c r="T71" s="125">
        <f>T70+T67</f>
        <v>60</v>
      </c>
      <c r="U71" s="124">
        <f>[26]人員・時間計画!$L14</f>
        <v>11</v>
      </c>
      <c r="V71" s="124">
        <f>[27]人員・時間計画!$L14</f>
        <v>6</v>
      </c>
      <c r="W71" s="124">
        <f>[28]人員・時間計画!$L14</f>
        <v>17</v>
      </c>
      <c r="X71" s="124">
        <f>[29]人員・時間計画!$L14</f>
        <v>3</v>
      </c>
      <c r="Y71" s="125">
        <f>Y70+Y67</f>
        <v>37</v>
      </c>
      <c r="Z71" s="124">
        <f>[30]人員・時間計画!$L14</f>
        <v>384</v>
      </c>
      <c r="AA71" s="124">
        <f>[60]人員・時間計画!$L14</f>
        <v>61</v>
      </c>
      <c r="AB71" s="124">
        <f>[31]人員・時間計画!$L14</f>
        <v>18</v>
      </c>
      <c r="AC71" s="125">
        <f t="shared" ref="AC71" si="249">AC70+AC67</f>
        <v>463</v>
      </c>
      <c r="AD71" s="124">
        <f>[24]人員・時間計画!$L14</f>
        <v>203</v>
      </c>
      <c r="AE71" s="124">
        <f>[25]人員・時間計画!$L14</f>
        <v>9</v>
      </c>
      <c r="AF71" s="125">
        <f>AF70+AF67</f>
        <v>212</v>
      </c>
      <c r="AG71" s="124">
        <f>[37]人員・時間計画!$L14</f>
        <v>104</v>
      </c>
      <c r="AH71" s="124">
        <f>[38]人員・時間計画!$L14</f>
        <v>47</v>
      </c>
      <c r="AI71" s="124">
        <f>[39]人員・時間計画!$L14</f>
        <v>38</v>
      </c>
      <c r="AJ71" s="125">
        <f t="shared" ref="AJ71" si="250">AJ70+AJ67</f>
        <v>189</v>
      </c>
      <c r="AK71" s="125">
        <f t="shared" si="234"/>
        <v>6652</v>
      </c>
      <c r="AL71" s="124">
        <f>[32]人員・時間計画!$L14</f>
        <v>15</v>
      </c>
      <c r="AM71" s="124">
        <f>[33]人員・時間計画!L14</f>
        <v>23</v>
      </c>
      <c r="AN71" s="124">
        <f>[34]人員・時間計画!$L14</f>
        <v>13</v>
      </c>
      <c r="AO71" s="114">
        <f>[35]人員・時間計画!$L14</f>
        <v>9</v>
      </c>
      <c r="AP71" s="124">
        <f>[36]人員・時間計画!$L14</f>
        <v>19</v>
      </c>
      <c r="AQ71" s="125">
        <f>AQ70+AQ67</f>
        <v>79</v>
      </c>
      <c r="AR71" s="124">
        <f>[41]人員・時間計画!$L14</f>
        <v>18</v>
      </c>
      <c r="AS71" s="124">
        <f>[42]人員・時間計画!$L14</f>
        <v>14</v>
      </c>
      <c r="AT71" s="124">
        <f>[43]人員・時間計画!L14</f>
        <v>23</v>
      </c>
      <c r="AU71" s="125">
        <f>AU70+AU67</f>
        <v>55</v>
      </c>
      <c r="AV71" s="124">
        <f>[40]人員・時間計画!$L14</f>
        <v>25</v>
      </c>
      <c r="AW71" s="125">
        <f>AW70+AW67</f>
        <v>25</v>
      </c>
      <c r="AX71" s="125">
        <f t="shared" si="238"/>
        <v>159</v>
      </c>
      <c r="AY71" s="124">
        <f>[8]人員・時間計画!$L14</f>
        <v>9</v>
      </c>
      <c r="AZ71" s="124">
        <f>[9]人員・時間計画!$L14</f>
        <v>20</v>
      </c>
      <c r="BA71" s="124">
        <f>[10]人員・時間計画!$L14</f>
        <v>12</v>
      </c>
      <c r="BB71" s="124">
        <f>[11]人員・時間計画!$L14</f>
        <v>16</v>
      </c>
      <c r="BC71" s="114">
        <f>[12]人員・時間計画!$L14</f>
        <v>8</v>
      </c>
      <c r="BD71" s="124">
        <f>[13]人員・時間計画!L14</f>
        <v>10</v>
      </c>
      <c r="BE71" s="114">
        <f>[14]人員・時間計画!$L14</f>
        <v>9</v>
      </c>
      <c r="BF71" s="124">
        <f>[15]人員・時間計画!$L14</f>
        <v>15</v>
      </c>
      <c r="BG71" s="124">
        <f>[16]人員・時間計画!$L14</f>
        <v>12</v>
      </c>
      <c r="BH71" s="125">
        <f t="shared" si="239"/>
        <v>111</v>
      </c>
      <c r="BI71" s="125">
        <f t="shared" ref="BI71" si="251">BI70+BI67</f>
        <v>111</v>
      </c>
      <c r="BJ71" s="124">
        <f>[44]人員・時間計画!$L14</f>
        <v>14</v>
      </c>
      <c r="BK71" s="124">
        <f>[45]人員・時間計画!$L14</f>
        <v>47</v>
      </c>
      <c r="BL71" s="125">
        <f>BL70+BL67</f>
        <v>61</v>
      </c>
      <c r="BM71" s="124">
        <f>[46]人員・時間計画!$L14</f>
        <v>18</v>
      </c>
      <c r="BN71" s="124">
        <f>[47]人員・時間計画!$L14</f>
        <v>5</v>
      </c>
      <c r="BO71" s="124">
        <f>[48]人員・時間計画!$L14</f>
        <v>7</v>
      </c>
      <c r="BP71" s="124">
        <f>[49]人員・時間計画!$L14</f>
        <v>8</v>
      </c>
      <c r="BQ71" s="124">
        <f>[50]人員・時間計画!$L14</f>
        <v>6</v>
      </c>
      <c r="BR71" s="125">
        <f t="shared" si="242"/>
        <v>44</v>
      </c>
      <c r="BS71" s="124">
        <f>[51]人員・時間計画!$L14</f>
        <v>18</v>
      </c>
      <c r="BT71" s="124">
        <f>[52]人員・時間計画!$L14</f>
        <v>17</v>
      </c>
      <c r="BU71" s="124">
        <f>[53]人員・時間計画!$L14</f>
        <v>14</v>
      </c>
      <c r="BV71" s="124">
        <f>[54]人員・時間計画!$L14</f>
        <v>7</v>
      </c>
      <c r="BW71" s="124">
        <f>[55]人員・時間計画!$L14</f>
        <v>70</v>
      </c>
      <c r="BX71" s="125">
        <f t="shared" si="243"/>
        <v>126</v>
      </c>
      <c r="BY71" s="124">
        <f>[56]人員・時間計画!$L14</f>
        <v>12</v>
      </c>
      <c r="BZ71" s="124">
        <f>[57]人員・時間計画!$L14</f>
        <v>9</v>
      </c>
      <c r="CA71" s="124">
        <f>[59]人員・時間計画!$L14</f>
        <v>18</v>
      </c>
      <c r="CB71" s="125">
        <f>CB70+CB67</f>
        <v>39</v>
      </c>
      <c r="CC71" s="124">
        <f>[58]人員・時間計画!$L14</f>
        <v>15</v>
      </c>
      <c r="CD71" s="125">
        <f>CD70+CD67</f>
        <v>15</v>
      </c>
      <c r="CE71" s="125">
        <f>CD71+CB71+BX71+BR71+BL71+BI71+AX71+AK71</f>
        <v>7207</v>
      </c>
    </row>
    <row r="72" spans="1:83">
      <c r="A72" s="126"/>
      <c r="B72" s="127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  <c r="BP72" s="128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</row>
    <row r="73" spans="1:83" ht="21.5" thickBot="1">
      <c r="A73" s="109">
        <v>2</v>
      </c>
      <c r="B73" s="110" t="s">
        <v>3</v>
      </c>
      <c r="C73" s="129"/>
      <c r="D73" s="129"/>
      <c r="E73" s="129"/>
      <c r="F73" s="129"/>
      <c r="G73" s="129"/>
      <c r="H73" s="130"/>
      <c r="I73" s="129"/>
      <c r="J73" s="129"/>
      <c r="K73" s="129"/>
      <c r="L73" s="129"/>
      <c r="M73" s="130"/>
      <c r="N73" s="129"/>
      <c r="O73" s="129"/>
      <c r="P73" s="130"/>
      <c r="Q73" s="130"/>
      <c r="R73" s="130"/>
      <c r="S73" s="129"/>
      <c r="T73" s="130"/>
      <c r="U73" s="129"/>
      <c r="V73" s="129"/>
      <c r="W73" s="129"/>
      <c r="X73" s="129"/>
      <c r="Y73" s="130"/>
      <c r="Z73" s="129"/>
      <c r="AA73" s="129"/>
      <c r="AB73" s="129"/>
      <c r="AC73" s="130"/>
      <c r="AD73" s="129"/>
      <c r="AE73" s="129"/>
      <c r="AF73" s="130"/>
      <c r="AG73" s="129"/>
      <c r="AH73" s="129"/>
      <c r="AI73" s="129"/>
      <c r="AJ73" s="130"/>
      <c r="AK73" s="130"/>
      <c r="AL73" s="129"/>
      <c r="AM73" s="129"/>
      <c r="AN73" s="129"/>
      <c r="AO73" s="129"/>
      <c r="AP73" s="129"/>
      <c r="AQ73" s="130"/>
      <c r="AR73" s="129"/>
      <c r="AS73" s="129"/>
      <c r="AT73" s="129"/>
      <c r="AU73" s="130"/>
      <c r="AV73" s="130"/>
      <c r="AW73" s="130"/>
      <c r="AX73" s="130"/>
      <c r="AY73" s="129"/>
      <c r="AZ73" s="129"/>
      <c r="BA73" s="129"/>
      <c r="BB73" s="129"/>
      <c r="BC73" s="129"/>
      <c r="BD73" s="129"/>
      <c r="BE73" s="129"/>
      <c r="BF73" s="129"/>
      <c r="BG73" s="129"/>
      <c r="BH73" s="130"/>
      <c r="BI73" s="130"/>
      <c r="BJ73" s="129"/>
      <c r="BK73" s="129"/>
      <c r="BL73" s="130"/>
      <c r="BM73" s="129"/>
      <c r="BN73" s="129"/>
      <c r="BO73" s="129"/>
      <c r="BP73" s="129"/>
      <c r="BQ73" s="129"/>
      <c r="BR73" s="130"/>
      <c r="BS73" s="129"/>
      <c r="BT73" s="129"/>
      <c r="BU73" s="129"/>
      <c r="BV73" s="129"/>
      <c r="BW73" s="129"/>
      <c r="BX73" s="130"/>
      <c r="BY73" s="129"/>
      <c r="BZ73" s="129"/>
      <c r="CA73" s="129"/>
      <c r="CB73" s="130"/>
      <c r="CC73" s="129"/>
      <c r="CD73" s="130"/>
      <c r="CE73" s="131"/>
    </row>
    <row r="74" spans="1:83" ht="15" thickBot="1">
      <c r="A74" s="112">
        <v>14</v>
      </c>
      <c r="B74" s="113" t="s">
        <v>194</v>
      </c>
      <c r="C74" s="114">
        <f>[1]人員・時間計画!$M$10</f>
        <v>2</v>
      </c>
      <c r="D74" s="114">
        <f>[2]人員・時間計画!$M10</f>
        <v>0</v>
      </c>
      <c r="E74" s="114">
        <f>[3]人員・時間計画!$M10</f>
        <v>0</v>
      </c>
      <c r="F74" s="114">
        <f>[4]人員・時間計画!$M10</f>
        <v>0</v>
      </c>
      <c r="G74" s="114">
        <f>[17]人員・時間計画!$M10</f>
        <v>0</v>
      </c>
      <c r="H74" s="115">
        <f>SUM(C74:G74)</f>
        <v>2</v>
      </c>
      <c r="I74" s="114">
        <f>[5]人員・時間計画!$M10</f>
        <v>1</v>
      </c>
      <c r="J74" s="114">
        <f>[18]人員・時間計画!$M10</f>
        <v>0</v>
      </c>
      <c r="K74" s="114">
        <f>[19]人員・時間計画!$M10</f>
        <v>0</v>
      </c>
      <c r="L74" s="114">
        <f>[20]人員・時間計画!$M10</f>
        <v>0</v>
      </c>
      <c r="M74" s="115">
        <f>SUM(I74:L74)</f>
        <v>1</v>
      </c>
      <c r="N74" s="114">
        <f>[6]人員・時間計画!$M10</f>
        <v>1</v>
      </c>
      <c r="O74" s="114">
        <f>'[21]Kế hoạch số người - thời gian'!$M10</f>
        <v>2</v>
      </c>
      <c r="P74" s="114">
        <f>[22]人員・時間計画!$M10</f>
        <v>0</v>
      </c>
      <c r="Q74" s="114">
        <f>[23]人員・時間計画!$M10</f>
        <v>0</v>
      </c>
      <c r="R74" s="115">
        <f>SUM(N74:Q74)</f>
        <v>3</v>
      </c>
      <c r="S74" s="114">
        <f>'[7]人員・時間計画 '!$M10</f>
        <v>2</v>
      </c>
      <c r="T74" s="115">
        <f>S74</f>
        <v>2</v>
      </c>
      <c r="U74" s="114">
        <f>[26]人員・時間計画!$M10</f>
        <v>1</v>
      </c>
      <c r="V74" s="114">
        <f>[27]人員・時間計画!$M10</f>
        <v>0</v>
      </c>
      <c r="W74" s="114">
        <f>[28]人員・時間計画!$M10</f>
        <v>0</v>
      </c>
      <c r="X74" s="114">
        <f>[29]人員・時間計画!$M10</f>
        <v>0</v>
      </c>
      <c r="Y74" s="115">
        <f>SUM(U74:X74)</f>
        <v>1</v>
      </c>
      <c r="Z74" s="114">
        <f>[30]人員・時間計画!$M10</f>
        <v>0</v>
      </c>
      <c r="AA74" s="114">
        <f>[60]人員・時間計画!$M10</f>
        <v>0</v>
      </c>
      <c r="AB74" s="114">
        <f>[31]人員・時間計画!$M10</f>
        <v>1</v>
      </c>
      <c r="AC74" s="115">
        <f>SUM(Z74:AB74)</f>
        <v>1</v>
      </c>
      <c r="AD74" s="114">
        <f>[24]人員・時間計画!$M10</f>
        <v>2</v>
      </c>
      <c r="AE74" s="114">
        <f>[25]人員・時間計画!$M10</f>
        <v>0</v>
      </c>
      <c r="AF74" s="115">
        <f>SUM(AD74:AE74)</f>
        <v>2</v>
      </c>
      <c r="AG74" s="114">
        <f>[37]人員・時間計画!$M10</f>
        <v>0</v>
      </c>
      <c r="AH74" s="114">
        <f>[38]人員・時間計画!$M10</f>
        <v>0</v>
      </c>
      <c r="AI74" s="114">
        <f>[39]人員・時間計画!$M10</f>
        <v>2</v>
      </c>
      <c r="AJ74" s="115">
        <f>SUM(AG74:AI74)</f>
        <v>2</v>
      </c>
      <c r="AK74" s="115">
        <f>AJ74+AF74+AC74+Y74+T74+R74+M74+H74</f>
        <v>14</v>
      </c>
      <c r="AL74" s="114">
        <f>[32]人員・時間計画!$M10</f>
        <v>0</v>
      </c>
      <c r="AM74" s="114">
        <f>[33]人員・時間計画!M10</f>
        <v>2</v>
      </c>
      <c r="AN74" s="114">
        <f>[34]人員・時間計画!$M10</f>
        <v>0</v>
      </c>
      <c r="AO74" s="114">
        <f>[35]人員・時間計画!$M10</f>
        <v>0</v>
      </c>
      <c r="AP74" s="114">
        <f>[36]人員・時間計画!$M10</f>
        <v>1</v>
      </c>
      <c r="AQ74" s="115">
        <f>SUM(AL74:AP74)</f>
        <v>3</v>
      </c>
      <c r="AR74" s="114">
        <f>[41]人員・時間計画!$M10</f>
        <v>1</v>
      </c>
      <c r="AS74" s="114">
        <f>[42]人員・時間計画!$M10</f>
        <v>1</v>
      </c>
      <c r="AT74" s="114">
        <f>[43]人員・時間計画!M10</f>
        <v>0</v>
      </c>
      <c r="AU74" s="115">
        <f>SUM(AR74:AT74)</f>
        <v>2</v>
      </c>
      <c r="AV74" s="114">
        <f>[40]人員・時間計画!$M10</f>
        <v>2</v>
      </c>
      <c r="AW74" s="115">
        <f>AV74</f>
        <v>2</v>
      </c>
      <c r="AX74" s="115">
        <f>AQ74+AU74+AW74</f>
        <v>7</v>
      </c>
      <c r="AY74" s="114">
        <f>[8]人員・時間計画!$M10</f>
        <v>0</v>
      </c>
      <c r="AZ74" s="114">
        <f>[9]人員・時間計画!$M10</f>
        <v>11</v>
      </c>
      <c r="BA74" s="114">
        <f>[10]人員・時間計画!$M10</f>
        <v>1</v>
      </c>
      <c r="BB74" s="114">
        <f>[11]人員・時間計画!$M10</f>
        <v>1</v>
      </c>
      <c r="BC74" s="114">
        <f>[12]人員・時間計画!$M10</f>
        <v>1</v>
      </c>
      <c r="BD74" s="114">
        <f>[13]人員・時間計画!$M10</f>
        <v>0</v>
      </c>
      <c r="BE74" s="114">
        <f>[14]人員・時間計画!$M10</f>
        <v>1</v>
      </c>
      <c r="BF74" s="114">
        <f>[15]人員・時間計画!$M10</f>
        <v>2</v>
      </c>
      <c r="BG74" s="114">
        <f>[16]人員・時間計画!$M10</f>
        <v>0</v>
      </c>
      <c r="BH74" s="115">
        <f>SUM(AY74:BG74)</f>
        <v>17</v>
      </c>
      <c r="BI74" s="115">
        <f>BH74</f>
        <v>17</v>
      </c>
      <c r="BJ74" s="114">
        <f>[44]人員・時間計画!$M10</f>
        <v>2</v>
      </c>
      <c r="BK74" s="114">
        <f>[45]人員・時間計画!$M10</f>
        <v>0</v>
      </c>
      <c r="BL74" s="115">
        <f>SUM(BJ74:BK74)</f>
        <v>2</v>
      </c>
      <c r="BM74" s="114">
        <f>[46]人員・時間計画!$M10</f>
        <v>1</v>
      </c>
      <c r="BN74" s="114">
        <f>[47]人員・時間計画!M10</f>
        <v>1</v>
      </c>
      <c r="BO74" s="114">
        <f>[48]人員・時間計画!$M10</f>
        <v>1</v>
      </c>
      <c r="BP74" s="114">
        <f>[49]人員・時間計画!$M10</f>
        <v>0</v>
      </c>
      <c r="BQ74" s="114">
        <f>[50]人員・時間計画!$M10</f>
        <v>2</v>
      </c>
      <c r="BR74" s="115">
        <f>SUM(BM74:BQ74)</f>
        <v>5</v>
      </c>
      <c r="BS74" s="114">
        <f>[51]人員・時間計画!$M10</f>
        <v>1</v>
      </c>
      <c r="BT74" s="114">
        <f>[52]人員・時間計画!$M10</f>
        <v>1</v>
      </c>
      <c r="BU74" s="114">
        <f>[53]人員・時間計画!$M10</f>
        <v>0</v>
      </c>
      <c r="BV74" s="114">
        <f>[54]人員・時間計画!$M10</f>
        <v>1</v>
      </c>
      <c r="BW74" s="114">
        <f>[55]人員・時間計画!$M10</f>
        <v>0</v>
      </c>
      <c r="BX74" s="115">
        <f>SUM(BS74:BW74)</f>
        <v>3</v>
      </c>
      <c r="BY74" s="114">
        <f>[56]人員・時間計画!$M10</f>
        <v>0</v>
      </c>
      <c r="BZ74" s="114">
        <f>[57]人員・時間計画!$M10</f>
        <v>1</v>
      </c>
      <c r="CA74" s="114">
        <f>[59]人員・時間計画!$M10</f>
        <v>1</v>
      </c>
      <c r="CB74" s="115">
        <f>SUM(BY74:CA74)</f>
        <v>2</v>
      </c>
      <c r="CC74" s="114">
        <f>[58]人員・時間計画!$M10</f>
        <v>1</v>
      </c>
      <c r="CD74" s="115">
        <f>CC74</f>
        <v>1</v>
      </c>
      <c r="CE74" s="115">
        <f>CD74+CB74+BX74+BR74+BL74+BI74+AX74+AK74</f>
        <v>51</v>
      </c>
    </row>
    <row r="75" spans="1:83">
      <c r="A75" s="112">
        <v>14</v>
      </c>
      <c r="B75" s="116" t="s">
        <v>139</v>
      </c>
      <c r="C75" s="132">
        <f>[1]人員・時間計画!$M$11</f>
        <v>93</v>
      </c>
      <c r="D75" s="132">
        <f>[2]人員・時間計画!$M11</f>
        <v>132</v>
      </c>
      <c r="E75" s="132">
        <f>[3]人員・時間計画!$M11</f>
        <v>99</v>
      </c>
      <c r="F75" s="132">
        <f>[4]人員・時間計画!$M11</f>
        <v>0</v>
      </c>
      <c r="G75" s="132">
        <f>[17]人員・時間計画!$M11</f>
        <v>21</v>
      </c>
      <c r="H75" s="115">
        <f t="shared" ref="H75:H76" si="252">SUM(C75:G75)</f>
        <v>345</v>
      </c>
      <c r="I75" s="132">
        <f>[5]人員・時間計画!$M11</f>
        <v>22</v>
      </c>
      <c r="J75" s="132">
        <f>[18]人員・時間計画!$M11</f>
        <v>14</v>
      </c>
      <c r="K75" s="114">
        <f>[19]人員・時間計画!$M11</f>
        <v>5</v>
      </c>
      <c r="L75" s="114">
        <f>[20]人員・時間計画!$M11</f>
        <v>11</v>
      </c>
      <c r="M75" s="115">
        <f t="shared" ref="M75:M76" si="253">SUM(I75:L75)</f>
        <v>52</v>
      </c>
      <c r="N75" s="132">
        <f>[6]人員・時間計画!$M11</f>
        <v>16</v>
      </c>
      <c r="O75" s="132">
        <f>'[21]Kế hoạch số người - thời gian'!$M11</f>
        <v>23</v>
      </c>
      <c r="P75" s="114">
        <f>[22]人員・時間計画!$M11</f>
        <v>9</v>
      </c>
      <c r="Q75" s="114">
        <f>[23]人員・時間計画!$M11</f>
        <v>12</v>
      </c>
      <c r="R75" s="115">
        <f>SUM(N75:Q75)</f>
        <v>60</v>
      </c>
      <c r="S75" s="114">
        <f>'[7]人員・時間計画 '!$M11</f>
        <v>15</v>
      </c>
      <c r="T75" s="115">
        <f t="shared" ref="T75:T76" si="254">S75</f>
        <v>15</v>
      </c>
      <c r="U75" s="132">
        <f>[26]人員・時間計画!$M11</f>
        <v>10</v>
      </c>
      <c r="V75" s="132">
        <f>[27]人員・時間計画!$M11</f>
        <v>6</v>
      </c>
      <c r="W75" s="132">
        <f>[28]人員・時間計画!$M11</f>
        <v>16</v>
      </c>
      <c r="X75" s="132">
        <f>[29]人員・時間計画!$M11</f>
        <v>3</v>
      </c>
      <c r="Y75" s="115">
        <f t="shared" ref="Y75:Y76" si="255">SUM(U75:X75)</f>
        <v>35</v>
      </c>
      <c r="Z75" s="132">
        <f>[30]人員・時間計画!$M11</f>
        <v>38</v>
      </c>
      <c r="AA75" s="132">
        <f>[60]人員・時間計画!$M11</f>
        <v>11</v>
      </c>
      <c r="AB75" s="132">
        <f>[31]人員・時間計画!$M11</f>
        <v>12</v>
      </c>
      <c r="AC75" s="115">
        <f t="shared" ref="AC75:AC76" si="256">SUM(Z75:AB75)</f>
        <v>61</v>
      </c>
      <c r="AD75" s="132">
        <f>[24]人員・時間計画!$M11</f>
        <v>110</v>
      </c>
      <c r="AE75" s="132">
        <f>[25]人員・時間計画!$M11</f>
        <v>8</v>
      </c>
      <c r="AF75" s="115">
        <f t="shared" ref="AF75:AF76" si="257">SUM(AD75:AE75)</f>
        <v>118</v>
      </c>
      <c r="AG75" s="132">
        <f>[37]人員・時間計画!$M11</f>
        <v>25</v>
      </c>
      <c r="AH75" s="132">
        <f>[38]人員・時間計画!$M11</f>
        <v>23</v>
      </c>
      <c r="AI75" s="132">
        <f>[39]人員・時間計画!$M11</f>
        <v>32</v>
      </c>
      <c r="AJ75" s="115">
        <f t="shared" ref="AJ75:AJ76" si="258">SUM(AG75:AI75)</f>
        <v>80</v>
      </c>
      <c r="AK75" s="115">
        <f t="shared" ref="AK75:AK78" si="259">AJ75+AF75+AC75+Y75+T75+R75+M75+H75</f>
        <v>766</v>
      </c>
      <c r="AL75" s="132">
        <f>[32]人員・時間計画!$M11</f>
        <v>15</v>
      </c>
      <c r="AM75" s="132">
        <f>[33]人員・時間計画!M11</f>
        <v>21</v>
      </c>
      <c r="AN75" s="132">
        <f>[34]人員・時間計画!$M11</f>
        <v>13</v>
      </c>
      <c r="AO75" s="114">
        <f>[35]人員・時間計画!$M11</f>
        <v>9</v>
      </c>
      <c r="AP75" s="132">
        <f>[36]人員・時間計画!$M11</f>
        <v>18</v>
      </c>
      <c r="AQ75" s="115">
        <f t="shared" ref="AQ75:AQ76" si="260">SUM(AL75:AP75)</f>
        <v>76</v>
      </c>
      <c r="AR75" s="132">
        <f>[41]人員・時間計画!$M11</f>
        <v>17</v>
      </c>
      <c r="AS75" s="132">
        <f>[42]人員・時間計画!$M11</f>
        <v>13</v>
      </c>
      <c r="AT75" s="132">
        <f>[43]人員・時間計画!M11</f>
        <v>23</v>
      </c>
      <c r="AU75" s="115">
        <f t="shared" ref="AU75:AU76" si="261">SUM(AR75:AT75)</f>
        <v>53</v>
      </c>
      <c r="AV75" s="114">
        <f>[40]人員・時間計画!$M11</f>
        <v>23</v>
      </c>
      <c r="AW75" s="115">
        <f t="shared" ref="AW75:AW76" si="262">AV75</f>
        <v>23</v>
      </c>
      <c r="AX75" s="115">
        <f t="shared" ref="AX75:AX78" si="263">AQ75+AU75+AW75</f>
        <v>152</v>
      </c>
      <c r="AY75" s="132">
        <f>[8]人員・時間計画!$M11</f>
        <v>9</v>
      </c>
      <c r="AZ75" s="132">
        <f>[9]人員・時間計画!$M11</f>
        <v>9</v>
      </c>
      <c r="BA75" s="132">
        <f>[10]人員・時間計画!$M11</f>
        <v>11</v>
      </c>
      <c r="BB75" s="132">
        <f>[11]人員・時間計画!$M11</f>
        <v>15</v>
      </c>
      <c r="BC75" s="114">
        <f>[12]人員・時間計画!$M11</f>
        <v>7</v>
      </c>
      <c r="BD75" s="132">
        <f>[13]人員・時間計画!$M11</f>
        <v>10</v>
      </c>
      <c r="BE75" s="114">
        <f>[14]人員・時間計画!$M11</f>
        <v>8</v>
      </c>
      <c r="BF75" s="132">
        <f>[15]人員・時間計画!$M11</f>
        <v>13</v>
      </c>
      <c r="BG75" s="132">
        <f>[16]人員・時間計画!$M11</f>
        <v>12</v>
      </c>
      <c r="BH75" s="115">
        <f t="shared" ref="BH75:BH78" si="264">SUM(AY75:BG75)</f>
        <v>94</v>
      </c>
      <c r="BI75" s="115">
        <f t="shared" ref="BI75:BI76" si="265">BH75</f>
        <v>94</v>
      </c>
      <c r="BJ75" s="132">
        <f>[44]人員・時間計画!$M11</f>
        <v>11</v>
      </c>
      <c r="BK75" s="132">
        <f>[45]人員・時間計画!$M11</f>
        <v>14</v>
      </c>
      <c r="BL75" s="115">
        <f t="shared" ref="BL75:BL76" si="266">SUM(BJ75:BK75)</f>
        <v>25</v>
      </c>
      <c r="BM75" s="132">
        <f>[46]人員・時間計画!$M11</f>
        <v>17</v>
      </c>
      <c r="BN75" s="132">
        <f>[47]人員・時間計画!M11</f>
        <v>4</v>
      </c>
      <c r="BO75" s="132">
        <f>[48]人員・時間計画!$M11</f>
        <v>6</v>
      </c>
      <c r="BP75" s="132">
        <f>[49]人員・時間計画!$M11</f>
        <v>8</v>
      </c>
      <c r="BQ75" s="132">
        <f>[50]人員・時間計画!$M11</f>
        <v>4</v>
      </c>
      <c r="BR75" s="115">
        <f t="shared" ref="BR75:BR78" si="267">SUM(BM75:BQ75)</f>
        <v>39</v>
      </c>
      <c r="BS75" s="132">
        <f>[51]人員・時間計画!$M11</f>
        <v>11</v>
      </c>
      <c r="BT75" s="132">
        <f>[52]人員・時間計画!$M11</f>
        <v>16</v>
      </c>
      <c r="BU75" s="132">
        <f>[53]人員・時間計画!$M11</f>
        <v>11</v>
      </c>
      <c r="BV75" s="132">
        <f>[54]人員・時間計画!$M11</f>
        <v>6</v>
      </c>
      <c r="BW75" s="132">
        <f>[55]人員・時間計画!$M11</f>
        <v>3</v>
      </c>
      <c r="BX75" s="115">
        <f t="shared" ref="BX75:BX78" si="268">SUM(BS75:BW75)</f>
        <v>47</v>
      </c>
      <c r="BY75" s="132">
        <f>[56]人員・時間計画!$M11</f>
        <v>12</v>
      </c>
      <c r="BZ75" s="132">
        <f>[57]人員・時間計画!$M11</f>
        <v>8</v>
      </c>
      <c r="CA75" s="132">
        <f>[59]人員・時間計画!$M11</f>
        <v>17</v>
      </c>
      <c r="CB75" s="115">
        <f t="shared" ref="CB75:CB76" si="269">SUM(BY75:CA75)</f>
        <v>37</v>
      </c>
      <c r="CC75" s="132">
        <f>[58]人員・時間計画!$M11</f>
        <v>14</v>
      </c>
      <c r="CD75" s="115">
        <f t="shared" ref="CD75:CD76" si="270">CC75</f>
        <v>14</v>
      </c>
      <c r="CE75" s="115">
        <f>CD75+CB75+BX75+BR75+BL75+BI75+AX75+AK75</f>
        <v>1174</v>
      </c>
    </row>
    <row r="76" spans="1:83">
      <c r="A76" s="112">
        <v>14</v>
      </c>
      <c r="B76" s="117" t="s">
        <v>140</v>
      </c>
      <c r="C76" s="119">
        <f>[1]人員・時間計画!$M$12</f>
        <v>1962</v>
      </c>
      <c r="D76" s="119">
        <f>[2]人員・時間計画!$M12</f>
        <v>2010</v>
      </c>
      <c r="E76" s="119">
        <f>[3]人員・時間計画!$M12</f>
        <v>1168</v>
      </c>
      <c r="F76" s="119">
        <f>[4]人員・時間計画!$M12</f>
        <v>0</v>
      </c>
      <c r="G76" s="119">
        <f>[17]人員・時間計画!$M12</f>
        <v>7</v>
      </c>
      <c r="H76" s="118">
        <f t="shared" si="252"/>
        <v>5147</v>
      </c>
      <c r="I76" s="119">
        <f>[5]人員・時間計画!$M12</f>
        <v>324</v>
      </c>
      <c r="J76" s="119">
        <f>[18]人員・時間計画!$M12</f>
        <v>11</v>
      </c>
      <c r="K76" s="114">
        <f>[19]人員・時間計画!$M12</f>
        <v>3</v>
      </c>
      <c r="L76" s="114">
        <f>[20]人員・時間計画!$M12</f>
        <v>17</v>
      </c>
      <c r="M76" s="118">
        <f t="shared" si="253"/>
        <v>355</v>
      </c>
      <c r="N76" s="119">
        <f>[6]人員・時間計画!$M12</f>
        <v>125</v>
      </c>
      <c r="O76" s="119">
        <f>'[21]Kế hoạch số người - thời gian'!$M12</f>
        <v>9</v>
      </c>
      <c r="P76" s="119">
        <f>[22]人員・時間計画!$M12</f>
        <v>0</v>
      </c>
      <c r="Q76" s="119">
        <f>[23]人員・時間計画!$M12</f>
        <v>13</v>
      </c>
      <c r="R76" s="118">
        <f>SUM(N76:Q76)</f>
        <v>147</v>
      </c>
      <c r="S76" s="119">
        <f>'[7]人員・時間計画 '!$M12</f>
        <v>43</v>
      </c>
      <c r="T76" s="118">
        <f t="shared" si="254"/>
        <v>43</v>
      </c>
      <c r="U76" s="119">
        <f>[26]人員・時間計画!$M12</f>
        <v>0</v>
      </c>
      <c r="V76" s="119">
        <f>[27]人員・時間計画!$M12</f>
        <v>0</v>
      </c>
      <c r="W76" s="119">
        <f>[28]人員・時間計画!$M12</f>
        <v>1</v>
      </c>
      <c r="X76" s="119">
        <f>[29]人員・時間計画!$M12</f>
        <v>0</v>
      </c>
      <c r="Y76" s="118">
        <f t="shared" si="255"/>
        <v>1</v>
      </c>
      <c r="Z76" s="119">
        <f>[30]人員・時間計画!$M12</f>
        <v>361</v>
      </c>
      <c r="AA76" s="119">
        <f>[60]人員・時間計画!$M12</f>
        <v>51</v>
      </c>
      <c r="AB76" s="119">
        <f>[31]人員・時間計画!$M12</f>
        <v>5</v>
      </c>
      <c r="AC76" s="118">
        <f t="shared" si="256"/>
        <v>417</v>
      </c>
      <c r="AD76" s="119">
        <f>[24]人員・時間計画!$M12</f>
        <v>108</v>
      </c>
      <c r="AE76" s="119">
        <f>[25]人員・時間計画!$M12</f>
        <v>1</v>
      </c>
      <c r="AF76" s="118">
        <f t="shared" si="257"/>
        <v>109</v>
      </c>
      <c r="AG76" s="119">
        <f>[37]人員・時間計画!$M12</f>
        <v>79</v>
      </c>
      <c r="AH76" s="119">
        <f>[38]人員・時間計画!$M12</f>
        <v>24</v>
      </c>
      <c r="AI76" s="119">
        <f>[39]人員・時間計画!$M12</f>
        <v>4</v>
      </c>
      <c r="AJ76" s="118">
        <f t="shared" si="258"/>
        <v>107</v>
      </c>
      <c r="AK76" s="118">
        <f t="shared" si="259"/>
        <v>6326</v>
      </c>
      <c r="AL76" s="119">
        <f>[32]人員・時間計画!$M12</f>
        <v>0</v>
      </c>
      <c r="AM76" s="119">
        <f>[33]人員・時間計画!M12</f>
        <v>0</v>
      </c>
      <c r="AN76" s="119">
        <f>[34]人員・時間計画!$M12</f>
        <v>0</v>
      </c>
      <c r="AO76" s="114">
        <f>[35]人員・時間計画!$M12</f>
        <v>0</v>
      </c>
      <c r="AP76" s="119">
        <f>[36]人員・時間計画!$M12</f>
        <v>0</v>
      </c>
      <c r="AQ76" s="118">
        <f t="shared" si="260"/>
        <v>0</v>
      </c>
      <c r="AR76" s="119">
        <f>[41]人員・時間計画!$M12</f>
        <v>0</v>
      </c>
      <c r="AS76" s="119">
        <f>[42]人員・時間計画!$M12</f>
        <v>0</v>
      </c>
      <c r="AT76" s="119">
        <f>[43]人員・時間計画!M12</f>
        <v>0</v>
      </c>
      <c r="AU76" s="118">
        <f t="shared" si="261"/>
        <v>0</v>
      </c>
      <c r="AV76" s="119">
        <f>[40]人員・時間計画!$M12</f>
        <v>0</v>
      </c>
      <c r="AW76" s="118">
        <f t="shared" si="262"/>
        <v>0</v>
      </c>
      <c r="AX76" s="118">
        <f t="shared" si="263"/>
        <v>0</v>
      </c>
      <c r="AY76" s="119">
        <f>[8]人員・時間計画!$M12</f>
        <v>0</v>
      </c>
      <c r="AZ76" s="119">
        <f>[9]人員・時間計画!$M12</f>
        <v>0</v>
      </c>
      <c r="BA76" s="119">
        <f>[10]人員・時間計画!$M12</f>
        <v>0</v>
      </c>
      <c r="BB76" s="119">
        <f>[11]人員・時間計画!$M12</f>
        <v>0</v>
      </c>
      <c r="BC76" s="114">
        <f>[12]人員・時間計画!$M12</f>
        <v>0</v>
      </c>
      <c r="BD76" s="119">
        <f>[13]人員・時間計画!$M12</f>
        <v>0</v>
      </c>
      <c r="BE76" s="114">
        <f>[14]人員・時間計画!$M12</f>
        <v>0</v>
      </c>
      <c r="BF76" s="119">
        <f>[15]人員・時間計画!$M12</f>
        <v>0</v>
      </c>
      <c r="BG76" s="119">
        <f>[16]人員・時間計画!$M12</f>
        <v>0</v>
      </c>
      <c r="BH76" s="118">
        <f t="shared" si="264"/>
        <v>0</v>
      </c>
      <c r="BI76" s="118">
        <f t="shared" si="265"/>
        <v>0</v>
      </c>
      <c r="BJ76" s="119">
        <f>[44]人員・時間計画!$M12</f>
        <v>1</v>
      </c>
      <c r="BK76" s="119">
        <f>[45]人員・時間計画!$M12</f>
        <v>33</v>
      </c>
      <c r="BL76" s="118">
        <f t="shared" si="266"/>
        <v>34</v>
      </c>
      <c r="BM76" s="119">
        <f>[46]人員・時間計画!$M12</f>
        <v>0</v>
      </c>
      <c r="BN76" s="119">
        <f>[47]人員・時間計画!M12</f>
        <v>0</v>
      </c>
      <c r="BO76" s="119">
        <f>[48]人員・時間計画!$M12</f>
        <v>0</v>
      </c>
      <c r="BP76" s="119">
        <f>[49]人員・時間計画!$M12</f>
        <v>0</v>
      </c>
      <c r="BQ76" s="119">
        <f>[50]人員・時間計画!$M12</f>
        <v>0</v>
      </c>
      <c r="BR76" s="118">
        <f t="shared" si="267"/>
        <v>0</v>
      </c>
      <c r="BS76" s="119">
        <f>[51]人員・時間計画!$M12</f>
        <v>6</v>
      </c>
      <c r="BT76" s="119">
        <f>[52]人員・時間計画!$M12</f>
        <v>0</v>
      </c>
      <c r="BU76" s="119">
        <f>[53]人員・時間計画!$M12</f>
        <v>3</v>
      </c>
      <c r="BV76" s="119">
        <f>[54]人員・時間計画!$M12</f>
        <v>0</v>
      </c>
      <c r="BW76" s="119">
        <f>[55]人員・時間計画!$M12</f>
        <v>67</v>
      </c>
      <c r="BX76" s="118">
        <f t="shared" si="268"/>
        <v>76</v>
      </c>
      <c r="BY76" s="119">
        <f>[56]人員・時間計画!$M12</f>
        <v>0</v>
      </c>
      <c r="BZ76" s="119">
        <f>[57]人員・時間計画!$M12</f>
        <v>0</v>
      </c>
      <c r="CA76" s="119">
        <f>[59]人員・時間計画!$M12</f>
        <v>0</v>
      </c>
      <c r="CB76" s="118">
        <f t="shared" si="269"/>
        <v>0</v>
      </c>
      <c r="CC76" s="119">
        <f>[58]人員・時間計画!$M12</f>
        <v>0</v>
      </c>
      <c r="CD76" s="118">
        <f t="shared" si="270"/>
        <v>0</v>
      </c>
      <c r="CE76" s="118">
        <f>CD76+CB76+BX76+BR76+BL76+BI76+AX76+AK76</f>
        <v>6436</v>
      </c>
    </row>
    <row r="77" spans="1:83">
      <c r="A77" s="112">
        <v>14</v>
      </c>
      <c r="B77" s="120" t="s">
        <v>195</v>
      </c>
      <c r="C77" s="121">
        <f>[1]人員・時間計画!$M$13</f>
        <v>2055</v>
      </c>
      <c r="D77" s="121">
        <f>[2]人員・時間計画!$M13</f>
        <v>2142</v>
      </c>
      <c r="E77" s="121">
        <f>[3]人員・時間計画!$M13</f>
        <v>1267</v>
      </c>
      <c r="F77" s="121">
        <f>[4]人員・時間計画!$M13</f>
        <v>0</v>
      </c>
      <c r="G77" s="121">
        <f>[17]人員・時間計画!$M13</f>
        <v>28</v>
      </c>
      <c r="H77" s="122">
        <f>SUM(H75:H76)</f>
        <v>5492</v>
      </c>
      <c r="I77" s="121">
        <f>[5]人員・時間計画!$M13</f>
        <v>346</v>
      </c>
      <c r="J77" s="121">
        <f>[18]人員・時間計画!$M13</f>
        <v>25</v>
      </c>
      <c r="K77" s="114">
        <f>[19]人員・時間計画!$M13</f>
        <v>8</v>
      </c>
      <c r="L77" s="114">
        <f>[20]人員・時間計画!$M13</f>
        <v>28</v>
      </c>
      <c r="M77" s="122">
        <f>SUM(M75:M76)</f>
        <v>407</v>
      </c>
      <c r="N77" s="121">
        <f>[6]人員・時間計画!$M13</f>
        <v>141</v>
      </c>
      <c r="O77" s="121">
        <f>'[21]Kế hoạch số người - thời gian'!$M13</f>
        <v>32</v>
      </c>
      <c r="P77" s="121">
        <f>[22]人員・時間計画!$M13</f>
        <v>9</v>
      </c>
      <c r="Q77" s="121">
        <f>[23]人員・時間計画!$M13</f>
        <v>25</v>
      </c>
      <c r="R77" s="122">
        <f>SUM(R75:R76)</f>
        <v>207</v>
      </c>
      <c r="S77" s="121">
        <f>'[7]人員・時間計画 '!$M13</f>
        <v>58</v>
      </c>
      <c r="T77" s="122">
        <f>SUM(T75:T76)</f>
        <v>58</v>
      </c>
      <c r="U77" s="121">
        <f>[26]人員・時間計画!$M13</f>
        <v>10</v>
      </c>
      <c r="V77" s="121">
        <f>[27]人員・時間計画!$M13</f>
        <v>6</v>
      </c>
      <c r="W77" s="121">
        <f>[28]人員・時間計画!$M13</f>
        <v>17</v>
      </c>
      <c r="X77" s="121">
        <f>[29]人員・時間計画!$M13</f>
        <v>3</v>
      </c>
      <c r="Y77" s="122">
        <f>SUM(Y75:Y76)</f>
        <v>36</v>
      </c>
      <c r="Z77" s="121">
        <f>[30]人員・時間計画!$M13</f>
        <v>399</v>
      </c>
      <c r="AA77" s="121">
        <f>[60]人員・時間計画!$M13</f>
        <v>62</v>
      </c>
      <c r="AB77" s="121">
        <f>[31]人員・時間計画!$M13</f>
        <v>17</v>
      </c>
      <c r="AC77" s="122">
        <f t="shared" ref="AC77" si="271">SUM(AC75:AC76)</f>
        <v>478</v>
      </c>
      <c r="AD77" s="121">
        <f>[24]人員・時間計画!$M13</f>
        <v>218</v>
      </c>
      <c r="AE77" s="121">
        <f>[25]人員・時間計画!$M13</f>
        <v>9</v>
      </c>
      <c r="AF77" s="122">
        <f>SUM(AF75:AF76)</f>
        <v>227</v>
      </c>
      <c r="AG77" s="121">
        <f>[37]人員・時間計画!$M13</f>
        <v>104</v>
      </c>
      <c r="AH77" s="121">
        <f>[38]人員・時間計画!$M13</f>
        <v>47</v>
      </c>
      <c r="AI77" s="121">
        <f>[39]人員・時間計画!$M13</f>
        <v>36</v>
      </c>
      <c r="AJ77" s="122">
        <f t="shared" ref="AJ77" si="272">SUM(AJ75:AJ76)</f>
        <v>187</v>
      </c>
      <c r="AK77" s="122">
        <f t="shared" si="259"/>
        <v>7092</v>
      </c>
      <c r="AL77" s="121">
        <f>[32]人員・時間計画!$M13</f>
        <v>15</v>
      </c>
      <c r="AM77" s="121">
        <f>[33]人員・時間計画!M13</f>
        <v>21</v>
      </c>
      <c r="AN77" s="121">
        <f>[34]人員・時間計画!$M13</f>
        <v>13</v>
      </c>
      <c r="AO77" s="114">
        <f>[35]人員・時間計画!$M13</f>
        <v>9</v>
      </c>
      <c r="AP77" s="121">
        <f>[36]人員・時間計画!$M13</f>
        <v>18</v>
      </c>
      <c r="AQ77" s="122">
        <f>SUM(AQ75:AQ76)</f>
        <v>76</v>
      </c>
      <c r="AR77" s="121">
        <f>[41]人員・時間計画!$M13</f>
        <v>17</v>
      </c>
      <c r="AS77" s="121">
        <f>[42]人員・時間計画!$M13</f>
        <v>13</v>
      </c>
      <c r="AT77" s="121">
        <f>[43]人員・時間計画!M13</f>
        <v>23</v>
      </c>
      <c r="AU77" s="122">
        <f>SUM(AU75:AU76)</f>
        <v>53</v>
      </c>
      <c r="AV77" s="121">
        <f>[40]人員・時間計画!$M13</f>
        <v>23</v>
      </c>
      <c r="AW77" s="122">
        <f>SUM(AW75:AW76)</f>
        <v>23</v>
      </c>
      <c r="AX77" s="122">
        <f t="shared" si="263"/>
        <v>152</v>
      </c>
      <c r="AY77" s="121">
        <f>[8]人員・時間計画!$M13</f>
        <v>9</v>
      </c>
      <c r="AZ77" s="121">
        <f>[9]人員・時間計画!$M13</f>
        <v>9</v>
      </c>
      <c r="BA77" s="121">
        <f>[10]人員・時間計画!$M13</f>
        <v>11</v>
      </c>
      <c r="BB77" s="121">
        <f>[11]人員・時間計画!$M13</f>
        <v>15</v>
      </c>
      <c r="BC77" s="114">
        <f>[12]人員・時間計画!$M13</f>
        <v>7</v>
      </c>
      <c r="BD77" s="121">
        <f>[13]人員・時間計画!$M13</f>
        <v>10</v>
      </c>
      <c r="BE77" s="114">
        <f>[14]人員・時間計画!$M13</f>
        <v>8</v>
      </c>
      <c r="BF77" s="121">
        <f>[15]人員・時間計画!$M13</f>
        <v>13</v>
      </c>
      <c r="BG77" s="121">
        <f>[16]人員・時間計画!$M13</f>
        <v>12</v>
      </c>
      <c r="BH77" s="122">
        <f t="shared" si="264"/>
        <v>94</v>
      </c>
      <c r="BI77" s="122">
        <f t="shared" ref="BI77" si="273">SUM(BI75:BI76)</f>
        <v>94</v>
      </c>
      <c r="BJ77" s="121">
        <f>[44]人員・時間計画!$M13</f>
        <v>12</v>
      </c>
      <c r="BK77" s="121">
        <f>[45]人員・時間計画!$M13</f>
        <v>47</v>
      </c>
      <c r="BL77" s="122">
        <f>SUM(BL75:BL76)</f>
        <v>59</v>
      </c>
      <c r="BM77" s="121">
        <f>[46]人員・時間計画!$M13</f>
        <v>17</v>
      </c>
      <c r="BN77" s="121">
        <f>[47]人員・時間計画!M13</f>
        <v>4</v>
      </c>
      <c r="BO77" s="121">
        <f>[48]人員・時間計画!$M13</f>
        <v>6</v>
      </c>
      <c r="BP77" s="121">
        <f>[49]人員・時間計画!$M13</f>
        <v>8</v>
      </c>
      <c r="BQ77" s="121">
        <f>[50]人員・時間計画!$M13</f>
        <v>4</v>
      </c>
      <c r="BR77" s="122">
        <f t="shared" si="267"/>
        <v>39</v>
      </c>
      <c r="BS77" s="121">
        <f>[51]人員・時間計画!$M13</f>
        <v>17</v>
      </c>
      <c r="BT77" s="121">
        <f>[52]人員・時間計画!$M13</f>
        <v>16</v>
      </c>
      <c r="BU77" s="121">
        <f>[53]人員・時間計画!$M13</f>
        <v>14</v>
      </c>
      <c r="BV77" s="121">
        <f>[54]人員・時間計画!$M13</f>
        <v>6</v>
      </c>
      <c r="BW77" s="121">
        <f>[55]人員・時間計画!$M13</f>
        <v>70</v>
      </c>
      <c r="BX77" s="122">
        <f t="shared" si="268"/>
        <v>123</v>
      </c>
      <c r="BY77" s="121">
        <f>[56]人員・時間計画!$M13</f>
        <v>12</v>
      </c>
      <c r="BZ77" s="121">
        <f>[57]人員・時間計画!$M13</f>
        <v>8</v>
      </c>
      <c r="CA77" s="121">
        <f>[59]人員・時間計画!$M13</f>
        <v>17</v>
      </c>
      <c r="CB77" s="122">
        <f>SUM(CB75:CB76)</f>
        <v>37</v>
      </c>
      <c r="CC77" s="121">
        <f>[58]人員・時間計画!$M13</f>
        <v>14</v>
      </c>
      <c r="CD77" s="122">
        <f>SUM(CD75:CD76)</f>
        <v>14</v>
      </c>
      <c r="CE77" s="122">
        <f>CD77+CB77+BX77+BR77+BL77+BI77+AX77+AK77</f>
        <v>7610</v>
      </c>
    </row>
    <row r="78" spans="1:83" ht="15" thickBot="1">
      <c r="A78" s="112">
        <v>14</v>
      </c>
      <c r="B78" s="123" t="s">
        <v>196</v>
      </c>
      <c r="C78" s="124">
        <f>[1]人員・時間計画!$M$14</f>
        <v>2057</v>
      </c>
      <c r="D78" s="124">
        <f>[2]人員・時間計画!$M14</f>
        <v>2142</v>
      </c>
      <c r="E78" s="124">
        <f>[3]人員・時間計画!$M14</f>
        <v>1267</v>
      </c>
      <c r="F78" s="124">
        <f>[4]人員・時間計画!$M14</f>
        <v>0</v>
      </c>
      <c r="G78" s="124">
        <f>[17]人員・時間計画!$M14</f>
        <v>28</v>
      </c>
      <c r="H78" s="125">
        <f>H77+H74</f>
        <v>5494</v>
      </c>
      <c r="I78" s="124">
        <f>[5]人員・時間計画!$M14</f>
        <v>347</v>
      </c>
      <c r="J78" s="124">
        <f>[18]人員・時間計画!$M14</f>
        <v>25</v>
      </c>
      <c r="K78" s="114">
        <f>[19]人員・時間計画!$M14</f>
        <v>8</v>
      </c>
      <c r="L78" s="114">
        <f>[20]人員・時間計画!$M14</f>
        <v>28</v>
      </c>
      <c r="M78" s="125">
        <f>M77+M74</f>
        <v>408</v>
      </c>
      <c r="N78" s="124">
        <f>[6]人員・時間計画!$M14</f>
        <v>142</v>
      </c>
      <c r="O78" s="124">
        <f>'[21]Kế hoạch số người - thời gian'!$M14</f>
        <v>34</v>
      </c>
      <c r="P78" s="124">
        <f>[22]人員・時間計画!$M14</f>
        <v>9</v>
      </c>
      <c r="Q78" s="124">
        <f>[23]人員・時間計画!$M14</f>
        <v>25</v>
      </c>
      <c r="R78" s="125">
        <f>R77+R74</f>
        <v>210</v>
      </c>
      <c r="S78" s="124">
        <f>'[7]人員・時間計画 '!$M14</f>
        <v>60</v>
      </c>
      <c r="T78" s="125">
        <f>T77+T74</f>
        <v>60</v>
      </c>
      <c r="U78" s="124">
        <f>[26]人員・時間計画!$M14</f>
        <v>11</v>
      </c>
      <c r="V78" s="124">
        <f>[27]人員・時間計画!$M14</f>
        <v>6</v>
      </c>
      <c r="W78" s="124">
        <f>[28]人員・時間計画!$M14</f>
        <v>17</v>
      </c>
      <c r="X78" s="124">
        <f>[29]人員・時間計画!$M14</f>
        <v>3</v>
      </c>
      <c r="Y78" s="125">
        <f>Y77+Y74</f>
        <v>37</v>
      </c>
      <c r="Z78" s="124">
        <f>[30]人員・時間計画!$M14</f>
        <v>399</v>
      </c>
      <c r="AA78" s="124">
        <f>[60]人員・時間計画!$M14</f>
        <v>62</v>
      </c>
      <c r="AB78" s="124">
        <f>[31]人員・時間計画!$M14</f>
        <v>18</v>
      </c>
      <c r="AC78" s="125">
        <f t="shared" ref="AC78" si="274">AC77+AC74</f>
        <v>479</v>
      </c>
      <c r="AD78" s="124">
        <f>[24]人員・時間計画!$M14</f>
        <v>220</v>
      </c>
      <c r="AE78" s="124">
        <f>[25]人員・時間計画!$M14</f>
        <v>9</v>
      </c>
      <c r="AF78" s="125">
        <f>AF77+AF74</f>
        <v>229</v>
      </c>
      <c r="AG78" s="124">
        <f>[37]人員・時間計画!$M14</f>
        <v>104</v>
      </c>
      <c r="AH78" s="124">
        <f>[38]人員・時間計画!$M14</f>
        <v>47</v>
      </c>
      <c r="AI78" s="124">
        <f>[39]人員・時間計画!$M14</f>
        <v>38</v>
      </c>
      <c r="AJ78" s="125">
        <f t="shared" ref="AJ78" si="275">AJ77+AJ74</f>
        <v>189</v>
      </c>
      <c r="AK78" s="125">
        <f t="shared" si="259"/>
        <v>7106</v>
      </c>
      <c r="AL78" s="124">
        <f>[32]人員・時間計画!$M14</f>
        <v>15</v>
      </c>
      <c r="AM78" s="124">
        <f>[33]人員・時間計画!M14</f>
        <v>23</v>
      </c>
      <c r="AN78" s="124">
        <f>[34]人員・時間計画!$M14</f>
        <v>13</v>
      </c>
      <c r="AO78" s="114">
        <f>[35]人員・時間計画!$M14</f>
        <v>9</v>
      </c>
      <c r="AP78" s="124">
        <f>[36]人員・時間計画!$M14</f>
        <v>19</v>
      </c>
      <c r="AQ78" s="125">
        <f>AQ77+AQ74</f>
        <v>79</v>
      </c>
      <c r="AR78" s="124">
        <f>[41]人員・時間計画!$M14</f>
        <v>18</v>
      </c>
      <c r="AS78" s="124">
        <f>[42]人員・時間計画!$M14</f>
        <v>14</v>
      </c>
      <c r="AT78" s="124">
        <f>[43]人員・時間計画!M14</f>
        <v>23</v>
      </c>
      <c r="AU78" s="125">
        <f>AU77+AU74</f>
        <v>55</v>
      </c>
      <c r="AV78" s="124">
        <f>[40]人員・時間計画!$M14</f>
        <v>25</v>
      </c>
      <c r="AW78" s="125">
        <f>AW77+AW74</f>
        <v>25</v>
      </c>
      <c r="AX78" s="125">
        <f t="shared" si="263"/>
        <v>159</v>
      </c>
      <c r="AY78" s="124">
        <f>[8]人員・時間計画!$M14</f>
        <v>9</v>
      </c>
      <c r="AZ78" s="124">
        <f>[9]人員・時間計画!$M14</f>
        <v>20</v>
      </c>
      <c r="BA78" s="124">
        <f>[10]人員・時間計画!$M14</f>
        <v>12</v>
      </c>
      <c r="BB78" s="124">
        <f>[11]人員・時間計画!$M14</f>
        <v>16</v>
      </c>
      <c r="BC78" s="114">
        <f>[12]人員・時間計画!$M14</f>
        <v>8</v>
      </c>
      <c r="BD78" s="124">
        <f>[13]人員・時間計画!$M14</f>
        <v>10</v>
      </c>
      <c r="BE78" s="114">
        <f>[14]人員・時間計画!$M14</f>
        <v>9</v>
      </c>
      <c r="BF78" s="124">
        <f>[15]人員・時間計画!$M14</f>
        <v>15</v>
      </c>
      <c r="BG78" s="124">
        <f>[16]人員・時間計画!$M14</f>
        <v>12</v>
      </c>
      <c r="BH78" s="125">
        <f t="shared" si="264"/>
        <v>111</v>
      </c>
      <c r="BI78" s="125">
        <f t="shared" ref="BI78" si="276">BI77+BI74</f>
        <v>111</v>
      </c>
      <c r="BJ78" s="124">
        <f>[44]人員・時間計画!$M14</f>
        <v>14</v>
      </c>
      <c r="BK78" s="124">
        <f>[45]人員・時間計画!$M14</f>
        <v>47</v>
      </c>
      <c r="BL78" s="125">
        <f>BL77+BL74</f>
        <v>61</v>
      </c>
      <c r="BM78" s="124">
        <f>[46]人員・時間計画!$M14</f>
        <v>18</v>
      </c>
      <c r="BN78" s="124">
        <f>[47]人員・時間計画!M14</f>
        <v>5</v>
      </c>
      <c r="BO78" s="124">
        <f>[48]人員・時間計画!$M14</f>
        <v>7</v>
      </c>
      <c r="BP78" s="124">
        <f>[49]人員・時間計画!$M14</f>
        <v>8</v>
      </c>
      <c r="BQ78" s="124">
        <f>[50]人員・時間計画!$M14</f>
        <v>6</v>
      </c>
      <c r="BR78" s="125">
        <f t="shared" si="267"/>
        <v>44</v>
      </c>
      <c r="BS78" s="124">
        <f>[51]人員・時間計画!$M14</f>
        <v>18</v>
      </c>
      <c r="BT78" s="124">
        <f>[52]人員・時間計画!$M14</f>
        <v>17</v>
      </c>
      <c r="BU78" s="124">
        <f>[53]人員・時間計画!$M14</f>
        <v>14</v>
      </c>
      <c r="BV78" s="124">
        <f>[54]人員・時間計画!$M14</f>
        <v>7</v>
      </c>
      <c r="BW78" s="124">
        <f>[55]人員・時間計画!$M14</f>
        <v>70</v>
      </c>
      <c r="BX78" s="125">
        <f t="shared" si="268"/>
        <v>126</v>
      </c>
      <c r="BY78" s="124">
        <f>[56]人員・時間計画!$M14</f>
        <v>12</v>
      </c>
      <c r="BZ78" s="124">
        <f>[57]人員・時間計画!$M14</f>
        <v>9</v>
      </c>
      <c r="CA78" s="124">
        <f>[59]人員・時間計画!$M14</f>
        <v>18</v>
      </c>
      <c r="CB78" s="125">
        <f>CB77+CB74</f>
        <v>39</v>
      </c>
      <c r="CC78" s="124">
        <f>[58]人員・時間計画!$M14</f>
        <v>15</v>
      </c>
      <c r="CD78" s="125">
        <f>CD77+CD74</f>
        <v>15</v>
      </c>
      <c r="CE78" s="125">
        <f>CD78+CB78+BX78+BR78+BL78+BI78+AX78+AK78</f>
        <v>7661</v>
      </c>
    </row>
    <row r="79" spans="1:83">
      <c r="A79" s="126"/>
      <c r="B79" s="127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  <c r="BP79" s="128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</row>
    <row r="80" spans="1:83" ht="21.5" thickBot="1">
      <c r="A80" s="109">
        <v>3</v>
      </c>
      <c r="B80" s="110" t="s">
        <v>3</v>
      </c>
      <c r="C80" s="129"/>
      <c r="D80" s="129"/>
      <c r="E80" s="129"/>
      <c r="F80" s="129"/>
      <c r="G80" s="129"/>
      <c r="H80" s="130"/>
      <c r="I80" s="129"/>
      <c r="J80" s="129"/>
      <c r="K80" s="129"/>
      <c r="L80" s="129"/>
      <c r="M80" s="130"/>
      <c r="N80" s="129"/>
      <c r="O80" s="129"/>
      <c r="P80" s="130"/>
      <c r="Q80" s="130"/>
      <c r="R80" s="130"/>
      <c r="S80" s="129"/>
      <c r="T80" s="130"/>
      <c r="U80" s="129"/>
      <c r="V80" s="129"/>
      <c r="W80" s="129"/>
      <c r="X80" s="129"/>
      <c r="Y80" s="130"/>
      <c r="Z80" s="129"/>
      <c r="AA80" s="129"/>
      <c r="AB80" s="129"/>
      <c r="AC80" s="130"/>
      <c r="AD80" s="129"/>
      <c r="AE80" s="129"/>
      <c r="AF80" s="130"/>
      <c r="AG80" s="129"/>
      <c r="AH80" s="129"/>
      <c r="AI80" s="129"/>
      <c r="AJ80" s="130"/>
      <c r="AK80" s="130"/>
      <c r="AL80" s="129"/>
      <c r="AM80" s="129"/>
      <c r="AN80" s="129"/>
      <c r="AO80" s="129"/>
      <c r="AP80" s="129"/>
      <c r="AQ80" s="130"/>
      <c r="AR80" s="129"/>
      <c r="AS80" s="129"/>
      <c r="AT80" s="129"/>
      <c r="AU80" s="130"/>
      <c r="AV80" s="130"/>
      <c r="AW80" s="130"/>
      <c r="AX80" s="130"/>
      <c r="AY80" s="129"/>
      <c r="AZ80" s="129"/>
      <c r="BA80" s="129"/>
      <c r="BB80" s="129"/>
      <c r="BC80" s="129"/>
      <c r="BD80" s="129"/>
      <c r="BE80" s="129"/>
      <c r="BF80" s="129"/>
      <c r="BG80" s="129"/>
      <c r="BH80" s="130"/>
      <c r="BI80" s="130"/>
      <c r="BJ80" s="129"/>
      <c r="BK80" s="129"/>
      <c r="BL80" s="130"/>
      <c r="BM80" s="129"/>
      <c r="BN80" s="129"/>
      <c r="BO80" s="129"/>
      <c r="BP80" s="129"/>
      <c r="BQ80" s="129"/>
      <c r="BR80" s="130"/>
      <c r="BS80" s="129"/>
      <c r="BT80" s="129"/>
      <c r="BU80" s="129"/>
      <c r="BV80" s="129"/>
      <c r="BW80" s="129"/>
      <c r="BX80" s="130"/>
      <c r="BY80" s="129"/>
      <c r="BZ80" s="129"/>
      <c r="CA80" s="129"/>
      <c r="CB80" s="130"/>
      <c r="CC80" s="129"/>
      <c r="CD80" s="130"/>
      <c r="CE80" s="131"/>
    </row>
    <row r="81" spans="1:83" ht="15" thickBot="1">
      <c r="A81" s="112">
        <v>15</v>
      </c>
      <c r="B81" s="113" t="s">
        <v>194</v>
      </c>
      <c r="C81" s="114">
        <f>[1]人員・時間計画!$N$10</f>
        <v>2</v>
      </c>
      <c r="D81" s="114">
        <f>[2]人員・時間計画!$N10</f>
        <v>0</v>
      </c>
      <c r="E81" s="114">
        <f>[3]人員・時間計画!$N10</f>
        <v>0</v>
      </c>
      <c r="F81" s="114">
        <f>[4]人員・時間計画!$N10</f>
        <v>0</v>
      </c>
      <c r="G81" s="114">
        <f>[17]人員・時間計画!$N10</f>
        <v>0</v>
      </c>
      <c r="H81" s="115">
        <f>SUM(C81:G81)</f>
        <v>2</v>
      </c>
      <c r="I81" s="114">
        <f>[5]人員・時間計画!$N10</f>
        <v>1</v>
      </c>
      <c r="J81" s="114">
        <f>[18]人員・時間計画!$N10</f>
        <v>0</v>
      </c>
      <c r="K81" s="114">
        <f>[19]人員・時間計画!$N10</f>
        <v>0</v>
      </c>
      <c r="L81" s="114">
        <f>[20]人員・時間計画!$N10</f>
        <v>0</v>
      </c>
      <c r="M81" s="115">
        <f>SUM(I81:L81)</f>
        <v>1</v>
      </c>
      <c r="N81" s="114">
        <f>[6]人員・時間計画!$N10</f>
        <v>1</v>
      </c>
      <c r="O81" s="114">
        <f>'[21]Kế hoạch số người - thời gian'!$N10</f>
        <v>2</v>
      </c>
      <c r="P81" s="114">
        <f>[22]人員・時間計画!$N10</f>
        <v>0</v>
      </c>
      <c r="Q81" s="114">
        <f>[23]人員・時間計画!$N10</f>
        <v>0</v>
      </c>
      <c r="R81" s="115">
        <f>SUM(N81:Q81)</f>
        <v>3</v>
      </c>
      <c r="S81" s="114">
        <f>'[7]人員・時間計画 '!$N10</f>
        <v>2</v>
      </c>
      <c r="T81" s="115">
        <f>S81</f>
        <v>2</v>
      </c>
      <c r="U81" s="114">
        <f>[26]人員・時間計画!$N10</f>
        <v>1</v>
      </c>
      <c r="V81" s="114">
        <f>[27]人員・時間計画!$N10</f>
        <v>0</v>
      </c>
      <c r="W81" s="114">
        <f>[28]人員・時間計画!$N10</f>
        <v>0</v>
      </c>
      <c r="X81" s="114">
        <f>[29]人員・時間計画!$N10</f>
        <v>0</v>
      </c>
      <c r="Y81" s="115">
        <f>SUM(U81:X81)</f>
        <v>1</v>
      </c>
      <c r="Z81" s="114">
        <f>[30]人員・時間計画!$N10</f>
        <v>0</v>
      </c>
      <c r="AA81" s="114">
        <f>[60]人員・時間計画!$N10</f>
        <v>0</v>
      </c>
      <c r="AB81" s="114">
        <f>[31]人員・時間計画!$N10</f>
        <v>1</v>
      </c>
      <c r="AC81" s="115">
        <f>SUM(Z81:AB81)</f>
        <v>1</v>
      </c>
      <c r="AD81" s="114">
        <f>[24]人員・時間計画!$N10</f>
        <v>2</v>
      </c>
      <c r="AE81" s="114">
        <f>[25]人員・時間計画!$N10</f>
        <v>0</v>
      </c>
      <c r="AF81" s="115">
        <f>SUM(AD81:AE81)</f>
        <v>2</v>
      </c>
      <c r="AG81" s="114">
        <f>[37]人員・時間計画!$N10</f>
        <v>0</v>
      </c>
      <c r="AH81" s="114">
        <f>[38]人員・時間計画!$N10</f>
        <v>0</v>
      </c>
      <c r="AI81" s="114">
        <f>[39]人員・時間計画!$N10</f>
        <v>2</v>
      </c>
      <c r="AJ81" s="115">
        <f>SUM(AG81:AI81)</f>
        <v>2</v>
      </c>
      <c r="AK81" s="115">
        <f>AJ81+AF81+AC81+Y81+T81+R81+M81+H81</f>
        <v>14</v>
      </c>
      <c r="AL81" s="114">
        <f>[32]人員・時間計画!N10</f>
        <v>0</v>
      </c>
      <c r="AM81" s="114">
        <f>[33]人員・時間計画!N10</f>
        <v>2</v>
      </c>
      <c r="AN81" s="114">
        <f>[34]人員・時間計画!$N10</f>
        <v>0</v>
      </c>
      <c r="AO81" s="114">
        <f>[35]人員・時間計画!$N10</f>
        <v>0</v>
      </c>
      <c r="AP81" s="114">
        <f>[36]人員・時間計画!N10</f>
        <v>1</v>
      </c>
      <c r="AQ81" s="115">
        <f>SUM(AL81:AP81)</f>
        <v>3</v>
      </c>
      <c r="AR81" s="114">
        <f>[41]人員・時間計画!$N10</f>
        <v>1</v>
      </c>
      <c r="AS81" s="114">
        <f>[42]人員・時間計画!$N10</f>
        <v>1</v>
      </c>
      <c r="AT81" s="114">
        <f>[43]人員・時間計画!N10</f>
        <v>0</v>
      </c>
      <c r="AU81" s="115">
        <f>SUM(AR81:AT81)</f>
        <v>2</v>
      </c>
      <c r="AV81" s="114">
        <f>[40]人員・時間計画!$N10</f>
        <v>2</v>
      </c>
      <c r="AW81" s="115">
        <f>AV81</f>
        <v>2</v>
      </c>
      <c r="AX81" s="115">
        <f>AQ81+AU81+AW81</f>
        <v>7</v>
      </c>
      <c r="AY81" s="114">
        <f>[8]人員・時間計画!$N10</f>
        <v>0</v>
      </c>
      <c r="AZ81" s="114">
        <f>[9]人員・時間計画!$N10</f>
        <v>11</v>
      </c>
      <c r="BA81" s="114">
        <f>[10]人員・時間計画!$N10</f>
        <v>1</v>
      </c>
      <c r="BB81" s="114">
        <f>[11]人員・時間計画!$N10</f>
        <v>1</v>
      </c>
      <c r="BC81" s="114">
        <f>[12]人員・時間計画!$N10</f>
        <v>1</v>
      </c>
      <c r="BD81" s="114">
        <f>[13]人員・時間計画!$N10</f>
        <v>0</v>
      </c>
      <c r="BE81" s="114">
        <f>[14]人員・時間計画!$N10</f>
        <v>1</v>
      </c>
      <c r="BF81" s="114">
        <f>[15]人員・時間計画!$N10</f>
        <v>2</v>
      </c>
      <c r="BG81" s="114">
        <f>[16]人員・時間計画!$N10</f>
        <v>0</v>
      </c>
      <c r="BH81" s="115">
        <f>SUM(AY81:BG81)</f>
        <v>17</v>
      </c>
      <c r="BI81" s="115">
        <f>BH81</f>
        <v>17</v>
      </c>
      <c r="BJ81" s="114">
        <f>[44]人員・時間計画!$N10</f>
        <v>2</v>
      </c>
      <c r="BK81" s="114">
        <f>[45]人員・時間計画!$N10</f>
        <v>0</v>
      </c>
      <c r="BL81" s="115">
        <f>SUM(BJ81:BK81)</f>
        <v>2</v>
      </c>
      <c r="BM81" s="114">
        <f>[46]人員・時間計画!$N10</f>
        <v>1</v>
      </c>
      <c r="BN81" s="114">
        <f>[47]人員・時間計画!$N10</f>
        <v>1</v>
      </c>
      <c r="BO81" s="114">
        <f>[48]人員・時間計画!$N10</f>
        <v>1</v>
      </c>
      <c r="BP81" s="114">
        <f>[49]人員・時間計画!$N10</f>
        <v>0</v>
      </c>
      <c r="BQ81" s="114">
        <f>[50]人員・時間計画!$N10</f>
        <v>2</v>
      </c>
      <c r="BR81" s="115">
        <f>SUM(BM81:BQ81)</f>
        <v>5</v>
      </c>
      <c r="BS81" s="114">
        <f>[51]人員・時間計画!$N10</f>
        <v>1</v>
      </c>
      <c r="BT81" s="114">
        <f>[52]人員・時間計画!$N10</f>
        <v>1</v>
      </c>
      <c r="BU81" s="114">
        <f>[53]人員・時間計画!$N10</f>
        <v>0</v>
      </c>
      <c r="BV81" s="114">
        <f>[54]人員・時間計画!$N10</f>
        <v>1</v>
      </c>
      <c r="BW81" s="114">
        <f>[55]人員・時間計画!$N10</f>
        <v>0</v>
      </c>
      <c r="BX81" s="115">
        <f>SUM(BS81:BW81)</f>
        <v>3</v>
      </c>
      <c r="BY81" s="114">
        <f>[56]人員・時間計画!$N10</f>
        <v>0</v>
      </c>
      <c r="BZ81" s="114">
        <f>[57]人員・時間計画!$N10</f>
        <v>1</v>
      </c>
      <c r="CA81" s="114">
        <f>[59]人員・時間計画!$N10</f>
        <v>1</v>
      </c>
      <c r="CB81" s="115">
        <f>SUM(BY81:CA81)</f>
        <v>2</v>
      </c>
      <c r="CC81" s="114">
        <f>[58]人員・時間計画!$N10</f>
        <v>1</v>
      </c>
      <c r="CD81" s="115">
        <f>CC81</f>
        <v>1</v>
      </c>
      <c r="CE81" s="115">
        <f>CD81+CB81+BX81+BR81+BL81+BI81+AX81+AK81</f>
        <v>51</v>
      </c>
    </row>
    <row r="82" spans="1:83">
      <c r="A82" s="112">
        <v>15</v>
      </c>
      <c r="B82" s="116" t="s">
        <v>139</v>
      </c>
      <c r="C82" s="132">
        <f>[1]人員・時間計画!$N$11</f>
        <v>93</v>
      </c>
      <c r="D82" s="132">
        <f>[2]人員・時間計画!$N11</f>
        <v>132</v>
      </c>
      <c r="E82" s="132">
        <f>[3]人員・時間計画!$N11</f>
        <v>99</v>
      </c>
      <c r="F82" s="132">
        <f>[4]人員・時間計画!$N11</f>
        <v>0</v>
      </c>
      <c r="G82" s="132">
        <f>[17]人員・時間計画!$N11</f>
        <v>21</v>
      </c>
      <c r="H82" s="115">
        <f t="shared" ref="H82:H83" si="277">SUM(C82:G82)</f>
        <v>345</v>
      </c>
      <c r="I82" s="132">
        <f>[5]人員・時間計画!$N11</f>
        <v>22</v>
      </c>
      <c r="J82" s="132">
        <f>[18]人員・時間計画!$N11</f>
        <v>14</v>
      </c>
      <c r="K82" s="114">
        <f>[19]人員・時間計画!$N11</f>
        <v>5</v>
      </c>
      <c r="L82" s="114">
        <f>[20]人員・時間計画!$N11</f>
        <v>11</v>
      </c>
      <c r="M82" s="115">
        <f t="shared" ref="M82:M83" si="278">SUM(I82:L82)</f>
        <v>52</v>
      </c>
      <c r="N82" s="132">
        <f>[6]人員・時間計画!$N11</f>
        <v>16</v>
      </c>
      <c r="O82" s="132">
        <f>'[21]Kế hoạch số người - thời gian'!$N11</f>
        <v>23</v>
      </c>
      <c r="P82" s="114">
        <f>[22]人員・時間計画!$N11</f>
        <v>9</v>
      </c>
      <c r="Q82" s="114">
        <f>[23]人員・時間計画!$N11</f>
        <v>12</v>
      </c>
      <c r="R82" s="115">
        <f>SUM(N82:Q82)</f>
        <v>60</v>
      </c>
      <c r="S82" s="114">
        <f>'[7]人員・時間計画 '!$N11</f>
        <v>15</v>
      </c>
      <c r="T82" s="115">
        <f t="shared" ref="T82:T83" si="279">S82</f>
        <v>15</v>
      </c>
      <c r="U82" s="132">
        <f>[26]人員・時間計画!$N11</f>
        <v>10</v>
      </c>
      <c r="V82" s="132">
        <f>[27]人員・時間計画!$N11</f>
        <v>6</v>
      </c>
      <c r="W82" s="132">
        <f>[28]人員・時間計画!$N11</f>
        <v>16</v>
      </c>
      <c r="X82" s="132">
        <f>[29]人員・時間計画!$N11</f>
        <v>3</v>
      </c>
      <c r="Y82" s="115">
        <f t="shared" ref="Y82:Y83" si="280">SUM(U82:X82)</f>
        <v>35</v>
      </c>
      <c r="Z82" s="132">
        <f>[30]人員・時間計画!$N11</f>
        <v>38</v>
      </c>
      <c r="AA82" s="132">
        <f>[60]人員・時間計画!$N11</f>
        <v>11</v>
      </c>
      <c r="AB82" s="132">
        <f>[31]人員・時間計画!$N11</f>
        <v>12</v>
      </c>
      <c r="AC82" s="115">
        <f t="shared" ref="AC82:AC83" si="281">SUM(Z82:AB82)</f>
        <v>61</v>
      </c>
      <c r="AD82" s="132">
        <f>[24]人員・時間計画!$N11</f>
        <v>110</v>
      </c>
      <c r="AE82" s="132">
        <f>[25]人員・時間計画!$N11</f>
        <v>8</v>
      </c>
      <c r="AF82" s="115">
        <f t="shared" ref="AF82:AF83" si="282">SUM(AD82:AE82)</f>
        <v>118</v>
      </c>
      <c r="AG82" s="132">
        <f>[37]人員・時間計画!$N11</f>
        <v>25</v>
      </c>
      <c r="AH82" s="132">
        <f>[38]人員・時間計画!$N11</f>
        <v>23</v>
      </c>
      <c r="AI82" s="132">
        <f>[39]人員・時間計画!$N11</f>
        <v>32</v>
      </c>
      <c r="AJ82" s="115">
        <f t="shared" ref="AJ82:AJ83" si="283">SUM(AG82:AI82)</f>
        <v>80</v>
      </c>
      <c r="AK82" s="115">
        <f t="shared" ref="AK82:AK85" si="284">AJ82+AF82+AC82+Y82+T82+R82+M82+H82</f>
        <v>766</v>
      </c>
      <c r="AL82" s="132">
        <f>[32]人員・時間計画!N11</f>
        <v>15</v>
      </c>
      <c r="AM82" s="132">
        <f>[33]人員・時間計画!N11</f>
        <v>21</v>
      </c>
      <c r="AN82" s="132">
        <f>[34]人員・時間計画!$N11</f>
        <v>13</v>
      </c>
      <c r="AO82" s="114">
        <f>[35]人員・時間計画!$N11</f>
        <v>9</v>
      </c>
      <c r="AP82" s="132">
        <f>[36]人員・時間計画!N11</f>
        <v>18</v>
      </c>
      <c r="AQ82" s="115">
        <f t="shared" ref="AQ82:AQ83" si="285">SUM(AL82:AP82)</f>
        <v>76</v>
      </c>
      <c r="AR82" s="132">
        <f>[41]人員・時間計画!$N11</f>
        <v>17</v>
      </c>
      <c r="AS82" s="132">
        <f>[42]人員・時間計画!$N11</f>
        <v>13</v>
      </c>
      <c r="AT82" s="132">
        <f>[43]人員・時間計画!N11</f>
        <v>23</v>
      </c>
      <c r="AU82" s="115">
        <f t="shared" ref="AU82:AU83" si="286">SUM(AR82:AT82)</f>
        <v>53</v>
      </c>
      <c r="AV82" s="114">
        <f>[40]人員・時間計画!$N11</f>
        <v>23</v>
      </c>
      <c r="AW82" s="115">
        <f t="shared" ref="AW82:AW83" si="287">AV82</f>
        <v>23</v>
      </c>
      <c r="AX82" s="115">
        <f t="shared" ref="AX82:AX85" si="288">AQ82+AU82+AW82</f>
        <v>152</v>
      </c>
      <c r="AY82" s="132">
        <f>[8]人員・時間計画!$N11</f>
        <v>9</v>
      </c>
      <c r="AZ82" s="132">
        <f>[9]人員・時間計画!$N11</f>
        <v>9</v>
      </c>
      <c r="BA82" s="132">
        <f>[10]人員・時間計画!$N11</f>
        <v>11</v>
      </c>
      <c r="BB82" s="132">
        <f>[11]人員・時間計画!$N11</f>
        <v>15</v>
      </c>
      <c r="BC82" s="114">
        <f>[12]人員・時間計画!$N11</f>
        <v>7</v>
      </c>
      <c r="BD82" s="132">
        <f>[13]人員・時間計画!$N11</f>
        <v>10</v>
      </c>
      <c r="BE82" s="114">
        <f>[14]人員・時間計画!$N11</f>
        <v>8</v>
      </c>
      <c r="BF82" s="132">
        <f>[15]人員・時間計画!$N11</f>
        <v>13</v>
      </c>
      <c r="BG82" s="132">
        <f>[16]人員・時間計画!$N11</f>
        <v>12</v>
      </c>
      <c r="BH82" s="115">
        <f t="shared" ref="BH82:BH85" si="289">SUM(AY82:BG82)</f>
        <v>94</v>
      </c>
      <c r="BI82" s="115">
        <f t="shared" ref="BI82:BI83" si="290">BH82</f>
        <v>94</v>
      </c>
      <c r="BJ82" s="132">
        <f>[44]人員・時間計画!$N11</f>
        <v>11</v>
      </c>
      <c r="BK82" s="132">
        <f>[45]人員・時間計画!$N11</f>
        <v>14</v>
      </c>
      <c r="BL82" s="115">
        <f t="shared" ref="BL82:BL83" si="291">SUM(BJ82:BK82)</f>
        <v>25</v>
      </c>
      <c r="BM82" s="132">
        <f>[46]人員・時間計画!$N11</f>
        <v>17</v>
      </c>
      <c r="BN82" s="132">
        <f>[47]人員・時間計画!$N11</f>
        <v>4</v>
      </c>
      <c r="BO82" s="132">
        <f>[48]人員・時間計画!$N11</f>
        <v>6</v>
      </c>
      <c r="BP82" s="132">
        <f>[49]人員・時間計画!$N11</f>
        <v>8</v>
      </c>
      <c r="BQ82" s="132">
        <f>[50]人員・時間計画!$N11</f>
        <v>4</v>
      </c>
      <c r="BR82" s="115">
        <f t="shared" ref="BR82:BR85" si="292">SUM(BM82:BQ82)</f>
        <v>39</v>
      </c>
      <c r="BS82" s="132">
        <f>[51]人員・時間計画!$N11</f>
        <v>11</v>
      </c>
      <c r="BT82" s="132">
        <f>[52]人員・時間計画!$N11</f>
        <v>16</v>
      </c>
      <c r="BU82" s="132">
        <f>[53]人員・時間計画!$N11</f>
        <v>11</v>
      </c>
      <c r="BV82" s="132">
        <f>[54]人員・時間計画!$N11</f>
        <v>6</v>
      </c>
      <c r="BW82" s="132">
        <f>[55]人員・時間計画!$N11</f>
        <v>3</v>
      </c>
      <c r="BX82" s="115">
        <f t="shared" ref="BX82:BX85" si="293">SUM(BS82:BW82)</f>
        <v>47</v>
      </c>
      <c r="BY82" s="132">
        <f>[56]人員・時間計画!$N11</f>
        <v>12</v>
      </c>
      <c r="BZ82" s="132">
        <f>[57]人員・時間計画!$N11</f>
        <v>8</v>
      </c>
      <c r="CA82" s="132">
        <f>[59]人員・時間計画!$N11</f>
        <v>17</v>
      </c>
      <c r="CB82" s="115">
        <f t="shared" ref="CB82:CB83" si="294">SUM(BY82:CA82)</f>
        <v>37</v>
      </c>
      <c r="CC82" s="132">
        <f>[58]人員・時間計画!$N11</f>
        <v>14</v>
      </c>
      <c r="CD82" s="115">
        <f t="shared" ref="CD82:CD83" si="295">CC82</f>
        <v>14</v>
      </c>
      <c r="CE82" s="115">
        <f>CD82+CB82+BX82+BR82+BL82+BI82+AX82+AK82</f>
        <v>1174</v>
      </c>
    </row>
    <row r="83" spans="1:83">
      <c r="A83" s="112">
        <v>15</v>
      </c>
      <c r="B83" s="117" t="s">
        <v>140</v>
      </c>
      <c r="C83" s="119">
        <f>[1]人員・時間計画!$N$12</f>
        <v>1789</v>
      </c>
      <c r="D83" s="119">
        <f>[2]人員・時間計画!$N12</f>
        <v>1761</v>
      </c>
      <c r="E83" s="119">
        <f>[3]人員・時間計画!$N12</f>
        <v>1123</v>
      </c>
      <c r="F83" s="119">
        <f>[4]人員・時間計画!$N12</f>
        <v>0</v>
      </c>
      <c r="G83" s="119">
        <f>[17]人員・時間計画!$N12</f>
        <v>7</v>
      </c>
      <c r="H83" s="118">
        <f t="shared" si="277"/>
        <v>4680</v>
      </c>
      <c r="I83" s="119">
        <f>[5]人員・時間計画!$N12</f>
        <v>324</v>
      </c>
      <c r="J83" s="119">
        <f>[18]人員・時間計画!$N12</f>
        <v>11</v>
      </c>
      <c r="K83" s="114">
        <f>[19]人員・時間計画!$N12</f>
        <v>3</v>
      </c>
      <c r="L83" s="114">
        <f>[20]人員・時間計画!$N12</f>
        <v>19</v>
      </c>
      <c r="M83" s="118">
        <f t="shared" si="278"/>
        <v>357</v>
      </c>
      <c r="N83" s="119">
        <f>[6]人員・時間計画!$N12</f>
        <v>125</v>
      </c>
      <c r="O83" s="119">
        <f>'[21]Kế hoạch số người - thời gian'!$N12</f>
        <v>9</v>
      </c>
      <c r="P83" s="119">
        <f>[22]人員・時間計画!$N12</f>
        <v>0</v>
      </c>
      <c r="Q83" s="119">
        <f>[23]人員・時間計画!$N12</f>
        <v>13</v>
      </c>
      <c r="R83" s="118">
        <f>SUM(N83:Q83)</f>
        <v>147</v>
      </c>
      <c r="S83" s="119">
        <f>'[7]人員・時間計画 '!$N12</f>
        <v>43</v>
      </c>
      <c r="T83" s="118">
        <f t="shared" si="279"/>
        <v>43</v>
      </c>
      <c r="U83" s="119">
        <f>[26]人員・時間計画!$N12</f>
        <v>0</v>
      </c>
      <c r="V83" s="119">
        <f>[27]人員・時間計画!$N12</f>
        <v>0</v>
      </c>
      <c r="W83" s="119">
        <f>[28]人員・時間計画!$N12</f>
        <v>1</v>
      </c>
      <c r="X83" s="119">
        <f>[29]人員・時間計画!$N12</f>
        <v>0</v>
      </c>
      <c r="Y83" s="118">
        <f t="shared" si="280"/>
        <v>1</v>
      </c>
      <c r="Z83" s="119">
        <f>[30]人員・時間計画!$N12</f>
        <v>359</v>
      </c>
      <c r="AA83" s="119">
        <f>[60]人員・時間計画!$N12</f>
        <v>50</v>
      </c>
      <c r="AB83" s="119">
        <f>[31]人員・時間計画!$N12</f>
        <v>5</v>
      </c>
      <c r="AC83" s="118">
        <f t="shared" si="281"/>
        <v>414</v>
      </c>
      <c r="AD83" s="119">
        <f>[24]人員・時間計画!$N12</f>
        <v>108</v>
      </c>
      <c r="AE83" s="119">
        <f>[25]人員・時間計画!$N12</f>
        <v>1</v>
      </c>
      <c r="AF83" s="118">
        <f t="shared" si="282"/>
        <v>109</v>
      </c>
      <c r="AG83" s="119">
        <f>[37]人員・時間計画!$N12</f>
        <v>79</v>
      </c>
      <c r="AH83" s="119">
        <f>[38]人員・時間計画!$N12</f>
        <v>24</v>
      </c>
      <c r="AI83" s="119">
        <f>[39]人員・時間計画!$N12</f>
        <v>4</v>
      </c>
      <c r="AJ83" s="118">
        <f t="shared" si="283"/>
        <v>107</v>
      </c>
      <c r="AK83" s="118">
        <f t="shared" si="284"/>
        <v>5858</v>
      </c>
      <c r="AL83" s="119">
        <f>[32]人員・時間計画!N12</f>
        <v>0</v>
      </c>
      <c r="AM83" s="119">
        <f>[33]人員・時間計画!N12</f>
        <v>0</v>
      </c>
      <c r="AN83" s="119">
        <f>[34]人員・時間計画!$N12</f>
        <v>0</v>
      </c>
      <c r="AO83" s="114">
        <f>[35]人員・時間計画!$N12</f>
        <v>0</v>
      </c>
      <c r="AP83" s="119">
        <f>[36]人員・時間計画!N12</f>
        <v>0</v>
      </c>
      <c r="AQ83" s="118">
        <f t="shared" si="285"/>
        <v>0</v>
      </c>
      <c r="AR83" s="119">
        <f>[41]人員・時間計画!$N12</f>
        <v>0</v>
      </c>
      <c r="AS83" s="119">
        <f>[42]人員・時間計画!$N12</f>
        <v>0</v>
      </c>
      <c r="AT83" s="119">
        <f>[43]人員・時間計画!N12</f>
        <v>0</v>
      </c>
      <c r="AU83" s="118">
        <f t="shared" si="286"/>
        <v>0</v>
      </c>
      <c r="AV83" s="119">
        <f>[40]人員・時間計画!$N12</f>
        <v>0</v>
      </c>
      <c r="AW83" s="118">
        <f t="shared" si="287"/>
        <v>0</v>
      </c>
      <c r="AX83" s="118">
        <f t="shared" si="288"/>
        <v>0</v>
      </c>
      <c r="AY83" s="119">
        <f>[8]人員・時間計画!$N12</f>
        <v>0</v>
      </c>
      <c r="AZ83" s="119">
        <f>[9]人員・時間計画!$N12</f>
        <v>0</v>
      </c>
      <c r="BA83" s="119">
        <f>[10]人員・時間計画!$N12</f>
        <v>0</v>
      </c>
      <c r="BB83" s="119">
        <f>[11]人員・時間計画!$N12</f>
        <v>0</v>
      </c>
      <c r="BC83" s="114">
        <f>[12]人員・時間計画!$N12</f>
        <v>0</v>
      </c>
      <c r="BD83" s="119">
        <f>[13]人員・時間計画!$N12</f>
        <v>0</v>
      </c>
      <c r="BE83" s="114">
        <f>[14]人員・時間計画!$N12</f>
        <v>0</v>
      </c>
      <c r="BF83" s="119">
        <f>[15]人員・時間計画!$N12</f>
        <v>0</v>
      </c>
      <c r="BG83" s="119">
        <f>[16]人員・時間計画!$N12</f>
        <v>0</v>
      </c>
      <c r="BH83" s="118">
        <f t="shared" si="289"/>
        <v>0</v>
      </c>
      <c r="BI83" s="118">
        <f t="shared" si="290"/>
        <v>0</v>
      </c>
      <c r="BJ83" s="119">
        <f>[44]人員・時間計画!$N12</f>
        <v>1</v>
      </c>
      <c r="BK83" s="119">
        <f>[45]人員・時間計画!$N12</f>
        <v>33</v>
      </c>
      <c r="BL83" s="118">
        <f t="shared" si="291"/>
        <v>34</v>
      </c>
      <c r="BM83" s="119">
        <f>[46]人員・時間計画!$N12</f>
        <v>0</v>
      </c>
      <c r="BN83" s="119">
        <f>[47]人員・時間計画!$N12</f>
        <v>0</v>
      </c>
      <c r="BO83" s="119">
        <f>[48]人員・時間計画!$N12</f>
        <v>0</v>
      </c>
      <c r="BP83" s="119">
        <f>[49]人員・時間計画!$N12</f>
        <v>0</v>
      </c>
      <c r="BQ83" s="119">
        <f>[50]人員・時間計画!$N12</f>
        <v>0</v>
      </c>
      <c r="BR83" s="118">
        <f t="shared" si="292"/>
        <v>0</v>
      </c>
      <c r="BS83" s="119">
        <f>[51]人員・時間計画!$N12</f>
        <v>6</v>
      </c>
      <c r="BT83" s="119">
        <f>[52]人員・時間計画!$N12</f>
        <v>0</v>
      </c>
      <c r="BU83" s="119">
        <f>[53]人員・時間計画!$N12</f>
        <v>3</v>
      </c>
      <c r="BV83" s="119">
        <f>[54]人員・時間計画!$N12</f>
        <v>0</v>
      </c>
      <c r="BW83" s="119">
        <f>[55]人員・時間計画!$N12</f>
        <v>67</v>
      </c>
      <c r="BX83" s="118">
        <f t="shared" si="293"/>
        <v>76</v>
      </c>
      <c r="BY83" s="119">
        <f>[56]人員・時間計画!$N12</f>
        <v>0</v>
      </c>
      <c r="BZ83" s="119">
        <f>[57]人員・時間計画!$N12</f>
        <v>0</v>
      </c>
      <c r="CA83" s="119">
        <f>[59]人員・時間計画!$N12</f>
        <v>0</v>
      </c>
      <c r="CB83" s="118">
        <f t="shared" si="294"/>
        <v>0</v>
      </c>
      <c r="CC83" s="119">
        <f>[58]人員・時間計画!$N12</f>
        <v>0</v>
      </c>
      <c r="CD83" s="118">
        <f t="shared" si="295"/>
        <v>0</v>
      </c>
      <c r="CE83" s="118">
        <f>CD83+CB83+BX83+BR83+BL83+BI83+AX83+AK83</f>
        <v>5968</v>
      </c>
    </row>
    <row r="84" spans="1:83">
      <c r="A84" s="112">
        <v>15</v>
      </c>
      <c r="B84" s="120" t="s">
        <v>195</v>
      </c>
      <c r="C84" s="121">
        <f>[1]人員・時間計画!$N$13</f>
        <v>1882</v>
      </c>
      <c r="D84" s="121">
        <f>[2]人員・時間計画!$N13</f>
        <v>1893</v>
      </c>
      <c r="E84" s="121">
        <f>[3]人員・時間計画!$N13</f>
        <v>1222</v>
      </c>
      <c r="F84" s="121">
        <f>[4]人員・時間計画!$N13</f>
        <v>0</v>
      </c>
      <c r="G84" s="121">
        <f>[17]人員・時間計画!$N13</f>
        <v>28</v>
      </c>
      <c r="H84" s="122">
        <f>SUM(H82:H83)</f>
        <v>5025</v>
      </c>
      <c r="I84" s="121">
        <f>[5]人員・時間計画!$N13</f>
        <v>346</v>
      </c>
      <c r="J84" s="121">
        <f>[18]人員・時間計画!$N13</f>
        <v>25</v>
      </c>
      <c r="K84" s="114">
        <f>[19]人員・時間計画!$N13</f>
        <v>8</v>
      </c>
      <c r="L84" s="114">
        <f>[20]人員・時間計画!$N13</f>
        <v>30</v>
      </c>
      <c r="M84" s="122">
        <f>SUM(M82:M83)</f>
        <v>409</v>
      </c>
      <c r="N84" s="121">
        <f>[6]人員・時間計画!$N13</f>
        <v>141</v>
      </c>
      <c r="O84" s="121">
        <f>'[21]Kế hoạch số người - thời gian'!$N13</f>
        <v>32</v>
      </c>
      <c r="P84" s="121">
        <f>[22]人員・時間計画!$N13</f>
        <v>9</v>
      </c>
      <c r="Q84" s="121">
        <f>[23]人員・時間計画!$N13</f>
        <v>25</v>
      </c>
      <c r="R84" s="122">
        <f>SUM(R82:R83)</f>
        <v>207</v>
      </c>
      <c r="S84" s="121">
        <f>'[7]人員・時間計画 '!$N13</f>
        <v>58</v>
      </c>
      <c r="T84" s="122">
        <f>SUM(T82:T83)</f>
        <v>58</v>
      </c>
      <c r="U84" s="121">
        <f>[26]人員・時間計画!$N13</f>
        <v>10</v>
      </c>
      <c r="V84" s="121">
        <f>[27]人員・時間計画!$N13</f>
        <v>6</v>
      </c>
      <c r="W84" s="121">
        <f>[28]人員・時間計画!$N13</f>
        <v>17</v>
      </c>
      <c r="X84" s="121">
        <f>[29]人員・時間計画!$N13</f>
        <v>3</v>
      </c>
      <c r="Y84" s="122">
        <f>SUM(Y82:Y83)</f>
        <v>36</v>
      </c>
      <c r="Z84" s="121">
        <f>[30]人員・時間計画!$N13</f>
        <v>397</v>
      </c>
      <c r="AA84" s="121">
        <f>[60]人員・時間計画!$N13</f>
        <v>61</v>
      </c>
      <c r="AB84" s="121">
        <f>[31]人員・時間計画!$N13</f>
        <v>17</v>
      </c>
      <c r="AC84" s="122">
        <f t="shared" ref="AC84" si="296">SUM(AC82:AC83)</f>
        <v>475</v>
      </c>
      <c r="AD84" s="121">
        <f>[24]人員・時間計画!$N13</f>
        <v>218</v>
      </c>
      <c r="AE84" s="121">
        <f>[25]人員・時間計画!$N13</f>
        <v>9</v>
      </c>
      <c r="AF84" s="122">
        <f>SUM(AF82:AF83)</f>
        <v>227</v>
      </c>
      <c r="AG84" s="121">
        <f>[37]人員・時間計画!$N13</f>
        <v>104</v>
      </c>
      <c r="AH84" s="121">
        <f>[38]人員・時間計画!$N13</f>
        <v>47</v>
      </c>
      <c r="AI84" s="121">
        <f>[39]人員・時間計画!$N13</f>
        <v>36</v>
      </c>
      <c r="AJ84" s="122">
        <f t="shared" ref="AJ84" si="297">SUM(AJ82:AJ83)</f>
        <v>187</v>
      </c>
      <c r="AK84" s="122">
        <f t="shared" si="284"/>
        <v>6624</v>
      </c>
      <c r="AL84" s="121">
        <f>[32]人員・時間計画!N13</f>
        <v>15</v>
      </c>
      <c r="AM84" s="121">
        <f>[33]人員・時間計画!N13</f>
        <v>21</v>
      </c>
      <c r="AN84" s="121">
        <f>[34]人員・時間計画!$N13</f>
        <v>13</v>
      </c>
      <c r="AO84" s="114">
        <f>[35]人員・時間計画!$N13</f>
        <v>9</v>
      </c>
      <c r="AP84" s="121">
        <f>[36]人員・時間計画!N13</f>
        <v>18</v>
      </c>
      <c r="AQ84" s="122">
        <f>SUM(AQ82:AQ83)</f>
        <v>76</v>
      </c>
      <c r="AR84" s="121">
        <f>[41]人員・時間計画!$N13</f>
        <v>17</v>
      </c>
      <c r="AS84" s="121">
        <f>[42]人員・時間計画!$N13</f>
        <v>13</v>
      </c>
      <c r="AT84" s="121">
        <f>[43]人員・時間計画!N13</f>
        <v>23</v>
      </c>
      <c r="AU84" s="122">
        <f>SUM(AU82:AU83)</f>
        <v>53</v>
      </c>
      <c r="AV84" s="121">
        <f>[40]人員・時間計画!$N13</f>
        <v>23</v>
      </c>
      <c r="AW84" s="122">
        <f>SUM(AW82:AW83)</f>
        <v>23</v>
      </c>
      <c r="AX84" s="122">
        <f t="shared" si="288"/>
        <v>152</v>
      </c>
      <c r="AY84" s="121">
        <f>[8]人員・時間計画!$N13</f>
        <v>9</v>
      </c>
      <c r="AZ84" s="121">
        <f>[9]人員・時間計画!$N13</f>
        <v>9</v>
      </c>
      <c r="BA84" s="121">
        <f>[10]人員・時間計画!$N13</f>
        <v>11</v>
      </c>
      <c r="BB84" s="121">
        <f>[11]人員・時間計画!$N13</f>
        <v>15</v>
      </c>
      <c r="BC84" s="114">
        <f>[12]人員・時間計画!$N13</f>
        <v>7</v>
      </c>
      <c r="BD84" s="121">
        <f>[13]人員・時間計画!$N13</f>
        <v>10</v>
      </c>
      <c r="BE84" s="114">
        <f>[14]人員・時間計画!$N13</f>
        <v>8</v>
      </c>
      <c r="BF84" s="121">
        <f>[15]人員・時間計画!$N13</f>
        <v>13</v>
      </c>
      <c r="BG84" s="121">
        <f>[16]人員・時間計画!$N13</f>
        <v>12</v>
      </c>
      <c r="BH84" s="122">
        <f t="shared" si="289"/>
        <v>94</v>
      </c>
      <c r="BI84" s="122">
        <f t="shared" ref="BI84" si="298">SUM(BI82:BI83)</f>
        <v>94</v>
      </c>
      <c r="BJ84" s="121">
        <f>[44]人員・時間計画!$N13</f>
        <v>12</v>
      </c>
      <c r="BK84" s="121">
        <f>[45]人員・時間計画!$N13</f>
        <v>47</v>
      </c>
      <c r="BL84" s="122">
        <f>SUM(BL82:BL83)</f>
        <v>59</v>
      </c>
      <c r="BM84" s="121">
        <f>[46]人員・時間計画!$N13</f>
        <v>17</v>
      </c>
      <c r="BN84" s="121">
        <f>[47]人員・時間計画!$N13</f>
        <v>4</v>
      </c>
      <c r="BO84" s="121">
        <f>[48]人員・時間計画!$N13</f>
        <v>6</v>
      </c>
      <c r="BP84" s="121">
        <f>[49]人員・時間計画!$N13</f>
        <v>8</v>
      </c>
      <c r="BQ84" s="121">
        <f>[50]人員・時間計画!$N13</f>
        <v>4</v>
      </c>
      <c r="BR84" s="122">
        <f t="shared" si="292"/>
        <v>39</v>
      </c>
      <c r="BS84" s="121">
        <f>[51]人員・時間計画!$N13</f>
        <v>17</v>
      </c>
      <c r="BT84" s="121">
        <f>[52]人員・時間計画!$N13</f>
        <v>16</v>
      </c>
      <c r="BU84" s="121">
        <f>[53]人員・時間計画!$N13</f>
        <v>14</v>
      </c>
      <c r="BV84" s="121">
        <f>[54]人員・時間計画!$N13</f>
        <v>6</v>
      </c>
      <c r="BW84" s="121">
        <f>[55]人員・時間計画!$N13</f>
        <v>70</v>
      </c>
      <c r="BX84" s="122">
        <f t="shared" si="293"/>
        <v>123</v>
      </c>
      <c r="BY84" s="121">
        <f>[56]人員・時間計画!$N13</f>
        <v>12</v>
      </c>
      <c r="BZ84" s="121">
        <f>[57]人員・時間計画!$N13</f>
        <v>8</v>
      </c>
      <c r="CA84" s="121">
        <f>[59]人員・時間計画!$N13</f>
        <v>17</v>
      </c>
      <c r="CB84" s="122">
        <f>SUM(CB82:CB83)</f>
        <v>37</v>
      </c>
      <c r="CC84" s="121">
        <f>[58]人員・時間計画!$N13</f>
        <v>14</v>
      </c>
      <c r="CD84" s="122">
        <f>SUM(CD82:CD83)</f>
        <v>14</v>
      </c>
      <c r="CE84" s="122">
        <f>CD84+CB84+BX84+BR84+BL84+BI84+AX84+AK84</f>
        <v>7142</v>
      </c>
    </row>
    <row r="85" spans="1:83" ht="15" thickBot="1">
      <c r="A85" s="112">
        <v>15</v>
      </c>
      <c r="B85" s="123" t="s">
        <v>196</v>
      </c>
      <c r="C85" s="124">
        <f>[1]人員・時間計画!$N$14</f>
        <v>1884</v>
      </c>
      <c r="D85" s="124">
        <f>[2]人員・時間計画!$N14</f>
        <v>1893</v>
      </c>
      <c r="E85" s="124">
        <f>[3]人員・時間計画!$N14</f>
        <v>1222</v>
      </c>
      <c r="F85" s="124">
        <f>[4]人員・時間計画!$N14</f>
        <v>0</v>
      </c>
      <c r="G85" s="124">
        <f>[17]人員・時間計画!$N14</f>
        <v>28</v>
      </c>
      <c r="H85" s="125">
        <f>H84+H81</f>
        <v>5027</v>
      </c>
      <c r="I85" s="124">
        <f>[5]人員・時間計画!$N14</f>
        <v>347</v>
      </c>
      <c r="J85" s="124">
        <f>[18]人員・時間計画!$N14</f>
        <v>25</v>
      </c>
      <c r="K85" s="114">
        <f>[19]人員・時間計画!$N14</f>
        <v>8</v>
      </c>
      <c r="L85" s="114">
        <f>[20]人員・時間計画!$N14</f>
        <v>30</v>
      </c>
      <c r="M85" s="125">
        <f>M84+M81</f>
        <v>410</v>
      </c>
      <c r="N85" s="124">
        <f>[6]人員・時間計画!$N14</f>
        <v>142</v>
      </c>
      <c r="O85" s="124">
        <f>'[21]Kế hoạch số người - thời gian'!$N14</f>
        <v>34</v>
      </c>
      <c r="P85" s="124">
        <f>[22]人員・時間計画!$N14</f>
        <v>9</v>
      </c>
      <c r="Q85" s="124">
        <f>[23]人員・時間計画!$N14</f>
        <v>25</v>
      </c>
      <c r="R85" s="125">
        <f>R84+R81</f>
        <v>210</v>
      </c>
      <c r="S85" s="124">
        <f>'[7]人員・時間計画 '!$N14</f>
        <v>60</v>
      </c>
      <c r="T85" s="125">
        <f>T84+T81</f>
        <v>60</v>
      </c>
      <c r="U85" s="124">
        <f>[26]人員・時間計画!$N14</f>
        <v>11</v>
      </c>
      <c r="V85" s="124">
        <f>[27]人員・時間計画!$N14</f>
        <v>6</v>
      </c>
      <c r="W85" s="124">
        <f>[28]人員・時間計画!$N14</f>
        <v>17</v>
      </c>
      <c r="X85" s="124">
        <f>[29]人員・時間計画!$N14</f>
        <v>3</v>
      </c>
      <c r="Y85" s="125">
        <f>Y84+Y81</f>
        <v>37</v>
      </c>
      <c r="Z85" s="124">
        <f>[30]人員・時間計画!$N14</f>
        <v>397</v>
      </c>
      <c r="AA85" s="124">
        <f>[60]人員・時間計画!$N14</f>
        <v>61</v>
      </c>
      <c r="AB85" s="124">
        <f>[31]人員・時間計画!$N14</f>
        <v>18</v>
      </c>
      <c r="AC85" s="125">
        <f t="shared" ref="AC85" si="299">AC84+AC81</f>
        <v>476</v>
      </c>
      <c r="AD85" s="124">
        <f>[24]人員・時間計画!$N14</f>
        <v>220</v>
      </c>
      <c r="AE85" s="124">
        <f>[25]人員・時間計画!$N14</f>
        <v>9</v>
      </c>
      <c r="AF85" s="125">
        <f>AF84+AF81</f>
        <v>229</v>
      </c>
      <c r="AG85" s="124">
        <f>[37]人員・時間計画!$N14</f>
        <v>104</v>
      </c>
      <c r="AH85" s="124">
        <f>[38]人員・時間計画!$N14</f>
        <v>47</v>
      </c>
      <c r="AI85" s="124">
        <f>[39]人員・時間計画!$N14</f>
        <v>38</v>
      </c>
      <c r="AJ85" s="125">
        <f t="shared" ref="AJ85" si="300">AJ84+AJ81</f>
        <v>189</v>
      </c>
      <c r="AK85" s="125">
        <f t="shared" si="284"/>
        <v>6638</v>
      </c>
      <c r="AL85" s="124">
        <f>[32]人員・時間計画!N14</f>
        <v>15</v>
      </c>
      <c r="AM85" s="124">
        <f>[33]人員・時間計画!N14</f>
        <v>23</v>
      </c>
      <c r="AN85" s="124">
        <f>[34]人員・時間計画!$N14</f>
        <v>13</v>
      </c>
      <c r="AO85" s="114">
        <f>[35]人員・時間計画!$N14</f>
        <v>9</v>
      </c>
      <c r="AP85" s="124">
        <f>[36]人員・時間計画!N14</f>
        <v>19</v>
      </c>
      <c r="AQ85" s="125">
        <f>AQ84+AQ81</f>
        <v>79</v>
      </c>
      <c r="AR85" s="124">
        <f>[41]人員・時間計画!$N14</f>
        <v>18</v>
      </c>
      <c r="AS85" s="124">
        <f>[42]人員・時間計画!$N14</f>
        <v>14</v>
      </c>
      <c r="AT85" s="124">
        <f>[43]人員・時間計画!N14</f>
        <v>23</v>
      </c>
      <c r="AU85" s="125">
        <f>AU84+AU81</f>
        <v>55</v>
      </c>
      <c r="AV85" s="124">
        <f>[40]人員・時間計画!$N14</f>
        <v>25</v>
      </c>
      <c r="AW85" s="125">
        <f>AW84+AW81</f>
        <v>25</v>
      </c>
      <c r="AX85" s="125">
        <f t="shared" si="288"/>
        <v>159</v>
      </c>
      <c r="AY85" s="124">
        <f>[8]人員・時間計画!$N14</f>
        <v>9</v>
      </c>
      <c r="AZ85" s="124">
        <f>[9]人員・時間計画!$N14</f>
        <v>20</v>
      </c>
      <c r="BA85" s="124">
        <f>[10]人員・時間計画!$N14</f>
        <v>12</v>
      </c>
      <c r="BB85" s="124">
        <f>[11]人員・時間計画!$N14</f>
        <v>16</v>
      </c>
      <c r="BC85" s="114">
        <f>[12]人員・時間計画!$N14</f>
        <v>8</v>
      </c>
      <c r="BD85" s="124">
        <f>[13]人員・時間計画!$N14</f>
        <v>10</v>
      </c>
      <c r="BE85" s="114">
        <f>[14]人員・時間計画!$N14</f>
        <v>9</v>
      </c>
      <c r="BF85" s="124">
        <f>[15]人員・時間計画!$N14</f>
        <v>15</v>
      </c>
      <c r="BG85" s="124">
        <f>[16]人員・時間計画!$N14</f>
        <v>12</v>
      </c>
      <c r="BH85" s="125">
        <f t="shared" si="289"/>
        <v>111</v>
      </c>
      <c r="BI85" s="125">
        <f t="shared" ref="BI85" si="301">BI84+BI81</f>
        <v>111</v>
      </c>
      <c r="BJ85" s="124">
        <f>[44]人員・時間計画!$N14</f>
        <v>14</v>
      </c>
      <c r="BK85" s="124">
        <f>[45]人員・時間計画!$N14</f>
        <v>47</v>
      </c>
      <c r="BL85" s="125">
        <f>BL84+BL81</f>
        <v>61</v>
      </c>
      <c r="BM85" s="124">
        <f>[46]人員・時間計画!$N14</f>
        <v>18</v>
      </c>
      <c r="BN85" s="124">
        <f>[47]人員・時間計画!$N14</f>
        <v>5</v>
      </c>
      <c r="BO85" s="124">
        <f>[48]人員・時間計画!$N14</f>
        <v>7</v>
      </c>
      <c r="BP85" s="124">
        <f>[49]人員・時間計画!$N14</f>
        <v>8</v>
      </c>
      <c r="BQ85" s="124">
        <f>[50]人員・時間計画!$N14</f>
        <v>6</v>
      </c>
      <c r="BR85" s="125">
        <f t="shared" si="292"/>
        <v>44</v>
      </c>
      <c r="BS85" s="124">
        <f>[51]人員・時間計画!$N14</f>
        <v>18</v>
      </c>
      <c r="BT85" s="124">
        <f>[52]人員・時間計画!$N14</f>
        <v>17</v>
      </c>
      <c r="BU85" s="124">
        <f>[53]人員・時間計画!$N14</f>
        <v>14</v>
      </c>
      <c r="BV85" s="124">
        <f>[54]人員・時間計画!$N14</f>
        <v>7</v>
      </c>
      <c r="BW85" s="124">
        <f>[55]人員・時間計画!$N14</f>
        <v>70</v>
      </c>
      <c r="BX85" s="125">
        <f t="shared" si="293"/>
        <v>126</v>
      </c>
      <c r="BY85" s="124">
        <f>[56]人員・時間計画!$N14</f>
        <v>12</v>
      </c>
      <c r="BZ85" s="124">
        <f>[57]人員・時間計画!$N14</f>
        <v>9</v>
      </c>
      <c r="CA85" s="124">
        <f>[59]人員・時間計画!$N14</f>
        <v>18</v>
      </c>
      <c r="CB85" s="125">
        <f>CB84+CB81</f>
        <v>39</v>
      </c>
      <c r="CC85" s="124">
        <f>[58]人員・時間計画!$N14</f>
        <v>15</v>
      </c>
      <c r="CD85" s="125">
        <f>CD84+CD81</f>
        <v>15</v>
      </c>
      <c r="CE85" s="125">
        <f>CD85+CB85+BX85+BR85+BL85+BI85+AX85+AK85</f>
        <v>7193</v>
      </c>
    </row>
    <row r="86" spans="1:83">
      <c r="A86" s="126"/>
      <c r="B86" s="133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  <c r="AQ86" s="134"/>
      <c r="AR86" s="134"/>
      <c r="AS86" s="134"/>
      <c r="AT86" s="134"/>
      <c r="AU86" s="134"/>
      <c r="AV86" s="134"/>
      <c r="AW86" s="134"/>
      <c r="AX86" s="134"/>
      <c r="AY86" s="134"/>
      <c r="AZ86" s="134"/>
      <c r="BA86" s="134"/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4"/>
      <c r="BM86" s="134"/>
      <c r="BN86" s="134"/>
      <c r="BO86" s="134"/>
      <c r="BP86" s="134"/>
      <c r="BQ86" s="134"/>
      <c r="BR86" s="134"/>
      <c r="BS86" s="134"/>
      <c r="BT86" s="134"/>
      <c r="BU86" s="134"/>
      <c r="BV86" s="134"/>
      <c r="BW86" s="134"/>
      <c r="BX86" s="134"/>
      <c r="BY86" s="134"/>
      <c r="BZ86" s="134"/>
      <c r="CB86" s="134"/>
      <c r="CD86" s="134"/>
      <c r="CE86" s="134"/>
    </row>
    <row r="87" spans="1:83" ht="15.5">
      <c r="A87" s="102"/>
      <c r="C87" s="135"/>
      <c r="D87" s="135"/>
      <c r="E87" s="135"/>
      <c r="F87" s="135"/>
      <c r="G87" s="135"/>
      <c r="H87" s="135">
        <v>0</v>
      </c>
      <c r="I87" s="135">
        <v>0</v>
      </c>
      <c r="J87" s="135">
        <v>0</v>
      </c>
      <c r="K87" s="135">
        <v>0</v>
      </c>
      <c r="L87" s="135">
        <v>0</v>
      </c>
      <c r="M87" s="135">
        <v>0</v>
      </c>
      <c r="N87" s="135">
        <v>0</v>
      </c>
      <c r="O87" s="135">
        <v>0</v>
      </c>
      <c r="P87" s="135">
        <v>0</v>
      </c>
      <c r="Q87" s="135">
        <v>0</v>
      </c>
      <c r="R87" s="135">
        <v>0</v>
      </c>
      <c r="S87" s="135"/>
      <c r="T87" s="135"/>
      <c r="U87" s="135">
        <v>0</v>
      </c>
      <c r="V87" s="135">
        <v>0</v>
      </c>
      <c r="W87" s="135">
        <v>0</v>
      </c>
      <c r="X87" s="135"/>
      <c r="Y87" s="135">
        <v>0</v>
      </c>
      <c r="Z87" s="135">
        <v>0</v>
      </c>
      <c r="AA87" s="135">
        <v>0</v>
      </c>
      <c r="AB87" s="135">
        <v>0</v>
      </c>
      <c r="AC87" s="135">
        <v>0</v>
      </c>
      <c r="AD87" s="135">
        <v>0</v>
      </c>
      <c r="AE87" s="135">
        <v>0</v>
      </c>
      <c r="AF87" s="135">
        <v>0</v>
      </c>
      <c r="AG87" s="135">
        <v>0</v>
      </c>
      <c r="AH87" s="135">
        <v>0</v>
      </c>
      <c r="AI87" s="135">
        <v>0</v>
      </c>
      <c r="AJ87" s="135">
        <v>0</v>
      </c>
      <c r="AK87" s="135">
        <v>0</v>
      </c>
      <c r="AL87" s="135">
        <v>0</v>
      </c>
      <c r="AM87" s="135">
        <v>0</v>
      </c>
      <c r="AN87" s="135">
        <v>0</v>
      </c>
      <c r="AO87" s="135"/>
      <c r="AP87" s="135">
        <v>0</v>
      </c>
      <c r="AQ87" s="135">
        <v>0</v>
      </c>
      <c r="AR87" s="135">
        <v>0</v>
      </c>
      <c r="AS87" s="135">
        <v>0</v>
      </c>
      <c r="AT87" s="135">
        <v>0</v>
      </c>
      <c r="AU87" s="135">
        <v>0</v>
      </c>
      <c r="AV87" s="135">
        <v>0</v>
      </c>
      <c r="AW87" s="135"/>
      <c r="AX87" s="135">
        <v>0</v>
      </c>
      <c r="AY87" s="135">
        <v>0</v>
      </c>
      <c r="AZ87" s="135">
        <v>0</v>
      </c>
      <c r="BA87" s="135">
        <v>0</v>
      </c>
      <c r="BB87" s="135">
        <v>0</v>
      </c>
      <c r="BC87" s="135">
        <v>0</v>
      </c>
      <c r="BD87" s="135">
        <v>0</v>
      </c>
      <c r="BE87" s="135"/>
      <c r="BF87" s="135">
        <v>0</v>
      </c>
      <c r="BG87" s="135">
        <v>0</v>
      </c>
      <c r="BH87" s="135">
        <v>0</v>
      </c>
      <c r="BI87" s="135">
        <v>0</v>
      </c>
      <c r="BJ87" s="135">
        <v>0</v>
      </c>
      <c r="BK87" s="135">
        <v>0</v>
      </c>
      <c r="BL87" s="135">
        <v>0</v>
      </c>
      <c r="BM87" s="135">
        <v>0</v>
      </c>
      <c r="BN87" s="135">
        <v>0</v>
      </c>
      <c r="BO87" s="135">
        <v>0</v>
      </c>
      <c r="BP87" s="135">
        <v>0</v>
      </c>
      <c r="BQ87" s="135">
        <v>0</v>
      </c>
      <c r="BR87" s="135">
        <v>0</v>
      </c>
      <c r="BS87" s="135">
        <v>0</v>
      </c>
      <c r="BT87" s="135">
        <v>0</v>
      </c>
      <c r="BU87" s="135">
        <v>0</v>
      </c>
      <c r="BV87" s="135">
        <v>0</v>
      </c>
      <c r="BW87" s="135">
        <v>0</v>
      </c>
      <c r="BX87" s="135">
        <v>0</v>
      </c>
      <c r="BY87" s="135">
        <v>0</v>
      </c>
      <c r="BZ87" s="135">
        <v>0</v>
      </c>
      <c r="CA87" s="135">
        <v>0</v>
      </c>
      <c r="CB87" s="135">
        <v>0</v>
      </c>
      <c r="CC87" s="135">
        <v>0</v>
      </c>
      <c r="CD87" s="135">
        <v>0</v>
      </c>
      <c r="CE87" s="135">
        <v>0</v>
      </c>
    </row>
    <row r="88" spans="1:83" ht="24.5">
      <c r="A88" s="136" t="s">
        <v>197</v>
      </c>
      <c r="B88" s="101" t="s">
        <v>196</v>
      </c>
    </row>
    <row r="89" spans="1:83" ht="21.5" thickBot="1">
      <c r="A89" s="109">
        <v>4</v>
      </c>
      <c r="B89" s="110" t="s">
        <v>3</v>
      </c>
      <c r="C89" s="129"/>
      <c r="D89" s="129"/>
      <c r="E89" s="129"/>
      <c r="F89" s="129"/>
      <c r="G89" s="129"/>
      <c r="H89" s="130"/>
      <c r="I89" s="129"/>
      <c r="J89" s="129"/>
      <c r="K89" s="129"/>
      <c r="L89" s="129"/>
      <c r="M89" s="130"/>
      <c r="N89" s="129"/>
      <c r="O89" s="129"/>
      <c r="P89" s="129"/>
      <c r="Q89" s="129"/>
      <c r="R89" s="130"/>
      <c r="S89" s="129"/>
      <c r="T89" s="130"/>
      <c r="U89" s="129"/>
      <c r="V89" s="129"/>
      <c r="W89" s="129"/>
      <c r="X89" s="129"/>
      <c r="Y89" s="130"/>
      <c r="Z89" s="129"/>
      <c r="AA89" s="129"/>
      <c r="AB89" s="129"/>
      <c r="AC89" s="130"/>
      <c r="AD89" s="129"/>
      <c r="AE89" s="130"/>
      <c r="AF89" s="129"/>
      <c r="AG89" s="129"/>
      <c r="AH89" s="129"/>
      <c r="AI89" s="130"/>
      <c r="AJ89" s="130"/>
      <c r="AK89" s="130"/>
      <c r="AL89" s="129"/>
      <c r="AM89" s="129"/>
      <c r="AN89" s="129"/>
      <c r="AO89" s="129"/>
      <c r="AP89" s="129"/>
      <c r="AQ89" s="130"/>
      <c r="AR89" s="129"/>
      <c r="AS89" s="129"/>
      <c r="AT89" s="129"/>
      <c r="AU89" s="130"/>
      <c r="AV89" s="129"/>
      <c r="AW89" s="130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30"/>
      <c r="BI89" s="130"/>
      <c r="BJ89" s="130"/>
      <c r="BK89" s="129"/>
      <c r="BL89" s="129"/>
      <c r="BM89" s="130"/>
      <c r="BN89" s="129"/>
      <c r="BO89" s="129"/>
      <c r="BP89" s="129"/>
      <c r="BQ89" s="129"/>
      <c r="BR89" s="129"/>
      <c r="BS89" s="130"/>
      <c r="BT89" s="129"/>
      <c r="BU89" s="129"/>
      <c r="BV89" s="129"/>
      <c r="BW89" s="129"/>
      <c r="BX89" s="129"/>
      <c r="BY89" s="130"/>
      <c r="BZ89" s="129"/>
      <c r="CA89" s="129"/>
      <c r="CB89" s="129"/>
      <c r="CC89" s="130"/>
      <c r="CD89" s="129"/>
      <c r="CE89" s="130"/>
    </row>
    <row r="90" spans="1:83">
      <c r="A90" s="137">
        <v>4</v>
      </c>
      <c r="B90" s="138" t="s">
        <v>194</v>
      </c>
      <c r="C90" s="139">
        <v>2</v>
      </c>
      <c r="D90" s="139">
        <v>0</v>
      </c>
      <c r="E90" s="139">
        <v>0</v>
      </c>
      <c r="F90" s="139">
        <v>0</v>
      </c>
      <c r="G90" s="139">
        <v>0</v>
      </c>
      <c r="H90" s="140">
        <v>2</v>
      </c>
      <c r="I90" s="139">
        <v>1</v>
      </c>
      <c r="J90" s="139">
        <v>0</v>
      </c>
      <c r="K90" s="139">
        <v>0</v>
      </c>
      <c r="L90" s="139">
        <v>0</v>
      </c>
      <c r="M90" s="140">
        <v>1</v>
      </c>
      <c r="N90" s="139">
        <v>1</v>
      </c>
      <c r="O90" s="139">
        <v>2</v>
      </c>
      <c r="P90" s="139">
        <v>0</v>
      </c>
      <c r="Q90" s="139">
        <v>0</v>
      </c>
      <c r="R90" s="140">
        <v>3</v>
      </c>
      <c r="S90" s="139">
        <v>2</v>
      </c>
      <c r="T90" s="140">
        <v>2</v>
      </c>
      <c r="U90" s="139">
        <v>1</v>
      </c>
      <c r="V90" s="139">
        <v>0</v>
      </c>
      <c r="W90" s="139">
        <v>0</v>
      </c>
      <c r="X90" s="139">
        <v>0</v>
      </c>
      <c r="Y90" s="140">
        <v>1</v>
      </c>
      <c r="Z90" s="139">
        <v>0</v>
      </c>
      <c r="AA90" s="139">
        <v>0</v>
      </c>
      <c r="AB90" s="139">
        <v>1</v>
      </c>
      <c r="AC90" s="140">
        <v>1</v>
      </c>
      <c r="AD90" s="139">
        <v>2</v>
      </c>
      <c r="AE90" s="140">
        <v>0</v>
      </c>
      <c r="AF90" s="139">
        <v>2</v>
      </c>
      <c r="AG90" s="139">
        <v>0</v>
      </c>
      <c r="AH90" s="139">
        <v>0</v>
      </c>
      <c r="AI90" s="140">
        <v>2</v>
      </c>
      <c r="AJ90" s="140">
        <v>2</v>
      </c>
      <c r="AK90" s="140">
        <v>14</v>
      </c>
      <c r="AL90" s="139">
        <v>0</v>
      </c>
      <c r="AM90" s="139">
        <v>2</v>
      </c>
      <c r="AN90" s="139">
        <v>0</v>
      </c>
      <c r="AO90" s="139">
        <v>0</v>
      </c>
      <c r="AP90" s="139">
        <v>1</v>
      </c>
      <c r="AQ90" s="140">
        <v>3</v>
      </c>
      <c r="AR90" s="139">
        <v>1</v>
      </c>
      <c r="AS90" s="139">
        <v>1</v>
      </c>
      <c r="AT90" s="139">
        <v>0</v>
      </c>
      <c r="AU90" s="140">
        <v>2</v>
      </c>
      <c r="AV90" s="139">
        <v>2</v>
      </c>
      <c r="AW90" s="140">
        <v>2</v>
      </c>
      <c r="AX90" s="139">
        <v>7</v>
      </c>
      <c r="AY90" s="139">
        <v>0</v>
      </c>
      <c r="AZ90" s="139">
        <v>9</v>
      </c>
      <c r="BA90" s="139">
        <v>1</v>
      </c>
      <c r="BB90" s="139">
        <v>1</v>
      </c>
      <c r="BC90" s="139">
        <v>1</v>
      </c>
      <c r="BD90" s="139">
        <v>0</v>
      </c>
      <c r="BE90" s="139">
        <v>1</v>
      </c>
      <c r="BF90" s="139">
        <v>1</v>
      </c>
      <c r="BG90" s="139">
        <v>0</v>
      </c>
      <c r="BH90" s="140">
        <v>14</v>
      </c>
      <c r="BI90" s="140">
        <v>14</v>
      </c>
      <c r="BJ90" s="140">
        <v>2</v>
      </c>
      <c r="BK90" s="139">
        <v>0</v>
      </c>
      <c r="BL90" s="139">
        <v>2</v>
      </c>
      <c r="BM90" s="140">
        <v>1</v>
      </c>
      <c r="BN90" s="139">
        <v>1</v>
      </c>
      <c r="BO90" s="139">
        <v>1</v>
      </c>
      <c r="BP90" s="139">
        <v>0</v>
      </c>
      <c r="BQ90" s="139">
        <v>2</v>
      </c>
      <c r="BR90" s="139">
        <v>5</v>
      </c>
      <c r="BS90" s="140">
        <v>1</v>
      </c>
      <c r="BT90" s="139">
        <v>1</v>
      </c>
      <c r="BU90" s="139">
        <v>0</v>
      </c>
      <c r="BV90" s="139">
        <v>1</v>
      </c>
      <c r="BW90" s="139">
        <v>0</v>
      </c>
      <c r="BX90" s="139">
        <v>3</v>
      </c>
      <c r="BY90" s="140">
        <v>0</v>
      </c>
      <c r="BZ90" s="139">
        <v>1</v>
      </c>
      <c r="CA90" s="139">
        <v>1</v>
      </c>
      <c r="CB90" s="139">
        <v>2</v>
      </c>
      <c r="CC90" s="140">
        <v>1</v>
      </c>
      <c r="CD90" s="139">
        <v>1</v>
      </c>
      <c r="CE90" s="140">
        <v>48</v>
      </c>
    </row>
    <row r="91" spans="1:83">
      <c r="A91" s="137">
        <v>4</v>
      </c>
      <c r="B91" s="141" t="s">
        <v>139</v>
      </c>
      <c r="C91" s="142">
        <v>77</v>
      </c>
      <c r="D91" s="142">
        <v>100</v>
      </c>
      <c r="E91" s="142">
        <v>81</v>
      </c>
      <c r="F91" s="142">
        <v>0</v>
      </c>
      <c r="G91" s="142">
        <v>21</v>
      </c>
      <c r="H91" s="143">
        <v>279</v>
      </c>
      <c r="I91" s="142">
        <v>22</v>
      </c>
      <c r="J91" s="142">
        <v>14</v>
      </c>
      <c r="K91" s="142">
        <v>7</v>
      </c>
      <c r="L91" s="142">
        <v>11</v>
      </c>
      <c r="M91" s="143">
        <v>54</v>
      </c>
      <c r="N91" s="142">
        <v>16</v>
      </c>
      <c r="O91" s="142">
        <v>23</v>
      </c>
      <c r="P91" s="142">
        <v>9</v>
      </c>
      <c r="Q91" s="142">
        <v>12</v>
      </c>
      <c r="R91" s="143">
        <v>60</v>
      </c>
      <c r="S91" s="142">
        <v>15</v>
      </c>
      <c r="T91" s="143">
        <v>15</v>
      </c>
      <c r="U91" s="142">
        <v>10</v>
      </c>
      <c r="V91" s="142">
        <v>6</v>
      </c>
      <c r="W91" s="142">
        <v>15</v>
      </c>
      <c r="X91" s="142">
        <v>3</v>
      </c>
      <c r="Y91" s="143">
        <v>34</v>
      </c>
      <c r="Z91" s="142">
        <v>35</v>
      </c>
      <c r="AA91" s="142">
        <v>11</v>
      </c>
      <c r="AB91" s="142">
        <v>12</v>
      </c>
      <c r="AC91" s="143">
        <v>58</v>
      </c>
      <c r="AD91" s="142">
        <v>94</v>
      </c>
      <c r="AE91" s="143">
        <v>7</v>
      </c>
      <c r="AF91" s="142">
        <v>101</v>
      </c>
      <c r="AG91" s="142">
        <v>25</v>
      </c>
      <c r="AH91" s="142">
        <v>23</v>
      </c>
      <c r="AI91" s="143">
        <v>25</v>
      </c>
      <c r="AJ91" s="143">
        <v>73</v>
      </c>
      <c r="AK91" s="143">
        <v>674</v>
      </c>
      <c r="AL91" s="142">
        <v>14</v>
      </c>
      <c r="AM91" s="142">
        <v>19</v>
      </c>
      <c r="AN91" s="142">
        <v>13</v>
      </c>
      <c r="AO91" s="142">
        <v>9</v>
      </c>
      <c r="AP91" s="142">
        <v>18</v>
      </c>
      <c r="AQ91" s="143">
        <v>73</v>
      </c>
      <c r="AR91" s="142">
        <v>16</v>
      </c>
      <c r="AS91" s="142">
        <v>12</v>
      </c>
      <c r="AT91" s="142">
        <v>22</v>
      </c>
      <c r="AU91" s="143">
        <v>50</v>
      </c>
      <c r="AV91" s="142">
        <v>21</v>
      </c>
      <c r="AW91" s="143">
        <v>21</v>
      </c>
      <c r="AX91" s="142">
        <v>144</v>
      </c>
      <c r="AY91" s="142">
        <v>8</v>
      </c>
      <c r="AZ91" s="142">
        <v>9</v>
      </c>
      <c r="BA91" s="142">
        <v>11</v>
      </c>
      <c r="BB91" s="142">
        <v>15</v>
      </c>
      <c r="BC91" s="142">
        <v>7</v>
      </c>
      <c r="BD91" s="142">
        <v>9</v>
      </c>
      <c r="BE91" s="142">
        <v>7</v>
      </c>
      <c r="BF91" s="142">
        <v>11</v>
      </c>
      <c r="BG91" s="142">
        <v>10</v>
      </c>
      <c r="BH91" s="143">
        <v>87</v>
      </c>
      <c r="BI91" s="143">
        <v>87</v>
      </c>
      <c r="BJ91" s="143">
        <v>11</v>
      </c>
      <c r="BK91" s="142">
        <v>13</v>
      </c>
      <c r="BL91" s="142">
        <v>24</v>
      </c>
      <c r="BM91" s="143">
        <v>17</v>
      </c>
      <c r="BN91" s="142">
        <v>4</v>
      </c>
      <c r="BO91" s="142">
        <v>6</v>
      </c>
      <c r="BP91" s="142">
        <v>8</v>
      </c>
      <c r="BQ91" s="142">
        <v>4</v>
      </c>
      <c r="BR91" s="142">
        <v>39</v>
      </c>
      <c r="BS91" s="143">
        <v>10</v>
      </c>
      <c r="BT91" s="142">
        <v>17</v>
      </c>
      <c r="BU91" s="142">
        <v>11</v>
      </c>
      <c r="BV91" s="142">
        <v>5</v>
      </c>
      <c r="BW91" s="142">
        <v>3</v>
      </c>
      <c r="BX91" s="142">
        <v>46</v>
      </c>
      <c r="BY91" s="143">
        <v>12</v>
      </c>
      <c r="BZ91" s="142">
        <v>8</v>
      </c>
      <c r="CA91" s="142">
        <v>17</v>
      </c>
      <c r="CB91" s="142">
        <v>37</v>
      </c>
      <c r="CC91" s="143">
        <v>13</v>
      </c>
      <c r="CD91" s="142">
        <v>13</v>
      </c>
      <c r="CE91" s="143">
        <v>1064</v>
      </c>
    </row>
    <row r="92" spans="1:83">
      <c r="A92" s="137">
        <v>4</v>
      </c>
      <c r="B92" s="144" t="s">
        <v>140</v>
      </c>
      <c r="C92" s="145">
        <v>928</v>
      </c>
      <c r="D92" s="145">
        <v>1514</v>
      </c>
      <c r="E92" s="145">
        <v>1024</v>
      </c>
      <c r="F92" s="145">
        <v>0</v>
      </c>
      <c r="G92" s="145">
        <v>7</v>
      </c>
      <c r="H92" s="146">
        <v>3473</v>
      </c>
      <c r="I92" s="145">
        <v>297</v>
      </c>
      <c r="J92" s="145">
        <v>10</v>
      </c>
      <c r="K92" s="145">
        <v>6</v>
      </c>
      <c r="L92" s="145">
        <v>14</v>
      </c>
      <c r="M92" s="146">
        <v>327</v>
      </c>
      <c r="N92" s="145">
        <v>125</v>
      </c>
      <c r="O92" s="145">
        <v>9</v>
      </c>
      <c r="P92" s="145">
        <v>0</v>
      </c>
      <c r="Q92" s="145">
        <v>13</v>
      </c>
      <c r="R92" s="146">
        <v>147</v>
      </c>
      <c r="S92" s="145">
        <v>14</v>
      </c>
      <c r="T92" s="146">
        <v>14</v>
      </c>
      <c r="U92" s="145">
        <v>0</v>
      </c>
      <c r="V92" s="145">
        <v>0</v>
      </c>
      <c r="W92" s="145">
        <v>1</v>
      </c>
      <c r="X92" s="145">
        <v>0</v>
      </c>
      <c r="Y92" s="146">
        <v>1</v>
      </c>
      <c r="Z92" s="145">
        <v>348</v>
      </c>
      <c r="AA92" s="145">
        <v>53</v>
      </c>
      <c r="AB92" s="145">
        <v>5</v>
      </c>
      <c r="AC92" s="146">
        <v>406</v>
      </c>
      <c r="AD92" s="145">
        <v>102</v>
      </c>
      <c r="AE92" s="146">
        <v>1</v>
      </c>
      <c r="AF92" s="145">
        <v>103</v>
      </c>
      <c r="AG92" s="145">
        <v>79</v>
      </c>
      <c r="AH92" s="145">
        <v>22</v>
      </c>
      <c r="AI92" s="146">
        <v>4</v>
      </c>
      <c r="AJ92" s="146">
        <v>105</v>
      </c>
      <c r="AK92" s="146">
        <v>4576</v>
      </c>
      <c r="AL92" s="145">
        <v>0</v>
      </c>
      <c r="AM92" s="145">
        <v>0</v>
      </c>
      <c r="AN92" s="145">
        <v>0</v>
      </c>
      <c r="AO92" s="145">
        <v>0</v>
      </c>
      <c r="AP92" s="145">
        <v>0</v>
      </c>
      <c r="AQ92" s="146">
        <v>0</v>
      </c>
      <c r="AR92" s="145">
        <v>0</v>
      </c>
      <c r="AS92" s="145">
        <v>0</v>
      </c>
      <c r="AT92" s="145">
        <v>0</v>
      </c>
      <c r="AU92" s="146">
        <v>0</v>
      </c>
      <c r="AV92" s="145">
        <v>0</v>
      </c>
      <c r="AW92" s="146">
        <v>0</v>
      </c>
      <c r="AX92" s="145">
        <v>0</v>
      </c>
      <c r="AY92" s="145">
        <v>0</v>
      </c>
      <c r="AZ92" s="145">
        <v>0</v>
      </c>
      <c r="BA92" s="145">
        <v>0</v>
      </c>
      <c r="BB92" s="145">
        <v>0</v>
      </c>
      <c r="BC92" s="145">
        <v>0</v>
      </c>
      <c r="BD92" s="145">
        <v>0</v>
      </c>
      <c r="BE92" s="145">
        <v>0</v>
      </c>
      <c r="BF92" s="145">
        <v>0</v>
      </c>
      <c r="BG92" s="145">
        <v>0</v>
      </c>
      <c r="BH92" s="146">
        <v>0</v>
      </c>
      <c r="BI92" s="146">
        <v>0</v>
      </c>
      <c r="BJ92" s="146">
        <v>1</v>
      </c>
      <c r="BK92" s="145">
        <v>32</v>
      </c>
      <c r="BL92" s="145">
        <v>33</v>
      </c>
      <c r="BM92" s="146">
        <v>0</v>
      </c>
      <c r="BN92" s="145">
        <v>0</v>
      </c>
      <c r="BO92" s="145">
        <v>0</v>
      </c>
      <c r="BP92" s="145">
        <v>0</v>
      </c>
      <c r="BQ92" s="145">
        <v>0</v>
      </c>
      <c r="BR92" s="145">
        <v>0</v>
      </c>
      <c r="BS92" s="146">
        <v>6</v>
      </c>
      <c r="BT92" s="145">
        <v>0</v>
      </c>
      <c r="BU92" s="145">
        <v>3</v>
      </c>
      <c r="BV92" s="145">
        <v>0</v>
      </c>
      <c r="BW92" s="145">
        <v>67</v>
      </c>
      <c r="BX92" s="145">
        <v>76</v>
      </c>
      <c r="BY92" s="146">
        <v>0</v>
      </c>
      <c r="BZ92" s="145">
        <v>0</v>
      </c>
      <c r="CA92" s="145">
        <v>0</v>
      </c>
      <c r="CB92" s="145">
        <v>0</v>
      </c>
      <c r="CC92" s="146">
        <v>0</v>
      </c>
      <c r="CD92" s="145">
        <v>0</v>
      </c>
      <c r="CE92" s="146">
        <v>4685</v>
      </c>
    </row>
    <row r="93" spans="1:83">
      <c r="A93" s="137">
        <v>4</v>
      </c>
      <c r="B93" s="147" t="s">
        <v>195</v>
      </c>
      <c r="C93" s="148">
        <v>1005</v>
      </c>
      <c r="D93" s="148">
        <v>1614</v>
      </c>
      <c r="E93" s="148">
        <v>1105</v>
      </c>
      <c r="F93" s="148">
        <v>0</v>
      </c>
      <c r="G93" s="148">
        <v>28</v>
      </c>
      <c r="H93" s="149">
        <v>3752</v>
      </c>
      <c r="I93" s="148">
        <v>319</v>
      </c>
      <c r="J93" s="148">
        <v>24</v>
      </c>
      <c r="K93" s="148">
        <v>13</v>
      </c>
      <c r="L93" s="148">
        <v>25</v>
      </c>
      <c r="M93" s="149">
        <v>381</v>
      </c>
      <c r="N93" s="148">
        <v>141</v>
      </c>
      <c r="O93" s="148">
        <v>32</v>
      </c>
      <c r="P93" s="148">
        <v>9</v>
      </c>
      <c r="Q93" s="148">
        <v>25</v>
      </c>
      <c r="R93" s="149">
        <v>207</v>
      </c>
      <c r="S93" s="148">
        <v>29</v>
      </c>
      <c r="T93" s="149">
        <v>29</v>
      </c>
      <c r="U93" s="148">
        <v>10</v>
      </c>
      <c r="V93" s="148">
        <v>6</v>
      </c>
      <c r="W93" s="148">
        <v>16</v>
      </c>
      <c r="X93" s="148">
        <v>3</v>
      </c>
      <c r="Y93" s="149">
        <v>35</v>
      </c>
      <c r="Z93" s="148">
        <v>383</v>
      </c>
      <c r="AA93" s="148">
        <v>64</v>
      </c>
      <c r="AB93" s="148">
        <v>17</v>
      </c>
      <c r="AC93" s="149">
        <v>464</v>
      </c>
      <c r="AD93" s="148">
        <v>196</v>
      </c>
      <c r="AE93" s="149">
        <v>8</v>
      </c>
      <c r="AF93" s="148">
        <v>204</v>
      </c>
      <c r="AG93" s="148">
        <v>104</v>
      </c>
      <c r="AH93" s="148">
        <v>45</v>
      </c>
      <c r="AI93" s="149">
        <v>29</v>
      </c>
      <c r="AJ93" s="149">
        <v>178</v>
      </c>
      <c r="AK93" s="149">
        <v>5250</v>
      </c>
      <c r="AL93" s="148">
        <v>14</v>
      </c>
      <c r="AM93" s="148">
        <v>19</v>
      </c>
      <c r="AN93" s="148">
        <v>13</v>
      </c>
      <c r="AO93" s="148">
        <v>9</v>
      </c>
      <c r="AP93" s="148">
        <v>18</v>
      </c>
      <c r="AQ93" s="149">
        <v>73</v>
      </c>
      <c r="AR93" s="148">
        <v>16</v>
      </c>
      <c r="AS93" s="148">
        <v>12</v>
      </c>
      <c r="AT93" s="148">
        <v>22</v>
      </c>
      <c r="AU93" s="149">
        <v>50</v>
      </c>
      <c r="AV93" s="148">
        <v>21</v>
      </c>
      <c r="AW93" s="149">
        <v>21</v>
      </c>
      <c r="AX93" s="148">
        <v>144</v>
      </c>
      <c r="AY93" s="148">
        <v>8</v>
      </c>
      <c r="AZ93" s="148">
        <v>9</v>
      </c>
      <c r="BA93" s="148">
        <v>11</v>
      </c>
      <c r="BB93" s="148">
        <v>15</v>
      </c>
      <c r="BC93" s="148">
        <v>7</v>
      </c>
      <c r="BD93" s="148">
        <v>9</v>
      </c>
      <c r="BE93" s="148">
        <v>7</v>
      </c>
      <c r="BF93" s="148">
        <v>11</v>
      </c>
      <c r="BG93" s="148">
        <v>10</v>
      </c>
      <c r="BH93" s="149">
        <v>87</v>
      </c>
      <c r="BI93" s="149">
        <v>87</v>
      </c>
      <c r="BJ93" s="149">
        <v>12</v>
      </c>
      <c r="BK93" s="148">
        <v>45</v>
      </c>
      <c r="BL93" s="148">
        <v>57</v>
      </c>
      <c r="BM93" s="149">
        <v>17</v>
      </c>
      <c r="BN93" s="148">
        <v>4</v>
      </c>
      <c r="BO93" s="148">
        <v>6</v>
      </c>
      <c r="BP93" s="148">
        <v>8</v>
      </c>
      <c r="BQ93" s="148">
        <v>4</v>
      </c>
      <c r="BR93" s="148">
        <v>39</v>
      </c>
      <c r="BS93" s="149">
        <v>16</v>
      </c>
      <c r="BT93" s="148">
        <v>17</v>
      </c>
      <c r="BU93" s="148">
        <v>14</v>
      </c>
      <c r="BV93" s="148">
        <v>5</v>
      </c>
      <c r="BW93" s="148">
        <v>70</v>
      </c>
      <c r="BX93" s="148">
        <v>122</v>
      </c>
      <c r="BY93" s="149">
        <v>12</v>
      </c>
      <c r="BZ93" s="148">
        <v>8</v>
      </c>
      <c r="CA93" s="148">
        <v>17</v>
      </c>
      <c r="CB93" s="148">
        <v>37</v>
      </c>
      <c r="CC93" s="149">
        <v>13</v>
      </c>
      <c r="CD93" s="148">
        <v>13</v>
      </c>
      <c r="CE93" s="149">
        <v>5749</v>
      </c>
    </row>
    <row r="94" spans="1:83" ht="15" thickBot="1">
      <c r="A94" s="137">
        <v>4</v>
      </c>
      <c r="B94" s="123" t="s">
        <v>196</v>
      </c>
      <c r="C94" s="124">
        <v>1007</v>
      </c>
      <c r="D94" s="124">
        <v>1614</v>
      </c>
      <c r="E94" s="124">
        <v>1105</v>
      </c>
      <c r="F94" s="124">
        <v>0</v>
      </c>
      <c r="G94" s="124">
        <v>28</v>
      </c>
      <c r="H94" s="125">
        <v>3754</v>
      </c>
      <c r="I94" s="124">
        <v>320</v>
      </c>
      <c r="J94" s="124">
        <v>24</v>
      </c>
      <c r="K94" s="124">
        <v>13</v>
      </c>
      <c r="L94" s="124">
        <v>25</v>
      </c>
      <c r="M94" s="125">
        <v>382</v>
      </c>
      <c r="N94" s="124">
        <v>142</v>
      </c>
      <c r="O94" s="124">
        <v>34</v>
      </c>
      <c r="P94" s="124">
        <v>9</v>
      </c>
      <c r="Q94" s="124">
        <v>25</v>
      </c>
      <c r="R94" s="125">
        <v>210</v>
      </c>
      <c r="S94" s="124">
        <v>31</v>
      </c>
      <c r="T94" s="125">
        <v>31</v>
      </c>
      <c r="U94" s="124">
        <v>11</v>
      </c>
      <c r="V94" s="124">
        <v>6</v>
      </c>
      <c r="W94" s="124">
        <v>16</v>
      </c>
      <c r="X94" s="124">
        <v>3</v>
      </c>
      <c r="Y94" s="125">
        <v>36</v>
      </c>
      <c r="Z94" s="124">
        <v>383</v>
      </c>
      <c r="AA94" s="124">
        <v>64</v>
      </c>
      <c r="AB94" s="124">
        <v>18</v>
      </c>
      <c r="AC94" s="125">
        <v>465</v>
      </c>
      <c r="AD94" s="124">
        <v>198</v>
      </c>
      <c r="AE94" s="125">
        <v>8</v>
      </c>
      <c r="AF94" s="124">
        <v>206</v>
      </c>
      <c r="AG94" s="124">
        <v>104</v>
      </c>
      <c r="AH94" s="124">
        <v>45</v>
      </c>
      <c r="AI94" s="125">
        <v>31</v>
      </c>
      <c r="AJ94" s="125">
        <v>180</v>
      </c>
      <c r="AK94" s="125">
        <v>5264</v>
      </c>
      <c r="AL94" s="124">
        <v>14</v>
      </c>
      <c r="AM94" s="124">
        <v>21</v>
      </c>
      <c r="AN94" s="124">
        <v>13</v>
      </c>
      <c r="AO94" s="124">
        <v>9</v>
      </c>
      <c r="AP94" s="124">
        <v>19</v>
      </c>
      <c r="AQ94" s="125">
        <v>76</v>
      </c>
      <c r="AR94" s="124">
        <v>17</v>
      </c>
      <c r="AS94" s="124">
        <v>13</v>
      </c>
      <c r="AT94" s="124">
        <v>22</v>
      </c>
      <c r="AU94" s="125">
        <v>52</v>
      </c>
      <c r="AV94" s="124">
        <v>23</v>
      </c>
      <c r="AW94" s="125">
        <v>23</v>
      </c>
      <c r="AX94" s="124">
        <v>151</v>
      </c>
      <c r="AY94" s="124">
        <v>8</v>
      </c>
      <c r="AZ94" s="124">
        <v>18</v>
      </c>
      <c r="BA94" s="124">
        <v>12</v>
      </c>
      <c r="BB94" s="124">
        <v>16</v>
      </c>
      <c r="BC94" s="124">
        <v>8</v>
      </c>
      <c r="BD94" s="124">
        <v>9</v>
      </c>
      <c r="BE94" s="124">
        <v>8</v>
      </c>
      <c r="BF94" s="124">
        <v>12</v>
      </c>
      <c r="BG94" s="124">
        <v>10</v>
      </c>
      <c r="BH94" s="125">
        <v>101</v>
      </c>
      <c r="BI94" s="125">
        <v>101</v>
      </c>
      <c r="BJ94" s="125">
        <v>14</v>
      </c>
      <c r="BK94" s="124">
        <v>45</v>
      </c>
      <c r="BL94" s="124">
        <v>59</v>
      </c>
      <c r="BM94" s="125">
        <v>18</v>
      </c>
      <c r="BN94" s="124">
        <v>5</v>
      </c>
      <c r="BO94" s="124">
        <v>7</v>
      </c>
      <c r="BP94" s="124">
        <v>8</v>
      </c>
      <c r="BQ94" s="124">
        <v>6</v>
      </c>
      <c r="BR94" s="124">
        <v>44</v>
      </c>
      <c r="BS94" s="125">
        <v>17</v>
      </c>
      <c r="BT94" s="124">
        <v>18</v>
      </c>
      <c r="BU94" s="124">
        <v>14</v>
      </c>
      <c r="BV94" s="124">
        <v>6</v>
      </c>
      <c r="BW94" s="124">
        <v>70</v>
      </c>
      <c r="BX94" s="124">
        <v>125</v>
      </c>
      <c r="BY94" s="125">
        <v>12</v>
      </c>
      <c r="BZ94" s="124">
        <v>9</v>
      </c>
      <c r="CA94" s="124">
        <v>18</v>
      </c>
      <c r="CB94" s="124">
        <v>39</v>
      </c>
      <c r="CC94" s="125">
        <v>14</v>
      </c>
      <c r="CD94" s="124">
        <v>14</v>
      </c>
      <c r="CE94" s="125">
        <v>5797</v>
      </c>
    </row>
    <row r="95" spans="1:83">
      <c r="A95" s="150"/>
      <c r="B95" s="151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  <c r="BK95" s="152"/>
      <c r="BL95" s="152"/>
      <c r="BM95" s="152"/>
      <c r="BN95" s="152"/>
      <c r="BO95" s="152"/>
      <c r="BP95" s="152"/>
      <c r="BQ95" s="152"/>
      <c r="BR95" s="152"/>
      <c r="BS95" s="152"/>
      <c r="BT95" s="152"/>
      <c r="BU95" s="152"/>
      <c r="BV95" s="152"/>
      <c r="BW95" s="152"/>
      <c r="BX95" s="152"/>
      <c r="BY95" s="152"/>
      <c r="BZ95" s="152"/>
      <c r="CA95" s="152"/>
      <c r="CB95" s="152"/>
      <c r="CC95" s="152"/>
      <c r="CD95" s="152"/>
      <c r="CE95" s="152"/>
    </row>
    <row r="96" spans="1:83" ht="21.5" thickBot="1">
      <c r="A96" s="153">
        <v>5</v>
      </c>
      <c r="B96" s="110" t="s">
        <v>3</v>
      </c>
      <c r="C96" s="129"/>
      <c r="D96" s="129"/>
      <c r="E96" s="129"/>
      <c r="F96" s="129"/>
      <c r="G96" s="129"/>
      <c r="H96" s="130"/>
      <c r="I96" s="129"/>
      <c r="J96" s="129"/>
      <c r="K96" s="129"/>
      <c r="L96" s="129"/>
      <c r="M96" s="130"/>
      <c r="N96" s="129"/>
      <c r="O96" s="129"/>
      <c r="P96" s="129"/>
      <c r="Q96" s="129"/>
      <c r="R96" s="130"/>
      <c r="S96" s="129"/>
      <c r="T96" s="130"/>
      <c r="U96" s="129"/>
      <c r="V96" s="129"/>
      <c r="W96" s="129"/>
      <c r="X96" s="129"/>
      <c r="Y96" s="130"/>
      <c r="Z96" s="129"/>
      <c r="AA96" s="129"/>
      <c r="AB96" s="129"/>
      <c r="AC96" s="130"/>
      <c r="AD96" s="129"/>
      <c r="AE96" s="130"/>
      <c r="AF96" s="129"/>
      <c r="AG96" s="129"/>
      <c r="AH96" s="129"/>
      <c r="AI96" s="130"/>
      <c r="AJ96" s="130"/>
      <c r="AK96" s="130"/>
      <c r="AL96" s="129"/>
      <c r="AM96" s="129"/>
      <c r="AN96" s="129"/>
      <c r="AO96" s="129"/>
      <c r="AP96" s="129"/>
      <c r="AQ96" s="130"/>
      <c r="AR96" s="129"/>
      <c r="AS96" s="129"/>
      <c r="AT96" s="129"/>
      <c r="AU96" s="130"/>
      <c r="AV96" s="129"/>
      <c r="AW96" s="130"/>
      <c r="AX96" s="129"/>
      <c r="AY96" s="129"/>
      <c r="AZ96" s="129"/>
      <c r="BA96" s="129"/>
      <c r="BB96" s="129"/>
      <c r="BC96" s="129"/>
      <c r="BD96" s="129"/>
      <c r="BE96" s="129"/>
      <c r="BF96" s="129"/>
      <c r="BG96" s="129"/>
      <c r="BH96" s="130"/>
      <c r="BI96" s="130"/>
      <c r="BJ96" s="130"/>
      <c r="BK96" s="129"/>
      <c r="BL96" s="129"/>
      <c r="BM96" s="130"/>
      <c r="BN96" s="129"/>
      <c r="BO96" s="129"/>
      <c r="BP96" s="129"/>
      <c r="BQ96" s="129"/>
      <c r="BR96" s="129"/>
      <c r="BS96" s="130"/>
      <c r="BT96" s="129"/>
      <c r="BU96" s="129"/>
      <c r="BV96" s="129"/>
      <c r="BW96" s="129"/>
      <c r="BX96" s="129"/>
      <c r="BY96" s="130"/>
      <c r="BZ96" s="129"/>
      <c r="CA96" s="129"/>
      <c r="CB96" s="129"/>
      <c r="CC96" s="130"/>
      <c r="CD96" s="129"/>
      <c r="CE96" s="130"/>
    </row>
    <row r="97" spans="1:83">
      <c r="A97" s="137">
        <v>5</v>
      </c>
      <c r="B97" s="138" t="s">
        <v>194</v>
      </c>
      <c r="C97" s="139">
        <v>2</v>
      </c>
      <c r="D97" s="139">
        <v>0</v>
      </c>
      <c r="E97" s="139">
        <v>0</v>
      </c>
      <c r="F97" s="139">
        <v>0</v>
      </c>
      <c r="G97" s="139">
        <v>0</v>
      </c>
      <c r="H97" s="140">
        <v>2</v>
      </c>
      <c r="I97" s="139">
        <v>1</v>
      </c>
      <c r="J97" s="139">
        <v>0</v>
      </c>
      <c r="K97" s="139">
        <v>0</v>
      </c>
      <c r="L97" s="139">
        <v>0</v>
      </c>
      <c r="M97" s="140">
        <v>1</v>
      </c>
      <c r="N97" s="139">
        <v>1</v>
      </c>
      <c r="O97" s="139">
        <v>2</v>
      </c>
      <c r="P97" s="139">
        <v>0</v>
      </c>
      <c r="Q97" s="139">
        <v>0</v>
      </c>
      <c r="R97" s="140">
        <v>3</v>
      </c>
      <c r="S97" s="139">
        <v>2</v>
      </c>
      <c r="T97" s="140">
        <v>2</v>
      </c>
      <c r="U97" s="139">
        <v>1</v>
      </c>
      <c r="V97" s="139">
        <v>0</v>
      </c>
      <c r="W97" s="139">
        <v>0</v>
      </c>
      <c r="X97" s="139">
        <v>0</v>
      </c>
      <c r="Y97" s="140">
        <v>1</v>
      </c>
      <c r="Z97" s="139">
        <v>0</v>
      </c>
      <c r="AA97" s="139">
        <v>0</v>
      </c>
      <c r="AB97" s="139">
        <v>1</v>
      </c>
      <c r="AC97" s="140">
        <v>1</v>
      </c>
      <c r="AD97" s="139">
        <v>2</v>
      </c>
      <c r="AE97" s="140">
        <v>0</v>
      </c>
      <c r="AF97" s="139">
        <v>2</v>
      </c>
      <c r="AG97" s="139">
        <v>0</v>
      </c>
      <c r="AH97" s="139">
        <v>0</v>
      </c>
      <c r="AI97" s="140">
        <v>2</v>
      </c>
      <c r="AJ97" s="140">
        <v>2</v>
      </c>
      <c r="AK97" s="140">
        <v>14</v>
      </c>
      <c r="AL97" s="139">
        <v>0</v>
      </c>
      <c r="AM97" s="139">
        <v>2</v>
      </c>
      <c r="AN97" s="139">
        <v>0</v>
      </c>
      <c r="AO97" s="139">
        <v>0</v>
      </c>
      <c r="AP97" s="139">
        <v>1</v>
      </c>
      <c r="AQ97" s="140">
        <v>3</v>
      </c>
      <c r="AR97" s="139">
        <v>1</v>
      </c>
      <c r="AS97" s="139">
        <v>1</v>
      </c>
      <c r="AT97" s="139">
        <v>0</v>
      </c>
      <c r="AU97" s="140">
        <v>2</v>
      </c>
      <c r="AV97" s="139">
        <v>2</v>
      </c>
      <c r="AW97" s="140">
        <v>2</v>
      </c>
      <c r="AX97" s="139">
        <v>7</v>
      </c>
      <c r="AY97" s="139">
        <v>0</v>
      </c>
      <c r="AZ97" s="139">
        <v>9</v>
      </c>
      <c r="BA97" s="139">
        <v>1</v>
      </c>
      <c r="BB97" s="139">
        <v>1</v>
      </c>
      <c r="BC97" s="139">
        <v>1</v>
      </c>
      <c r="BD97" s="139">
        <v>0</v>
      </c>
      <c r="BE97" s="139">
        <v>1</v>
      </c>
      <c r="BF97" s="139">
        <v>1</v>
      </c>
      <c r="BG97" s="139">
        <v>0</v>
      </c>
      <c r="BH97" s="140">
        <v>14</v>
      </c>
      <c r="BI97" s="140">
        <v>14</v>
      </c>
      <c r="BJ97" s="140">
        <v>2</v>
      </c>
      <c r="BK97" s="139">
        <v>0</v>
      </c>
      <c r="BL97" s="139">
        <v>2</v>
      </c>
      <c r="BM97" s="140">
        <v>1</v>
      </c>
      <c r="BN97" s="139">
        <v>1</v>
      </c>
      <c r="BO97" s="139">
        <v>1</v>
      </c>
      <c r="BP97" s="139">
        <v>0</v>
      </c>
      <c r="BQ97" s="139">
        <v>2</v>
      </c>
      <c r="BR97" s="139">
        <v>5</v>
      </c>
      <c r="BS97" s="140">
        <v>1</v>
      </c>
      <c r="BT97" s="139">
        <v>1</v>
      </c>
      <c r="BU97" s="139">
        <v>0</v>
      </c>
      <c r="BV97" s="139">
        <v>1</v>
      </c>
      <c r="BW97" s="139">
        <v>0</v>
      </c>
      <c r="BX97" s="139">
        <v>3</v>
      </c>
      <c r="BY97" s="140">
        <v>0</v>
      </c>
      <c r="BZ97" s="139">
        <v>1</v>
      </c>
      <c r="CA97" s="139">
        <v>1</v>
      </c>
      <c r="CB97" s="139">
        <v>2</v>
      </c>
      <c r="CC97" s="140">
        <v>1</v>
      </c>
      <c r="CD97" s="139">
        <v>1</v>
      </c>
      <c r="CE97" s="140">
        <v>48</v>
      </c>
    </row>
    <row r="98" spans="1:83">
      <c r="A98" s="137">
        <v>5</v>
      </c>
      <c r="B98" s="141" t="s">
        <v>139</v>
      </c>
      <c r="C98" s="142">
        <v>77</v>
      </c>
      <c r="D98" s="142">
        <v>100</v>
      </c>
      <c r="E98" s="142">
        <v>81</v>
      </c>
      <c r="F98" s="142">
        <v>0</v>
      </c>
      <c r="G98" s="142">
        <v>21</v>
      </c>
      <c r="H98" s="143">
        <v>279</v>
      </c>
      <c r="I98" s="142">
        <v>22</v>
      </c>
      <c r="J98" s="142">
        <v>14</v>
      </c>
      <c r="K98" s="142">
        <v>6</v>
      </c>
      <c r="L98" s="142">
        <v>11</v>
      </c>
      <c r="M98" s="143">
        <v>53</v>
      </c>
      <c r="N98" s="142">
        <v>16</v>
      </c>
      <c r="O98" s="142">
        <v>23</v>
      </c>
      <c r="P98" s="142">
        <v>9</v>
      </c>
      <c r="Q98" s="142">
        <v>12</v>
      </c>
      <c r="R98" s="143">
        <v>60</v>
      </c>
      <c r="S98" s="142">
        <v>15</v>
      </c>
      <c r="T98" s="143">
        <v>15</v>
      </c>
      <c r="U98" s="142">
        <v>10</v>
      </c>
      <c r="V98" s="142">
        <v>6</v>
      </c>
      <c r="W98" s="142">
        <v>16</v>
      </c>
      <c r="X98" s="142">
        <v>3</v>
      </c>
      <c r="Y98" s="143">
        <v>35</v>
      </c>
      <c r="Z98" s="142">
        <v>35</v>
      </c>
      <c r="AA98" s="142">
        <v>11</v>
      </c>
      <c r="AB98" s="142">
        <v>12</v>
      </c>
      <c r="AC98" s="143">
        <v>58</v>
      </c>
      <c r="AD98" s="142">
        <v>94</v>
      </c>
      <c r="AE98" s="143">
        <v>7</v>
      </c>
      <c r="AF98" s="142">
        <v>101</v>
      </c>
      <c r="AG98" s="142">
        <v>25</v>
      </c>
      <c r="AH98" s="142">
        <v>23</v>
      </c>
      <c r="AI98" s="143">
        <v>27</v>
      </c>
      <c r="AJ98" s="143">
        <v>75</v>
      </c>
      <c r="AK98" s="143">
        <v>676</v>
      </c>
      <c r="AL98" s="142">
        <v>14</v>
      </c>
      <c r="AM98" s="142">
        <v>21</v>
      </c>
      <c r="AN98" s="142">
        <v>13</v>
      </c>
      <c r="AO98" s="142">
        <v>9</v>
      </c>
      <c r="AP98" s="142">
        <v>18</v>
      </c>
      <c r="AQ98" s="143">
        <v>75</v>
      </c>
      <c r="AR98" s="142">
        <v>17</v>
      </c>
      <c r="AS98" s="142">
        <v>13</v>
      </c>
      <c r="AT98" s="142">
        <v>22</v>
      </c>
      <c r="AU98" s="143">
        <v>52</v>
      </c>
      <c r="AV98" s="142">
        <v>21</v>
      </c>
      <c r="AW98" s="143">
        <v>21</v>
      </c>
      <c r="AX98" s="142">
        <v>148</v>
      </c>
      <c r="AY98" s="142">
        <v>8</v>
      </c>
      <c r="AZ98" s="142">
        <v>9</v>
      </c>
      <c r="BA98" s="142">
        <v>11</v>
      </c>
      <c r="BB98" s="142">
        <v>15</v>
      </c>
      <c r="BC98" s="142">
        <v>7</v>
      </c>
      <c r="BD98" s="142">
        <v>9</v>
      </c>
      <c r="BE98" s="142">
        <v>7</v>
      </c>
      <c r="BF98" s="142">
        <v>11</v>
      </c>
      <c r="BG98" s="142">
        <v>10</v>
      </c>
      <c r="BH98" s="143">
        <v>87</v>
      </c>
      <c r="BI98" s="143">
        <v>87</v>
      </c>
      <c r="BJ98" s="143">
        <v>11</v>
      </c>
      <c r="BK98" s="142">
        <v>13</v>
      </c>
      <c r="BL98" s="142">
        <v>24</v>
      </c>
      <c r="BM98" s="143">
        <v>17</v>
      </c>
      <c r="BN98" s="142">
        <v>4</v>
      </c>
      <c r="BO98" s="142">
        <v>6</v>
      </c>
      <c r="BP98" s="142">
        <v>8</v>
      </c>
      <c r="BQ98" s="142">
        <v>4</v>
      </c>
      <c r="BR98" s="142">
        <v>39</v>
      </c>
      <c r="BS98" s="143">
        <v>11</v>
      </c>
      <c r="BT98" s="142">
        <v>16</v>
      </c>
      <c r="BU98" s="142">
        <v>11</v>
      </c>
      <c r="BV98" s="142">
        <v>6</v>
      </c>
      <c r="BW98" s="142">
        <v>3</v>
      </c>
      <c r="BX98" s="142">
        <v>47</v>
      </c>
      <c r="BY98" s="143">
        <v>12</v>
      </c>
      <c r="BZ98" s="142">
        <v>8</v>
      </c>
      <c r="CA98" s="142">
        <v>17</v>
      </c>
      <c r="CB98" s="142">
        <v>37</v>
      </c>
      <c r="CC98" s="143">
        <v>13</v>
      </c>
      <c r="CD98" s="142">
        <v>13</v>
      </c>
      <c r="CE98" s="143">
        <v>1071</v>
      </c>
    </row>
    <row r="99" spans="1:83">
      <c r="A99" s="137">
        <v>5</v>
      </c>
      <c r="B99" s="144" t="s">
        <v>140</v>
      </c>
      <c r="C99" s="145">
        <v>965</v>
      </c>
      <c r="D99" s="145">
        <v>1454</v>
      </c>
      <c r="E99" s="145">
        <v>1000</v>
      </c>
      <c r="F99" s="145">
        <v>0</v>
      </c>
      <c r="G99" s="145">
        <v>7</v>
      </c>
      <c r="H99" s="146">
        <v>3426</v>
      </c>
      <c r="I99" s="145">
        <v>297</v>
      </c>
      <c r="J99" s="145">
        <v>10</v>
      </c>
      <c r="K99" s="145">
        <v>6</v>
      </c>
      <c r="L99" s="145">
        <v>14</v>
      </c>
      <c r="M99" s="146">
        <v>327</v>
      </c>
      <c r="N99" s="145">
        <v>125</v>
      </c>
      <c r="O99" s="145">
        <v>9</v>
      </c>
      <c r="P99" s="145">
        <v>0</v>
      </c>
      <c r="Q99" s="145">
        <v>13</v>
      </c>
      <c r="R99" s="146">
        <v>147</v>
      </c>
      <c r="S99" s="145">
        <v>14</v>
      </c>
      <c r="T99" s="146">
        <v>14</v>
      </c>
      <c r="U99" s="145">
        <v>0</v>
      </c>
      <c r="V99" s="145">
        <v>0</v>
      </c>
      <c r="W99" s="145">
        <v>1</v>
      </c>
      <c r="X99" s="145">
        <v>0</v>
      </c>
      <c r="Y99" s="146">
        <v>1</v>
      </c>
      <c r="Z99" s="145">
        <v>344</v>
      </c>
      <c r="AA99" s="145">
        <v>53</v>
      </c>
      <c r="AB99" s="145">
        <v>5</v>
      </c>
      <c r="AC99" s="146">
        <v>402</v>
      </c>
      <c r="AD99" s="145">
        <v>102</v>
      </c>
      <c r="AE99" s="146">
        <v>1</v>
      </c>
      <c r="AF99" s="145">
        <v>103</v>
      </c>
      <c r="AG99" s="145">
        <v>79</v>
      </c>
      <c r="AH99" s="145">
        <v>22</v>
      </c>
      <c r="AI99" s="146">
        <v>4</v>
      </c>
      <c r="AJ99" s="146">
        <v>105</v>
      </c>
      <c r="AK99" s="146">
        <v>4525</v>
      </c>
      <c r="AL99" s="145">
        <v>0</v>
      </c>
      <c r="AM99" s="145">
        <v>0</v>
      </c>
      <c r="AN99" s="145">
        <v>0</v>
      </c>
      <c r="AO99" s="145">
        <v>0</v>
      </c>
      <c r="AP99" s="145">
        <v>0</v>
      </c>
      <c r="AQ99" s="146">
        <v>0</v>
      </c>
      <c r="AR99" s="145">
        <v>0</v>
      </c>
      <c r="AS99" s="145">
        <v>0</v>
      </c>
      <c r="AT99" s="145">
        <v>0</v>
      </c>
      <c r="AU99" s="146">
        <v>0</v>
      </c>
      <c r="AV99" s="145">
        <v>0</v>
      </c>
      <c r="AW99" s="146">
        <v>0</v>
      </c>
      <c r="AX99" s="145">
        <v>0</v>
      </c>
      <c r="AY99" s="145">
        <v>0</v>
      </c>
      <c r="AZ99" s="145">
        <v>0</v>
      </c>
      <c r="BA99" s="145">
        <v>0</v>
      </c>
      <c r="BB99" s="145">
        <v>0</v>
      </c>
      <c r="BC99" s="145">
        <v>0</v>
      </c>
      <c r="BD99" s="145">
        <v>0</v>
      </c>
      <c r="BE99" s="145">
        <v>0</v>
      </c>
      <c r="BF99" s="145">
        <v>0</v>
      </c>
      <c r="BG99" s="145">
        <v>0</v>
      </c>
      <c r="BH99" s="146">
        <v>0</v>
      </c>
      <c r="BI99" s="146">
        <v>0</v>
      </c>
      <c r="BJ99" s="146">
        <v>1</v>
      </c>
      <c r="BK99" s="145">
        <v>32</v>
      </c>
      <c r="BL99" s="145">
        <v>33</v>
      </c>
      <c r="BM99" s="146">
        <v>0</v>
      </c>
      <c r="BN99" s="145">
        <v>0</v>
      </c>
      <c r="BO99" s="145">
        <v>0</v>
      </c>
      <c r="BP99" s="145">
        <v>0</v>
      </c>
      <c r="BQ99" s="145">
        <v>0</v>
      </c>
      <c r="BR99" s="145">
        <v>0</v>
      </c>
      <c r="BS99" s="146">
        <v>6</v>
      </c>
      <c r="BT99" s="145">
        <v>0</v>
      </c>
      <c r="BU99" s="145">
        <v>3</v>
      </c>
      <c r="BV99" s="145">
        <v>0</v>
      </c>
      <c r="BW99" s="145">
        <v>67</v>
      </c>
      <c r="BX99" s="145">
        <v>76</v>
      </c>
      <c r="BY99" s="146">
        <v>0</v>
      </c>
      <c r="BZ99" s="145">
        <v>0</v>
      </c>
      <c r="CA99" s="145">
        <v>0</v>
      </c>
      <c r="CB99" s="145">
        <v>0</v>
      </c>
      <c r="CC99" s="146">
        <v>0</v>
      </c>
      <c r="CD99" s="145">
        <v>0</v>
      </c>
      <c r="CE99" s="146">
        <v>4634</v>
      </c>
    </row>
    <row r="100" spans="1:83">
      <c r="A100" s="137">
        <v>5</v>
      </c>
      <c r="B100" s="147" t="s">
        <v>195</v>
      </c>
      <c r="C100" s="148">
        <v>1042</v>
      </c>
      <c r="D100" s="148">
        <v>1554</v>
      </c>
      <c r="E100" s="148">
        <v>1081</v>
      </c>
      <c r="F100" s="148">
        <v>0</v>
      </c>
      <c r="G100" s="148">
        <v>28</v>
      </c>
      <c r="H100" s="149">
        <v>3705</v>
      </c>
      <c r="I100" s="148">
        <v>319</v>
      </c>
      <c r="J100" s="148">
        <v>24</v>
      </c>
      <c r="K100" s="148">
        <v>12</v>
      </c>
      <c r="L100" s="148">
        <v>25</v>
      </c>
      <c r="M100" s="149">
        <v>380</v>
      </c>
      <c r="N100" s="148">
        <v>141</v>
      </c>
      <c r="O100" s="148">
        <v>32</v>
      </c>
      <c r="P100" s="148">
        <v>9</v>
      </c>
      <c r="Q100" s="148">
        <v>25</v>
      </c>
      <c r="R100" s="149">
        <v>207</v>
      </c>
      <c r="S100" s="148">
        <v>29</v>
      </c>
      <c r="T100" s="149">
        <v>29</v>
      </c>
      <c r="U100" s="148">
        <v>10</v>
      </c>
      <c r="V100" s="148">
        <v>6</v>
      </c>
      <c r="W100" s="148">
        <v>17</v>
      </c>
      <c r="X100" s="148">
        <v>3</v>
      </c>
      <c r="Y100" s="149">
        <v>36</v>
      </c>
      <c r="Z100" s="148">
        <v>379</v>
      </c>
      <c r="AA100" s="148">
        <v>64</v>
      </c>
      <c r="AB100" s="148">
        <v>17</v>
      </c>
      <c r="AC100" s="149">
        <v>460</v>
      </c>
      <c r="AD100" s="148">
        <v>196</v>
      </c>
      <c r="AE100" s="149">
        <v>8</v>
      </c>
      <c r="AF100" s="148">
        <v>204</v>
      </c>
      <c r="AG100" s="148">
        <v>104</v>
      </c>
      <c r="AH100" s="148">
        <v>45</v>
      </c>
      <c r="AI100" s="149">
        <v>31</v>
      </c>
      <c r="AJ100" s="149">
        <v>180</v>
      </c>
      <c r="AK100" s="149">
        <v>5201</v>
      </c>
      <c r="AL100" s="148">
        <v>14</v>
      </c>
      <c r="AM100" s="148">
        <v>21</v>
      </c>
      <c r="AN100" s="148">
        <v>13</v>
      </c>
      <c r="AO100" s="148">
        <v>9</v>
      </c>
      <c r="AP100" s="148">
        <v>18</v>
      </c>
      <c r="AQ100" s="149">
        <v>75</v>
      </c>
      <c r="AR100" s="148">
        <v>17</v>
      </c>
      <c r="AS100" s="148">
        <v>13</v>
      </c>
      <c r="AT100" s="148">
        <v>22</v>
      </c>
      <c r="AU100" s="149">
        <v>52</v>
      </c>
      <c r="AV100" s="148">
        <v>21</v>
      </c>
      <c r="AW100" s="149">
        <v>21</v>
      </c>
      <c r="AX100" s="148">
        <v>148</v>
      </c>
      <c r="AY100" s="148">
        <v>8</v>
      </c>
      <c r="AZ100" s="148">
        <v>9</v>
      </c>
      <c r="BA100" s="148">
        <v>11</v>
      </c>
      <c r="BB100" s="148">
        <v>15</v>
      </c>
      <c r="BC100" s="148">
        <v>7</v>
      </c>
      <c r="BD100" s="148">
        <v>9</v>
      </c>
      <c r="BE100" s="148">
        <v>7</v>
      </c>
      <c r="BF100" s="148">
        <v>11</v>
      </c>
      <c r="BG100" s="148">
        <v>10</v>
      </c>
      <c r="BH100" s="149">
        <v>87</v>
      </c>
      <c r="BI100" s="149">
        <v>87</v>
      </c>
      <c r="BJ100" s="149">
        <v>12</v>
      </c>
      <c r="BK100" s="148">
        <v>45</v>
      </c>
      <c r="BL100" s="148">
        <v>57</v>
      </c>
      <c r="BM100" s="149">
        <v>17</v>
      </c>
      <c r="BN100" s="148">
        <v>4</v>
      </c>
      <c r="BO100" s="148">
        <v>6</v>
      </c>
      <c r="BP100" s="148">
        <v>8</v>
      </c>
      <c r="BQ100" s="148">
        <v>4</v>
      </c>
      <c r="BR100" s="148">
        <v>39</v>
      </c>
      <c r="BS100" s="149">
        <v>17</v>
      </c>
      <c r="BT100" s="148">
        <v>16</v>
      </c>
      <c r="BU100" s="148">
        <v>14</v>
      </c>
      <c r="BV100" s="148">
        <v>6</v>
      </c>
      <c r="BW100" s="148">
        <v>70</v>
      </c>
      <c r="BX100" s="148">
        <v>123</v>
      </c>
      <c r="BY100" s="149">
        <v>12</v>
      </c>
      <c r="BZ100" s="148">
        <v>8</v>
      </c>
      <c r="CA100" s="148">
        <v>17</v>
      </c>
      <c r="CB100" s="148">
        <v>37</v>
      </c>
      <c r="CC100" s="149">
        <v>13</v>
      </c>
      <c r="CD100" s="148">
        <v>13</v>
      </c>
      <c r="CE100" s="149">
        <v>5705</v>
      </c>
    </row>
    <row r="101" spans="1:83" ht="15" thickBot="1">
      <c r="A101" s="137">
        <v>5</v>
      </c>
      <c r="B101" s="123" t="s">
        <v>196</v>
      </c>
      <c r="C101" s="124">
        <v>1044</v>
      </c>
      <c r="D101" s="124">
        <v>1554</v>
      </c>
      <c r="E101" s="124">
        <v>1081</v>
      </c>
      <c r="F101" s="124">
        <v>0</v>
      </c>
      <c r="G101" s="124">
        <v>28</v>
      </c>
      <c r="H101" s="125">
        <v>3707</v>
      </c>
      <c r="I101" s="124">
        <v>320</v>
      </c>
      <c r="J101" s="124">
        <v>24</v>
      </c>
      <c r="K101" s="124">
        <v>12</v>
      </c>
      <c r="L101" s="124">
        <v>25</v>
      </c>
      <c r="M101" s="125">
        <v>381</v>
      </c>
      <c r="N101" s="124">
        <v>142</v>
      </c>
      <c r="O101" s="124">
        <v>34</v>
      </c>
      <c r="P101" s="124">
        <v>9</v>
      </c>
      <c r="Q101" s="124">
        <v>25</v>
      </c>
      <c r="R101" s="125">
        <v>210</v>
      </c>
      <c r="S101" s="124">
        <v>31</v>
      </c>
      <c r="T101" s="125">
        <v>31</v>
      </c>
      <c r="U101" s="124">
        <v>11</v>
      </c>
      <c r="V101" s="124">
        <v>6</v>
      </c>
      <c r="W101" s="124">
        <v>17</v>
      </c>
      <c r="X101" s="124">
        <v>3</v>
      </c>
      <c r="Y101" s="125">
        <v>37</v>
      </c>
      <c r="Z101" s="124">
        <v>379</v>
      </c>
      <c r="AA101" s="124">
        <v>64</v>
      </c>
      <c r="AB101" s="124">
        <v>18</v>
      </c>
      <c r="AC101" s="125">
        <v>461</v>
      </c>
      <c r="AD101" s="124">
        <v>198</v>
      </c>
      <c r="AE101" s="125">
        <v>8</v>
      </c>
      <c r="AF101" s="124">
        <v>206</v>
      </c>
      <c r="AG101" s="124">
        <v>104</v>
      </c>
      <c r="AH101" s="124">
        <v>45</v>
      </c>
      <c r="AI101" s="125">
        <v>33</v>
      </c>
      <c r="AJ101" s="125">
        <v>182</v>
      </c>
      <c r="AK101" s="125">
        <v>5215</v>
      </c>
      <c r="AL101" s="124">
        <v>14</v>
      </c>
      <c r="AM101" s="124">
        <v>23</v>
      </c>
      <c r="AN101" s="124">
        <v>13</v>
      </c>
      <c r="AO101" s="124">
        <v>9</v>
      </c>
      <c r="AP101" s="124">
        <v>19</v>
      </c>
      <c r="AQ101" s="125">
        <v>78</v>
      </c>
      <c r="AR101" s="124">
        <v>18</v>
      </c>
      <c r="AS101" s="124">
        <v>14</v>
      </c>
      <c r="AT101" s="124">
        <v>22</v>
      </c>
      <c r="AU101" s="125">
        <v>54</v>
      </c>
      <c r="AV101" s="124">
        <v>23</v>
      </c>
      <c r="AW101" s="125">
        <v>23</v>
      </c>
      <c r="AX101" s="124">
        <v>155</v>
      </c>
      <c r="AY101" s="124">
        <v>8</v>
      </c>
      <c r="AZ101" s="124">
        <v>18</v>
      </c>
      <c r="BA101" s="124">
        <v>12</v>
      </c>
      <c r="BB101" s="124">
        <v>16</v>
      </c>
      <c r="BC101" s="124">
        <v>8</v>
      </c>
      <c r="BD101" s="124">
        <v>9</v>
      </c>
      <c r="BE101" s="124">
        <v>8</v>
      </c>
      <c r="BF101" s="124">
        <v>12</v>
      </c>
      <c r="BG101" s="124">
        <v>10</v>
      </c>
      <c r="BH101" s="125">
        <v>101</v>
      </c>
      <c r="BI101" s="125">
        <v>101</v>
      </c>
      <c r="BJ101" s="125">
        <v>14</v>
      </c>
      <c r="BK101" s="124">
        <v>45</v>
      </c>
      <c r="BL101" s="124">
        <v>59</v>
      </c>
      <c r="BM101" s="125">
        <v>18</v>
      </c>
      <c r="BN101" s="124">
        <v>5</v>
      </c>
      <c r="BO101" s="124">
        <v>7</v>
      </c>
      <c r="BP101" s="124">
        <v>8</v>
      </c>
      <c r="BQ101" s="124">
        <v>6</v>
      </c>
      <c r="BR101" s="124">
        <v>44</v>
      </c>
      <c r="BS101" s="125">
        <v>18</v>
      </c>
      <c r="BT101" s="124">
        <v>17</v>
      </c>
      <c r="BU101" s="124">
        <v>14</v>
      </c>
      <c r="BV101" s="124">
        <v>7</v>
      </c>
      <c r="BW101" s="124">
        <v>70</v>
      </c>
      <c r="BX101" s="124">
        <v>126</v>
      </c>
      <c r="BY101" s="125">
        <v>12</v>
      </c>
      <c r="BZ101" s="124">
        <v>9</v>
      </c>
      <c r="CA101" s="124">
        <v>18</v>
      </c>
      <c r="CB101" s="124">
        <v>39</v>
      </c>
      <c r="CC101" s="125">
        <v>14</v>
      </c>
      <c r="CD101" s="124">
        <v>14</v>
      </c>
      <c r="CE101" s="125">
        <v>5753</v>
      </c>
    </row>
    <row r="102" spans="1:83">
      <c r="A102" s="150"/>
      <c r="B102" s="151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  <c r="BI102" s="152"/>
      <c r="BJ102" s="152"/>
      <c r="BK102" s="152"/>
      <c r="BL102" s="152"/>
      <c r="BM102" s="152"/>
      <c r="BN102" s="152"/>
      <c r="BO102" s="152"/>
      <c r="BP102" s="152"/>
      <c r="BQ102" s="152"/>
      <c r="BR102" s="152"/>
      <c r="BS102" s="152"/>
      <c r="BT102" s="152"/>
      <c r="BU102" s="152"/>
      <c r="BV102" s="152"/>
      <c r="BW102" s="152"/>
      <c r="BX102" s="152"/>
      <c r="BY102" s="152"/>
      <c r="BZ102" s="152"/>
      <c r="CA102" s="152"/>
      <c r="CB102" s="152"/>
      <c r="CC102" s="152"/>
      <c r="CD102" s="152"/>
      <c r="CE102" s="152"/>
    </row>
    <row r="103" spans="1:83" ht="21.5" thickBot="1">
      <c r="A103" s="153">
        <v>6</v>
      </c>
      <c r="B103" s="110" t="s">
        <v>3</v>
      </c>
      <c r="C103" s="129"/>
      <c r="D103" s="129"/>
      <c r="E103" s="129"/>
      <c r="F103" s="129"/>
      <c r="G103" s="129"/>
      <c r="H103" s="130"/>
      <c r="I103" s="129"/>
      <c r="J103" s="129"/>
      <c r="K103" s="129"/>
      <c r="L103" s="129"/>
      <c r="M103" s="130"/>
      <c r="N103" s="129"/>
      <c r="O103" s="129"/>
      <c r="P103" s="129"/>
      <c r="Q103" s="129"/>
      <c r="R103" s="130"/>
      <c r="S103" s="129"/>
      <c r="T103" s="130"/>
      <c r="U103" s="129"/>
      <c r="V103" s="129"/>
      <c r="W103" s="129"/>
      <c r="X103" s="129"/>
      <c r="Y103" s="130"/>
      <c r="Z103" s="129"/>
      <c r="AA103" s="129"/>
      <c r="AB103" s="129"/>
      <c r="AC103" s="130"/>
      <c r="AD103" s="129"/>
      <c r="AE103" s="130"/>
      <c r="AF103" s="129"/>
      <c r="AG103" s="129"/>
      <c r="AH103" s="129"/>
      <c r="AI103" s="130"/>
      <c r="AJ103" s="130"/>
      <c r="AK103" s="130"/>
      <c r="AL103" s="129"/>
      <c r="AM103" s="129"/>
      <c r="AN103" s="129"/>
      <c r="AO103" s="129"/>
      <c r="AP103" s="129"/>
      <c r="AQ103" s="130"/>
      <c r="AR103" s="129"/>
      <c r="AS103" s="129"/>
      <c r="AT103" s="129"/>
      <c r="AU103" s="130"/>
      <c r="AV103" s="129"/>
      <c r="AW103" s="130"/>
      <c r="AX103" s="129"/>
      <c r="AY103" s="129"/>
      <c r="AZ103" s="129"/>
      <c r="BA103" s="129"/>
      <c r="BB103" s="129"/>
      <c r="BC103" s="129"/>
      <c r="BD103" s="129"/>
      <c r="BE103" s="129"/>
      <c r="BF103" s="129"/>
      <c r="BG103" s="129"/>
      <c r="BH103" s="130"/>
      <c r="BI103" s="130"/>
      <c r="BJ103" s="130"/>
      <c r="BK103" s="129"/>
      <c r="BL103" s="129"/>
      <c r="BM103" s="130"/>
      <c r="BN103" s="129"/>
      <c r="BO103" s="129"/>
      <c r="BP103" s="129"/>
      <c r="BQ103" s="129"/>
      <c r="BR103" s="129"/>
      <c r="BS103" s="130"/>
      <c r="BT103" s="129"/>
      <c r="BU103" s="129"/>
      <c r="BV103" s="129"/>
      <c r="BW103" s="129"/>
      <c r="BX103" s="129"/>
      <c r="BY103" s="130"/>
      <c r="BZ103" s="129"/>
      <c r="CA103" s="129"/>
      <c r="CB103" s="129"/>
      <c r="CC103" s="130"/>
      <c r="CD103" s="129"/>
      <c r="CE103" s="130"/>
    </row>
    <row r="104" spans="1:83">
      <c r="A104" s="137">
        <v>6</v>
      </c>
      <c r="B104" s="138" t="s">
        <v>194</v>
      </c>
      <c r="C104" s="139">
        <v>2</v>
      </c>
      <c r="D104" s="139">
        <v>0</v>
      </c>
      <c r="E104" s="139">
        <v>0</v>
      </c>
      <c r="F104" s="139">
        <v>0</v>
      </c>
      <c r="G104" s="139">
        <v>0</v>
      </c>
      <c r="H104" s="140">
        <v>2</v>
      </c>
      <c r="I104" s="139">
        <v>1</v>
      </c>
      <c r="J104" s="139">
        <v>0</v>
      </c>
      <c r="K104" s="139">
        <v>0</v>
      </c>
      <c r="L104" s="139">
        <v>0</v>
      </c>
      <c r="M104" s="140">
        <v>1</v>
      </c>
      <c r="N104" s="139">
        <v>1</v>
      </c>
      <c r="O104" s="139">
        <v>2</v>
      </c>
      <c r="P104" s="139">
        <v>0</v>
      </c>
      <c r="Q104" s="139">
        <v>0</v>
      </c>
      <c r="R104" s="140">
        <v>3</v>
      </c>
      <c r="S104" s="139">
        <v>2</v>
      </c>
      <c r="T104" s="140">
        <v>2</v>
      </c>
      <c r="U104" s="139">
        <v>1</v>
      </c>
      <c r="V104" s="139">
        <v>0</v>
      </c>
      <c r="W104" s="139">
        <v>0</v>
      </c>
      <c r="X104" s="139">
        <v>0</v>
      </c>
      <c r="Y104" s="140">
        <v>1</v>
      </c>
      <c r="Z104" s="139">
        <v>0</v>
      </c>
      <c r="AA104" s="139">
        <v>0</v>
      </c>
      <c r="AB104" s="139">
        <v>1</v>
      </c>
      <c r="AC104" s="140">
        <v>1</v>
      </c>
      <c r="AD104" s="139">
        <v>2</v>
      </c>
      <c r="AE104" s="140">
        <v>0</v>
      </c>
      <c r="AF104" s="139">
        <v>2</v>
      </c>
      <c r="AG104" s="139">
        <v>0</v>
      </c>
      <c r="AH104" s="139">
        <v>0</v>
      </c>
      <c r="AI104" s="140">
        <v>2</v>
      </c>
      <c r="AJ104" s="140">
        <v>2</v>
      </c>
      <c r="AK104" s="140">
        <v>14</v>
      </c>
      <c r="AL104" s="139">
        <v>0</v>
      </c>
      <c r="AM104" s="139">
        <v>2</v>
      </c>
      <c r="AN104" s="139">
        <v>0</v>
      </c>
      <c r="AO104" s="139">
        <v>0</v>
      </c>
      <c r="AP104" s="139">
        <v>1</v>
      </c>
      <c r="AQ104" s="140">
        <v>3</v>
      </c>
      <c r="AR104" s="139">
        <v>1</v>
      </c>
      <c r="AS104" s="139">
        <v>1</v>
      </c>
      <c r="AT104" s="139">
        <v>0</v>
      </c>
      <c r="AU104" s="140">
        <v>2</v>
      </c>
      <c r="AV104" s="139">
        <v>2</v>
      </c>
      <c r="AW104" s="140">
        <v>2</v>
      </c>
      <c r="AX104" s="139">
        <v>7</v>
      </c>
      <c r="AY104" s="139">
        <v>0</v>
      </c>
      <c r="AZ104" s="139">
        <v>9</v>
      </c>
      <c r="BA104" s="139">
        <v>1</v>
      </c>
      <c r="BB104" s="139">
        <v>1</v>
      </c>
      <c r="BC104" s="139">
        <v>1</v>
      </c>
      <c r="BD104" s="139">
        <v>0</v>
      </c>
      <c r="BE104" s="139">
        <v>1</v>
      </c>
      <c r="BF104" s="139">
        <v>1</v>
      </c>
      <c r="BG104" s="139">
        <v>0</v>
      </c>
      <c r="BH104" s="140">
        <v>14</v>
      </c>
      <c r="BI104" s="140">
        <v>14</v>
      </c>
      <c r="BJ104" s="140">
        <v>2</v>
      </c>
      <c r="BK104" s="139">
        <v>0</v>
      </c>
      <c r="BL104" s="139">
        <v>2</v>
      </c>
      <c r="BM104" s="140">
        <v>1</v>
      </c>
      <c r="BN104" s="139">
        <v>1</v>
      </c>
      <c r="BO104" s="139">
        <v>1</v>
      </c>
      <c r="BP104" s="139">
        <v>0</v>
      </c>
      <c r="BQ104" s="139">
        <v>2</v>
      </c>
      <c r="BR104" s="139">
        <v>5</v>
      </c>
      <c r="BS104" s="140">
        <v>1</v>
      </c>
      <c r="BT104" s="139">
        <v>1</v>
      </c>
      <c r="BU104" s="139">
        <v>0</v>
      </c>
      <c r="BV104" s="139">
        <v>1</v>
      </c>
      <c r="BW104" s="139">
        <v>0</v>
      </c>
      <c r="BX104" s="139">
        <v>3</v>
      </c>
      <c r="BY104" s="140">
        <v>0</v>
      </c>
      <c r="BZ104" s="139">
        <v>1</v>
      </c>
      <c r="CA104" s="139">
        <v>1</v>
      </c>
      <c r="CB104" s="139">
        <v>2</v>
      </c>
      <c r="CC104" s="140">
        <v>1</v>
      </c>
      <c r="CD104" s="139">
        <v>1</v>
      </c>
      <c r="CE104" s="140">
        <v>48</v>
      </c>
    </row>
    <row r="105" spans="1:83">
      <c r="A105" s="137">
        <v>6</v>
      </c>
      <c r="B105" s="141" t="s">
        <v>139</v>
      </c>
      <c r="C105" s="142">
        <v>77</v>
      </c>
      <c r="D105" s="142">
        <v>100</v>
      </c>
      <c r="E105" s="142">
        <v>81</v>
      </c>
      <c r="F105" s="142">
        <v>0</v>
      </c>
      <c r="G105" s="142">
        <v>21</v>
      </c>
      <c r="H105" s="143">
        <v>279</v>
      </c>
      <c r="I105" s="142">
        <v>22</v>
      </c>
      <c r="J105" s="142">
        <v>14</v>
      </c>
      <c r="K105" s="142">
        <v>5</v>
      </c>
      <c r="L105" s="142">
        <v>11</v>
      </c>
      <c r="M105" s="143">
        <v>52</v>
      </c>
      <c r="N105" s="142">
        <v>16</v>
      </c>
      <c r="O105" s="142">
        <v>23</v>
      </c>
      <c r="P105" s="142">
        <v>9</v>
      </c>
      <c r="Q105" s="142">
        <v>12</v>
      </c>
      <c r="R105" s="143">
        <v>60</v>
      </c>
      <c r="S105" s="142">
        <v>15</v>
      </c>
      <c r="T105" s="143">
        <v>15</v>
      </c>
      <c r="U105" s="142">
        <v>10</v>
      </c>
      <c r="V105" s="142">
        <v>6</v>
      </c>
      <c r="W105" s="142">
        <v>16</v>
      </c>
      <c r="X105" s="142">
        <v>3</v>
      </c>
      <c r="Y105" s="143">
        <v>35</v>
      </c>
      <c r="Z105" s="142">
        <v>35</v>
      </c>
      <c r="AA105" s="142">
        <v>11</v>
      </c>
      <c r="AB105" s="142">
        <v>12</v>
      </c>
      <c r="AC105" s="143">
        <v>58</v>
      </c>
      <c r="AD105" s="142">
        <v>94</v>
      </c>
      <c r="AE105" s="143">
        <v>7</v>
      </c>
      <c r="AF105" s="142">
        <v>101</v>
      </c>
      <c r="AG105" s="142">
        <v>25</v>
      </c>
      <c r="AH105" s="142">
        <v>23</v>
      </c>
      <c r="AI105" s="143">
        <v>29</v>
      </c>
      <c r="AJ105" s="143">
        <v>77</v>
      </c>
      <c r="AK105" s="143">
        <v>677</v>
      </c>
      <c r="AL105" s="142">
        <v>14</v>
      </c>
      <c r="AM105" s="142">
        <v>21</v>
      </c>
      <c r="AN105" s="142">
        <v>13</v>
      </c>
      <c r="AO105" s="142">
        <v>9</v>
      </c>
      <c r="AP105" s="142">
        <v>18</v>
      </c>
      <c r="AQ105" s="143">
        <v>75</v>
      </c>
      <c r="AR105" s="142">
        <v>17</v>
      </c>
      <c r="AS105" s="142">
        <v>13</v>
      </c>
      <c r="AT105" s="142">
        <v>22</v>
      </c>
      <c r="AU105" s="143">
        <v>52</v>
      </c>
      <c r="AV105" s="142">
        <v>21</v>
      </c>
      <c r="AW105" s="143">
        <v>21</v>
      </c>
      <c r="AX105" s="142">
        <v>148</v>
      </c>
      <c r="AY105" s="142">
        <v>8</v>
      </c>
      <c r="AZ105" s="142">
        <v>9</v>
      </c>
      <c r="BA105" s="142">
        <v>11</v>
      </c>
      <c r="BB105" s="142">
        <v>15</v>
      </c>
      <c r="BC105" s="142">
        <v>7</v>
      </c>
      <c r="BD105" s="142">
        <v>9</v>
      </c>
      <c r="BE105" s="142">
        <v>7</v>
      </c>
      <c r="BF105" s="142">
        <v>11</v>
      </c>
      <c r="BG105" s="142">
        <v>10</v>
      </c>
      <c r="BH105" s="143">
        <v>87</v>
      </c>
      <c r="BI105" s="143">
        <v>87</v>
      </c>
      <c r="BJ105" s="143">
        <v>11</v>
      </c>
      <c r="BK105" s="142">
        <v>13</v>
      </c>
      <c r="BL105" s="142">
        <v>24</v>
      </c>
      <c r="BM105" s="143">
        <v>17</v>
      </c>
      <c r="BN105" s="142">
        <v>4</v>
      </c>
      <c r="BO105" s="142">
        <v>6</v>
      </c>
      <c r="BP105" s="142">
        <v>8</v>
      </c>
      <c r="BQ105" s="142">
        <v>4</v>
      </c>
      <c r="BR105" s="142">
        <v>39</v>
      </c>
      <c r="BS105" s="143">
        <v>11</v>
      </c>
      <c r="BT105" s="142">
        <v>16</v>
      </c>
      <c r="BU105" s="142">
        <v>11</v>
      </c>
      <c r="BV105" s="142">
        <v>6</v>
      </c>
      <c r="BW105" s="142">
        <v>3</v>
      </c>
      <c r="BX105" s="142">
        <v>47</v>
      </c>
      <c r="BY105" s="143">
        <v>12</v>
      </c>
      <c r="BZ105" s="142">
        <v>8</v>
      </c>
      <c r="CA105" s="142">
        <v>17</v>
      </c>
      <c r="CB105" s="142">
        <v>37</v>
      </c>
      <c r="CC105" s="143">
        <v>13</v>
      </c>
      <c r="CD105" s="142">
        <v>13</v>
      </c>
      <c r="CE105" s="143">
        <v>1072</v>
      </c>
    </row>
    <row r="106" spans="1:83">
      <c r="A106" s="137">
        <v>6</v>
      </c>
      <c r="B106" s="144" t="s">
        <v>140</v>
      </c>
      <c r="C106" s="145">
        <v>961</v>
      </c>
      <c r="D106" s="145">
        <v>1418</v>
      </c>
      <c r="E106" s="145">
        <v>905</v>
      </c>
      <c r="F106" s="145">
        <v>0</v>
      </c>
      <c r="G106" s="145">
        <v>7</v>
      </c>
      <c r="H106" s="146">
        <v>3291</v>
      </c>
      <c r="I106" s="145">
        <v>298</v>
      </c>
      <c r="J106" s="145">
        <v>11</v>
      </c>
      <c r="K106" s="145">
        <v>4</v>
      </c>
      <c r="L106" s="145">
        <v>14</v>
      </c>
      <c r="M106" s="146">
        <v>327</v>
      </c>
      <c r="N106" s="145">
        <v>125</v>
      </c>
      <c r="O106" s="145">
        <v>9</v>
      </c>
      <c r="P106" s="145">
        <v>0</v>
      </c>
      <c r="Q106" s="145">
        <v>13</v>
      </c>
      <c r="R106" s="146">
        <v>147</v>
      </c>
      <c r="S106" s="145">
        <v>14</v>
      </c>
      <c r="T106" s="146">
        <v>14</v>
      </c>
      <c r="U106" s="145">
        <v>0</v>
      </c>
      <c r="V106" s="145">
        <v>0</v>
      </c>
      <c r="W106" s="145">
        <v>1</v>
      </c>
      <c r="X106" s="145">
        <v>0</v>
      </c>
      <c r="Y106" s="146">
        <v>1</v>
      </c>
      <c r="Z106" s="145">
        <v>342</v>
      </c>
      <c r="AA106" s="145">
        <v>52</v>
      </c>
      <c r="AB106" s="145">
        <v>5</v>
      </c>
      <c r="AC106" s="146">
        <v>399</v>
      </c>
      <c r="AD106" s="145">
        <v>102</v>
      </c>
      <c r="AE106" s="146">
        <v>1</v>
      </c>
      <c r="AF106" s="145">
        <v>103</v>
      </c>
      <c r="AG106" s="145">
        <v>79</v>
      </c>
      <c r="AH106" s="145">
        <v>24</v>
      </c>
      <c r="AI106" s="146">
        <v>4</v>
      </c>
      <c r="AJ106" s="146">
        <v>107</v>
      </c>
      <c r="AK106" s="146">
        <v>4389</v>
      </c>
      <c r="AL106" s="145">
        <v>0</v>
      </c>
      <c r="AM106" s="145">
        <v>0</v>
      </c>
      <c r="AN106" s="145">
        <v>0</v>
      </c>
      <c r="AO106" s="145">
        <v>0</v>
      </c>
      <c r="AP106" s="145">
        <v>0</v>
      </c>
      <c r="AQ106" s="146">
        <v>0</v>
      </c>
      <c r="AR106" s="145">
        <v>0</v>
      </c>
      <c r="AS106" s="145">
        <v>0</v>
      </c>
      <c r="AT106" s="145">
        <v>0</v>
      </c>
      <c r="AU106" s="146">
        <v>0</v>
      </c>
      <c r="AV106" s="145">
        <v>0</v>
      </c>
      <c r="AW106" s="146">
        <v>0</v>
      </c>
      <c r="AX106" s="145">
        <v>0</v>
      </c>
      <c r="AY106" s="145">
        <v>0</v>
      </c>
      <c r="AZ106" s="145">
        <v>0</v>
      </c>
      <c r="BA106" s="145">
        <v>0</v>
      </c>
      <c r="BB106" s="145">
        <v>0</v>
      </c>
      <c r="BC106" s="145">
        <v>0</v>
      </c>
      <c r="BD106" s="145">
        <v>0</v>
      </c>
      <c r="BE106" s="145">
        <v>0</v>
      </c>
      <c r="BF106" s="145">
        <v>0</v>
      </c>
      <c r="BG106" s="145">
        <v>0</v>
      </c>
      <c r="BH106" s="146">
        <v>0</v>
      </c>
      <c r="BI106" s="146">
        <v>0</v>
      </c>
      <c r="BJ106" s="146">
        <v>1</v>
      </c>
      <c r="BK106" s="145">
        <v>32</v>
      </c>
      <c r="BL106" s="145">
        <v>33</v>
      </c>
      <c r="BM106" s="146">
        <v>0</v>
      </c>
      <c r="BN106" s="145">
        <v>0</v>
      </c>
      <c r="BO106" s="145">
        <v>0</v>
      </c>
      <c r="BP106" s="145">
        <v>0</v>
      </c>
      <c r="BQ106" s="145">
        <v>0</v>
      </c>
      <c r="BR106" s="145">
        <v>0</v>
      </c>
      <c r="BS106" s="146">
        <v>6</v>
      </c>
      <c r="BT106" s="145">
        <v>0</v>
      </c>
      <c r="BU106" s="145">
        <v>3</v>
      </c>
      <c r="BV106" s="145">
        <v>0</v>
      </c>
      <c r="BW106" s="145">
        <v>67</v>
      </c>
      <c r="BX106" s="145">
        <v>76</v>
      </c>
      <c r="BY106" s="146">
        <v>0</v>
      </c>
      <c r="BZ106" s="145">
        <v>0</v>
      </c>
      <c r="CA106" s="145">
        <v>0</v>
      </c>
      <c r="CB106" s="145">
        <v>0</v>
      </c>
      <c r="CC106" s="146">
        <v>0</v>
      </c>
      <c r="CD106" s="145">
        <v>0</v>
      </c>
      <c r="CE106" s="146">
        <v>4498</v>
      </c>
    </row>
    <row r="107" spans="1:83">
      <c r="A107" s="137">
        <v>6</v>
      </c>
      <c r="B107" s="147" t="s">
        <v>195</v>
      </c>
      <c r="C107" s="148">
        <v>1038</v>
      </c>
      <c r="D107" s="148">
        <v>1518</v>
      </c>
      <c r="E107" s="148">
        <v>986</v>
      </c>
      <c r="F107" s="148">
        <v>0</v>
      </c>
      <c r="G107" s="148">
        <v>28</v>
      </c>
      <c r="H107" s="149">
        <v>3570</v>
      </c>
      <c r="I107" s="148">
        <v>320</v>
      </c>
      <c r="J107" s="148">
        <v>25</v>
      </c>
      <c r="K107" s="148">
        <v>9</v>
      </c>
      <c r="L107" s="148">
        <v>25</v>
      </c>
      <c r="M107" s="149">
        <v>379</v>
      </c>
      <c r="N107" s="148">
        <v>141</v>
      </c>
      <c r="O107" s="148">
        <v>32</v>
      </c>
      <c r="P107" s="148">
        <v>9</v>
      </c>
      <c r="Q107" s="148">
        <v>25</v>
      </c>
      <c r="R107" s="149">
        <v>207</v>
      </c>
      <c r="S107" s="148">
        <v>29</v>
      </c>
      <c r="T107" s="149">
        <v>29</v>
      </c>
      <c r="U107" s="148">
        <v>10</v>
      </c>
      <c r="V107" s="148">
        <v>6</v>
      </c>
      <c r="W107" s="148">
        <v>17</v>
      </c>
      <c r="X107" s="148">
        <v>3</v>
      </c>
      <c r="Y107" s="149">
        <v>36</v>
      </c>
      <c r="Z107" s="148">
        <v>377</v>
      </c>
      <c r="AA107" s="148">
        <v>63</v>
      </c>
      <c r="AB107" s="148">
        <v>17</v>
      </c>
      <c r="AC107" s="149">
        <v>457</v>
      </c>
      <c r="AD107" s="148">
        <v>196</v>
      </c>
      <c r="AE107" s="149">
        <v>8</v>
      </c>
      <c r="AF107" s="148">
        <v>204</v>
      </c>
      <c r="AG107" s="148">
        <v>104</v>
      </c>
      <c r="AH107" s="148">
        <v>47</v>
      </c>
      <c r="AI107" s="149">
        <v>33</v>
      </c>
      <c r="AJ107" s="149">
        <v>184</v>
      </c>
      <c r="AK107" s="149">
        <v>5066</v>
      </c>
      <c r="AL107" s="148">
        <v>14</v>
      </c>
      <c r="AM107" s="148">
        <v>21</v>
      </c>
      <c r="AN107" s="148">
        <v>13</v>
      </c>
      <c r="AO107" s="148">
        <v>9</v>
      </c>
      <c r="AP107" s="148">
        <v>18</v>
      </c>
      <c r="AQ107" s="149">
        <v>75</v>
      </c>
      <c r="AR107" s="148">
        <v>17</v>
      </c>
      <c r="AS107" s="148">
        <v>13</v>
      </c>
      <c r="AT107" s="148">
        <v>22</v>
      </c>
      <c r="AU107" s="149">
        <v>52</v>
      </c>
      <c r="AV107" s="148">
        <v>21</v>
      </c>
      <c r="AW107" s="149">
        <v>21</v>
      </c>
      <c r="AX107" s="148">
        <v>148</v>
      </c>
      <c r="AY107" s="148">
        <v>8</v>
      </c>
      <c r="AZ107" s="148">
        <v>9</v>
      </c>
      <c r="BA107" s="148">
        <v>11</v>
      </c>
      <c r="BB107" s="148">
        <v>15</v>
      </c>
      <c r="BC107" s="148">
        <v>7</v>
      </c>
      <c r="BD107" s="148">
        <v>9</v>
      </c>
      <c r="BE107" s="148">
        <v>7</v>
      </c>
      <c r="BF107" s="148">
        <v>11</v>
      </c>
      <c r="BG107" s="148">
        <v>10</v>
      </c>
      <c r="BH107" s="149">
        <v>87</v>
      </c>
      <c r="BI107" s="149">
        <v>87</v>
      </c>
      <c r="BJ107" s="149">
        <v>12</v>
      </c>
      <c r="BK107" s="148">
        <v>45</v>
      </c>
      <c r="BL107" s="148">
        <v>57</v>
      </c>
      <c r="BM107" s="149">
        <v>17</v>
      </c>
      <c r="BN107" s="148">
        <v>4</v>
      </c>
      <c r="BO107" s="148">
        <v>6</v>
      </c>
      <c r="BP107" s="148">
        <v>8</v>
      </c>
      <c r="BQ107" s="148">
        <v>4</v>
      </c>
      <c r="BR107" s="148">
        <v>39</v>
      </c>
      <c r="BS107" s="149">
        <v>17</v>
      </c>
      <c r="BT107" s="148">
        <v>16</v>
      </c>
      <c r="BU107" s="148">
        <v>14</v>
      </c>
      <c r="BV107" s="148">
        <v>6</v>
      </c>
      <c r="BW107" s="148">
        <v>70</v>
      </c>
      <c r="BX107" s="148">
        <v>123</v>
      </c>
      <c r="BY107" s="149">
        <v>12</v>
      </c>
      <c r="BZ107" s="148">
        <v>8</v>
      </c>
      <c r="CA107" s="148">
        <v>17</v>
      </c>
      <c r="CB107" s="148">
        <v>37</v>
      </c>
      <c r="CC107" s="149">
        <v>13</v>
      </c>
      <c r="CD107" s="148">
        <v>13</v>
      </c>
      <c r="CE107" s="149">
        <v>5570</v>
      </c>
    </row>
    <row r="108" spans="1:83" ht="15" thickBot="1">
      <c r="A108" s="137">
        <v>6</v>
      </c>
      <c r="B108" s="123" t="s">
        <v>196</v>
      </c>
      <c r="C108" s="124">
        <v>1040</v>
      </c>
      <c r="D108" s="124">
        <v>1518</v>
      </c>
      <c r="E108" s="124">
        <v>986</v>
      </c>
      <c r="F108" s="124">
        <v>0</v>
      </c>
      <c r="G108" s="124">
        <v>28</v>
      </c>
      <c r="H108" s="125">
        <v>3572</v>
      </c>
      <c r="I108" s="124">
        <v>321</v>
      </c>
      <c r="J108" s="124">
        <v>25</v>
      </c>
      <c r="K108" s="124">
        <v>9</v>
      </c>
      <c r="L108" s="124">
        <v>25</v>
      </c>
      <c r="M108" s="125">
        <v>380</v>
      </c>
      <c r="N108" s="124">
        <v>142</v>
      </c>
      <c r="O108" s="124">
        <v>34</v>
      </c>
      <c r="P108" s="124">
        <v>9</v>
      </c>
      <c r="Q108" s="124">
        <v>25</v>
      </c>
      <c r="R108" s="125">
        <v>210</v>
      </c>
      <c r="S108" s="124">
        <v>31</v>
      </c>
      <c r="T108" s="125">
        <v>31</v>
      </c>
      <c r="U108" s="124">
        <v>11</v>
      </c>
      <c r="V108" s="124">
        <v>6</v>
      </c>
      <c r="W108" s="124">
        <v>17</v>
      </c>
      <c r="X108" s="124">
        <v>3</v>
      </c>
      <c r="Y108" s="125">
        <v>37</v>
      </c>
      <c r="Z108" s="124">
        <v>377</v>
      </c>
      <c r="AA108" s="124">
        <v>63</v>
      </c>
      <c r="AB108" s="124">
        <v>18</v>
      </c>
      <c r="AC108" s="125">
        <v>458</v>
      </c>
      <c r="AD108" s="124">
        <v>198</v>
      </c>
      <c r="AE108" s="125">
        <v>8</v>
      </c>
      <c r="AF108" s="124">
        <v>206</v>
      </c>
      <c r="AG108" s="124">
        <v>104</v>
      </c>
      <c r="AH108" s="124">
        <v>47</v>
      </c>
      <c r="AI108" s="125">
        <v>35</v>
      </c>
      <c r="AJ108" s="125">
        <v>186</v>
      </c>
      <c r="AK108" s="125">
        <v>5080</v>
      </c>
      <c r="AL108" s="124">
        <v>14</v>
      </c>
      <c r="AM108" s="124">
        <v>23</v>
      </c>
      <c r="AN108" s="124">
        <v>13</v>
      </c>
      <c r="AO108" s="124">
        <v>9</v>
      </c>
      <c r="AP108" s="124">
        <v>19</v>
      </c>
      <c r="AQ108" s="125">
        <v>78</v>
      </c>
      <c r="AR108" s="124">
        <v>18</v>
      </c>
      <c r="AS108" s="124">
        <v>14</v>
      </c>
      <c r="AT108" s="124">
        <v>22</v>
      </c>
      <c r="AU108" s="125">
        <v>54</v>
      </c>
      <c r="AV108" s="124">
        <v>23</v>
      </c>
      <c r="AW108" s="125">
        <v>23</v>
      </c>
      <c r="AX108" s="124">
        <v>155</v>
      </c>
      <c r="AY108" s="124">
        <v>8</v>
      </c>
      <c r="AZ108" s="124">
        <v>18</v>
      </c>
      <c r="BA108" s="124">
        <v>12</v>
      </c>
      <c r="BB108" s="124">
        <v>16</v>
      </c>
      <c r="BC108" s="124">
        <v>8</v>
      </c>
      <c r="BD108" s="124">
        <v>9</v>
      </c>
      <c r="BE108" s="124">
        <v>8</v>
      </c>
      <c r="BF108" s="124">
        <v>12</v>
      </c>
      <c r="BG108" s="124">
        <v>10</v>
      </c>
      <c r="BH108" s="125">
        <v>101</v>
      </c>
      <c r="BI108" s="125">
        <v>101</v>
      </c>
      <c r="BJ108" s="125">
        <v>14</v>
      </c>
      <c r="BK108" s="124">
        <v>45</v>
      </c>
      <c r="BL108" s="124">
        <v>59</v>
      </c>
      <c r="BM108" s="125">
        <v>18</v>
      </c>
      <c r="BN108" s="124">
        <v>5</v>
      </c>
      <c r="BO108" s="124">
        <v>7</v>
      </c>
      <c r="BP108" s="124">
        <v>8</v>
      </c>
      <c r="BQ108" s="124">
        <v>6</v>
      </c>
      <c r="BR108" s="124">
        <v>44</v>
      </c>
      <c r="BS108" s="125">
        <v>18</v>
      </c>
      <c r="BT108" s="124">
        <v>17</v>
      </c>
      <c r="BU108" s="124">
        <v>14</v>
      </c>
      <c r="BV108" s="124">
        <v>7</v>
      </c>
      <c r="BW108" s="124">
        <v>70</v>
      </c>
      <c r="BX108" s="124">
        <v>126</v>
      </c>
      <c r="BY108" s="125">
        <v>12</v>
      </c>
      <c r="BZ108" s="124">
        <v>9</v>
      </c>
      <c r="CA108" s="124">
        <v>18</v>
      </c>
      <c r="CB108" s="124">
        <v>39</v>
      </c>
      <c r="CC108" s="125">
        <v>14</v>
      </c>
      <c r="CD108" s="124">
        <v>14</v>
      </c>
      <c r="CE108" s="125">
        <v>5618</v>
      </c>
    </row>
    <row r="109" spans="1:83">
      <c r="A109" s="150"/>
      <c r="B109" s="151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  <c r="BG109" s="152"/>
      <c r="BH109" s="152"/>
      <c r="BI109" s="152"/>
      <c r="BJ109" s="152"/>
      <c r="BK109" s="152"/>
      <c r="BL109" s="152"/>
      <c r="BM109" s="152"/>
      <c r="BN109" s="152"/>
      <c r="BO109" s="152"/>
      <c r="BP109" s="152"/>
      <c r="BQ109" s="152"/>
      <c r="BR109" s="152"/>
      <c r="BS109" s="152"/>
      <c r="BT109" s="152"/>
      <c r="BU109" s="152"/>
      <c r="BV109" s="152"/>
      <c r="BW109" s="152"/>
      <c r="BX109" s="152"/>
      <c r="BY109" s="152"/>
      <c r="BZ109" s="152"/>
      <c r="CA109" s="152"/>
      <c r="CB109" s="152"/>
      <c r="CC109" s="152"/>
      <c r="CD109" s="152"/>
      <c r="CE109" s="152"/>
    </row>
    <row r="110" spans="1:83" ht="21.5" thickBot="1">
      <c r="A110" s="153">
        <v>7</v>
      </c>
      <c r="B110" s="110" t="s">
        <v>3</v>
      </c>
      <c r="C110" s="129"/>
      <c r="D110" s="129"/>
      <c r="E110" s="129"/>
      <c r="F110" s="129"/>
      <c r="G110" s="129"/>
      <c r="H110" s="130"/>
      <c r="I110" s="129"/>
      <c r="J110" s="129"/>
      <c r="K110" s="129"/>
      <c r="L110" s="129"/>
      <c r="M110" s="130"/>
      <c r="N110" s="129"/>
      <c r="O110" s="129"/>
      <c r="P110" s="129"/>
      <c r="Q110" s="129"/>
      <c r="R110" s="130"/>
      <c r="S110" s="129"/>
      <c r="T110" s="130"/>
      <c r="U110" s="129"/>
      <c r="V110" s="129"/>
      <c r="W110" s="129"/>
      <c r="X110" s="129"/>
      <c r="Y110" s="130"/>
      <c r="Z110" s="129"/>
      <c r="AA110" s="129"/>
      <c r="AB110" s="129"/>
      <c r="AC110" s="130"/>
      <c r="AD110" s="129"/>
      <c r="AE110" s="130"/>
      <c r="AF110" s="129"/>
      <c r="AG110" s="129"/>
      <c r="AH110" s="129"/>
      <c r="AI110" s="130"/>
      <c r="AJ110" s="130"/>
      <c r="AK110" s="130"/>
      <c r="AL110" s="129"/>
      <c r="AM110" s="129"/>
      <c r="AN110" s="129"/>
      <c r="AO110" s="129"/>
      <c r="AP110" s="129"/>
      <c r="AQ110" s="130"/>
      <c r="AR110" s="129"/>
      <c r="AS110" s="129"/>
      <c r="AT110" s="129"/>
      <c r="AU110" s="130"/>
      <c r="AV110" s="129"/>
      <c r="AW110" s="130"/>
      <c r="AX110" s="129"/>
      <c r="AY110" s="129"/>
      <c r="AZ110" s="129"/>
      <c r="BA110" s="129"/>
      <c r="BB110" s="129"/>
      <c r="BC110" s="129"/>
      <c r="BD110" s="129"/>
      <c r="BE110" s="129"/>
      <c r="BF110" s="129"/>
      <c r="BG110" s="129"/>
      <c r="BH110" s="130"/>
      <c r="BI110" s="130"/>
      <c r="BJ110" s="130"/>
      <c r="BK110" s="129"/>
      <c r="BL110" s="129"/>
      <c r="BM110" s="130"/>
      <c r="BN110" s="129"/>
      <c r="BO110" s="129"/>
      <c r="BP110" s="129"/>
      <c r="BQ110" s="129"/>
      <c r="BR110" s="129"/>
      <c r="BS110" s="130"/>
      <c r="BT110" s="129"/>
      <c r="BU110" s="129"/>
      <c r="BV110" s="129"/>
      <c r="BW110" s="129"/>
      <c r="BX110" s="129"/>
      <c r="BY110" s="130"/>
      <c r="BZ110" s="129"/>
      <c r="CA110" s="129"/>
      <c r="CB110" s="129"/>
      <c r="CC110" s="130"/>
      <c r="CD110" s="129"/>
      <c r="CE110" s="130"/>
    </row>
    <row r="111" spans="1:83">
      <c r="A111" s="137">
        <v>7</v>
      </c>
      <c r="B111" s="138" t="s">
        <v>194</v>
      </c>
      <c r="C111" s="139">
        <v>2</v>
      </c>
      <c r="D111" s="139">
        <v>0</v>
      </c>
      <c r="E111" s="139">
        <v>0</v>
      </c>
      <c r="F111" s="139">
        <v>0</v>
      </c>
      <c r="G111" s="139">
        <v>0</v>
      </c>
      <c r="H111" s="140">
        <v>2</v>
      </c>
      <c r="I111" s="139">
        <v>1</v>
      </c>
      <c r="J111" s="139">
        <v>0</v>
      </c>
      <c r="K111" s="139">
        <v>0</v>
      </c>
      <c r="L111" s="139">
        <v>0</v>
      </c>
      <c r="M111" s="140">
        <v>1</v>
      </c>
      <c r="N111" s="139">
        <v>1</v>
      </c>
      <c r="O111" s="139">
        <v>2</v>
      </c>
      <c r="P111" s="139">
        <v>0</v>
      </c>
      <c r="Q111" s="139">
        <v>0</v>
      </c>
      <c r="R111" s="140">
        <v>3</v>
      </c>
      <c r="S111" s="139">
        <v>2</v>
      </c>
      <c r="T111" s="140">
        <v>2</v>
      </c>
      <c r="U111" s="139">
        <v>1</v>
      </c>
      <c r="V111" s="139">
        <v>0</v>
      </c>
      <c r="W111" s="139">
        <v>0</v>
      </c>
      <c r="X111" s="139">
        <v>0</v>
      </c>
      <c r="Y111" s="140">
        <v>1</v>
      </c>
      <c r="Z111" s="139">
        <v>0</v>
      </c>
      <c r="AA111" s="139">
        <v>0</v>
      </c>
      <c r="AB111" s="139">
        <v>1</v>
      </c>
      <c r="AC111" s="140">
        <v>1</v>
      </c>
      <c r="AD111" s="139">
        <v>2</v>
      </c>
      <c r="AE111" s="140">
        <v>0</v>
      </c>
      <c r="AF111" s="139">
        <v>2</v>
      </c>
      <c r="AG111" s="139">
        <v>0</v>
      </c>
      <c r="AH111" s="139">
        <v>0</v>
      </c>
      <c r="AI111" s="140">
        <v>2</v>
      </c>
      <c r="AJ111" s="140">
        <v>2</v>
      </c>
      <c r="AK111" s="140">
        <v>14</v>
      </c>
      <c r="AL111" s="139">
        <v>0</v>
      </c>
      <c r="AM111" s="139">
        <v>2</v>
      </c>
      <c r="AN111" s="139">
        <v>0</v>
      </c>
      <c r="AO111" s="139">
        <v>0</v>
      </c>
      <c r="AP111" s="139">
        <v>1</v>
      </c>
      <c r="AQ111" s="140">
        <v>3</v>
      </c>
      <c r="AR111" s="139">
        <v>1</v>
      </c>
      <c r="AS111" s="139">
        <v>1</v>
      </c>
      <c r="AT111" s="139">
        <v>0</v>
      </c>
      <c r="AU111" s="140">
        <v>2</v>
      </c>
      <c r="AV111" s="139">
        <v>2</v>
      </c>
      <c r="AW111" s="140">
        <v>2</v>
      </c>
      <c r="AX111" s="139">
        <v>7</v>
      </c>
      <c r="AY111" s="139">
        <v>0</v>
      </c>
      <c r="AZ111" s="139">
        <v>9</v>
      </c>
      <c r="BA111" s="139">
        <v>1</v>
      </c>
      <c r="BB111" s="139">
        <v>1</v>
      </c>
      <c r="BC111" s="139">
        <v>1</v>
      </c>
      <c r="BD111" s="139">
        <v>0</v>
      </c>
      <c r="BE111" s="139">
        <v>1</v>
      </c>
      <c r="BF111" s="139">
        <v>1</v>
      </c>
      <c r="BG111" s="139">
        <v>0</v>
      </c>
      <c r="BH111" s="140">
        <v>14</v>
      </c>
      <c r="BI111" s="140">
        <v>14</v>
      </c>
      <c r="BJ111" s="140">
        <v>2</v>
      </c>
      <c r="BK111" s="139">
        <v>0</v>
      </c>
      <c r="BL111" s="139">
        <v>2</v>
      </c>
      <c r="BM111" s="140">
        <v>1</v>
      </c>
      <c r="BN111" s="139">
        <v>1</v>
      </c>
      <c r="BO111" s="139">
        <v>1</v>
      </c>
      <c r="BP111" s="139">
        <v>0</v>
      </c>
      <c r="BQ111" s="139">
        <v>2</v>
      </c>
      <c r="BR111" s="139">
        <v>5</v>
      </c>
      <c r="BS111" s="140">
        <v>1</v>
      </c>
      <c r="BT111" s="139">
        <v>1</v>
      </c>
      <c r="BU111" s="139">
        <v>0</v>
      </c>
      <c r="BV111" s="139">
        <v>1</v>
      </c>
      <c r="BW111" s="139">
        <v>0</v>
      </c>
      <c r="BX111" s="139">
        <v>3</v>
      </c>
      <c r="BY111" s="140">
        <v>0</v>
      </c>
      <c r="BZ111" s="139">
        <v>1</v>
      </c>
      <c r="CA111" s="139">
        <v>1</v>
      </c>
      <c r="CB111" s="139">
        <v>2</v>
      </c>
      <c r="CC111" s="140">
        <v>1</v>
      </c>
      <c r="CD111" s="139">
        <v>1</v>
      </c>
      <c r="CE111" s="140">
        <v>48</v>
      </c>
    </row>
    <row r="112" spans="1:83">
      <c r="A112" s="137">
        <v>7</v>
      </c>
      <c r="B112" s="141" t="s">
        <v>139</v>
      </c>
      <c r="C112" s="142">
        <v>85</v>
      </c>
      <c r="D112" s="142">
        <v>116</v>
      </c>
      <c r="E112" s="142">
        <v>90</v>
      </c>
      <c r="F112" s="142">
        <v>0</v>
      </c>
      <c r="G112" s="142">
        <v>21</v>
      </c>
      <c r="H112" s="143">
        <v>312</v>
      </c>
      <c r="I112" s="142">
        <v>22</v>
      </c>
      <c r="J112" s="142">
        <v>14</v>
      </c>
      <c r="K112" s="142">
        <v>6</v>
      </c>
      <c r="L112" s="142">
        <v>10</v>
      </c>
      <c r="M112" s="143">
        <v>52</v>
      </c>
      <c r="N112" s="142">
        <v>16</v>
      </c>
      <c r="O112" s="142">
        <v>23</v>
      </c>
      <c r="P112" s="142">
        <v>9</v>
      </c>
      <c r="Q112" s="142">
        <v>12</v>
      </c>
      <c r="R112" s="143">
        <v>60</v>
      </c>
      <c r="S112" s="142">
        <v>15</v>
      </c>
      <c r="T112" s="143">
        <v>15</v>
      </c>
      <c r="U112" s="142">
        <v>10</v>
      </c>
      <c r="V112" s="142">
        <v>6</v>
      </c>
      <c r="W112" s="142">
        <v>16</v>
      </c>
      <c r="X112" s="142">
        <v>3</v>
      </c>
      <c r="Y112" s="143">
        <v>35</v>
      </c>
      <c r="Z112" s="142">
        <v>38</v>
      </c>
      <c r="AA112" s="142">
        <v>11</v>
      </c>
      <c r="AB112" s="142">
        <v>12</v>
      </c>
      <c r="AC112" s="143">
        <v>61</v>
      </c>
      <c r="AD112" s="142">
        <v>102</v>
      </c>
      <c r="AE112" s="143">
        <v>7</v>
      </c>
      <c r="AF112" s="142">
        <v>109</v>
      </c>
      <c r="AG112" s="142">
        <v>25</v>
      </c>
      <c r="AH112" s="142">
        <v>23</v>
      </c>
      <c r="AI112" s="143">
        <v>30</v>
      </c>
      <c r="AJ112" s="143">
        <v>78</v>
      </c>
      <c r="AK112" s="143">
        <v>722</v>
      </c>
      <c r="AL112" s="142">
        <v>14</v>
      </c>
      <c r="AM112" s="142">
        <v>21</v>
      </c>
      <c r="AN112" s="142">
        <v>13</v>
      </c>
      <c r="AO112" s="142">
        <v>9</v>
      </c>
      <c r="AP112" s="142">
        <v>18</v>
      </c>
      <c r="AQ112" s="143">
        <v>75</v>
      </c>
      <c r="AR112" s="142">
        <v>17</v>
      </c>
      <c r="AS112" s="142">
        <v>13</v>
      </c>
      <c r="AT112" s="142">
        <v>23</v>
      </c>
      <c r="AU112" s="143">
        <v>53</v>
      </c>
      <c r="AV112" s="142">
        <v>21</v>
      </c>
      <c r="AW112" s="143">
        <v>21</v>
      </c>
      <c r="AX112" s="142">
        <v>149</v>
      </c>
      <c r="AY112" s="142">
        <v>8</v>
      </c>
      <c r="AZ112" s="142">
        <v>9</v>
      </c>
      <c r="BA112" s="142">
        <v>11</v>
      </c>
      <c r="BB112" s="142">
        <v>15</v>
      </c>
      <c r="BC112" s="142">
        <v>7</v>
      </c>
      <c r="BD112" s="142">
        <v>9</v>
      </c>
      <c r="BE112" s="142">
        <v>7</v>
      </c>
      <c r="BF112" s="142">
        <v>11</v>
      </c>
      <c r="BG112" s="142">
        <v>10</v>
      </c>
      <c r="BH112" s="143">
        <v>87</v>
      </c>
      <c r="BI112" s="143">
        <v>87</v>
      </c>
      <c r="BJ112" s="143">
        <v>11</v>
      </c>
      <c r="BK112" s="142">
        <v>13</v>
      </c>
      <c r="BL112" s="142">
        <v>24</v>
      </c>
      <c r="BM112" s="143">
        <v>17</v>
      </c>
      <c r="BN112" s="142">
        <v>4</v>
      </c>
      <c r="BO112" s="142">
        <v>6</v>
      </c>
      <c r="BP112" s="142">
        <v>8</v>
      </c>
      <c r="BQ112" s="142">
        <v>4</v>
      </c>
      <c r="BR112" s="142">
        <v>39</v>
      </c>
      <c r="BS112" s="143">
        <v>11</v>
      </c>
      <c r="BT112" s="142">
        <v>16</v>
      </c>
      <c r="BU112" s="142">
        <v>11</v>
      </c>
      <c r="BV112" s="142">
        <v>6</v>
      </c>
      <c r="BW112" s="142">
        <v>3</v>
      </c>
      <c r="BX112" s="142">
        <v>47</v>
      </c>
      <c r="BY112" s="143">
        <v>12</v>
      </c>
      <c r="BZ112" s="142">
        <v>8</v>
      </c>
      <c r="CA112" s="142">
        <v>17</v>
      </c>
      <c r="CB112" s="142">
        <v>37</v>
      </c>
      <c r="CC112" s="143">
        <v>13</v>
      </c>
      <c r="CD112" s="142">
        <v>13</v>
      </c>
      <c r="CE112" s="143">
        <v>1118</v>
      </c>
    </row>
    <row r="113" spans="1:83">
      <c r="A113" s="137">
        <v>7</v>
      </c>
      <c r="B113" s="144" t="s">
        <v>140</v>
      </c>
      <c r="C113" s="145">
        <v>1105</v>
      </c>
      <c r="D113" s="145">
        <v>1637</v>
      </c>
      <c r="E113" s="145">
        <v>1014</v>
      </c>
      <c r="F113" s="145">
        <v>0</v>
      </c>
      <c r="G113" s="145">
        <v>7</v>
      </c>
      <c r="H113" s="146">
        <v>3763</v>
      </c>
      <c r="I113" s="145">
        <v>298</v>
      </c>
      <c r="J113" s="145">
        <v>11</v>
      </c>
      <c r="K113" s="145">
        <v>3</v>
      </c>
      <c r="L113" s="145">
        <v>14</v>
      </c>
      <c r="M113" s="146">
        <v>326</v>
      </c>
      <c r="N113" s="145">
        <v>125</v>
      </c>
      <c r="O113" s="145">
        <v>9</v>
      </c>
      <c r="P113" s="145">
        <v>0</v>
      </c>
      <c r="Q113" s="145">
        <v>13</v>
      </c>
      <c r="R113" s="146">
        <v>147</v>
      </c>
      <c r="S113" s="145">
        <v>29</v>
      </c>
      <c r="T113" s="146">
        <v>29</v>
      </c>
      <c r="U113" s="145">
        <v>0</v>
      </c>
      <c r="V113" s="145">
        <v>0</v>
      </c>
      <c r="W113" s="145">
        <v>1</v>
      </c>
      <c r="X113" s="145">
        <v>0</v>
      </c>
      <c r="Y113" s="146">
        <v>1</v>
      </c>
      <c r="Z113" s="145">
        <v>337</v>
      </c>
      <c r="AA113" s="145">
        <v>52</v>
      </c>
      <c r="AB113" s="145">
        <v>5</v>
      </c>
      <c r="AC113" s="146">
        <v>394</v>
      </c>
      <c r="AD113" s="145">
        <v>94</v>
      </c>
      <c r="AE113" s="146">
        <v>1</v>
      </c>
      <c r="AF113" s="145">
        <v>95</v>
      </c>
      <c r="AG113" s="145">
        <v>79</v>
      </c>
      <c r="AH113" s="145">
        <v>24</v>
      </c>
      <c r="AI113" s="146">
        <v>4</v>
      </c>
      <c r="AJ113" s="146">
        <v>107</v>
      </c>
      <c r="AK113" s="146">
        <v>4862</v>
      </c>
      <c r="AL113" s="145">
        <v>0</v>
      </c>
      <c r="AM113" s="145">
        <v>0</v>
      </c>
      <c r="AN113" s="145">
        <v>0</v>
      </c>
      <c r="AO113" s="145">
        <v>0</v>
      </c>
      <c r="AP113" s="145">
        <v>0</v>
      </c>
      <c r="AQ113" s="146">
        <v>0</v>
      </c>
      <c r="AR113" s="145">
        <v>0</v>
      </c>
      <c r="AS113" s="145">
        <v>0</v>
      </c>
      <c r="AT113" s="145">
        <v>0</v>
      </c>
      <c r="AU113" s="146">
        <v>0</v>
      </c>
      <c r="AV113" s="145">
        <v>0</v>
      </c>
      <c r="AW113" s="146">
        <v>0</v>
      </c>
      <c r="AX113" s="145">
        <v>0</v>
      </c>
      <c r="AY113" s="145">
        <v>0</v>
      </c>
      <c r="AZ113" s="145">
        <v>0</v>
      </c>
      <c r="BA113" s="145">
        <v>0</v>
      </c>
      <c r="BB113" s="145">
        <v>0</v>
      </c>
      <c r="BC113" s="145">
        <v>0</v>
      </c>
      <c r="BD113" s="145">
        <v>0</v>
      </c>
      <c r="BE113" s="145">
        <v>0</v>
      </c>
      <c r="BF113" s="145">
        <v>0</v>
      </c>
      <c r="BG113" s="145">
        <v>0</v>
      </c>
      <c r="BH113" s="146">
        <v>0</v>
      </c>
      <c r="BI113" s="146">
        <v>0</v>
      </c>
      <c r="BJ113" s="146">
        <v>1</v>
      </c>
      <c r="BK113" s="145">
        <v>32</v>
      </c>
      <c r="BL113" s="145">
        <v>33</v>
      </c>
      <c r="BM113" s="146">
        <v>0</v>
      </c>
      <c r="BN113" s="145">
        <v>0</v>
      </c>
      <c r="BO113" s="145">
        <v>0</v>
      </c>
      <c r="BP113" s="145">
        <v>0</v>
      </c>
      <c r="BQ113" s="145">
        <v>0</v>
      </c>
      <c r="BR113" s="145">
        <v>0</v>
      </c>
      <c r="BS113" s="146">
        <v>6</v>
      </c>
      <c r="BT113" s="145">
        <v>0</v>
      </c>
      <c r="BU113" s="145">
        <v>3</v>
      </c>
      <c r="BV113" s="145">
        <v>0</v>
      </c>
      <c r="BW113" s="145">
        <v>67</v>
      </c>
      <c r="BX113" s="145">
        <v>76</v>
      </c>
      <c r="BY113" s="146">
        <v>0</v>
      </c>
      <c r="BZ113" s="145">
        <v>0</v>
      </c>
      <c r="CA113" s="145">
        <v>0</v>
      </c>
      <c r="CB113" s="145">
        <v>0</v>
      </c>
      <c r="CC113" s="146">
        <v>0</v>
      </c>
      <c r="CD113" s="145">
        <v>0</v>
      </c>
      <c r="CE113" s="146">
        <v>4971</v>
      </c>
    </row>
    <row r="114" spans="1:83">
      <c r="A114" s="137">
        <v>7</v>
      </c>
      <c r="B114" s="147" t="s">
        <v>195</v>
      </c>
      <c r="C114" s="148">
        <v>1190</v>
      </c>
      <c r="D114" s="148">
        <v>1753</v>
      </c>
      <c r="E114" s="148">
        <v>1104</v>
      </c>
      <c r="F114" s="148">
        <v>0</v>
      </c>
      <c r="G114" s="148">
        <v>28</v>
      </c>
      <c r="H114" s="149">
        <v>4075</v>
      </c>
      <c r="I114" s="148">
        <v>320</v>
      </c>
      <c r="J114" s="148">
        <v>25</v>
      </c>
      <c r="K114" s="148">
        <v>9</v>
      </c>
      <c r="L114" s="148">
        <v>24</v>
      </c>
      <c r="M114" s="149">
        <v>378</v>
      </c>
      <c r="N114" s="148">
        <v>141</v>
      </c>
      <c r="O114" s="148">
        <v>32</v>
      </c>
      <c r="P114" s="148">
        <v>9</v>
      </c>
      <c r="Q114" s="148">
        <v>25</v>
      </c>
      <c r="R114" s="149">
        <v>207</v>
      </c>
      <c r="S114" s="148">
        <v>44</v>
      </c>
      <c r="T114" s="149">
        <v>44</v>
      </c>
      <c r="U114" s="148">
        <v>10</v>
      </c>
      <c r="V114" s="148">
        <v>6</v>
      </c>
      <c r="W114" s="148">
        <v>17</v>
      </c>
      <c r="X114" s="148">
        <v>3</v>
      </c>
      <c r="Y114" s="149">
        <v>36</v>
      </c>
      <c r="Z114" s="148">
        <v>375</v>
      </c>
      <c r="AA114" s="148">
        <v>63</v>
      </c>
      <c r="AB114" s="148">
        <v>17</v>
      </c>
      <c r="AC114" s="149">
        <v>455</v>
      </c>
      <c r="AD114" s="148">
        <v>196</v>
      </c>
      <c r="AE114" s="149">
        <v>8</v>
      </c>
      <c r="AF114" s="148">
        <v>204</v>
      </c>
      <c r="AG114" s="148">
        <v>104</v>
      </c>
      <c r="AH114" s="148">
        <v>47</v>
      </c>
      <c r="AI114" s="149">
        <v>34</v>
      </c>
      <c r="AJ114" s="149">
        <v>185</v>
      </c>
      <c r="AK114" s="149">
        <v>5584</v>
      </c>
      <c r="AL114" s="148">
        <v>14</v>
      </c>
      <c r="AM114" s="148">
        <v>21</v>
      </c>
      <c r="AN114" s="148">
        <v>13</v>
      </c>
      <c r="AO114" s="148">
        <v>9</v>
      </c>
      <c r="AP114" s="148">
        <v>18</v>
      </c>
      <c r="AQ114" s="149">
        <v>75</v>
      </c>
      <c r="AR114" s="148">
        <v>17</v>
      </c>
      <c r="AS114" s="148">
        <v>13</v>
      </c>
      <c r="AT114" s="148">
        <v>23</v>
      </c>
      <c r="AU114" s="149">
        <v>53</v>
      </c>
      <c r="AV114" s="148">
        <v>21</v>
      </c>
      <c r="AW114" s="149">
        <v>21</v>
      </c>
      <c r="AX114" s="148">
        <v>149</v>
      </c>
      <c r="AY114" s="148">
        <v>8</v>
      </c>
      <c r="AZ114" s="148">
        <v>9</v>
      </c>
      <c r="BA114" s="148">
        <v>11</v>
      </c>
      <c r="BB114" s="148">
        <v>15</v>
      </c>
      <c r="BC114" s="148">
        <v>7</v>
      </c>
      <c r="BD114" s="148">
        <v>9</v>
      </c>
      <c r="BE114" s="148">
        <v>7</v>
      </c>
      <c r="BF114" s="148">
        <v>11</v>
      </c>
      <c r="BG114" s="148">
        <v>10</v>
      </c>
      <c r="BH114" s="149">
        <v>87</v>
      </c>
      <c r="BI114" s="149">
        <v>87</v>
      </c>
      <c r="BJ114" s="149">
        <v>12</v>
      </c>
      <c r="BK114" s="148">
        <v>45</v>
      </c>
      <c r="BL114" s="148">
        <v>57</v>
      </c>
      <c r="BM114" s="149">
        <v>17</v>
      </c>
      <c r="BN114" s="148">
        <v>4</v>
      </c>
      <c r="BO114" s="148">
        <v>6</v>
      </c>
      <c r="BP114" s="148">
        <v>8</v>
      </c>
      <c r="BQ114" s="148">
        <v>4</v>
      </c>
      <c r="BR114" s="148">
        <v>39</v>
      </c>
      <c r="BS114" s="149">
        <v>17</v>
      </c>
      <c r="BT114" s="148">
        <v>16</v>
      </c>
      <c r="BU114" s="148">
        <v>14</v>
      </c>
      <c r="BV114" s="148">
        <v>6</v>
      </c>
      <c r="BW114" s="148">
        <v>70</v>
      </c>
      <c r="BX114" s="148">
        <v>123</v>
      </c>
      <c r="BY114" s="149">
        <v>12</v>
      </c>
      <c r="BZ114" s="148">
        <v>8</v>
      </c>
      <c r="CA114" s="148">
        <v>17</v>
      </c>
      <c r="CB114" s="148">
        <v>37</v>
      </c>
      <c r="CC114" s="149">
        <v>13</v>
      </c>
      <c r="CD114" s="148">
        <v>13</v>
      </c>
      <c r="CE114" s="149">
        <v>6089</v>
      </c>
    </row>
    <row r="115" spans="1:83" ht="15" thickBot="1">
      <c r="A115" s="137">
        <v>7</v>
      </c>
      <c r="B115" s="123" t="s">
        <v>196</v>
      </c>
      <c r="C115" s="124">
        <v>1192</v>
      </c>
      <c r="D115" s="124">
        <v>1753</v>
      </c>
      <c r="E115" s="124">
        <v>1104</v>
      </c>
      <c r="F115" s="124">
        <v>0</v>
      </c>
      <c r="G115" s="124">
        <v>28</v>
      </c>
      <c r="H115" s="125">
        <v>4077</v>
      </c>
      <c r="I115" s="124">
        <v>321</v>
      </c>
      <c r="J115" s="124">
        <v>25</v>
      </c>
      <c r="K115" s="124">
        <v>9</v>
      </c>
      <c r="L115" s="124">
        <v>24</v>
      </c>
      <c r="M115" s="125">
        <v>379</v>
      </c>
      <c r="N115" s="124">
        <v>142</v>
      </c>
      <c r="O115" s="124">
        <v>34</v>
      </c>
      <c r="P115" s="124">
        <v>9</v>
      </c>
      <c r="Q115" s="124">
        <v>25</v>
      </c>
      <c r="R115" s="125">
        <v>210</v>
      </c>
      <c r="S115" s="124">
        <v>46</v>
      </c>
      <c r="T115" s="125">
        <v>46</v>
      </c>
      <c r="U115" s="124">
        <v>11</v>
      </c>
      <c r="V115" s="124">
        <v>6</v>
      </c>
      <c r="W115" s="124">
        <v>17</v>
      </c>
      <c r="X115" s="124">
        <v>3</v>
      </c>
      <c r="Y115" s="125">
        <v>37</v>
      </c>
      <c r="Z115" s="124">
        <v>375</v>
      </c>
      <c r="AA115" s="124">
        <v>63</v>
      </c>
      <c r="AB115" s="124">
        <v>18</v>
      </c>
      <c r="AC115" s="125">
        <v>456</v>
      </c>
      <c r="AD115" s="124">
        <v>198</v>
      </c>
      <c r="AE115" s="125">
        <v>8</v>
      </c>
      <c r="AF115" s="124">
        <v>206</v>
      </c>
      <c r="AG115" s="124">
        <v>104</v>
      </c>
      <c r="AH115" s="124">
        <v>47</v>
      </c>
      <c r="AI115" s="125">
        <v>36</v>
      </c>
      <c r="AJ115" s="125">
        <v>187</v>
      </c>
      <c r="AK115" s="125">
        <v>5598</v>
      </c>
      <c r="AL115" s="124">
        <v>14</v>
      </c>
      <c r="AM115" s="124">
        <v>23</v>
      </c>
      <c r="AN115" s="124">
        <v>13</v>
      </c>
      <c r="AO115" s="124">
        <v>9</v>
      </c>
      <c r="AP115" s="124">
        <v>19</v>
      </c>
      <c r="AQ115" s="125">
        <v>78</v>
      </c>
      <c r="AR115" s="124">
        <v>18</v>
      </c>
      <c r="AS115" s="124">
        <v>14</v>
      </c>
      <c r="AT115" s="124">
        <v>23</v>
      </c>
      <c r="AU115" s="125">
        <v>55</v>
      </c>
      <c r="AV115" s="124">
        <v>23</v>
      </c>
      <c r="AW115" s="125">
        <v>23</v>
      </c>
      <c r="AX115" s="124">
        <v>156</v>
      </c>
      <c r="AY115" s="124">
        <v>8</v>
      </c>
      <c r="AZ115" s="124">
        <v>18</v>
      </c>
      <c r="BA115" s="124">
        <v>12</v>
      </c>
      <c r="BB115" s="124">
        <v>16</v>
      </c>
      <c r="BC115" s="124">
        <v>8</v>
      </c>
      <c r="BD115" s="124">
        <v>9</v>
      </c>
      <c r="BE115" s="124">
        <v>8</v>
      </c>
      <c r="BF115" s="124">
        <v>12</v>
      </c>
      <c r="BG115" s="124">
        <v>10</v>
      </c>
      <c r="BH115" s="125">
        <v>101</v>
      </c>
      <c r="BI115" s="125">
        <v>101</v>
      </c>
      <c r="BJ115" s="125">
        <v>14</v>
      </c>
      <c r="BK115" s="124">
        <v>45</v>
      </c>
      <c r="BL115" s="124">
        <v>59</v>
      </c>
      <c r="BM115" s="125">
        <v>18</v>
      </c>
      <c r="BN115" s="124">
        <v>5</v>
      </c>
      <c r="BO115" s="124">
        <v>7</v>
      </c>
      <c r="BP115" s="124">
        <v>8</v>
      </c>
      <c r="BQ115" s="124">
        <v>6</v>
      </c>
      <c r="BR115" s="124">
        <v>44</v>
      </c>
      <c r="BS115" s="125">
        <v>18</v>
      </c>
      <c r="BT115" s="124">
        <v>17</v>
      </c>
      <c r="BU115" s="124">
        <v>14</v>
      </c>
      <c r="BV115" s="124">
        <v>7</v>
      </c>
      <c r="BW115" s="124">
        <v>70</v>
      </c>
      <c r="BX115" s="124">
        <v>126</v>
      </c>
      <c r="BY115" s="125">
        <v>12</v>
      </c>
      <c r="BZ115" s="124">
        <v>9</v>
      </c>
      <c r="CA115" s="124">
        <v>18</v>
      </c>
      <c r="CB115" s="124">
        <v>39</v>
      </c>
      <c r="CC115" s="125">
        <v>14</v>
      </c>
      <c r="CD115" s="124">
        <v>14</v>
      </c>
      <c r="CE115" s="125">
        <v>6137</v>
      </c>
    </row>
    <row r="116" spans="1:83">
      <c r="A116" s="150"/>
      <c r="B116" s="151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  <c r="BG116" s="152"/>
      <c r="BH116" s="152"/>
      <c r="BI116" s="152"/>
      <c r="BJ116" s="152"/>
      <c r="BK116" s="152"/>
      <c r="BL116" s="152"/>
      <c r="BM116" s="152"/>
      <c r="BN116" s="152"/>
      <c r="BO116" s="152"/>
      <c r="BP116" s="152"/>
      <c r="BQ116" s="152"/>
      <c r="BR116" s="152"/>
      <c r="BS116" s="152"/>
      <c r="BT116" s="152"/>
      <c r="BU116" s="152"/>
      <c r="BV116" s="152"/>
      <c r="BW116" s="152"/>
      <c r="BX116" s="152"/>
      <c r="BY116" s="152"/>
      <c r="BZ116" s="152"/>
      <c r="CA116" s="152"/>
      <c r="CB116" s="152"/>
      <c r="CC116" s="152"/>
      <c r="CD116" s="152"/>
      <c r="CE116" s="152"/>
    </row>
    <row r="117" spans="1:83" ht="21.5" thickBot="1">
      <c r="A117" s="153">
        <v>8</v>
      </c>
      <c r="B117" s="110" t="s">
        <v>3</v>
      </c>
      <c r="C117" s="129"/>
      <c r="D117" s="129"/>
      <c r="E117" s="129"/>
      <c r="F117" s="129"/>
      <c r="G117" s="129"/>
      <c r="H117" s="130"/>
      <c r="I117" s="129"/>
      <c r="J117" s="129"/>
      <c r="K117" s="129"/>
      <c r="L117" s="129"/>
      <c r="M117" s="130"/>
      <c r="N117" s="129"/>
      <c r="O117" s="129"/>
      <c r="P117" s="129"/>
      <c r="Q117" s="129"/>
      <c r="R117" s="130"/>
      <c r="S117" s="129"/>
      <c r="T117" s="130"/>
      <c r="U117" s="129"/>
      <c r="V117" s="129"/>
      <c r="W117" s="129"/>
      <c r="X117" s="129"/>
      <c r="Y117" s="130"/>
      <c r="Z117" s="129"/>
      <c r="AA117" s="129"/>
      <c r="AB117" s="129"/>
      <c r="AC117" s="130"/>
      <c r="AD117" s="129"/>
      <c r="AE117" s="130"/>
      <c r="AF117" s="129"/>
      <c r="AG117" s="129"/>
      <c r="AH117" s="129"/>
      <c r="AI117" s="130"/>
      <c r="AJ117" s="130"/>
      <c r="AK117" s="130"/>
      <c r="AL117" s="129"/>
      <c r="AM117" s="129"/>
      <c r="AN117" s="129"/>
      <c r="AO117" s="129"/>
      <c r="AP117" s="129"/>
      <c r="AQ117" s="130"/>
      <c r="AR117" s="129"/>
      <c r="AS117" s="129"/>
      <c r="AT117" s="129"/>
      <c r="AU117" s="130"/>
      <c r="AV117" s="129"/>
      <c r="AW117" s="130"/>
      <c r="AX117" s="129"/>
      <c r="AY117" s="129"/>
      <c r="AZ117" s="129"/>
      <c r="BA117" s="129"/>
      <c r="BB117" s="129"/>
      <c r="BC117" s="129"/>
      <c r="BD117" s="129"/>
      <c r="BE117" s="129"/>
      <c r="BF117" s="129"/>
      <c r="BG117" s="129"/>
      <c r="BH117" s="130"/>
      <c r="BI117" s="130"/>
      <c r="BJ117" s="130"/>
      <c r="BK117" s="129"/>
      <c r="BL117" s="129"/>
      <c r="BM117" s="130"/>
      <c r="BN117" s="129"/>
      <c r="BO117" s="129"/>
      <c r="BP117" s="129"/>
      <c r="BQ117" s="129"/>
      <c r="BR117" s="129"/>
      <c r="BS117" s="130"/>
      <c r="BT117" s="129"/>
      <c r="BU117" s="129"/>
      <c r="BV117" s="129"/>
      <c r="BW117" s="129"/>
      <c r="BX117" s="129"/>
      <c r="BY117" s="130"/>
      <c r="BZ117" s="129"/>
      <c r="CA117" s="129"/>
      <c r="CB117" s="129"/>
      <c r="CC117" s="130"/>
      <c r="CD117" s="129"/>
      <c r="CE117" s="130"/>
    </row>
    <row r="118" spans="1:83">
      <c r="A118" s="137">
        <v>8</v>
      </c>
      <c r="B118" s="138" t="s">
        <v>194</v>
      </c>
      <c r="C118" s="139">
        <v>2</v>
      </c>
      <c r="D118" s="139">
        <v>0</v>
      </c>
      <c r="E118" s="139">
        <v>0</v>
      </c>
      <c r="F118" s="139">
        <v>0</v>
      </c>
      <c r="G118" s="139">
        <v>0</v>
      </c>
      <c r="H118" s="140">
        <v>2</v>
      </c>
      <c r="I118" s="139">
        <v>1</v>
      </c>
      <c r="J118" s="139">
        <v>0</v>
      </c>
      <c r="K118" s="139">
        <v>0</v>
      </c>
      <c r="L118" s="139">
        <v>0</v>
      </c>
      <c r="M118" s="140">
        <v>1</v>
      </c>
      <c r="N118" s="139">
        <v>1</v>
      </c>
      <c r="O118" s="139">
        <v>2</v>
      </c>
      <c r="P118" s="139">
        <v>0</v>
      </c>
      <c r="Q118" s="139">
        <v>0</v>
      </c>
      <c r="R118" s="140">
        <v>3</v>
      </c>
      <c r="S118" s="139">
        <v>2</v>
      </c>
      <c r="T118" s="140">
        <v>2</v>
      </c>
      <c r="U118" s="139">
        <v>1</v>
      </c>
      <c r="V118" s="139">
        <v>0</v>
      </c>
      <c r="W118" s="139">
        <v>0</v>
      </c>
      <c r="X118" s="139">
        <v>0</v>
      </c>
      <c r="Y118" s="140">
        <v>1</v>
      </c>
      <c r="Z118" s="139">
        <v>0</v>
      </c>
      <c r="AA118" s="139">
        <v>0</v>
      </c>
      <c r="AB118" s="139">
        <v>1</v>
      </c>
      <c r="AC118" s="140">
        <v>1</v>
      </c>
      <c r="AD118" s="139">
        <v>2</v>
      </c>
      <c r="AE118" s="140">
        <v>0</v>
      </c>
      <c r="AF118" s="139">
        <v>2</v>
      </c>
      <c r="AG118" s="139">
        <v>0</v>
      </c>
      <c r="AH118" s="139">
        <v>0</v>
      </c>
      <c r="AI118" s="140">
        <v>2</v>
      </c>
      <c r="AJ118" s="140">
        <v>2</v>
      </c>
      <c r="AK118" s="140">
        <v>14</v>
      </c>
      <c r="AL118" s="139">
        <v>0</v>
      </c>
      <c r="AM118" s="139">
        <v>2</v>
      </c>
      <c r="AN118" s="139">
        <v>0</v>
      </c>
      <c r="AO118" s="139">
        <v>0</v>
      </c>
      <c r="AP118" s="139">
        <v>1</v>
      </c>
      <c r="AQ118" s="140">
        <v>3</v>
      </c>
      <c r="AR118" s="139">
        <v>1</v>
      </c>
      <c r="AS118" s="139">
        <v>1</v>
      </c>
      <c r="AT118" s="139">
        <v>0</v>
      </c>
      <c r="AU118" s="140">
        <v>2</v>
      </c>
      <c r="AV118" s="139">
        <v>2</v>
      </c>
      <c r="AW118" s="140">
        <v>2</v>
      </c>
      <c r="AX118" s="139">
        <v>7</v>
      </c>
      <c r="AY118" s="139">
        <v>0</v>
      </c>
      <c r="AZ118" s="139">
        <v>9</v>
      </c>
      <c r="BA118" s="139">
        <v>1</v>
      </c>
      <c r="BB118" s="139">
        <v>1</v>
      </c>
      <c r="BC118" s="139">
        <v>1</v>
      </c>
      <c r="BD118" s="139">
        <v>0</v>
      </c>
      <c r="BE118" s="139">
        <v>1</v>
      </c>
      <c r="BF118" s="139">
        <v>1</v>
      </c>
      <c r="BG118" s="139">
        <v>0</v>
      </c>
      <c r="BH118" s="140">
        <v>14</v>
      </c>
      <c r="BI118" s="140">
        <v>14</v>
      </c>
      <c r="BJ118" s="140">
        <v>2</v>
      </c>
      <c r="BK118" s="139">
        <v>0</v>
      </c>
      <c r="BL118" s="139">
        <v>2</v>
      </c>
      <c r="BM118" s="140">
        <v>1</v>
      </c>
      <c r="BN118" s="139">
        <v>1</v>
      </c>
      <c r="BO118" s="139">
        <v>1</v>
      </c>
      <c r="BP118" s="139">
        <v>0</v>
      </c>
      <c r="BQ118" s="139">
        <v>2</v>
      </c>
      <c r="BR118" s="139">
        <v>5</v>
      </c>
      <c r="BS118" s="140">
        <v>1</v>
      </c>
      <c r="BT118" s="139">
        <v>1</v>
      </c>
      <c r="BU118" s="139">
        <v>0</v>
      </c>
      <c r="BV118" s="139">
        <v>1</v>
      </c>
      <c r="BW118" s="139">
        <v>0</v>
      </c>
      <c r="BX118" s="139">
        <v>3</v>
      </c>
      <c r="BY118" s="140">
        <v>0</v>
      </c>
      <c r="BZ118" s="139">
        <v>1</v>
      </c>
      <c r="CA118" s="139">
        <v>1</v>
      </c>
      <c r="CB118" s="139">
        <v>2</v>
      </c>
      <c r="CC118" s="140">
        <v>1</v>
      </c>
      <c r="CD118" s="139">
        <v>1</v>
      </c>
      <c r="CE118" s="140">
        <v>48</v>
      </c>
    </row>
    <row r="119" spans="1:83">
      <c r="A119" s="137">
        <v>8</v>
      </c>
      <c r="B119" s="141" t="s">
        <v>139</v>
      </c>
      <c r="C119" s="142">
        <v>85</v>
      </c>
      <c r="D119" s="142">
        <v>116</v>
      </c>
      <c r="E119" s="142">
        <v>90</v>
      </c>
      <c r="F119" s="142">
        <v>0</v>
      </c>
      <c r="G119" s="142">
        <v>21</v>
      </c>
      <c r="H119" s="143">
        <v>312</v>
      </c>
      <c r="I119" s="142">
        <v>22</v>
      </c>
      <c r="J119" s="142">
        <v>14</v>
      </c>
      <c r="K119" s="142">
        <v>6</v>
      </c>
      <c r="L119" s="142">
        <v>10</v>
      </c>
      <c r="M119" s="143">
        <v>52</v>
      </c>
      <c r="N119" s="142">
        <v>16</v>
      </c>
      <c r="O119" s="142">
        <v>23</v>
      </c>
      <c r="P119" s="142">
        <v>9</v>
      </c>
      <c r="Q119" s="142">
        <v>12</v>
      </c>
      <c r="R119" s="143">
        <v>60</v>
      </c>
      <c r="S119" s="142">
        <v>15</v>
      </c>
      <c r="T119" s="143">
        <v>15</v>
      </c>
      <c r="U119" s="142">
        <v>10</v>
      </c>
      <c r="V119" s="142">
        <v>6</v>
      </c>
      <c r="W119" s="142">
        <v>16</v>
      </c>
      <c r="X119" s="142">
        <v>3</v>
      </c>
      <c r="Y119" s="143">
        <v>35</v>
      </c>
      <c r="Z119" s="142">
        <v>38</v>
      </c>
      <c r="AA119" s="142">
        <v>11</v>
      </c>
      <c r="AB119" s="142">
        <v>12</v>
      </c>
      <c r="AC119" s="143">
        <v>61</v>
      </c>
      <c r="AD119" s="142">
        <v>102</v>
      </c>
      <c r="AE119" s="143">
        <v>7</v>
      </c>
      <c r="AF119" s="142">
        <v>109</v>
      </c>
      <c r="AG119" s="142">
        <v>25</v>
      </c>
      <c r="AH119" s="142">
        <v>23</v>
      </c>
      <c r="AI119" s="143">
        <v>30</v>
      </c>
      <c r="AJ119" s="143">
        <v>78</v>
      </c>
      <c r="AK119" s="143">
        <v>722</v>
      </c>
      <c r="AL119" s="142">
        <v>15</v>
      </c>
      <c r="AM119" s="142">
        <v>21</v>
      </c>
      <c r="AN119" s="142">
        <v>13</v>
      </c>
      <c r="AO119" s="142">
        <v>9</v>
      </c>
      <c r="AP119" s="142">
        <v>18</v>
      </c>
      <c r="AQ119" s="143">
        <v>76</v>
      </c>
      <c r="AR119" s="142">
        <v>17</v>
      </c>
      <c r="AS119" s="142">
        <v>13</v>
      </c>
      <c r="AT119" s="142">
        <v>23</v>
      </c>
      <c r="AU119" s="143">
        <v>53</v>
      </c>
      <c r="AV119" s="142">
        <v>23</v>
      </c>
      <c r="AW119" s="143">
        <v>23</v>
      </c>
      <c r="AX119" s="142">
        <v>152</v>
      </c>
      <c r="AY119" s="142">
        <v>8</v>
      </c>
      <c r="AZ119" s="142">
        <v>9</v>
      </c>
      <c r="BA119" s="142">
        <v>11</v>
      </c>
      <c r="BB119" s="142">
        <v>15</v>
      </c>
      <c r="BC119" s="142">
        <v>7</v>
      </c>
      <c r="BD119" s="142">
        <v>9</v>
      </c>
      <c r="BE119" s="142">
        <v>7</v>
      </c>
      <c r="BF119" s="142">
        <v>11</v>
      </c>
      <c r="BG119" s="142">
        <v>10</v>
      </c>
      <c r="BH119" s="143">
        <v>87</v>
      </c>
      <c r="BI119" s="143">
        <v>87</v>
      </c>
      <c r="BJ119" s="143">
        <v>11</v>
      </c>
      <c r="BK119" s="142">
        <v>14</v>
      </c>
      <c r="BL119" s="142">
        <v>25</v>
      </c>
      <c r="BM119" s="143">
        <v>17</v>
      </c>
      <c r="BN119" s="142">
        <v>4</v>
      </c>
      <c r="BO119" s="142">
        <v>6</v>
      </c>
      <c r="BP119" s="142">
        <v>8</v>
      </c>
      <c r="BQ119" s="142">
        <v>4</v>
      </c>
      <c r="BR119" s="142">
        <v>39</v>
      </c>
      <c r="BS119" s="143">
        <v>11</v>
      </c>
      <c r="BT119" s="142">
        <v>16</v>
      </c>
      <c r="BU119" s="142">
        <v>11</v>
      </c>
      <c r="BV119" s="142">
        <v>6</v>
      </c>
      <c r="BW119" s="142">
        <v>3</v>
      </c>
      <c r="BX119" s="142">
        <v>47</v>
      </c>
      <c r="BY119" s="143">
        <v>12</v>
      </c>
      <c r="BZ119" s="142">
        <v>8</v>
      </c>
      <c r="CA119" s="142">
        <v>17</v>
      </c>
      <c r="CB119" s="142">
        <v>37</v>
      </c>
      <c r="CC119" s="143">
        <v>13</v>
      </c>
      <c r="CD119" s="142">
        <v>13</v>
      </c>
      <c r="CE119" s="143">
        <v>1122</v>
      </c>
    </row>
    <row r="120" spans="1:83">
      <c r="A120" s="137">
        <v>8</v>
      </c>
      <c r="B120" s="144" t="s">
        <v>140</v>
      </c>
      <c r="C120" s="145">
        <v>1185</v>
      </c>
      <c r="D120" s="145">
        <v>1688</v>
      </c>
      <c r="E120" s="145">
        <v>1058</v>
      </c>
      <c r="F120" s="145">
        <v>0</v>
      </c>
      <c r="G120" s="145">
        <v>7</v>
      </c>
      <c r="H120" s="146">
        <v>3938</v>
      </c>
      <c r="I120" s="145">
        <v>306</v>
      </c>
      <c r="J120" s="145">
        <v>11</v>
      </c>
      <c r="K120" s="145">
        <v>3</v>
      </c>
      <c r="L120" s="145">
        <v>15</v>
      </c>
      <c r="M120" s="146">
        <v>335</v>
      </c>
      <c r="N120" s="145">
        <v>125</v>
      </c>
      <c r="O120" s="145">
        <v>9</v>
      </c>
      <c r="P120" s="145">
        <v>0</v>
      </c>
      <c r="Q120" s="145">
        <v>13</v>
      </c>
      <c r="R120" s="146">
        <v>147</v>
      </c>
      <c r="S120" s="145">
        <v>29</v>
      </c>
      <c r="T120" s="146">
        <v>29</v>
      </c>
      <c r="U120" s="145">
        <v>0</v>
      </c>
      <c r="V120" s="145">
        <v>0</v>
      </c>
      <c r="W120" s="145">
        <v>1</v>
      </c>
      <c r="X120" s="145">
        <v>0</v>
      </c>
      <c r="Y120" s="146">
        <v>1</v>
      </c>
      <c r="Z120" s="145">
        <v>337</v>
      </c>
      <c r="AA120" s="145">
        <v>51</v>
      </c>
      <c r="AB120" s="145">
        <v>5</v>
      </c>
      <c r="AC120" s="146">
        <v>393</v>
      </c>
      <c r="AD120" s="145">
        <v>94</v>
      </c>
      <c r="AE120" s="146">
        <v>1</v>
      </c>
      <c r="AF120" s="145">
        <v>95</v>
      </c>
      <c r="AG120" s="145">
        <v>79</v>
      </c>
      <c r="AH120" s="145">
        <v>24</v>
      </c>
      <c r="AI120" s="146">
        <v>4</v>
      </c>
      <c r="AJ120" s="146">
        <v>107</v>
      </c>
      <c r="AK120" s="146">
        <v>5045</v>
      </c>
      <c r="AL120" s="145">
        <v>0</v>
      </c>
      <c r="AM120" s="145">
        <v>0</v>
      </c>
      <c r="AN120" s="145">
        <v>0</v>
      </c>
      <c r="AO120" s="145">
        <v>0</v>
      </c>
      <c r="AP120" s="145">
        <v>0</v>
      </c>
      <c r="AQ120" s="146">
        <v>0</v>
      </c>
      <c r="AR120" s="145">
        <v>0</v>
      </c>
      <c r="AS120" s="145">
        <v>0</v>
      </c>
      <c r="AT120" s="145">
        <v>0</v>
      </c>
      <c r="AU120" s="146">
        <v>0</v>
      </c>
      <c r="AV120" s="145">
        <v>0</v>
      </c>
      <c r="AW120" s="146">
        <v>0</v>
      </c>
      <c r="AX120" s="145">
        <v>0</v>
      </c>
      <c r="AY120" s="145">
        <v>0</v>
      </c>
      <c r="AZ120" s="145">
        <v>0</v>
      </c>
      <c r="BA120" s="145">
        <v>0</v>
      </c>
      <c r="BB120" s="145">
        <v>0</v>
      </c>
      <c r="BC120" s="145">
        <v>0</v>
      </c>
      <c r="BD120" s="145">
        <v>0</v>
      </c>
      <c r="BE120" s="145">
        <v>0</v>
      </c>
      <c r="BF120" s="145">
        <v>0</v>
      </c>
      <c r="BG120" s="145">
        <v>0</v>
      </c>
      <c r="BH120" s="146">
        <v>0</v>
      </c>
      <c r="BI120" s="146">
        <v>0</v>
      </c>
      <c r="BJ120" s="146">
        <v>1</v>
      </c>
      <c r="BK120" s="145">
        <v>33</v>
      </c>
      <c r="BL120" s="145">
        <v>34</v>
      </c>
      <c r="BM120" s="146">
        <v>0</v>
      </c>
      <c r="BN120" s="145">
        <v>0</v>
      </c>
      <c r="BO120" s="145">
        <v>0</v>
      </c>
      <c r="BP120" s="145">
        <v>0</v>
      </c>
      <c r="BQ120" s="145">
        <v>0</v>
      </c>
      <c r="BR120" s="145">
        <v>0</v>
      </c>
      <c r="BS120" s="146">
        <v>6</v>
      </c>
      <c r="BT120" s="145">
        <v>0</v>
      </c>
      <c r="BU120" s="145">
        <v>3</v>
      </c>
      <c r="BV120" s="145">
        <v>0</v>
      </c>
      <c r="BW120" s="145">
        <v>67</v>
      </c>
      <c r="BX120" s="145">
        <v>76</v>
      </c>
      <c r="BY120" s="146">
        <v>0</v>
      </c>
      <c r="BZ120" s="145">
        <v>0</v>
      </c>
      <c r="CA120" s="145">
        <v>0</v>
      </c>
      <c r="CB120" s="145">
        <v>0</v>
      </c>
      <c r="CC120" s="146">
        <v>0</v>
      </c>
      <c r="CD120" s="145">
        <v>0</v>
      </c>
      <c r="CE120" s="146">
        <v>5155</v>
      </c>
    </row>
    <row r="121" spans="1:83">
      <c r="A121" s="137">
        <v>8</v>
      </c>
      <c r="B121" s="147" t="s">
        <v>195</v>
      </c>
      <c r="C121" s="148">
        <v>1270</v>
      </c>
      <c r="D121" s="148">
        <v>1804</v>
      </c>
      <c r="E121" s="148">
        <v>1148</v>
      </c>
      <c r="F121" s="148">
        <v>0</v>
      </c>
      <c r="G121" s="148">
        <v>28</v>
      </c>
      <c r="H121" s="149">
        <v>4250</v>
      </c>
      <c r="I121" s="148">
        <v>328</v>
      </c>
      <c r="J121" s="148">
        <v>25</v>
      </c>
      <c r="K121" s="148">
        <v>9</v>
      </c>
      <c r="L121" s="148">
        <v>25</v>
      </c>
      <c r="M121" s="149">
        <v>387</v>
      </c>
      <c r="N121" s="148">
        <v>141</v>
      </c>
      <c r="O121" s="148">
        <v>32</v>
      </c>
      <c r="P121" s="148">
        <v>9</v>
      </c>
      <c r="Q121" s="148">
        <v>25</v>
      </c>
      <c r="R121" s="149">
        <v>207</v>
      </c>
      <c r="S121" s="148">
        <v>44</v>
      </c>
      <c r="T121" s="149">
        <v>44</v>
      </c>
      <c r="U121" s="148">
        <v>10</v>
      </c>
      <c r="V121" s="148">
        <v>6</v>
      </c>
      <c r="W121" s="148">
        <v>17</v>
      </c>
      <c r="X121" s="148">
        <v>3</v>
      </c>
      <c r="Y121" s="149">
        <v>36</v>
      </c>
      <c r="Z121" s="148">
        <v>375</v>
      </c>
      <c r="AA121" s="148">
        <v>62</v>
      </c>
      <c r="AB121" s="148">
        <v>17</v>
      </c>
      <c r="AC121" s="149">
        <v>454</v>
      </c>
      <c r="AD121" s="148">
        <v>196</v>
      </c>
      <c r="AE121" s="149">
        <v>8</v>
      </c>
      <c r="AF121" s="148">
        <v>204</v>
      </c>
      <c r="AG121" s="148">
        <v>104</v>
      </c>
      <c r="AH121" s="148">
        <v>47</v>
      </c>
      <c r="AI121" s="149">
        <v>34</v>
      </c>
      <c r="AJ121" s="149">
        <v>185</v>
      </c>
      <c r="AK121" s="149">
        <v>5767</v>
      </c>
      <c r="AL121" s="148">
        <v>15</v>
      </c>
      <c r="AM121" s="148">
        <v>21</v>
      </c>
      <c r="AN121" s="148">
        <v>13</v>
      </c>
      <c r="AO121" s="148">
        <v>9</v>
      </c>
      <c r="AP121" s="148">
        <v>18</v>
      </c>
      <c r="AQ121" s="149">
        <v>76</v>
      </c>
      <c r="AR121" s="148">
        <v>17</v>
      </c>
      <c r="AS121" s="148">
        <v>13</v>
      </c>
      <c r="AT121" s="148">
        <v>23</v>
      </c>
      <c r="AU121" s="149">
        <v>53</v>
      </c>
      <c r="AV121" s="148">
        <v>23</v>
      </c>
      <c r="AW121" s="149">
        <v>23</v>
      </c>
      <c r="AX121" s="148">
        <v>152</v>
      </c>
      <c r="AY121" s="148">
        <v>8</v>
      </c>
      <c r="AZ121" s="148">
        <v>9</v>
      </c>
      <c r="BA121" s="148">
        <v>11</v>
      </c>
      <c r="BB121" s="148">
        <v>15</v>
      </c>
      <c r="BC121" s="148">
        <v>7</v>
      </c>
      <c r="BD121" s="148">
        <v>9</v>
      </c>
      <c r="BE121" s="148">
        <v>7</v>
      </c>
      <c r="BF121" s="148">
        <v>11</v>
      </c>
      <c r="BG121" s="148">
        <v>10</v>
      </c>
      <c r="BH121" s="149">
        <v>87</v>
      </c>
      <c r="BI121" s="149">
        <v>87</v>
      </c>
      <c r="BJ121" s="149">
        <v>12</v>
      </c>
      <c r="BK121" s="148">
        <v>47</v>
      </c>
      <c r="BL121" s="148">
        <v>59</v>
      </c>
      <c r="BM121" s="149">
        <v>17</v>
      </c>
      <c r="BN121" s="148">
        <v>4</v>
      </c>
      <c r="BO121" s="148">
        <v>6</v>
      </c>
      <c r="BP121" s="148">
        <v>8</v>
      </c>
      <c r="BQ121" s="148">
        <v>4</v>
      </c>
      <c r="BR121" s="148">
        <v>39</v>
      </c>
      <c r="BS121" s="149">
        <v>17</v>
      </c>
      <c r="BT121" s="148">
        <v>16</v>
      </c>
      <c r="BU121" s="148">
        <v>14</v>
      </c>
      <c r="BV121" s="148">
        <v>6</v>
      </c>
      <c r="BW121" s="148">
        <v>70</v>
      </c>
      <c r="BX121" s="148">
        <v>123</v>
      </c>
      <c r="BY121" s="149">
        <v>12</v>
      </c>
      <c r="BZ121" s="148">
        <v>8</v>
      </c>
      <c r="CA121" s="148">
        <v>17</v>
      </c>
      <c r="CB121" s="148">
        <v>37</v>
      </c>
      <c r="CC121" s="149">
        <v>13</v>
      </c>
      <c r="CD121" s="148">
        <v>13</v>
      </c>
      <c r="CE121" s="149">
        <v>6277</v>
      </c>
    </row>
    <row r="122" spans="1:83" ht="15" thickBot="1">
      <c r="A122" s="137">
        <v>8</v>
      </c>
      <c r="B122" s="123" t="s">
        <v>196</v>
      </c>
      <c r="C122" s="124">
        <v>1272</v>
      </c>
      <c r="D122" s="124">
        <v>1804</v>
      </c>
      <c r="E122" s="124">
        <v>1148</v>
      </c>
      <c r="F122" s="124">
        <v>0</v>
      </c>
      <c r="G122" s="124">
        <v>28</v>
      </c>
      <c r="H122" s="125">
        <v>4252</v>
      </c>
      <c r="I122" s="124">
        <v>329</v>
      </c>
      <c r="J122" s="124">
        <v>25</v>
      </c>
      <c r="K122" s="124">
        <v>9</v>
      </c>
      <c r="L122" s="124">
        <v>25</v>
      </c>
      <c r="M122" s="125">
        <v>388</v>
      </c>
      <c r="N122" s="124">
        <v>142</v>
      </c>
      <c r="O122" s="124">
        <v>34</v>
      </c>
      <c r="P122" s="124">
        <v>9</v>
      </c>
      <c r="Q122" s="124">
        <v>25</v>
      </c>
      <c r="R122" s="125">
        <v>210</v>
      </c>
      <c r="S122" s="124">
        <v>46</v>
      </c>
      <c r="T122" s="125">
        <v>46</v>
      </c>
      <c r="U122" s="124">
        <v>11</v>
      </c>
      <c r="V122" s="124">
        <v>6</v>
      </c>
      <c r="W122" s="124">
        <v>17</v>
      </c>
      <c r="X122" s="124">
        <v>3</v>
      </c>
      <c r="Y122" s="125">
        <v>37</v>
      </c>
      <c r="Z122" s="124">
        <v>375</v>
      </c>
      <c r="AA122" s="124">
        <v>62</v>
      </c>
      <c r="AB122" s="124">
        <v>18</v>
      </c>
      <c r="AC122" s="125">
        <v>455</v>
      </c>
      <c r="AD122" s="124">
        <v>198</v>
      </c>
      <c r="AE122" s="125">
        <v>8</v>
      </c>
      <c r="AF122" s="124">
        <v>206</v>
      </c>
      <c r="AG122" s="124">
        <v>104</v>
      </c>
      <c r="AH122" s="124">
        <v>47</v>
      </c>
      <c r="AI122" s="125">
        <v>36</v>
      </c>
      <c r="AJ122" s="125">
        <v>187</v>
      </c>
      <c r="AK122" s="125">
        <v>5781</v>
      </c>
      <c r="AL122" s="124">
        <v>15</v>
      </c>
      <c r="AM122" s="124">
        <v>23</v>
      </c>
      <c r="AN122" s="124">
        <v>13</v>
      </c>
      <c r="AO122" s="124">
        <v>9</v>
      </c>
      <c r="AP122" s="124">
        <v>19</v>
      </c>
      <c r="AQ122" s="125">
        <v>79</v>
      </c>
      <c r="AR122" s="124">
        <v>18</v>
      </c>
      <c r="AS122" s="124">
        <v>14</v>
      </c>
      <c r="AT122" s="124">
        <v>23</v>
      </c>
      <c r="AU122" s="125">
        <v>55</v>
      </c>
      <c r="AV122" s="124">
        <v>25</v>
      </c>
      <c r="AW122" s="125">
        <v>25</v>
      </c>
      <c r="AX122" s="124">
        <v>159</v>
      </c>
      <c r="AY122" s="124">
        <v>8</v>
      </c>
      <c r="AZ122" s="124">
        <v>18</v>
      </c>
      <c r="BA122" s="124">
        <v>12</v>
      </c>
      <c r="BB122" s="124">
        <v>16</v>
      </c>
      <c r="BC122" s="124">
        <v>8</v>
      </c>
      <c r="BD122" s="124">
        <v>9</v>
      </c>
      <c r="BE122" s="124">
        <v>8</v>
      </c>
      <c r="BF122" s="124">
        <v>12</v>
      </c>
      <c r="BG122" s="124">
        <v>10</v>
      </c>
      <c r="BH122" s="125">
        <v>101</v>
      </c>
      <c r="BI122" s="125">
        <v>101</v>
      </c>
      <c r="BJ122" s="125">
        <v>14</v>
      </c>
      <c r="BK122" s="124">
        <v>47</v>
      </c>
      <c r="BL122" s="124">
        <v>61</v>
      </c>
      <c r="BM122" s="125">
        <v>18</v>
      </c>
      <c r="BN122" s="124">
        <v>5</v>
      </c>
      <c r="BO122" s="124">
        <v>7</v>
      </c>
      <c r="BP122" s="124">
        <v>8</v>
      </c>
      <c r="BQ122" s="124">
        <v>6</v>
      </c>
      <c r="BR122" s="124">
        <v>44</v>
      </c>
      <c r="BS122" s="125">
        <v>18</v>
      </c>
      <c r="BT122" s="124">
        <v>17</v>
      </c>
      <c r="BU122" s="124">
        <v>14</v>
      </c>
      <c r="BV122" s="124">
        <v>7</v>
      </c>
      <c r="BW122" s="124">
        <v>70</v>
      </c>
      <c r="BX122" s="124">
        <v>126</v>
      </c>
      <c r="BY122" s="125">
        <v>12</v>
      </c>
      <c r="BZ122" s="124">
        <v>9</v>
      </c>
      <c r="CA122" s="124">
        <v>18</v>
      </c>
      <c r="CB122" s="124">
        <v>39</v>
      </c>
      <c r="CC122" s="125">
        <v>14</v>
      </c>
      <c r="CD122" s="124">
        <v>14</v>
      </c>
      <c r="CE122" s="125">
        <v>6325</v>
      </c>
    </row>
    <row r="123" spans="1:83">
      <c r="A123" s="150"/>
      <c r="B123" s="151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  <c r="BG123" s="152"/>
      <c r="BH123" s="152"/>
      <c r="BI123" s="152"/>
      <c r="BJ123" s="152"/>
      <c r="BK123" s="152"/>
      <c r="BL123" s="152"/>
      <c r="BM123" s="152"/>
      <c r="BN123" s="152"/>
      <c r="BO123" s="152"/>
      <c r="BP123" s="152"/>
      <c r="BQ123" s="152"/>
      <c r="BR123" s="152"/>
      <c r="BS123" s="152"/>
      <c r="BT123" s="152"/>
      <c r="BU123" s="152"/>
      <c r="BV123" s="152"/>
      <c r="BW123" s="152"/>
      <c r="BX123" s="152"/>
      <c r="BY123" s="152"/>
      <c r="BZ123" s="152"/>
      <c r="CA123" s="152"/>
      <c r="CB123" s="152"/>
      <c r="CC123" s="152"/>
      <c r="CD123" s="152"/>
      <c r="CE123" s="152"/>
    </row>
    <row r="124" spans="1:83" ht="21.5" thickBot="1">
      <c r="A124" s="153">
        <v>9</v>
      </c>
      <c r="B124" s="110" t="s">
        <v>3</v>
      </c>
      <c r="C124" s="129"/>
      <c r="D124" s="129"/>
      <c r="E124" s="129"/>
      <c r="F124" s="129"/>
      <c r="G124" s="129"/>
      <c r="H124" s="130"/>
      <c r="I124" s="129"/>
      <c r="J124" s="129"/>
      <c r="K124" s="129"/>
      <c r="L124" s="129"/>
      <c r="M124" s="130"/>
      <c r="N124" s="129"/>
      <c r="O124" s="129"/>
      <c r="P124" s="129"/>
      <c r="Q124" s="129"/>
      <c r="R124" s="130"/>
      <c r="S124" s="129"/>
      <c r="T124" s="130"/>
      <c r="U124" s="129"/>
      <c r="V124" s="129"/>
      <c r="W124" s="129"/>
      <c r="X124" s="129"/>
      <c r="Y124" s="130"/>
      <c r="Z124" s="129"/>
      <c r="AA124" s="129"/>
      <c r="AB124" s="129"/>
      <c r="AC124" s="130"/>
      <c r="AD124" s="129"/>
      <c r="AE124" s="130"/>
      <c r="AF124" s="129"/>
      <c r="AG124" s="129"/>
      <c r="AH124" s="129"/>
      <c r="AI124" s="130"/>
      <c r="AJ124" s="130"/>
      <c r="AK124" s="130"/>
      <c r="AL124" s="129"/>
      <c r="AM124" s="129"/>
      <c r="AN124" s="129"/>
      <c r="AO124" s="129"/>
      <c r="AP124" s="129"/>
      <c r="AQ124" s="130"/>
      <c r="AR124" s="129"/>
      <c r="AS124" s="129"/>
      <c r="AT124" s="129"/>
      <c r="AU124" s="130"/>
      <c r="AV124" s="129"/>
      <c r="AW124" s="130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30"/>
      <c r="BI124" s="130"/>
      <c r="BJ124" s="130"/>
      <c r="BK124" s="129"/>
      <c r="BL124" s="129"/>
      <c r="BM124" s="130"/>
      <c r="BN124" s="129"/>
      <c r="BO124" s="129"/>
      <c r="BP124" s="129"/>
      <c r="BQ124" s="129"/>
      <c r="BR124" s="129"/>
      <c r="BS124" s="130"/>
      <c r="BT124" s="129"/>
      <c r="BU124" s="129"/>
      <c r="BV124" s="129"/>
      <c r="BW124" s="129"/>
      <c r="BX124" s="129"/>
      <c r="BY124" s="130"/>
      <c r="BZ124" s="129"/>
      <c r="CA124" s="129"/>
      <c r="CB124" s="129"/>
      <c r="CC124" s="130"/>
      <c r="CD124" s="129"/>
      <c r="CE124" s="130"/>
    </row>
    <row r="125" spans="1:83">
      <c r="A125" s="137">
        <v>9</v>
      </c>
      <c r="B125" s="138" t="s">
        <v>194</v>
      </c>
      <c r="C125" s="139">
        <v>2</v>
      </c>
      <c r="D125" s="139">
        <v>0</v>
      </c>
      <c r="E125" s="139">
        <v>0</v>
      </c>
      <c r="F125" s="139">
        <v>0</v>
      </c>
      <c r="G125" s="139">
        <v>0</v>
      </c>
      <c r="H125" s="140">
        <v>2</v>
      </c>
      <c r="I125" s="139">
        <v>1</v>
      </c>
      <c r="J125" s="139">
        <v>0</v>
      </c>
      <c r="K125" s="139">
        <v>0</v>
      </c>
      <c r="L125" s="139">
        <v>0</v>
      </c>
      <c r="M125" s="140">
        <v>1</v>
      </c>
      <c r="N125" s="139">
        <v>1</v>
      </c>
      <c r="O125" s="139">
        <v>2</v>
      </c>
      <c r="P125" s="139">
        <v>0</v>
      </c>
      <c r="Q125" s="139">
        <v>0</v>
      </c>
      <c r="R125" s="140">
        <v>3</v>
      </c>
      <c r="S125" s="139">
        <v>2</v>
      </c>
      <c r="T125" s="140">
        <v>2</v>
      </c>
      <c r="U125" s="139">
        <v>1</v>
      </c>
      <c r="V125" s="139">
        <v>0</v>
      </c>
      <c r="W125" s="139">
        <v>0</v>
      </c>
      <c r="X125" s="139">
        <v>0</v>
      </c>
      <c r="Y125" s="140">
        <v>1</v>
      </c>
      <c r="Z125" s="139">
        <v>0</v>
      </c>
      <c r="AA125" s="139">
        <v>0</v>
      </c>
      <c r="AB125" s="139">
        <v>1</v>
      </c>
      <c r="AC125" s="140">
        <v>1</v>
      </c>
      <c r="AD125" s="139">
        <v>2</v>
      </c>
      <c r="AE125" s="140">
        <v>0</v>
      </c>
      <c r="AF125" s="139">
        <v>2</v>
      </c>
      <c r="AG125" s="139">
        <v>0</v>
      </c>
      <c r="AH125" s="139">
        <v>0</v>
      </c>
      <c r="AI125" s="140">
        <v>2</v>
      </c>
      <c r="AJ125" s="140">
        <v>2</v>
      </c>
      <c r="AK125" s="140">
        <v>14</v>
      </c>
      <c r="AL125" s="139">
        <v>0</v>
      </c>
      <c r="AM125" s="139">
        <v>2</v>
      </c>
      <c r="AN125" s="139">
        <v>0</v>
      </c>
      <c r="AO125" s="139">
        <v>0</v>
      </c>
      <c r="AP125" s="139">
        <v>1</v>
      </c>
      <c r="AQ125" s="140">
        <v>3</v>
      </c>
      <c r="AR125" s="139">
        <v>1</v>
      </c>
      <c r="AS125" s="139">
        <v>1</v>
      </c>
      <c r="AT125" s="139">
        <v>0</v>
      </c>
      <c r="AU125" s="140">
        <v>2</v>
      </c>
      <c r="AV125" s="139">
        <v>2</v>
      </c>
      <c r="AW125" s="140">
        <v>2</v>
      </c>
      <c r="AX125" s="139">
        <v>7</v>
      </c>
      <c r="AY125" s="139">
        <v>0</v>
      </c>
      <c r="AZ125" s="139">
        <v>9</v>
      </c>
      <c r="BA125" s="139">
        <v>1</v>
      </c>
      <c r="BB125" s="139">
        <v>1</v>
      </c>
      <c r="BC125" s="139">
        <v>1</v>
      </c>
      <c r="BD125" s="139">
        <v>0</v>
      </c>
      <c r="BE125" s="139">
        <v>1</v>
      </c>
      <c r="BF125" s="139">
        <v>1</v>
      </c>
      <c r="BG125" s="139">
        <v>0</v>
      </c>
      <c r="BH125" s="140">
        <v>14</v>
      </c>
      <c r="BI125" s="140">
        <v>14</v>
      </c>
      <c r="BJ125" s="140">
        <v>2</v>
      </c>
      <c r="BK125" s="139">
        <v>0</v>
      </c>
      <c r="BL125" s="139">
        <v>2</v>
      </c>
      <c r="BM125" s="140">
        <v>1</v>
      </c>
      <c r="BN125" s="139">
        <v>1</v>
      </c>
      <c r="BO125" s="139">
        <v>1</v>
      </c>
      <c r="BP125" s="139">
        <v>0</v>
      </c>
      <c r="BQ125" s="139">
        <v>2</v>
      </c>
      <c r="BR125" s="139">
        <v>5</v>
      </c>
      <c r="BS125" s="140">
        <v>1</v>
      </c>
      <c r="BT125" s="139">
        <v>1</v>
      </c>
      <c r="BU125" s="139">
        <v>0</v>
      </c>
      <c r="BV125" s="139">
        <v>1</v>
      </c>
      <c r="BW125" s="139">
        <v>0</v>
      </c>
      <c r="BX125" s="139">
        <v>3</v>
      </c>
      <c r="BY125" s="140">
        <v>0</v>
      </c>
      <c r="BZ125" s="139">
        <v>1</v>
      </c>
      <c r="CA125" s="139">
        <v>1</v>
      </c>
      <c r="CB125" s="139">
        <v>2</v>
      </c>
      <c r="CC125" s="140">
        <v>1</v>
      </c>
      <c r="CD125" s="139">
        <v>1</v>
      </c>
      <c r="CE125" s="140">
        <v>48</v>
      </c>
    </row>
    <row r="126" spans="1:83">
      <c r="A126" s="137">
        <v>9</v>
      </c>
      <c r="B126" s="141" t="s">
        <v>139</v>
      </c>
      <c r="C126" s="142">
        <v>85</v>
      </c>
      <c r="D126" s="142">
        <v>116</v>
      </c>
      <c r="E126" s="142">
        <v>90</v>
      </c>
      <c r="F126" s="142">
        <v>0</v>
      </c>
      <c r="G126" s="142">
        <v>21</v>
      </c>
      <c r="H126" s="143">
        <v>312</v>
      </c>
      <c r="I126" s="142">
        <v>22</v>
      </c>
      <c r="J126" s="142">
        <v>14</v>
      </c>
      <c r="K126" s="142">
        <v>6</v>
      </c>
      <c r="L126" s="142">
        <v>10</v>
      </c>
      <c r="M126" s="143">
        <v>52</v>
      </c>
      <c r="N126" s="142">
        <v>16</v>
      </c>
      <c r="O126" s="142">
        <v>23</v>
      </c>
      <c r="P126" s="142">
        <v>9</v>
      </c>
      <c r="Q126" s="142">
        <v>12</v>
      </c>
      <c r="R126" s="143">
        <v>60</v>
      </c>
      <c r="S126" s="142">
        <v>15</v>
      </c>
      <c r="T126" s="143">
        <v>15</v>
      </c>
      <c r="U126" s="142">
        <v>10</v>
      </c>
      <c r="V126" s="142">
        <v>6</v>
      </c>
      <c r="W126" s="142">
        <v>16</v>
      </c>
      <c r="X126" s="142">
        <v>3</v>
      </c>
      <c r="Y126" s="143">
        <v>35</v>
      </c>
      <c r="Z126" s="142">
        <v>38</v>
      </c>
      <c r="AA126" s="142">
        <v>11</v>
      </c>
      <c r="AB126" s="142">
        <v>12</v>
      </c>
      <c r="AC126" s="143">
        <v>61</v>
      </c>
      <c r="AD126" s="142">
        <v>102</v>
      </c>
      <c r="AE126" s="143">
        <v>7</v>
      </c>
      <c r="AF126" s="142">
        <v>109</v>
      </c>
      <c r="AG126" s="142">
        <v>25</v>
      </c>
      <c r="AH126" s="142">
        <v>23</v>
      </c>
      <c r="AI126" s="143">
        <v>31</v>
      </c>
      <c r="AJ126" s="143">
        <v>79</v>
      </c>
      <c r="AK126" s="143">
        <v>723</v>
      </c>
      <c r="AL126" s="142">
        <v>15</v>
      </c>
      <c r="AM126" s="142">
        <v>21</v>
      </c>
      <c r="AN126" s="142">
        <v>13</v>
      </c>
      <c r="AO126" s="142">
        <v>9</v>
      </c>
      <c r="AP126" s="142">
        <v>18</v>
      </c>
      <c r="AQ126" s="143">
        <v>76</v>
      </c>
      <c r="AR126" s="142">
        <v>17</v>
      </c>
      <c r="AS126" s="142">
        <v>13</v>
      </c>
      <c r="AT126" s="142">
        <v>23</v>
      </c>
      <c r="AU126" s="143">
        <v>53</v>
      </c>
      <c r="AV126" s="142">
        <v>23</v>
      </c>
      <c r="AW126" s="143">
        <v>23</v>
      </c>
      <c r="AX126" s="142">
        <v>152</v>
      </c>
      <c r="AY126" s="142">
        <v>9</v>
      </c>
      <c r="AZ126" s="142">
        <v>9</v>
      </c>
      <c r="BA126" s="142">
        <v>11</v>
      </c>
      <c r="BB126" s="142">
        <v>15</v>
      </c>
      <c r="BC126" s="142">
        <v>7</v>
      </c>
      <c r="BD126" s="142">
        <v>10</v>
      </c>
      <c r="BE126" s="142">
        <v>8</v>
      </c>
      <c r="BF126" s="142">
        <v>13</v>
      </c>
      <c r="BG126" s="142">
        <v>12</v>
      </c>
      <c r="BH126" s="143">
        <v>94</v>
      </c>
      <c r="BI126" s="143">
        <v>94</v>
      </c>
      <c r="BJ126" s="143">
        <v>11</v>
      </c>
      <c r="BK126" s="142">
        <v>14</v>
      </c>
      <c r="BL126" s="142">
        <v>25</v>
      </c>
      <c r="BM126" s="143">
        <v>17</v>
      </c>
      <c r="BN126" s="142">
        <v>4</v>
      </c>
      <c r="BO126" s="142">
        <v>6</v>
      </c>
      <c r="BP126" s="142">
        <v>8</v>
      </c>
      <c r="BQ126" s="142">
        <v>4</v>
      </c>
      <c r="BR126" s="142">
        <v>39</v>
      </c>
      <c r="BS126" s="143">
        <v>11</v>
      </c>
      <c r="BT126" s="142">
        <v>16</v>
      </c>
      <c r="BU126" s="142">
        <v>11</v>
      </c>
      <c r="BV126" s="142">
        <v>6</v>
      </c>
      <c r="BW126" s="142">
        <v>3</v>
      </c>
      <c r="BX126" s="142">
        <v>47</v>
      </c>
      <c r="BY126" s="143">
        <v>12</v>
      </c>
      <c r="BZ126" s="142">
        <v>8</v>
      </c>
      <c r="CA126" s="142">
        <v>17</v>
      </c>
      <c r="CB126" s="142">
        <v>37</v>
      </c>
      <c r="CC126" s="143">
        <v>14</v>
      </c>
      <c r="CD126" s="142">
        <v>14</v>
      </c>
      <c r="CE126" s="143">
        <v>1131</v>
      </c>
    </row>
    <row r="127" spans="1:83">
      <c r="A127" s="137">
        <v>9</v>
      </c>
      <c r="B127" s="144" t="s">
        <v>140</v>
      </c>
      <c r="C127" s="145">
        <v>1450</v>
      </c>
      <c r="D127" s="145">
        <v>1616</v>
      </c>
      <c r="E127" s="145">
        <v>1070</v>
      </c>
      <c r="F127" s="145">
        <v>0</v>
      </c>
      <c r="G127" s="145">
        <v>7</v>
      </c>
      <c r="H127" s="146">
        <v>4143</v>
      </c>
      <c r="I127" s="145">
        <v>314</v>
      </c>
      <c r="J127" s="145">
        <v>11</v>
      </c>
      <c r="K127" s="145">
        <v>3</v>
      </c>
      <c r="L127" s="145">
        <v>17</v>
      </c>
      <c r="M127" s="146">
        <v>345</v>
      </c>
      <c r="N127" s="145">
        <v>125</v>
      </c>
      <c r="O127" s="145">
        <v>9</v>
      </c>
      <c r="P127" s="145">
        <v>0</v>
      </c>
      <c r="Q127" s="145">
        <v>13</v>
      </c>
      <c r="R127" s="146">
        <v>147</v>
      </c>
      <c r="S127" s="145">
        <v>29</v>
      </c>
      <c r="T127" s="146">
        <v>29</v>
      </c>
      <c r="U127" s="145">
        <v>0</v>
      </c>
      <c r="V127" s="145">
        <v>0</v>
      </c>
      <c r="W127" s="145">
        <v>1</v>
      </c>
      <c r="X127" s="145">
        <v>0</v>
      </c>
      <c r="Y127" s="146">
        <v>1</v>
      </c>
      <c r="Z127" s="145">
        <v>336</v>
      </c>
      <c r="AA127" s="145">
        <v>50</v>
      </c>
      <c r="AB127" s="145">
        <v>5</v>
      </c>
      <c r="AC127" s="146">
        <v>391</v>
      </c>
      <c r="AD127" s="145">
        <v>94</v>
      </c>
      <c r="AE127" s="146">
        <v>1</v>
      </c>
      <c r="AF127" s="145">
        <v>95</v>
      </c>
      <c r="AG127" s="145">
        <v>79</v>
      </c>
      <c r="AH127" s="145">
        <v>24</v>
      </c>
      <c r="AI127" s="146">
        <v>4</v>
      </c>
      <c r="AJ127" s="146">
        <v>107</v>
      </c>
      <c r="AK127" s="146">
        <v>5258</v>
      </c>
      <c r="AL127" s="145">
        <v>0</v>
      </c>
      <c r="AM127" s="145">
        <v>0</v>
      </c>
      <c r="AN127" s="145">
        <v>0</v>
      </c>
      <c r="AO127" s="145">
        <v>0</v>
      </c>
      <c r="AP127" s="145">
        <v>0</v>
      </c>
      <c r="AQ127" s="146">
        <v>0</v>
      </c>
      <c r="AR127" s="145">
        <v>0</v>
      </c>
      <c r="AS127" s="145">
        <v>0</v>
      </c>
      <c r="AT127" s="145">
        <v>0</v>
      </c>
      <c r="AU127" s="146">
        <v>0</v>
      </c>
      <c r="AV127" s="145">
        <v>0</v>
      </c>
      <c r="AW127" s="146">
        <v>0</v>
      </c>
      <c r="AX127" s="145">
        <v>0</v>
      </c>
      <c r="AY127" s="145">
        <v>0</v>
      </c>
      <c r="AZ127" s="145">
        <v>0</v>
      </c>
      <c r="BA127" s="145">
        <v>0</v>
      </c>
      <c r="BB127" s="145">
        <v>0</v>
      </c>
      <c r="BC127" s="145">
        <v>0</v>
      </c>
      <c r="BD127" s="145">
        <v>0</v>
      </c>
      <c r="BE127" s="145">
        <v>0</v>
      </c>
      <c r="BF127" s="145">
        <v>0</v>
      </c>
      <c r="BG127" s="145">
        <v>0</v>
      </c>
      <c r="BH127" s="146">
        <v>0</v>
      </c>
      <c r="BI127" s="146">
        <v>0</v>
      </c>
      <c r="BJ127" s="146">
        <v>1</v>
      </c>
      <c r="BK127" s="145">
        <v>33</v>
      </c>
      <c r="BL127" s="145">
        <v>34</v>
      </c>
      <c r="BM127" s="146">
        <v>0</v>
      </c>
      <c r="BN127" s="145">
        <v>0</v>
      </c>
      <c r="BO127" s="145">
        <v>0</v>
      </c>
      <c r="BP127" s="145">
        <v>0</v>
      </c>
      <c r="BQ127" s="145">
        <v>0</v>
      </c>
      <c r="BR127" s="145">
        <v>0</v>
      </c>
      <c r="BS127" s="146">
        <v>6</v>
      </c>
      <c r="BT127" s="145">
        <v>0</v>
      </c>
      <c r="BU127" s="145">
        <v>3</v>
      </c>
      <c r="BV127" s="145">
        <v>0</v>
      </c>
      <c r="BW127" s="145">
        <v>67</v>
      </c>
      <c r="BX127" s="145">
        <v>76</v>
      </c>
      <c r="BY127" s="146">
        <v>0</v>
      </c>
      <c r="BZ127" s="145">
        <v>0</v>
      </c>
      <c r="CA127" s="145">
        <v>0</v>
      </c>
      <c r="CB127" s="145">
        <v>0</v>
      </c>
      <c r="CC127" s="146">
        <v>0</v>
      </c>
      <c r="CD127" s="145">
        <v>0</v>
      </c>
      <c r="CE127" s="146">
        <v>5368</v>
      </c>
    </row>
    <row r="128" spans="1:83">
      <c r="A128" s="137">
        <v>9</v>
      </c>
      <c r="B128" s="147" t="s">
        <v>195</v>
      </c>
      <c r="C128" s="148">
        <v>1535</v>
      </c>
      <c r="D128" s="148">
        <v>1732</v>
      </c>
      <c r="E128" s="148">
        <v>1160</v>
      </c>
      <c r="F128" s="148">
        <v>0</v>
      </c>
      <c r="G128" s="148">
        <v>28</v>
      </c>
      <c r="H128" s="149">
        <v>4455</v>
      </c>
      <c r="I128" s="148">
        <v>336</v>
      </c>
      <c r="J128" s="148">
        <v>25</v>
      </c>
      <c r="K128" s="148">
        <v>9</v>
      </c>
      <c r="L128" s="148">
        <v>27</v>
      </c>
      <c r="M128" s="149">
        <v>397</v>
      </c>
      <c r="N128" s="148">
        <v>141</v>
      </c>
      <c r="O128" s="148">
        <v>32</v>
      </c>
      <c r="P128" s="148">
        <v>9</v>
      </c>
      <c r="Q128" s="148">
        <v>25</v>
      </c>
      <c r="R128" s="149">
        <v>207</v>
      </c>
      <c r="S128" s="148">
        <v>44</v>
      </c>
      <c r="T128" s="149">
        <v>44</v>
      </c>
      <c r="U128" s="148">
        <v>10</v>
      </c>
      <c r="V128" s="148">
        <v>6</v>
      </c>
      <c r="W128" s="148">
        <v>17</v>
      </c>
      <c r="X128" s="148">
        <v>3</v>
      </c>
      <c r="Y128" s="149">
        <v>36</v>
      </c>
      <c r="Z128" s="148">
        <v>374</v>
      </c>
      <c r="AA128" s="148">
        <v>61</v>
      </c>
      <c r="AB128" s="148">
        <v>17</v>
      </c>
      <c r="AC128" s="149">
        <v>452</v>
      </c>
      <c r="AD128" s="148">
        <v>196</v>
      </c>
      <c r="AE128" s="149">
        <v>8</v>
      </c>
      <c r="AF128" s="148">
        <v>204</v>
      </c>
      <c r="AG128" s="148">
        <v>104</v>
      </c>
      <c r="AH128" s="148">
        <v>47</v>
      </c>
      <c r="AI128" s="149">
        <v>35</v>
      </c>
      <c r="AJ128" s="149">
        <v>186</v>
      </c>
      <c r="AK128" s="149">
        <v>5981</v>
      </c>
      <c r="AL128" s="148">
        <v>15</v>
      </c>
      <c r="AM128" s="148">
        <v>21</v>
      </c>
      <c r="AN128" s="148">
        <v>13</v>
      </c>
      <c r="AO128" s="148">
        <v>9</v>
      </c>
      <c r="AP128" s="148">
        <v>18</v>
      </c>
      <c r="AQ128" s="149">
        <v>76</v>
      </c>
      <c r="AR128" s="148">
        <v>17</v>
      </c>
      <c r="AS128" s="148">
        <v>13</v>
      </c>
      <c r="AT128" s="148">
        <v>23</v>
      </c>
      <c r="AU128" s="149">
        <v>53</v>
      </c>
      <c r="AV128" s="148">
        <v>23</v>
      </c>
      <c r="AW128" s="149">
        <v>23</v>
      </c>
      <c r="AX128" s="148">
        <v>152</v>
      </c>
      <c r="AY128" s="148">
        <v>9</v>
      </c>
      <c r="AZ128" s="148">
        <v>9</v>
      </c>
      <c r="BA128" s="148">
        <v>11</v>
      </c>
      <c r="BB128" s="148">
        <v>15</v>
      </c>
      <c r="BC128" s="148">
        <v>7</v>
      </c>
      <c r="BD128" s="148">
        <v>10</v>
      </c>
      <c r="BE128" s="148">
        <v>8</v>
      </c>
      <c r="BF128" s="148">
        <v>13</v>
      </c>
      <c r="BG128" s="148">
        <v>12</v>
      </c>
      <c r="BH128" s="149">
        <v>94</v>
      </c>
      <c r="BI128" s="149">
        <v>94</v>
      </c>
      <c r="BJ128" s="149">
        <v>12</v>
      </c>
      <c r="BK128" s="148">
        <v>47</v>
      </c>
      <c r="BL128" s="148">
        <v>59</v>
      </c>
      <c r="BM128" s="149">
        <v>17</v>
      </c>
      <c r="BN128" s="148">
        <v>4</v>
      </c>
      <c r="BO128" s="148">
        <v>6</v>
      </c>
      <c r="BP128" s="148">
        <v>8</v>
      </c>
      <c r="BQ128" s="148">
        <v>4</v>
      </c>
      <c r="BR128" s="148">
        <v>39</v>
      </c>
      <c r="BS128" s="149">
        <v>17</v>
      </c>
      <c r="BT128" s="148">
        <v>16</v>
      </c>
      <c r="BU128" s="148">
        <v>14</v>
      </c>
      <c r="BV128" s="148">
        <v>6</v>
      </c>
      <c r="BW128" s="148">
        <v>70</v>
      </c>
      <c r="BX128" s="148">
        <v>123</v>
      </c>
      <c r="BY128" s="149">
        <v>12</v>
      </c>
      <c r="BZ128" s="148">
        <v>8</v>
      </c>
      <c r="CA128" s="148">
        <v>17</v>
      </c>
      <c r="CB128" s="148">
        <v>37</v>
      </c>
      <c r="CC128" s="149">
        <v>14</v>
      </c>
      <c r="CD128" s="148">
        <v>14</v>
      </c>
      <c r="CE128" s="149">
        <v>6499</v>
      </c>
    </row>
    <row r="129" spans="1:83" ht="15" thickBot="1">
      <c r="A129" s="137">
        <v>9</v>
      </c>
      <c r="B129" s="123" t="s">
        <v>196</v>
      </c>
      <c r="C129" s="124">
        <v>1537</v>
      </c>
      <c r="D129" s="124">
        <v>1732</v>
      </c>
      <c r="E129" s="124">
        <v>1160</v>
      </c>
      <c r="F129" s="124">
        <v>0</v>
      </c>
      <c r="G129" s="124">
        <v>28</v>
      </c>
      <c r="H129" s="125">
        <v>4457</v>
      </c>
      <c r="I129" s="124">
        <v>337</v>
      </c>
      <c r="J129" s="124">
        <v>25</v>
      </c>
      <c r="K129" s="124">
        <v>9</v>
      </c>
      <c r="L129" s="124">
        <v>27</v>
      </c>
      <c r="M129" s="125">
        <v>398</v>
      </c>
      <c r="N129" s="124">
        <v>142</v>
      </c>
      <c r="O129" s="124">
        <v>34</v>
      </c>
      <c r="P129" s="124">
        <v>9</v>
      </c>
      <c r="Q129" s="124">
        <v>25</v>
      </c>
      <c r="R129" s="125">
        <v>210</v>
      </c>
      <c r="S129" s="124">
        <v>46</v>
      </c>
      <c r="T129" s="125">
        <v>46</v>
      </c>
      <c r="U129" s="124">
        <v>11</v>
      </c>
      <c r="V129" s="124">
        <v>6</v>
      </c>
      <c r="W129" s="124">
        <v>17</v>
      </c>
      <c r="X129" s="124">
        <v>3</v>
      </c>
      <c r="Y129" s="125">
        <v>37</v>
      </c>
      <c r="Z129" s="124">
        <v>374</v>
      </c>
      <c r="AA129" s="124">
        <v>61</v>
      </c>
      <c r="AB129" s="124">
        <v>18</v>
      </c>
      <c r="AC129" s="125">
        <v>453</v>
      </c>
      <c r="AD129" s="124">
        <v>198</v>
      </c>
      <c r="AE129" s="125">
        <v>8</v>
      </c>
      <c r="AF129" s="124">
        <v>206</v>
      </c>
      <c r="AG129" s="124">
        <v>104</v>
      </c>
      <c r="AH129" s="124">
        <v>47</v>
      </c>
      <c r="AI129" s="125">
        <v>37</v>
      </c>
      <c r="AJ129" s="125">
        <v>188</v>
      </c>
      <c r="AK129" s="125">
        <v>5995</v>
      </c>
      <c r="AL129" s="124">
        <v>15</v>
      </c>
      <c r="AM129" s="124">
        <v>23</v>
      </c>
      <c r="AN129" s="124">
        <v>13</v>
      </c>
      <c r="AO129" s="124">
        <v>9</v>
      </c>
      <c r="AP129" s="124">
        <v>19</v>
      </c>
      <c r="AQ129" s="125">
        <v>79</v>
      </c>
      <c r="AR129" s="124">
        <v>18</v>
      </c>
      <c r="AS129" s="124">
        <v>14</v>
      </c>
      <c r="AT129" s="124">
        <v>23</v>
      </c>
      <c r="AU129" s="125">
        <v>55</v>
      </c>
      <c r="AV129" s="124">
        <v>25</v>
      </c>
      <c r="AW129" s="125">
        <v>25</v>
      </c>
      <c r="AX129" s="124">
        <v>159</v>
      </c>
      <c r="AY129" s="124">
        <v>9</v>
      </c>
      <c r="AZ129" s="124">
        <v>18</v>
      </c>
      <c r="BA129" s="124">
        <v>12</v>
      </c>
      <c r="BB129" s="124">
        <v>16</v>
      </c>
      <c r="BC129" s="124">
        <v>8</v>
      </c>
      <c r="BD129" s="124">
        <v>10</v>
      </c>
      <c r="BE129" s="124">
        <v>9</v>
      </c>
      <c r="BF129" s="124">
        <v>14</v>
      </c>
      <c r="BG129" s="124">
        <v>12</v>
      </c>
      <c r="BH129" s="125">
        <v>108</v>
      </c>
      <c r="BI129" s="125">
        <v>108</v>
      </c>
      <c r="BJ129" s="125">
        <v>14</v>
      </c>
      <c r="BK129" s="124">
        <v>47</v>
      </c>
      <c r="BL129" s="124">
        <v>61</v>
      </c>
      <c r="BM129" s="125">
        <v>18</v>
      </c>
      <c r="BN129" s="124">
        <v>5</v>
      </c>
      <c r="BO129" s="124">
        <v>7</v>
      </c>
      <c r="BP129" s="124">
        <v>8</v>
      </c>
      <c r="BQ129" s="124">
        <v>6</v>
      </c>
      <c r="BR129" s="124">
        <v>44</v>
      </c>
      <c r="BS129" s="125">
        <v>18</v>
      </c>
      <c r="BT129" s="124">
        <v>17</v>
      </c>
      <c r="BU129" s="124">
        <v>14</v>
      </c>
      <c r="BV129" s="124">
        <v>7</v>
      </c>
      <c r="BW129" s="124">
        <v>70</v>
      </c>
      <c r="BX129" s="124">
        <v>126</v>
      </c>
      <c r="BY129" s="125">
        <v>12</v>
      </c>
      <c r="BZ129" s="124">
        <v>9</v>
      </c>
      <c r="CA129" s="124">
        <v>18</v>
      </c>
      <c r="CB129" s="124">
        <v>39</v>
      </c>
      <c r="CC129" s="125">
        <v>15</v>
      </c>
      <c r="CD129" s="124">
        <v>15</v>
      </c>
      <c r="CE129" s="125">
        <v>6547</v>
      </c>
    </row>
    <row r="130" spans="1:83">
      <c r="A130" s="150"/>
      <c r="B130" s="151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  <c r="BE130" s="152"/>
      <c r="BF130" s="152"/>
      <c r="BG130" s="152"/>
      <c r="BH130" s="152"/>
      <c r="BI130" s="152"/>
      <c r="BJ130" s="152"/>
      <c r="BK130" s="152"/>
      <c r="BL130" s="152"/>
      <c r="BM130" s="152"/>
      <c r="BN130" s="152"/>
      <c r="BO130" s="152"/>
      <c r="BP130" s="152"/>
      <c r="BQ130" s="152"/>
      <c r="BR130" s="152"/>
      <c r="BS130" s="152"/>
      <c r="BT130" s="152"/>
      <c r="BU130" s="152"/>
      <c r="BV130" s="152"/>
      <c r="BW130" s="152"/>
      <c r="BX130" s="152"/>
      <c r="BY130" s="152"/>
      <c r="BZ130" s="152"/>
      <c r="CA130" s="152"/>
      <c r="CB130" s="152"/>
      <c r="CC130" s="152"/>
      <c r="CD130" s="152"/>
      <c r="CE130" s="152"/>
    </row>
    <row r="131" spans="1:83" ht="21.5" thickBot="1">
      <c r="A131" s="153">
        <v>10</v>
      </c>
      <c r="B131" s="110" t="s">
        <v>3</v>
      </c>
      <c r="C131" s="129"/>
      <c r="D131" s="129"/>
      <c r="E131" s="129"/>
      <c r="F131" s="129"/>
      <c r="G131" s="129"/>
      <c r="H131" s="130"/>
      <c r="I131" s="129"/>
      <c r="J131" s="129"/>
      <c r="K131" s="129"/>
      <c r="L131" s="129"/>
      <c r="M131" s="130"/>
      <c r="N131" s="129"/>
      <c r="O131" s="129"/>
      <c r="P131" s="129"/>
      <c r="Q131" s="129"/>
      <c r="R131" s="130"/>
      <c r="S131" s="129"/>
      <c r="T131" s="130"/>
      <c r="U131" s="129"/>
      <c r="V131" s="129"/>
      <c r="W131" s="129"/>
      <c r="X131" s="129"/>
      <c r="Y131" s="130"/>
      <c r="Z131" s="129"/>
      <c r="AA131" s="129"/>
      <c r="AB131" s="129"/>
      <c r="AC131" s="130"/>
      <c r="AD131" s="129"/>
      <c r="AE131" s="130"/>
      <c r="AF131" s="129"/>
      <c r="AG131" s="129"/>
      <c r="AH131" s="129"/>
      <c r="AI131" s="130"/>
      <c r="AJ131" s="130"/>
      <c r="AK131" s="130"/>
      <c r="AL131" s="129"/>
      <c r="AM131" s="129"/>
      <c r="AN131" s="129"/>
      <c r="AO131" s="129"/>
      <c r="AP131" s="129"/>
      <c r="AQ131" s="130"/>
      <c r="AR131" s="129"/>
      <c r="AS131" s="129"/>
      <c r="AT131" s="129"/>
      <c r="AU131" s="130"/>
      <c r="AV131" s="129"/>
      <c r="AW131" s="130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30"/>
      <c r="BI131" s="130"/>
      <c r="BJ131" s="130"/>
      <c r="BK131" s="129"/>
      <c r="BL131" s="129"/>
      <c r="BM131" s="130"/>
      <c r="BN131" s="129"/>
      <c r="BO131" s="129"/>
      <c r="BP131" s="129"/>
      <c r="BQ131" s="129"/>
      <c r="BR131" s="129"/>
      <c r="BS131" s="130"/>
      <c r="BT131" s="129"/>
      <c r="BU131" s="129"/>
      <c r="BV131" s="129"/>
      <c r="BW131" s="129"/>
      <c r="BX131" s="129"/>
      <c r="BY131" s="130"/>
      <c r="BZ131" s="129"/>
      <c r="CA131" s="129"/>
      <c r="CB131" s="129"/>
      <c r="CC131" s="130"/>
      <c r="CD131" s="129"/>
      <c r="CE131" s="130"/>
    </row>
    <row r="132" spans="1:83">
      <c r="A132" s="137">
        <v>10</v>
      </c>
      <c r="B132" s="138" t="s">
        <v>194</v>
      </c>
      <c r="C132" s="139">
        <v>2</v>
      </c>
      <c r="D132" s="139">
        <v>0</v>
      </c>
      <c r="E132" s="139">
        <v>0</v>
      </c>
      <c r="F132" s="139">
        <v>0</v>
      </c>
      <c r="G132" s="139">
        <v>0</v>
      </c>
      <c r="H132" s="140">
        <v>2</v>
      </c>
      <c r="I132" s="139">
        <v>1</v>
      </c>
      <c r="J132" s="139">
        <v>0</v>
      </c>
      <c r="K132" s="139">
        <v>0</v>
      </c>
      <c r="L132" s="139">
        <v>0</v>
      </c>
      <c r="M132" s="140">
        <v>1</v>
      </c>
      <c r="N132" s="139">
        <v>1</v>
      </c>
      <c r="O132" s="139">
        <v>2</v>
      </c>
      <c r="P132" s="139">
        <v>0</v>
      </c>
      <c r="Q132" s="139">
        <v>0</v>
      </c>
      <c r="R132" s="140">
        <v>3</v>
      </c>
      <c r="S132" s="139">
        <v>2</v>
      </c>
      <c r="T132" s="140">
        <v>2</v>
      </c>
      <c r="U132" s="139">
        <v>1</v>
      </c>
      <c r="V132" s="139">
        <v>0</v>
      </c>
      <c r="W132" s="139">
        <v>0</v>
      </c>
      <c r="X132" s="139">
        <v>0</v>
      </c>
      <c r="Y132" s="140">
        <v>1</v>
      </c>
      <c r="Z132" s="139">
        <v>0</v>
      </c>
      <c r="AA132" s="139">
        <v>0</v>
      </c>
      <c r="AB132" s="139">
        <v>1</v>
      </c>
      <c r="AC132" s="140">
        <v>1</v>
      </c>
      <c r="AD132" s="139">
        <v>2</v>
      </c>
      <c r="AE132" s="140">
        <v>0</v>
      </c>
      <c r="AF132" s="139">
        <v>2</v>
      </c>
      <c r="AG132" s="139">
        <v>0</v>
      </c>
      <c r="AH132" s="139">
        <v>0</v>
      </c>
      <c r="AI132" s="140">
        <v>2</v>
      </c>
      <c r="AJ132" s="140">
        <v>2</v>
      </c>
      <c r="AK132" s="140">
        <v>14</v>
      </c>
      <c r="AL132" s="139">
        <v>0</v>
      </c>
      <c r="AM132" s="139">
        <v>2</v>
      </c>
      <c r="AN132" s="139">
        <v>0</v>
      </c>
      <c r="AO132" s="139">
        <v>0</v>
      </c>
      <c r="AP132" s="139">
        <v>1</v>
      </c>
      <c r="AQ132" s="140">
        <v>3</v>
      </c>
      <c r="AR132" s="139">
        <v>1</v>
      </c>
      <c r="AS132" s="139">
        <v>1</v>
      </c>
      <c r="AT132" s="139">
        <v>0</v>
      </c>
      <c r="AU132" s="140">
        <v>2</v>
      </c>
      <c r="AV132" s="139">
        <v>2</v>
      </c>
      <c r="AW132" s="140">
        <v>2</v>
      </c>
      <c r="AX132" s="139">
        <v>7</v>
      </c>
      <c r="AY132" s="139">
        <v>0</v>
      </c>
      <c r="AZ132" s="139">
        <v>11</v>
      </c>
      <c r="BA132" s="139">
        <v>1</v>
      </c>
      <c r="BB132" s="139">
        <v>1</v>
      </c>
      <c r="BC132" s="139">
        <v>1</v>
      </c>
      <c r="BD132" s="139">
        <v>0</v>
      </c>
      <c r="BE132" s="139">
        <v>1</v>
      </c>
      <c r="BF132" s="139">
        <v>2</v>
      </c>
      <c r="BG132" s="139">
        <v>0</v>
      </c>
      <c r="BH132" s="140">
        <v>17</v>
      </c>
      <c r="BI132" s="140">
        <v>17</v>
      </c>
      <c r="BJ132" s="140">
        <v>2</v>
      </c>
      <c r="BK132" s="139">
        <v>0</v>
      </c>
      <c r="BL132" s="139">
        <v>2</v>
      </c>
      <c r="BM132" s="140">
        <v>1</v>
      </c>
      <c r="BN132" s="139">
        <v>1</v>
      </c>
      <c r="BO132" s="139">
        <v>1</v>
      </c>
      <c r="BP132" s="139">
        <v>0</v>
      </c>
      <c r="BQ132" s="139">
        <v>2</v>
      </c>
      <c r="BR132" s="139">
        <v>5</v>
      </c>
      <c r="BS132" s="140">
        <v>1</v>
      </c>
      <c r="BT132" s="139">
        <v>1</v>
      </c>
      <c r="BU132" s="139">
        <v>0</v>
      </c>
      <c r="BV132" s="139">
        <v>1</v>
      </c>
      <c r="BW132" s="139">
        <v>0</v>
      </c>
      <c r="BX132" s="139">
        <v>3</v>
      </c>
      <c r="BY132" s="140">
        <v>0</v>
      </c>
      <c r="BZ132" s="139">
        <v>1</v>
      </c>
      <c r="CA132" s="139">
        <v>1</v>
      </c>
      <c r="CB132" s="139">
        <v>2</v>
      </c>
      <c r="CC132" s="140">
        <v>1</v>
      </c>
      <c r="CD132" s="139">
        <v>1</v>
      </c>
      <c r="CE132" s="140">
        <v>51</v>
      </c>
    </row>
    <row r="133" spans="1:83">
      <c r="A133" s="137">
        <v>10</v>
      </c>
      <c r="B133" s="141" t="s">
        <v>139</v>
      </c>
      <c r="C133" s="142">
        <v>85</v>
      </c>
      <c r="D133" s="142">
        <v>116</v>
      </c>
      <c r="E133" s="142">
        <v>90</v>
      </c>
      <c r="F133" s="142">
        <v>0</v>
      </c>
      <c r="G133" s="142">
        <v>21</v>
      </c>
      <c r="H133" s="143">
        <v>312</v>
      </c>
      <c r="I133" s="142">
        <v>22</v>
      </c>
      <c r="J133" s="142">
        <v>14</v>
      </c>
      <c r="K133" s="142">
        <v>6</v>
      </c>
      <c r="L133" s="142">
        <v>10</v>
      </c>
      <c r="M133" s="143">
        <v>52</v>
      </c>
      <c r="N133" s="142">
        <v>16</v>
      </c>
      <c r="O133" s="142">
        <v>23</v>
      </c>
      <c r="P133" s="142">
        <v>9</v>
      </c>
      <c r="Q133" s="142">
        <v>12</v>
      </c>
      <c r="R133" s="143">
        <v>60</v>
      </c>
      <c r="S133" s="142">
        <v>15</v>
      </c>
      <c r="T133" s="143">
        <v>15</v>
      </c>
      <c r="U133" s="142">
        <v>10</v>
      </c>
      <c r="V133" s="142">
        <v>6</v>
      </c>
      <c r="W133" s="142">
        <v>16</v>
      </c>
      <c r="X133" s="142">
        <v>3</v>
      </c>
      <c r="Y133" s="143">
        <v>35</v>
      </c>
      <c r="Z133" s="142">
        <v>38</v>
      </c>
      <c r="AA133" s="142">
        <v>11</v>
      </c>
      <c r="AB133" s="142">
        <v>12</v>
      </c>
      <c r="AC133" s="143">
        <v>61</v>
      </c>
      <c r="AD133" s="142">
        <v>103</v>
      </c>
      <c r="AE133" s="143">
        <v>7</v>
      </c>
      <c r="AF133" s="142">
        <v>110</v>
      </c>
      <c r="AG133" s="142">
        <v>25</v>
      </c>
      <c r="AH133" s="142">
        <v>23</v>
      </c>
      <c r="AI133" s="143">
        <v>32</v>
      </c>
      <c r="AJ133" s="143">
        <v>80</v>
      </c>
      <c r="AK133" s="143">
        <v>725</v>
      </c>
      <c r="AL133" s="142">
        <v>15</v>
      </c>
      <c r="AM133" s="142">
        <v>21</v>
      </c>
      <c r="AN133" s="142">
        <v>13</v>
      </c>
      <c r="AO133" s="142">
        <v>9</v>
      </c>
      <c r="AP133" s="142">
        <v>18</v>
      </c>
      <c r="AQ133" s="143">
        <v>76</v>
      </c>
      <c r="AR133" s="142">
        <v>17</v>
      </c>
      <c r="AS133" s="142">
        <v>13</v>
      </c>
      <c r="AT133" s="142">
        <v>23</v>
      </c>
      <c r="AU133" s="143">
        <v>53</v>
      </c>
      <c r="AV133" s="142">
        <v>23</v>
      </c>
      <c r="AW133" s="143">
        <v>23</v>
      </c>
      <c r="AX133" s="142">
        <v>152</v>
      </c>
      <c r="AY133" s="142">
        <v>9</v>
      </c>
      <c r="AZ133" s="142">
        <v>9</v>
      </c>
      <c r="BA133" s="142">
        <v>11</v>
      </c>
      <c r="BB133" s="142">
        <v>15</v>
      </c>
      <c r="BC133" s="142">
        <v>7</v>
      </c>
      <c r="BD133" s="142">
        <v>10</v>
      </c>
      <c r="BE133" s="142">
        <v>8</v>
      </c>
      <c r="BF133" s="142">
        <v>13</v>
      </c>
      <c r="BG133" s="142">
        <v>12</v>
      </c>
      <c r="BH133" s="143">
        <v>94</v>
      </c>
      <c r="BI133" s="143">
        <v>94</v>
      </c>
      <c r="BJ133" s="143">
        <v>11</v>
      </c>
      <c r="BK133" s="142">
        <v>14</v>
      </c>
      <c r="BL133" s="142">
        <v>25</v>
      </c>
      <c r="BM133" s="143">
        <v>17</v>
      </c>
      <c r="BN133" s="142">
        <v>4</v>
      </c>
      <c r="BO133" s="142">
        <v>6</v>
      </c>
      <c r="BP133" s="142">
        <v>8</v>
      </c>
      <c r="BQ133" s="142">
        <v>4</v>
      </c>
      <c r="BR133" s="142">
        <v>39</v>
      </c>
      <c r="BS133" s="143">
        <v>11</v>
      </c>
      <c r="BT133" s="142">
        <v>16</v>
      </c>
      <c r="BU133" s="142">
        <v>11</v>
      </c>
      <c r="BV133" s="142">
        <v>6</v>
      </c>
      <c r="BW133" s="142">
        <v>3</v>
      </c>
      <c r="BX133" s="142">
        <v>47</v>
      </c>
      <c r="BY133" s="143">
        <v>12</v>
      </c>
      <c r="BZ133" s="142">
        <v>8</v>
      </c>
      <c r="CA133" s="142">
        <v>17</v>
      </c>
      <c r="CB133" s="142">
        <v>37</v>
      </c>
      <c r="CC133" s="143">
        <v>14</v>
      </c>
      <c r="CD133" s="142">
        <v>14</v>
      </c>
      <c r="CE133" s="143">
        <v>1133</v>
      </c>
    </row>
    <row r="134" spans="1:83">
      <c r="A134" s="137">
        <v>10</v>
      </c>
      <c r="B134" s="144" t="s">
        <v>140</v>
      </c>
      <c r="C134" s="145">
        <v>1751</v>
      </c>
      <c r="D134" s="145">
        <v>1660</v>
      </c>
      <c r="E134" s="145">
        <v>1067</v>
      </c>
      <c r="F134" s="145">
        <v>0</v>
      </c>
      <c r="G134" s="145">
        <v>7</v>
      </c>
      <c r="H134" s="146">
        <v>4485</v>
      </c>
      <c r="I134" s="145">
        <v>314</v>
      </c>
      <c r="J134" s="145">
        <v>11</v>
      </c>
      <c r="K134" s="145">
        <v>3</v>
      </c>
      <c r="L134" s="145">
        <v>17</v>
      </c>
      <c r="M134" s="146">
        <v>345</v>
      </c>
      <c r="N134" s="145">
        <v>125</v>
      </c>
      <c r="O134" s="145">
        <v>9</v>
      </c>
      <c r="P134" s="145">
        <v>0</v>
      </c>
      <c r="Q134" s="145">
        <v>13</v>
      </c>
      <c r="R134" s="146">
        <v>147</v>
      </c>
      <c r="S134" s="145">
        <v>30</v>
      </c>
      <c r="T134" s="146">
        <v>30</v>
      </c>
      <c r="U134" s="145">
        <v>0</v>
      </c>
      <c r="V134" s="145">
        <v>0</v>
      </c>
      <c r="W134" s="145">
        <v>1</v>
      </c>
      <c r="X134" s="145">
        <v>0</v>
      </c>
      <c r="Y134" s="146">
        <v>1</v>
      </c>
      <c r="Z134" s="145">
        <v>334</v>
      </c>
      <c r="AA134" s="145">
        <v>50</v>
      </c>
      <c r="AB134" s="145">
        <v>5</v>
      </c>
      <c r="AC134" s="146">
        <v>389</v>
      </c>
      <c r="AD134" s="145">
        <v>97</v>
      </c>
      <c r="AE134" s="146">
        <v>2</v>
      </c>
      <c r="AF134" s="145">
        <v>99</v>
      </c>
      <c r="AG134" s="145">
        <v>79</v>
      </c>
      <c r="AH134" s="145">
        <v>24</v>
      </c>
      <c r="AI134" s="146">
        <v>4</v>
      </c>
      <c r="AJ134" s="146">
        <v>107</v>
      </c>
      <c r="AK134" s="146">
        <v>5603</v>
      </c>
      <c r="AL134" s="145">
        <v>0</v>
      </c>
      <c r="AM134" s="145">
        <v>0</v>
      </c>
      <c r="AN134" s="145">
        <v>0</v>
      </c>
      <c r="AO134" s="145">
        <v>0</v>
      </c>
      <c r="AP134" s="145">
        <v>0</v>
      </c>
      <c r="AQ134" s="146">
        <v>0</v>
      </c>
      <c r="AR134" s="145">
        <v>0</v>
      </c>
      <c r="AS134" s="145">
        <v>0</v>
      </c>
      <c r="AT134" s="145">
        <v>0</v>
      </c>
      <c r="AU134" s="146">
        <v>0</v>
      </c>
      <c r="AV134" s="145">
        <v>0</v>
      </c>
      <c r="AW134" s="146">
        <v>0</v>
      </c>
      <c r="AX134" s="145">
        <v>0</v>
      </c>
      <c r="AY134" s="145">
        <v>0</v>
      </c>
      <c r="AZ134" s="145">
        <v>0</v>
      </c>
      <c r="BA134" s="145">
        <v>0</v>
      </c>
      <c r="BB134" s="145">
        <v>0</v>
      </c>
      <c r="BC134" s="145">
        <v>0</v>
      </c>
      <c r="BD134" s="145">
        <v>0</v>
      </c>
      <c r="BE134" s="145">
        <v>0</v>
      </c>
      <c r="BF134" s="145">
        <v>0</v>
      </c>
      <c r="BG134" s="145">
        <v>0</v>
      </c>
      <c r="BH134" s="146">
        <v>0</v>
      </c>
      <c r="BI134" s="146">
        <v>0</v>
      </c>
      <c r="BJ134" s="146">
        <v>1</v>
      </c>
      <c r="BK134" s="145">
        <v>33</v>
      </c>
      <c r="BL134" s="145">
        <v>34</v>
      </c>
      <c r="BM134" s="146">
        <v>0</v>
      </c>
      <c r="BN134" s="145">
        <v>0</v>
      </c>
      <c r="BO134" s="145">
        <v>0</v>
      </c>
      <c r="BP134" s="145">
        <v>0</v>
      </c>
      <c r="BQ134" s="145">
        <v>0</v>
      </c>
      <c r="BR134" s="145">
        <v>0</v>
      </c>
      <c r="BS134" s="146">
        <v>6</v>
      </c>
      <c r="BT134" s="145">
        <v>0</v>
      </c>
      <c r="BU134" s="145">
        <v>3</v>
      </c>
      <c r="BV134" s="145">
        <v>0</v>
      </c>
      <c r="BW134" s="145">
        <v>67</v>
      </c>
      <c r="BX134" s="145">
        <v>76</v>
      </c>
      <c r="BY134" s="146">
        <v>0</v>
      </c>
      <c r="BZ134" s="145">
        <v>0</v>
      </c>
      <c r="CA134" s="145">
        <v>0</v>
      </c>
      <c r="CB134" s="145">
        <v>0</v>
      </c>
      <c r="CC134" s="146">
        <v>0</v>
      </c>
      <c r="CD134" s="145">
        <v>0</v>
      </c>
      <c r="CE134" s="146">
        <v>5713</v>
      </c>
    </row>
    <row r="135" spans="1:83">
      <c r="A135" s="137">
        <v>10</v>
      </c>
      <c r="B135" s="147" t="s">
        <v>195</v>
      </c>
      <c r="C135" s="148">
        <v>1836</v>
      </c>
      <c r="D135" s="148">
        <v>1776</v>
      </c>
      <c r="E135" s="148">
        <v>1157</v>
      </c>
      <c r="F135" s="148">
        <v>0</v>
      </c>
      <c r="G135" s="148">
        <v>28</v>
      </c>
      <c r="H135" s="149">
        <v>4797</v>
      </c>
      <c r="I135" s="148">
        <v>336</v>
      </c>
      <c r="J135" s="148">
        <v>25</v>
      </c>
      <c r="K135" s="148">
        <v>9</v>
      </c>
      <c r="L135" s="148">
        <v>27</v>
      </c>
      <c r="M135" s="149">
        <v>397</v>
      </c>
      <c r="N135" s="148">
        <v>141</v>
      </c>
      <c r="O135" s="148">
        <v>32</v>
      </c>
      <c r="P135" s="148">
        <v>9</v>
      </c>
      <c r="Q135" s="148">
        <v>25</v>
      </c>
      <c r="R135" s="149">
        <v>207</v>
      </c>
      <c r="S135" s="148">
        <v>45</v>
      </c>
      <c r="T135" s="149">
        <v>45</v>
      </c>
      <c r="U135" s="148">
        <v>10</v>
      </c>
      <c r="V135" s="148">
        <v>6</v>
      </c>
      <c r="W135" s="148">
        <v>17</v>
      </c>
      <c r="X135" s="148">
        <v>3</v>
      </c>
      <c r="Y135" s="149">
        <v>36</v>
      </c>
      <c r="Z135" s="148">
        <v>372</v>
      </c>
      <c r="AA135" s="148">
        <v>61</v>
      </c>
      <c r="AB135" s="148">
        <v>17</v>
      </c>
      <c r="AC135" s="149">
        <v>450</v>
      </c>
      <c r="AD135" s="148">
        <v>200</v>
      </c>
      <c r="AE135" s="149">
        <v>9</v>
      </c>
      <c r="AF135" s="148">
        <v>209</v>
      </c>
      <c r="AG135" s="148">
        <v>104</v>
      </c>
      <c r="AH135" s="148">
        <v>47</v>
      </c>
      <c r="AI135" s="149">
        <v>36</v>
      </c>
      <c r="AJ135" s="149">
        <v>187</v>
      </c>
      <c r="AK135" s="149">
        <v>6328</v>
      </c>
      <c r="AL135" s="148">
        <v>15</v>
      </c>
      <c r="AM135" s="148">
        <v>21</v>
      </c>
      <c r="AN135" s="148">
        <v>13</v>
      </c>
      <c r="AO135" s="148">
        <v>9</v>
      </c>
      <c r="AP135" s="148">
        <v>18</v>
      </c>
      <c r="AQ135" s="149">
        <v>76</v>
      </c>
      <c r="AR135" s="148">
        <v>17</v>
      </c>
      <c r="AS135" s="148">
        <v>13</v>
      </c>
      <c r="AT135" s="148">
        <v>23</v>
      </c>
      <c r="AU135" s="149">
        <v>53</v>
      </c>
      <c r="AV135" s="148">
        <v>23</v>
      </c>
      <c r="AW135" s="149">
        <v>23</v>
      </c>
      <c r="AX135" s="148">
        <v>152</v>
      </c>
      <c r="AY135" s="148">
        <v>9</v>
      </c>
      <c r="AZ135" s="148">
        <v>9</v>
      </c>
      <c r="BA135" s="148">
        <v>11</v>
      </c>
      <c r="BB135" s="148">
        <v>15</v>
      </c>
      <c r="BC135" s="148">
        <v>7</v>
      </c>
      <c r="BD135" s="148">
        <v>10</v>
      </c>
      <c r="BE135" s="148">
        <v>8</v>
      </c>
      <c r="BF135" s="148">
        <v>13</v>
      </c>
      <c r="BG135" s="148">
        <v>12</v>
      </c>
      <c r="BH135" s="149">
        <v>94</v>
      </c>
      <c r="BI135" s="149">
        <v>94</v>
      </c>
      <c r="BJ135" s="149">
        <v>12</v>
      </c>
      <c r="BK135" s="148">
        <v>47</v>
      </c>
      <c r="BL135" s="148">
        <v>59</v>
      </c>
      <c r="BM135" s="149">
        <v>17</v>
      </c>
      <c r="BN135" s="148">
        <v>4</v>
      </c>
      <c r="BO135" s="148">
        <v>6</v>
      </c>
      <c r="BP135" s="148">
        <v>8</v>
      </c>
      <c r="BQ135" s="148">
        <v>4</v>
      </c>
      <c r="BR135" s="148">
        <v>39</v>
      </c>
      <c r="BS135" s="149">
        <v>17</v>
      </c>
      <c r="BT135" s="148">
        <v>16</v>
      </c>
      <c r="BU135" s="148">
        <v>14</v>
      </c>
      <c r="BV135" s="148">
        <v>6</v>
      </c>
      <c r="BW135" s="148">
        <v>70</v>
      </c>
      <c r="BX135" s="148">
        <v>123</v>
      </c>
      <c r="BY135" s="149">
        <v>12</v>
      </c>
      <c r="BZ135" s="148">
        <v>8</v>
      </c>
      <c r="CA135" s="148">
        <v>17</v>
      </c>
      <c r="CB135" s="148">
        <v>37</v>
      </c>
      <c r="CC135" s="149">
        <v>14</v>
      </c>
      <c r="CD135" s="148">
        <v>14</v>
      </c>
      <c r="CE135" s="149">
        <v>6846</v>
      </c>
    </row>
    <row r="136" spans="1:83" ht="15" thickBot="1">
      <c r="A136" s="137">
        <v>10</v>
      </c>
      <c r="B136" s="123" t="s">
        <v>196</v>
      </c>
      <c r="C136" s="124">
        <v>1838</v>
      </c>
      <c r="D136" s="124">
        <v>1776</v>
      </c>
      <c r="E136" s="124">
        <v>1157</v>
      </c>
      <c r="F136" s="124">
        <v>0</v>
      </c>
      <c r="G136" s="124">
        <v>28</v>
      </c>
      <c r="H136" s="125">
        <v>4799</v>
      </c>
      <c r="I136" s="124">
        <v>337</v>
      </c>
      <c r="J136" s="124">
        <v>25</v>
      </c>
      <c r="K136" s="124">
        <v>9</v>
      </c>
      <c r="L136" s="124">
        <v>27</v>
      </c>
      <c r="M136" s="125">
        <v>398</v>
      </c>
      <c r="N136" s="124">
        <v>142</v>
      </c>
      <c r="O136" s="124">
        <v>34</v>
      </c>
      <c r="P136" s="124">
        <v>9</v>
      </c>
      <c r="Q136" s="124">
        <v>25</v>
      </c>
      <c r="R136" s="125">
        <v>210</v>
      </c>
      <c r="S136" s="124">
        <v>47</v>
      </c>
      <c r="T136" s="125">
        <v>47</v>
      </c>
      <c r="U136" s="124">
        <v>11</v>
      </c>
      <c r="V136" s="124">
        <v>6</v>
      </c>
      <c r="W136" s="124">
        <v>17</v>
      </c>
      <c r="X136" s="124">
        <v>3</v>
      </c>
      <c r="Y136" s="125">
        <v>37</v>
      </c>
      <c r="Z136" s="124">
        <v>372</v>
      </c>
      <c r="AA136" s="124">
        <v>61</v>
      </c>
      <c r="AB136" s="124">
        <v>18</v>
      </c>
      <c r="AC136" s="125">
        <v>451</v>
      </c>
      <c r="AD136" s="124">
        <v>202</v>
      </c>
      <c r="AE136" s="125">
        <v>9</v>
      </c>
      <c r="AF136" s="124">
        <v>211</v>
      </c>
      <c r="AG136" s="124">
        <v>104</v>
      </c>
      <c r="AH136" s="124">
        <v>47</v>
      </c>
      <c r="AI136" s="125">
        <v>38</v>
      </c>
      <c r="AJ136" s="125">
        <v>189</v>
      </c>
      <c r="AK136" s="125">
        <v>6342</v>
      </c>
      <c r="AL136" s="124">
        <v>15</v>
      </c>
      <c r="AM136" s="124">
        <v>23</v>
      </c>
      <c r="AN136" s="124">
        <v>13</v>
      </c>
      <c r="AO136" s="124">
        <v>9</v>
      </c>
      <c r="AP136" s="124">
        <v>19</v>
      </c>
      <c r="AQ136" s="125">
        <v>79</v>
      </c>
      <c r="AR136" s="124">
        <v>18</v>
      </c>
      <c r="AS136" s="124">
        <v>14</v>
      </c>
      <c r="AT136" s="124">
        <v>23</v>
      </c>
      <c r="AU136" s="125">
        <v>55</v>
      </c>
      <c r="AV136" s="124">
        <v>25</v>
      </c>
      <c r="AW136" s="125">
        <v>25</v>
      </c>
      <c r="AX136" s="124">
        <v>159</v>
      </c>
      <c r="AY136" s="124">
        <v>9</v>
      </c>
      <c r="AZ136" s="124">
        <v>20</v>
      </c>
      <c r="BA136" s="124">
        <v>12</v>
      </c>
      <c r="BB136" s="124">
        <v>16</v>
      </c>
      <c r="BC136" s="124">
        <v>8</v>
      </c>
      <c r="BD136" s="124">
        <v>10</v>
      </c>
      <c r="BE136" s="124">
        <v>9</v>
      </c>
      <c r="BF136" s="124">
        <v>15</v>
      </c>
      <c r="BG136" s="124">
        <v>12</v>
      </c>
      <c r="BH136" s="125">
        <v>111</v>
      </c>
      <c r="BI136" s="125">
        <v>111</v>
      </c>
      <c r="BJ136" s="125">
        <v>14</v>
      </c>
      <c r="BK136" s="124">
        <v>47</v>
      </c>
      <c r="BL136" s="124">
        <v>61</v>
      </c>
      <c r="BM136" s="125">
        <v>18</v>
      </c>
      <c r="BN136" s="124">
        <v>5</v>
      </c>
      <c r="BO136" s="124">
        <v>7</v>
      </c>
      <c r="BP136" s="124">
        <v>8</v>
      </c>
      <c r="BQ136" s="124">
        <v>6</v>
      </c>
      <c r="BR136" s="124">
        <v>44</v>
      </c>
      <c r="BS136" s="125">
        <v>18</v>
      </c>
      <c r="BT136" s="124">
        <v>17</v>
      </c>
      <c r="BU136" s="124">
        <v>14</v>
      </c>
      <c r="BV136" s="124">
        <v>7</v>
      </c>
      <c r="BW136" s="124">
        <v>70</v>
      </c>
      <c r="BX136" s="124">
        <v>126</v>
      </c>
      <c r="BY136" s="125">
        <v>12</v>
      </c>
      <c r="BZ136" s="124">
        <v>9</v>
      </c>
      <c r="CA136" s="124">
        <v>18</v>
      </c>
      <c r="CB136" s="124">
        <v>39</v>
      </c>
      <c r="CC136" s="125">
        <v>15</v>
      </c>
      <c r="CD136" s="124">
        <v>15</v>
      </c>
      <c r="CE136" s="125">
        <v>6897</v>
      </c>
    </row>
    <row r="137" spans="1:83">
      <c r="A137" s="150"/>
      <c r="B137" s="151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  <c r="BB137" s="152"/>
      <c r="BC137" s="152"/>
      <c r="BD137" s="152"/>
      <c r="BE137" s="152"/>
      <c r="BF137" s="152"/>
      <c r="BG137" s="152"/>
      <c r="BH137" s="152"/>
      <c r="BI137" s="152"/>
      <c r="BJ137" s="152"/>
      <c r="BK137" s="152"/>
      <c r="BL137" s="152"/>
      <c r="BM137" s="152"/>
      <c r="BN137" s="152"/>
      <c r="BO137" s="152"/>
      <c r="BP137" s="152"/>
      <c r="BQ137" s="152"/>
      <c r="BR137" s="152"/>
      <c r="BS137" s="152"/>
      <c r="BT137" s="152"/>
      <c r="BU137" s="152"/>
      <c r="BV137" s="152"/>
      <c r="BW137" s="152"/>
      <c r="BX137" s="152"/>
      <c r="BY137" s="152"/>
      <c r="BZ137" s="152"/>
      <c r="CA137" s="152"/>
      <c r="CB137" s="152"/>
      <c r="CC137" s="152"/>
      <c r="CD137" s="152"/>
      <c r="CE137" s="152"/>
    </row>
    <row r="138" spans="1:83" ht="21.5" thickBot="1">
      <c r="A138" s="153">
        <v>11</v>
      </c>
      <c r="B138" s="110" t="s">
        <v>3</v>
      </c>
      <c r="C138" s="129"/>
      <c r="D138" s="129"/>
      <c r="E138" s="129"/>
      <c r="F138" s="129"/>
      <c r="G138" s="129"/>
      <c r="H138" s="130"/>
      <c r="I138" s="129"/>
      <c r="J138" s="129"/>
      <c r="K138" s="129"/>
      <c r="L138" s="129"/>
      <c r="M138" s="130"/>
      <c r="N138" s="129"/>
      <c r="O138" s="129"/>
      <c r="P138" s="129"/>
      <c r="Q138" s="129"/>
      <c r="R138" s="130"/>
      <c r="S138" s="129"/>
      <c r="T138" s="130"/>
      <c r="U138" s="129"/>
      <c r="V138" s="129"/>
      <c r="W138" s="129"/>
      <c r="X138" s="129"/>
      <c r="Y138" s="130"/>
      <c r="Z138" s="129"/>
      <c r="AA138" s="129"/>
      <c r="AB138" s="129"/>
      <c r="AC138" s="130"/>
      <c r="AD138" s="129"/>
      <c r="AE138" s="130"/>
      <c r="AF138" s="129"/>
      <c r="AG138" s="129"/>
      <c r="AH138" s="129"/>
      <c r="AI138" s="130"/>
      <c r="AJ138" s="130"/>
      <c r="AK138" s="130"/>
      <c r="AL138" s="129"/>
      <c r="AM138" s="129"/>
      <c r="AN138" s="129"/>
      <c r="AO138" s="129"/>
      <c r="AP138" s="129"/>
      <c r="AQ138" s="130"/>
      <c r="AR138" s="129"/>
      <c r="AS138" s="129"/>
      <c r="AT138" s="129"/>
      <c r="AU138" s="130"/>
      <c r="AV138" s="129"/>
      <c r="AW138" s="130"/>
      <c r="AX138" s="129"/>
      <c r="AY138" s="129"/>
      <c r="AZ138" s="129"/>
      <c r="BA138" s="129"/>
      <c r="BB138" s="129"/>
      <c r="BC138" s="129"/>
      <c r="BD138" s="129"/>
      <c r="BE138" s="129"/>
      <c r="BF138" s="129"/>
      <c r="BG138" s="129"/>
      <c r="BH138" s="130"/>
      <c r="BI138" s="130"/>
      <c r="BJ138" s="130"/>
      <c r="BK138" s="129"/>
      <c r="BL138" s="129"/>
      <c r="BM138" s="130"/>
      <c r="BN138" s="129"/>
      <c r="BO138" s="129"/>
      <c r="BP138" s="129"/>
      <c r="BQ138" s="129"/>
      <c r="BR138" s="129"/>
      <c r="BS138" s="130"/>
      <c r="BT138" s="129"/>
      <c r="BU138" s="129"/>
      <c r="BV138" s="129"/>
      <c r="BW138" s="129"/>
      <c r="BX138" s="129"/>
      <c r="BY138" s="130"/>
      <c r="BZ138" s="129"/>
      <c r="CA138" s="129"/>
      <c r="CB138" s="129"/>
      <c r="CC138" s="130"/>
      <c r="CD138" s="129"/>
      <c r="CE138" s="130"/>
    </row>
    <row r="139" spans="1:83">
      <c r="A139" s="137">
        <v>11</v>
      </c>
      <c r="B139" s="138" t="s">
        <v>194</v>
      </c>
      <c r="C139" s="139">
        <v>2</v>
      </c>
      <c r="D139" s="139">
        <v>0</v>
      </c>
      <c r="E139" s="139">
        <v>0</v>
      </c>
      <c r="F139" s="139">
        <v>0</v>
      </c>
      <c r="G139" s="139">
        <v>0</v>
      </c>
      <c r="H139" s="140">
        <v>2</v>
      </c>
      <c r="I139" s="139">
        <v>1</v>
      </c>
      <c r="J139" s="139">
        <v>0</v>
      </c>
      <c r="K139" s="139">
        <v>0</v>
      </c>
      <c r="L139" s="139">
        <v>0</v>
      </c>
      <c r="M139" s="140">
        <v>1</v>
      </c>
      <c r="N139" s="139">
        <v>1</v>
      </c>
      <c r="O139" s="139">
        <v>2</v>
      </c>
      <c r="P139" s="139">
        <v>0</v>
      </c>
      <c r="Q139" s="139">
        <v>0</v>
      </c>
      <c r="R139" s="140">
        <v>3</v>
      </c>
      <c r="S139" s="139">
        <v>2</v>
      </c>
      <c r="T139" s="140">
        <v>2</v>
      </c>
      <c r="U139" s="139">
        <v>1</v>
      </c>
      <c r="V139" s="139">
        <v>0</v>
      </c>
      <c r="W139" s="139">
        <v>0</v>
      </c>
      <c r="X139" s="139">
        <v>0</v>
      </c>
      <c r="Y139" s="140">
        <v>1</v>
      </c>
      <c r="Z139" s="139">
        <v>0</v>
      </c>
      <c r="AA139" s="139">
        <v>0</v>
      </c>
      <c r="AB139" s="139">
        <v>1</v>
      </c>
      <c r="AC139" s="140">
        <v>1</v>
      </c>
      <c r="AD139" s="139">
        <v>2</v>
      </c>
      <c r="AE139" s="140">
        <v>0</v>
      </c>
      <c r="AF139" s="139">
        <v>2</v>
      </c>
      <c r="AG139" s="139">
        <v>0</v>
      </c>
      <c r="AH139" s="139">
        <v>0</v>
      </c>
      <c r="AI139" s="140">
        <v>2</v>
      </c>
      <c r="AJ139" s="140">
        <v>2</v>
      </c>
      <c r="AK139" s="140">
        <v>14</v>
      </c>
      <c r="AL139" s="139">
        <v>0</v>
      </c>
      <c r="AM139" s="139">
        <v>2</v>
      </c>
      <c r="AN139" s="139">
        <v>0</v>
      </c>
      <c r="AO139" s="139">
        <v>0</v>
      </c>
      <c r="AP139" s="139">
        <v>1</v>
      </c>
      <c r="AQ139" s="140">
        <v>3</v>
      </c>
      <c r="AR139" s="139">
        <v>1</v>
      </c>
      <c r="AS139" s="139">
        <v>1</v>
      </c>
      <c r="AT139" s="139">
        <v>0</v>
      </c>
      <c r="AU139" s="140">
        <v>2</v>
      </c>
      <c r="AV139" s="139">
        <v>2</v>
      </c>
      <c r="AW139" s="140">
        <v>2</v>
      </c>
      <c r="AX139" s="139">
        <v>7</v>
      </c>
      <c r="AY139" s="139">
        <v>0</v>
      </c>
      <c r="AZ139" s="139">
        <v>11</v>
      </c>
      <c r="BA139" s="139">
        <v>1</v>
      </c>
      <c r="BB139" s="139">
        <v>1</v>
      </c>
      <c r="BC139" s="139">
        <v>1</v>
      </c>
      <c r="BD139" s="139">
        <v>0</v>
      </c>
      <c r="BE139" s="139">
        <v>1</v>
      </c>
      <c r="BF139" s="139">
        <v>2</v>
      </c>
      <c r="BG139" s="139">
        <v>0</v>
      </c>
      <c r="BH139" s="140">
        <v>17</v>
      </c>
      <c r="BI139" s="140">
        <v>17</v>
      </c>
      <c r="BJ139" s="140">
        <v>2</v>
      </c>
      <c r="BK139" s="139">
        <v>0</v>
      </c>
      <c r="BL139" s="139">
        <v>2</v>
      </c>
      <c r="BM139" s="140">
        <v>1</v>
      </c>
      <c r="BN139" s="139">
        <v>1</v>
      </c>
      <c r="BO139" s="139">
        <v>1</v>
      </c>
      <c r="BP139" s="139">
        <v>0</v>
      </c>
      <c r="BQ139" s="139">
        <v>2</v>
      </c>
      <c r="BR139" s="139">
        <v>5</v>
      </c>
      <c r="BS139" s="140">
        <v>1</v>
      </c>
      <c r="BT139" s="139">
        <v>1</v>
      </c>
      <c r="BU139" s="139">
        <v>0</v>
      </c>
      <c r="BV139" s="139">
        <v>1</v>
      </c>
      <c r="BW139" s="139">
        <v>0</v>
      </c>
      <c r="BX139" s="139">
        <v>3</v>
      </c>
      <c r="BY139" s="140">
        <v>0</v>
      </c>
      <c r="BZ139" s="139">
        <v>1</v>
      </c>
      <c r="CA139" s="139">
        <v>1</v>
      </c>
      <c r="CB139" s="139">
        <v>2</v>
      </c>
      <c r="CC139" s="140">
        <v>1</v>
      </c>
      <c r="CD139" s="139">
        <v>1</v>
      </c>
      <c r="CE139" s="140">
        <v>51</v>
      </c>
    </row>
    <row r="140" spans="1:83">
      <c r="A140" s="137">
        <v>11</v>
      </c>
      <c r="B140" s="141" t="s">
        <v>139</v>
      </c>
      <c r="C140" s="142">
        <v>85</v>
      </c>
      <c r="D140" s="142">
        <v>116</v>
      </c>
      <c r="E140" s="142">
        <v>90</v>
      </c>
      <c r="F140" s="142">
        <v>0</v>
      </c>
      <c r="G140" s="142">
        <v>21</v>
      </c>
      <c r="H140" s="143">
        <v>312</v>
      </c>
      <c r="I140" s="142">
        <v>22</v>
      </c>
      <c r="J140" s="142">
        <v>14</v>
      </c>
      <c r="K140" s="142">
        <v>6</v>
      </c>
      <c r="L140" s="142">
        <v>10</v>
      </c>
      <c r="M140" s="143">
        <v>52</v>
      </c>
      <c r="N140" s="142">
        <v>16</v>
      </c>
      <c r="O140" s="142">
        <v>23</v>
      </c>
      <c r="P140" s="142">
        <v>9</v>
      </c>
      <c r="Q140" s="142">
        <v>12</v>
      </c>
      <c r="R140" s="143">
        <v>60</v>
      </c>
      <c r="S140" s="142">
        <v>15</v>
      </c>
      <c r="T140" s="143">
        <v>15</v>
      </c>
      <c r="U140" s="142">
        <v>10</v>
      </c>
      <c r="V140" s="142">
        <v>6</v>
      </c>
      <c r="W140" s="142">
        <v>16</v>
      </c>
      <c r="X140" s="142">
        <v>3</v>
      </c>
      <c r="Y140" s="143">
        <v>35</v>
      </c>
      <c r="Z140" s="142">
        <v>38</v>
      </c>
      <c r="AA140" s="142">
        <v>11</v>
      </c>
      <c r="AB140" s="142">
        <v>12</v>
      </c>
      <c r="AC140" s="143">
        <v>61</v>
      </c>
      <c r="AD140" s="142">
        <v>103</v>
      </c>
      <c r="AE140" s="143">
        <v>7</v>
      </c>
      <c r="AF140" s="142">
        <v>110</v>
      </c>
      <c r="AG140" s="142">
        <v>25</v>
      </c>
      <c r="AH140" s="142">
        <v>23</v>
      </c>
      <c r="AI140" s="143">
        <v>32</v>
      </c>
      <c r="AJ140" s="143">
        <v>80</v>
      </c>
      <c r="AK140" s="143">
        <v>725</v>
      </c>
      <c r="AL140" s="142">
        <v>15</v>
      </c>
      <c r="AM140" s="142">
        <v>21</v>
      </c>
      <c r="AN140" s="142">
        <v>13</v>
      </c>
      <c r="AO140" s="142">
        <v>9</v>
      </c>
      <c r="AP140" s="142">
        <v>18</v>
      </c>
      <c r="AQ140" s="143">
        <v>76</v>
      </c>
      <c r="AR140" s="142">
        <v>17</v>
      </c>
      <c r="AS140" s="142">
        <v>13</v>
      </c>
      <c r="AT140" s="142">
        <v>23</v>
      </c>
      <c r="AU140" s="143">
        <v>53</v>
      </c>
      <c r="AV140" s="142">
        <v>23</v>
      </c>
      <c r="AW140" s="143">
        <v>23</v>
      </c>
      <c r="AX140" s="142">
        <v>152</v>
      </c>
      <c r="AY140" s="142">
        <v>9</v>
      </c>
      <c r="AZ140" s="142">
        <v>9</v>
      </c>
      <c r="BA140" s="142">
        <v>11</v>
      </c>
      <c r="BB140" s="142">
        <v>15</v>
      </c>
      <c r="BC140" s="142">
        <v>7</v>
      </c>
      <c r="BD140" s="142">
        <v>10</v>
      </c>
      <c r="BE140" s="142">
        <v>8</v>
      </c>
      <c r="BF140" s="142">
        <v>13</v>
      </c>
      <c r="BG140" s="142">
        <v>12</v>
      </c>
      <c r="BH140" s="143">
        <v>94</v>
      </c>
      <c r="BI140" s="143">
        <v>94</v>
      </c>
      <c r="BJ140" s="143">
        <v>11</v>
      </c>
      <c r="BK140" s="142">
        <v>14</v>
      </c>
      <c r="BL140" s="142">
        <v>25</v>
      </c>
      <c r="BM140" s="143">
        <v>17</v>
      </c>
      <c r="BN140" s="142">
        <v>4</v>
      </c>
      <c r="BO140" s="142">
        <v>6</v>
      </c>
      <c r="BP140" s="142">
        <v>8</v>
      </c>
      <c r="BQ140" s="142">
        <v>4</v>
      </c>
      <c r="BR140" s="142">
        <v>39</v>
      </c>
      <c r="BS140" s="143">
        <v>11</v>
      </c>
      <c r="BT140" s="142">
        <v>16</v>
      </c>
      <c r="BU140" s="142">
        <v>11</v>
      </c>
      <c r="BV140" s="142">
        <v>6</v>
      </c>
      <c r="BW140" s="142">
        <v>3</v>
      </c>
      <c r="BX140" s="142">
        <v>47</v>
      </c>
      <c r="BY140" s="143">
        <v>12</v>
      </c>
      <c r="BZ140" s="142">
        <v>8</v>
      </c>
      <c r="CA140" s="142">
        <v>17</v>
      </c>
      <c r="CB140" s="142">
        <v>37</v>
      </c>
      <c r="CC140" s="143">
        <v>14</v>
      </c>
      <c r="CD140" s="142">
        <v>14</v>
      </c>
      <c r="CE140" s="143">
        <v>1133</v>
      </c>
    </row>
    <row r="141" spans="1:83">
      <c r="A141" s="137">
        <v>11</v>
      </c>
      <c r="B141" s="144" t="s">
        <v>140</v>
      </c>
      <c r="C141" s="145">
        <v>1757</v>
      </c>
      <c r="D141" s="145">
        <v>1761</v>
      </c>
      <c r="E141" s="145">
        <v>1068</v>
      </c>
      <c r="F141" s="145">
        <v>0</v>
      </c>
      <c r="G141" s="145">
        <v>7</v>
      </c>
      <c r="H141" s="146">
        <v>4593</v>
      </c>
      <c r="I141" s="145">
        <v>314</v>
      </c>
      <c r="J141" s="145">
        <v>11</v>
      </c>
      <c r="K141" s="145">
        <v>3</v>
      </c>
      <c r="L141" s="145">
        <v>17</v>
      </c>
      <c r="M141" s="146">
        <v>345</v>
      </c>
      <c r="N141" s="145">
        <v>125</v>
      </c>
      <c r="O141" s="145">
        <v>9</v>
      </c>
      <c r="P141" s="145">
        <v>0</v>
      </c>
      <c r="Q141" s="145">
        <v>13</v>
      </c>
      <c r="R141" s="146">
        <v>147</v>
      </c>
      <c r="S141" s="145">
        <v>30</v>
      </c>
      <c r="T141" s="146">
        <v>30</v>
      </c>
      <c r="U141" s="145">
        <v>0</v>
      </c>
      <c r="V141" s="145">
        <v>0</v>
      </c>
      <c r="W141" s="145">
        <v>1</v>
      </c>
      <c r="X141" s="145">
        <v>0</v>
      </c>
      <c r="Y141" s="146">
        <v>1</v>
      </c>
      <c r="Z141" s="145">
        <v>332</v>
      </c>
      <c r="AA141" s="145">
        <v>50</v>
      </c>
      <c r="AB141" s="145">
        <v>5</v>
      </c>
      <c r="AC141" s="146">
        <v>387</v>
      </c>
      <c r="AD141" s="145">
        <v>97</v>
      </c>
      <c r="AE141" s="146">
        <v>2</v>
      </c>
      <c r="AF141" s="145">
        <v>99</v>
      </c>
      <c r="AG141" s="145">
        <v>79</v>
      </c>
      <c r="AH141" s="145">
        <v>24</v>
      </c>
      <c r="AI141" s="146">
        <v>4</v>
      </c>
      <c r="AJ141" s="146">
        <v>107</v>
      </c>
      <c r="AK141" s="146">
        <v>5709</v>
      </c>
      <c r="AL141" s="145">
        <v>0</v>
      </c>
      <c r="AM141" s="145">
        <v>0</v>
      </c>
      <c r="AN141" s="145">
        <v>0</v>
      </c>
      <c r="AO141" s="145">
        <v>0</v>
      </c>
      <c r="AP141" s="145">
        <v>0</v>
      </c>
      <c r="AQ141" s="146">
        <v>0</v>
      </c>
      <c r="AR141" s="145">
        <v>0</v>
      </c>
      <c r="AS141" s="145">
        <v>0</v>
      </c>
      <c r="AT141" s="145">
        <v>0</v>
      </c>
      <c r="AU141" s="146">
        <v>0</v>
      </c>
      <c r="AV141" s="145">
        <v>0</v>
      </c>
      <c r="AW141" s="146">
        <v>0</v>
      </c>
      <c r="AX141" s="145">
        <v>0</v>
      </c>
      <c r="AY141" s="145">
        <v>0</v>
      </c>
      <c r="AZ141" s="145">
        <v>0</v>
      </c>
      <c r="BA141" s="145">
        <v>0</v>
      </c>
      <c r="BB141" s="145">
        <v>0</v>
      </c>
      <c r="BC141" s="145">
        <v>0</v>
      </c>
      <c r="BD141" s="145">
        <v>0</v>
      </c>
      <c r="BE141" s="145">
        <v>0</v>
      </c>
      <c r="BF141" s="145">
        <v>0</v>
      </c>
      <c r="BG141" s="145">
        <v>0</v>
      </c>
      <c r="BH141" s="146">
        <v>0</v>
      </c>
      <c r="BI141" s="146">
        <v>0</v>
      </c>
      <c r="BJ141" s="146">
        <v>1</v>
      </c>
      <c r="BK141" s="145">
        <v>33</v>
      </c>
      <c r="BL141" s="145">
        <v>34</v>
      </c>
      <c r="BM141" s="146">
        <v>0</v>
      </c>
      <c r="BN141" s="145">
        <v>0</v>
      </c>
      <c r="BO141" s="145">
        <v>0</v>
      </c>
      <c r="BP141" s="145">
        <v>0</v>
      </c>
      <c r="BQ141" s="145">
        <v>0</v>
      </c>
      <c r="BR141" s="145">
        <v>0</v>
      </c>
      <c r="BS141" s="146">
        <v>6</v>
      </c>
      <c r="BT141" s="145">
        <v>0</v>
      </c>
      <c r="BU141" s="145">
        <v>3</v>
      </c>
      <c r="BV141" s="145">
        <v>0</v>
      </c>
      <c r="BW141" s="145">
        <v>67</v>
      </c>
      <c r="BX141" s="145">
        <v>76</v>
      </c>
      <c r="BY141" s="146">
        <v>0</v>
      </c>
      <c r="BZ141" s="145">
        <v>0</v>
      </c>
      <c r="CA141" s="145">
        <v>0</v>
      </c>
      <c r="CB141" s="145">
        <v>0</v>
      </c>
      <c r="CC141" s="146">
        <v>0</v>
      </c>
      <c r="CD141" s="145">
        <v>0</v>
      </c>
      <c r="CE141" s="146">
        <v>5819</v>
      </c>
    </row>
    <row r="142" spans="1:83">
      <c r="A142" s="137">
        <v>11</v>
      </c>
      <c r="B142" s="147" t="s">
        <v>195</v>
      </c>
      <c r="C142" s="148">
        <v>1842</v>
      </c>
      <c r="D142" s="148">
        <v>1877</v>
      </c>
      <c r="E142" s="148">
        <v>1158</v>
      </c>
      <c r="F142" s="148">
        <v>0</v>
      </c>
      <c r="G142" s="148">
        <v>28</v>
      </c>
      <c r="H142" s="149">
        <v>4905</v>
      </c>
      <c r="I142" s="148">
        <v>336</v>
      </c>
      <c r="J142" s="148">
        <v>25</v>
      </c>
      <c r="K142" s="148">
        <v>9</v>
      </c>
      <c r="L142" s="148">
        <v>27</v>
      </c>
      <c r="M142" s="149">
        <v>397</v>
      </c>
      <c r="N142" s="148">
        <v>141</v>
      </c>
      <c r="O142" s="148">
        <v>32</v>
      </c>
      <c r="P142" s="148">
        <v>9</v>
      </c>
      <c r="Q142" s="148">
        <v>25</v>
      </c>
      <c r="R142" s="149">
        <v>207</v>
      </c>
      <c r="S142" s="148">
        <v>45</v>
      </c>
      <c r="T142" s="149">
        <v>45</v>
      </c>
      <c r="U142" s="148">
        <v>10</v>
      </c>
      <c r="V142" s="148">
        <v>6</v>
      </c>
      <c r="W142" s="148">
        <v>17</v>
      </c>
      <c r="X142" s="148">
        <v>3</v>
      </c>
      <c r="Y142" s="149">
        <v>36</v>
      </c>
      <c r="Z142" s="148">
        <v>370</v>
      </c>
      <c r="AA142" s="148">
        <v>61</v>
      </c>
      <c r="AB142" s="148">
        <v>17</v>
      </c>
      <c r="AC142" s="149">
        <v>448</v>
      </c>
      <c r="AD142" s="148">
        <v>200</v>
      </c>
      <c r="AE142" s="149">
        <v>9</v>
      </c>
      <c r="AF142" s="148">
        <v>209</v>
      </c>
      <c r="AG142" s="148">
        <v>104</v>
      </c>
      <c r="AH142" s="148">
        <v>47</v>
      </c>
      <c r="AI142" s="149">
        <v>36</v>
      </c>
      <c r="AJ142" s="149">
        <v>187</v>
      </c>
      <c r="AK142" s="149">
        <v>6434</v>
      </c>
      <c r="AL142" s="148">
        <v>15</v>
      </c>
      <c r="AM142" s="148">
        <v>21</v>
      </c>
      <c r="AN142" s="148">
        <v>13</v>
      </c>
      <c r="AO142" s="148">
        <v>9</v>
      </c>
      <c r="AP142" s="148">
        <v>18</v>
      </c>
      <c r="AQ142" s="149">
        <v>76</v>
      </c>
      <c r="AR142" s="148">
        <v>17</v>
      </c>
      <c r="AS142" s="148">
        <v>13</v>
      </c>
      <c r="AT142" s="148">
        <v>23</v>
      </c>
      <c r="AU142" s="149">
        <v>53</v>
      </c>
      <c r="AV142" s="148">
        <v>23</v>
      </c>
      <c r="AW142" s="149">
        <v>23</v>
      </c>
      <c r="AX142" s="148">
        <v>152</v>
      </c>
      <c r="AY142" s="148">
        <v>9</v>
      </c>
      <c r="AZ142" s="148">
        <v>9</v>
      </c>
      <c r="BA142" s="148">
        <v>11</v>
      </c>
      <c r="BB142" s="148">
        <v>15</v>
      </c>
      <c r="BC142" s="148">
        <v>7</v>
      </c>
      <c r="BD142" s="148">
        <v>10</v>
      </c>
      <c r="BE142" s="148">
        <v>8</v>
      </c>
      <c r="BF142" s="148">
        <v>13</v>
      </c>
      <c r="BG142" s="148">
        <v>12</v>
      </c>
      <c r="BH142" s="149">
        <v>94</v>
      </c>
      <c r="BI142" s="149">
        <v>94</v>
      </c>
      <c r="BJ142" s="149">
        <v>12</v>
      </c>
      <c r="BK142" s="148">
        <v>47</v>
      </c>
      <c r="BL142" s="148">
        <v>59</v>
      </c>
      <c r="BM142" s="149">
        <v>17</v>
      </c>
      <c r="BN142" s="148">
        <v>4</v>
      </c>
      <c r="BO142" s="148">
        <v>6</v>
      </c>
      <c r="BP142" s="148">
        <v>8</v>
      </c>
      <c r="BQ142" s="148">
        <v>4</v>
      </c>
      <c r="BR142" s="148">
        <v>39</v>
      </c>
      <c r="BS142" s="149">
        <v>17</v>
      </c>
      <c r="BT142" s="148">
        <v>16</v>
      </c>
      <c r="BU142" s="148">
        <v>14</v>
      </c>
      <c r="BV142" s="148">
        <v>6</v>
      </c>
      <c r="BW142" s="148">
        <v>70</v>
      </c>
      <c r="BX142" s="148">
        <v>123</v>
      </c>
      <c r="BY142" s="149">
        <v>12</v>
      </c>
      <c r="BZ142" s="148">
        <v>8</v>
      </c>
      <c r="CA142" s="148">
        <v>17</v>
      </c>
      <c r="CB142" s="148">
        <v>37</v>
      </c>
      <c r="CC142" s="149">
        <v>14</v>
      </c>
      <c r="CD142" s="148">
        <v>14</v>
      </c>
      <c r="CE142" s="149">
        <v>6952</v>
      </c>
    </row>
    <row r="143" spans="1:83" ht="15" thickBot="1">
      <c r="A143" s="137">
        <v>11</v>
      </c>
      <c r="B143" s="123" t="s">
        <v>196</v>
      </c>
      <c r="C143" s="124">
        <v>1844</v>
      </c>
      <c r="D143" s="124">
        <v>1877</v>
      </c>
      <c r="E143" s="124">
        <v>1158</v>
      </c>
      <c r="F143" s="124">
        <v>0</v>
      </c>
      <c r="G143" s="124">
        <v>28</v>
      </c>
      <c r="H143" s="125">
        <v>4907</v>
      </c>
      <c r="I143" s="124">
        <v>337</v>
      </c>
      <c r="J143" s="124">
        <v>25</v>
      </c>
      <c r="K143" s="124">
        <v>9</v>
      </c>
      <c r="L143" s="124">
        <v>27</v>
      </c>
      <c r="M143" s="125">
        <v>398</v>
      </c>
      <c r="N143" s="124">
        <v>142</v>
      </c>
      <c r="O143" s="124">
        <v>34</v>
      </c>
      <c r="P143" s="124">
        <v>9</v>
      </c>
      <c r="Q143" s="124">
        <v>25</v>
      </c>
      <c r="R143" s="125">
        <v>210</v>
      </c>
      <c r="S143" s="124">
        <v>47</v>
      </c>
      <c r="T143" s="125">
        <v>47</v>
      </c>
      <c r="U143" s="124">
        <v>11</v>
      </c>
      <c r="V143" s="124">
        <v>6</v>
      </c>
      <c r="W143" s="124">
        <v>17</v>
      </c>
      <c r="X143" s="124">
        <v>3</v>
      </c>
      <c r="Y143" s="125">
        <v>37</v>
      </c>
      <c r="Z143" s="124">
        <v>370</v>
      </c>
      <c r="AA143" s="124">
        <v>61</v>
      </c>
      <c r="AB143" s="124">
        <v>18</v>
      </c>
      <c r="AC143" s="125">
        <v>449</v>
      </c>
      <c r="AD143" s="124">
        <v>202</v>
      </c>
      <c r="AE143" s="125">
        <v>9</v>
      </c>
      <c r="AF143" s="124">
        <v>211</v>
      </c>
      <c r="AG143" s="124">
        <v>104</v>
      </c>
      <c r="AH143" s="124">
        <v>47</v>
      </c>
      <c r="AI143" s="125">
        <v>38</v>
      </c>
      <c r="AJ143" s="125">
        <v>189</v>
      </c>
      <c r="AK143" s="125">
        <v>6448</v>
      </c>
      <c r="AL143" s="124">
        <v>15</v>
      </c>
      <c r="AM143" s="124">
        <v>23</v>
      </c>
      <c r="AN143" s="124">
        <v>13</v>
      </c>
      <c r="AO143" s="124">
        <v>9</v>
      </c>
      <c r="AP143" s="124">
        <v>19</v>
      </c>
      <c r="AQ143" s="125">
        <v>79</v>
      </c>
      <c r="AR143" s="124">
        <v>18</v>
      </c>
      <c r="AS143" s="124">
        <v>14</v>
      </c>
      <c r="AT143" s="124">
        <v>23</v>
      </c>
      <c r="AU143" s="125">
        <v>55</v>
      </c>
      <c r="AV143" s="124">
        <v>25</v>
      </c>
      <c r="AW143" s="125">
        <v>25</v>
      </c>
      <c r="AX143" s="124">
        <v>159</v>
      </c>
      <c r="AY143" s="124">
        <v>9</v>
      </c>
      <c r="AZ143" s="124">
        <v>20</v>
      </c>
      <c r="BA143" s="124">
        <v>12</v>
      </c>
      <c r="BB143" s="124">
        <v>16</v>
      </c>
      <c r="BC143" s="124">
        <v>8</v>
      </c>
      <c r="BD143" s="124">
        <v>10</v>
      </c>
      <c r="BE143" s="124">
        <v>9</v>
      </c>
      <c r="BF143" s="124">
        <v>15</v>
      </c>
      <c r="BG143" s="124">
        <v>12</v>
      </c>
      <c r="BH143" s="125">
        <v>111</v>
      </c>
      <c r="BI143" s="125">
        <v>111</v>
      </c>
      <c r="BJ143" s="125">
        <v>14</v>
      </c>
      <c r="BK143" s="124">
        <v>47</v>
      </c>
      <c r="BL143" s="124">
        <v>61</v>
      </c>
      <c r="BM143" s="125">
        <v>18</v>
      </c>
      <c r="BN143" s="124">
        <v>5</v>
      </c>
      <c r="BO143" s="124">
        <v>7</v>
      </c>
      <c r="BP143" s="124">
        <v>8</v>
      </c>
      <c r="BQ143" s="124">
        <v>6</v>
      </c>
      <c r="BR143" s="124">
        <v>44</v>
      </c>
      <c r="BS143" s="125">
        <v>18</v>
      </c>
      <c r="BT143" s="124">
        <v>17</v>
      </c>
      <c r="BU143" s="124">
        <v>14</v>
      </c>
      <c r="BV143" s="124">
        <v>7</v>
      </c>
      <c r="BW143" s="124">
        <v>70</v>
      </c>
      <c r="BX143" s="124">
        <v>126</v>
      </c>
      <c r="BY143" s="125">
        <v>12</v>
      </c>
      <c r="BZ143" s="124">
        <v>9</v>
      </c>
      <c r="CA143" s="124">
        <v>18</v>
      </c>
      <c r="CB143" s="124">
        <v>39</v>
      </c>
      <c r="CC143" s="125">
        <v>15</v>
      </c>
      <c r="CD143" s="124">
        <v>15</v>
      </c>
      <c r="CE143" s="125">
        <v>7003</v>
      </c>
    </row>
    <row r="144" spans="1:83">
      <c r="A144" s="150"/>
      <c r="B144" s="151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  <c r="AW144" s="152"/>
      <c r="AX144" s="152"/>
      <c r="AY144" s="152"/>
      <c r="AZ144" s="152"/>
      <c r="BA144" s="152"/>
      <c r="BB144" s="152"/>
      <c r="BC144" s="152"/>
      <c r="BD144" s="152"/>
      <c r="BE144" s="152"/>
      <c r="BF144" s="152"/>
      <c r="BG144" s="152"/>
      <c r="BH144" s="152"/>
      <c r="BI144" s="152"/>
      <c r="BJ144" s="152"/>
      <c r="BK144" s="152"/>
      <c r="BL144" s="152"/>
      <c r="BM144" s="152"/>
      <c r="BN144" s="152"/>
      <c r="BO144" s="152"/>
      <c r="BP144" s="152"/>
      <c r="BQ144" s="152"/>
      <c r="BR144" s="152"/>
      <c r="BS144" s="152"/>
      <c r="BT144" s="152"/>
      <c r="BU144" s="152"/>
      <c r="BV144" s="152"/>
      <c r="BW144" s="152"/>
      <c r="BX144" s="152"/>
      <c r="BY144" s="152"/>
      <c r="BZ144" s="152"/>
      <c r="CA144" s="152"/>
      <c r="CB144" s="152"/>
      <c r="CC144" s="152"/>
      <c r="CD144" s="152"/>
      <c r="CE144" s="152"/>
    </row>
    <row r="145" spans="1:83" ht="21.5" thickBot="1">
      <c r="A145" s="153">
        <v>12</v>
      </c>
      <c r="B145" s="110" t="s">
        <v>3</v>
      </c>
      <c r="C145" s="129"/>
      <c r="D145" s="129"/>
      <c r="E145" s="129"/>
      <c r="F145" s="129"/>
      <c r="G145" s="129"/>
      <c r="H145" s="130"/>
      <c r="I145" s="129"/>
      <c r="J145" s="129"/>
      <c r="K145" s="129"/>
      <c r="L145" s="129"/>
      <c r="M145" s="130"/>
      <c r="N145" s="129"/>
      <c r="O145" s="129"/>
      <c r="P145" s="129"/>
      <c r="Q145" s="129"/>
      <c r="R145" s="130"/>
      <c r="S145" s="129"/>
      <c r="T145" s="130"/>
      <c r="U145" s="129"/>
      <c r="V145" s="129"/>
      <c r="W145" s="129"/>
      <c r="X145" s="129"/>
      <c r="Y145" s="130"/>
      <c r="Z145" s="129"/>
      <c r="AA145" s="129"/>
      <c r="AB145" s="129"/>
      <c r="AC145" s="130"/>
      <c r="AD145" s="129"/>
      <c r="AE145" s="130"/>
      <c r="AF145" s="129"/>
      <c r="AG145" s="129"/>
      <c r="AH145" s="129"/>
      <c r="AI145" s="130"/>
      <c r="AJ145" s="130"/>
      <c r="AK145" s="130"/>
      <c r="AL145" s="129"/>
      <c r="AM145" s="129"/>
      <c r="AN145" s="129"/>
      <c r="AO145" s="129"/>
      <c r="AP145" s="129"/>
      <c r="AQ145" s="130"/>
      <c r="AR145" s="129"/>
      <c r="AS145" s="129"/>
      <c r="AT145" s="129"/>
      <c r="AU145" s="130"/>
      <c r="AV145" s="129"/>
      <c r="AW145" s="130"/>
      <c r="AX145" s="129"/>
      <c r="AY145" s="129"/>
      <c r="AZ145" s="129"/>
      <c r="BA145" s="129"/>
      <c r="BB145" s="129"/>
      <c r="BC145" s="129"/>
      <c r="BD145" s="129"/>
      <c r="BE145" s="129"/>
      <c r="BF145" s="129"/>
      <c r="BG145" s="129"/>
      <c r="BH145" s="130"/>
      <c r="BI145" s="130"/>
      <c r="BJ145" s="130"/>
      <c r="BK145" s="129"/>
      <c r="BL145" s="129"/>
      <c r="BM145" s="130"/>
      <c r="BN145" s="129"/>
      <c r="BO145" s="129"/>
      <c r="BP145" s="129"/>
      <c r="BQ145" s="129"/>
      <c r="BR145" s="129"/>
      <c r="BS145" s="130"/>
      <c r="BT145" s="129"/>
      <c r="BU145" s="129"/>
      <c r="BV145" s="129"/>
      <c r="BW145" s="129"/>
      <c r="BX145" s="129"/>
      <c r="BY145" s="130"/>
      <c r="BZ145" s="129"/>
      <c r="CA145" s="129"/>
      <c r="CB145" s="129"/>
      <c r="CC145" s="130"/>
      <c r="CD145" s="129"/>
      <c r="CE145" s="130"/>
    </row>
    <row r="146" spans="1:83">
      <c r="A146" s="137">
        <v>12</v>
      </c>
      <c r="B146" s="138" t="s">
        <v>194</v>
      </c>
      <c r="C146" s="139">
        <v>2</v>
      </c>
      <c r="D146" s="139">
        <v>0</v>
      </c>
      <c r="E146" s="139">
        <v>0</v>
      </c>
      <c r="F146" s="139">
        <v>0</v>
      </c>
      <c r="G146" s="139">
        <v>0</v>
      </c>
      <c r="H146" s="140">
        <v>2</v>
      </c>
      <c r="I146" s="139">
        <v>1</v>
      </c>
      <c r="J146" s="139">
        <v>0</v>
      </c>
      <c r="K146" s="139">
        <v>0</v>
      </c>
      <c r="L146" s="139">
        <v>0</v>
      </c>
      <c r="M146" s="140">
        <v>1</v>
      </c>
      <c r="N146" s="139">
        <v>1</v>
      </c>
      <c r="O146" s="139">
        <v>2</v>
      </c>
      <c r="P146" s="139">
        <v>0</v>
      </c>
      <c r="Q146" s="139">
        <v>0</v>
      </c>
      <c r="R146" s="140">
        <v>3</v>
      </c>
      <c r="S146" s="139">
        <v>2</v>
      </c>
      <c r="T146" s="140">
        <v>2</v>
      </c>
      <c r="U146" s="139">
        <v>1</v>
      </c>
      <c r="V146" s="139">
        <v>0</v>
      </c>
      <c r="W146" s="139">
        <v>0</v>
      </c>
      <c r="X146" s="139">
        <v>0</v>
      </c>
      <c r="Y146" s="140">
        <v>1</v>
      </c>
      <c r="Z146" s="139">
        <v>0</v>
      </c>
      <c r="AA146" s="139">
        <v>0</v>
      </c>
      <c r="AB146" s="139">
        <v>1</v>
      </c>
      <c r="AC146" s="140">
        <v>1</v>
      </c>
      <c r="AD146" s="139">
        <v>2</v>
      </c>
      <c r="AE146" s="140">
        <v>0</v>
      </c>
      <c r="AF146" s="139">
        <v>2</v>
      </c>
      <c r="AG146" s="139">
        <v>0</v>
      </c>
      <c r="AH146" s="139">
        <v>0</v>
      </c>
      <c r="AI146" s="140">
        <v>2</v>
      </c>
      <c r="AJ146" s="140">
        <v>2</v>
      </c>
      <c r="AK146" s="140">
        <v>14</v>
      </c>
      <c r="AL146" s="139">
        <v>0</v>
      </c>
      <c r="AM146" s="139">
        <v>2</v>
      </c>
      <c r="AN146" s="139">
        <v>0</v>
      </c>
      <c r="AO146" s="139">
        <v>0</v>
      </c>
      <c r="AP146" s="139">
        <v>1</v>
      </c>
      <c r="AQ146" s="140">
        <v>3</v>
      </c>
      <c r="AR146" s="139">
        <v>1</v>
      </c>
      <c r="AS146" s="139">
        <v>1</v>
      </c>
      <c r="AT146" s="139">
        <v>0</v>
      </c>
      <c r="AU146" s="140">
        <v>2</v>
      </c>
      <c r="AV146" s="139">
        <v>2</v>
      </c>
      <c r="AW146" s="140">
        <v>2</v>
      </c>
      <c r="AX146" s="139">
        <v>7</v>
      </c>
      <c r="AY146" s="139">
        <v>0</v>
      </c>
      <c r="AZ146" s="139">
        <v>11</v>
      </c>
      <c r="BA146" s="139">
        <v>1</v>
      </c>
      <c r="BB146" s="139">
        <v>1</v>
      </c>
      <c r="BC146" s="139">
        <v>1</v>
      </c>
      <c r="BD146" s="139">
        <v>0</v>
      </c>
      <c r="BE146" s="139">
        <v>1</v>
      </c>
      <c r="BF146" s="139">
        <v>2</v>
      </c>
      <c r="BG146" s="139">
        <v>0</v>
      </c>
      <c r="BH146" s="140">
        <v>17</v>
      </c>
      <c r="BI146" s="140">
        <v>17</v>
      </c>
      <c r="BJ146" s="140">
        <v>2</v>
      </c>
      <c r="BK146" s="139">
        <v>0</v>
      </c>
      <c r="BL146" s="139">
        <v>2</v>
      </c>
      <c r="BM146" s="140">
        <v>1</v>
      </c>
      <c r="BN146" s="139">
        <v>1</v>
      </c>
      <c r="BO146" s="139">
        <v>1</v>
      </c>
      <c r="BP146" s="139">
        <v>0</v>
      </c>
      <c r="BQ146" s="139">
        <v>2</v>
      </c>
      <c r="BR146" s="139">
        <v>5</v>
      </c>
      <c r="BS146" s="140">
        <v>1</v>
      </c>
      <c r="BT146" s="139">
        <v>1</v>
      </c>
      <c r="BU146" s="139">
        <v>0</v>
      </c>
      <c r="BV146" s="139">
        <v>1</v>
      </c>
      <c r="BW146" s="139">
        <v>0</v>
      </c>
      <c r="BX146" s="139">
        <v>3</v>
      </c>
      <c r="BY146" s="140">
        <v>0</v>
      </c>
      <c r="BZ146" s="139">
        <v>1</v>
      </c>
      <c r="CA146" s="139">
        <v>1</v>
      </c>
      <c r="CB146" s="139">
        <v>2</v>
      </c>
      <c r="CC146" s="140">
        <v>1</v>
      </c>
      <c r="CD146" s="139">
        <v>1</v>
      </c>
      <c r="CE146" s="140">
        <v>51</v>
      </c>
    </row>
    <row r="147" spans="1:83">
      <c r="A147" s="137">
        <v>12</v>
      </c>
      <c r="B147" s="141" t="s">
        <v>139</v>
      </c>
      <c r="C147" s="142">
        <v>85</v>
      </c>
      <c r="D147" s="142">
        <v>116</v>
      </c>
      <c r="E147" s="142">
        <v>90</v>
      </c>
      <c r="F147" s="142">
        <v>0</v>
      </c>
      <c r="G147" s="142">
        <v>21</v>
      </c>
      <c r="H147" s="143">
        <v>312</v>
      </c>
      <c r="I147" s="142">
        <v>22</v>
      </c>
      <c r="J147" s="142">
        <v>14</v>
      </c>
      <c r="K147" s="142">
        <v>5</v>
      </c>
      <c r="L147" s="142">
        <v>11</v>
      </c>
      <c r="M147" s="143">
        <v>52</v>
      </c>
      <c r="N147" s="142">
        <v>16</v>
      </c>
      <c r="O147" s="142">
        <v>23</v>
      </c>
      <c r="P147" s="142">
        <v>9</v>
      </c>
      <c r="Q147" s="142">
        <v>12</v>
      </c>
      <c r="R147" s="143">
        <v>60</v>
      </c>
      <c r="S147" s="142">
        <v>15</v>
      </c>
      <c r="T147" s="143">
        <v>15</v>
      </c>
      <c r="U147" s="142">
        <v>10</v>
      </c>
      <c r="V147" s="142">
        <v>6</v>
      </c>
      <c r="W147" s="142">
        <v>16</v>
      </c>
      <c r="X147" s="142">
        <v>3</v>
      </c>
      <c r="Y147" s="143">
        <v>35</v>
      </c>
      <c r="Z147" s="142">
        <v>38</v>
      </c>
      <c r="AA147" s="142">
        <v>11</v>
      </c>
      <c r="AB147" s="142">
        <v>12</v>
      </c>
      <c r="AC147" s="143">
        <v>61</v>
      </c>
      <c r="AD147" s="142">
        <v>103</v>
      </c>
      <c r="AE147" s="143">
        <v>7</v>
      </c>
      <c r="AF147" s="142">
        <v>110</v>
      </c>
      <c r="AG147" s="142">
        <v>25</v>
      </c>
      <c r="AH147" s="142">
        <v>23</v>
      </c>
      <c r="AI147" s="143">
        <v>32</v>
      </c>
      <c r="AJ147" s="143">
        <v>80</v>
      </c>
      <c r="AK147" s="143">
        <v>725</v>
      </c>
      <c r="AL147" s="142">
        <v>15</v>
      </c>
      <c r="AM147" s="142">
        <v>21</v>
      </c>
      <c r="AN147" s="142">
        <v>13</v>
      </c>
      <c r="AO147" s="142">
        <v>9</v>
      </c>
      <c r="AP147" s="142">
        <v>18</v>
      </c>
      <c r="AQ147" s="143">
        <v>76</v>
      </c>
      <c r="AR147" s="142">
        <v>17</v>
      </c>
      <c r="AS147" s="142">
        <v>13</v>
      </c>
      <c r="AT147" s="142">
        <v>23</v>
      </c>
      <c r="AU147" s="143">
        <v>53</v>
      </c>
      <c r="AV147" s="142">
        <v>23</v>
      </c>
      <c r="AW147" s="143">
        <v>23</v>
      </c>
      <c r="AX147" s="142">
        <v>152</v>
      </c>
      <c r="AY147" s="142">
        <v>9</v>
      </c>
      <c r="AZ147" s="142">
        <v>9</v>
      </c>
      <c r="BA147" s="142">
        <v>11</v>
      </c>
      <c r="BB147" s="142">
        <v>15</v>
      </c>
      <c r="BC147" s="142">
        <v>7</v>
      </c>
      <c r="BD147" s="142">
        <v>10</v>
      </c>
      <c r="BE147" s="142">
        <v>8</v>
      </c>
      <c r="BF147" s="142">
        <v>13</v>
      </c>
      <c r="BG147" s="142">
        <v>12</v>
      </c>
      <c r="BH147" s="143">
        <v>94</v>
      </c>
      <c r="BI147" s="143">
        <v>94</v>
      </c>
      <c r="BJ147" s="143">
        <v>11</v>
      </c>
      <c r="BK147" s="142">
        <v>14</v>
      </c>
      <c r="BL147" s="142">
        <v>25</v>
      </c>
      <c r="BM147" s="143">
        <v>17</v>
      </c>
      <c r="BN147" s="142">
        <v>4</v>
      </c>
      <c r="BO147" s="142">
        <v>6</v>
      </c>
      <c r="BP147" s="142">
        <v>8</v>
      </c>
      <c r="BQ147" s="142">
        <v>4</v>
      </c>
      <c r="BR147" s="142">
        <v>39</v>
      </c>
      <c r="BS147" s="143">
        <v>11</v>
      </c>
      <c r="BT147" s="142">
        <v>16</v>
      </c>
      <c r="BU147" s="142">
        <v>11</v>
      </c>
      <c r="BV147" s="142">
        <v>6</v>
      </c>
      <c r="BW147" s="142">
        <v>3</v>
      </c>
      <c r="BX147" s="142">
        <v>47</v>
      </c>
      <c r="BY147" s="143">
        <v>12</v>
      </c>
      <c r="BZ147" s="142">
        <v>8</v>
      </c>
      <c r="CA147" s="142">
        <v>17</v>
      </c>
      <c r="CB147" s="142">
        <v>37</v>
      </c>
      <c r="CC147" s="143">
        <v>14</v>
      </c>
      <c r="CD147" s="142">
        <v>14</v>
      </c>
      <c r="CE147" s="143">
        <v>1133</v>
      </c>
    </row>
    <row r="148" spans="1:83">
      <c r="A148" s="137">
        <v>12</v>
      </c>
      <c r="B148" s="144" t="s">
        <v>140</v>
      </c>
      <c r="C148" s="145">
        <v>1752</v>
      </c>
      <c r="D148" s="145">
        <v>1714</v>
      </c>
      <c r="E148" s="145">
        <v>1061</v>
      </c>
      <c r="F148" s="145">
        <v>0</v>
      </c>
      <c r="G148" s="145">
        <v>7</v>
      </c>
      <c r="H148" s="146">
        <v>4534</v>
      </c>
      <c r="I148" s="145">
        <v>314</v>
      </c>
      <c r="J148" s="145">
        <v>11</v>
      </c>
      <c r="K148" s="145">
        <v>3</v>
      </c>
      <c r="L148" s="145">
        <v>17</v>
      </c>
      <c r="M148" s="146">
        <v>345</v>
      </c>
      <c r="N148" s="145">
        <v>125</v>
      </c>
      <c r="O148" s="145">
        <v>9</v>
      </c>
      <c r="P148" s="145">
        <v>0</v>
      </c>
      <c r="Q148" s="145">
        <v>13</v>
      </c>
      <c r="R148" s="146">
        <v>147</v>
      </c>
      <c r="S148" s="145">
        <v>30</v>
      </c>
      <c r="T148" s="146">
        <v>30</v>
      </c>
      <c r="U148" s="145">
        <v>0</v>
      </c>
      <c r="V148" s="145">
        <v>0</v>
      </c>
      <c r="W148" s="145">
        <v>1</v>
      </c>
      <c r="X148" s="145">
        <v>0</v>
      </c>
      <c r="Y148" s="146">
        <v>1</v>
      </c>
      <c r="Z148" s="145">
        <v>330</v>
      </c>
      <c r="AA148" s="145">
        <v>49</v>
      </c>
      <c r="AB148" s="145">
        <v>5</v>
      </c>
      <c r="AC148" s="146">
        <v>384</v>
      </c>
      <c r="AD148" s="145">
        <v>97</v>
      </c>
      <c r="AE148" s="146">
        <v>2</v>
      </c>
      <c r="AF148" s="145">
        <v>99</v>
      </c>
      <c r="AG148" s="145">
        <v>79</v>
      </c>
      <c r="AH148" s="145">
        <v>24</v>
      </c>
      <c r="AI148" s="146">
        <v>4</v>
      </c>
      <c r="AJ148" s="146">
        <v>107</v>
      </c>
      <c r="AK148" s="146">
        <v>5647</v>
      </c>
      <c r="AL148" s="145">
        <v>0</v>
      </c>
      <c r="AM148" s="145">
        <v>0</v>
      </c>
      <c r="AN148" s="145">
        <v>0</v>
      </c>
      <c r="AO148" s="145">
        <v>0</v>
      </c>
      <c r="AP148" s="145">
        <v>0</v>
      </c>
      <c r="AQ148" s="146">
        <v>0</v>
      </c>
      <c r="AR148" s="145">
        <v>0</v>
      </c>
      <c r="AS148" s="145">
        <v>0</v>
      </c>
      <c r="AT148" s="145">
        <v>0</v>
      </c>
      <c r="AU148" s="146">
        <v>0</v>
      </c>
      <c r="AV148" s="145">
        <v>0</v>
      </c>
      <c r="AW148" s="146">
        <v>0</v>
      </c>
      <c r="AX148" s="145">
        <v>0</v>
      </c>
      <c r="AY148" s="145">
        <v>0</v>
      </c>
      <c r="AZ148" s="145">
        <v>0</v>
      </c>
      <c r="BA148" s="145">
        <v>0</v>
      </c>
      <c r="BB148" s="145">
        <v>0</v>
      </c>
      <c r="BC148" s="145">
        <v>0</v>
      </c>
      <c r="BD148" s="145">
        <v>0</v>
      </c>
      <c r="BE148" s="145">
        <v>0</v>
      </c>
      <c r="BF148" s="145">
        <v>0</v>
      </c>
      <c r="BG148" s="145">
        <v>0</v>
      </c>
      <c r="BH148" s="146">
        <v>0</v>
      </c>
      <c r="BI148" s="146">
        <v>0</v>
      </c>
      <c r="BJ148" s="146">
        <v>1</v>
      </c>
      <c r="BK148" s="145">
        <v>33</v>
      </c>
      <c r="BL148" s="145">
        <v>34</v>
      </c>
      <c r="BM148" s="146">
        <v>0</v>
      </c>
      <c r="BN148" s="145">
        <v>0</v>
      </c>
      <c r="BO148" s="145">
        <v>0</v>
      </c>
      <c r="BP148" s="145">
        <v>0</v>
      </c>
      <c r="BQ148" s="145">
        <v>0</v>
      </c>
      <c r="BR148" s="145">
        <v>0</v>
      </c>
      <c r="BS148" s="146">
        <v>6</v>
      </c>
      <c r="BT148" s="145">
        <v>0</v>
      </c>
      <c r="BU148" s="145">
        <v>3</v>
      </c>
      <c r="BV148" s="145">
        <v>0</v>
      </c>
      <c r="BW148" s="145">
        <v>67</v>
      </c>
      <c r="BX148" s="145">
        <v>76</v>
      </c>
      <c r="BY148" s="146">
        <v>0</v>
      </c>
      <c r="BZ148" s="145">
        <v>0</v>
      </c>
      <c r="CA148" s="145">
        <v>0</v>
      </c>
      <c r="CB148" s="145">
        <v>0</v>
      </c>
      <c r="CC148" s="146">
        <v>0</v>
      </c>
      <c r="CD148" s="145">
        <v>0</v>
      </c>
      <c r="CE148" s="146">
        <v>5757</v>
      </c>
    </row>
    <row r="149" spans="1:83">
      <c r="A149" s="137">
        <v>12</v>
      </c>
      <c r="B149" s="147" t="s">
        <v>195</v>
      </c>
      <c r="C149" s="148">
        <v>1837</v>
      </c>
      <c r="D149" s="148">
        <v>1830</v>
      </c>
      <c r="E149" s="148">
        <v>1151</v>
      </c>
      <c r="F149" s="148">
        <v>0</v>
      </c>
      <c r="G149" s="148">
        <v>28</v>
      </c>
      <c r="H149" s="149">
        <v>4846</v>
      </c>
      <c r="I149" s="148">
        <v>336</v>
      </c>
      <c r="J149" s="148">
        <v>25</v>
      </c>
      <c r="K149" s="148">
        <v>8</v>
      </c>
      <c r="L149" s="148">
        <v>28</v>
      </c>
      <c r="M149" s="149">
        <v>397</v>
      </c>
      <c r="N149" s="148">
        <v>141</v>
      </c>
      <c r="O149" s="148">
        <v>32</v>
      </c>
      <c r="P149" s="148">
        <v>9</v>
      </c>
      <c r="Q149" s="148">
        <v>25</v>
      </c>
      <c r="R149" s="149">
        <v>207</v>
      </c>
      <c r="S149" s="148">
        <v>45</v>
      </c>
      <c r="T149" s="149">
        <v>45</v>
      </c>
      <c r="U149" s="148">
        <v>10</v>
      </c>
      <c r="V149" s="148">
        <v>6</v>
      </c>
      <c r="W149" s="148">
        <v>17</v>
      </c>
      <c r="X149" s="148">
        <v>3</v>
      </c>
      <c r="Y149" s="149">
        <v>36</v>
      </c>
      <c r="Z149" s="148">
        <v>368</v>
      </c>
      <c r="AA149" s="148">
        <v>60</v>
      </c>
      <c r="AB149" s="148">
        <v>17</v>
      </c>
      <c r="AC149" s="149">
        <v>445</v>
      </c>
      <c r="AD149" s="148">
        <v>200</v>
      </c>
      <c r="AE149" s="149">
        <v>9</v>
      </c>
      <c r="AF149" s="148">
        <v>209</v>
      </c>
      <c r="AG149" s="148">
        <v>104</v>
      </c>
      <c r="AH149" s="148">
        <v>47</v>
      </c>
      <c r="AI149" s="149">
        <v>36</v>
      </c>
      <c r="AJ149" s="149">
        <v>187</v>
      </c>
      <c r="AK149" s="149">
        <v>6372</v>
      </c>
      <c r="AL149" s="148">
        <v>15</v>
      </c>
      <c r="AM149" s="148">
        <v>21</v>
      </c>
      <c r="AN149" s="148">
        <v>13</v>
      </c>
      <c r="AO149" s="148">
        <v>9</v>
      </c>
      <c r="AP149" s="148">
        <v>18</v>
      </c>
      <c r="AQ149" s="149">
        <v>76</v>
      </c>
      <c r="AR149" s="148">
        <v>17</v>
      </c>
      <c r="AS149" s="148">
        <v>13</v>
      </c>
      <c r="AT149" s="148">
        <v>23</v>
      </c>
      <c r="AU149" s="149">
        <v>53</v>
      </c>
      <c r="AV149" s="148">
        <v>23</v>
      </c>
      <c r="AW149" s="149">
        <v>23</v>
      </c>
      <c r="AX149" s="148">
        <v>152</v>
      </c>
      <c r="AY149" s="148">
        <v>9</v>
      </c>
      <c r="AZ149" s="148">
        <v>9</v>
      </c>
      <c r="BA149" s="148">
        <v>11</v>
      </c>
      <c r="BB149" s="148">
        <v>15</v>
      </c>
      <c r="BC149" s="148">
        <v>7</v>
      </c>
      <c r="BD149" s="148">
        <v>10</v>
      </c>
      <c r="BE149" s="148">
        <v>8</v>
      </c>
      <c r="BF149" s="148">
        <v>13</v>
      </c>
      <c r="BG149" s="148">
        <v>12</v>
      </c>
      <c r="BH149" s="149">
        <v>94</v>
      </c>
      <c r="BI149" s="149">
        <v>94</v>
      </c>
      <c r="BJ149" s="149">
        <v>12</v>
      </c>
      <c r="BK149" s="148">
        <v>47</v>
      </c>
      <c r="BL149" s="148">
        <v>59</v>
      </c>
      <c r="BM149" s="149">
        <v>17</v>
      </c>
      <c r="BN149" s="148">
        <v>4</v>
      </c>
      <c r="BO149" s="148">
        <v>6</v>
      </c>
      <c r="BP149" s="148">
        <v>8</v>
      </c>
      <c r="BQ149" s="148">
        <v>4</v>
      </c>
      <c r="BR149" s="148">
        <v>39</v>
      </c>
      <c r="BS149" s="149">
        <v>17</v>
      </c>
      <c r="BT149" s="148">
        <v>16</v>
      </c>
      <c r="BU149" s="148">
        <v>14</v>
      </c>
      <c r="BV149" s="148">
        <v>6</v>
      </c>
      <c r="BW149" s="148">
        <v>70</v>
      </c>
      <c r="BX149" s="148">
        <v>123</v>
      </c>
      <c r="BY149" s="149">
        <v>12</v>
      </c>
      <c r="BZ149" s="148">
        <v>8</v>
      </c>
      <c r="CA149" s="148">
        <v>17</v>
      </c>
      <c r="CB149" s="148">
        <v>37</v>
      </c>
      <c r="CC149" s="149">
        <v>14</v>
      </c>
      <c r="CD149" s="148">
        <v>14</v>
      </c>
      <c r="CE149" s="149">
        <v>6890</v>
      </c>
    </row>
    <row r="150" spans="1:83" ht="15" thickBot="1">
      <c r="A150" s="137">
        <v>12</v>
      </c>
      <c r="B150" s="123" t="s">
        <v>196</v>
      </c>
      <c r="C150" s="124">
        <v>1839</v>
      </c>
      <c r="D150" s="124">
        <v>1830</v>
      </c>
      <c r="E150" s="124">
        <v>1151</v>
      </c>
      <c r="F150" s="124">
        <v>0</v>
      </c>
      <c r="G150" s="124">
        <v>28</v>
      </c>
      <c r="H150" s="125">
        <v>4848</v>
      </c>
      <c r="I150" s="124">
        <v>337</v>
      </c>
      <c r="J150" s="124">
        <v>25</v>
      </c>
      <c r="K150" s="124">
        <v>8</v>
      </c>
      <c r="L150" s="124">
        <v>28</v>
      </c>
      <c r="M150" s="125">
        <v>398</v>
      </c>
      <c r="N150" s="124">
        <v>142</v>
      </c>
      <c r="O150" s="124">
        <v>34</v>
      </c>
      <c r="P150" s="124">
        <v>9</v>
      </c>
      <c r="Q150" s="124">
        <v>25</v>
      </c>
      <c r="R150" s="125">
        <v>210</v>
      </c>
      <c r="S150" s="124">
        <v>47</v>
      </c>
      <c r="T150" s="125">
        <v>47</v>
      </c>
      <c r="U150" s="124">
        <v>11</v>
      </c>
      <c r="V150" s="124">
        <v>6</v>
      </c>
      <c r="W150" s="124">
        <v>17</v>
      </c>
      <c r="X150" s="124">
        <v>3</v>
      </c>
      <c r="Y150" s="125">
        <v>37</v>
      </c>
      <c r="Z150" s="124">
        <v>368</v>
      </c>
      <c r="AA150" s="124">
        <v>60</v>
      </c>
      <c r="AB150" s="124">
        <v>18</v>
      </c>
      <c r="AC150" s="125">
        <v>446</v>
      </c>
      <c r="AD150" s="124">
        <v>202</v>
      </c>
      <c r="AE150" s="125">
        <v>9</v>
      </c>
      <c r="AF150" s="124">
        <v>211</v>
      </c>
      <c r="AG150" s="124">
        <v>104</v>
      </c>
      <c r="AH150" s="124">
        <v>47</v>
      </c>
      <c r="AI150" s="125">
        <v>38</v>
      </c>
      <c r="AJ150" s="125">
        <v>189</v>
      </c>
      <c r="AK150" s="125">
        <v>6386</v>
      </c>
      <c r="AL150" s="124">
        <v>15</v>
      </c>
      <c r="AM150" s="124">
        <v>23</v>
      </c>
      <c r="AN150" s="124">
        <v>13</v>
      </c>
      <c r="AO150" s="124">
        <v>9</v>
      </c>
      <c r="AP150" s="124">
        <v>19</v>
      </c>
      <c r="AQ150" s="125">
        <v>79</v>
      </c>
      <c r="AR150" s="124">
        <v>18</v>
      </c>
      <c r="AS150" s="124">
        <v>14</v>
      </c>
      <c r="AT150" s="124">
        <v>23</v>
      </c>
      <c r="AU150" s="125">
        <v>55</v>
      </c>
      <c r="AV150" s="124">
        <v>25</v>
      </c>
      <c r="AW150" s="125">
        <v>25</v>
      </c>
      <c r="AX150" s="124">
        <v>159</v>
      </c>
      <c r="AY150" s="124">
        <v>9</v>
      </c>
      <c r="AZ150" s="124">
        <v>20</v>
      </c>
      <c r="BA150" s="124">
        <v>12</v>
      </c>
      <c r="BB150" s="124">
        <v>16</v>
      </c>
      <c r="BC150" s="124">
        <v>8</v>
      </c>
      <c r="BD150" s="124">
        <v>10</v>
      </c>
      <c r="BE150" s="124">
        <v>9</v>
      </c>
      <c r="BF150" s="124">
        <v>15</v>
      </c>
      <c r="BG150" s="124">
        <v>12</v>
      </c>
      <c r="BH150" s="125">
        <v>111</v>
      </c>
      <c r="BI150" s="125">
        <v>111</v>
      </c>
      <c r="BJ150" s="125">
        <v>14</v>
      </c>
      <c r="BK150" s="124">
        <v>47</v>
      </c>
      <c r="BL150" s="124">
        <v>61</v>
      </c>
      <c r="BM150" s="125">
        <v>18</v>
      </c>
      <c r="BN150" s="124">
        <v>5</v>
      </c>
      <c r="BO150" s="124">
        <v>7</v>
      </c>
      <c r="BP150" s="124">
        <v>8</v>
      </c>
      <c r="BQ150" s="124">
        <v>6</v>
      </c>
      <c r="BR150" s="124">
        <v>44</v>
      </c>
      <c r="BS150" s="125">
        <v>18</v>
      </c>
      <c r="BT150" s="124">
        <v>17</v>
      </c>
      <c r="BU150" s="124">
        <v>14</v>
      </c>
      <c r="BV150" s="124">
        <v>7</v>
      </c>
      <c r="BW150" s="124">
        <v>70</v>
      </c>
      <c r="BX150" s="124">
        <v>126</v>
      </c>
      <c r="BY150" s="125">
        <v>12</v>
      </c>
      <c r="BZ150" s="124">
        <v>9</v>
      </c>
      <c r="CA150" s="124">
        <v>18</v>
      </c>
      <c r="CB150" s="124">
        <v>39</v>
      </c>
      <c r="CC150" s="125">
        <v>15</v>
      </c>
      <c r="CD150" s="124">
        <v>15</v>
      </c>
      <c r="CE150" s="125">
        <v>6941</v>
      </c>
    </row>
    <row r="151" spans="1:83">
      <c r="A151" s="150"/>
      <c r="B151" s="151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  <c r="AW151" s="152"/>
      <c r="AX151" s="152"/>
      <c r="AY151" s="152"/>
      <c r="AZ151" s="152"/>
      <c r="BA151" s="152"/>
      <c r="BB151" s="152"/>
      <c r="BC151" s="152"/>
      <c r="BD151" s="152"/>
      <c r="BE151" s="152"/>
      <c r="BF151" s="152"/>
      <c r="BG151" s="152"/>
      <c r="BH151" s="152"/>
      <c r="BI151" s="152"/>
      <c r="BJ151" s="152"/>
      <c r="BK151" s="152"/>
      <c r="BL151" s="152"/>
      <c r="BM151" s="152"/>
      <c r="BN151" s="152"/>
      <c r="BO151" s="152"/>
      <c r="BP151" s="152"/>
      <c r="BQ151" s="152"/>
      <c r="BR151" s="152"/>
      <c r="BS151" s="152"/>
      <c r="BT151" s="152"/>
      <c r="BU151" s="152"/>
      <c r="BV151" s="152"/>
      <c r="BW151" s="152"/>
      <c r="BX151" s="152"/>
      <c r="BY151" s="152"/>
      <c r="BZ151" s="152"/>
      <c r="CA151" s="152"/>
      <c r="CB151" s="152"/>
      <c r="CC151" s="152"/>
      <c r="CD151" s="152"/>
      <c r="CE151" s="152"/>
    </row>
    <row r="152" spans="1:83" ht="21.5" thickBot="1">
      <c r="A152" s="153">
        <v>1</v>
      </c>
      <c r="B152" s="110" t="s">
        <v>3</v>
      </c>
      <c r="C152" s="129"/>
      <c r="D152" s="129"/>
      <c r="E152" s="129"/>
      <c r="F152" s="129"/>
      <c r="G152" s="129"/>
      <c r="H152" s="130"/>
      <c r="I152" s="129"/>
      <c r="J152" s="129"/>
      <c r="K152" s="129"/>
      <c r="L152" s="129"/>
      <c r="M152" s="130"/>
      <c r="N152" s="129"/>
      <c r="O152" s="129"/>
      <c r="P152" s="129"/>
      <c r="Q152" s="129"/>
      <c r="R152" s="130"/>
      <c r="S152" s="129"/>
      <c r="T152" s="130"/>
      <c r="U152" s="129"/>
      <c r="V152" s="129"/>
      <c r="W152" s="129"/>
      <c r="X152" s="129"/>
      <c r="Y152" s="130"/>
      <c r="Z152" s="129"/>
      <c r="AA152" s="129"/>
      <c r="AB152" s="129"/>
      <c r="AC152" s="130"/>
      <c r="AD152" s="129"/>
      <c r="AE152" s="130"/>
      <c r="AF152" s="129"/>
      <c r="AG152" s="129"/>
      <c r="AH152" s="129"/>
      <c r="AI152" s="130"/>
      <c r="AJ152" s="130"/>
      <c r="AK152" s="130"/>
      <c r="AL152" s="129"/>
      <c r="AM152" s="129"/>
      <c r="AN152" s="129"/>
      <c r="AO152" s="129"/>
      <c r="AP152" s="129"/>
      <c r="AQ152" s="130"/>
      <c r="AR152" s="129"/>
      <c r="AS152" s="129"/>
      <c r="AT152" s="129"/>
      <c r="AU152" s="130"/>
      <c r="AV152" s="129"/>
      <c r="AW152" s="130"/>
      <c r="AX152" s="129"/>
      <c r="AY152" s="129"/>
      <c r="AZ152" s="129"/>
      <c r="BA152" s="129"/>
      <c r="BB152" s="129"/>
      <c r="BC152" s="129"/>
      <c r="BD152" s="129"/>
      <c r="BE152" s="129"/>
      <c r="BF152" s="129"/>
      <c r="BG152" s="129"/>
      <c r="BH152" s="130"/>
      <c r="BI152" s="130"/>
      <c r="BJ152" s="130"/>
      <c r="BK152" s="129"/>
      <c r="BL152" s="129"/>
      <c r="BM152" s="130"/>
      <c r="BN152" s="129"/>
      <c r="BO152" s="129"/>
      <c r="BP152" s="129"/>
      <c r="BQ152" s="129"/>
      <c r="BR152" s="129"/>
      <c r="BS152" s="130"/>
      <c r="BT152" s="129"/>
      <c r="BU152" s="129"/>
      <c r="BV152" s="129"/>
      <c r="BW152" s="129"/>
      <c r="BX152" s="129"/>
      <c r="BY152" s="130"/>
      <c r="BZ152" s="129"/>
      <c r="CA152" s="129"/>
      <c r="CB152" s="129"/>
      <c r="CC152" s="130"/>
      <c r="CD152" s="129"/>
      <c r="CE152" s="130"/>
    </row>
    <row r="153" spans="1:83">
      <c r="A153" s="137">
        <v>13</v>
      </c>
      <c r="B153" s="138" t="s">
        <v>194</v>
      </c>
      <c r="C153" s="139">
        <v>2</v>
      </c>
      <c r="D153" s="139">
        <v>0</v>
      </c>
      <c r="E153" s="139">
        <v>0</v>
      </c>
      <c r="F153" s="139">
        <v>0</v>
      </c>
      <c r="G153" s="139">
        <v>0</v>
      </c>
      <c r="H153" s="140">
        <v>2</v>
      </c>
      <c r="I153" s="139">
        <v>1</v>
      </c>
      <c r="J153" s="139">
        <v>0</v>
      </c>
      <c r="K153" s="139">
        <v>0</v>
      </c>
      <c r="L153" s="139">
        <v>0</v>
      </c>
      <c r="M153" s="140">
        <v>1</v>
      </c>
      <c r="N153" s="139">
        <v>1</v>
      </c>
      <c r="O153" s="139">
        <v>2</v>
      </c>
      <c r="P153" s="139">
        <v>0</v>
      </c>
      <c r="Q153" s="139">
        <v>0</v>
      </c>
      <c r="R153" s="140">
        <v>3</v>
      </c>
      <c r="S153" s="139">
        <v>2</v>
      </c>
      <c r="T153" s="140">
        <v>2</v>
      </c>
      <c r="U153" s="139">
        <v>1</v>
      </c>
      <c r="V153" s="139">
        <v>0</v>
      </c>
      <c r="W153" s="139">
        <v>0</v>
      </c>
      <c r="X153" s="139">
        <v>0</v>
      </c>
      <c r="Y153" s="140">
        <v>1</v>
      </c>
      <c r="Z153" s="139">
        <v>0</v>
      </c>
      <c r="AA153" s="139">
        <v>0</v>
      </c>
      <c r="AB153" s="139">
        <v>1</v>
      </c>
      <c r="AC153" s="140">
        <v>1</v>
      </c>
      <c r="AD153" s="139">
        <v>2</v>
      </c>
      <c r="AE153" s="140">
        <v>0</v>
      </c>
      <c r="AF153" s="139">
        <v>2</v>
      </c>
      <c r="AG153" s="139">
        <v>0</v>
      </c>
      <c r="AH153" s="139">
        <v>0</v>
      </c>
      <c r="AI153" s="140">
        <v>2</v>
      </c>
      <c r="AJ153" s="140">
        <v>2</v>
      </c>
      <c r="AK153" s="140">
        <v>14</v>
      </c>
      <c r="AL153" s="139">
        <v>0</v>
      </c>
      <c r="AM153" s="139">
        <v>2</v>
      </c>
      <c r="AN153" s="139">
        <v>0</v>
      </c>
      <c r="AO153" s="139">
        <v>0</v>
      </c>
      <c r="AP153" s="139">
        <v>1</v>
      </c>
      <c r="AQ153" s="140">
        <v>3</v>
      </c>
      <c r="AR153" s="139">
        <v>1</v>
      </c>
      <c r="AS153" s="139">
        <v>1</v>
      </c>
      <c r="AT153" s="139">
        <v>0</v>
      </c>
      <c r="AU153" s="140">
        <v>2</v>
      </c>
      <c r="AV153" s="139">
        <v>2</v>
      </c>
      <c r="AW153" s="140">
        <v>2</v>
      </c>
      <c r="AX153" s="139">
        <v>7</v>
      </c>
      <c r="AY153" s="139">
        <v>0</v>
      </c>
      <c r="AZ153" s="139">
        <v>11</v>
      </c>
      <c r="BA153" s="139">
        <v>1</v>
      </c>
      <c r="BB153" s="139">
        <v>1</v>
      </c>
      <c r="BC153" s="139">
        <v>1</v>
      </c>
      <c r="BD153" s="139">
        <v>0</v>
      </c>
      <c r="BE153" s="139">
        <v>1</v>
      </c>
      <c r="BF153" s="139">
        <v>2</v>
      </c>
      <c r="BG153" s="139">
        <v>0</v>
      </c>
      <c r="BH153" s="140">
        <v>17</v>
      </c>
      <c r="BI153" s="140">
        <v>17</v>
      </c>
      <c r="BJ153" s="140">
        <v>2</v>
      </c>
      <c r="BK153" s="139">
        <v>0</v>
      </c>
      <c r="BL153" s="139">
        <v>2</v>
      </c>
      <c r="BM153" s="140">
        <v>1</v>
      </c>
      <c r="BN153" s="139">
        <v>1</v>
      </c>
      <c r="BO153" s="139">
        <v>1</v>
      </c>
      <c r="BP153" s="139">
        <v>0</v>
      </c>
      <c r="BQ153" s="139">
        <v>2</v>
      </c>
      <c r="BR153" s="139">
        <v>5</v>
      </c>
      <c r="BS153" s="140">
        <v>1</v>
      </c>
      <c r="BT153" s="139">
        <v>1</v>
      </c>
      <c r="BU153" s="139">
        <v>0</v>
      </c>
      <c r="BV153" s="139">
        <v>1</v>
      </c>
      <c r="BW153" s="139">
        <v>0</v>
      </c>
      <c r="BX153" s="139">
        <v>3</v>
      </c>
      <c r="BY153" s="140">
        <v>0</v>
      </c>
      <c r="BZ153" s="139">
        <v>1</v>
      </c>
      <c r="CA153" s="139">
        <v>1</v>
      </c>
      <c r="CB153" s="139">
        <v>2</v>
      </c>
      <c r="CC153" s="140">
        <v>1</v>
      </c>
      <c r="CD153" s="139">
        <v>1</v>
      </c>
      <c r="CE153" s="140">
        <v>51</v>
      </c>
    </row>
    <row r="154" spans="1:83">
      <c r="A154" s="137">
        <v>13</v>
      </c>
      <c r="B154" s="141" t="s">
        <v>139</v>
      </c>
      <c r="C154" s="142">
        <v>93</v>
      </c>
      <c r="D154" s="142">
        <v>132</v>
      </c>
      <c r="E154" s="142">
        <v>99</v>
      </c>
      <c r="F154" s="142">
        <v>0</v>
      </c>
      <c r="G154" s="142">
        <v>21</v>
      </c>
      <c r="H154" s="143">
        <v>345</v>
      </c>
      <c r="I154" s="142">
        <v>22</v>
      </c>
      <c r="J154" s="142">
        <v>14</v>
      </c>
      <c r="K154" s="142">
        <v>5</v>
      </c>
      <c r="L154" s="142">
        <v>11</v>
      </c>
      <c r="M154" s="143">
        <v>52</v>
      </c>
      <c r="N154" s="142">
        <v>16</v>
      </c>
      <c r="O154" s="142">
        <v>23</v>
      </c>
      <c r="P154" s="142">
        <v>9</v>
      </c>
      <c r="Q154" s="142">
        <v>12</v>
      </c>
      <c r="R154" s="143">
        <v>60</v>
      </c>
      <c r="S154" s="142">
        <v>15</v>
      </c>
      <c r="T154" s="143">
        <v>15</v>
      </c>
      <c r="U154" s="142">
        <v>10</v>
      </c>
      <c r="V154" s="142">
        <v>6</v>
      </c>
      <c r="W154" s="142">
        <v>16</v>
      </c>
      <c r="X154" s="142">
        <v>3</v>
      </c>
      <c r="Y154" s="143">
        <v>35</v>
      </c>
      <c r="Z154" s="142">
        <v>38</v>
      </c>
      <c r="AA154" s="142">
        <v>11</v>
      </c>
      <c r="AB154" s="142">
        <v>12</v>
      </c>
      <c r="AC154" s="143">
        <v>61</v>
      </c>
      <c r="AD154" s="142">
        <v>110</v>
      </c>
      <c r="AE154" s="143">
        <v>8</v>
      </c>
      <c r="AF154" s="142">
        <v>118</v>
      </c>
      <c r="AG154" s="142">
        <v>25</v>
      </c>
      <c r="AH154" s="142">
        <v>23</v>
      </c>
      <c r="AI154" s="143">
        <v>32</v>
      </c>
      <c r="AJ154" s="143">
        <v>80</v>
      </c>
      <c r="AK154" s="143">
        <v>766</v>
      </c>
      <c r="AL154" s="142">
        <v>15</v>
      </c>
      <c r="AM154" s="142">
        <v>21</v>
      </c>
      <c r="AN154" s="142">
        <v>13</v>
      </c>
      <c r="AO154" s="142">
        <v>9</v>
      </c>
      <c r="AP154" s="142">
        <v>18</v>
      </c>
      <c r="AQ154" s="143">
        <v>76</v>
      </c>
      <c r="AR154" s="142">
        <v>17</v>
      </c>
      <c r="AS154" s="142">
        <v>13</v>
      </c>
      <c r="AT154" s="142">
        <v>23</v>
      </c>
      <c r="AU154" s="143">
        <v>53</v>
      </c>
      <c r="AV154" s="142">
        <v>23</v>
      </c>
      <c r="AW154" s="143">
        <v>23</v>
      </c>
      <c r="AX154" s="142">
        <v>152</v>
      </c>
      <c r="AY154" s="142">
        <v>9</v>
      </c>
      <c r="AZ154" s="142">
        <v>9</v>
      </c>
      <c r="BA154" s="142">
        <v>11</v>
      </c>
      <c r="BB154" s="142">
        <v>15</v>
      </c>
      <c r="BC154" s="142">
        <v>7</v>
      </c>
      <c r="BD154" s="142">
        <v>10</v>
      </c>
      <c r="BE154" s="142">
        <v>8</v>
      </c>
      <c r="BF154" s="142">
        <v>13</v>
      </c>
      <c r="BG154" s="142">
        <v>12</v>
      </c>
      <c r="BH154" s="143">
        <v>94</v>
      </c>
      <c r="BI154" s="143">
        <v>94</v>
      </c>
      <c r="BJ154" s="143">
        <v>11</v>
      </c>
      <c r="BK154" s="142">
        <v>14</v>
      </c>
      <c r="BL154" s="142">
        <v>25</v>
      </c>
      <c r="BM154" s="143">
        <v>17</v>
      </c>
      <c r="BN154" s="142">
        <v>4</v>
      </c>
      <c r="BO154" s="142">
        <v>6</v>
      </c>
      <c r="BP154" s="142">
        <v>8</v>
      </c>
      <c r="BQ154" s="142">
        <v>4</v>
      </c>
      <c r="BR154" s="142">
        <v>39</v>
      </c>
      <c r="BS154" s="143">
        <v>11</v>
      </c>
      <c r="BT154" s="142">
        <v>16</v>
      </c>
      <c r="BU154" s="142">
        <v>11</v>
      </c>
      <c r="BV154" s="142">
        <v>6</v>
      </c>
      <c r="BW154" s="142">
        <v>3</v>
      </c>
      <c r="BX154" s="142">
        <v>47</v>
      </c>
      <c r="BY154" s="143">
        <v>12</v>
      </c>
      <c r="BZ154" s="142">
        <v>8</v>
      </c>
      <c r="CA154" s="142">
        <v>17</v>
      </c>
      <c r="CB154" s="142">
        <v>37</v>
      </c>
      <c r="CC154" s="143">
        <v>14</v>
      </c>
      <c r="CD154" s="142">
        <v>14</v>
      </c>
      <c r="CE154" s="143">
        <v>1174</v>
      </c>
    </row>
    <row r="155" spans="1:83">
      <c r="A155" s="137">
        <v>13</v>
      </c>
      <c r="B155" s="144" t="s">
        <v>140</v>
      </c>
      <c r="C155" s="145">
        <v>1772</v>
      </c>
      <c r="D155" s="145">
        <v>1862</v>
      </c>
      <c r="E155" s="145">
        <v>1095</v>
      </c>
      <c r="F155" s="145">
        <v>0</v>
      </c>
      <c r="G155" s="145">
        <v>7</v>
      </c>
      <c r="H155" s="146">
        <v>4736</v>
      </c>
      <c r="I155" s="145">
        <v>314</v>
      </c>
      <c r="J155" s="145">
        <v>11</v>
      </c>
      <c r="K155" s="145">
        <v>3</v>
      </c>
      <c r="L155" s="145">
        <v>17</v>
      </c>
      <c r="M155" s="146">
        <v>345</v>
      </c>
      <c r="N155" s="145">
        <v>125</v>
      </c>
      <c r="O155" s="145">
        <v>9</v>
      </c>
      <c r="P155" s="145">
        <v>0</v>
      </c>
      <c r="Q155" s="145">
        <v>13</v>
      </c>
      <c r="R155" s="146">
        <v>147</v>
      </c>
      <c r="S155" s="145">
        <v>43</v>
      </c>
      <c r="T155" s="146">
        <v>43</v>
      </c>
      <c r="U155" s="145">
        <v>0</v>
      </c>
      <c r="V155" s="145">
        <v>0</v>
      </c>
      <c r="W155" s="145">
        <v>1</v>
      </c>
      <c r="X155" s="145">
        <v>0</v>
      </c>
      <c r="Y155" s="146">
        <v>1</v>
      </c>
      <c r="Z155" s="145">
        <v>346</v>
      </c>
      <c r="AA155" s="145">
        <v>50</v>
      </c>
      <c r="AB155" s="145">
        <v>5</v>
      </c>
      <c r="AC155" s="146">
        <v>401</v>
      </c>
      <c r="AD155" s="145">
        <v>91</v>
      </c>
      <c r="AE155" s="146">
        <v>1</v>
      </c>
      <c r="AF155" s="145">
        <v>92</v>
      </c>
      <c r="AG155" s="145">
        <v>79</v>
      </c>
      <c r="AH155" s="145">
        <v>24</v>
      </c>
      <c r="AI155" s="146">
        <v>4</v>
      </c>
      <c r="AJ155" s="146">
        <v>107</v>
      </c>
      <c r="AK155" s="146">
        <v>5872</v>
      </c>
      <c r="AL155" s="145">
        <v>0</v>
      </c>
      <c r="AM155" s="145">
        <v>0</v>
      </c>
      <c r="AN155" s="145">
        <v>0</v>
      </c>
      <c r="AO155" s="145">
        <v>0</v>
      </c>
      <c r="AP155" s="145">
        <v>0</v>
      </c>
      <c r="AQ155" s="146">
        <v>0</v>
      </c>
      <c r="AR155" s="145">
        <v>0</v>
      </c>
      <c r="AS155" s="145">
        <v>0</v>
      </c>
      <c r="AT155" s="145">
        <v>0</v>
      </c>
      <c r="AU155" s="146">
        <v>0</v>
      </c>
      <c r="AV155" s="145">
        <v>0</v>
      </c>
      <c r="AW155" s="146">
        <v>0</v>
      </c>
      <c r="AX155" s="145">
        <v>0</v>
      </c>
      <c r="AY155" s="145">
        <v>0</v>
      </c>
      <c r="AZ155" s="145">
        <v>0</v>
      </c>
      <c r="BA155" s="145">
        <v>0</v>
      </c>
      <c r="BB155" s="145">
        <v>0</v>
      </c>
      <c r="BC155" s="145">
        <v>0</v>
      </c>
      <c r="BD155" s="145">
        <v>0</v>
      </c>
      <c r="BE155" s="145">
        <v>0</v>
      </c>
      <c r="BF155" s="145">
        <v>0</v>
      </c>
      <c r="BG155" s="145">
        <v>0</v>
      </c>
      <c r="BH155" s="146">
        <v>0</v>
      </c>
      <c r="BI155" s="146">
        <v>0</v>
      </c>
      <c r="BJ155" s="146">
        <v>1</v>
      </c>
      <c r="BK155" s="145">
        <v>33</v>
      </c>
      <c r="BL155" s="145">
        <v>34</v>
      </c>
      <c r="BM155" s="146">
        <v>0</v>
      </c>
      <c r="BN155" s="145">
        <v>0</v>
      </c>
      <c r="BO155" s="145">
        <v>0</v>
      </c>
      <c r="BP155" s="145">
        <v>0</v>
      </c>
      <c r="BQ155" s="145">
        <v>0</v>
      </c>
      <c r="BR155" s="145">
        <v>0</v>
      </c>
      <c r="BS155" s="146">
        <v>6</v>
      </c>
      <c r="BT155" s="145">
        <v>0</v>
      </c>
      <c r="BU155" s="145">
        <v>3</v>
      </c>
      <c r="BV155" s="145">
        <v>0</v>
      </c>
      <c r="BW155" s="145">
        <v>67</v>
      </c>
      <c r="BX155" s="145">
        <v>76</v>
      </c>
      <c r="BY155" s="146">
        <v>0</v>
      </c>
      <c r="BZ155" s="145">
        <v>0</v>
      </c>
      <c r="CA155" s="145">
        <v>0</v>
      </c>
      <c r="CB155" s="145">
        <v>0</v>
      </c>
      <c r="CC155" s="146">
        <v>0</v>
      </c>
      <c r="CD155" s="145">
        <v>0</v>
      </c>
      <c r="CE155" s="146">
        <v>5982</v>
      </c>
    </row>
    <row r="156" spans="1:83">
      <c r="A156" s="137">
        <v>13</v>
      </c>
      <c r="B156" s="147" t="s">
        <v>195</v>
      </c>
      <c r="C156" s="148">
        <v>1865</v>
      </c>
      <c r="D156" s="148">
        <v>1994</v>
      </c>
      <c r="E156" s="148">
        <v>1194</v>
      </c>
      <c r="F156" s="148">
        <v>0</v>
      </c>
      <c r="G156" s="148">
        <v>28</v>
      </c>
      <c r="H156" s="149">
        <v>5081</v>
      </c>
      <c r="I156" s="148">
        <v>336</v>
      </c>
      <c r="J156" s="148">
        <v>25</v>
      </c>
      <c r="K156" s="148">
        <v>8</v>
      </c>
      <c r="L156" s="148">
        <v>28</v>
      </c>
      <c r="M156" s="149">
        <v>397</v>
      </c>
      <c r="N156" s="148">
        <v>141</v>
      </c>
      <c r="O156" s="148">
        <v>32</v>
      </c>
      <c r="P156" s="148">
        <v>9</v>
      </c>
      <c r="Q156" s="148">
        <v>25</v>
      </c>
      <c r="R156" s="149">
        <v>207</v>
      </c>
      <c r="S156" s="148">
        <v>58</v>
      </c>
      <c r="T156" s="149">
        <v>58</v>
      </c>
      <c r="U156" s="148">
        <v>10</v>
      </c>
      <c r="V156" s="148">
        <v>6</v>
      </c>
      <c r="W156" s="148">
        <v>17</v>
      </c>
      <c r="X156" s="148">
        <v>3</v>
      </c>
      <c r="Y156" s="149">
        <v>36</v>
      </c>
      <c r="Z156" s="148">
        <v>384</v>
      </c>
      <c r="AA156" s="148">
        <v>61</v>
      </c>
      <c r="AB156" s="148">
        <v>17</v>
      </c>
      <c r="AC156" s="149">
        <v>462</v>
      </c>
      <c r="AD156" s="148">
        <v>201</v>
      </c>
      <c r="AE156" s="149">
        <v>9</v>
      </c>
      <c r="AF156" s="148">
        <v>210</v>
      </c>
      <c r="AG156" s="148">
        <v>104</v>
      </c>
      <c r="AH156" s="148">
        <v>47</v>
      </c>
      <c r="AI156" s="149">
        <v>36</v>
      </c>
      <c r="AJ156" s="149">
        <v>187</v>
      </c>
      <c r="AK156" s="149">
        <v>6638</v>
      </c>
      <c r="AL156" s="148">
        <v>15</v>
      </c>
      <c r="AM156" s="148">
        <v>21</v>
      </c>
      <c r="AN156" s="148">
        <v>13</v>
      </c>
      <c r="AO156" s="148">
        <v>9</v>
      </c>
      <c r="AP156" s="148">
        <v>18</v>
      </c>
      <c r="AQ156" s="149">
        <v>76</v>
      </c>
      <c r="AR156" s="148">
        <v>17</v>
      </c>
      <c r="AS156" s="148">
        <v>13</v>
      </c>
      <c r="AT156" s="148">
        <v>23</v>
      </c>
      <c r="AU156" s="149">
        <v>53</v>
      </c>
      <c r="AV156" s="148">
        <v>23</v>
      </c>
      <c r="AW156" s="149">
        <v>23</v>
      </c>
      <c r="AX156" s="148">
        <v>152</v>
      </c>
      <c r="AY156" s="148">
        <v>9</v>
      </c>
      <c r="AZ156" s="148">
        <v>9</v>
      </c>
      <c r="BA156" s="148">
        <v>11</v>
      </c>
      <c r="BB156" s="148">
        <v>15</v>
      </c>
      <c r="BC156" s="148">
        <v>7</v>
      </c>
      <c r="BD156" s="148">
        <v>10</v>
      </c>
      <c r="BE156" s="148">
        <v>8</v>
      </c>
      <c r="BF156" s="148">
        <v>13</v>
      </c>
      <c r="BG156" s="148">
        <v>12</v>
      </c>
      <c r="BH156" s="149">
        <v>94</v>
      </c>
      <c r="BI156" s="149">
        <v>94</v>
      </c>
      <c r="BJ156" s="149">
        <v>12</v>
      </c>
      <c r="BK156" s="148">
        <v>47</v>
      </c>
      <c r="BL156" s="148">
        <v>59</v>
      </c>
      <c r="BM156" s="149">
        <v>17</v>
      </c>
      <c r="BN156" s="148">
        <v>4</v>
      </c>
      <c r="BO156" s="148">
        <v>6</v>
      </c>
      <c r="BP156" s="148">
        <v>8</v>
      </c>
      <c r="BQ156" s="148">
        <v>4</v>
      </c>
      <c r="BR156" s="148">
        <v>39</v>
      </c>
      <c r="BS156" s="149">
        <v>17</v>
      </c>
      <c r="BT156" s="148">
        <v>16</v>
      </c>
      <c r="BU156" s="148">
        <v>14</v>
      </c>
      <c r="BV156" s="148">
        <v>6</v>
      </c>
      <c r="BW156" s="148">
        <v>70</v>
      </c>
      <c r="BX156" s="148">
        <v>123</v>
      </c>
      <c r="BY156" s="149">
        <v>12</v>
      </c>
      <c r="BZ156" s="148">
        <v>8</v>
      </c>
      <c r="CA156" s="148">
        <v>17</v>
      </c>
      <c r="CB156" s="148">
        <v>37</v>
      </c>
      <c r="CC156" s="149">
        <v>14</v>
      </c>
      <c r="CD156" s="148">
        <v>14</v>
      </c>
      <c r="CE156" s="149">
        <v>7156</v>
      </c>
    </row>
    <row r="157" spans="1:83" ht="15" thickBot="1">
      <c r="A157" s="137">
        <v>13</v>
      </c>
      <c r="B157" s="123" t="s">
        <v>196</v>
      </c>
      <c r="C157" s="124">
        <v>1867</v>
      </c>
      <c r="D157" s="124">
        <v>1994</v>
      </c>
      <c r="E157" s="124">
        <v>1194</v>
      </c>
      <c r="F157" s="124">
        <v>0</v>
      </c>
      <c r="G157" s="124">
        <v>28</v>
      </c>
      <c r="H157" s="125">
        <v>5083</v>
      </c>
      <c r="I157" s="124">
        <v>337</v>
      </c>
      <c r="J157" s="124">
        <v>25</v>
      </c>
      <c r="K157" s="124">
        <v>8</v>
      </c>
      <c r="L157" s="124">
        <v>28</v>
      </c>
      <c r="M157" s="125">
        <v>398</v>
      </c>
      <c r="N157" s="124">
        <v>142</v>
      </c>
      <c r="O157" s="124">
        <v>34</v>
      </c>
      <c r="P157" s="124">
        <v>9</v>
      </c>
      <c r="Q157" s="124">
        <v>25</v>
      </c>
      <c r="R157" s="125">
        <v>210</v>
      </c>
      <c r="S157" s="124">
        <v>60</v>
      </c>
      <c r="T157" s="125">
        <v>60</v>
      </c>
      <c r="U157" s="124">
        <v>11</v>
      </c>
      <c r="V157" s="124">
        <v>6</v>
      </c>
      <c r="W157" s="124">
        <v>17</v>
      </c>
      <c r="X157" s="124">
        <v>3</v>
      </c>
      <c r="Y157" s="125">
        <v>37</v>
      </c>
      <c r="Z157" s="124">
        <v>384</v>
      </c>
      <c r="AA157" s="124">
        <v>61</v>
      </c>
      <c r="AB157" s="124">
        <v>18</v>
      </c>
      <c r="AC157" s="125">
        <v>463</v>
      </c>
      <c r="AD157" s="124">
        <v>203</v>
      </c>
      <c r="AE157" s="125">
        <v>9</v>
      </c>
      <c r="AF157" s="124">
        <v>212</v>
      </c>
      <c r="AG157" s="124">
        <v>104</v>
      </c>
      <c r="AH157" s="124">
        <v>47</v>
      </c>
      <c r="AI157" s="125">
        <v>38</v>
      </c>
      <c r="AJ157" s="125">
        <v>189</v>
      </c>
      <c r="AK157" s="125">
        <v>6652</v>
      </c>
      <c r="AL157" s="124">
        <v>15</v>
      </c>
      <c r="AM157" s="124">
        <v>23</v>
      </c>
      <c r="AN157" s="124">
        <v>13</v>
      </c>
      <c r="AO157" s="124">
        <v>9</v>
      </c>
      <c r="AP157" s="124">
        <v>19</v>
      </c>
      <c r="AQ157" s="125">
        <v>79</v>
      </c>
      <c r="AR157" s="124">
        <v>18</v>
      </c>
      <c r="AS157" s="124">
        <v>14</v>
      </c>
      <c r="AT157" s="124">
        <v>23</v>
      </c>
      <c r="AU157" s="125">
        <v>55</v>
      </c>
      <c r="AV157" s="124">
        <v>25</v>
      </c>
      <c r="AW157" s="125">
        <v>25</v>
      </c>
      <c r="AX157" s="124">
        <v>159</v>
      </c>
      <c r="AY157" s="124">
        <v>9</v>
      </c>
      <c r="AZ157" s="124">
        <v>20</v>
      </c>
      <c r="BA157" s="124">
        <v>12</v>
      </c>
      <c r="BB157" s="124">
        <v>16</v>
      </c>
      <c r="BC157" s="124">
        <v>8</v>
      </c>
      <c r="BD157" s="124">
        <v>10</v>
      </c>
      <c r="BE157" s="124">
        <v>9</v>
      </c>
      <c r="BF157" s="124">
        <v>15</v>
      </c>
      <c r="BG157" s="124">
        <v>12</v>
      </c>
      <c r="BH157" s="125">
        <v>111</v>
      </c>
      <c r="BI157" s="125">
        <v>111</v>
      </c>
      <c r="BJ157" s="125">
        <v>14</v>
      </c>
      <c r="BK157" s="124">
        <v>47</v>
      </c>
      <c r="BL157" s="124">
        <v>61</v>
      </c>
      <c r="BM157" s="125">
        <v>18</v>
      </c>
      <c r="BN157" s="124">
        <v>5</v>
      </c>
      <c r="BO157" s="124">
        <v>7</v>
      </c>
      <c r="BP157" s="124">
        <v>8</v>
      </c>
      <c r="BQ157" s="124">
        <v>6</v>
      </c>
      <c r="BR157" s="124">
        <v>44</v>
      </c>
      <c r="BS157" s="125">
        <v>18</v>
      </c>
      <c r="BT157" s="124">
        <v>17</v>
      </c>
      <c r="BU157" s="124">
        <v>14</v>
      </c>
      <c r="BV157" s="124">
        <v>7</v>
      </c>
      <c r="BW157" s="124">
        <v>70</v>
      </c>
      <c r="BX157" s="124">
        <v>126</v>
      </c>
      <c r="BY157" s="125">
        <v>12</v>
      </c>
      <c r="BZ157" s="124">
        <v>9</v>
      </c>
      <c r="CA157" s="124">
        <v>18</v>
      </c>
      <c r="CB157" s="124">
        <v>39</v>
      </c>
      <c r="CC157" s="125">
        <v>15</v>
      </c>
      <c r="CD157" s="124">
        <v>15</v>
      </c>
      <c r="CE157" s="125">
        <v>7207</v>
      </c>
    </row>
    <row r="158" spans="1:83">
      <c r="A158" s="150"/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  <c r="AW158" s="152"/>
      <c r="AX158" s="152"/>
      <c r="AY158" s="152"/>
      <c r="AZ158" s="152"/>
      <c r="BA158" s="152"/>
      <c r="BB158" s="152"/>
      <c r="BC158" s="152"/>
      <c r="BD158" s="152"/>
      <c r="BE158" s="152"/>
      <c r="BF158" s="152"/>
      <c r="BG158" s="152"/>
      <c r="BH158" s="152"/>
      <c r="BI158" s="152"/>
      <c r="BJ158" s="152"/>
      <c r="BK158" s="152"/>
      <c r="BL158" s="152"/>
      <c r="BM158" s="152"/>
      <c r="BN158" s="152"/>
      <c r="BO158" s="152"/>
      <c r="BP158" s="152"/>
      <c r="BQ158" s="152"/>
      <c r="BR158" s="152"/>
      <c r="BS158" s="152"/>
      <c r="BT158" s="152"/>
      <c r="BU158" s="152"/>
      <c r="BV158" s="152"/>
      <c r="BW158" s="152"/>
      <c r="BX158" s="152"/>
      <c r="BY158" s="152"/>
      <c r="BZ158" s="152"/>
      <c r="CA158" s="152"/>
      <c r="CB158" s="152"/>
      <c r="CC158" s="152"/>
      <c r="CD158" s="152"/>
      <c r="CE158" s="152"/>
    </row>
    <row r="159" spans="1:83" ht="21.5" thickBot="1">
      <c r="A159" s="153">
        <v>2</v>
      </c>
      <c r="B159" s="110" t="s">
        <v>3</v>
      </c>
      <c r="C159" s="129"/>
      <c r="D159" s="129"/>
      <c r="E159" s="129"/>
      <c r="F159" s="129"/>
      <c r="G159" s="129"/>
      <c r="H159" s="130"/>
      <c r="I159" s="129"/>
      <c r="J159" s="129"/>
      <c r="K159" s="129"/>
      <c r="L159" s="129"/>
      <c r="M159" s="130"/>
      <c r="N159" s="129"/>
      <c r="O159" s="129"/>
      <c r="P159" s="129"/>
      <c r="Q159" s="129"/>
      <c r="R159" s="130"/>
      <c r="S159" s="129"/>
      <c r="T159" s="130"/>
      <c r="U159" s="129"/>
      <c r="V159" s="129"/>
      <c r="W159" s="129"/>
      <c r="X159" s="129"/>
      <c r="Y159" s="130"/>
      <c r="Z159" s="129"/>
      <c r="AA159" s="129"/>
      <c r="AB159" s="129"/>
      <c r="AC159" s="130"/>
      <c r="AD159" s="129"/>
      <c r="AE159" s="130"/>
      <c r="AF159" s="129"/>
      <c r="AG159" s="129"/>
      <c r="AH159" s="129"/>
      <c r="AI159" s="130"/>
      <c r="AJ159" s="130"/>
      <c r="AK159" s="130"/>
      <c r="AL159" s="129"/>
      <c r="AM159" s="129"/>
      <c r="AN159" s="129"/>
      <c r="AO159" s="129"/>
      <c r="AP159" s="129"/>
      <c r="AQ159" s="130"/>
      <c r="AR159" s="129"/>
      <c r="AS159" s="129"/>
      <c r="AT159" s="129"/>
      <c r="AU159" s="130"/>
      <c r="AV159" s="129"/>
      <c r="AW159" s="130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30"/>
      <c r="BI159" s="130"/>
      <c r="BJ159" s="130"/>
      <c r="BK159" s="129"/>
      <c r="BL159" s="129"/>
      <c r="BM159" s="130"/>
      <c r="BN159" s="129"/>
      <c r="BO159" s="129"/>
      <c r="BP159" s="129"/>
      <c r="BQ159" s="129"/>
      <c r="BR159" s="129"/>
      <c r="BS159" s="130"/>
      <c r="BT159" s="129"/>
      <c r="BU159" s="129"/>
      <c r="BV159" s="129"/>
      <c r="BW159" s="129"/>
      <c r="BX159" s="129"/>
      <c r="BY159" s="130"/>
      <c r="BZ159" s="129"/>
      <c r="CA159" s="129"/>
      <c r="CB159" s="129"/>
      <c r="CC159" s="130"/>
      <c r="CD159" s="129"/>
      <c r="CE159" s="130"/>
    </row>
    <row r="160" spans="1:83">
      <c r="A160" s="137">
        <v>14</v>
      </c>
      <c r="B160" s="138" t="s">
        <v>194</v>
      </c>
      <c r="C160" s="139">
        <v>2</v>
      </c>
      <c r="D160" s="139">
        <v>0</v>
      </c>
      <c r="E160" s="139">
        <v>0</v>
      </c>
      <c r="F160" s="139">
        <v>0</v>
      </c>
      <c r="G160" s="139">
        <v>0</v>
      </c>
      <c r="H160" s="140">
        <v>2</v>
      </c>
      <c r="I160" s="139">
        <v>1</v>
      </c>
      <c r="J160" s="139">
        <v>0</v>
      </c>
      <c r="K160" s="139">
        <v>0</v>
      </c>
      <c r="L160" s="139">
        <v>0</v>
      </c>
      <c r="M160" s="140">
        <v>1</v>
      </c>
      <c r="N160" s="139">
        <v>1</v>
      </c>
      <c r="O160" s="139">
        <v>2</v>
      </c>
      <c r="P160" s="139">
        <v>0</v>
      </c>
      <c r="Q160" s="139">
        <v>0</v>
      </c>
      <c r="R160" s="140">
        <v>3</v>
      </c>
      <c r="S160" s="139">
        <v>2</v>
      </c>
      <c r="T160" s="140">
        <v>2</v>
      </c>
      <c r="U160" s="139">
        <v>1</v>
      </c>
      <c r="V160" s="139">
        <v>0</v>
      </c>
      <c r="W160" s="139">
        <v>0</v>
      </c>
      <c r="X160" s="139">
        <v>0</v>
      </c>
      <c r="Y160" s="140">
        <v>1</v>
      </c>
      <c r="Z160" s="139">
        <v>0</v>
      </c>
      <c r="AA160" s="139">
        <v>0</v>
      </c>
      <c r="AB160" s="139">
        <v>1</v>
      </c>
      <c r="AC160" s="140">
        <v>1</v>
      </c>
      <c r="AD160" s="139">
        <v>2</v>
      </c>
      <c r="AE160" s="140">
        <v>0</v>
      </c>
      <c r="AF160" s="139">
        <v>2</v>
      </c>
      <c r="AG160" s="139">
        <v>0</v>
      </c>
      <c r="AH160" s="139">
        <v>0</v>
      </c>
      <c r="AI160" s="140">
        <v>2</v>
      </c>
      <c r="AJ160" s="140">
        <v>2</v>
      </c>
      <c r="AK160" s="140">
        <v>14</v>
      </c>
      <c r="AL160" s="139">
        <v>0</v>
      </c>
      <c r="AM160" s="139">
        <v>2</v>
      </c>
      <c r="AN160" s="139">
        <v>0</v>
      </c>
      <c r="AO160" s="139">
        <v>0</v>
      </c>
      <c r="AP160" s="139">
        <v>1</v>
      </c>
      <c r="AQ160" s="140">
        <v>3</v>
      </c>
      <c r="AR160" s="139">
        <v>1</v>
      </c>
      <c r="AS160" s="139">
        <v>1</v>
      </c>
      <c r="AT160" s="139">
        <v>0</v>
      </c>
      <c r="AU160" s="140">
        <v>2</v>
      </c>
      <c r="AV160" s="139">
        <v>2</v>
      </c>
      <c r="AW160" s="140">
        <v>2</v>
      </c>
      <c r="AX160" s="139">
        <v>7</v>
      </c>
      <c r="AY160" s="139">
        <v>0</v>
      </c>
      <c r="AZ160" s="139">
        <v>11</v>
      </c>
      <c r="BA160" s="139">
        <v>1</v>
      </c>
      <c r="BB160" s="139">
        <v>1</v>
      </c>
      <c r="BC160" s="139">
        <v>1</v>
      </c>
      <c r="BD160" s="139">
        <v>0</v>
      </c>
      <c r="BE160" s="139">
        <v>1</v>
      </c>
      <c r="BF160" s="139">
        <v>2</v>
      </c>
      <c r="BG160" s="139">
        <v>0</v>
      </c>
      <c r="BH160" s="140">
        <v>17</v>
      </c>
      <c r="BI160" s="140">
        <v>17</v>
      </c>
      <c r="BJ160" s="140">
        <v>2</v>
      </c>
      <c r="BK160" s="139">
        <v>0</v>
      </c>
      <c r="BL160" s="139">
        <v>2</v>
      </c>
      <c r="BM160" s="140">
        <v>1</v>
      </c>
      <c r="BN160" s="139">
        <v>1</v>
      </c>
      <c r="BO160" s="139">
        <v>1</v>
      </c>
      <c r="BP160" s="139">
        <v>0</v>
      </c>
      <c r="BQ160" s="139">
        <v>2</v>
      </c>
      <c r="BR160" s="139">
        <v>5</v>
      </c>
      <c r="BS160" s="140">
        <v>1</v>
      </c>
      <c r="BT160" s="139">
        <v>1</v>
      </c>
      <c r="BU160" s="139">
        <v>0</v>
      </c>
      <c r="BV160" s="139">
        <v>1</v>
      </c>
      <c r="BW160" s="139">
        <v>0</v>
      </c>
      <c r="BX160" s="139">
        <v>3</v>
      </c>
      <c r="BY160" s="140">
        <v>0</v>
      </c>
      <c r="BZ160" s="139">
        <v>1</v>
      </c>
      <c r="CA160" s="139">
        <v>1</v>
      </c>
      <c r="CB160" s="139">
        <v>2</v>
      </c>
      <c r="CC160" s="140">
        <v>1</v>
      </c>
      <c r="CD160" s="139">
        <v>1</v>
      </c>
      <c r="CE160" s="140">
        <v>51</v>
      </c>
    </row>
    <row r="161" spans="1:83">
      <c r="A161" s="137">
        <v>14</v>
      </c>
      <c r="B161" s="141" t="s">
        <v>139</v>
      </c>
      <c r="C161" s="142">
        <v>93</v>
      </c>
      <c r="D161" s="142">
        <v>132</v>
      </c>
      <c r="E161" s="142">
        <v>99</v>
      </c>
      <c r="F161" s="142">
        <v>0</v>
      </c>
      <c r="G161" s="142">
        <v>21</v>
      </c>
      <c r="H161" s="143">
        <v>345</v>
      </c>
      <c r="I161" s="142">
        <v>22</v>
      </c>
      <c r="J161" s="142">
        <v>14</v>
      </c>
      <c r="K161" s="142">
        <v>5</v>
      </c>
      <c r="L161" s="142">
        <v>11</v>
      </c>
      <c r="M161" s="143">
        <v>52</v>
      </c>
      <c r="N161" s="142">
        <v>16</v>
      </c>
      <c r="O161" s="142">
        <v>23</v>
      </c>
      <c r="P161" s="142">
        <v>9</v>
      </c>
      <c r="Q161" s="142">
        <v>12</v>
      </c>
      <c r="R161" s="143">
        <v>60</v>
      </c>
      <c r="S161" s="142">
        <v>15</v>
      </c>
      <c r="T161" s="143">
        <v>15</v>
      </c>
      <c r="U161" s="142">
        <v>10</v>
      </c>
      <c r="V161" s="142">
        <v>6</v>
      </c>
      <c r="W161" s="142">
        <v>16</v>
      </c>
      <c r="X161" s="142">
        <v>3</v>
      </c>
      <c r="Y161" s="143">
        <v>35</v>
      </c>
      <c r="Z161" s="142">
        <v>38</v>
      </c>
      <c r="AA161" s="142">
        <v>11</v>
      </c>
      <c r="AB161" s="142">
        <v>12</v>
      </c>
      <c r="AC161" s="143">
        <v>61</v>
      </c>
      <c r="AD161" s="142">
        <v>110</v>
      </c>
      <c r="AE161" s="143">
        <v>8</v>
      </c>
      <c r="AF161" s="142">
        <v>118</v>
      </c>
      <c r="AG161" s="142">
        <v>25</v>
      </c>
      <c r="AH161" s="142">
        <v>23</v>
      </c>
      <c r="AI161" s="143">
        <v>32</v>
      </c>
      <c r="AJ161" s="143">
        <v>80</v>
      </c>
      <c r="AK161" s="143">
        <v>766</v>
      </c>
      <c r="AL161" s="142">
        <v>15</v>
      </c>
      <c r="AM161" s="142">
        <v>21</v>
      </c>
      <c r="AN161" s="142">
        <v>13</v>
      </c>
      <c r="AO161" s="142">
        <v>9</v>
      </c>
      <c r="AP161" s="142">
        <v>18</v>
      </c>
      <c r="AQ161" s="143">
        <v>76</v>
      </c>
      <c r="AR161" s="142">
        <v>17</v>
      </c>
      <c r="AS161" s="142">
        <v>13</v>
      </c>
      <c r="AT161" s="142">
        <v>23</v>
      </c>
      <c r="AU161" s="143">
        <v>53</v>
      </c>
      <c r="AV161" s="142">
        <v>23</v>
      </c>
      <c r="AW161" s="143">
        <v>23</v>
      </c>
      <c r="AX161" s="142">
        <v>152</v>
      </c>
      <c r="AY161" s="142">
        <v>9</v>
      </c>
      <c r="AZ161" s="142">
        <v>9</v>
      </c>
      <c r="BA161" s="142">
        <v>11</v>
      </c>
      <c r="BB161" s="142">
        <v>15</v>
      </c>
      <c r="BC161" s="142">
        <v>7</v>
      </c>
      <c r="BD161" s="142">
        <v>10</v>
      </c>
      <c r="BE161" s="142">
        <v>8</v>
      </c>
      <c r="BF161" s="142">
        <v>13</v>
      </c>
      <c r="BG161" s="142">
        <v>12</v>
      </c>
      <c r="BH161" s="143">
        <v>94</v>
      </c>
      <c r="BI161" s="143">
        <v>94</v>
      </c>
      <c r="BJ161" s="143">
        <v>11</v>
      </c>
      <c r="BK161" s="142">
        <v>14</v>
      </c>
      <c r="BL161" s="142">
        <v>25</v>
      </c>
      <c r="BM161" s="143">
        <v>17</v>
      </c>
      <c r="BN161" s="142">
        <v>4</v>
      </c>
      <c r="BO161" s="142">
        <v>6</v>
      </c>
      <c r="BP161" s="142">
        <v>8</v>
      </c>
      <c r="BQ161" s="142">
        <v>4</v>
      </c>
      <c r="BR161" s="142">
        <v>39</v>
      </c>
      <c r="BS161" s="143">
        <v>11</v>
      </c>
      <c r="BT161" s="142">
        <v>16</v>
      </c>
      <c r="BU161" s="142">
        <v>11</v>
      </c>
      <c r="BV161" s="142">
        <v>6</v>
      </c>
      <c r="BW161" s="142">
        <v>3</v>
      </c>
      <c r="BX161" s="142">
        <v>47</v>
      </c>
      <c r="BY161" s="143">
        <v>12</v>
      </c>
      <c r="BZ161" s="142">
        <v>8</v>
      </c>
      <c r="CA161" s="142">
        <v>17</v>
      </c>
      <c r="CB161" s="142">
        <v>37</v>
      </c>
      <c r="CC161" s="143">
        <v>14</v>
      </c>
      <c r="CD161" s="142">
        <v>14</v>
      </c>
      <c r="CE161" s="143">
        <v>1174</v>
      </c>
    </row>
    <row r="162" spans="1:83">
      <c r="A162" s="137">
        <v>14</v>
      </c>
      <c r="B162" s="144" t="s">
        <v>140</v>
      </c>
      <c r="C162" s="145">
        <v>1962</v>
      </c>
      <c r="D162" s="145">
        <v>2010</v>
      </c>
      <c r="E162" s="145">
        <v>1168</v>
      </c>
      <c r="F162" s="145">
        <v>0</v>
      </c>
      <c r="G162" s="145">
        <v>7</v>
      </c>
      <c r="H162" s="146">
        <v>5147</v>
      </c>
      <c r="I162" s="145">
        <v>324</v>
      </c>
      <c r="J162" s="145">
        <v>11</v>
      </c>
      <c r="K162" s="145">
        <v>3</v>
      </c>
      <c r="L162" s="145">
        <v>17</v>
      </c>
      <c r="M162" s="146">
        <v>355</v>
      </c>
      <c r="N162" s="145">
        <v>125</v>
      </c>
      <c r="O162" s="145">
        <v>9</v>
      </c>
      <c r="P162" s="145">
        <v>0</v>
      </c>
      <c r="Q162" s="145">
        <v>13</v>
      </c>
      <c r="R162" s="146">
        <v>147</v>
      </c>
      <c r="S162" s="145">
        <v>43</v>
      </c>
      <c r="T162" s="146">
        <v>43</v>
      </c>
      <c r="U162" s="145">
        <v>0</v>
      </c>
      <c r="V162" s="145">
        <v>0</v>
      </c>
      <c r="W162" s="145">
        <v>1</v>
      </c>
      <c r="X162" s="145">
        <v>0</v>
      </c>
      <c r="Y162" s="146">
        <v>1</v>
      </c>
      <c r="Z162" s="145">
        <v>361</v>
      </c>
      <c r="AA162" s="145">
        <v>51</v>
      </c>
      <c r="AB162" s="145">
        <v>5</v>
      </c>
      <c r="AC162" s="146">
        <v>417</v>
      </c>
      <c r="AD162" s="145">
        <v>108</v>
      </c>
      <c r="AE162" s="146">
        <v>1</v>
      </c>
      <c r="AF162" s="145">
        <v>109</v>
      </c>
      <c r="AG162" s="145">
        <v>79</v>
      </c>
      <c r="AH162" s="145">
        <v>24</v>
      </c>
      <c r="AI162" s="146">
        <v>4</v>
      </c>
      <c r="AJ162" s="146">
        <v>107</v>
      </c>
      <c r="AK162" s="146">
        <v>6326</v>
      </c>
      <c r="AL162" s="145">
        <v>0</v>
      </c>
      <c r="AM162" s="145">
        <v>0</v>
      </c>
      <c r="AN162" s="145">
        <v>0</v>
      </c>
      <c r="AO162" s="145">
        <v>0</v>
      </c>
      <c r="AP162" s="145">
        <v>0</v>
      </c>
      <c r="AQ162" s="146">
        <v>0</v>
      </c>
      <c r="AR162" s="145">
        <v>0</v>
      </c>
      <c r="AS162" s="145">
        <v>0</v>
      </c>
      <c r="AT162" s="145">
        <v>0</v>
      </c>
      <c r="AU162" s="146">
        <v>0</v>
      </c>
      <c r="AV162" s="145">
        <v>0</v>
      </c>
      <c r="AW162" s="146">
        <v>0</v>
      </c>
      <c r="AX162" s="145">
        <v>0</v>
      </c>
      <c r="AY162" s="145">
        <v>0</v>
      </c>
      <c r="AZ162" s="145">
        <v>0</v>
      </c>
      <c r="BA162" s="145">
        <v>0</v>
      </c>
      <c r="BB162" s="145">
        <v>0</v>
      </c>
      <c r="BC162" s="145">
        <v>0</v>
      </c>
      <c r="BD162" s="145">
        <v>0</v>
      </c>
      <c r="BE162" s="145">
        <v>0</v>
      </c>
      <c r="BF162" s="145">
        <v>0</v>
      </c>
      <c r="BG162" s="145">
        <v>0</v>
      </c>
      <c r="BH162" s="146">
        <v>0</v>
      </c>
      <c r="BI162" s="146">
        <v>0</v>
      </c>
      <c r="BJ162" s="146">
        <v>1</v>
      </c>
      <c r="BK162" s="145">
        <v>33</v>
      </c>
      <c r="BL162" s="145">
        <v>34</v>
      </c>
      <c r="BM162" s="146">
        <v>0</v>
      </c>
      <c r="BN162" s="145">
        <v>0</v>
      </c>
      <c r="BO162" s="145">
        <v>0</v>
      </c>
      <c r="BP162" s="145">
        <v>0</v>
      </c>
      <c r="BQ162" s="145">
        <v>0</v>
      </c>
      <c r="BR162" s="145">
        <v>0</v>
      </c>
      <c r="BS162" s="146">
        <v>6</v>
      </c>
      <c r="BT162" s="145">
        <v>0</v>
      </c>
      <c r="BU162" s="145">
        <v>3</v>
      </c>
      <c r="BV162" s="145">
        <v>0</v>
      </c>
      <c r="BW162" s="145">
        <v>67</v>
      </c>
      <c r="BX162" s="145">
        <v>76</v>
      </c>
      <c r="BY162" s="146">
        <v>0</v>
      </c>
      <c r="BZ162" s="145">
        <v>0</v>
      </c>
      <c r="CA162" s="145">
        <v>0</v>
      </c>
      <c r="CB162" s="145">
        <v>0</v>
      </c>
      <c r="CC162" s="146">
        <v>0</v>
      </c>
      <c r="CD162" s="145">
        <v>0</v>
      </c>
      <c r="CE162" s="146">
        <v>6436</v>
      </c>
    </row>
    <row r="163" spans="1:83">
      <c r="A163" s="137">
        <v>14</v>
      </c>
      <c r="B163" s="147" t="s">
        <v>195</v>
      </c>
      <c r="C163" s="148">
        <v>2055</v>
      </c>
      <c r="D163" s="148">
        <v>2142</v>
      </c>
      <c r="E163" s="148">
        <v>1267</v>
      </c>
      <c r="F163" s="148">
        <v>0</v>
      </c>
      <c r="G163" s="148">
        <v>28</v>
      </c>
      <c r="H163" s="149">
        <v>5492</v>
      </c>
      <c r="I163" s="148">
        <v>346</v>
      </c>
      <c r="J163" s="148">
        <v>25</v>
      </c>
      <c r="K163" s="148">
        <v>8</v>
      </c>
      <c r="L163" s="148">
        <v>28</v>
      </c>
      <c r="M163" s="149">
        <v>407</v>
      </c>
      <c r="N163" s="148">
        <v>141</v>
      </c>
      <c r="O163" s="148">
        <v>32</v>
      </c>
      <c r="P163" s="148">
        <v>9</v>
      </c>
      <c r="Q163" s="148">
        <v>25</v>
      </c>
      <c r="R163" s="149">
        <v>207</v>
      </c>
      <c r="S163" s="148">
        <v>58</v>
      </c>
      <c r="T163" s="149">
        <v>58</v>
      </c>
      <c r="U163" s="148">
        <v>10</v>
      </c>
      <c r="V163" s="148">
        <v>6</v>
      </c>
      <c r="W163" s="148">
        <v>17</v>
      </c>
      <c r="X163" s="148">
        <v>3</v>
      </c>
      <c r="Y163" s="149">
        <v>36</v>
      </c>
      <c r="Z163" s="148">
        <v>399</v>
      </c>
      <c r="AA163" s="148">
        <v>62</v>
      </c>
      <c r="AB163" s="148">
        <v>17</v>
      </c>
      <c r="AC163" s="149">
        <v>478</v>
      </c>
      <c r="AD163" s="148">
        <v>218</v>
      </c>
      <c r="AE163" s="149">
        <v>9</v>
      </c>
      <c r="AF163" s="148">
        <v>227</v>
      </c>
      <c r="AG163" s="148">
        <v>104</v>
      </c>
      <c r="AH163" s="148">
        <v>47</v>
      </c>
      <c r="AI163" s="149">
        <v>36</v>
      </c>
      <c r="AJ163" s="149">
        <v>187</v>
      </c>
      <c r="AK163" s="149">
        <v>7092</v>
      </c>
      <c r="AL163" s="148">
        <v>15</v>
      </c>
      <c r="AM163" s="148">
        <v>21</v>
      </c>
      <c r="AN163" s="148">
        <v>13</v>
      </c>
      <c r="AO163" s="148">
        <v>9</v>
      </c>
      <c r="AP163" s="148">
        <v>18</v>
      </c>
      <c r="AQ163" s="149">
        <v>76</v>
      </c>
      <c r="AR163" s="148">
        <v>17</v>
      </c>
      <c r="AS163" s="148">
        <v>13</v>
      </c>
      <c r="AT163" s="148">
        <v>23</v>
      </c>
      <c r="AU163" s="149">
        <v>53</v>
      </c>
      <c r="AV163" s="148">
        <v>23</v>
      </c>
      <c r="AW163" s="149">
        <v>23</v>
      </c>
      <c r="AX163" s="148">
        <v>152</v>
      </c>
      <c r="AY163" s="148">
        <v>9</v>
      </c>
      <c r="AZ163" s="148">
        <v>9</v>
      </c>
      <c r="BA163" s="148">
        <v>11</v>
      </c>
      <c r="BB163" s="148">
        <v>15</v>
      </c>
      <c r="BC163" s="148">
        <v>7</v>
      </c>
      <c r="BD163" s="148">
        <v>10</v>
      </c>
      <c r="BE163" s="148">
        <v>8</v>
      </c>
      <c r="BF163" s="148">
        <v>13</v>
      </c>
      <c r="BG163" s="148">
        <v>12</v>
      </c>
      <c r="BH163" s="149">
        <v>94</v>
      </c>
      <c r="BI163" s="149">
        <v>94</v>
      </c>
      <c r="BJ163" s="149">
        <v>12</v>
      </c>
      <c r="BK163" s="148">
        <v>47</v>
      </c>
      <c r="BL163" s="148">
        <v>59</v>
      </c>
      <c r="BM163" s="149">
        <v>17</v>
      </c>
      <c r="BN163" s="148">
        <v>4</v>
      </c>
      <c r="BO163" s="148">
        <v>6</v>
      </c>
      <c r="BP163" s="148">
        <v>8</v>
      </c>
      <c r="BQ163" s="148">
        <v>4</v>
      </c>
      <c r="BR163" s="148">
        <v>39</v>
      </c>
      <c r="BS163" s="149">
        <v>17</v>
      </c>
      <c r="BT163" s="148">
        <v>16</v>
      </c>
      <c r="BU163" s="148">
        <v>14</v>
      </c>
      <c r="BV163" s="148">
        <v>6</v>
      </c>
      <c r="BW163" s="148">
        <v>70</v>
      </c>
      <c r="BX163" s="148">
        <v>123</v>
      </c>
      <c r="BY163" s="149">
        <v>12</v>
      </c>
      <c r="BZ163" s="148">
        <v>8</v>
      </c>
      <c r="CA163" s="148">
        <v>17</v>
      </c>
      <c r="CB163" s="148">
        <v>37</v>
      </c>
      <c r="CC163" s="149">
        <v>14</v>
      </c>
      <c r="CD163" s="148">
        <v>14</v>
      </c>
      <c r="CE163" s="149">
        <v>7610</v>
      </c>
    </row>
    <row r="164" spans="1:83" ht="15" thickBot="1">
      <c r="A164" s="137">
        <v>14</v>
      </c>
      <c r="B164" s="123" t="s">
        <v>196</v>
      </c>
      <c r="C164" s="124">
        <v>2057</v>
      </c>
      <c r="D164" s="124">
        <v>2142</v>
      </c>
      <c r="E164" s="124">
        <v>1267</v>
      </c>
      <c r="F164" s="124">
        <v>0</v>
      </c>
      <c r="G164" s="124">
        <v>28</v>
      </c>
      <c r="H164" s="125">
        <v>5494</v>
      </c>
      <c r="I164" s="124">
        <v>347</v>
      </c>
      <c r="J164" s="124">
        <v>25</v>
      </c>
      <c r="K164" s="124">
        <v>8</v>
      </c>
      <c r="L164" s="124">
        <v>28</v>
      </c>
      <c r="M164" s="125">
        <v>408</v>
      </c>
      <c r="N164" s="124">
        <v>142</v>
      </c>
      <c r="O164" s="124">
        <v>34</v>
      </c>
      <c r="P164" s="124">
        <v>9</v>
      </c>
      <c r="Q164" s="124">
        <v>25</v>
      </c>
      <c r="R164" s="125">
        <v>210</v>
      </c>
      <c r="S164" s="124">
        <v>60</v>
      </c>
      <c r="T164" s="125">
        <v>60</v>
      </c>
      <c r="U164" s="124">
        <v>11</v>
      </c>
      <c r="V164" s="124">
        <v>6</v>
      </c>
      <c r="W164" s="124">
        <v>17</v>
      </c>
      <c r="X164" s="124">
        <v>3</v>
      </c>
      <c r="Y164" s="125">
        <v>37</v>
      </c>
      <c r="Z164" s="124">
        <v>399</v>
      </c>
      <c r="AA164" s="124">
        <v>62</v>
      </c>
      <c r="AB164" s="124">
        <v>18</v>
      </c>
      <c r="AC164" s="125">
        <v>479</v>
      </c>
      <c r="AD164" s="124">
        <v>220</v>
      </c>
      <c r="AE164" s="125">
        <v>9</v>
      </c>
      <c r="AF164" s="124">
        <v>229</v>
      </c>
      <c r="AG164" s="124">
        <v>104</v>
      </c>
      <c r="AH164" s="124">
        <v>47</v>
      </c>
      <c r="AI164" s="125">
        <v>38</v>
      </c>
      <c r="AJ164" s="125">
        <v>189</v>
      </c>
      <c r="AK164" s="125">
        <v>7106</v>
      </c>
      <c r="AL164" s="124">
        <v>15</v>
      </c>
      <c r="AM164" s="124">
        <v>23</v>
      </c>
      <c r="AN164" s="124">
        <v>13</v>
      </c>
      <c r="AO164" s="124">
        <v>9</v>
      </c>
      <c r="AP164" s="124">
        <v>19</v>
      </c>
      <c r="AQ164" s="125">
        <v>79</v>
      </c>
      <c r="AR164" s="124">
        <v>18</v>
      </c>
      <c r="AS164" s="124">
        <v>14</v>
      </c>
      <c r="AT164" s="124">
        <v>23</v>
      </c>
      <c r="AU164" s="125">
        <v>55</v>
      </c>
      <c r="AV164" s="124">
        <v>25</v>
      </c>
      <c r="AW164" s="125">
        <v>25</v>
      </c>
      <c r="AX164" s="124">
        <v>159</v>
      </c>
      <c r="AY164" s="124">
        <v>9</v>
      </c>
      <c r="AZ164" s="124">
        <v>20</v>
      </c>
      <c r="BA164" s="124">
        <v>12</v>
      </c>
      <c r="BB164" s="124">
        <v>16</v>
      </c>
      <c r="BC164" s="124">
        <v>8</v>
      </c>
      <c r="BD164" s="124">
        <v>10</v>
      </c>
      <c r="BE164" s="124">
        <v>9</v>
      </c>
      <c r="BF164" s="124">
        <v>15</v>
      </c>
      <c r="BG164" s="124">
        <v>12</v>
      </c>
      <c r="BH164" s="125">
        <v>111</v>
      </c>
      <c r="BI164" s="125">
        <v>111</v>
      </c>
      <c r="BJ164" s="125">
        <v>14</v>
      </c>
      <c r="BK164" s="124">
        <v>47</v>
      </c>
      <c r="BL164" s="124">
        <v>61</v>
      </c>
      <c r="BM164" s="125">
        <v>18</v>
      </c>
      <c r="BN164" s="124">
        <v>5</v>
      </c>
      <c r="BO164" s="124">
        <v>7</v>
      </c>
      <c r="BP164" s="124">
        <v>8</v>
      </c>
      <c r="BQ164" s="124">
        <v>6</v>
      </c>
      <c r="BR164" s="124">
        <v>44</v>
      </c>
      <c r="BS164" s="125">
        <v>18</v>
      </c>
      <c r="BT164" s="124">
        <v>17</v>
      </c>
      <c r="BU164" s="124">
        <v>14</v>
      </c>
      <c r="BV164" s="124">
        <v>7</v>
      </c>
      <c r="BW164" s="124">
        <v>70</v>
      </c>
      <c r="BX164" s="124">
        <v>126</v>
      </c>
      <c r="BY164" s="125">
        <v>12</v>
      </c>
      <c r="BZ164" s="124">
        <v>9</v>
      </c>
      <c r="CA164" s="124">
        <v>18</v>
      </c>
      <c r="CB164" s="124">
        <v>39</v>
      </c>
      <c r="CC164" s="125">
        <v>15</v>
      </c>
      <c r="CD164" s="124">
        <v>15</v>
      </c>
      <c r="CE164" s="125">
        <v>7661</v>
      </c>
    </row>
    <row r="165" spans="1:83">
      <c r="A165" s="150"/>
      <c r="B165" s="151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  <c r="AW165" s="152"/>
      <c r="AX165" s="152"/>
      <c r="AY165" s="152"/>
      <c r="AZ165" s="152"/>
      <c r="BA165" s="152"/>
      <c r="BB165" s="152"/>
      <c r="BC165" s="152"/>
      <c r="BD165" s="152"/>
      <c r="BE165" s="152"/>
      <c r="BF165" s="152"/>
      <c r="BG165" s="152"/>
      <c r="BH165" s="152"/>
      <c r="BI165" s="152"/>
      <c r="BJ165" s="152"/>
      <c r="BK165" s="152"/>
      <c r="BL165" s="152"/>
      <c r="BM165" s="152"/>
      <c r="BN165" s="152"/>
      <c r="BO165" s="152"/>
      <c r="BP165" s="152"/>
      <c r="BQ165" s="152"/>
      <c r="BR165" s="152"/>
      <c r="BS165" s="152"/>
      <c r="BT165" s="152"/>
      <c r="BU165" s="152"/>
      <c r="BV165" s="152"/>
      <c r="BW165" s="152"/>
      <c r="BX165" s="152"/>
      <c r="BY165" s="152"/>
      <c r="BZ165" s="152"/>
      <c r="CA165" s="152"/>
      <c r="CB165" s="152"/>
      <c r="CC165" s="152"/>
      <c r="CD165" s="152"/>
      <c r="CE165" s="152"/>
    </row>
    <row r="166" spans="1:83" ht="21.5" thickBot="1">
      <c r="A166" s="153">
        <v>3</v>
      </c>
      <c r="B166" s="110" t="s">
        <v>3</v>
      </c>
      <c r="C166" s="129"/>
      <c r="D166" s="129"/>
      <c r="E166" s="129"/>
      <c r="F166" s="129"/>
      <c r="G166" s="129"/>
      <c r="H166" s="130"/>
      <c r="I166" s="129"/>
      <c r="J166" s="129"/>
      <c r="K166" s="129"/>
      <c r="L166" s="129"/>
      <c r="M166" s="130"/>
      <c r="N166" s="129"/>
      <c r="O166" s="129"/>
      <c r="P166" s="129"/>
      <c r="Q166" s="129"/>
      <c r="R166" s="130"/>
      <c r="S166" s="129"/>
      <c r="T166" s="130"/>
      <c r="U166" s="129"/>
      <c r="V166" s="129"/>
      <c r="W166" s="129"/>
      <c r="X166" s="129"/>
      <c r="Y166" s="130"/>
      <c r="Z166" s="129"/>
      <c r="AA166" s="129"/>
      <c r="AB166" s="129"/>
      <c r="AC166" s="130"/>
      <c r="AD166" s="129"/>
      <c r="AE166" s="130"/>
      <c r="AF166" s="129"/>
      <c r="AG166" s="129"/>
      <c r="AH166" s="129"/>
      <c r="AI166" s="130"/>
      <c r="AJ166" s="130"/>
      <c r="AK166" s="130"/>
      <c r="AL166" s="129"/>
      <c r="AM166" s="129"/>
      <c r="AN166" s="129"/>
      <c r="AO166" s="129"/>
      <c r="AP166" s="129"/>
      <c r="AQ166" s="130"/>
      <c r="AR166" s="129"/>
      <c r="AS166" s="129"/>
      <c r="AT166" s="129"/>
      <c r="AU166" s="130"/>
      <c r="AV166" s="129"/>
      <c r="AW166" s="130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30"/>
      <c r="BI166" s="130"/>
      <c r="BJ166" s="130"/>
      <c r="BK166" s="129"/>
      <c r="BL166" s="129"/>
      <c r="BM166" s="130"/>
      <c r="BN166" s="129"/>
      <c r="BO166" s="129"/>
      <c r="BP166" s="129"/>
      <c r="BQ166" s="129"/>
      <c r="BR166" s="129"/>
      <c r="BS166" s="130"/>
      <c r="BT166" s="129"/>
      <c r="BU166" s="129"/>
      <c r="BV166" s="129"/>
      <c r="BW166" s="129"/>
      <c r="BX166" s="129"/>
      <c r="BY166" s="130"/>
      <c r="BZ166" s="129"/>
      <c r="CA166" s="129"/>
      <c r="CB166" s="129"/>
      <c r="CC166" s="130"/>
      <c r="CD166" s="129"/>
      <c r="CE166" s="130"/>
    </row>
    <row r="167" spans="1:83">
      <c r="A167" s="137">
        <v>15</v>
      </c>
      <c r="B167" s="138" t="s">
        <v>194</v>
      </c>
      <c r="C167" s="139">
        <v>2</v>
      </c>
      <c r="D167" s="139">
        <v>0</v>
      </c>
      <c r="E167" s="139">
        <v>0</v>
      </c>
      <c r="F167" s="139">
        <v>0</v>
      </c>
      <c r="G167" s="139">
        <v>0</v>
      </c>
      <c r="H167" s="140">
        <v>2</v>
      </c>
      <c r="I167" s="139">
        <v>1</v>
      </c>
      <c r="J167" s="139">
        <v>0</v>
      </c>
      <c r="K167" s="139">
        <v>0</v>
      </c>
      <c r="L167" s="139">
        <v>0</v>
      </c>
      <c r="M167" s="140">
        <v>1</v>
      </c>
      <c r="N167" s="139">
        <v>1</v>
      </c>
      <c r="O167" s="139">
        <v>2</v>
      </c>
      <c r="P167" s="139">
        <v>0</v>
      </c>
      <c r="Q167" s="139">
        <v>0</v>
      </c>
      <c r="R167" s="140">
        <v>3</v>
      </c>
      <c r="S167" s="139">
        <v>2</v>
      </c>
      <c r="T167" s="140">
        <v>2</v>
      </c>
      <c r="U167" s="139">
        <v>1</v>
      </c>
      <c r="V167" s="139">
        <v>0</v>
      </c>
      <c r="W167" s="139">
        <v>0</v>
      </c>
      <c r="X167" s="139">
        <v>0</v>
      </c>
      <c r="Y167" s="140">
        <v>1</v>
      </c>
      <c r="Z167" s="139">
        <v>0</v>
      </c>
      <c r="AA167" s="139">
        <v>0</v>
      </c>
      <c r="AB167" s="139">
        <v>1</v>
      </c>
      <c r="AC167" s="140">
        <v>1</v>
      </c>
      <c r="AD167" s="139">
        <v>2</v>
      </c>
      <c r="AE167" s="140">
        <v>0</v>
      </c>
      <c r="AF167" s="139">
        <v>2</v>
      </c>
      <c r="AG167" s="139">
        <v>0</v>
      </c>
      <c r="AH167" s="139">
        <v>0</v>
      </c>
      <c r="AI167" s="140">
        <v>2</v>
      </c>
      <c r="AJ167" s="140">
        <v>2</v>
      </c>
      <c r="AK167" s="140">
        <v>14</v>
      </c>
      <c r="AL167" s="139">
        <v>0</v>
      </c>
      <c r="AM167" s="139">
        <v>2</v>
      </c>
      <c r="AN167" s="139">
        <v>0</v>
      </c>
      <c r="AO167" s="139">
        <v>0</v>
      </c>
      <c r="AP167" s="139">
        <v>1</v>
      </c>
      <c r="AQ167" s="140">
        <v>3</v>
      </c>
      <c r="AR167" s="139">
        <v>1</v>
      </c>
      <c r="AS167" s="139">
        <v>1</v>
      </c>
      <c r="AT167" s="139">
        <v>0</v>
      </c>
      <c r="AU167" s="140">
        <v>2</v>
      </c>
      <c r="AV167" s="139">
        <v>2</v>
      </c>
      <c r="AW167" s="140">
        <v>2</v>
      </c>
      <c r="AX167" s="139">
        <v>7</v>
      </c>
      <c r="AY167" s="139">
        <v>0</v>
      </c>
      <c r="AZ167" s="139">
        <v>11</v>
      </c>
      <c r="BA167" s="139">
        <v>1</v>
      </c>
      <c r="BB167" s="139">
        <v>1</v>
      </c>
      <c r="BC167" s="139">
        <v>1</v>
      </c>
      <c r="BD167" s="139">
        <v>0</v>
      </c>
      <c r="BE167" s="139">
        <v>1</v>
      </c>
      <c r="BF167" s="139">
        <v>2</v>
      </c>
      <c r="BG167" s="139">
        <v>0</v>
      </c>
      <c r="BH167" s="140">
        <v>17</v>
      </c>
      <c r="BI167" s="140">
        <v>17</v>
      </c>
      <c r="BJ167" s="140">
        <v>2</v>
      </c>
      <c r="BK167" s="139">
        <v>0</v>
      </c>
      <c r="BL167" s="139">
        <v>2</v>
      </c>
      <c r="BM167" s="140">
        <v>1</v>
      </c>
      <c r="BN167" s="139">
        <v>1</v>
      </c>
      <c r="BO167" s="139">
        <v>1</v>
      </c>
      <c r="BP167" s="139">
        <v>0</v>
      </c>
      <c r="BQ167" s="139">
        <v>2</v>
      </c>
      <c r="BR167" s="139">
        <v>5</v>
      </c>
      <c r="BS167" s="140">
        <v>1</v>
      </c>
      <c r="BT167" s="139">
        <v>1</v>
      </c>
      <c r="BU167" s="139">
        <v>0</v>
      </c>
      <c r="BV167" s="139">
        <v>1</v>
      </c>
      <c r="BW167" s="139">
        <v>0</v>
      </c>
      <c r="BX167" s="139">
        <v>3</v>
      </c>
      <c r="BY167" s="140">
        <v>0</v>
      </c>
      <c r="BZ167" s="139">
        <v>1</v>
      </c>
      <c r="CA167" s="139">
        <v>1</v>
      </c>
      <c r="CB167" s="139">
        <v>2</v>
      </c>
      <c r="CC167" s="140">
        <v>1</v>
      </c>
      <c r="CD167" s="139">
        <v>1</v>
      </c>
      <c r="CE167" s="140">
        <v>51</v>
      </c>
    </row>
    <row r="168" spans="1:83">
      <c r="A168" s="137">
        <v>15</v>
      </c>
      <c r="B168" s="141" t="s">
        <v>139</v>
      </c>
      <c r="C168" s="142">
        <v>93</v>
      </c>
      <c r="D168" s="142">
        <v>132</v>
      </c>
      <c r="E168" s="142">
        <v>99</v>
      </c>
      <c r="F168" s="142">
        <v>0</v>
      </c>
      <c r="G168" s="142">
        <v>21</v>
      </c>
      <c r="H168" s="143">
        <v>345</v>
      </c>
      <c r="I168" s="142">
        <v>22</v>
      </c>
      <c r="J168" s="142">
        <v>14</v>
      </c>
      <c r="K168" s="142">
        <v>5</v>
      </c>
      <c r="L168" s="142">
        <v>11</v>
      </c>
      <c r="M168" s="143">
        <v>52</v>
      </c>
      <c r="N168" s="142">
        <v>16</v>
      </c>
      <c r="O168" s="142">
        <v>23</v>
      </c>
      <c r="P168" s="142">
        <v>9</v>
      </c>
      <c r="Q168" s="142">
        <v>12</v>
      </c>
      <c r="R168" s="143">
        <v>60</v>
      </c>
      <c r="S168" s="142">
        <v>15</v>
      </c>
      <c r="T168" s="143">
        <v>15</v>
      </c>
      <c r="U168" s="142">
        <v>10</v>
      </c>
      <c r="V168" s="142">
        <v>6</v>
      </c>
      <c r="W168" s="142">
        <v>16</v>
      </c>
      <c r="X168" s="142">
        <v>3</v>
      </c>
      <c r="Y168" s="143">
        <v>35</v>
      </c>
      <c r="Z168" s="142">
        <v>38</v>
      </c>
      <c r="AA168" s="142">
        <v>11</v>
      </c>
      <c r="AB168" s="142">
        <v>12</v>
      </c>
      <c r="AC168" s="143">
        <v>61</v>
      </c>
      <c r="AD168" s="142">
        <v>110</v>
      </c>
      <c r="AE168" s="143">
        <v>8</v>
      </c>
      <c r="AF168" s="142">
        <v>118</v>
      </c>
      <c r="AG168" s="142">
        <v>25</v>
      </c>
      <c r="AH168" s="142">
        <v>23</v>
      </c>
      <c r="AI168" s="143">
        <v>32</v>
      </c>
      <c r="AJ168" s="143">
        <v>80</v>
      </c>
      <c r="AK168" s="143">
        <v>766</v>
      </c>
      <c r="AL168" s="142">
        <v>15</v>
      </c>
      <c r="AM168" s="142">
        <v>21</v>
      </c>
      <c r="AN168" s="142">
        <v>13</v>
      </c>
      <c r="AO168" s="142">
        <v>9</v>
      </c>
      <c r="AP168" s="142">
        <v>18</v>
      </c>
      <c r="AQ168" s="143">
        <v>76</v>
      </c>
      <c r="AR168" s="142">
        <v>17</v>
      </c>
      <c r="AS168" s="142">
        <v>13</v>
      </c>
      <c r="AT168" s="142">
        <v>23</v>
      </c>
      <c r="AU168" s="143">
        <v>53</v>
      </c>
      <c r="AV168" s="142">
        <v>23</v>
      </c>
      <c r="AW168" s="143">
        <v>23</v>
      </c>
      <c r="AX168" s="142">
        <v>152</v>
      </c>
      <c r="AY168" s="142">
        <v>9</v>
      </c>
      <c r="AZ168" s="142">
        <v>9</v>
      </c>
      <c r="BA168" s="142">
        <v>11</v>
      </c>
      <c r="BB168" s="142">
        <v>15</v>
      </c>
      <c r="BC168" s="142">
        <v>7</v>
      </c>
      <c r="BD168" s="142">
        <v>10</v>
      </c>
      <c r="BE168" s="142">
        <v>8</v>
      </c>
      <c r="BF168" s="142">
        <v>13</v>
      </c>
      <c r="BG168" s="142">
        <v>12</v>
      </c>
      <c r="BH168" s="143">
        <v>94</v>
      </c>
      <c r="BI168" s="143">
        <v>94</v>
      </c>
      <c r="BJ168" s="143">
        <v>11</v>
      </c>
      <c r="BK168" s="142">
        <v>14</v>
      </c>
      <c r="BL168" s="142">
        <v>25</v>
      </c>
      <c r="BM168" s="143">
        <v>17</v>
      </c>
      <c r="BN168" s="142">
        <v>4</v>
      </c>
      <c r="BO168" s="142">
        <v>6</v>
      </c>
      <c r="BP168" s="142">
        <v>8</v>
      </c>
      <c r="BQ168" s="142">
        <v>4</v>
      </c>
      <c r="BR168" s="142">
        <v>39</v>
      </c>
      <c r="BS168" s="143">
        <v>11</v>
      </c>
      <c r="BT168" s="142">
        <v>16</v>
      </c>
      <c r="BU168" s="142">
        <v>11</v>
      </c>
      <c r="BV168" s="142">
        <v>6</v>
      </c>
      <c r="BW168" s="142">
        <v>3</v>
      </c>
      <c r="BX168" s="142">
        <v>47</v>
      </c>
      <c r="BY168" s="143">
        <v>12</v>
      </c>
      <c r="BZ168" s="142">
        <v>8</v>
      </c>
      <c r="CA168" s="142">
        <v>17</v>
      </c>
      <c r="CB168" s="142">
        <v>37</v>
      </c>
      <c r="CC168" s="143">
        <v>14</v>
      </c>
      <c r="CD168" s="142">
        <v>14</v>
      </c>
      <c r="CE168" s="143">
        <v>1174</v>
      </c>
    </row>
    <row r="169" spans="1:83">
      <c r="A169" s="137">
        <v>15</v>
      </c>
      <c r="B169" s="144" t="s">
        <v>140</v>
      </c>
      <c r="C169" s="145">
        <v>1789</v>
      </c>
      <c r="D169" s="145">
        <v>1761</v>
      </c>
      <c r="E169" s="145">
        <v>1123</v>
      </c>
      <c r="F169" s="145">
        <v>0</v>
      </c>
      <c r="G169" s="145">
        <v>7</v>
      </c>
      <c r="H169" s="146">
        <v>4680</v>
      </c>
      <c r="I169" s="145">
        <v>324</v>
      </c>
      <c r="J169" s="145">
        <v>11</v>
      </c>
      <c r="K169" s="145">
        <v>3</v>
      </c>
      <c r="L169" s="145">
        <v>19</v>
      </c>
      <c r="M169" s="146">
        <v>357</v>
      </c>
      <c r="N169" s="145">
        <v>125</v>
      </c>
      <c r="O169" s="145">
        <v>9</v>
      </c>
      <c r="P169" s="145">
        <v>0</v>
      </c>
      <c r="Q169" s="145">
        <v>13</v>
      </c>
      <c r="R169" s="146">
        <v>147</v>
      </c>
      <c r="S169" s="145">
        <v>43</v>
      </c>
      <c r="T169" s="146">
        <v>43</v>
      </c>
      <c r="U169" s="145">
        <v>0</v>
      </c>
      <c r="V169" s="145">
        <v>0</v>
      </c>
      <c r="W169" s="145">
        <v>1</v>
      </c>
      <c r="X169" s="145">
        <v>0</v>
      </c>
      <c r="Y169" s="146">
        <v>1</v>
      </c>
      <c r="Z169" s="145">
        <v>359</v>
      </c>
      <c r="AA169" s="145">
        <v>50</v>
      </c>
      <c r="AB169" s="145">
        <v>5</v>
      </c>
      <c r="AC169" s="146">
        <v>414</v>
      </c>
      <c r="AD169" s="145">
        <v>108</v>
      </c>
      <c r="AE169" s="146">
        <v>1</v>
      </c>
      <c r="AF169" s="145">
        <v>109</v>
      </c>
      <c r="AG169" s="145">
        <v>79</v>
      </c>
      <c r="AH169" s="145">
        <v>24</v>
      </c>
      <c r="AI169" s="146">
        <v>4</v>
      </c>
      <c r="AJ169" s="146">
        <v>107</v>
      </c>
      <c r="AK169" s="146">
        <v>5858</v>
      </c>
      <c r="AL169" s="145">
        <v>0</v>
      </c>
      <c r="AM169" s="145">
        <v>0</v>
      </c>
      <c r="AN169" s="145">
        <v>0</v>
      </c>
      <c r="AO169" s="145">
        <v>0</v>
      </c>
      <c r="AP169" s="145">
        <v>0</v>
      </c>
      <c r="AQ169" s="146">
        <v>0</v>
      </c>
      <c r="AR169" s="145">
        <v>0</v>
      </c>
      <c r="AS169" s="145">
        <v>0</v>
      </c>
      <c r="AT169" s="145">
        <v>0</v>
      </c>
      <c r="AU169" s="146">
        <v>0</v>
      </c>
      <c r="AV169" s="145">
        <v>0</v>
      </c>
      <c r="AW169" s="146">
        <v>0</v>
      </c>
      <c r="AX169" s="145">
        <v>0</v>
      </c>
      <c r="AY169" s="145">
        <v>0</v>
      </c>
      <c r="AZ169" s="145">
        <v>0</v>
      </c>
      <c r="BA169" s="145">
        <v>0</v>
      </c>
      <c r="BB169" s="145">
        <v>0</v>
      </c>
      <c r="BC169" s="145">
        <v>0</v>
      </c>
      <c r="BD169" s="145">
        <v>0</v>
      </c>
      <c r="BE169" s="145">
        <v>0</v>
      </c>
      <c r="BF169" s="145">
        <v>0</v>
      </c>
      <c r="BG169" s="145">
        <v>0</v>
      </c>
      <c r="BH169" s="146">
        <v>0</v>
      </c>
      <c r="BI169" s="146">
        <v>0</v>
      </c>
      <c r="BJ169" s="146">
        <v>1</v>
      </c>
      <c r="BK169" s="145">
        <v>33</v>
      </c>
      <c r="BL169" s="145">
        <v>34</v>
      </c>
      <c r="BM169" s="146">
        <v>0</v>
      </c>
      <c r="BN169" s="145">
        <v>0</v>
      </c>
      <c r="BO169" s="145">
        <v>0</v>
      </c>
      <c r="BP169" s="145">
        <v>0</v>
      </c>
      <c r="BQ169" s="145">
        <v>0</v>
      </c>
      <c r="BR169" s="145">
        <v>0</v>
      </c>
      <c r="BS169" s="146">
        <v>6</v>
      </c>
      <c r="BT169" s="145">
        <v>0</v>
      </c>
      <c r="BU169" s="145">
        <v>3</v>
      </c>
      <c r="BV169" s="145">
        <v>0</v>
      </c>
      <c r="BW169" s="145">
        <v>67</v>
      </c>
      <c r="BX169" s="145">
        <v>76</v>
      </c>
      <c r="BY169" s="146">
        <v>0</v>
      </c>
      <c r="BZ169" s="145">
        <v>0</v>
      </c>
      <c r="CA169" s="145">
        <v>0</v>
      </c>
      <c r="CB169" s="145">
        <v>0</v>
      </c>
      <c r="CC169" s="146">
        <v>0</v>
      </c>
      <c r="CD169" s="145">
        <v>0</v>
      </c>
      <c r="CE169" s="146">
        <v>5968</v>
      </c>
    </row>
    <row r="170" spans="1:83">
      <c r="A170" s="137">
        <v>15</v>
      </c>
      <c r="B170" s="147" t="s">
        <v>195</v>
      </c>
      <c r="C170" s="148">
        <v>1882</v>
      </c>
      <c r="D170" s="148">
        <v>1893</v>
      </c>
      <c r="E170" s="148">
        <v>1222</v>
      </c>
      <c r="F170" s="148">
        <v>0</v>
      </c>
      <c r="G170" s="148">
        <v>28</v>
      </c>
      <c r="H170" s="149">
        <v>5025</v>
      </c>
      <c r="I170" s="148">
        <v>346</v>
      </c>
      <c r="J170" s="148">
        <v>25</v>
      </c>
      <c r="K170" s="148">
        <v>8</v>
      </c>
      <c r="L170" s="148">
        <v>30</v>
      </c>
      <c r="M170" s="149">
        <v>409</v>
      </c>
      <c r="N170" s="148">
        <v>141</v>
      </c>
      <c r="O170" s="148">
        <v>32</v>
      </c>
      <c r="P170" s="148">
        <v>9</v>
      </c>
      <c r="Q170" s="148">
        <v>25</v>
      </c>
      <c r="R170" s="149">
        <v>207</v>
      </c>
      <c r="S170" s="148">
        <v>58</v>
      </c>
      <c r="T170" s="149">
        <v>58</v>
      </c>
      <c r="U170" s="148">
        <v>10</v>
      </c>
      <c r="V170" s="148">
        <v>6</v>
      </c>
      <c r="W170" s="148">
        <v>17</v>
      </c>
      <c r="X170" s="148">
        <v>3</v>
      </c>
      <c r="Y170" s="149">
        <v>36</v>
      </c>
      <c r="Z170" s="148">
        <v>397</v>
      </c>
      <c r="AA170" s="148">
        <v>61</v>
      </c>
      <c r="AB170" s="148">
        <v>17</v>
      </c>
      <c r="AC170" s="149">
        <v>475</v>
      </c>
      <c r="AD170" s="148">
        <v>218</v>
      </c>
      <c r="AE170" s="149">
        <v>9</v>
      </c>
      <c r="AF170" s="148">
        <v>227</v>
      </c>
      <c r="AG170" s="148">
        <v>104</v>
      </c>
      <c r="AH170" s="148">
        <v>47</v>
      </c>
      <c r="AI170" s="149">
        <v>36</v>
      </c>
      <c r="AJ170" s="149">
        <v>187</v>
      </c>
      <c r="AK170" s="149">
        <v>6624</v>
      </c>
      <c r="AL170" s="148">
        <v>15</v>
      </c>
      <c r="AM170" s="148">
        <v>21</v>
      </c>
      <c r="AN170" s="148">
        <v>13</v>
      </c>
      <c r="AO170" s="148">
        <v>9</v>
      </c>
      <c r="AP170" s="148">
        <v>18</v>
      </c>
      <c r="AQ170" s="149">
        <v>76</v>
      </c>
      <c r="AR170" s="148">
        <v>17</v>
      </c>
      <c r="AS170" s="148">
        <v>13</v>
      </c>
      <c r="AT170" s="148">
        <v>23</v>
      </c>
      <c r="AU170" s="149">
        <v>53</v>
      </c>
      <c r="AV170" s="148">
        <v>23</v>
      </c>
      <c r="AW170" s="149">
        <v>23</v>
      </c>
      <c r="AX170" s="148">
        <v>152</v>
      </c>
      <c r="AY170" s="148">
        <v>9</v>
      </c>
      <c r="AZ170" s="148">
        <v>9</v>
      </c>
      <c r="BA170" s="148">
        <v>11</v>
      </c>
      <c r="BB170" s="148">
        <v>15</v>
      </c>
      <c r="BC170" s="148">
        <v>7</v>
      </c>
      <c r="BD170" s="148">
        <v>10</v>
      </c>
      <c r="BE170" s="148">
        <v>8</v>
      </c>
      <c r="BF170" s="148">
        <v>13</v>
      </c>
      <c r="BG170" s="148">
        <v>12</v>
      </c>
      <c r="BH170" s="149">
        <v>94</v>
      </c>
      <c r="BI170" s="149">
        <v>94</v>
      </c>
      <c r="BJ170" s="149">
        <v>12</v>
      </c>
      <c r="BK170" s="148">
        <v>47</v>
      </c>
      <c r="BL170" s="148">
        <v>59</v>
      </c>
      <c r="BM170" s="149">
        <v>17</v>
      </c>
      <c r="BN170" s="148">
        <v>4</v>
      </c>
      <c r="BO170" s="148">
        <v>6</v>
      </c>
      <c r="BP170" s="148">
        <v>8</v>
      </c>
      <c r="BQ170" s="148">
        <v>4</v>
      </c>
      <c r="BR170" s="148">
        <v>39</v>
      </c>
      <c r="BS170" s="149">
        <v>17</v>
      </c>
      <c r="BT170" s="148">
        <v>16</v>
      </c>
      <c r="BU170" s="148">
        <v>14</v>
      </c>
      <c r="BV170" s="148">
        <v>6</v>
      </c>
      <c r="BW170" s="148">
        <v>70</v>
      </c>
      <c r="BX170" s="148">
        <v>123</v>
      </c>
      <c r="BY170" s="149">
        <v>12</v>
      </c>
      <c r="BZ170" s="148">
        <v>8</v>
      </c>
      <c r="CA170" s="148">
        <v>17</v>
      </c>
      <c r="CB170" s="148">
        <v>37</v>
      </c>
      <c r="CC170" s="149">
        <v>14</v>
      </c>
      <c r="CD170" s="148">
        <v>14</v>
      </c>
      <c r="CE170" s="149">
        <v>7142</v>
      </c>
    </row>
    <row r="171" spans="1:83" ht="15" thickBot="1">
      <c r="A171" s="137">
        <v>15</v>
      </c>
      <c r="B171" s="123" t="s">
        <v>196</v>
      </c>
      <c r="C171" s="124">
        <v>1884</v>
      </c>
      <c r="D171" s="124">
        <v>1893</v>
      </c>
      <c r="E171" s="124">
        <v>1222</v>
      </c>
      <c r="F171" s="124">
        <v>0</v>
      </c>
      <c r="G171" s="124">
        <v>28</v>
      </c>
      <c r="H171" s="125">
        <v>5027</v>
      </c>
      <c r="I171" s="124">
        <v>347</v>
      </c>
      <c r="J171" s="124">
        <v>25</v>
      </c>
      <c r="K171" s="124">
        <v>8</v>
      </c>
      <c r="L171" s="124">
        <v>30</v>
      </c>
      <c r="M171" s="125">
        <v>410</v>
      </c>
      <c r="N171" s="124">
        <v>142</v>
      </c>
      <c r="O171" s="124">
        <v>34</v>
      </c>
      <c r="P171" s="124">
        <v>9</v>
      </c>
      <c r="Q171" s="124">
        <v>25</v>
      </c>
      <c r="R171" s="125">
        <v>210</v>
      </c>
      <c r="S171" s="124">
        <v>60</v>
      </c>
      <c r="T171" s="125">
        <v>60</v>
      </c>
      <c r="U171" s="124">
        <v>11</v>
      </c>
      <c r="V171" s="124">
        <v>6</v>
      </c>
      <c r="W171" s="124">
        <v>17</v>
      </c>
      <c r="X171" s="124">
        <v>3</v>
      </c>
      <c r="Y171" s="125">
        <v>37</v>
      </c>
      <c r="Z171" s="124">
        <v>397</v>
      </c>
      <c r="AA171" s="124">
        <v>61</v>
      </c>
      <c r="AB171" s="124">
        <v>18</v>
      </c>
      <c r="AC171" s="125">
        <v>476</v>
      </c>
      <c r="AD171" s="124">
        <v>220</v>
      </c>
      <c r="AE171" s="125">
        <v>9</v>
      </c>
      <c r="AF171" s="124">
        <v>229</v>
      </c>
      <c r="AG171" s="124">
        <v>104</v>
      </c>
      <c r="AH171" s="124">
        <v>47</v>
      </c>
      <c r="AI171" s="125">
        <v>38</v>
      </c>
      <c r="AJ171" s="125">
        <v>189</v>
      </c>
      <c r="AK171" s="125">
        <v>6638</v>
      </c>
      <c r="AL171" s="124">
        <v>15</v>
      </c>
      <c r="AM171" s="124">
        <v>23</v>
      </c>
      <c r="AN171" s="124">
        <v>13</v>
      </c>
      <c r="AO171" s="124">
        <v>9</v>
      </c>
      <c r="AP171" s="124">
        <v>19</v>
      </c>
      <c r="AQ171" s="125">
        <v>79</v>
      </c>
      <c r="AR171" s="124">
        <v>18</v>
      </c>
      <c r="AS171" s="124">
        <v>14</v>
      </c>
      <c r="AT171" s="124">
        <v>23</v>
      </c>
      <c r="AU171" s="125">
        <v>55</v>
      </c>
      <c r="AV171" s="124">
        <v>25</v>
      </c>
      <c r="AW171" s="125">
        <v>25</v>
      </c>
      <c r="AX171" s="124">
        <v>159</v>
      </c>
      <c r="AY171" s="124">
        <v>9</v>
      </c>
      <c r="AZ171" s="124">
        <v>20</v>
      </c>
      <c r="BA171" s="124">
        <v>12</v>
      </c>
      <c r="BB171" s="124">
        <v>16</v>
      </c>
      <c r="BC171" s="124">
        <v>8</v>
      </c>
      <c r="BD171" s="124">
        <v>10</v>
      </c>
      <c r="BE171" s="124">
        <v>9</v>
      </c>
      <c r="BF171" s="124">
        <v>15</v>
      </c>
      <c r="BG171" s="124">
        <v>12</v>
      </c>
      <c r="BH171" s="125">
        <v>111</v>
      </c>
      <c r="BI171" s="125">
        <v>111</v>
      </c>
      <c r="BJ171" s="125">
        <v>14</v>
      </c>
      <c r="BK171" s="124">
        <v>47</v>
      </c>
      <c r="BL171" s="124">
        <v>61</v>
      </c>
      <c r="BM171" s="125">
        <v>18</v>
      </c>
      <c r="BN171" s="124">
        <v>5</v>
      </c>
      <c r="BO171" s="124">
        <v>7</v>
      </c>
      <c r="BP171" s="124">
        <v>8</v>
      </c>
      <c r="BQ171" s="124">
        <v>6</v>
      </c>
      <c r="BR171" s="124">
        <v>44</v>
      </c>
      <c r="BS171" s="125">
        <v>18</v>
      </c>
      <c r="BT171" s="124">
        <v>17</v>
      </c>
      <c r="BU171" s="124">
        <v>14</v>
      </c>
      <c r="BV171" s="124">
        <v>7</v>
      </c>
      <c r="BW171" s="124">
        <v>70</v>
      </c>
      <c r="BX171" s="124">
        <v>126</v>
      </c>
      <c r="BY171" s="125">
        <v>12</v>
      </c>
      <c r="BZ171" s="124">
        <v>9</v>
      </c>
      <c r="CA171" s="124">
        <v>18</v>
      </c>
      <c r="CB171" s="124">
        <v>39</v>
      </c>
      <c r="CC171" s="125">
        <v>15</v>
      </c>
      <c r="CD171" s="124">
        <v>15</v>
      </c>
      <c r="CE171" s="125">
        <v>7193</v>
      </c>
    </row>
    <row r="172" spans="1:83">
      <c r="A172" s="137"/>
      <c r="B172" s="154"/>
      <c r="C172" s="155"/>
      <c r="D172" s="155"/>
      <c r="E172" s="155"/>
      <c r="F172" s="155"/>
      <c r="G172" s="155"/>
      <c r="H172" s="156"/>
      <c r="I172" s="155"/>
      <c r="J172" s="155"/>
      <c r="K172" s="155"/>
      <c r="L172" s="155"/>
      <c r="M172" s="156"/>
      <c r="N172" s="155"/>
      <c r="O172" s="155"/>
      <c r="P172" s="155"/>
      <c r="Q172" s="155"/>
      <c r="R172" s="156"/>
      <c r="S172" s="155"/>
      <c r="T172" s="156"/>
      <c r="U172" s="155"/>
      <c r="V172" s="155"/>
      <c r="W172" s="155"/>
      <c r="X172" s="155"/>
      <c r="Y172" s="156"/>
      <c r="Z172" s="155"/>
      <c r="AA172" s="155"/>
      <c r="AB172" s="155"/>
      <c r="AC172" s="156"/>
      <c r="AD172" s="155"/>
      <c r="AE172" s="156"/>
      <c r="AF172" s="155"/>
      <c r="AG172" s="155"/>
      <c r="AH172" s="155"/>
      <c r="AI172" s="156"/>
      <c r="AJ172" s="156"/>
      <c r="AK172" s="156"/>
      <c r="AL172" s="155"/>
      <c r="AM172" s="155"/>
      <c r="AN172" s="155"/>
      <c r="AO172" s="155"/>
      <c r="AP172" s="155"/>
      <c r="AQ172" s="156"/>
      <c r="AR172" s="155"/>
      <c r="AS172" s="155"/>
      <c r="AT172" s="155"/>
      <c r="AU172" s="156"/>
      <c r="AV172" s="155"/>
      <c r="AW172" s="156"/>
      <c r="AX172" s="155"/>
      <c r="AY172" s="155"/>
      <c r="AZ172" s="155"/>
      <c r="BA172" s="155"/>
      <c r="BB172" s="155"/>
      <c r="BC172" s="155"/>
      <c r="BD172" s="155"/>
      <c r="BE172" s="155"/>
      <c r="BF172" s="155"/>
      <c r="BG172" s="155"/>
      <c r="BH172" s="156"/>
      <c r="BI172" s="156"/>
      <c r="BJ172" s="156"/>
      <c r="BK172" s="155"/>
      <c r="BL172" s="155"/>
      <c r="BM172" s="156"/>
      <c r="BN172" s="155"/>
      <c r="BO172" s="155"/>
      <c r="BP172" s="155"/>
      <c r="BQ172" s="155"/>
      <c r="BR172" s="155"/>
      <c r="BS172" s="156"/>
      <c r="BT172" s="155"/>
      <c r="BU172" s="155"/>
      <c r="BV172" s="155"/>
      <c r="BW172" s="155"/>
      <c r="BX172" s="155"/>
      <c r="BY172" s="156"/>
      <c r="BZ172" s="155"/>
      <c r="CA172" s="155"/>
      <c r="CB172" s="155"/>
      <c r="CC172" s="156"/>
      <c r="CD172" s="155"/>
      <c r="CE172" s="156"/>
    </row>
    <row r="173" spans="1:83">
      <c r="A173" s="137"/>
      <c r="B173" s="154"/>
      <c r="C173" s="155"/>
      <c r="D173" s="155"/>
      <c r="E173" s="155"/>
      <c r="F173" s="155"/>
      <c r="G173" s="155"/>
      <c r="H173" s="156"/>
      <c r="I173" s="155"/>
      <c r="J173" s="155"/>
      <c r="K173" s="155"/>
      <c r="L173" s="155"/>
      <c r="M173" s="156"/>
      <c r="N173" s="155"/>
      <c r="O173" s="155"/>
      <c r="P173" s="155"/>
      <c r="Q173" s="155"/>
      <c r="R173" s="156"/>
      <c r="S173" s="155"/>
      <c r="T173" s="156"/>
      <c r="U173" s="155"/>
      <c r="V173" s="155"/>
      <c r="W173" s="155"/>
      <c r="X173" s="155"/>
      <c r="Y173" s="156"/>
      <c r="Z173" s="155"/>
      <c r="AA173" s="155"/>
      <c r="AB173" s="155"/>
      <c r="AC173" s="156"/>
      <c r="AD173" s="155"/>
      <c r="AE173" s="156"/>
      <c r="AF173" s="155"/>
      <c r="AG173" s="155"/>
      <c r="AH173" s="155"/>
      <c r="AI173" s="156"/>
      <c r="AJ173" s="156"/>
      <c r="AK173" s="156"/>
      <c r="AL173" s="155"/>
      <c r="AM173" s="155"/>
      <c r="AN173" s="155"/>
      <c r="AO173" s="155"/>
      <c r="AP173" s="155"/>
      <c r="AQ173" s="156"/>
      <c r="AR173" s="155"/>
      <c r="AS173" s="155"/>
      <c r="AT173" s="155"/>
      <c r="AU173" s="156"/>
      <c r="AV173" s="155"/>
      <c r="AW173" s="156"/>
      <c r="AX173" s="155"/>
      <c r="AY173" s="155"/>
      <c r="AZ173" s="155"/>
      <c r="BA173" s="155"/>
      <c r="BB173" s="155"/>
      <c r="BC173" s="155"/>
      <c r="BD173" s="155"/>
      <c r="BE173" s="155"/>
      <c r="BF173" s="155"/>
      <c r="BG173" s="155"/>
      <c r="BH173" s="156"/>
      <c r="BI173" s="156"/>
      <c r="BJ173" s="156"/>
      <c r="BK173" s="155"/>
      <c r="BL173" s="155"/>
      <c r="BM173" s="156"/>
      <c r="BN173" s="155"/>
      <c r="BO173" s="155"/>
      <c r="BP173" s="155"/>
      <c r="BQ173" s="155"/>
      <c r="BR173" s="155"/>
      <c r="BS173" s="156"/>
      <c r="BT173" s="155"/>
      <c r="BU173" s="155"/>
      <c r="BV173" s="155"/>
      <c r="BW173" s="155"/>
      <c r="BX173" s="155"/>
      <c r="BY173" s="156"/>
      <c r="BZ173" s="155"/>
      <c r="CA173" s="155"/>
      <c r="CB173" s="155"/>
      <c r="CC173" s="156"/>
      <c r="CD173" s="155"/>
      <c r="CE173" s="156"/>
    </row>
    <row r="174" spans="1:83">
      <c r="A174" s="137"/>
      <c r="B174" s="154"/>
      <c r="C174" s="155"/>
      <c r="D174" s="155"/>
      <c r="E174" s="155"/>
      <c r="F174" s="155"/>
      <c r="G174" s="155"/>
      <c r="H174" s="156"/>
      <c r="I174" s="155"/>
      <c r="J174" s="155"/>
      <c r="K174" s="155"/>
      <c r="L174" s="155"/>
      <c r="M174" s="156"/>
      <c r="N174" s="155"/>
      <c r="O174" s="155"/>
      <c r="P174" s="155"/>
      <c r="Q174" s="155"/>
      <c r="R174" s="156"/>
      <c r="S174" s="155"/>
      <c r="T174" s="156"/>
      <c r="U174" s="155"/>
      <c r="V174" s="155"/>
      <c r="W174" s="155"/>
      <c r="X174" s="155"/>
      <c r="Y174" s="156"/>
      <c r="Z174" s="155"/>
      <c r="AA174" s="155"/>
      <c r="AB174" s="155"/>
      <c r="AC174" s="156"/>
      <c r="AD174" s="155"/>
      <c r="AE174" s="156"/>
      <c r="AF174" s="155"/>
      <c r="AG174" s="155"/>
      <c r="AH174" s="155"/>
      <c r="AI174" s="156"/>
      <c r="AJ174" s="156"/>
      <c r="AK174" s="156"/>
      <c r="AL174" s="155"/>
      <c r="AM174" s="155"/>
      <c r="AN174" s="155"/>
      <c r="AO174" s="155"/>
      <c r="AP174" s="155"/>
      <c r="AQ174" s="156"/>
      <c r="AR174" s="155"/>
      <c r="AS174" s="155"/>
      <c r="AT174" s="155"/>
      <c r="AU174" s="156"/>
      <c r="AV174" s="155"/>
      <c r="AW174" s="156"/>
      <c r="AX174" s="155"/>
      <c r="AY174" s="155"/>
      <c r="AZ174" s="155"/>
      <c r="BA174" s="155"/>
      <c r="BB174" s="155"/>
      <c r="BC174" s="155"/>
      <c r="BD174" s="155"/>
      <c r="BE174" s="155"/>
      <c r="BF174" s="155"/>
      <c r="BG174" s="155"/>
      <c r="BH174" s="156"/>
      <c r="BI174" s="156"/>
      <c r="BJ174" s="156"/>
      <c r="BK174" s="155"/>
      <c r="BL174" s="155"/>
      <c r="BM174" s="156"/>
      <c r="BN174" s="155"/>
      <c r="BO174" s="155"/>
      <c r="BP174" s="155"/>
      <c r="BQ174" s="155"/>
      <c r="BR174" s="155"/>
      <c r="BS174" s="156"/>
      <c r="BT174" s="155"/>
      <c r="BU174" s="155"/>
      <c r="BV174" s="155"/>
      <c r="BW174" s="155"/>
      <c r="BX174" s="155"/>
      <c r="BY174" s="156"/>
      <c r="BZ174" s="155"/>
      <c r="CA174" s="155"/>
      <c r="CB174" s="155"/>
      <c r="CC174" s="156"/>
      <c r="CD174" s="155"/>
      <c r="CE174" s="156"/>
    </row>
    <row r="175" spans="1:83" ht="26">
      <c r="A175" s="157" t="s">
        <v>198</v>
      </c>
    </row>
    <row r="176" spans="1:83" ht="21">
      <c r="A176" s="158">
        <v>4</v>
      </c>
      <c r="B176" s="159" t="s">
        <v>3</v>
      </c>
    </row>
    <row r="177" spans="1:83" ht="15.5">
      <c r="A177" s="160">
        <v>4</v>
      </c>
      <c r="B177" s="161" t="s">
        <v>194</v>
      </c>
      <c r="C177" s="168">
        <f>C90-C4</f>
        <v>0</v>
      </c>
      <c r="D177" s="168">
        <f t="shared" ref="D177:BO177" si="302">D90-D4</f>
        <v>0</v>
      </c>
      <c r="E177" s="168">
        <f t="shared" si="302"/>
        <v>0</v>
      </c>
      <c r="F177" s="168">
        <f t="shared" si="302"/>
        <v>0</v>
      </c>
      <c r="G177" s="168">
        <f t="shared" si="302"/>
        <v>0</v>
      </c>
      <c r="H177" s="168">
        <f t="shared" si="302"/>
        <v>0</v>
      </c>
      <c r="I177" s="168">
        <f t="shared" si="302"/>
        <v>0</v>
      </c>
      <c r="J177" s="168">
        <f t="shared" si="302"/>
        <v>0</v>
      </c>
      <c r="K177" s="168">
        <f t="shared" si="302"/>
        <v>0</v>
      </c>
      <c r="L177" s="168">
        <f t="shared" si="302"/>
        <v>0</v>
      </c>
      <c r="M177" s="168">
        <f t="shared" si="302"/>
        <v>0</v>
      </c>
      <c r="N177" s="168">
        <f t="shared" si="302"/>
        <v>0</v>
      </c>
      <c r="O177" s="168">
        <f t="shared" si="302"/>
        <v>0</v>
      </c>
      <c r="P177" s="168">
        <f t="shared" si="302"/>
        <v>0</v>
      </c>
      <c r="Q177" s="168">
        <f t="shared" si="302"/>
        <v>0</v>
      </c>
      <c r="R177" s="168">
        <f t="shared" si="302"/>
        <v>0</v>
      </c>
      <c r="S177" s="168">
        <f t="shared" si="302"/>
        <v>0</v>
      </c>
      <c r="T177" s="168">
        <f t="shared" si="302"/>
        <v>0</v>
      </c>
      <c r="U177" s="168">
        <f t="shared" si="302"/>
        <v>0</v>
      </c>
      <c r="V177" s="168">
        <f t="shared" si="302"/>
        <v>0</v>
      </c>
      <c r="W177" s="168">
        <f t="shared" si="302"/>
        <v>0</v>
      </c>
      <c r="X177" s="168">
        <f t="shared" si="302"/>
        <v>0</v>
      </c>
      <c r="Y177" s="168">
        <f t="shared" si="302"/>
        <v>0</v>
      </c>
      <c r="Z177" s="168">
        <f t="shared" si="302"/>
        <v>0</v>
      </c>
      <c r="AA177" s="168">
        <f t="shared" si="302"/>
        <v>0</v>
      </c>
      <c r="AB177" s="168">
        <f t="shared" si="302"/>
        <v>0</v>
      </c>
      <c r="AC177" s="168">
        <f t="shared" si="302"/>
        <v>0</v>
      </c>
      <c r="AD177" s="168">
        <f t="shared" si="302"/>
        <v>0</v>
      </c>
      <c r="AE177" s="168">
        <f t="shared" si="302"/>
        <v>0</v>
      </c>
      <c r="AF177" s="168">
        <f t="shared" si="302"/>
        <v>0</v>
      </c>
      <c r="AG177" s="168">
        <f t="shared" si="302"/>
        <v>0</v>
      </c>
      <c r="AH177" s="168">
        <f t="shared" si="302"/>
        <v>0</v>
      </c>
      <c r="AI177" s="168">
        <f t="shared" si="302"/>
        <v>0</v>
      </c>
      <c r="AJ177" s="168">
        <f t="shared" si="302"/>
        <v>0</v>
      </c>
      <c r="AK177" s="168">
        <f t="shared" si="302"/>
        <v>0</v>
      </c>
      <c r="AL177" s="168">
        <f t="shared" si="302"/>
        <v>0</v>
      </c>
      <c r="AM177" s="168">
        <f t="shared" si="302"/>
        <v>0</v>
      </c>
      <c r="AN177" s="168">
        <f t="shared" si="302"/>
        <v>0</v>
      </c>
      <c r="AO177" s="168">
        <f t="shared" si="302"/>
        <v>0</v>
      </c>
      <c r="AP177" s="168">
        <f t="shared" si="302"/>
        <v>0</v>
      </c>
      <c r="AQ177" s="168">
        <f t="shared" si="302"/>
        <v>0</v>
      </c>
      <c r="AR177" s="168">
        <f t="shared" si="302"/>
        <v>0</v>
      </c>
      <c r="AS177" s="168">
        <f t="shared" si="302"/>
        <v>0</v>
      </c>
      <c r="AT177" s="168">
        <f t="shared" si="302"/>
        <v>0</v>
      </c>
      <c r="AU177" s="168">
        <f t="shared" si="302"/>
        <v>0</v>
      </c>
      <c r="AV177" s="168">
        <f t="shared" si="302"/>
        <v>0</v>
      </c>
      <c r="AW177" s="168">
        <f t="shared" si="302"/>
        <v>0</v>
      </c>
      <c r="AX177" s="168">
        <f t="shared" si="302"/>
        <v>0</v>
      </c>
      <c r="AY177" s="168">
        <f t="shared" si="302"/>
        <v>0</v>
      </c>
      <c r="AZ177" s="168">
        <f t="shared" si="302"/>
        <v>0</v>
      </c>
      <c r="BA177" s="168">
        <f t="shared" si="302"/>
        <v>0</v>
      </c>
      <c r="BB177" s="168">
        <f t="shared" si="302"/>
        <v>0</v>
      </c>
      <c r="BC177" s="168">
        <f t="shared" si="302"/>
        <v>0</v>
      </c>
      <c r="BD177" s="168">
        <f t="shared" si="302"/>
        <v>0</v>
      </c>
      <c r="BE177" s="168">
        <f t="shared" si="302"/>
        <v>0</v>
      </c>
      <c r="BF177" s="168">
        <f t="shared" si="302"/>
        <v>0</v>
      </c>
      <c r="BG177" s="168">
        <f t="shared" si="302"/>
        <v>0</v>
      </c>
      <c r="BH177" s="168">
        <f t="shared" si="302"/>
        <v>0</v>
      </c>
      <c r="BI177" s="168">
        <f t="shared" si="302"/>
        <v>0</v>
      </c>
      <c r="BJ177" s="168">
        <f t="shared" si="302"/>
        <v>0</v>
      </c>
      <c r="BK177" s="168">
        <f t="shared" si="302"/>
        <v>0</v>
      </c>
      <c r="BL177" s="168">
        <f t="shared" si="302"/>
        <v>0</v>
      </c>
      <c r="BM177" s="168">
        <f t="shared" si="302"/>
        <v>0</v>
      </c>
      <c r="BN177" s="168">
        <f t="shared" si="302"/>
        <v>0</v>
      </c>
      <c r="BO177" s="168">
        <f t="shared" si="302"/>
        <v>0</v>
      </c>
      <c r="BP177" s="168">
        <f t="shared" ref="BP177:CE177" si="303">BP90-BP4</f>
        <v>0</v>
      </c>
      <c r="BQ177" s="168">
        <f t="shared" si="303"/>
        <v>0</v>
      </c>
      <c r="BR177" s="168">
        <f t="shared" si="303"/>
        <v>0</v>
      </c>
      <c r="BS177" s="168">
        <f t="shared" si="303"/>
        <v>0</v>
      </c>
      <c r="BT177" s="168">
        <f t="shared" si="303"/>
        <v>0</v>
      </c>
      <c r="BU177" s="168">
        <f t="shared" si="303"/>
        <v>0</v>
      </c>
      <c r="BV177" s="168">
        <f t="shared" si="303"/>
        <v>0</v>
      </c>
      <c r="BW177" s="168">
        <f t="shared" si="303"/>
        <v>0</v>
      </c>
      <c r="BX177" s="168">
        <f t="shared" si="303"/>
        <v>0</v>
      </c>
      <c r="BY177" s="168">
        <f t="shared" si="303"/>
        <v>0</v>
      </c>
      <c r="BZ177" s="168">
        <f t="shared" si="303"/>
        <v>0</v>
      </c>
      <c r="CA177" s="168">
        <f t="shared" si="303"/>
        <v>0</v>
      </c>
      <c r="CB177" s="168">
        <f t="shared" si="303"/>
        <v>0</v>
      </c>
      <c r="CC177" s="168">
        <f t="shared" si="303"/>
        <v>0</v>
      </c>
      <c r="CD177" s="168">
        <f t="shared" si="303"/>
        <v>0</v>
      </c>
      <c r="CE177" s="168">
        <f t="shared" si="303"/>
        <v>0</v>
      </c>
    </row>
    <row r="178" spans="1:83" ht="15.5">
      <c r="A178" s="160">
        <v>4</v>
      </c>
      <c r="B178" s="162" t="s">
        <v>139</v>
      </c>
      <c r="C178" s="168">
        <f t="shared" ref="C178:BN178" si="304">C91-C5</f>
        <v>0</v>
      </c>
      <c r="D178" s="168">
        <f t="shared" si="304"/>
        <v>0</v>
      </c>
      <c r="E178" s="168">
        <f t="shared" si="304"/>
        <v>0</v>
      </c>
      <c r="F178" s="168">
        <f t="shared" si="304"/>
        <v>0</v>
      </c>
      <c r="G178" s="168">
        <f t="shared" si="304"/>
        <v>0</v>
      </c>
      <c r="H178" s="168">
        <f t="shared" si="304"/>
        <v>0</v>
      </c>
      <c r="I178" s="168">
        <f t="shared" si="304"/>
        <v>0</v>
      </c>
      <c r="J178" s="168">
        <f t="shared" si="304"/>
        <v>0</v>
      </c>
      <c r="K178" s="168">
        <f t="shared" si="304"/>
        <v>0</v>
      </c>
      <c r="L178" s="168">
        <f t="shared" si="304"/>
        <v>0</v>
      </c>
      <c r="M178" s="168">
        <f t="shared" si="304"/>
        <v>0</v>
      </c>
      <c r="N178" s="168">
        <f t="shared" si="304"/>
        <v>0</v>
      </c>
      <c r="O178" s="168">
        <f t="shared" si="304"/>
        <v>0</v>
      </c>
      <c r="P178" s="168">
        <f t="shared" si="304"/>
        <v>0</v>
      </c>
      <c r="Q178" s="168">
        <f t="shared" si="304"/>
        <v>0</v>
      </c>
      <c r="R178" s="168">
        <f t="shared" si="304"/>
        <v>0</v>
      </c>
      <c r="S178" s="168">
        <f t="shared" si="304"/>
        <v>0</v>
      </c>
      <c r="T178" s="168">
        <f t="shared" si="304"/>
        <v>0</v>
      </c>
      <c r="U178" s="168">
        <f t="shared" si="304"/>
        <v>0</v>
      </c>
      <c r="V178" s="168">
        <f t="shared" si="304"/>
        <v>0</v>
      </c>
      <c r="W178" s="168">
        <f t="shared" si="304"/>
        <v>0</v>
      </c>
      <c r="X178" s="168">
        <f t="shared" si="304"/>
        <v>0</v>
      </c>
      <c r="Y178" s="168">
        <f t="shared" si="304"/>
        <v>0</v>
      </c>
      <c r="Z178" s="168">
        <f t="shared" si="304"/>
        <v>0</v>
      </c>
      <c r="AA178" s="168">
        <f t="shared" si="304"/>
        <v>0</v>
      </c>
      <c r="AB178" s="168">
        <f t="shared" si="304"/>
        <v>0</v>
      </c>
      <c r="AC178" s="168">
        <f t="shared" si="304"/>
        <v>0</v>
      </c>
      <c r="AD178" s="168">
        <f t="shared" si="304"/>
        <v>0</v>
      </c>
      <c r="AE178" s="168">
        <f t="shared" si="304"/>
        <v>0</v>
      </c>
      <c r="AF178" s="168">
        <f t="shared" si="304"/>
        <v>0</v>
      </c>
      <c r="AG178" s="168">
        <f t="shared" si="304"/>
        <v>0</v>
      </c>
      <c r="AH178" s="168">
        <f t="shared" si="304"/>
        <v>0</v>
      </c>
      <c r="AI178" s="168">
        <f t="shared" si="304"/>
        <v>0</v>
      </c>
      <c r="AJ178" s="168">
        <f t="shared" si="304"/>
        <v>0</v>
      </c>
      <c r="AK178" s="168">
        <f t="shared" si="304"/>
        <v>0</v>
      </c>
      <c r="AL178" s="168">
        <f t="shared" si="304"/>
        <v>0</v>
      </c>
      <c r="AM178" s="168">
        <f t="shared" si="304"/>
        <v>0</v>
      </c>
      <c r="AN178" s="168">
        <f t="shared" si="304"/>
        <v>0</v>
      </c>
      <c r="AO178" s="168">
        <f t="shared" si="304"/>
        <v>0</v>
      </c>
      <c r="AP178" s="168">
        <f t="shared" si="304"/>
        <v>0</v>
      </c>
      <c r="AQ178" s="168">
        <f t="shared" si="304"/>
        <v>0</v>
      </c>
      <c r="AR178" s="168">
        <f t="shared" si="304"/>
        <v>0</v>
      </c>
      <c r="AS178" s="168">
        <f t="shared" si="304"/>
        <v>0</v>
      </c>
      <c r="AT178" s="168">
        <f t="shared" si="304"/>
        <v>0</v>
      </c>
      <c r="AU178" s="168">
        <f t="shared" si="304"/>
        <v>0</v>
      </c>
      <c r="AV178" s="168">
        <f t="shared" si="304"/>
        <v>0</v>
      </c>
      <c r="AW178" s="168">
        <f t="shared" si="304"/>
        <v>0</v>
      </c>
      <c r="AX178" s="168">
        <f t="shared" si="304"/>
        <v>0</v>
      </c>
      <c r="AY178" s="168">
        <f t="shared" si="304"/>
        <v>0</v>
      </c>
      <c r="AZ178" s="168">
        <f t="shared" si="304"/>
        <v>0</v>
      </c>
      <c r="BA178" s="168">
        <f t="shared" si="304"/>
        <v>0</v>
      </c>
      <c r="BB178" s="168">
        <f t="shared" si="304"/>
        <v>0</v>
      </c>
      <c r="BC178" s="168">
        <f t="shared" si="304"/>
        <v>0</v>
      </c>
      <c r="BD178" s="168">
        <f t="shared" si="304"/>
        <v>0</v>
      </c>
      <c r="BE178" s="168">
        <f t="shared" si="304"/>
        <v>0</v>
      </c>
      <c r="BF178" s="168">
        <f t="shared" si="304"/>
        <v>0</v>
      </c>
      <c r="BG178" s="168">
        <f t="shared" si="304"/>
        <v>0</v>
      </c>
      <c r="BH178" s="168">
        <f t="shared" si="304"/>
        <v>0</v>
      </c>
      <c r="BI178" s="168">
        <f t="shared" si="304"/>
        <v>0</v>
      </c>
      <c r="BJ178" s="168">
        <f t="shared" si="304"/>
        <v>0</v>
      </c>
      <c r="BK178" s="168">
        <f t="shared" si="304"/>
        <v>0</v>
      </c>
      <c r="BL178" s="168">
        <f t="shared" si="304"/>
        <v>0</v>
      </c>
      <c r="BM178" s="168">
        <f t="shared" si="304"/>
        <v>0</v>
      </c>
      <c r="BN178" s="168">
        <f t="shared" si="304"/>
        <v>0</v>
      </c>
      <c r="BO178" s="168">
        <f t="shared" ref="BO178:CE178" si="305">BO91-BO5</f>
        <v>0</v>
      </c>
      <c r="BP178" s="168">
        <f t="shared" si="305"/>
        <v>0</v>
      </c>
      <c r="BQ178" s="168">
        <f t="shared" si="305"/>
        <v>0</v>
      </c>
      <c r="BR178" s="168">
        <f t="shared" si="305"/>
        <v>0</v>
      </c>
      <c r="BS178" s="168">
        <f t="shared" si="305"/>
        <v>0</v>
      </c>
      <c r="BT178" s="168">
        <f t="shared" si="305"/>
        <v>0</v>
      </c>
      <c r="BU178" s="168">
        <f t="shared" si="305"/>
        <v>0</v>
      </c>
      <c r="BV178" s="168">
        <f t="shared" si="305"/>
        <v>0</v>
      </c>
      <c r="BW178" s="168">
        <f t="shared" si="305"/>
        <v>0</v>
      </c>
      <c r="BX178" s="168">
        <f t="shared" si="305"/>
        <v>0</v>
      </c>
      <c r="BY178" s="168">
        <f t="shared" si="305"/>
        <v>0</v>
      </c>
      <c r="BZ178" s="168">
        <f t="shared" si="305"/>
        <v>0</v>
      </c>
      <c r="CA178" s="168">
        <f t="shared" si="305"/>
        <v>0</v>
      </c>
      <c r="CB178" s="168">
        <f t="shared" si="305"/>
        <v>0</v>
      </c>
      <c r="CC178" s="168">
        <f t="shared" si="305"/>
        <v>0</v>
      </c>
      <c r="CD178" s="168">
        <f t="shared" si="305"/>
        <v>0</v>
      </c>
      <c r="CE178" s="168">
        <f t="shared" si="305"/>
        <v>0</v>
      </c>
    </row>
    <row r="179" spans="1:83" ht="15.5">
      <c r="A179" s="160">
        <v>4</v>
      </c>
      <c r="B179" s="163" t="s">
        <v>140</v>
      </c>
      <c r="C179" s="168">
        <f t="shared" ref="C179:BN179" si="306">C92-C6</f>
        <v>0</v>
      </c>
      <c r="D179" s="168">
        <f t="shared" si="306"/>
        <v>0</v>
      </c>
      <c r="E179" s="168">
        <f t="shared" si="306"/>
        <v>0</v>
      </c>
      <c r="F179" s="168">
        <f t="shared" si="306"/>
        <v>0</v>
      </c>
      <c r="G179" s="168">
        <f t="shared" si="306"/>
        <v>0</v>
      </c>
      <c r="H179" s="168">
        <f t="shared" si="306"/>
        <v>0</v>
      </c>
      <c r="I179" s="168">
        <f t="shared" si="306"/>
        <v>0</v>
      </c>
      <c r="J179" s="168">
        <f t="shared" si="306"/>
        <v>0</v>
      </c>
      <c r="K179" s="168">
        <f t="shared" si="306"/>
        <v>0</v>
      </c>
      <c r="L179" s="168">
        <f t="shared" si="306"/>
        <v>0</v>
      </c>
      <c r="M179" s="168">
        <f t="shared" si="306"/>
        <v>0</v>
      </c>
      <c r="N179" s="168">
        <f t="shared" si="306"/>
        <v>0</v>
      </c>
      <c r="O179" s="168">
        <f t="shared" si="306"/>
        <v>0</v>
      </c>
      <c r="P179" s="168">
        <f t="shared" si="306"/>
        <v>0</v>
      </c>
      <c r="Q179" s="168">
        <f t="shared" si="306"/>
        <v>0</v>
      </c>
      <c r="R179" s="168">
        <f t="shared" si="306"/>
        <v>0</v>
      </c>
      <c r="S179" s="168">
        <f t="shared" si="306"/>
        <v>0</v>
      </c>
      <c r="T179" s="168">
        <f t="shared" si="306"/>
        <v>0</v>
      </c>
      <c r="U179" s="168">
        <f t="shared" si="306"/>
        <v>0</v>
      </c>
      <c r="V179" s="168">
        <f t="shared" si="306"/>
        <v>0</v>
      </c>
      <c r="W179" s="168">
        <f t="shared" si="306"/>
        <v>0</v>
      </c>
      <c r="X179" s="168">
        <f t="shared" si="306"/>
        <v>0</v>
      </c>
      <c r="Y179" s="168">
        <f t="shared" si="306"/>
        <v>0</v>
      </c>
      <c r="Z179" s="168">
        <f t="shared" si="306"/>
        <v>0</v>
      </c>
      <c r="AA179" s="168">
        <f t="shared" si="306"/>
        <v>0</v>
      </c>
      <c r="AB179" s="168">
        <f t="shared" si="306"/>
        <v>0</v>
      </c>
      <c r="AC179" s="168">
        <f t="shared" si="306"/>
        <v>0</v>
      </c>
      <c r="AD179" s="168">
        <f t="shared" si="306"/>
        <v>0</v>
      </c>
      <c r="AE179" s="168">
        <f t="shared" si="306"/>
        <v>0</v>
      </c>
      <c r="AF179" s="168">
        <f t="shared" si="306"/>
        <v>0</v>
      </c>
      <c r="AG179" s="168">
        <f t="shared" si="306"/>
        <v>0</v>
      </c>
      <c r="AH179" s="168">
        <f t="shared" si="306"/>
        <v>0</v>
      </c>
      <c r="AI179" s="168">
        <f t="shared" si="306"/>
        <v>0</v>
      </c>
      <c r="AJ179" s="168">
        <f t="shared" si="306"/>
        <v>0</v>
      </c>
      <c r="AK179" s="168">
        <f t="shared" si="306"/>
        <v>0</v>
      </c>
      <c r="AL179" s="168">
        <f t="shared" si="306"/>
        <v>0</v>
      </c>
      <c r="AM179" s="168">
        <f t="shared" si="306"/>
        <v>0</v>
      </c>
      <c r="AN179" s="168">
        <f t="shared" si="306"/>
        <v>0</v>
      </c>
      <c r="AO179" s="168">
        <f t="shared" si="306"/>
        <v>0</v>
      </c>
      <c r="AP179" s="168">
        <f t="shared" si="306"/>
        <v>0</v>
      </c>
      <c r="AQ179" s="168">
        <f t="shared" si="306"/>
        <v>0</v>
      </c>
      <c r="AR179" s="168">
        <f t="shared" si="306"/>
        <v>0</v>
      </c>
      <c r="AS179" s="168">
        <f t="shared" si="306"/>
        <v>0</v>
      </c>
      <c r="AT179" s="168">
        <f t="shared" si="306"/>
        <v>0</v>
      </c>
      <c r="AU179" s="168">
        <f t="shared" si="306"/>
        <v>0</v>
      </c>
      <c r="AV179" s="168">
        <f t="shared" si="306"/>
        <v>0</v>
      </c>
      <c r="AW179" s="168">
        <f t="shared" si="306"/>
        <v>0</v>
      </c>
      <c r="AX179" s="168">
        <f t="shared" si="306"/>
        <v>0</v>
      </c>
      <c r="AY179" s="168">
        <f t="shared" si="306"/>
        <v>0</v>
      </c>
      <c r="AZ179" s="168">
        <f t="shared" si="306"/>
        <v>0</v>
      </c>
      <c r="BA179" s="168">
        <f t="shared" si="306"/>
        <v>0</v>
      </c>
      <c r="BB179" s="168">
        <f t="shared" si="306"/>
        <v>0</v>
      </c>
      <c r="BC179" s="168">
        <f t="shared" si="306"/>
        <v>0</v>
      </c>
      <c r="BD179" s="168">
        <f t="shared" si="306"/>
        <v>0</v>
      </c>
      <c r="BE179" s="168">
        <f t="shared" si="306"/>
        <v>0</v>
      </c>
      <c r="BF179" s="168">
        <f t="shared" si="306"/>
        <v>0</v>
      </c>
      <c r="BG179" s="168">
        <f t="shared" si="306"/>
        <v>0</v>
      </c>
      <c r="BH179" s="168">
        <f t="shared" si="306"/>
        <v>0</v>
      </c>
      <c r="BI179" s="168">
        <f t="shared" si="306"/>
        <v>0</v>
      </c>
      <c r="BJ179" s="168">
        <f t="shared" si="306"/>
        <v>0</v>
      </c>
      <c r="BK179" s="168">
        <f t="shared" si="306"/>
        <v>0</v>
      </c>
      <c r="BL179" s="168">
        <f t="shared" si="306"/>
        <v>0</v>
      </c>
      <c r="BM179" s="168">
        <f t="shared" si="306"/>
        <v>0</v>
      </c>
      <c r="BN179" s="168">
        <f t="shared" si="306"/>
        <v>0</v>
      </c>
      <c r="BO179" s="168">
        <f t="shared" ref="BO179:CE179" si="307">BO92-BO6</f>
        <v>0</v>
      </c>
      <c r="BP179" s="168">
        <f t="shared" si="307"/>
        <v>0</v>
      </c>
      <c r="BQ179" s="168">
        <f t="shared" si="307"/>
        <v>0</v>
      </c>
      <c r="BR179" s="168">
        <f t="shared" si="307"/>
        <v>0</v>
      </c>
      <c r="BS179" s="168">
        <f t="shared" si="307"/>
        <v>0</v>
      </c>
      <c r="BT179" s="168">
        <f t="shared" si="307"/>
        <v>0</v>
      </c>
      <c r="BU179" s="168">
        <f t="shared" si="307"/>
        <v>0</v>
      </c>
      <c r="BV179" s="168">
        <f t="shared" si="307"/>
        <v>0</v>
      </c>
      <c r="BW179" s="168">
        <f t="shared" si="307"/>
        <v>0</v>
      </c>
      <c r="BX179" s="168">
        <f t="shared" si="307"/>
        <v>0</v>
      </c>
      <c r="BY179" s="168">
        <f t="shared" si="307"/>
        <v>0</v>
      </c>
      <c r="BZ179" s="168">
        <f t="shared" si="307"/>
        <v>0</v>
      </c>
      <c r="CA179" s="168">
        <f t="shared" si="307"/>
        <v>0</v>
      </c>
      <c r="CB179" s="168">
        <f t="shared" si="307"/>
        <v>0</v>
      </c>
      <c r="CC179" s="168">
        <f t="shared" si="307"/>
        <v>0</v>
      </c>
      <c r="CD179" s="168">
        <f t="shared" si="307"/>
        <v>0</v>
      </c>
      <c r="CE179" s="168">
        <f t="shared" si="307"/>
        <v>0</v>
      </c>
    </row>
    <row r="180" spans="1:83" ht="15.5">
      <c r="A180" s="160">
        <v>4</v>
      </c>
      <c r="B180" s="164" t="s">
        <v>195</v>
      </c>
      <c r="C180" s="168">
        <f t="shared" ref="C180:BN180" si="308">C93-C7</f>
        <v>0</v>
      </c>
      <c r="D180" s="168">
        <f t="shared" si="308"/>
        <v>0</v>
      </c>
      <c r="E180" s="168">
        <f t="shared" si="308"/>
        <v>0</v>
      </c>
      <c r="F180" s="168">
        <f t="shared" si="308"/>
        <v>0</v>
      </c>
      <c r="G180" s="168">
        <f t="shared" si="308"/>
        <v>0</v>
      </c>
      <c r="H180" s="168">
        <f t="shared" si="308"/>
        <v>0</v>
      </c>
      <c r="I180" s="168">
        <f t="shared" si="308"/>
        <v>0</v>
      </c>
      <c r="J180" s="168">
        <f t="shared" si="308"/>
        <v>0</v>
      </c>
      <c r="K180" s="168">
        <f t="shared" si="308"/>
        <v>0</v>
      </c>
      <c r="L180" s="168">
        <f t="shared" si="308"/>
        <v>0</v>
      </c>
      <c r="M180" s="168">
        <f t="shared" si="308"/>
        <v>0</v>
      </c>
      <c r="N180" s="168">
        <f t="shared" si="308"/>
        <v>0</v>
      </c>
      <c r="O180" s="168">
        <f t="shared" si="308"/>
        <v>0</v>
      </c>
      <c r="P180" s="168">
        <f t="shared" si="308"/>
        <v>0</v>
      </c>
      <c r="Q180" s="168">
        <f t="shared" si="308"/>
        <v>0</v>
      </c>
      <c r="R180" s="168">
        <f t="shared" si="308"/>
        <v>0</v>
      </c>
      <c r="S180" s="168">
        <f t="shared" si="308"/>
        <v>0</v>
      </c>
      <c r="T180" s="168">
        <f t="shared" si="308"/>
        <v>0</v>
      </c>
      <c r="U180" s="168">
        <f t="shared" si="308"/>
        <v>0</v>
      </c>
      <c r="V180" s="168">
        <f t="shared" si="308"/>
        <v>0</v>
      </c>
      <c r="W180" s="168">
        <f t="shared" si="308"/>
        <v>0</v>
      </c>
      <c r="X180" s="168">
        <f t="shared" si="308"/>
        <v>0</v>
      </c>
      <c r="Y180" s="168">
        <f t="shared" si="308"/>
        <v>0</v>
      </c>
      <c r="Z180" s="168">
        <f t="shared" si="308"/>
        <v>0</v>
      </c>
      <c r="AA180" s="168">
        <f t="shared" si="308"/>
        <v>0</v>
      </c>
      <c r="AB180" s="168">
        <f t="shared" si="308"/>
        <v>0</v>
      </c>
      <c r="AC180" s="168">
        <f t="shared" si="308"/>
        <v>0</v>
      </c>
      <c r="AD180" s="168">
        <f t="shared" si="308"/>
        <v>0</v>
      </c>
      <c r="AE180" s="168">
        <f t="shared" si="308"/>
        <v>0</v>
      </c>
      <c r="AF180" s="168">
        <f t="shared" si="308"/>
        <v>0</v>
      </c>
      <c r="AG180" s="168">
        <f t="shared" si="308"/>
        <v>0</v>
      </c>
      <c r="AH180" s="168">
        <f t="shared" si="308"/>
        <v>0</v>
      </c>
      <c r="AI180" s="168">
        <f t="shared" si="308"/>
        <v>0</v>
      </c>
      <c r="AJ180" s="168">
        <f t="shared" si="308"/>
        <v>0</v>
      </c>
      <c r="AK180" s="168">
        <f t="shared" si="308"/>
        <v>0</v>
      </c>
      <c r="AL180" s="168">
        <f t="shared" si="308"/>
        <v>0</v>
      </c>
      <c r="AM180" s="168">
        <f t="shared" si="308"/>
        <v>0</v>
      </c>
      <c r="AN180" s="168">
        <f t="shared" si="308"/>
        <v>0</v>
      </c>
      <c r="AO180" s="168">
        <f t="shared" si="308"/>
        <v>0</v>
      </c>
      <c r="AP180" s="168">
        <f t="shared" si="308"/>
        <v>0</v>
      </c>
      <c r="AQ180" s="168">
        <f t="shared" si="308"/>
        <v>0</v>
      </c>
      <c r="AR180" s="168">
        <f t="shared" si="308"/>
        <v>0</v>
      </c>
      <c r="AS180" s="168">
        <f t="shared" si="308"/>
        <v>0</v>
      </c>
      <c r="AT180" s="168">
        <f t="shared" si="308"/>
        <v>0</v>
      </c>
      <c r="AU180" s="168">
        <f t="shared" si="308"/>
        <v>0</v>
      </c>
      <c r="AV180" s="168">
        <f t="shared" si="308"/>
        <v>0</v>
      </c>
      <c r="AW180" s="168">
        <f t="shared" si="308"/>
        <v>0</v>
      </c>
      <c r="AX180" s="168">
        <f t="shared" si="308"/>
        <v>0</v>
      </c>
      <c r="AY180" s="168">
        <f t="shared" si="308"/>
        <v>0</v>
      </c>
      <c r="AZ180" s="168">
        <f t="shared" si="308"/>
        <v>0</v>
      </c>
      <c r="BA180" s="168">
        <f t="shared" si="308"/>
        <v>0</v>
      </c>
      <c r="BB180" s="168">
        <f t="shared" si="308"/>
        <v>0</v>
      </c>
      <c r="BC180" s="168">
        <f t="shared" si="308"/>
        <v>0</v>
      </c>
      <c r="BD180" s="168">
        <f t="shared" si="308"/>
        <v>0</v>
      </c>
      <c r="BE180" s="168">
        <f t="shared" si="308"/>
        <v>0</v>
      </c>
      <c r="BF180" s="168">
        <f t="shared" si="308"/>
        <v>0</v>
      </c>
      <c r="BG180" s="168">
        <f t="shared" si="308"/>
        <v>0</v>
      </c>
      <c r="BH180" s="168">
        <f t="shared" si="308"/>
        <v>0</v>
      </c>
      <c r="BI180" s="168">
        <f t="shared" si="308"/>
        <v>0</v>
      </c>
      <c r="BJ180" s="168">
        <f t="shared" si="308"/>
        <v>0</v>
      </c>
      <c r="BK180" s="168">
        <f t="shared" si="308"/>
        <v>0</v>
      </c>
      <c r="BL180" s="168">
        <f t="shared" si="308"/>
        <v>0</v>
      </c>
      <c r="BM180" s="168">
        <f t="shared" si="308"/>
        <v>0</v>
      </c>
      <c r="BN180" s="168">
        <f t="shared" si="308"/>
        <v>0</v>
      </c>
      <c r="BO180" s="168">
        <f t="shared" ref="BO180:CE180" si="309">BO93-BO7</f>
        <v>0</v>
      </c>
      <c r="BP180" s="168">
        <f t="shared" si="309"/>
        <v>0</v>
      </c>
      <c r="BQ180" s="168">
        <f t="shared" si="309"/>
        <v>0</v>
      </c>
      <c r="BR180" s="168">
        <f t="shared" si="309"/>
        <v>0</v>
      </c>
      <c r="BS180" s="168">
        <f t="shared" si="309"/>
        <v>0</v>
      </c>
      <c r="BT180" s="168">
        <f t="shared" si="309"/>
        <v>0</v>
      </c>
      <c r="BU180" s="168">
        <f t="shared" si="309"/>
        <v>0</v>
      </c>
      <c r="BV180" s="168">
        <f t="shared" si="309"/>
        <v>0</v>
      </c>
      <c r="BW180" s="168">
        <f t="shared" si="309"/>
        <v>0</v>
      </c>
      <c r="BX180" s="168">
        <f t="shared" si="309"/>
        <v>0</v>
      </c>
      <c r="BY180" s="168">
        <f t="shared" si="309"/>
        <v>0</v>
      </c>
      <c r="BZ180" s="168">
        <f t="shared" si="309"/>
        <v>0</v>
      </c>
      <c r="CA180" s="168">
        <f t="shared" si="309"/>
        <v>0</v>
      </c>
      <c r="CB180" s="168">
        <f t="shared" si="309"/>
        <v>0</v>
      </c>
      <c r="CC180" s="168">
        <f t="shared" si="309"/>
        <v>0</v>
      </c>
      <c r="CD180" s="168">
        <f t="shared" si="309"/>
        <v>0</v>
      </c>
      <c r="CE180" s="168">
        <f t="shared" si="309"/>
        <v>0</v>
      </c>
    </row>
    <row r="181" spans="1:83" ht="15.5">
      <c r="A181" s="160">
        <v>4</v>
      </c>
      <c r="B181" s="165" t="s">
        <v>196</v>
      </c>
      <c r="C181" s="168">
        <f t="shared" ref="C181:BN181" si="310">C94-C8</f>
        <v>0</v>
      </c>
      <c r="D181" s="168">
        <f t="shared" si="310"/>
        <v>0</v>
      </c>
      <c r="E181" s="168">
        <f t="shared" si="310"/>
        <v>0</v>
      </c>
      <c r="F181" s="168">
        <f t="shared" si="310"/>
        <v>0</v>
      </c>
      <c r="G181" s="168">
        <f t="shared" si="310"/>
        <v>0</v>
      </c>
      <c r="H181" s="168">
        <f t="shared" si="310"/>
        <v>0</v>
      </c>
      <c r="I181" s="168">
        <f t="shared" si="310"/>
        <v>0</v>
      </c>
      <c r="J181" s="168">
        <f t="shared" si="310"/>
        <v>0</v>
      </c>
      <c r="K181" s="168">
        <f t="shared" si="310"/>
        <v>0</v>
      </c>
      <c r="L181" s="168">
        <f t="shared" si="310"/>
        <v>0</v>
      </c>
      <c r="M181" s="168">
        <f t="shared" si="310"/>
        <v>0</v>
      </c>
      <c r="N181" s="168">
        <f t="shared" si="310"/>
        <v>0</v>
      </c>
      <c r="O181" s="168">
        <f t="shared" si="310"/>
        <v>0</v>
      </c>
      <c r="P181" s="168">
        <f t="shared" si="310"/>
        <v>0</v>
      </c>
      <c r="Q181" s="168">
        <f t="shared" si="310"/>
        <v>0</v>
      </c>
      <c r="R181" s="168">
        <f t="shared" si="310"/>
        <v>0</v>
      </c>
      <c r="S181" s="168">
        <f t="shared" si="310"/>
        <v>0</v>
      </c>
      <c r="T181" s="168">
        <f t="shared" si="310"/>
        <v>0</v>
      </c>
      <c r="U181" s="168">
        <f t="shared" si="310"/>
        <v>0</v>
      </c>
      <c r="V181" s="168">
        <f t="shared" si="310"/>
        <v>0</v>
      </c>
      <c r="W181" s="168">
        <f t="shared" si="310"/>
        <v>0</v>
      </c>
      <c r="X181" s="168">
        <f t="shared" si="310"/>
        <v>0</v>
      </c>
      <c r="Y181" s="168">
        <f t="shared" si="310"/>
        <v>0</v>
      </c>
      <c r="Z181" s="168">
        <f t="shared" si="310"/>
        <v>0</v>
      </c>
      <c r="AA181" s="168">
        <f t="shared" si="310"/>
        <v>0</v>
      </c>
      <c r="AB181" s="168">
        <f t="shared" si="310"/>
        <v>0</v>
      </c>
      <c r="AC181" s="168">
        <f t="shared" si="310"/>
        <v>0</v>
      </c>
      <c r="AD181" s="168">
        <f t="shared" si="310"/>
        <v>0</v>
      </c>
      <c r="AE181" s="168">
        <f t="shared" si="310"/>
        <v>0</v>
      </c>
      <c r="AF181" s="168">
        <f t="shared" si="310"/>
        <v>0</v>
      </c>
      <c r="AG181" s="168">
        <f t="shared" si="310"/>
        <v>0</v>
      </c>
      <c r="AH181" s="168">
        <f t="shared" si="310"/>
        <v>0</v>
      </c>
      <c r="AI181" s="168">
        <f t="shared" si="310"/>
        <v>0</v>
      </c>
      <c r="AJ181" s="168">
        <f t="shared" si="310"/>
        <v>0</v>
      </c>
      <c r="AK181" s="168">
        <f t="shared" si="310"/>
        <v>0</v>
      </c>
      <c r="AL181" s="168">
        <f t="shared" si="310"/>
        <v>0</v>
      </c>
      <c r="AM181" s="168">
        <f t="shared" si="310"/>
        <v>0</v>
      </c>
      <c r="AN181" s="168">
        <f t="shared" si="310"/>
        <v>0</v>
      </c>
      <c r="AO181" s="168">
        <f t="shared" si="310"/>
        <v>0</v>
      </c>
      <c r="AP181" s="168">
        <f t="shared" si="310"/>
        <v>0</v>
      </c>
      <c r="AQ181" s="168">
        <f t="shared" si="310"/>
        <v>0</v>
      </c>
      <c r="AR181" s="168">
        <f t="shared" si="310"/>
        <v>0</v>
      </c>
      <c r="AS181" s="168">
        <f t="shared" si="310"/>
        <v>0</v>
      </c>
      <c r="AT181" s="168">
        <f t="shared" si="310"/>
        <v>0</v>
      </c>
      <c r="AU181" s="168">
        <f t="shared" si="310"/>
        <v>0</v>
      </c>
      <c r="AV181" s="168">
        <f t="shared" si="310"/>
        <v>0</v>
      </c>
      <c r="AW181" s="168">
        <f t="shared" si="310"/>
        <v>0</v>
      </c>
      <c r="AX181" s="168">
        <f t="shared" si="310"/>
        <v>0</v>
      </c>
      <c r="AY181" s="168">
        <f t="shared" si="310"/>
        <v>0</v>
      </c>
      <c r="AZ181" s="168">
        <f t="shared" si="310"/>
        <v>0</v>
      </c>
      <c r="BA181" s="168">
        <f t="shared" si="310"/>
        <v>0</v>
      </c>
      <c r="BB181" s="168">
        <f t="shared" si="310"/>
        <v>0</v>
      </c>
      <c r="BC181" s="168">
        <f t="shared" si="310"/>
        <v>0</v>
      </c>
      <c r="BD181" s="168">
        <f t="shared" si="310"/>
        <v>0</v>
      </c>
      <c r="BE181" s="168">
        <f t="shared" si="310"/>
        <v>0</v>
      </c>
      <c r="BF181" s="168">
        <f t="shared" si="310"/>
        <v>0</v>
      </c>
      <c r="BG181" s="168">
        <f t="shared" si="310"/>
        <v>0</v>
      </c>
      <c r="BH181" s="168">
        <f t="shared" si="310"/>
        <v>0</v>
      </c>
      <c r="BI181" s="168">
        <f t="shared" si="310"/>
        <v>0</v>
      </c>
      <c r="BJ181" s="168">
        <f t="shared" si="310"/>
        <v>0</v>
      </c>
      <c r="BK181" s="168">
        <f t="shared" si="310"/>
        <v>0</v>
      </c>
      <c r="BL181" s="168">
        <f t="shared" si="310"/>
        <v>0</v>
      </c>
      <c r="BM181" s="168">
        <f t="shared" si="310"/>
        <v>0</v>
      </c>
      <c r="BN181" s="168">
        <f t="shared" si="310"/>
        <v>0</v>
      </c>
      <c r="BO181" s="168">
        <f t="shared" ref="BO181:CE181" si="311">BO94-BO8</f>
        <v>0</v>
      </c>
      <c r="BP181" s="168">
        <f t="shared" si="311"/>
        <v>0</v>
      </c>
      <c r="BQ181" s="168">
        <f t="shared" si="311"/>
        <v>0</v>
      </c>
      <c r="BR181" s="168">
        <f t="shared" si="311"/>
        <v>0</v>
      </c>
      <c r="BS181" s="168">
        <f t="shared" si="311"/>
        <v>0</v>
      </c>
      <c r="BT181" s="168">
        <f t="shared" si="311"/>
        <v>0</v>
      </c>
      <c r="BU181" s="168">
        <f t="shared" si="311"/>
        <v>0</v>
      </c>
      <c r="BV181" s="168">
        <f t="shared" si="311"/>
        <v>0</v>
      </c>
      <c r="BW181" s="168">
        <f t="shared" si="311"/>
        <v>0</v>
      </c>
      <c r="BX181" s="168">
        <f t="shared" si="311"/>
        <v>0</v>
      </c>
      <c r="BY181" s="168">
        <f t="shared" si="311"/>
        <v>0</v>
      </c>
      <c r="BZ181" s="168">
        <f t="shared" si="311"/>
        <v>0</v>
      </c>
      <c r="CA181" s="168">
        <f t="shared" si="311"/>
        <v>0</v>
      </c>
      <c r="CB181" s="168">
        <f t="shared" si="311"/>
        <v>0</v>
      </c>
      <c r="CC181" s="168">
        <f t="shared" si="311"/>
        <v>0</v>
      </c>
      <c r="CD181" s="168">
        <f t="shared" si="311"/>
        <v>0</v>
      </c>
      <c r="CE181" s="168">
        <f t="shared" si="311"/>
        <v>0</v>
      </c>
    </row>
    <row r="182" spans="1:83" ht="15.5">
      <c r="A182" s="166"/>
      <c r="B182" s="167"/>
      <c r="C182" s="168">
        <f t="shared" ref="C182:BN182" si="312">C95-C9</f>
        <v>0</v>
      </c>
      <c r="D182" s="168">
        <f t="shared" si="312"/>
        <v>0</v>
      </c>
      <c r="E182" s="168">
        <f t="shared" si="312"/>
        <v>0</v>
      </c>
      <c r="F182" s="168">
        <f t="shared" si="312"/>
        <v>0</v>
      </c>
      <c r="G182" s="168">
        <f t="shared" si="312"/>
        <v>0</v>
      </c>
      <c r="H182" s="168">
        <f t="shared" si="312"/>
        <v>0</v>
      </c>
      <c r="I182" s="168">
        <f t="shared" si="312"/>
        <v>0</v>
      </c>
      <c r="J182" s="168">
        <f t="shared" si="312"/>
        <v>0</v>
      </c>
      <c r="K182" s="168">
        <f t="shared" si="312"/>
        <v>0</v>
      </c>
      <c r="L182" s="168">
        <f t="shared" si="312"/>
        <v>0</v>
      </c>
      <c r="M182" s="168">
        <f t="shared" si="312"/>
        <v>0</v>
      </c>
      <c r="N182" s="168">
        <f t="shared" si="312"/>
        <v>0</v>
      </c>
      <c r="O182" s="168">
        <f t="shared" si="312"/>
        <v>0</v>
      </c>
      <c r="P182" s="168">
        <f t="shared" si="312"/>
        <v>0</v>
      </c>
      <c r="Q182" s="168">
        <f t="shared" si="312"/>
        <v>0</v>
      </c>
      <c r="R182" s="168">
        <f t="shared" si="312"/>
        <v>0</v>
      </c>
      <c r="S182" s="168">
        <f t="shared" si="312"/>
        <v>0</v>
      </c>
      <c r="T182" s="168">
        <f t="shared" si="312"/>
        <v>0</v>
      </c>
      <c r="U182" s="168">
        <f t="shared" si="312"/>
        <v>0</v>
      </c>
      <c r="V182" s="168">
        <f t="shared" si="312"/>
        <v>0</v>
      </c>
      <c r="W182" s="168">
        <f t="shared" si="312"/>
        <v>0</v>
      </c>
      <c r="X182" s="168">
        <f t="shared" si="312"/>
        <v>0</v>
      </c>
      <c r="Y182" s="168">
        <f t="shared" si="312"/>
        <v>0</v>
      </c>
      <c r="Z182" s="168">
        <f t="shared" si="312"/>
        <v>0</v>
      </c>
      <c r="AA182" s="168">
        <f t="shared" si="312"/>
        <v>0</v>
      </c>
      <c r="AB182" s="168">
        <f t="shared" si="312"/>
        <v>0</v>
      </c>
      <c r="AC182" s="168">
        <f t="shared" si="312"/>
        <v>0</v>
      </c>
      <c r="AD182" s="168">
        <f t="shared" si="312"/>
        <v>0</v>
      </c>
      <c r="AE182" s="168">
        <f t="shared" si="312"/>
        <v>0</v>
      </c>
      <c r="AF182" s="168">
        <f t="shared" si="312"/>
        <v>0</v>
      </c>
      <c r="AG182" s="168">
        <f t="shared" si="312"/>
        <v>0</v>
      </c>
      <c r="AH182" s="168">
        <f t="shared" si="312"/>
        <v>0</v>
      </c>
      <c r="AI182" s="168">
        <f t="shared" si="312"/>
        <v>0</v>
      </c>
      <c r="AJ182" s="168">
        <f t="shared" si="312"/>
        <v>0</v>
      </c>
      <c r="AK182" s="168">
        <f t="shared" si="312"/>
        <v>0</v>
      </c>
      <c r="AL182" s="168">
        <f t="shared" si="312"/>
        <v>0</v>
      </c>
      <c r="AM182" s="168">
        <f t="shared" si="312"/>
        <v>0</v>
      </c>
      <c r="AN182" s="168">
        <f t="shared" si="312"/>
        <v>0</v>
      </c>
      <c r="AO182" s="168">
        <f t="shared" si="312"/>
        <v>0</v>
      </c>
      <c r="AP182" s="168">
        <f t="shared" si="312"/>
        <v>0</v>
      </c>
      <c r="AQ182" s="168">
        <f t="shared" si="312"/>
        <v>0</v>
      </c>
      <c r="AR182" s="168">
        <f t="shared" si="312"/>
        <v>0</v>
      </c>
      <c r="AS182" s="168">
        <f t="shared" si="312"/>
        <v>0</v>
      </c>
      <c r="AT182" s="168">
        <f t="shared" si="312"/>
        <v>0</v>
      </c>
      <c r="AU182" s="168">
        <f t="shared" si="312"/>
        <v>0</v>
      </c>
      <c r="AV182" s="168">
        <f t="shared" si="312"/>
        <v>0</v>
      </c>
      <c r="AW182" s="168">
        <f t="shared" si="312"/>
        <v>0</v>
      </c>
      <c r="AX182" s="168">
        <f t="shared" si="312"/>
        <v>0</v>
      </c>
      <c r="AY182" s="168">
        <f t="shared" si="312"/>
        <v>0</v>
      </c>
      <c r="AZ182" s="168">
        <f t="shared" si="312"/>
        <v>0</v>
      </c>
      <c r="BA182" s="168">
        <f t="shared" si="312"/>
        <v>0</v>
      </c>
      <c r="BB182" s="168">
        <f t="shared" si="312"/>
        <v>0</v>
      </c>
      <c r="BC182" s="168">
        <f t="shared" si="312"/>
        <v>0</v>
      </c>
      <c r="BD182" s="168">
        <f t="shared" si="312"/>
        <v>0</v>
      </c>
      <c r="BE182" s="168">
        <f t="shared" si="312"/>
        <v>0</v>
      </c>
      <c r="BF182" s="168">
        <f t="shared" si="312"/>
        <v>0</v>
      </c>
      <c r="BG182" s="168">
        <f t="shared" si="312"/>
        <v>0</v>
      </c>
      <c r="BH182" s="168">
        <f t="shared" si="312"/>
        <v>0</v>
      </c>
      <c r="BI182" s="168">
        <f t="shared" si="312"/>
        <v>0</v>
      </c>
      <c r="BJ182" s="168">
        <f t="shared" si="312"/>
        <v>0</v>
      </c>
      <c r="BK182" s="168">
        <f t="shared" si="312"/>
        <v>0</v>
      </c>
      <c r="BL182" s="168">
        <f t="shared" si="312"/>
        <v>0</v>
      </c>
      <c r="BM182" s="168">
        <f t="shared" si="312"/>
        <v>0</v>
      </c>
      <c r="BN182" s="168">
        <f t="shared" si="312"/>
        <v>0</v>
      </c>
      <c r="BO182" s="168">
        <f t="shared" ref="BO182:CE182" si="313">BO95-BO9</f>
        <v>0</v>
      </c>
      <c r="BP182" s="168">
        <f t="shared" si="313"/>
        <v>0</v>
      </c>
      <c r="BQ182" s="168">
        <f t="shared" si="313"/>
        <v>0</v>
      </c>
      <c r="BR182" s="168">
        <f t="shared" si="313"/>
        <v>0</v>
      </c>
      <c r="BS182" s="168">
        <f t="shared" si="313"/>
        <v>0</v>
      </c>
      <c r="BT182" s="168">
        <f t="shared" si="313"/>
        <v>0</v>
      </c>
      <c r="BU182" s="168">
        <f t="shared" si="313"/>
        <v>0</v>
      </c>
      <c r="BV182" s="168">
        <f t="shared" si="313"/>
        <v>0</v>
      </c>
      <c r="BW182" s="168">
        <f t="shared" si="313"/>
        <v>0</v>
      </c>
      <c r="BX182" s="168">
        <f t="shared" si="313"/>
        <v>0</v>
      </c>
      <c r="BY182" s="168">
        <f t="shared" si="313"/>
        <v>0</v>
      </c>
      <c r="BZ182" s="168">
        <f t="shared" si="313"/>
        <v>0</v>
      </c>
      <c r="CA182" s="168">
        <f t="shared" si="313"/>
        <v>0</v>
      </c>
      <c r="CB182" s="168">
        <f t="shared" si="313"/>
        <v>0</v>
      </c>
      <c r="CC182" s="168">
        <f t="shared" si="313"/>
        <v>0</v>
      </c>
      <c r="CD182" s="168">
        <f t="shared" si="313"/>
        <v>0</v>
      </c>
      <c r="CE182" s="168">
        <f t="shared" si="313"/>
        <v>0</v>
      </c>
    </row>
    <row r="183" spans="1:83" ht="21">
      <c r="A183" s="158">
        <v>5</v>
      </c>
      <c r="B183" s="159" t="s">
        <v>3</v>
      </c>
      <c r="C183" s="168">
        <f t="shared" ref="C183:BN183" si="314">C96-C10</f>
        <v>0</v>
      </c>
      <c r="D183" s="168">
        <f t="shared" si="314"/>
        <v>0</v>
      </c>
      <c r="E183" s="168">
        <f t="shared" si="314"/>
        <v>0</v>
      </c>
      <c r="F183" s="168">
        <f t="shared" si="314"/>
        <v>0</v>
      </c>
      <c r="G183" s="168">
        <f t="shared" si="314"/>
        <v>0</v>
      </c>
      <c r="H183" s="168">
        <f t="shared" si="314"/>
        <v>0</v>
      </c>
      <c r="I183" s="168">
        <f t="shared" si="314"/>
        <v>0</v>
      </c>
      <c r="J183" s="168">
        <f t="shared" si="314"/>
        <v>0</v>
      </c>
      <c r="K183" s="168">
        <f t="shared" si="314"/>
        <v>0</v>
      </c>
      <c r="L183" s="168">
        <f t="shared" si="314"/>
        <v>0</v>
      </c>
      <c r="M183" s="168">
        <f t="shared" si="314"/>
        <v>0</v>
      </c>
      <c r="N183" s="168">
        <f t="shared" si="314"/>
        <v>0</v>
      </c>
      <c r="O183" s="168">
        <f t="shared" si="314"/>
        <v>0</v>
      </c>
      <c r="P183" s="168">
        <f t="shared" si="314"/>
        <v>0</v>
      </c>
      <c r="Q183" s="168">
        <f t="shared" si="314"/>
        <v>0</v>
      </c>
      <c r="R183" s="168">
        <f t="shared" si="314"/>
        <v>0</v>
      </c>
      <c r="S183" s="168">
        <f t="shared" si="314"/>
        <v>0</v>
      </c>
      <c r="T183" s="168">
        <f t="shared" si="314"/>
        <v>0</v>
      </c>
      <c r="U183" s="168">
        <f t="shared" si="314"/>
        <v>0</v>
      </c>
      <c r="V183" s="168">
        <f t="shared" si="314"/>
        <v>0</v>
      </c>
      <c r="W183" s="168">
        <f t="shared" si="314"/>
        <v>0</v>
      </c>
      <c r="X183" s="168">
        <f t="shared" si="314"/>
        <v>0</v>
      </c>
      <c r="Y183" s="168">
        <f t="shared" si="314"/>
        <v>0</v>
      </c>
      <c r="Z183" s="168">
        <f t="shared" si="314"/>
        <v>0</v>
      </c>
      <c r="AA183" s="168">
        <f t="shared" si="314"/>
        <v>0</v>
      </c>
      <c r="AB183" s="168">
        <f t="shared" si="314"/>
        <v>0</v>
      </c>
      <c r="AC183" s="168">
        <f t="shared" si="314"/>
        <v>0</v>
      </c>
      <c r="AD183" s="168">
        <f t="shared" si="314"/>
        <v>0</v>
      </c>
      <c r="AE183" s="168">
        <f t="shared" si="314"/>
        <v>0</v>
      </c>
      <c r="AF183" s="168">
        <f t="shared" si="314"/>
        <v>0</v>
      </c>
      <c r="AG183" s="168">
        <f t="shared" si="314"/>
        <v>0</v>
      </c>
      <c r="AH183" s="168">
        <f t="shared" si="314"/>
        <v>0</v>
      </c>
      <c r="AI183" s="168">
        <f t="shared" si="314"/>
        <v>0</v>
      </c>
      <c r="AJ183" s="168">
        <f t="shared" si="314"/>
        <v>0</v>
      </c>
      <c r="AK183" s="168">
        <f t="shared" si="314"/>
        <v>0</v>
      </c>
      <c r="AL183" s="168">
        <f t="shared" si="314"/>
        <v>0</v>
      </c>
      <c r="AM183" s="168">
        <f t="shared" si="314"/>
        <v>0</v>
      </c>
      <c r="AN183" s="168">
        <f t="shared" si="314"/>
        <v>0</v>
      </c>
      <c r="AO183" s="168">
        <f t="shared" si="314"/>
        <v>0</v>
      </c>
      <c r="AP183" s="168">
        <f t="shared" si="314"/>
        <v>0</v>
      </c>
      <c r="AQ183" s="168">
        <f t="shared" si="314"/>
        <v>0</v>
      </c>
      <c r="AR183" s="168">
        <f t="shared" si="314"/>
        <v>0</v>
      </c>
      <c r="AS183" s="168">
        <f t="shared" si="314"/>
        <v>0</v>
      </c>
      <c r="AT183" s="168">
        <f t="shared" si="314"/>
        <v>0</v>
      </c>
      <c r="AU183" s="168">
        <f t="shared" si="314"/>
        <v>0</v>
      </c>
      <c r="AV183" s="168">
        <f t="shared" si="314"/>
        <v>0</v>
      </c>
      <c r="AW183" s="168">
        <f t="shared" si="314"/>
        <v>0</v>
      </c>
      <c r="AX183" s="168">
        <f t="shared" si="314"/>
        <v>0</v>
      </c>
      <c r="AY183" s="168">
        <f t="shared" si="314"/>
        <v>0</v>
      </c>
      <c r="AZ183" s="168">
        <f t="shared" si="314"/>
        <v>0</v>
      </c>
      <c r="BA183" s="168">
        <f t="shared" si="314"/>
        <v>0</v>
      </c>
      <c r="BB183" s="168">
        <f t="shared" si="314"/>
        <v>0</v>
      </c>
      <c r="BC183" s="168">
        <f t="shared" si="314"/>
        <v>0</v>
      </c>
      <c r="BD183" s="168">
        <f t="shared" si="314"/>
        <v>0</v>
      </c>
      <c r="BE183" s="168">
        <f t="shared" si="314"/>
        <v>0</v>
      </c>
      <c r="BF183" s="168">
        <f t="shared" si="314"/>
        <v>0</v>
      </c>
      <c r="BG183" s="168">
        <f t="shared" si="314"/>
        <v>0</v>
      </c>
      <c r="BH183" s="168">
        <f t="shared" si="314"/>
        <v>0</v>
      </c>
      <c r="BI183" s="168">
        <f t="shared" si="314"/>
        <v>0</v>
      </c>
      <c r="BJ183" s="168">
        <f t="shared" si="314"/>
        <v>0</v>
      </c>
      <c r="BK183" s="168">
        <f t="shared" si="314"/>
        <v>0</v>
      </c>
      <c r="BL183" s="168">
        <f t="shared" si="314"/>
        <v>0</v>
      </c>
      <c r="BM183" s="168">
        <f t="shared" si="314"/>
        <v>0</v>
      </c>
      <c r="BN183" s="168">
        <f t="shared" si="314"/>
        <v>0</v>
      </c>
      <c r="BO183" s="168">
        <f t="shared" ref="BO183:CE183" si="315">BO96-BO10</f>
        <v>0</v>
      </c>
      <c r="BP183" s="168">
        <f t="shared" si="315"/>
        <v>0</v>
      </c>
      <c r="BQ183" s="168">
        <f t="shared" si="315"/>
        <v>0</v>
      </c>
      <c r="BR183" s="168">
        <f t="shared" si="315"/>
        <v>0</v>
      </c>
      <c r="BS183" s="168">
        <f t="shared" si="315"/>
        <v>0</v>
      </c>
      <c r="BT183" s="168">
        <f t="shared" si="315"/>
        <v>0</v>
      </c>
      <c r="BU183" s="168">
        <f t="shared" si="315"/>
        <v>0</v>
      </c>
      <c r="BV183" s="168">
        <f t="shared" si="315"/>
        <v>0</v>
      </c>
      <c r="BW183" s="168">
        <f t="shared" si="315"/>
        <v>0</v>
      </c>
      <c r="BX183" s="168">
        <f t="shared" si="315"/>
        <v>0</v>
      </c>
      <c r="BY183" s="168">
        <f t="shared" si="315"/>
        <v>0</v>
      </c>
      <c r="BZ183" s="168">
        <f t="shared" si="315"/>
        <v>0</v>
      </c>
      <c r="CA183" s="168">
        <f t="shared" si="315"/>
        <v>0</v>
      </c>
      <c r="CB183" s="168">
        <f t="shared" si="315"/>
        <v>0</v>
      </c>
      <c r="CC183" s="168">
        <f t="shared" si="315"/>
        <v>0</v>
      </c>
      <c r="CD183" s="168">
        <f t="shared" si="315"/>
        <v>0</v>
      </c>
      <c r="CE183" s="168">
        <f t="shared" si="315"/>
        <v>0</v>
      </c>
    </row>
    <row r="184" spans="1:83" ht="15.5">
      <c r="A184" s="160">
        <v>5</v>
      </c>
      <c r="B184" s="161" t="s">
        <v>194</v>
      </c>
      <c r="C184" s="168">
        <f t="shared" ref="C184:BN184" si="316">C97-C11</f>
        <v>0</v>
      </c>
      <c r="D184" s="168">
        <f t="shared" si="316"/>
        <v>0</v>
      </c>
      <c r="E184" s="168">
        <f t="shared" si="316"/>
        <v>0</v>
      </c>
      <c r="F184" s="168">
        <f t="shared" si="316"/>
        <v>0</v>
      </c>
      <c r="G184" s="168">
        <f t="shared" si="316"/>
        <v>0</v>
      </c>
      <c r="H184" s="168">
        <f t="shared" si="316"/>
        <v>0</v>
      </c>
      <c r="I184" s="168">
        <f t="shared" si="316"/>
        <v>0</v>
      </c>
      <c r="J184" s="168">
        <f t="shared" si="316"/>
        <v>0</v>
      </c>
      <c r="K184" s="168">
        <f t="shared" si="316"/>
        <v>0</v>
      </c>
      <c r="L184" s="168">
        <f t="shared" si="316"/>
        <v>0</v>
      </c>
      <c r="M184" s="168">
        <f t="shared" si="316"/>
        <v>0</v>
      </c>
      <c r="N184" s="168">
        <f t="shared" si="316"/>
        <v>0</v>
      </c>
      <c r="O184" s="168">
        <f t="shared" si="316"/>
        <v>0</v>
      </c>
      <c r="P184" s="168">
        <f t="shared" si="316"/>
        <v>0</v>
      </c>
      <c r="Q184" s="168">
        <f t="shared" si="316"/>
        <v>0</v>
      </c>
      <c r="R184" s="168">
        <f t="shared" si="316"/>
        <v>0</v>
      </c>
      <c r="S184" s="168">
        <f t="shared" si="316"/>
        <v>0</v>
      </c>
      <c r="T184" s="168">
        <f t="shared" si="316"/>
        <v>0</v>
      </c>
      <c r="U184" s="168">
        <f t="shared" si="316"/>
        <v>0</v>
      </c>
      <c r="V184" s="168">
        <f t="shared" si="316"/>
        <v>0</v>
      </c>
      <c r="W184" s="168">
        <f t="shared" si="316"/>
        <v>0</v>
      </c>
      <c r="X184" s="168">
        <f t="shared" si="316"/>
        <v>0</v>
      </c>
      <c r="Y184" s="168">
        <f t="shared" si="316"/>
        <v>0</v>
      </c>
      <c r="Z184" s="168">
        <f t="shared" si="316"/>
        <v>0</v>
      </c>
      <c r="AA184" s="168">
        <f t="shared" si="316"/>
        <v>0</v>
      </c>
      <c r="AB184" s="168">
        <f t="shared" si="316"/>
        <v>0</v>
      </c>
      <c r="AC184" s="168">
        <f t="shared" si="316"/>
        <v>0</v>
      </c>
      <c r="AD184" s="168">
        <f t="shared" si="316"/>
        <v>0</v>
      </c>
      <c r="AE184" s="168">
        <f t="shared" si="316"/>
        <v>0</v>
      </c>
      <c r="AF184" s="168">
        <f t="shared" si="316"/>
        <v>0</v>
      </c>
      <c r="AG184" s="168">
        <f t="shared" si="316"/>
        <v>0</v>
      </c>
      <c r="AH184" s="168">
        <f t="shared" si="316"/>
        <v>0</v>
      </c>
      <c r="AI184" s="168">
        <f t="shared" si="316"/>
        <v>0</v>
      </c>
      <c r="AJ184" s="168">
        <f t="shared" si="316"/>
        <v>0</v>
      </c>
      <c r="AK184" s="168">
        <f t="shared" si="316"/>
        <v>0</v>
      </c>
      <c r="AL184" s="168">
        <f t="shared" si="316"/>
        <v>0</v>
      </c>
      <c r="AM184" s="168">
        <f t="shared" si="316"/>
        <v>0</v>
      </c>
      <c r="AN184" s="168">
        <f t="shared" si="316"/>
        <v>0</v>
      </c>
      <c r="AO184" s="168">
        <f t="shared" si="316"/>
        <v>0</v>
      </c>
      <c r="AP184" s="168">
        <f t="shared" si="316"/>
        <v>0</v>
      </c>
      <c r="AQ184" s="168">
        <f t="shared" si="316"/>
        <v>0</v>
      </c>
      <c r="AR184" s="168">
        <f t="shared" si="316"/>
        <v>0</v>
      </c>
      <c r="AS184" s="168">
        <f t="shared" si="316"/>
        <v>0</v>
      </c>
      <c r="AT184" s="168">
        <f t="shared" si="316"/>
        <v>0</v>
      </c>
      <c r="AU184" s="168">
        <f t="shared" si="316"/>
        <v>0</v>
      </c>
      <c r="AV184" s="168">
        <f t="shared" si="316"/>
        <v>0</v>
      </c>
      <c r="AW184" s="168">
        <f t="shared" si="316"/>
        <v>0</v>
      </c>
      <c r="AX184" s="168">
        <f t="shared" si="316"/>
        <v>0</v>
      </c>
      <c r="AY184" s="168">
        <f t="shared" si="316"/>
        <v>0</v>
      </c>
      <c r="AZ184" s="168">
        <f t="shared" si="316"/>
        <v>0</v>
      </c>
      <c r="BA184" s="168">
        <f t="shared" si="316"/>
        <v>0</v>
      </c>
      <c r="BB184" s="168">
        <f t="shared" si="316"/>
        <v>0</v>
      </c>
      <c r="BC184" s="168">
        <f t="shared" si="316"/>
        <v>0</v>
      </c>
      <c r="BD184" s="168">
        <f t="shared" si="316"/>
        <v>0</v>
      </c>
      <c r="BE184" s="168">
        <f t="shared" si="316"/>
        <v>0</v>
      </c>
      <c r="BF184" s="168">
        <f t="shared" si="316"/>
        <v>0</v>
      </c>
      <c r="BG184" s="168">
        <f t="shared" si="316"/>
        <v>0</v>
      </c>
      <c r="BH184" s="168">
        <f t="shared" si="316"/>
        <v>0</v>
      </c>
      <c r="BI184" s="168">
        <f t="shared" si="316"/>
        <v>0</v>
      </c>
      <c r="BJ184" s="168">
        <f t="shared" si="316"/>
        <v>0</v>
      </c>
      <c r="BK184" s="168">
        <f t="shared" si="316"/>
        <v>0</v>
      </c>
      <c r="BL184" s="168">
        <f t="shared" si="316"/>
        <v>0</v>
      </c>
      <c r="BM184" s="168">
        <f t="shared" si="316"/>
        <v>0</v>
      </c>
      <c r="BN184" s="168">
        <f t="shared" si="316"/>
        <v>0</v>
      </c>
      <c r="BO184" s="168">
        <f t="shared" ref="BO184:CE184" si="317">BO97-BO11</f>
        <v>0</v>
      </c>
      <c r="BP184" s="168">
        <f t="shared" si="317"/>
        <v>0</v>
      </c>
      <c r="BQ184" s="168">
        <f t="shared" si="317"/>
        <v>0</v>
      </c>
      <c r="BR184" s="168">
        <f t="shared" si="317"/>
        <v>0</v>
      </c>
      <c r="BS184" s="168">
        <f t="shared" si="317"/>
        <v>0</v>
      </c>
      <c r="BT184" s="168">
        <f t="shared" si="317"/>
        <v>0</v>
      </c>
      <c r="BU184" s="168">
        <f t="shared" si="317"/>
        <v>0</v>
      </c>
      <c r="BV184" s="168">
        <f t="shared" si="317"/>
        <v>0</v>
      </c>
      <c r="BW184" s="168">
        <f t="shared" si="317"/>
        <v>0</v>
      </c>
      <c r="BX184" s="168">
        <f t="shared" si="317"/>
        <v>0</v>
      </c>
      <c r="BY184" s="168">
        <f t="shared" si="317"/>
        <v>0</v>
      </c>
      <c r="BZ184" s="168">
        <f t="shared" si="317"/>
        <v>0</v>
      </c>
      <c r="CA184" s="168">
        <f t="shared" si="317"/>
        <v>0</v>
      </c>
      <c r="CB184" s="168">
        <f t="shared" si="317"/>
        <v>0</v>
      </c>
      <c r="CC184" s="168">
        <f t="shared" si="317"/>
        <v>0</v>
      </c>
      <c r="CD184" s="168">
        <f t="shared" si="317"/>
        <v>0</v>
      </c>
      <c r="CE184" s="168">
        <f t="shared" si="317"/>
        <v>0</v>
      </c>
    </row>
    <row r="185" spans="1:83" ht="15.5">
      <c r="A185" s="160">
        <v>5</v>
      </c>
      <c r="B185" s="162" t="s">
        <v>139</v>
      </c>
      <c r="C185" s="168">
        <f t="shared" ref="C185:BN185" si="318">C98-C12</f>
        <v>0</v>
      </c>
      <c r="D185" s="168">
        <f t="shared" si="318"/>
        <v>0</v>
      </c>
      <c r="E185" s="168">
        <f t="shared" si="318"/>
        <v>0</v>
      </c>
      <c r="F185" s="168">
        <f t="shared" si="318"/>
        <v>0</v>
      </c>
      <c r="G185" s="168">
        <f t="shared" si="318"/>
        <v>0</v>
      </c>
      <c r="H185" s="168">
        <f t="shared" si="318"/>
        <v>0</v>
      </c>
      <c r="I185" s="168">
        <f t="shared" si="318"/>
        <v>0</v>
      </c>
      <c r="J185" s="168">
        <f t="shared" si="318"/>
        <v>0</v>
      </c>
      <c r="K185" s="168">
        <f t="shared" si="318"/>
        <v>0</v>
      </c>
      <c r="L185" s="168">
        <f t="shared" si="318"/>
        <v>0</v>
      </c>
      <c r="M185" s="168">
        <f t="shared" si="318"/>
        <v>0</v>
      </c>
      <c r="N185" s="168">
        <f t="shared" si="318"/>
        <v>0</v>
      </c>
      <c r="O185" s="168">
        <f t="shared" si="318"/>
        <v>0</v>
      </c>
      <c r="P185" s="168">
        <f t="shared" si="318"/>
        <v>0</v>
      </c>
      <c r="Q185" s="168">
        <f t="shared" si="318"/>
        <v>0</v>
      </c>
      <c r="R185" s="168">
        <f t="shared" si="318"/>
        <v>0</v>
      </c>
      <c r="S185" s="168">
        <f t="shared" si="318"/>
        <v>0</v>
      </c>
      <c r="T185" s="168">
        <f t="shared" si="318"/>
        <v>0</v>
      </c>
      <c r="U185" s="168">
        <f t="shared" si="318"/>
        <v>0</v>
      </c>
      <c r="V185" s="168">
        <f t="shared" si="318"/>
        <v>0</v>
      </c>
      <c r="W185" s="168">
        <f t="shared" si="318"/>
        <v>0</v>
      </c>
      <c r="X185" s="168">
        <f t="shared" si="318"/>
        <v>0</v>
      </c>
      <c r="Y185" s="168">
        <f t="shared" si="318"/>
        <v>0</v>
      </c>
      <c r="Z185" s="168">
        <f t="shared" si="318"/>
        <v>0</v>
      </c>
      <c r="AA185" s="168">
        <f t="shared" si="318"/>
        <v>0</v>
      </c>
      <c r="AB185" s="168">
        <f t="shared" si="318"/>
        <v>0</v>
      </c>
      <c r="AC185" s="168">
        <f t="shared" si="318"/>
        <v>0</v>
      </c>
      <c r="AD185" s="168">
        <f t="shared" si="318"/>
        <v>0</v>
      </c>
      <c r="AE185" s="168">
        <f t="shared" si="318"/>
        <v>0</v>
      </c>
      <c r="AF185" s="168">
        <f t="shared" si="318"/>
        <v>0</v>
      </c>
      <c r="AG185" s="168">
        <f t="shared" si="318"/>
        <v>0</v>
      </c>
      <c r="AH185" s="168">
        <f t="shared" si="318"/>
        <v>0</v>
      </c>
      <c r="AI185" s="168">
        <f t="shared" si="318"/>
        <v>0</v>
      </c>
      <c r="AJ185" s="168">
        <f t="shared" si="318"/>
        <v>0</v>
      </c>
      <c r="AK185" s="168">
        <f t="shared" si="318"/>
        <v>0</v>
      </c>
      <c r="AL185" s="168">
        <f t="shared" si="318"/>
        <v>0</v>
      </c>
      <c r="AM185" s="168">
        <f t="shared" si="318"/>
        <v>0</v>
      </c>
      <c r="AN185" s="168">
        <f t="shared" si="318"/>
        <v>0</v>
      </c>
      <c r="AO185" s="168">
        <f t="shared" si="318"/>
        <v>0</v>
      </c>
      <c r="AP185" s="168">
        <f t="shared" si="318"/>
        <v>0</v>
      </c>
      <c r="AQ185" s="168">
        <f t="shared" si="318"/>
        <v>0</v>
      </c>
      <c r="AR185" s="168">
        <f t="shared" si="318"/>
        <v>0</v>
      </c>
      <c r="AS185" s="168">
        <f t="shared" si="318"/>
        <v>0</v>
      </c>
      <c r="AT185" s="168">
        <f t="shared" si="318"/>
        <v>0</v>
      </c>
      <c r="AU185" s="168">
        <f t="shared" si="318"/>
        <v>0</v>
      </c>
      <c r="AV185" s="168">
        <f t="shared" si="318"/>
        <v>0</v>
      </c>
      <c r="AW185" s="168">
        <f t="shared" si="318"/>
        <v>0</v>
      </c>
      <c r="AX185" s="168">
        <f t="shared" si="318"/>
        <v>0</v>
      </c>
      <c r="AY185" s="168">
        <f t="shared" si="318"/>
        <v>0</v>
      </c>
      <c r="AZ185" s="168">
        <f t="shared" si="318"/>
        <v>0</v>
      </c>
      <c r="BA185" s="168">
        <f t="shared" si="318"/>
        <v>0</v>
      </c>
      <c r="BB185" s="168">
        <f t="shared" si="318"/>
        <v>0</v>
      </c>
      <c r="BC185" s="168">
        <f t="shared" si="318"/>
        <v>0</v>
      </c>
      <c r="BD185" s="168">
        <f t="shared" si="318"/>
        <v>0</v>
      </c>
      <c r="BE185" s="168">
        <f t="shared" si="318"/>
        <v>0</v>
      </c>
      <c r="BF185" s="168">
        <f t="shared" si="318"/>
        <v>0</v>
      </c>
      <c r="BG185" s="168">
        <f t="shared" si="318"/>
        <v>0</v>
      </c>
      <c r="BH185" s="168">
        <f t="shared" si="318"/>
        <v>0</v>
      </c>
      <c r="BI185" s="168">
        <f t="shared" si="318"/>
        <v>0</v>
      </c>
      <c r="BJ185" s="168">
        <f t="shared" si="318"/>
        <v>0</v>
      </c>
      <c r="BK185" s="168">
        <f t="shared" si="318"/>
        <v>0</v>
      </c>
      <c r="BL185" s="168">
        <f t="shared" si="318"/>
        <v>0</v>
      </c>
      <c r="BM185" s="168">
        <f t="shared" si="318"/>
        <v>0</v>
      </c>
      <c r="BN185" s="168">
        <f t="shared" si="318"/>
        <v>0</v>
      </c>
      <c r="BO185" s="168">
        <f t="shared" ref="BO185:CE185" si="319">BO98-BO12</f>
        <v>0</v>
      </c>
      <c r="BP185" s="168">
        <f t="shared" si="319"/>
        <v>0</v>
      </c>
      <c r="BQ185" s="168">
        <f t="shared" si="319"/>
        <v>0</v>
      </c>
      <c r="BR185" s="168">
        <f t="shared" si="319"/>
        <v>0</v>
      </c>
      <c r="BS185" s="168">
        <f t="shared" si="319"/>
        <v>0</v>
      </c>
      <c r="BT185" s="168">
        <f t="shared" si="319"/>
        <v>0</v>
      </c>
      <c r="BU185" s="168">
        <f t="shared" si="319"/>
        <v>0</v>
      </c>
      <c r="BV185" s="168">
        <f t="shared" si="319"/>
        <v>0</v>
      </c>
      <c r="BW185" s="168">
        <f t="shared" si="319"/>
        <v>0</v>
      </c>
      <c r="BX185" s="168">
        <f t="shared" si="319"/>
        <v>0</v>
      </c>
      <c r="BY185" s="168">
        <f t="shared" si="319"/>
        <v>0</v>
      </c>
      <c r="BZ185" s="168">
        <f t="shared" si="319"/>
        <v>0</v>
      </c>
      <c r="CA185" s="168">
        <f t="shared" si="319"/>
        <v>0</v>
      </c>
      <c r="CB185" s="168">
        <f t="shared" si="319"/>
        <v>0</v>
      </c>
      <c r="CC185" s="168">
        <f t="shared" si="319"/>
        <v>0</v>
      </c>
      <c r="CD185" s="168">
        <f t="shared" si="319"/>
        <v>0</v>
      </c>
      <c r="CE185" s="168">
        <f t="shared" si="319"/>
        <v>0</v>
      </c>
    </row>
    <row r="186" spans="1:83" ht="15.5">
      <c r="A186" s="160">
        <v>5</v>
      </c>
      <c r="B186" s="163" t="s">
        <v>140</v>
      </c>
      <c r="C186" s="168">
        <f t="shared" ref="C186:BN186" si="320">C99-C13</f>
        <v>0</v>
      </c>
      <c r="D186" s="168">
        <f t="shared" si="320"/>
        <v>0</v>
      </c>
      <c r="E186" s="168">
        <f t="shared" si="320"/>
        <v>0</v>
      </c>
      <c r="F186" s="168">
        <f t="shared" si="320"/>
        <v>0</v>
      </c>
      <c r="G186" s="168">
        <f t="shared" si="320"/>
        <v>0</v>
      </c>
      <c r="H186" s="168">
        <f t="shared" si="320"/>
        <v>0</v>
      </c>
      <c r="I186" s="168">
        <f t="shared" si="320"/>
        <v>0</v>
      </c>
      <c r="J186" s="168">
        <f t="shared" si="320"/>
        <v>0</v>
      </c>
      <c r="K186" s="168">
        <f t="shared" si="320"/>
        <v>0</v>
      </c>
      <c r="L186" s="168">
        <f t="shared" si="320"/>
        <v>0</v>
      </c>
      <c r="M186" s="168">
        <f t="shared" si="320"/>
        <v>0</v>
      </c>
      <c r="N186" s="168">
        <f t="shared" si="320"/>
        <v>0</v>
      </c>
      <c r="O186" s="168">
        <f t="shared" si="320"/>
        <v>0</v>
      </c>
      <c r="P186" s="168">
        <f t="shared" si="320"/>
        <v>0</v>
      </c>
      <c r="Q186" s="168">
        <f t="shared" si="320"/>
        <v>0</v>
      </c>
      <c r="R186" s="168">
        <f t="shared" si="320"/>
        <v>0</v>
      </c>
      <c r="S186" s="168">
        <f t="shared" si="320"/>
        <v>0</v>
      </c>
      <c r="T186" s="168">
        <f t="shared" si="320"/>
        <v>0</v>
      </c>
      <c r="U186" s="168">
        <f t="shared" si="320"/>
        <v>0</v>
      </c>
      <c r="V186" s="168">
        <f t="shared" si="320"/>
        <v>0</v>
      </c>
      <c r="W186" s="168">
        <f t="shared" si="320"/>
        <v>0</v>
      </c>
      <c r="X186" s="168">
        <f t="shared" si="320"/>
        <v>0</v>
      </c>
      <c r="Y186" s="168">
        <f t="shared" si="320"/>
        <v>0</v>
      </c>
      <c r="Z186" s="168">
        <f t="shared" si="320"/>
        <v>0</v>
      </c>
      <c r="AA186" s="168">
        <f t="shared" si="320"/>
        <v>0</v>
      </c>
      <c r="AB186" s="168">
        <f t="shared" si="320"/>
        <v>0</v>
      </c>
      <c r="AC186" s="168">
        <f t="shared" si="320"/>
        <v>0</v>
      </c>
      <c r="AD186" s="168">
        <f t="shared" si="320"/>
        <v>0</v>
      </c>
      <c r="AE186" s="168">
        <f t="shared" si="320"/>
        <v>0</v>
      </c>
      <c r="AF186" s="168">
        <f t="shared" si="320"/>
        <v>0</v>
      </c>
      <c r="AG186" s="168">
        <f t="shared" si="320"/>
        <v>0</v>
      </c>
      <c r="AH186" s="168">
        <f t="shared" si="320"/>
        <v>0</v>
      </c>
      <c r="AI186" s="168">
        <f t="shared" si="320"/>
        <v>0</v>
      </c>
      <c r="AJ186" s="168">
        <f t="shared" si="320"/>
        <v>0</v>
      </c>
      <c r="AK186" s="168">
        <f t="shared" si="320"/>
        <v>0</v>
      </c>
      <c r="AL186" s="168">
        <f t="shared" si="320"/>
        <v>0</v>
      </c>
      <c r="AM186" s="168">
        <f t="shared" si="320"/>
        <v>0</v>
      </c>
      <c r="AN186" s="168">
        <f t="shared" si="320"/>
        <v>0</v>
      </c>
      <c r="AO186" s="168">
        <f t="shared" si="320"/>
        <v>0</v>
      </c>
      <c r="AP186" s="168">
        <f t="shared" si="320"/>
        <v>0</v>
      </c>
      <c r="AQ186" s="168">
        <f t="shared" si="320"/>
        <v>0</v>
      </c>
      <c r="AR186" s="168">
        <f t="shared" si="320"/>
        <v>0</v>
      </c>
      <c r="AS186" s="168">
        <f t="shared" si="320"/>
        <v>0</v>
      </c>
      <c r="AT186" s="168">
        <f t="shared" si="320"/>
        <v>0</v>
      </c>
      <c r="AU186" s="168">
        <f t="shared" si="320"/>
        <v>0</v>
      </c>
      <c r="AV186" s="168">
        <f t="shared" si="320"/>
        <v>0</v>
      </c>
      <c r="AW186" s="168">
        <f t="shared" si="320"/>
        <v>0</v>
      </c>
      <c r="AX186" s="168">
        <f t="shared" si="320"/>
        <v>0</v>
      </c>
      <c r="AY186" s="168">
        <f t="shared" si="320"/>
        <v>0</v>
      </c>
      <c r="AZ186" s="168">
        <f t="shared" si="320"/>
        <v>0</v>
      </c>
      <c r="BA186" s="168">
        <f t="shared" si="320"/>
        <v>0</v>
      </c>
      <c r="BB186" s="168">
        <f t="shared" si="320"/>
        <v>0</v>
      </c>
      <c r="BC186" s="168">
        <f t="shared" si="320"/>
        <v>0</v>
      </c>
      <c r="BD186" s="168">
        <f t="shared" si="320"/>
        <v>0</v>
      </c>
      <c r="BE186" s="168">
        <f t="shared" si="320"/>
        <v>0</v>
      </c>
      <c r="BF186" s="168">
        <f t="shared" si="320"/>
        <v>0</v>
      </c>
      <c r="BG186" s="168">
        <f t="shared" si="320"/>
        <v>0</v>
      </c>
      <c r="BH186" s="168">
        <f t="shared" si="320"/>
        <v>0</v>
      </c>
      <c r="BI186" s="168">
        <f t="shared" si="320"/>
        <v>0</v>
      </c>
      <c r="BJ186" s="168">
        <f t="shared" si="320"/>
        <v>0</v>
      </c>
      <c r="BK186" s="168">
        <f t="shared" si="320"/>
        <v>0</v>
      </c>
      <c r="BL186" s="168">
        <f t="shared" si="320"/>
        <v>0</v>
      </c>
      <c r="BM186" s="168">
        <f t="shared" si="320"/>
        <v>0</v>
      </c>
      <c r="BN186" s="168">
        <f t="shared" si="320"/>
        <v>0</v>
      </c>
      <c r="BO186" s="168">
        <f t="shared" ref="BO186:CE186" si="321">BO99-BO13</f>
        <v>0</v>
      </c>
      <c r="BP186" s="168">
        <f t="shared" si="321"/>
        <v>0</v>
      </c>
      <c r="BQ186" s="168">
        <f t="shared" si="321"/>
        <v>0</v>
      </c>
      <c r="BR186" s="168">
        <f t="shared" si="321"/>
        <v>0</v>
      </c>
      <c r="BS186" s="168">
        <f t="shared" si="321"/>
        <v>0</v>
      </c>
      <c r="BT186" s="168">
        <f t="shared" si="321"/>
        <v>0</v>
      </c>
      <c r="BU186" s="168">
        <f t="shared" si="321"/>
        <v>0</v>
      </c>
      <c r="BV186" s="168">
        <f t="shared" si="321"/>
        <v>0</v>
      </c>
      <c r="BW186" s="168">
        <f t="shared" si="321"/>
        <v>0</v>
      </c>
      <c r="BX186" s="168">
        <f t="shared" si="321"/>
        <v>0</v>
      </c>
      <c r="BY186" s="168">
        <f t="shared" si="321"/>
        <v>0</v>
      </c>
      <c r="BZ186" s="168">
        <f t="shared" si="321"/>
        <v>0</v>
      </c>
      <c r="CA186" s="168">
        <f t="shared" si="321"/>
        <v>0</v>
      </c>
      <c r="CB186" s="168">
        <f t="shared" si="321"/>
        <v>0</v>
      </c>
      <c r="CC186" s="168">
        <f t="shared" si="321"/>
        <v>0</v>
      </c>
      <c r="CD186" s="168">
        <f t="shared" si="321"/>
        <v>0</v>
      </c>
      <c r="CE186" s="168">
        <f t="shared" si="321"/>
        <v>0</v>
      </c>
    </row>
    <row r="187" spans="1:83" ht="15.5">
      <c r="A187" s="160">
        <v>5</v>
      </c>
      <c r="B187" s="164" t="s">
        <v>195</v>
      </c>
      <c r="C187" s="168">
        <f t="shared" ref="C187:BN187" si="322">C100-C14</f>
        <v>0</v>
      </c>
      <c r="D187" s="168">
        <f t="shared" si="322"/>
        <v>0</v>
      </c>
      <c r="E187" s="168">
        <f t="shared" si="322"/>
        <v>0</v>
      </c>
      <c r="F187" s="168">
        <f t="shared" si="322"/>
        <v>0</v>
      </c>
      <c r="G187" s="168">
        <f t="shared" si="322"/>
        <v>0</v>
      </c>
      <c r="H187" s="168">
        <f t="shared" si="322"/>
        <v>0</v>
      </c>
      <c r="I187" s="168">
        <f t="shared" si="322"/>
        <v>0</v>
      </c>
      <c r="J187" s="168">
        <f t="shared" si="322"/>
        <v>0</v>
      </c>
      <c r="K187" s="168">
        <f t="shared" si="322"/>
        <v>0</v>
      </c>
      <c r="L187" s="168">
        <f t="shared" si="322"/>
        <v>0</v>
      </c>
      <c r="M187" s="168">
        <f t="shared" si="322"/>
        <v>0</v>
      </c>
      <c r="N187" s="168">
        <f t="shared" si="322"/>
        <v>0</v>
      </c>
      <c r="O187" s="168">
        <f t="shared" si="322"/>
        <v>0</v>
      </c>
      <c r="P187" s="168">
        <f t="shared" si="322"/>
        <v>0</v>
      </c>
      <c r="Q187" s="168">
        <f t="shared" si="322"/>
        <v>0</v>
      </c>
      <c r="R187" s="168">
        <f t="shared" si="322"/>
        <v>0</v>
      </c>
      <c r="S187" s="168">
        <f t="shared" si="322"/>
        <v>0</v>
      </c>
      <c r="T187" s="168">
        <f t="shared" si="322"/>
        <v>0</v>
      </c>
      <c r="U187" s="168">
        <f t="shared" si="322"/>
        <v>0</v>
      </c>
      <c r="V187" s="168">
        <f t="shared" si="322"/>
        <v>0</v>
      </c>
      <c r="W187" s="168">
        <f t="shared" si="322"/>
        <v>0</v>
      </c>
      <c r="X187" s="168">
        <f t="shared" si="322"/>
        <v>0</v>
      </c>
      <c r="Y187" s="168">
        <f t="shared" si="322"/>
        <v>0</v>
      </c>
      <c r="Z187" s="168">
        <f t="shared" si="322"/>
        <v>0</v>
      </c>
      <c r="AA187" s="168">
        <f t="shared" si="322"/>
        <v>0</v>
      </c>
      <c r="AB187" s="168">
        <f t="shared" si="322"/>
        <v>0</v>
      </c>
      <c r="AC187" s="168">
        <f t="shared" si="322"/>
        <v>0</v>
      </c>
      <c r="AD187" s="168">
        <f t="shared" si="322"/>
        <v>0</v>
      </c>
      <c r="AE187" s="168">
        <f t="shared" si="322"/>
        <v>0</v>
      </c>
      <c r="AF187" s="168">
        <f t="shared" si="322"/>
        <v>0</v>
      </c>
      <c r="AG187" s="168">
        <f t="shared" si="322"/>
        <v>0</v>
      </c>
      <c r="AH187" s="168">
        <f t="shared" si="322"/>
        <v>0</v>
      </c>
      <c r="AI187" s="168">
        <f t="shared" si="322"/>
        <v>0</v>
      </c>
      <c r="AJ187" s="168">
        <f t="shared" si="322"/>
        <v>0</v>
      </c>
      <c r="AK187" s="168">
        <f t="shared" si="322"/>
        <v>0</v>
      </c>
      <c r="AL187" s="168">
        <f t="shared" si="322"/>
        <v>0</v>
      </c>
      <c r="AM187" s="168">
        <f t="shared" si="322"/>
        <v>0</v>
      </c>
      <c r="AN187" s="168">
        <f t="shared" si="322"/>
        <v>0</v>
      </c>
      <c r="AO187" s="168">
        <f t="shared" si="322"/>
        <v>0</v>
      </c>
      <c r="AP187" s="168">
        <f t="shared" si="322"/>
        <v>0</v>
      </c>
      <c r="AQ187" s="168">
        <f t="shared" si="322"/>
        <v>0</v>
      </c>
      <c r="AR187" s="168">
        <f t="shared" si="322"/>
        <v>0</v>
      </c>
      <c r="AS187" s="168">
        <f t="shared" si="322"/>
        <v>0</v>
      </c>
      <c r="AT187" s="168">
        <f t="shared" si="322"/>
        <v>0</v>
      </c>
      <c r="AU187" s="168">
        <f t="shared" si="322"/>
        <v>0</v>
      </c>
      <c r="AV187" s="168">
        <f t="shared" si="322"/>
        <v>0</v>
      </c>
      <c r="AW187" s="168">
        <f t="shared" si="322"/>
        <v>0</v>
      </c>
      <c r="AX187" s="168">
        <f t="shared" si="322"/>
        <v>0</v>
      </c>
      <c r="AY187" s="168">
        <f t="shared" si="322"/>
        <v>0</v>
      </c>
      <c r="AZ187" s="168">
        <f t="shared" si="322"/>
        <v>0</v>
      </c>
      <c r="BA187" s="168">
        <f t="shared" si="322"/>
        <v>0</v>
      </c>
      <c r="BB187" s="168">
        <f t="shared" si="322"/>
        <v>0</v>
      </c>
      <c r="BC187" s="168">
        <f t="shared" si="322"/>
        <v>0</v>
      </c>
      <c r="BD187" s="168">
        <f t="shared" si="322"/>
        <v>0</v>
      </c>
      <c r="BE187" s="168">
        <f t="shared" si="322"/>
        <v>0</v>
      </c>
      <c r="BF187" s="168">
        <f t="shared" si="322"/>
        <v>0</v>
      </c>
      <c r="BG187" s="168">
        <f t="shared" si="322"/>
        <v>0</v>
      </c>
      <c r="BH187" s="168">
        <f t="shared" si="322"/>
        <v>0</v>
      </c>
      <c r="BI187" s="168">
        <f t="shared" si="322"/>
        <v>0</v>
      </c>
      <c r="BJ187" s="168">
        <f t="shared" si="322"/>
        <v>0</v>
      </c>
      <c r="BK187" s="168">
        <f t="shared" si="322"/>
        <v>0</v>
      </c>
      <c r="BL187" s="168">
        <f t="shared" si="322"/>
        <v>0</v>
      </c>
      <c r="BM187" s="168">
        <f t="shared" si="322"/>
        <v>0</v>
      </c>
      <c r="BN187" s="168">
        <f t="shared" si="322"/>
        <v>0</v>
      </c>
      <c r="BO187" s="168">
        <f t="shared" ref="BO187:CE187" si="323">BO100-BO14</f>
        <v>0</v>
      </c>
      <c r="BP187" s="168">
        <f t="shared" si="323"/>
        <v>0</v>
      </c>
      <c r="BQ187" s="168">
        <f t="shared" si="323"/>
        <v>0</v>
      </c>
      <c r="BR187" s="168">
        <f t="shared" si="323"/>
        <v>0</v>
      </c>
      <c r="BS187" s="168">
        <f t="shared" si="323"/>
        <v>0</v>
      </c>
      <c r="BT187" s="168">
        <f t="shared" si="323"/>
        <v>0</v>
      </c>
      <c r="BU187" s="168">
        <f t="shared" si="323"/>
        <v>0</v>
      </c>
      <c r="BV187" s="168">
        <f t="shared" si="323"/>
        <v>0</v>
      </c>
      <c r="BW187" s="168">
        <f t="shared" si="323"/>
        <v>0</v>
      </c>
      <c r="BX187" s="168">
        <f t="shared" si="323"/>
        <v>0</v>
      </c>
      <c r="BY187" s="168">
        <f t="shared" si="323"/>
        <v>0</v>
      </c>
      <c r="BZ187" s="168">
        <f t="shared" si="323"/>
        <v>0</v>
      </c>
      <c r="CA187" s="168">
        <f t="shared" si="323"/>
        <v>0</v>
      </c>
      <c r="CB187" s="168">
        <f t="shared" si="323"/>
        <v>0</v>
      </c>
      <c r="CC187" s="168">
        <f t="shared" si="323"/>
        <v>0</v>
      </c>
      <c r="CD187" s="168">
        <f t="shared" si="323"/>
        <v>0</v>
      </c>
      <c r="CE187" s="168">
        <f t="shared" si="323"/>
        <v>0</v>
      </c>
    </row>
    <row r="188" spans="1:83" ht="15.5">
      <c r="A188" s="160">
        <v>5</v>
      </c>
      <c r="B188" s="165" t="s">
        <v>196</v>
      </c>
      <c r="C188" s="168">
        <f t="shared" ref="C188:BN188" si="324">C101-C15</f>
        <v>0</v>
      </c>
      <c r="D188" s="168">
        <f t="shared" si="324"/>
        <v>0</v>
      </c>
      <c r="E188" s="168">
        <f t="shared" si="324"/>
        <v>0</v>
      </c>
      <c r="F188" s="168">
        <f t="shared" si="324"/>
        <v>0</v>
      </c>
      <c r="G188" s="168">
        <f t="shared" si="324"/>
        <v>0</v>
      </c>
      <c r="H188" s="168">
        <f t="shared" si="324"/>
        <v>0</v>
      </c>
      <c r="I188" s="168">
        <f t="shared" si="324"/>
        <v>0</v>
      </c>
      <c r="J188" s="168">
        <f t="shared" si="324"/>
        <v>0</v>
      </c>
      <c r="K188" s="168">
        <f t="shared" si="324"/>
        <v>0</v>
      </c>
      <c r="L188" s="168">
        <f t="shared" si="324"/>
        <v>0</v>
      </c>
      <c r="M188" s="168">
        <f t="shared" si="324"/>
        <v>0</v>
      </c>
      <c r="N188" s="168">
        <f t="shared" si="324"/>
        <v>0</v>
      </c>
      <c r="O188" s="168">
        <f t="shared" si="324"/>
        <v>0</v>
      </c>
      <c r="P188" s="168">
        <f t="shared" si="324"/>
        <v>0</v>
      </c>
      <c r="Q188" s="168">
        <f t="shared" si="324"/>
        <v>0</v>
      </c>
      <c r="R188" s="168">
        <f t="shared" si="324"/>
        <v>0</v>
      </c>
      <c r="S188" s="168">
        <f t="shared" si="324"/>
        <v>0</v>
      </c>
      <c r="T188" s="168">
        <f t="shared" si="324"/>
        <v>0</v>
      </c>
      <c r="U188" s="168">
        <f t="shared" si="324"/>
        <v>0</v>
      </c>
      <c r="V188" s="168">
        <f t="shared" si="324"/>
        <v>0</v>
      </c>
      <c r="W188" s="168">
        <f t="shared" si="324"/>
        <v>0</v>
      </c>
      <c r="X188" s="168">
        <f t="shared" si="324"/>
        <v>0</v>
      </c>
      <c r="Y188" s="168">
        <f t="shared" si="324"/>
        <v>0</v>
      </c>
      <c r="Z188" s="168">
        <f t="shared" si="324"/>
        <v>0</v>
      </c>
      <c r="AA188" s="168">
        <f t="shared" si="324"/>
        <v>0</v>
      </c>
      <c r="AB188" s="168">
        <f t="shared" si="324"/>
        <v>0</v>
      </c>
      <c r="AC188" s="168">
        <f t="shared" si="324"/>
        <v>0</v>
      </c>
      <c r="AD188" s="168">
        <f t="shared" si="324"/>
        <v>0</v>
      </c>
      <c r="AE188" s="168">
        <f t="shared" si="324"/>
        <v>0</v>
      </c>
      <c r="AF188" s="168">
        <f t="shared" si="324"/>
        <v>0</v>
      </c>
      <c r="AG188" s="168">
        <f t="shared" si="324"/>
        <v>0</v>
      </c>
      <c r="AH188" s="168">
        <f t="shared" si="324"/>
        <v>0</v>
      </c>
      <c r="AI188" s="168">
        <f t="shared" si="324"/>
        <v>0</v>
      </c>
      <c r="AJ188" s="168">
        <f t="shared" si="324"/>
        <v>0</v>
      </c>
      <c r="AK188" s="168">
        <f t="shared" si="324"/>
        <v>0</v>
      </c>
      <c r="AL188" s="168">
        <f t="shared" si="324"/>
        <v>0</v>
      </c>
      <c r="AM188" s="168">
        <f t="shared" si="324"/>
        <v>0</v>
      </c>
      <c r="AN188" s="168">
        <f t="shared" si="324"/>
        <v>0</v>
      </c>
      <c r="AO188" s="168">
        <f t="shared" si="324"/>
        <v>0</v>
      </c>
      <c r="AP188" s="168">
        <f t="shared" si="324"/>
        <v>0</v>
      </c>
      <c r="AQ188" s="168">
        <f t="shared" si="324"/>
        <v>0</v>
      </c>
      <c r="AR188" s="168">
        <f t="shared" si="324"/>
        <v>0</v>
      </c>
      <c r="AS188" s="168">
        <f t="shared" si="324"/>
        <v>0</v>
      </c>
      <c r="AT188" s="168">
        <f t="shared" si="324"/>
        <v>0</v>
      </c>
      <c r="AU188" s="168">
        <f t="shared" si="324"/>
        <v>0</v>
      </c>
      <c r="AV188" s="168">
        <f t="shared" si="324"/>
        <v>0</v>
      </c>
      <c r="AW188" s="168">
        <f t="shared" si="324"/>
        <v>0</v>
      </c>
      <c r="AX188" s="168">
        <f t="shared" si="324"/>
        <v>0</v>
      </c>
      <c r="AY188" s="168">
        <f t="shared" si="324"/>
        <v>0</v>
      </c>
      <c r="AZ188" s="168">
        <f t="shared" si="324"/>
        <v>0</v>
      </c>
      <c r="BA188" s="168">
        <f t="shared" si="324"/>
        <v>0</v>
      </c>
      <c r="BB188" s="168">
        <f t="shared" si="324"/>
        <v>0</v>
      </c>
      <c r="BC188" s="168">
        <f t="shared" si="324"/>
        <v>0</v>
      </c>
      <c r="BD188" s="168">
        <f t="shared" si="324"/>
        <v>0</v>
      </c>
      <c r="BE188" s="168">
        <f t="shared" si="324"/>
        <v>0</v>
      </c>
      <c r="BF188" s="168">
        <f t="shared" si="324"/>
        <v>0</v>
      </c>
      <c r="BG188" s="168">
        <f t="shared" si="324"/>
        <v>0</v>
      </c>
      <c r="BH188" s="168">
        <f t="shared" si="324"/>
        <v>0</v>
      </c>
      <c r="BI188" s="168">
        <f t="shared" si="324"/>
        <v>0</v>
      </c>
      <c r="BJ188" s="168">
        <f t="shared" si="324"/>
        <v>0</v>
      </c>
      <c r="BK188" s="168">
        <f t="shared" si="324"/>
        <v>0</v>
      </c>
      <c r="BL188" s="168">
        <f t="shared" si="324"/>
        <v>0</v>
      </c>
      <c r="BM188" s="168">
        <f t="shared" si="324"/>
        <v>0</v>
      </c>
      <c r="BN188" s="168">
        <f t="shared" si="324"/>
        <v>0</v>
      </c>
      <c r="BO188" s="168">
        <f t="shared" ref="BO188:CE188" si="325">BO101-BO15</f>
        <v>0</v>
      </c>
      <c r="BP188" s="168">
        <f t="shared" si="325"/>
        <v>0</v>
      </c>
      <c r="BQ188" s="168">
        <f t="shared" si="325"/>
        <v>0</v>
      </c>
      <c r="BR188" s="168">
        <f t="shared" si="325"/>
        <v>0</v>
      </c>
      <c r="BS188" s="168">
        <f t="shared" si="325"/>
        <v>0</v>
      </c>
      <c r="BT188" s="168">
        <f t="shared" si="325"/>
        <v>0</v>
      </c>
      <c r="BU188" s="168">
        <f t="shared" si="325"/>
        <v>0</v>
      </c>
      <c r="BV188" s="168">
        <f t="shared" si="325"/>
        <v>0</v>
      </c>
      <c r="BW188" s="168">
        <f t="shared" si="325"/>
        <v>0</v>
      </c>
      <c r="BX188" s="168">
        <f t="shared" si="325"/>
        <v>0</v>
      </c>
      <c r="BY188" s="168">
        <f t="shared" si="325"/>
        <v>0</v>
      </c>
      <c r="BZ188" s="168">
        <f t="shared" si="325"/>
        <v>0</v>
      </c>
      <c r="CA188" s="168">
        <f t="shared" si="325"/>
        <v>0</v>
      </c>
      <c r="CB188" s="168">
        <f t="shared" si="325"/>
        <v>0</v>
      </c>
      <c r="CC188" s="168">
        <f t="shared" si="325"/>
        <v>0</v>
      </c>
      <c r="CD188" s="168">
        <f t="shared" si="325"/>
        <v>0</v>
      </c>
      <c r="CE188" s="168">
        <f t="shared" si="325"/>
        <v>0</v>
      </c>
    </row>
    <row r="189" spans="1:83" ht="15.5">
      <c r="A189" s="166"/>
      <c r="B189" s="167"/>
      <c r="C189" s="168">
        <f t="shared" ref="C189:BN189" si="326">C102-C16</f>
        <v>0</v>
      </c>
      <c r="D189" s="168">
        <f t="shared" si="326"/>
        <v>0</v>
      </c>
      <c r="E189" s="168">
        <f t="shared" si="326"/>
        <v>0</v>
      </c>
      <c r="F189" s="168">
        <f t="shared" si="326"/>
        <v>0</v>
      </c>
      <c r="G189" s="168">
        <f t="shared" si="326"/>
        <v>0</v>
      </c>
      <c r="H189" s="168">
        <f t="shared" si="326"/>
        <v>0</v>
      </c>
      <c r="I189" s="168">
        <f t="shared" si="326"/>
        <v>0</v>
      </c>
      <c r="J189" s="168">
        <f t="shared" si="326"/>
        <v>0</v>
      </c>
      <c r="K189" s="168">
        <f t="shared" si="326"/>
        <v>0</v>
      </c>
      <c r="L189" s="168">
        <f t="shared" si="326"/>
        <v>0</v>
      </c>
      <c r="M189" s="168">
        <f t="shared" si="326"/>
        <v>0</v>
      </c>
      <c r="N189" s="168">
        <f t="shared" si="326"/>
        <v>0</v>
      </c>
      <c r="O189" s="168">
        <f t="shared" si="326"/>
        <v>0</v>
      </c>
      <c r="P189" s="168">
        <f t="shared" si="326"/>
        <v>0</v>
      </c>
      <c r="Q189" s="168">
        <f t="shared" si="326"/>
        <v>0</v>
      </c>
      <c r="R189" s="168">
        <f t="shared" si="326"/>
        <v>0</v>
      </c>
      <c r="S189" s="168">
        <f t="shared" si="326"/>
        <v>0</v>
      </c>
      <c r="T189" s="168">
        <f t="shared" si="326"/>
        <v>0</v>
      </c>
      <c r="U189" s="168">
        <f t="shared" si="326"/>
        <v>0</v>
      </c>
      <c r="V189" s="168">
        <f t="shared" si="326"/>
        <v>0</v>
      </c>
      <c r="W189" s="168">
        <f t="shared" si="326"/>
        <v>0</v>
      </c>
      <c r="X189" s="168">
        <f t="shared" si="326"/>
        <v>0</v>
      </c>
      <c r="Y189" s="168">
        <f t="shared" si="326"/>
        <v>0</v>
      </c>
      <c r="Z189" s="168">
        <f t="shared" si="326"/>
        <v>0</v>
      </c>
      <c r="AA189" s="168">
        <f t="shared" si="326"/>
        <v>0</v>
      </c>
      <c r="AB189" s="168">
        <f t="shared" si="326"/>
        <v>0</v>
      </c>
      <c r="AC189" s="168">
        <f t="shared" si="326"/>
        <v>0</v>
      </c>
      <c r="AD189" s="168">
        <f t="shared" si="326"/>
        <v>0</v>
      </c>
      <c r="AE189" s="168">
        <f t="shared" si="326"/>
        <v>0</v>
      </c>
      <c r="AF189" s="168">
        <f t="shared" si="326"/>
        <v>0</v>
      </c>
      <c r="AG189" s="168">
        <f t="shared" si="326"/>
        <v>0</v>
      </c>
      <c r="AH189" s="168">
        <f t="shared" si="326"/>
        <v>0</v>
      </c>
      <c r="AI189" s="168">
        <f t="shared" si="326"/>
        <v>0</v>
      </c>
      <c r="AJ189" s="168">
        <f t="shared" si="326"/>
        <v>0</v>
      </c>
      <c r="AK189" s="168">
        <f t="shared" si="326"/>
        <v>0</v>
      </c>
      <c r="AL189" s="168">
        <f t="shared" si="326"/>
        <v>0</v>
      </c>
      <c r="AM189" s="168">
        <f t="shared" si="326"/>
        <v>0</v>
      </c>
      <c r="AN189" s="168">
        <f t="shared" si="326"/>
        <v>0</v>
      </c>
      <c r="AO189" s="168">
        <f t="shared" si="326"/>
        <v>0</v>
      </c>
      <c r="AP189" s="168">
        <f t="shared" si="326"/>
        <v>0</v>
      </c>
      <c r="AQ189" s="168">
        <f t="shared" si="326"/>
        <v>0</v>
      </c>
      <c r="AR189" s="168">
        <f t="shared" si="326"/>
        <v>0</v>
      </c>
      <c r="AS189" s="168">
        <f t="shared" si="326"/>
        <v>0</v>
      </c>
      <c r="AT189" s="168">
        <f t="shared" si="326"/>
        <v>0</v>
      </c>
      <c r="AU189" s="168">
        <f t="shared" si="326"/>
        <v>0</v>
      </c>
      <c r="AV189" s="168">
        <f t="shared" si="326"/>
        <v>0</v>
      </c>
      <c r="AW189" s="168">
        <f t="shared" si="326"/>
        <v>0</v>
      </c>
      <c r="AX189" s="168">
        <f t="shared" si="326"/>
        <v>0</v>
      </c>
      <c r="AY189" s="168">
        <f t="shared" si="326"/>
        <v>0</v>
      </c>
      <c r="AZ189" s="168">
        <f t="shared" si="326"/>
        <v>0</v>
      </c>
      <c r="BA189" s="168">
        <f t="shared" si="326"/>
        <v>0</v>
      </c>
      <c r="BB189" s="168">
        <f t="shared" si="326"/>
        <v>0</v>
      </c>
      <c r="BC189" s="168">
        <f t="shared" si="326"/>
        <v>0</v>
      </c>
      <c r="BD189" s="168">
        <f t="shared" si="326"/>
        <v>0</v>
      </c>
      <c r="BE189" s="168">
        <f t="shared" si="326"/>
        <v>0</v>
      </c>
      <c r="BF189" s="168">
        <f t="shared" si="326"/>
        <v>0</v>
      </c>
      <c r="BG189" s="168">
        <f t="shared" si="326"/>
        <v>0</v>
      </c>
      <c r="BH189" s="168">
        <f t="shared" si="326"/>
        <v>0</v>
      </c>
      <c r="BI189" s="168">
        <f t="shared" si="326"/>
        <v>0</v>
      </c>
      <c r="BJ189" s="168">
        <f t="shared" si="326"/>
        <v>0</v>
      </c>
      <c r="BK189" s="168">
        <f t="shared" si="326"/>
        <v>0</v>
      </c>
      <c r="BL189" s="168">
        <f t="shared" si="326"/>
        <v>0</v>
      </c>
      <c r="BM189" s="168">
        <f t="shared" si="326"/>
        <v>0</v>
      </c>
      <c r="BN189" s="168">
        <f t="shared" si="326"/>
        <v>0</v>
      </c>
      <c r="BO189" s="168">
        <f t="shared" ref="BO189:CE189" si="327">BO102-BO16</f>
        <v>0</v>
      </c>
      <c r="BP189" s="168">
        <f t="shared" si="327"/>
        <v>0</v>
      </c>
      <c r="BQ189" s="168">
        <f t="shared" si="327"/>
        <v>0</v>
      </c>
      <c r="BR189" s="168">
        <f t="shared" si="327"/>
        <v>0</v>
      </c>
      <c r="BS189" s="168">
        <f t="shared" si="327"/>
        <v>0</v>
      </c>
      <c r="BT189" s="168">
        <f t="shared" si="327"/>
        <v>0</v>
      </c>
      <c r="BU189" s="168">
        <f t="shared" si="327"/>
        <v>0</v>
      </c>
      <c r="BV189" s="168">
        <f t="shared" si="327"/>
        <v>0</v>
      </c>
      <c r="BW189" s="168">
        <f t="shared" si="327"/>
        <v>0</v>
      </c>
      <c r="BX189" s="168">
        <f t="shared" si="327"/>
        <v>0</v>
      </c>
      <c r="BY189" s="168">
        <f t="shared" si="327"/>
        <v>0</v>
      </c>
      <c r="BZ189" s="168">
        <f t="shared" si="327"/>
        <v>0</v>
      </c>
      <c r="CA189" s="168">
        <f t="shared" si="327"/>
        <v>0</v>
      </c>
      <c r="CB189" s="168">
        <f t="shared" si="327"/>
        <v>0</v>
      </c>
      <c r="CC189" s="168">
        <f t="shared" si="327"/>
        <v>0</v>
      </c>
      <c r="CD189" s="168">
        <f t="shared" si="327"/>
        <v>0</v>
      </c>
      <c r="CE189" s="168">
        <f t="shared" si="327"/>
        <v>0</v>
      </c>
    </row>
    <row r="190" spans="1:83" ht="21">
      <c r="A190" s="158">
        <v>6</v>
      </c>
      <c r="B190" s="159" t="s">
        <v>3</v>
      </c>
      <c r="C190" s="168">
        <f t="shared" ref="C190:BN190" si="328">C103-C17</f>
        <v>0</v>
      </c>
      <c r="D190" s="168">
        <f t="shared" si="328"/>
        <v>0</v>
      </c>
      <c r="E190" s="168">
        <f t="shared" si="328"/>
        <v>0</v>
      </c>
      <c r="F190" s="168">
        <f t="shared" si="328"/>
        <v>0</v>
      </c>
      <c r="G190" s="168">
        <f t="shared" si="328"/>
        <v>0</v>
      </c>
      <c r="H190" s="168">
        <f t="shared" si="328"/>
        <v>0</v>
      </c>
      <c r="I190" s="168">
        <f t="shared" si="328"/>
        <v>0</v>
      </c>
      <c r="J190" s="168">
        <f t="shared" si="328"/>
        <v>0</v>
      </c>
      <c r="K190" s="168">
        <f t="shared" si="328"/>
        <v>0</v>
      </c>
      <c r="L190" s="168">
        <f t="shared" si="328"/>
        <v>0</v>
      </c>
      <c r="M190" s="168">
        <f t="shared" si="328"/>
        <v>0</v>
      </c>
      <c r="N190" s="168">
        <f t="shared" si="328"/>
        <v>0</v>
      </c>
      <c r="O190" s="168">
        <f t="shared" si="328"/>
        <v>0</v>
      </c>
      <c r="P190" s="168">
        <f t="shared" si="328"/>
        <v>0</v>
      </c>
      <c r="Q190" s="168">
        <f t="shared" si="328"/>
        <v>0</v>
      </c>
      <c r="R190" s="168">
        <f t="shared" si="328"/>
        <v>0</v>
      </c>
      <c r="S190" s="168">
        <f t="shared" si="328"/>
        <v>0</v>
      </c>
      <c r="T190" s="168">
        <f t="shared" si="328"/>
        <v>0</v>
      </c>
      <c r="U190" s="168">
        <f t="shared" si="328"/>
        <v>0</v>
      </c>
      <c r="V190" s="168">
        <f t="shared" si="328"/>
        <v>0</v>
      </c>
      <c r="W190" s="168">
        <f t="shared" si="328"/>
        <v>0</v>
      </c>
      <c r="X190" s="168">
        <f t="shared" si="328"/>
        <v>0</v>
      </c>
      <c r="Y190" s="168">
        <f t="shared" si="328"/>
        <v>0</v>
      </c>
      <c r="Z190" s="168">
        <f t="shared" si="328"/>
        <v>0</v>
      </c>
      <c r="AA190" s="168">
        <f t="shared" si="328"/>
        <v>0</v>
      </c>
      <c r="AB190" s="168">
        <f t="shared" si="328"/>
        <v>0</v>
      </c>
      <c r="AC190" s="168">
        <f t="shared" si="328"/>
        <v>0</v>
      </c>
      <c r="AD190" s="168">
        <f t="shared" si="328"/>
        <v>0</v>
      </c>
      <c r="AE190" s="168">
        <f t="shared" si="328"/>
        <v>0</v>
      </c>
      <c r="AF190" s="168">
        <f t="shared" si="328"/>
        <v>0</v>
      </c>
      <c r="AG190" s="168">
        <f t="shared" si="328"/>
        <v>0</v>
      </c>
      <c r="AH190" s="168">
        <f t="shared" si="328"/>
        <v>0</v>
      </c>
      <c r="AI190" s="168">
        <f t="shared" si="328"/>
        <v>0</v>
      </c>
      <c r="AJ190" s="168">
        <f t="shared" si="328"/>
        <v>0</v>
      </c>
      <c r="AK190" s="168">
        <f t="shared" si="328"/>
        <v>0</v>
      </c>
      <c r="AL190" s="168">
        <f t="shared" si="328"/>
        <v>0</v>
      </c>
      <c r="AM190" s="168">
        <f t="shared" si="328"/>
        <v>0</v>
      </c>
      <c r="AN190" s="168">
        <f t="shared" si="328"/>
        <v>0</v>
      </c>
      <c r="AO190" s="168">
        <f t="shared" si="328"/>
        <v>0</v>
      </c>
      <c r="AP190" s="168">
        <f t="shared" si="328"/>
        <v>0</v>
      </c>
      <c r="AQ190" s="168">
        <f t="shared" si="328"/>
        <v>0</v>
      </c>
      <c r="AR190" s="168">
        <f t="shared" si="328"/>
        <v>0</v>
      </c>
      <c r="AS190" s="168">
        <f t="shared" si="328"/>
        <v>0</v>
      </c>
      <c r="AT190" s="168">
        <f t="shared" si="328"/>
        <v>0</v>
      </c>
      <c r="AU190" s="168">
        <f t="shared" si="328"/>
        <v>0</v>
      </c>
      <c r="AV190" s="168">
        <f t="shared" si="328"/>
        <v>0</v>
      </c>
      <c r="AW190" s="168">
        <f t="shared" si="328"/>
        <v>0</v>
      </c>
      <c r="AX190" s="168">
        <f t="shared" si="328"/>
        <v>0</v>
      </c>
      <c r="AY190" s="168">
        <f t="shared" si="328"/>
        <v>0</v>
      </c>
      <c r="AZ190" s="168">
        <f t="shared" si="328"/>
        <v>0</v>
      </c>
      <c r="BA190" s="168">
        <f t="shared" si="328"/>
        <v>0</v>
      </c>
      <c r="BB190" s="168">
        <f t="shared" si="328"/>
        <v>0</v>
      </c>
      <c r="BC190" s="168">
        <f t="shared" si="328"/>
        <v>0</v>
      </c>
      <c r="BD190" s="168">
        <f t="shared" si="328"/>
        <v>0</v>
      </c>
      <c r="BE190" s="168">
        <f t="shared" si="328"/>
        <v>0</v>
      </c>
      <c r="BF190" s="168">
        <f t="shared" si="328"/>
        <v>0</v>
      </c>
      <c r="BG190" s="168">
        <f t="shared" si="328"/>
        <v>0</v>
      </c>
      <c r="BH190" s="168">
        <f t="shared" si="328"/>
        <v>0</v>
      </c>
      <c r="BI190" s="168">
        <f t="shared" si="328"/>
        <v>0</v>
      </c>
      <c r="BJ190" s="168">
        <f t="shared" si="328"/>
        <v>0</v>
      </c>
      <c r="BK190" s="168">
        <f t="shared" si="328"/>
        <v>0</v>
      </c>
      <c r="BL190" s="168">
        <f t="shared" si="328"/>
        <v>0</v>
      </c>
      <c r="BM190" s="168">
        <f t="shared" si="328"/>
        <v>0</v>
      </c>
      <c r="BN190" s="168">
        <f t="shared" si="328"/>
        <v>0</v>
      </c>
      <c r="BO190" s="168">
        <f t="shared" ref="BO190:CE190" si="329">BO103-BO17</f>
        <v>0</v>
      </c>
      <c r="BP190" s="168">
        <f t="shared" si="329"/>
        <v>0</v>
      </c>
      <c r="BQ190" s="168">
        <f t="shared" si="329"/>
        <v>0</v>
      </c>
      <c r="BR190" s="168">
        <f t="shared" si="329"/>
        <v>0</v>
      </c>
      <c r="BS190" s="168">
        <f t="shared" si="329"/>
        <v>0</v>
      </c>
      <c r="BT190" s="168">
        <f t="shared" si="329"/>
        <v>0</v>
      </c>
      <c r="BU190" s="168">
        <f t="shared" si="329"/>
        <v>0</v>
      </c>
      <c r="BV190" s="168">
        <f t="shared" si="329"/>
        <v>0</v>
      </c>
      <c r="BW190" s="168">
        <f t="shared" si="329"/>
        <v>0</v>
      </c>
      <c r="BX190" s="168">
        <f t="shared" si="329"/>
        <v>0</v>
      </c>
      <c r="BY190" s="168">
        <f t="shared" si="329"/>
        <v>0</v>
      </c>
      <c r="BZ190" s="168">
        <f t="shared" si="329"/>
        <v>0</v>
      </c>
      <c r="CA190" s="168">
        <f t="shared" si="329"/>
        <v>0</v>
      </c>
      <c r="CB190" s="168">
        <f t="shared" si="329"/>
        <v>0</v>
      </c>
      <c r="CC190" s="168">
        <f t="shared" si="329"/>
        <v>0</v>
      </c>
      <c r="CD190" s="168">
        <f t="shared" si="329"/>
        <v>0</v>
      </c>
      <c r="CE190" s="168">
        <f t="shared" si="329"/>
        <v>0</v>
      </c>
    </row>
    <row r="191" spans="1:83" ht="15.5">
      <c r="A191" s="160">
        <v>6</v>
      </c>
      <c r="B191" s="161" t="s">
        <v>194</v>
      </c>
      <c r="C191" s="168">
        <f t="shared" ref="C191:BN191" si="330">C104-C18</f>
        <v>0</v>
      </c>
      <c r="D191" s="168">
        <f t="shared" si="330"/>
        <v>0</v>
      </c>
      <c r="E191" s="168">
        <f t="shared" si="330"/>
        <v>0</v>
      </c>
      <c r="F191" s="168">
        <f t="shared" si="330"/>
        <v>0</v>
      </c>
      <c r="G191" s="168">
        <f t="shared" si="330"/>
        <v>0</v>
      </c>
      <c r="H191" s="168">
        <f t="shared" si="330"/>
        <v>0</v>
      </c>
      <c r="I191" s="168">
        <f t="shared" si="330"/>
        <v>0</v>
      </c>
      <c r="J191" s="168">
        <f t="shared" si="330"/>
        <v>0</v>
      </c>
      <c r="K191" s="168">
        <f t="shared" si="330"/>
        <v>0</v>
      </c>
      <c r="L191" s="168">
        <f t="shared" si="330"/>
        <v>0</v>
      </c>
      <c r="M191" s="168">
        <f t="shared" si="330"/>
        <v>0</v>
      </c>
      <c r="N191" s="168">
        <f t="shared" si="330"/>
        <v>0</v>
      </c>
      <c r="O191" s="168">
        <f t="shared" si="330"/>
        <v>0</v>
      </c>
      <c r="P191" s="168">
        <f t="shared" si="330"/>
        <v>0</v>
      </c>
      <c r="Q191" s="168">
        <f t="shared" si="330"/>
        <v>0</v>
      </c>
      <c r="R191" s="168">
        <f t="shared" si="330"/>
        <v>0</v>
      </c>
      <c r="S191" s="168">
        <f t="shared" si="330"/>
        <v>0</v>
      </c>
      <c r="T191" s="168">
        <f t="shared" si="330"/>
        <v>0</v>
      </c>
      <c r="U191" s="168">
        <f t="shared" si="330"/>
        <v>0</v>
      </c>
      <c r="V191" s="168">
        <f t="shared" si="330"/>
        <v>0</v>
      </c>
      <c r="W191" s="168">
        <f t="shared" si="330"/>
        <v>0</v>
      </c>
      <c r="X191" s="168">
        <f t="shared" si="330"/>
        <v>0</v>
      </c>
      <c r="Y191" s="168">
        <f t="shared" si="330"/>
        <v>0</v>
      </c>
      <c r="Z191" s="168">
        <f t="shared" si="330"/>
        <v>0</v>
      </c>
      <c r="AA191" s="168">
        <f t="shared" si="330"/>
        <v>0</v>
      </c>
      <c r="AB191" s="168">
        <f t="shared" si="330"/>
        <v>0</v>
      </c>
      <c r="AC191" s="168">
        <f t="shared" si="330"/>
        <v>0</v>
      </c>
      <c r="AD191" s="168">
        <f t="shared" si="330"/>
        <v>0</v>
      </c>
      <c r="AE191" s="168">
        <f t="shared" si="330"/>
        <v>0</v>
      </c>
      <c r="AF191" s="168">
        <f t="shared" si="330"/>
        <v>0</v>
      </c>
      <c r="AG191" s="168">
        <f t="shared" si="330"/>
        <v>0</v>
      </c>
      <c r="AH191" s="168">
        <f t="shared" si="330"/>
        <v>0</v>
      </c>
      <c r="AI191" s="168">
        <f t="shared" si="330"/>
        <v>0</v>
      </c>
      <c r="AJ191" s="168">
        <f t="shared" si="330"/>
        <v>0</v>
      </c>
      <c r="AK191" s="168">
        <f t="shared" si="330"/>
        <v>0</v>
      </c>
      <c r="AL191" s="168">
        <f t="shared" si="330"/>
        <v>0</v>
      </c>
      <c r="AM191" s="168">
        <f t="shared" si="330"/>
        <v>0</v>
      </c>
      <c r="AN191" s="168">
        <f t="shared" si="330"/>
        <v>0</v>
      </c>
      <c r="AO191" s="168">
        <f t="shared" si="330"/>
        <v>0</v>
      </c>
      <c r="AP191" s="168">
        <f t="shared" si="330"/>
        <v>0</v>
      </c>
      <c r="AQ191" s="168">
        <f t="shared" si="330"/>
        <v>0</v>
      </c>
      <c r="AR191" s="168">
        <f t="shared" si="330"/>
        <v>0</v>
      </c>
      <c r="AS191" s="168">
        <f t="shared" si="330"/>
        <v>0</v>
      </c>
      <c r="AT191" s="168">
        <f t="shared" si="330"/>
        <v>0</v>
      </c>
      <c r="AU191" s="168">
        <f t="shared" si="330"/>
        <v>0</v>
      </c>
      <c r="AV191" s="168">
        <f t="shared" si="330"/>
        <v>0</v>
      </c>
      <c r="AW191" s="168">
        <f t="shared" si="330"/>
        <v>0</v>
      </c>
      <c r="AX191" s="168">
        <f t="shared" si="330"/>
        <v>0</v>
      </c>
      <c r="AY191" s="168">
        <f t="shared" si="330"/>
        <v>0</v>
      </c>
      <c r="AZ191" s="168">
        <f t="shared" si="330"/>
        <v>0</v>
      </c>
      <c r="BA191" s="168">
        <f t="shared" si="330"/>
        <v>0</v>
      </c>
      <c r="BB191" s="168">
        <f t="shared" si="330"/>
        <v>0</v>
      </c>
      <c r="BC191" s="168">
        <f t="shared" si="330"/>
        <v>0</v>
      </c>
      <c r="BD191" s="168">
        <f t="shared" si="330"/>
        <v>0</v>
      </c>
      <c r="BE191" s="168">
        <f t="shared" si="330"/>
        <v>0</v>
      </c>
      <c r="BF191" s="168">
        <f t="shared" si="330"/>
        <v>0</v>
      </c>
      <c r="BG191" s="168">
        <f t="shared" si="330"/>
        <v>0</v>
      </c>
      <c r="BH191" s="168">
        <f t="shared" si="330"/>
        <v>0</v>
      </c>
      <c r="BI191" s="168">
        <f t="shared" si="330"/>
        <v>0</v>
      </c>
      <c r="BJ191" s="168">
        <f t="shared" si="330"/>
        <v>0</v>
      </c>
      <c r="BK191" s="168">
        <f t="shared" si="330"/>
        <v>0</v>
      </c>
      <c r="BL191" s="168">
        <f t="shared" si="330"/>
        <v>0</v>
      </c>
      <c r="BM191" s="168">
        <f t="shared" si="330"/>
        <v>0</v>
      </c>
      <c r="BN191" s="168">
        <f t="shared" si="330"/>
        <v>0</v>
      </c>
      <c r="BO191" s="168">
        <f t="shared" ref="BO191:CE191" si="331">BO104-BO18</f>
        <v>0</v>
      </c>
      <c r="BP191" s="168">
        <f t="shared" si="331"/>
        <v>0</v>
      </c>
      <c r="BQ191" s="168">
        <f t="shared" si="331"/>
        <v>0</v>
      </c>
      <c r="BR191" s="168">
        <f t="shared" si="331"/>
        <v>0</v>
      </c>
      <c r="BS191" s="168">
        <f t="shared" si="331"/>
        <v>0</v>
      </c>
      <c r="BT191" s="168">
        <f t="shared" si="331"/>
        <v>0</v>
      </c>
      <c r="BU191" s="168">
        <f t="shared" si="331"/>
        <v>0</v>
      </c>
      <c r="BV191" s="168">
        <f t="shared" si="331"/>
        <v>0</v>
      </c>
      <c r="BW191" s="168">
        <f t="shared" si="331"/>
        <v>0</v>
      </c>
      <c r="BX191" s="168">
        <f t="shared" si="331"/>
        <v>0</v>
      </c>
      <c r="BY191" s="168">
        <f t="shared" si="331"/>
        <v>0</v>
      </c>
      <c r="BZ191" s="168">
        <f t="shared" si="331"/>
        <v>0</v>
      </c>
      <c r="CA191" s="168">
        <f t="shared" si="331"/>
        <v>0</v>
      </c>
      <c r="CB191" s="168">
        <f t="shared" si="331"/>
        <v>0</v>
      </c>
      <c r="CC191" s="168">
        <f t="shared" si="331"/>
        <v>0</v>
      </c>
      <c r="CD191" s="168">
        <f t="shared" si="331"/>
        <v>0</v>
      </c>
      <c r="CE191" s="168">
        <f t="shared" si="331"/>
        <v>0</v>
      </c>
    </row>
    <row r="192" spans="1:83" ht="15.5">
      <c r="A192" s="160">
        <v>6</v>
      </c>
      <c r="B192" s="162" t="s">
        <v>139</v>
      </c>
      <c r="C192" s="168">
        <f t="shared" ref="C192:BN192" si="332">C105-C19</f>
        <v>0</v>
      </c>
      <c r="D192" s="168">
        <f t="shared" si="332"/>
        <v>0</v>
      </c>
      <c r="E192" s="168">
        <f t="shared" si="332"/>
        <v>0</v>
      </c>
      <c r="F192" s="168">
        <f t="shared" si="332"/>
        <v>0</v>
      </c>
      <c r="G192" s="168">
        <f t="shared" si="332"/>
        <v>0</v>
      </c>
      <c r="H192" s="168">
        <f t="shared" si="332"/>
        <v>0</v>
      </c>
      <c r="I192" s="168">
        <f t="shared" si="332"/>
        <v>0</v>
      </c>
      <c r="J192" s="168">
        <f t="shared" si="332"/>
        <v>0</v>
      </c>
      <c r="K192" s="168">
        <f t="shared" si="332"/>
        <v>0</v>
      </c>
      <c r="L192" s="168">
        <f t="shared" si="332"/>
        <v>0</v>
      </c>
      <c r="M192" s="168">
        <f t="shared" si="332"/>
        <v>0</v>
      </c>
      <c r="N192" s="168">
        <f t="shared" si="332"/>
        <v>0</v>
      </c>
      <c r="O192" s="168">
        <f t="shared" si="332"/>
        <v>0</v>
      </c>
      <c r="P192" s="168">
        <f t="shared" si="332"/>
        <v>0</v>
      </c>
      <c r="Q192" s="168">
        <f t="shared" si="332"/>
        <v>0</v>
      </c>
      <c r="R192" s="168">
        <f t="shared" si="332"/>
        <v>0</v>
      </c>
      <c r="S192" s="168">
        <f t="shared" si="332"/>
        <v>0</v>
      </c>
      <c r="T192" s="168">
        <f t="shared" si="332"/>
        <v>0</v>
      </c>
      <c r="U192" s="168">
        <f t="shared" si="332"/>
        <v>0</v>
      </c>
      <c r="V192" s="168">
        <f t="shared" si="332"/>
        <v>0</v>
      </c>
      <c r="W192" s="168">
        <f t="shared" si="332"/>
        <v>0</v>
      </c>
      <c r="X192" s="168">
        <f t="shared" si="332"/>
        <v>0</v>
      </c>
      <c r="Y192" s="168">
        <f t="shared" si="332"/>
        <v>0</v>
      </c>
      <c r="Z192" s="168">
        <f t="shared" si="332"/>
        <v>0</v>
      </c>
      <c r="AA192" s="168">
        <f t="shared" si="332"/>
        <v>0</v>
      </c>
      <c r="AB192" s="168">
        <f t="shared" si="332"/>
        <v>0</v>
      </c>
      <c r="AC192" s="168">
        <f t="shared" si="332"/>
        <v>0</v>
      </c>
      <c r="AD192" s="168">
        <f t="shared" si="332"/>
        <v>0</v>
      </c>
      <c r="AE192" s="168">
        <f t="shared" si="332"/>
        <v>0</v>
      </c>
      <c r="AF192" s="168">
        <f t="shared" si="332"/>
        <v>0</v>
      </c>
      <c r="AG192" s="168">
        <f t="shared" si="332"/>
        <v>0</v>
      </c>
      <c r="AH192" s="168">
        <f t="shared" si="332"/>
        <v>0</v>
      </c>
      <c r="AI192" s="168">
        <f t="shared" si="332"/>
        <v>0</v>
      </c>
      <c r="AJ192" s="168">
        <f t="shared" si="332"/>
        <v>0</v>
      </c>
      <c r="AK192" s="168">
        <f t="shared" si="332"/>
        <v>0</v>
      </c>
      <c r="AL192" s="168">
        <f t="shared" si="332"/>
        <v>0</v>
      </c>
      <c r="AM192" s="168">
        <f t="shared" si="332"/>
        <v>0</v>
      </c>
      <c r="AN192" s="168">
        <f t="shared" si="332"/>
        <v>0</v>
      </c>
      <c r="AO192" s="168">
        <f t="shared" si="332"/>
        <v>0</v>
      </c>
      <c r="AP192" s="168">
        <f t="shared" si="332"/>
        <v>0</v>
      </c>
      <c r="AQ192" s="168">
        <f t="shared" si="332"/>
        <v>0</v>
      </c>
      <c r="AR192" s="168">
        <f t="shared" si="332"/>
        <v>0</v>
      </c>
      <c r="AS192" s="168">
        <f t="shared" si="332"/>
        <v>0</v>
      </c>
      <c r="AT192" s="168">
        <f t="shared" si="332"/>
        <v>0</v>
      </c>
      <c r="AU192" s="168">
        <f t="shared" si="332"/>
        <v>0</v>
      </c>
      <c r="AV192" s="168">
        <f t="shared" si="332"/>
        <v>0</v>
      </c>
      <c r="AW192" s="168">
        <f t="shared" si="332"/>
        <v>0</v>
      </c>
      <c r="AX192" s="168">
        <f t="shared" si="332"/>
        <v>0</v>
      </c>
      <c r="AY192" s="168">
        <f t="shared" si="332"/>
        <v>0</v>
      </c>
      <c r="AZ192" s="168">
        <f t="shared" si="332"/>
        <v>0</v>
      </c>
      <c r="BA192" s="168">
        <f t="shared" si="332"/>
        <v>0</v>
      </c>
      <c r="BB192" s="168">
        <f t="shared" si="332"/>
        <v>0</v>
      </c>
      <c r="BC192" s="168">
        <f t="shared" si="332"/>
        <v>0</v>
      </c>
      <c r="BD192" s="168">
        <f t="shared" si="332"/>
        <v>0</v>
      </c>
      <c r="BE192" s="168">
        <f t="shared" si="332"/>
        <v>0</v>
      </c>
      <c r="BF192" s="168">
        <f t="shared" si="332"/>
        <v>0</v>
      </c>
      <c r="BG192" s="168">
        <f t="shared" si="332"/>
        <v>0</v>
      </c>
      <c r="BH192" s="168">
        <f t="shared" si="332"/>
        <v>0</v>
      </c>
      <c r="BI192" s="168">
        <f t="shared" si="332"/>
        <v>0</v>
      </c>
      <c r="BJ192" s="168">
        <f t="shared" si="332"/>
        <v>0</v>
      </c>
      <c r="BK192" s="168">
        <f t="shared" si="332"/>
        <v>0</v>
      </c>
      <c r="BL192" s="168">
        <f t="shared" si="332"/>
        <v>0</v>
      </c>
      <c r="BM192" s="168">
        <f t="shared" si="332"/>
        <v>0</v>
      </c>
      <c r="BN192" s="168">
        <f t="shared" si="332"/>
        <v>0</v>
      </c>
      <c r="BO192" s="168">
        <f t="shared" ref="BO192:CE192" si="333">BO105-BO19</f>
        <v>0</v>
      </c>
      <c r="BP192" s="168">
        <f t="shared" si="333"/>
        <v>0</v>
      </c>
      <c r="BQ192" s="168">
        <f t="shared" si="333"/>
        <v>0</v>
      </c>
      <c r="BR192" s="168">
        <f t="shared" si="333"/>
        <v>0</v>
      </c>
      <c r="BS192" s="168">
        <f t="shared" si="333"/>
        <v>0</v>
      </c>
      <c r="BT192" s="168">
        <f t="shared" si="333"/>
        <v>0</v>
      </c>
      <c r="BU192" s="168">
        <f t="shared" si="333"/>
        <v>0</v>
      </c>
      <c r="BV192" s="168">
        <f t="shared" si="333"/>
        <v>0</v>
      </c>
      <c r="BW192" s="168">
        <f t="shared" si="333"/>
        <v>0</v>
      </c>
      <c r="BX192" s="168">
        <f t="shared" si="333"/>
        <v>0</v>
      </c>
      <c r="BY192" s="168">
        <f t="shared" si="333"/>
        <v>0</v>
      </c>
      <c r="BZ192" s="168">
        <f t="shared" si="333"/>
        <v>0</v>
      </c>
      <c r="CA192" s="168">
        <f t="shared" si="333"/>
        <v>0</v>
      </c>
      <c r="CB192" s="168">
        <f t="shared" si="333"/>
        <v>0</v>
      </c>
      <c r="CC192" s="168">
        <f t="shared" si="333"/>
        <v>0</v>
      </c>
      <c r="CD192" s="168">
        <f t="shared" si="333"/>
        <v>0</v>
      </c>
      <c r="CE192" s="168">
        <f t="shared" si="333"/>
        <v>0</v>
      </c>
    </row>
    <row r="193" spans="1:83" ht="15.5">
      <c r="A193" s="160">
        <v>6</v>
      </c>
      <c r="B193" s="163" t="s">
        <v>140</v>
      </c>
      <c r="C193" s="168">
        <f t="shared" ref="C193:BN193" si="334">C106-C20</f>
        <v>0</v>
      </c>
      <c r="D193" s="168">
        <f t="shared" si="334"/>
        <v>0</v>
      </c>
      <c r="E193" s="168">
        <f t="shared" si="334"/>
        <v>0</v>
      </c>
      <c r="F193" s="168">
        <f t="shared" si="334"/>
        <v>0</v>
      </c>
      <c r="G193" s="168">
        <f t="shared" si="334"/>
        <v>0</v>
      </c>
      <c r="H193" s="168">
        <f t="shared" si="334"/>
        <v>0</v>
      </c>
      <c r="I193" s="168">
        <f t="shared" si="334"/>
        <v>0</v>
      </c>
      <c r="J193" s="168">
        <f t="shared" si="334"/>
        <v>0</v>
      </c>
      <c r="K193" s="168">
        <f t="shared" si="334"/>
        <v>0</v>
      </c>
      <c r="L193" s="168">
        <f t="shared" si="334"/>
        <v>0</v>
      </c>
      <c r="M193" s="168">
        <f t="shared" si="334"/>
        <v>0</v>
      </c>
      <c r="N193" s="168">
        <f t="shared" si="334"/>
        <v>0</v>
      </c>
      <c r="O193" s="168">
        <f t="shared" si="334"/>
        <v>0</v>
      </c>
      <c r="P193" s="168">
        <f t="shared" si="334"/>
        <v>0</v>
      </c>
      <c r="Q193" s="168">
        <f t="shared" si="334"/>
        <v>0</v>
      </c>
      <c r="R193" s="168">
        <f t="shared" si="334"/>
        <v>0</v>
      </c>
      <c r="S193" s="168">
        <f t="shared" si="334"/>
        <v>0</v>
      </c>
      <c r="T193" s="168">
        <f t="shared" si="334"/>
        <v>0</v>
      </c>
      <c r="U193" s="168">
        <f t="shared" si="334"/>
        <v>0</v>
      </c>
      <c r="V193" s="168">
        <f t="shared" si="334"/>
        <v>0</v>
      </c>
      <c r="W193" s="168">
        <f t="shared" si="334"/>
        <v>0</v>
      </c>
      <c r="X193" s="168">
        <f t="shared" si="334"/>
        <v>0</v>
      </c>
      <c r="Y193" s="168">
        <f t="shared" si="334"/>
        <v>0</v>
      </c>
      <c r="Z193" s="168">
        <f t="shared" si="334"/>
        <v>0</v>
      </c>
      <c r="AA193" s="168">
        <f t="shared" si="334"/>
        <v>0</v>
      </c>
      <c r="AB193" s="168">
        <f t="shared" si="334"/>
        <v>0</v>
      </c>
      <c r="AC193" s="168">
        <f t="shared" si="334"/>
        <v>0</v>
      </c>
      <c r="AD193" s="168">
        <f t="shared" si="334"/>
        <v>0</v>
      </c>
      <c r="AE193" s="168">
        <f t="shared" si="334"/>
        <v>0</v>
      </c>
      <c r="AF193" s="168">
        <f t="shared" si="334"/>
        <v>0</v>
      </c>
      <c r="AG193" s="168">
        <f t="shared" si="334"/>
        <v>0</v>
      </c>
      <c r="AH193" s="168">
        <f t="shared" si="334"/>
        <v>0</v>
      </c>
      <c r="AI193" s="168">
        <f t="shared" si="334"/>
        <v>0</v>
      </c>
      <c r="AJ193" s="168">
        <f t="shared" si="334"/>
        <v>0</v>
      </c>
      <c r="AK193" s="168">
        <f t="shared" si="334"/>
        <v>0</v>
      </c>
      <c r="AL193" s="168">
        <f t="shared" si="334"/>
        <v>0</v>
      </c>
      <c r="AM193" s="168">
        <f t="shared" si="334"/>
        <v>0</v>
      </c>
      <c r="AN193" s="168">
        <f t="shared" si="334"/>
        <v>0</v>
      </c>
      <c r="AO193" s="168">
        <f t="shared" si="334"/>
        <v>0</v>
      </c>
      <c r="AP193" s="168">
        <f t="shared" si="334"/>
        <v>0</v>
      </c>
      <c r="AQ193" s="168">
        <f t="shared" si="334"/>
        <v>0</v>
      </c>
      <c r="AR193" s="168">
        <f t="shared" si="334"/>
        <v>0</v>
      </c>
      <c r="AS193" s="168">
        <f t="shared" si="334"/>
        <v>0</v>
      </c>
      <c r="AT193" s="168">
        <f t="shared" si="334"/>
        <v>0</v>
      </c>
      <c r="AU193" s="168">
        <f t="shared" si="334"/>
        <v>0</v>
      </c>
      <c r="AV193" s="168">
        <f t="shared" si="334"/>
        <v>0</v>
      </c>
      <c r="AW193" s="168">
        <f t="shared" si="334"/>
        <v>0</v>
      </c>
      <c r="AX193" s="168">
        <f t="shared" si="334"/>
        <v>0</v>
      </c>
      <c r="AY193" s="168">
        <f t="shared" si="334"/>
        <v>0</v>
      </c>
      <c r="AZ193" s="168">
        <f t="shared" si="334"/>
        <v>0</v>
      </c>
      <c r="BA193" s="168">
        <f t="shared" si="334"/>
        <v>0</v>
      </c>
      <c r="BB193" s="168">
        <f t="shared" si="334"/>
        <v>0</v>
      </c>
      <c r="BC193" s="168">
        <f t="shared" si="334"/>
        <v>0</v>
      </c>
      <c r="BD193" s="168">
        <f t="shared" si="334"/>
        <v>0</v>
      </c>
      <c r="BE193" s="168">
        <f t="shared" si="334"/>
        <v>0</v>
      </c>
      <c r="BF193" s="168">
        <f t="shared" si="334"/>
        <v>0</v>
      </c>
      <c r="BG193" s="168">
        <f t="shared" si="334"/>
        <v>0</v>
      </c>
      <c r="BH193" s="168">
        <f t="shared" si="334"/>
        <v>0</v>
      </c>
      <c r="BI193" s="168">
        <f t="shared" si="334"/>
        <v>0</v>
      </c>
      <c r="BJ193" s="168">
        <f t="shared" si="334"/>
        <v>0</v>
      </c>
      <c r="BK193" s="168">
        <f t="shared" si="334"/>
        <v>0</v>
      </c>
      <c r="BL193" s="168">
        <f t="shared" si="334"/>
        <v>0</v>
      </c>
      <c r="BM193" s="168">
        <f t="shared" si="334"/>
        <v>0</v>
      </c>
      <c r="BN193" s="168">
        <f t="shared" si="334"/>
        <v>0</v>
      </c>
      <c r="BO193" s="168">
        <f t="shared" ref="BO193:CE193" si="335">BO106-BO20</f>
        <v>0</v>
      </c>
      <c r="BP193" s="168">
        <f t="shared" si="335"/>
        <v>0</v>
      </c>
      <c r="BQ193" s="168">
        <f t="shared" si="335"/>
        <v>0</v>
      </c>
      <c r="BR193" s="168">
        <f t="shared" si="335"/>
        <v>0</v>
      </c>
      <c r="BS193" s="168">
        <f t="shared" si="335"/>
        <v>0</v>
      </c>
      <c r="BT193" s="168">
        <f t="shared" si="335"/>
        <v>0</v>
      </c>
      <c r="BU193" s="168">
        <f t="shared" si="335"/>
        <v>0</v>
      </c>
      <c r="BV193" s="168">
        <f t="shared" si="335"/>
        <v>0</v>
      </c>
      <c r="BW193" s="168">
        <f t="shared" si="335"/>
        <v>0</v>
      </c>
      <c r="BX193" s="168">
        <f t="shared" si="335"/>
        <v>0</v>
      </c>
      <c r="BY193" s="168">
        <f t="shared" si="335"/>
        <v>0</v>
      </c>
      <c r="BZ193" s="168">
        <f t="shared" si="335"/>
        <v>0</v>
      </c>
      <c r="CA193" s="168">
        <f t="shared" si="335"/>
        <v>0</v>
      </c>
      <c r="CB193" s="168">
        <f t="shared" si="335"/>
        <v>0</v>
      </c>
      <c r="CC193" s="168">
        <f t="shared" si="335"/>
        <v>0</v>
      </c>
      <c r="CD193" s="168">
        <f t="shared" si="335"/>
        <v>0</v>
      </c>
      <c r="CE193" s="168">
        <f t="shared" si="335"/>
        <v>0</v>
      </c>
    </row>
    <row r="194" spans="1:83" ht="15.5">
      <c r="A194" s="160">
        <v>6</v>
      </c>
      <c r="B194" s="164" t="s">
        <v>195</v>
      </c>
      <c r="C194" s="168">
        <f t="shared" ref="C194:BN194" si="336">C107-C21</f>
        <v>0</v>
      </c>
      <c r="D194" s="168">
        <f t="shared" si="336"/>
        <v>0</v>
      </c>
      <c r="E194" s="168">
        <f t="shared" si="336"/>
        <v>0</v>
      </c>
      <c r="F194" s="168">
        <f t="shared" si="336"/>
        <v>0</v>
      </c>
      <c r="G194" s="168">
        <f t="shared" si="336"/>
        <v>0</v>
      </c>
      <c r="H194" s="168">
        <f t="shared" si="336"/>
        <v>0</v>
      </c>
      <c r="I194" s="168">
        <f t="shared" si="336"/>
        <v>0</v>
      </c>
      <c r="J194" s="168">
        <f t="shared" si="336"/>
        <v>0</v>
      </c>
      <c r="K194" s="168">
        <f t="shared" si="336"/>
        <v>0</v>
      </c>
      <c r="L194" s="168">
        <f t="shared" si="336"/>
        <v>0</v>
      </c>
      <c r="M194" s="168">
        <f t="shared" si="336"/>
        <v>0</v>
      </c>
      <c r="N194" s="168">
        <f t="shared" si="336"/>
        <v>0</v>
      </c>
      <c r="O194" s="168">
        <f t="shared" si="336"/>
        <v>0</v>
      </c>
      <c r="P194" s="168">
        <f t="shared" si="336"/>
        <v>0</v>
      </c>
      <c r="Q194" s="168">
        <f t="shared" si="336"/>
        <v>0</v>
      </c>
      <c r="R194" s="168">
        <f t="shared" si="336"/>
        <v>0</v>
      </c>
      <c r="S194" s="168">
        <f t="shared" si="336"/>
        <v>0</v>
      </c>
      <c r="T194" s="168">
        <f t="shared" si="336"/>
        <v>0</v>
      </c>
      <c r="U194" s="168">
        <f t="shared" si="336"/>
        <v>0</v>
      </c>
      <c r="V194" s="168">
        <f t="shared" si="336"/>
        <v>0</v>
      </c>
      <c r="W194" s="168">
        <f t="shared" si="336"/>
        <v>0</v>
      </c>
      <c r="X194" s="168">
        <f t="shared" si="336"/>
        <v>0</v>
      </c>
      <c r="Y194" s="168">
        <f t="shared" si="336"/>
        <v>0</v>
      </c>
      <c r="Z194" s="168">
        <f t="shared" si="336"/>
        <v>0</v>
      </c>
      <c r="AA194" s="168">
        <f t="shared" si="336"/>
        <v>0</v>
      </c>
      <c r="AB194" s="168">
        <f t="shared" si="336"/>
        <v>0</v>
      </c>
      <c r="AC194" s="168">
        <f t="shared" si="336"/>
        <v>0</v>
      </c>
      <c r="AD194" s="168">
        <f t="shared" si="336"/>
        <v>0</v>
      </c>
      <c r="AE194" s="168">
        <f t="shared" si="336"/>
        <v>0</v>
      </c>
      <c r="AF194" s="168">
        <f t="shared" si="336"/>
        <v>0</v>
      </c>
      <c r="AG194" s="168">
        <f t="shared" si="336"/>
        <v>0</v>
      </c>
      <c r="AH194" s="168">
        <f t="shared" si="336"/>
        <v>0</v>
      </c>
      <c r="AI194" s="168">
        <f t="shared" si="336"/>
        <v>0</v>
      </c>
      <c r="AJ194" s="168">
        <f t="shared" si="336"/>
        <v>0</v>
      </c>
      <c r="AK194" s="168">
        <f t="shared" si="336"/>
        <v>0</v>
      </c>
      <c r="AL194" s="168">
        <f t="shared" si="336"/>
        <v>0</v>
      </c>
      <c r="AM194" s="168">
        <f t="shared" si="336"/>
        <v>0</v>
      </c>
      <c r="AN194" s="168">
        <f t="shared" si="336"/>
        <v>0</v>
      </c>
      <c r="AO194" s="168">
        <f t="shared" si="336"/>
        <v>0</v>
      </c>
      <c r="AP194" s="168">
        <f t="shared" si="336"/>
        <v>0</v>
      </c>
      <c r="AQ194" s="168">
        <f t="shared" si="336"/>
        <v>0</v>
      </c>
      <c r="AR194" s="168">
        <f t="shared" si="336"/>
        <v>0</v>
      </c>
      <c r="AS194" s="168">
        <f t="shared" si="336"/>
        <v>0</v>
      </c>
      <c r="AT194" s="168">
        <f t="shared" si="336"/>
        <v>0</v>
      </c>
      <c r="AU194" s="168">
        <f t="shared" si="336"/>
        <v>0</v>
      </c>
      <c r="AV194" s="168">
        <f t="shared" si="336"/>
        <v>0</v>
      </c>
      <c r="AW194" s="168">
        <f t="shared" si="336"/>
        <v>0</v>
      </c>
      <c r="AX194" s="168">
        <f t="shared" si="336"/>
        <v>0</v>
      </c>
      <c r="AY194" s="168">
        <f t="shared" si="336"/>
        <v>0</v>
      </c>
      <c r="AZ194" s="168">
        <f t="shared" si="336"/>
        <v>0</v>
      </c>
      <c r="BA194" s="168">
        <f t="shared" si="336"/>
        <v>0</v>
      </c>
      <c r="BB194" s="168">
        <f t="shared" si="336"/>
        <v>0</v>
      </c>
      <c r="BC194" s="168">
        <f t="shared" si="336"/>
        <v>0</v>
      </c>
      <c r="BD194" s="168">
        <f t="shared" si="336"/>
        <v>0</v>
      </c>
      <c r="BE194" s="168">
        <f t="shared" si="336"/>
        <v>0</v>
      </c>
      <c r="BF194" s="168">
        <f t="shared" si="336"/>
        <v>0</v>
      </c>
      <c r="BG194" s="168">
        <f t="shared" si="336"/>
        <v>0</v>
      </c>
      <c r="BH194" s="168">
        <f t="shared" si="336"/>
        <v>0</v>
      </c>
      <c r="BI194" s="168">
        <f t="shared" si="336"/>
        <v>0</v>
      </c>
      <c r="BJ194" s="168">
        <f t="shared" si="336"/>
        <v>0</v>
      </c>
      <c r="BK194" s="168">
        <f t="shared" si="336"/>
        <v>0</v>
      </c>
      <c r="BL194" s="168">
        <f t="shared" si="336"/>
        <v>0</v>
      </c>
      <c r="BM194" s="168">
        <f t="shared" si="336"/>
        <v>0</v>
      </c>
      <c r="BN194" s="168">
        <f t="shared" si="336"/>
        <v>0</v>
      </c>
      <c r="BO194" s="168">
        <f t="shared" ref="BO194:CE194" si="337">BO107-BO21</f>
        <v>0</v>
      </c>
      <c r="BP194" s="168">
        <f t="shared" si="337"/>
        <v>0</v>
      </c>
      <c r="BQ194" s="168">
        <f t="shared" si="337"/>
        <v>0</v>
      </c>
      <c r="BR194" s="168">
        <f t="shared" si="337"/>
        <v>0</v>
      </c>
      <c r="BS194" s="168">
        <f t="shared" si="337"/>
        <v>0</v>
      </c>
      <c r="BT194" s="168">
        <f t="shared" si="337"/>
        <v>0</v>
      </c>
      <c r="BU194" s="168">
        <f t="shared" si="337"/>
        <v>0</v>
      </c>
      <c r="BV194" s="168">
        <f t="shared" si="337"/>
        <v>0</v>
      </c>
      <c r="BW194" s="168">
        <f t="shared" si="337"/>
        <v>0</v>
      </c>
      <c r="BX194" s="168">
        <f t="shared" si="337"/>
        <v>0</v>
      </c>
      <c r="BY194" s="168">
        <f t="shared" si="337"/>
        <v>0</v>
      </c>
      <c r="BZ194" s="168">
        <f t="shared" si="337"/>
        <v>0</v>
      </c>
      <c r="CA194" s="168">
        <f t="shared" si="337"/>
        <v>0</v>
      </c>
      <c r="CB194" s="168">
        <f t="shared" si="337"/>
        <v>0</v>
      </c>
      <c r="CC194" s="168">
        <f t="shared" si="337"/>
        <v>0</v>
      </c>
      <c r="CD194" s="168">
        <f t="shared" si="337"/>
        <v>0</v>
      </c>
      <c r="CE194" s="168">
        <f t="shared" si="337"/>
        <v>0</v>
      </c>
    </row>
    <row r="195" spans="1:83" ht="15.5">
      <c r="A195" s="160">
        <v>6</v>
      </c>
      <c r="B195" s="165" t="s">
        <v>196</v>
      </c>
      <c r="C195" s="168">
        <f t="shared" ref="C195:BN195" si="338">C108-C22</f>
        <v>0</v>
      </c>
      <c r="D195" s="168">
        <f t="shared" si="338"/>
        <v>0</v>
      </c>
      <c r="E195" s="168">
        <f t="shared" si="338"/>
        <v>0</v>
      </c>
      <c r="F195" s="168">
        <f t="shared" si="338"/>
        <v>0</v>
      </c>
      <c r="G195" s="168">
        <f t="shared" si="338"/>
        <v>0</v>
      </c>
      <c r="H195" s="168">
        <f t="shared" si="338"/>
        <v>0</v>
      </c>
      <c r="I195" s="168">
        <f t="shared" si="338"/>
        <v>0</v>
      </c>
      <c r="J195" s="168">
        <f t="shared" si="338"/>
        <v>0</v>
      </c>
      <c r="K195" s="168">
        <f t="shared" si="338"/>
        <v>0</v>
      </c>
      <c r="L195" s="168">
        <f t="shared" si="338"/>
        <v>0</v>
      </c>
      <c r="M195" s="168">
        <f t="shared" si="338"/>
        <v>0</v>
      </c>
      <c r="N195" s="168">
        <f t="shared" si="338"/>
        <v>0</v>
      </c>
      <c r="O195" s="168">
        <f t="shared" si="338"/>
        <v>0</v>
      </c>
      <c r="P195" s="168">
        <f t="shared" si="338"/>
        <v>0</v>
      </c>
      <c r="Q195" s="168">
        <f t="shared" si="338"/>
        <v>0</v>
      </c>
      <c r="R195" s="168">
        <f t="shared" si="338"/>
        <v>0</v>
      </c>
      <c r="S195" s="168">
        <f t="shared" si="338"/>
        <v>0</v>
      </c>
      <c r="T195" s="168">
        <f t="shared" si="338"/>
        <v>0</v>
      </c>
      <c r="U195" s="168">
        <f t="shared" si="338"/>
        <v>0</v>
      </c>
      <c r="V195" s="168">
        <f t="shared" si="338"/>
        <v>0</v>
      </c>
      <c r="W195" s="168">
        <f t="shared" si="338"/>
        <v>0</v>
      </c>
      <c r="X195" s="168">
        <f t="shared" si="338"/>
        <v>0</v>
      </c>
      <c r="Y195" s="168">
        <f t="shared" si="338"/>
        <v>0</v>
      </c>
      <c r="Z195" s="168">
        <f t="shared" si="338"/>
        <v>0</v>
      </c>
      <c r="AA195" s="168">
        <f t="shared" si="338"/>
        <v>0</v>
      </c>
      <c r="AB195" s="168">
        <f t="shared" si="338"/>
        <v>0</v>
      </c>
      <c r="AC195" s="168">
        <f t="shared" si="338"/>
        <v>0</v>
      </c>
      <c r="AD195" s="168">
        <f t="shared" si="338"/>
        <v>0</v>
      </c>
      <c r="AE195" s="168">
        <f t="shared" si="338"/>
        <v>0</v>
      </c>
      <c r="AF195" s="168">
        <f t="shared" si="338"/>
        <v>0</v>
      </c>
      <c r="AG195" s="168">
        <f t="shared" si="338"/>
        <v>0</v>
      </c>
      <c r="AH195" s="168">
        <f t="shared" si="338"/>
        <v>0</v>
      </c>
      <c r="AI195" s="168">
        <f t="shared" si="338"/>
        <v>0</v>
      </c>
      <c r="AJ195" s="168">
        <f t="shared" si="338"/>
        <v>0</v>
      </c>
      <c r="AK195" s="168">
        <f t="shared" si="338"/>
        <v>0</v>
      </c>
      <c r="AL195" s="168">
        <f t="shared" si="338"/>
        <v>0</v>
      </c>
      <c r="AM195" s="168">
        <f t="shared" si="338"/>
        <v>0</v>
      </c>
      <c r="AN195" s="168">
        <f t="shared" si="338"/>
        <v>0</v>
      </c>
      <c r="AO195" s="168">
        <f t="shared" si="338"/>
        <v>0</v>
      </c>
      <c r="AP195" s="168">
        <f t="shared" si="338"/>
        <v>0</v>
      </c>
      <c r="AQ195" s="168">
        <f t="shared" si="338"/>
        <v>0</v>
      </c>
      <c r="AR195" s="168">
        <f t="shared" si="338"/>
        <v>0</v>
      </c>
      <c r="AS195" s="168">
        <f t="shared" si="338"/>
        <v>0</v>
      </c>
      <c r="AT195" s="168">
        <f t="shared" si="338"/>
        <v>0</v>
      </c>
      <c r="AU195" s="168">
        <f t="shared" si="338"/>
        <v>0</v>
      </c>
      <c r="AV195" s="168">
        <f t="shared" si="338"/>
        <v>0</v>
      </c>
      <c r="AW195" s="168">
        <f t="shared" si="338"/>
        <v>0</v>
      </c>
      <c r="AX195" s="168">
        <f t="shared" si="338"/>
        <v>0</v>
      </c>
      <c r="AY195" s="168">
        <f t="shared" si="338"/>
        <v>0</v>
      </c>
      <c r="AZ195" s="168">
        <f t="shared" si="338"/>
        <v>0</v>
      </c>
      <c r="BA195" s="168">
        <f t="shared" si="338"/>
        <v>0</v>
      </c>
      <c r="BB195" s="168">
        <f t="shared" si="338"/>
        <v>0</v>
      </c>
      <c r="BC195" s="168">
        <f t="shared" si="338"/>
        <v>0</v>
      </c>
      <c r="BD195" s="168">
        <f t="shared" si="338"/>
        <v>0</v>
      </c>
      <c r="BE195" s="168">
        <f t="shared" si="338"/>
        <v>0</v>
      </c>
      <c r="BF195" s="168">
        <f t="shared" si="338"/>
        <v>0</v>
      </c>
      <c r="BG195" s="168">
        <f t="shared" si="338"/>
        <v>0</v>
      </c>
      <c r="BH195" s="168">
        <f t="shared" si="338"/>
        <v>0</v>
      </c>
      <c r="BI195" s="168">
        <f t="shared" si="338"/>
        <v>0</v>
      </c>
      <c r="BJ195" s="168">
        <f t="shared" si="338"/>
        <v>0</v>
      </c>
      <c r="BK195" s="168">
        <f t="shared" si="338"/>
        <v>0</v>
      </c>
      <c r="BL195" s="168">
        <f t="shared" si="338"/>
        <v>0</v>
      </c>
      <c r="BM195" s="168">
        <f t="shared" si="338"/>
        <v>0</v>
      </c>
      <c r="BN195" s="168">
        <f t="shared" si="338"/>
        <v>0</v>
      </c>
      <c r="BO195" s="168">
        <f t="shared" ref="BO195:CE195" si="339">BO108-BO22</f>
        <v>0</v>
      </c>
      <c r="BP195" s="168">
        <f t="shared" si="339"/>
        <v>0</v>
      </c>
      <c r="BQ195" s="168">
        <f t="shared" si="339"/>
        <v>0</v>
      </c>
      <c r="BR195" s="168">
        <f t="shared" si="339"/>
        <v>0</v>
      </c>
      <c r="BS195" s="168">
        <f t="shared" si="339"/>
        <v>0</v>
      </c>
      <c r="BT195" s="168">
        <f t="shared" si="339"/>
        <v>0</v>
      </c>
      <c r="BU195" s="168">
        <f t="shared" si="339"/>
        <v>0</v>
      </c>
      <c r="BV195" s="168">
        <f t="shared" si="339"/>
        <v>0</v>
      </c>
      <c r="BW195" s="168">
        <f t="shared" si="339"/>
        <v>0</v>
      </c>
      <c r="BX195" s="168">
        <f t="shared" si="339"/>
        <v>0</v>
      </c>
      <c r="BY195" s="168">
        <f t="shared" si="339"/>
        <v>0</v>
      </c>
      <c r="BZ195" s="168">
        <f t="shared" si="339"/>
        <v>0</v>
      </c>
      <c r="CA195" s="168">
        <f t="shared" si="339"/>
        <v>0</v>
      </c>
      <c r="CB195" s="168">
        <f t="shared" si="339"/>
        <v>0</v>
      </c>
      <c r="CC195" s="168">
        <f t="shared" si="339"/>
        <v>0</v>
      </c>
      <c r="CD195" s="168">
        <f t="shared" si="339"/>
        <v>0</v>
      </c>
      <c r="CE195" s="168">
        <f t="shared" si="339"/>
        <v>0</v>
      </c>
    </row>
    <row r="196" spans="1:83" ht="15.5">
      <c r="A196" s="166"/>
      <c r="B196" s="167"/>
      <c r="C196" s="168">
        <f t="shared" ref="C196:BN196" si="340">C109-C23</f>
        <v>0</v>
      </c>
      <c r="D196" s="168">
        <f t="shared" si="340"/>
        <v>0</v>
      </c>
      <c r="E196" s="168">
        <f t="shared" si="340"/>
        <v>0</v>
      </c>
      <c r="F196" s="168">
        <f t="shared" si="340"/>
        <v>0</v>
      </c>
      <c r="G196" s="168">
        <f t="shared" si="340"/>
        <v>0</v>
      </c>
      <c r="H196" s="168">
        <f t="shared" si="340"/>
        <v>0</v>
      </c>
      <c r="I196" s="168">
        <f t="shared" si="340"/>
        <v>0</v>
      </c>
      <c r="J196" s="168">
        <f t="shared" si="340"/>
        <v>0</v>
      </c>
      <c r="K196" s="168">
        <f t="shared" si="340"/>
        <v>0</v>
      </c>
      <c r="L196" s="168">
        <f t="shared" si="340"/>
        <v>0</v>
      </c>
      <c r="M196" s="168">
        <f t="shared" si="340"/>
        <v>0</v>
      </c>
      <c r="N196" s="168">
        <f t="shared" si="340"/>
        <v>0</v>
      </c>
      <c r="O196" s="168">
        <f t="shared" si="340"/>
        <v>0</v>
      </c>
      <c r="P196" s="168">
        <f t="shared" si="340"/>
        <v>0</v>
      </c>
      <c r="Q196" s="168">
        <f t="shared" si="340"/>
        <v>0</v>
      </c>
      <c r="R196" s="168">
        <f t="shared" si="340"/>
        <v>0</v>
      </c>
      <c r="S196" s="168">
        <f t="shared" si="340"/>
        <v>0</v>
      </c>
      <c r="T196" s="168">
        <f t="shared" si="340"/>
        <v>0</v>
      </c>
      <c r="U196" s="168">
        <f t="shared" si="340"/>
        <v>0</v>
      </c>
      <c r="V196" s="168">
        <f t="shared" si="340"/>
        <v>0</v>
      </c>
      <c r="W196" s="168">
        <f t="shared" si="340"/>
        <v>0</v>
      </c>
      <c r="X196" s="168">
        <f t="shared" si="340"/>
        <v>0</v>
      </c>
      <c r="Y196" s="168">
        <f t="shared" si="340"/>
        <v>0</v>
      </c>
      <c r="Z196" s="168">
        <f t="shared" si="340"/>
        <v>0</v>
      </c>
      <c r="AA196" s="168">
        <f t="shared" si="340"/>
        <v>0</v>
      </c>
      <c r="AB196" s="168">
        <f t="shared" si="340"/>
        <v>0</v>
      </c>
      <c r="AC196" s="168">
        <f t="shared" si="340"/>
        <v>0</v>
      </c>
      <c r="AD196" s="168">
        <f t="shared" si="340"/>
        <v>0</v>
      </c>
      <c r="AE196" s="168">
        <f t="shared" si="340"/>
        <v>0</v>
      </c>
      <c r="AF196" s="168">
        <f t="shared" si="340"/>
        <v>0</v>
      </c>
      <c r="AG196" s="168">
        <f t="shared" si="340"/>
        <v>0</v>
      </c>
      <c r="AH196" s="168">
        <f t="shared" si="340"/>
        <v>0</v>
      </c>
      <c r="AI196" s="168">
        <f t="shared" si="340"/>
        <v>0</v>
      </c>
      <c r="AJ196" s="168">
        <f t="shared" si="340"/>
        <v>0</v>
      </c>
      <c r="AK196" s="168">
        <f t="shared" si="340"/>
        <v>0</v>
      </c>
      <c r="AL196" s="168">
        <f t="shared" si="340"/>
        <v>0</v>
      </c>
      <c r="AM196" s="168">
        <f t="shared" si="340"/>
        <v>0</v>
      </c>
      <c r="AN196" s="168">
        <f t="shared" si="340"/>
        <v>0</v>
      </c>
      <c r="AO196" s="168">
        <f t="shared" si="340"/>
        <v>0</v>
      </c>
      <c r="AP196" s="168">
        <f t="shared" si="340"/>
        <v>0</v>
      </c>
      <c r="AQ196" s="168">
        <f t="shared" si="340"/>
        <v>0</v>
      </c>
      <c r="AR196" s="168">
        <f t="shared" si="340"/>
        <v>0</v>
      </c>
      <c r="AS196" s="168">
        <f t="shared" si="340"/>
        <v>0</v>
      </c>
      <c r="AT196" s="168">
        <f t="shared" si="340"/>
        <v>0</v>
      </c>
      <c r="AU196" s="168">
        <f t="shared" si="340"/>
        <v>0</v>
      </c>
      <c r="AV196" s="168">
        <f t="shared" si="340"/>
        <v>0</v>
      </c>
      <c r="AW196" s="168">
        <f t="shared" si="340"/>
        <v>0</v>
      </c>
      <c r="AX196" s="168">
        <f t="shared" si="340"/>
        <v>0</v>
      </c>
      <c r="AY196" s="168">
        <f t="shared" si="340"/>
        <v>0</v>
      </c>
      <c r="AZ196" s="168">
        <f t="shared" si="340"/>
        <v>0</v>
      </c>
      <c r="BA196" s="168">
        <f t="shared" si="340"/>
        <v>0</v>
      </c>
      <c r="BB196" s="168">
        <f t="shared" si="340"/>
        <v>0</v>
      </c>
      <c r="BC196" s="168">
        <f t="shared" si="340"/>
        <v>0</v>
      </c>
      <c r="BD196" s="168">
        <f t="shared" si="340"/>
        <v>0</v>
      </c>
      <c r="BE196" s="168">
        <f t="shared" si="340"/>
        <v>0</v>
      </c>
      <c r="BF196" s="168">
        <f t="shared" si="340"/>
        <v>0</v>
      </c>
      <c r="BG196" s="168">
        <f t="shared" si="340"/>
        <v>0</v>
      </c>
      <c r="BH196" s="168">
        <f t="shared" si="340"/>
        <v>0</v>
      </c>
      <c r="BI196" s="168">
        <f t="shared" si="340"/>
        <v>0</v>
      </c>
      <c r="BJ196" s="168">
        <f t="shared" si="340"/>
        <v>0</v>
      </c>
      <c r="BK196" s="168">
        <f t="shared" si="340"/>
        <v>0</v>
      </c>
      <c r="BL196" s="168">
        <f t="shared" si="340"/>
        <v>0</v>
      </c>
      <c r="BM196" s="168">
        <f t="shared" si="340"/>
        <v>0</v>
      </c>
      <c r="BN196" s="168">
        <f t="shared" si="340"/>
        <v>0</v>
      </c>
      <c r="BO196" s="168">
        <f t="shared" ref="BO196:CE196" si="341">BO109-BO23</f>
        <v>0</v>
      </c>
      <c r="BP196" s="168">
        <f t="shared" si="341"/>
        <v>0</v>
      </c>
      <c r="BQ196" s="168">
        <f t="shared" si="341"/>
        <v>0</v>
      </c>
      <c r="BR196" s="168">
        <f t="shared" si="341"/>
        <v>0</v>
      </c>
      <c r="BS196" s="168">
        <f t="shared" si="341"/>
        <v>0</v>
      </c>
      <c r="BT196" s="168">
        <f t="shared" si="341"/>
        <v>0</v>
      </c>
      <c r="BU196" s="168">
        <f t="shared" si="341"/>
        <v>0</v>
      </c>
      <c r="BV196" s="168">
        <f t="shared" si="341"/>
        <v>0</v>
      </c>
      <c r="BW196" s="168">
        <f t="shared" si="341"/>
        <v>0</v>
      </c>
      <c r="BX196" s="168">
        <f t="shared" si="341"/>
        <v>0</v>
      </c>
      <c r="BY196" s="168">
        <f t="shared" si="341"/>
        <v>0</v>
      </c>
      <c r="BZ196" s="168">
        <f t="shared" si="341"/>
        <v>0</v>
      </c>
      <c r="CA196" s="168">
        <f t="shared" si="341"/>
        <v>0</v>
      </c>
      <c r="CB196" s="168">
        <f t="shared" si="341"/>
        <v>0</v>
      </c>
      <c r="CC196" s="168">
        <f t="shared" si="341"/>
        <v>0</v>
      </c>
      <c r="CD196" s="168">
        <f t="shared" si="341"/>
        <v>0</v>
      </c>
      <c r="CE196" s="168">
        <f t="shared" si="341"/>
        <v>0</v>
      </c>
    </row>
    <row r="197" spans="1:83" ht="21">
      <c r="A197" s="158">
        <v>7</v>
      </c>
      <c r="B197" s="159" t="s">
        <v>3</v>
      </c>
      <c r="C197" s="168">
        <f t="shared" ref="C197:BN197" si="342">C110-C24</f>
        <v>0</v>
      </c>
      <c r="D197" s="168">
        <f t="shared" si="342"/>
        <v>0</v>
      </c>
      <c r="E197" s="168">
        <f t="shared" si="342"/>
        <v>0</v>
      </c>
      <c r="F197" s="168">
        <f t="shared" si="342"/>
        <v>0</v>
      </c>
      <c r="G197" s="168">
        <f t="shared" si="342"/>
        <v>0</v>
      </c>
      <c r="H197" s="168">
        <f t="shared" si="342"/>
        <v>0</v>
      </c>
      <c r="I197" s="168">
        <f t="shared" si="342"/>
        <v>0</v>
      </c>
      <c r="J197" s="168">
        <f t="shared" si="342"/>
        <v>0</v>
      </c>
      <c r="K197" s="168">
        <f t="shared" si="342"/>
        <v>0</v>
      </c>
      <c r="L197" s="168">
        <f t="shared" si="342"/>
        <v>0</v>
      </c>
      <c r="M197" s="168">
        <f t="shared" si="342"/>
        <v>0</v>
      </c>
      <c r="N197" s="168">
        <f t="shared" si="342"/>
        <v>0</v>
      </c>
      <c r="O197" s="168">
        <f t="shared" si="342"/>
        <v>0</v>
      </c>
      <c r="P197" s="168">
        <f t="shared" si="342"/>
        <v>0</v>
      </c>
      <c r="Q197" s="168">
        <f t="shared" si="342"/>
        <v>0</v>
      </c>
      <c r="R197" s="168">
        <f t="shared" si="342"/>
        <v>0</v>
      </c>
      <c r="S197" s="168">
        <f t="shared" si="342"/>
        <v>0</v>
      </c>
      <c r="T197" s="168">
        <f t="shared" si="342"/>
        <v>0</v>
      </c>
      <c r="U197" s="168">
        <f t="shared" si="342"/>
        <v>0</v>
      </c>
      <c r="V197" s="168">
        <f t="shared" si="342"/>
        <v>0</v>
      </c>
      <c r="W197" s="168">
        <f t="shared" si="342"/>
        <v>0</v>
      </c>
      <c r="X197" s="168">
        <f t="shared" si="342"/>
        <v>0</v>
      </c>
      <c r="Y197" s="168">
        <f t="shared" si="342"/>
        <v>0</v>
      </c>
      <c r="Z197" s="168">
        <f t="shared" si="342"/>
        <v>0</v>
      </c>
      <c r="AA197" s="168">
        <f t="shared" si="342"/>
        <v>0</v>
      </c>
      <c r="AB197" s="168">
        <f t="shared" si="342"/>
        <v>0</v>
      </c>
      <c r="AC197" s="168">
        <f t="shared" si="342"/>
        <v>0</v>
      </c>
      <c r="AD197" s="168">
        <f t="shared" si="342"/>
        <v>0</v>
      </c>
      <c r="AE197" s="168">
        <f t="shared" si="342"/>
        <v>0</v>
      </c>
      <c r="AF197" s="168">
        <f t="shared" si="342"/>
        <v>0</v>
      </c>
      <c r="AG197" s="168">
        <f t="shared" si="342"/>
        <v>0</v>
      </c>
      <c r="AH197" s="168">
        <f t="shared" si="342"/>
        <v>0</v>
      </c>
      <c r="AI197" s="168">
        <f t="shared" si="342"/>
        <v>0</v>
      </c>
      <c r="AJ197" s="168">
        <f t="shared" si="342"/>
        <v>0</v>
      </c>
      <c r="AK197" s="168">
        <f t="shared" si="342"/>
        <v>0</v>
      </c>
      <c r="AL197" s="168">
        <f t="shared" si="342"/>
        <v>0</v>
      </c>
      <c r="AM197" s="168">
        <f t="shared" si="342"/>
        <v>0</v>
      </c>
      <c r="AN197" s="168">
        <f t="shared" si="342"/>
        <v>0</v>
      </c>
      <c r="AO197" s="168">
        <f t="shared" si="342"/>
        <v>0</v>
      </c>
      <c r="AP197" s="168">
        <f t="shared" si="342"/>
        <v>0</v>
      </c>
      <c r="AQ197" s="168">
        <f t="shared" si="342"/>
        <v>0</v>
      </c>
      <c r="AR197" s="168">
        <f t="shared" si="342"/>
        <v>0</v>
      </c>
      <c r="AS197" s="168">
        <f t="shared" si="342"/>
        <v>0</v>
      </c>
      <c r="AT197" s="168">
        <f t="shared" si="342"/>
        <v>0</v>
      </c>
      <c r="AU197" s="168">
        <f t="shared" si="342"/>
        <v>0</v>
      </c>
      <c r="AV197" s="168">
        <f t="shared" si="342"/>
        <v>0</v>
      </c>
      <c r="AW197" s="168">
        <f t="shared" si="342"/>
        <v>0</v>
      </c>
      <c r="AX197" s="168">
        <f t="shared" si="342"/>
        <v>0</v>
      </c>
      <c r="AY197" s="168">
        <f t="shared" si="342"/>
        <v>0</v>
      </c>
      <c r="AZ197" s="168">
        <f t="shared" si="342"/>
        <v>0</v>
      </c>
      <c r="BA197" s="168">
        <f t="shared" si="342"/>
        <v>0</v>
      </c>
      <c r="BB197" s="168">
        <f t="shared" si="342"/>
        <v>0</v>
      </c>
      <c r="BC197" s="168">
        <f t="shared" si="342"/>
        <v>0</v>
      </c>
      <c r="BD197" s="168">
        <f t="shared" si="342"/>
        <v>0</v>
      </c>
      <c r="BE197" s="168">
        <f t="shared" si="342"/>
        <v>0</v>
      </c>
      <c r="BF197" s="168">
        <f t="shared" si="342"/>
        <v>0</v>
      </c>
      <c r="BG197" s="168">
        <f t="shared" si="342"/>
        <v>0</v>
      </c>
      <c r="BH197" s="168">
        <f t="shared" si="342"/>
        <v>0</v>
      </c>
      <c r="BI197" s="168">
        <f t="shared" si="342"/>
        <v>0</v>
      </c>
      <c r="BJ197" s="168">
        <f t="shared" si="342"/>
        <v>0</v>
      </c>
      <c r="BK197" s="168">
        <f t="shared" si="342"/>
        <v>0</v>
      </c>
      <c r="BL197" s="168">
        <f t="shared" si="342"/>
        <v>0</v>
      </c>
      <c r="BM197" s="168">
        <f t="shared" si="342"/>
        <v>0</v>
      </c>
      <c r="BN197" s="168">
        <f t="shared" si="342"/>
        <v>0</v>
      </c>
      <c r="BO197" s="168">
        <f t="shared" ref="BO197:CE197" si="343">BO110-BO24</f>
        <v>0</v>
      </c>
      <c r="BP197" s="168">
        <f t="shared" si="343"/>
        <v>0</v>
      </c>
      <c r="BQ197" s="168">
        <f t="shared" si="343"/>
        <v>0</v>
      </c>
      <c r="BR197" s="168">
        <f t="shared" si="343"/>
        <v>0</v>
      </c>
      <c r="BS197" s="168">
        <f t="shared" si="343"/>
        <v>0</v>
      </c>
      <c r="BT197" s="168">
        <f t="shared" si="343"/>
        <v>0</v>
      </c>
      <c r="BU197" s="168">
        <f t="shared" si="343"/>
        <v>0</v>
      </c>
      <c r="BV197" s="168">
        <f t="shared" si="343"/>
        <v>0</v>
      </c>
      <c r="BW197" s="168">
        <f t="shared" si="343"/>
        <v>0</v>
      </c>
      <c r="BX197" s="168">
        <f t="shared" si="343"/>
        <v>0</v>
      </c>
      <c r="BY197" s="168">
        <f t="shared" si="343"/>
        <v>0</v>
      </c>
      <c r="BZ197" s="168">
        <f t="shared" si="343"/>
        <v>0</v>
      </c>
      <c r="CA197" s="168">
        <f t="shared" si="343"/>
        <v>0</v>
      </c>
      <c r="CB197" s="168">
        <f t="shared" si="343"/>
        <v>0</v>
      </c>
      <c r="CC197" s="168">
        <f t="shared" si="343"/>
        <v>0</v>
      </c>
      <c r="CD197" s="168">
        <f t="shared" si="343"/>
        <v>0</v>
      </c>
      <c r="CE197" s="168">
        <f t="shared" si="343"/>
        <v>0</v>
      </c>
    </row>
    <row r="198" spans="1:83" ht="15.5">
      <c r="A198" s="160">
        <v>7</v>
      </c>
      <c r="B198" s="161" t="s">
        <v>194</v>
      </c>
      <c r="C198" s="168">
        <f t="shared" ref="C198:BN198" si="344">C111-C25</f>
        <v>0</v>
      </c>
      <c r="D198" s="168">
        <f t="shared" si="344"/>
        <v>0</v>
      </c>
      <c r="E198" s="168">
        <f t="shared" si="344"/>
        <v>0</v>
      </c>
      <c r="F198" s="168">
        <f t="shared" si="344"/>
        <v>0</v>
      </c>
      <c r="G198" s="168">
        <f t="shared" si="344"/>
        <v>0</v>
      </c>
      <c r="H198" s="168">
        <f t="shared" si="344"/>
        <v>0</v>
      </c>
      <c r="I198" s="168">
        <f t="shared" si="344"/>
        <v>0</v>
      </c>
      <c r="J198" s="168">
        <f t="shared" si="344"/>
        <v>0</v>
      </c>
      <c r="K198" s="168">
        <f t="shared" si="344"/>
        <v>0</v>
      </c>
      <c r="L198" s="168">
        <f t="shared" si="344"/>
        <v>0</v>
      </c>
      <c r="M198" s="168">
        <f t="shared" si="344"/>
        <v>0</v>
      </c>
      <c r="N198" s="168">
        <f t="shared" si="344"/>
        <v>0</v>
      </c>
      <c r="O198" s="168">
        <f t="shared" si="344"/>
        <v>0</v>
      </c>
      <c r="P198" s="168">
        <f t="shared" si="344"/>
        <v>0</v>
      </c>
      <c r="Q198" s="168">
        <f t="shared" si="344"/>
        <v>0</v>
      </c>
      <c r="R198" s="168">
        <f t="shared" si="344"/>
        <v>0</v>
      </c>
      <c r="S198" s="168">
        <f t="shared" si="344"/>
        <v>0</v>
      </c>
      <c r="T198" s="168">
        <f t="shared" si="344"/>
        <v>0</v>
      </c>
      <c r="U198" s="168">
        <f t="shared" si="344"/>
        <v>0</v>
      </c>
      <c r="V198" s="168">
        <f t="shared" si="344"/>
        <v>0</v>
      </c>
      <c r="W198" s="168">
        <f t="shared" si="344"/>
        <v>0</v>
      </c>
      <c r="X198" s="168">
        <f t="shared" si="344"/>
        <v>0</v>
      </c>
      <c r="Y198" s="168">
        <f t="shared" si="344"/>
        <v>0</v>
      </c>
      <c r="Z198" s="168">
        <f t="shared" si="344"/>
        <v>0</v>
      </c>
      <c r="AA198" s="168">
        <f t="shared" si="344"/>
        <v>0</v>
      </c>
      <c r="AB198" s="168">
        <f t="shared" si="344"/>
        <v>0</v>
      </c>
      <c r="AC198" s="168">
        <f t="shared" si="344"/>
        <v>0</v>
      </c>
      <c r="AD198" s="168">
        <f t="shared" si="344"/>
        <v>0</v>
      </c>
      <c r="AE198" s="168">
        <f t="shared" si="344"/>
        <v>0</v>
      </c>
      <c r="AF198" s="168">
        <f t="shared" si="344"/>
        <v>0</v>
      </c>
      <c r="AG198" s="168">
        <f t="shared" si="344"/>
        <v>0</v>
      </c>
      <c r="AH198" s="168">
        <f t="shared" si="344"/>
        <v>0</v>
      </c>
      <c r="AI198" s="168">
        <f t="shared" si="344"/>
        <v>0</v>
      </c>
      <c r="AJ198" s="168">
        <f t="shared" si="344"/>
        <v>0</v>
      </c>
      <c r="AK198" s="168">
        <f t="shared" si="344"/>
        <v>0</v>
      </c>
      <c r="AL198" s="168">
        <f t="shared" si="344"/>
        <v>0</v>
      </c>
      <c r="AM198" s="168">
        <f t="shared" si="344"/>
        <v>0</v>
      </c>
      <c r="AN198" s="168">
        <f t="shared" si="344"/>
        <v>0</v>
      </c>
      <c r="AO198" s="168">
        <f t="shared" si="344"/>
        <v>0</v>
      </c>
      <c r="AP198" s="168">
        <f t="shared" si="344"/>
        <v>0</v>
      </c>
      <c r="AQ198" s="168">
        <f t="shared" si="344"/>
        <v>0</v>
      </c>
      <c r="AR198" s="168">
        <f t="shared" si="344"/>
        <v>0</v>
      </c>
      <c r="AS198" s="168">
        <f t="shared" si="344"/>
        <v>0</v>
      </c>
      <c r="AT198" s="168">
        <f t="shared" si="344"/>
        <v>0</v>
      </c>
      <c r="AU198" s="168">
        <f t="shared" si="344"/>
        <v>0</v>
      </c>
      <c r="AV198" s="168">
        <f t="shared" si="344"/>
        <v>0</v>
      </c>
      <c r="AW198" s="168">
        <f t="shared" si="344"/>
        <v>0</v>
      </c>
      <c r="AX198" s="168">
        <f t="shared" si="344"/>
        <v>0</v>
      </c>
      <c r="AY198" s="168">
        <f t="shared" si="344"/>
        <v>0</v>
      </c>
      <c r="AZ198" s="168">
        <f t="shared" si="344"/>
        <v>0</v>
      </c>
      <c r="BA198" s="168">
        <f t="shared" si="344"/>
        <v>0</v>
      </c>
      <c r="BB198" s="168">
        <f t="shared" si="344"/>
        <v>0</v>
      </c>
      <c r="BC198" s="168">
        <f t="shared" si="344"/>
        <v>0</v>
      </c>
      <c r="BD198" s="168">
        <f t="shared" si="344"/>
        <v>0</v>
      </c>
      <c r="BE198" s="168">
        <f t="shared" si="344"/>
        <v>0</v>
      </c>
      <c r="BF198" s="168">
        <f t="shared" si="344"/>
        <v>0</v>
      </c>
      <c r="BG198" s="168">
        <f t="shared" si="344"/>
        <v>0</v>
      </c>
      <c r="BH198" s="168">
        <f t="shared" si="344"/>
        <v>0</v>
      </c>
      <c r="BI198" s="168">
        <f t="shared" si="344"/>
        <v>0</v>
      </c>
      <c r="BJ198" s="168">
        <f t="shared" si="344"/>
        <v>0</v>
      </c>
      <c r="BK198" s="168">
        <f t="shared" si="344"/>
        <v>0</v>
      </c>
      <c r="BL198" s="168">
        <f t="shared" si="344"/>
        <v>0</v>
      </c>
      <c r="BM198" s="168">
        <f t="shared" si="344"/>
        <v>0</v>
      </c>
      <c r="BN198" s="168">
        <f t="shared" si="344"/>
        <v>0</v>
      </c>
      <c r="BO198" s="168">
        <f t="shared" ref="BO198:CE198" si="345">BO111-BO25</f>
        <v>0</v>
      </c>
      <c r="BP198" s="168">
        <f t="shared" si="345"/>
        <v>0</v>
      </c>
      <c r="BQ198" s="168">
        <f t="shared" si="345"/>
        <v>0</v>
      </c>
      <c r="BR198" s="168">
        <f t="shared" si="345"/>
        <v>0</v>
      </c>
      <c r="BS198" s="168">
        <f t="shared" si="345"/>
        <v>0</v>
      </c>
      <c r="BT198" s="168">
        <f t="shared" si="345"/>
        <v>0</v>
      </c>
      <c r="BU198" s="168">
        <f t="shared" si="345"/>
        <v>0</v>
      </c>
      <c r="BV198" s="168">
        <f t="shared" si="345"/>
        <v>0</v>
      </c>
      <c r="BW198" s="168">
        <f t="shared" si="345"/>
        <v>0</v>
      </c>
      <c r="BX198" s="168">
        <f t="shared" si="345"/>
        <v>0</v>
      </c>
      <c r="BY198" s="168">
        <f t="shared" si="345"/>
        <v>0</v>
      </c>
      <c r="BZ198" s="168">
        <f t="shared" si="345"/>
        <v>0</v>
      </c>
      <c r="CA198" s="168">
        <f t="shared" si="345"/>
        <v>0</v>
      </c>
      <c r="CB198" s="168">
        <f t="shared" si="345"/>
        <v>0</v>
      </c>
      <c r="CC198" s="168">
        <f t="shared" si="345"/>
        <v>0</v>
      </c>
      <c r="CD198" s="168">
        <f t="shared" si="345"/>
        <v>0</v>
      </c>
      <c r="CE198" s="168">
        <f t="shared" si="345"/>
        <v>0</v>
      </c>
    </row>
    <row r="199" spans="1:83" ht="15.5">
      <c r="A199" s="160">
        <v>7</v>
      </c>
      <c r="B199" s="162" t="s">
        <v>139</v>
      </c>
      <c r="C199" s="168">
        <f t="shared" ref="C199:BN199" si="346">C112-C26</f>
        <v>0</v>
      </c>
      <c r="D199" s="168">
        <f t="shared" si="346"/>
        <v>0</v>
      </c>
      <c r="E199" s="168">
        <f t="shared" si="346"/>
        <v>0</v>
      </c>
      <c r="F199" s="168">
        <f t="shared" si="346"/>
        <v>0</v>
      </c>
      <c r="G199" s="168">
        <f t="shared" si="346"/>
        <v>0</v>
      </c>
      <c r="H199" s="168">
        <f t="shared" si="346"/>
        <v>0</v>
      </c>
      <c r="I199" s="168">
        <f t="shared" si="346"/>
        <v>0</v>
      </c>
      <c r="J199" s="168">
        <f t="shared" si="346"/>
        <v>0</v>
      </c>
      <c r="K199" s="168">
        <f t="shared" si="346"/>
        <v>0</v>
      </c>
      <c r="L199" s="168">
        <f t="shared" si="346"/>
        <v>0</v>
      </c>
      <c r="M199" s="168">
        <f t="shared" si="346"/>
        <v>0</v>
      </c>
      <c r="N199" s="168">
        <f t="shared" si="346"/>
        <v>0</v>
      </c>
      <c r="O199" s="168">
        <f t="shared" si="346"/>
        <v>0</v>
      </c>
      <c r="P199" s="168">
        <f t="shared" si="346"/>
        <v>0</v>
      </c>
      <c r="Q199" s="168">
        <f t="shared" si="346"/>
        <v>0</v>
      </c>
      <c r="R199" s="168">
        <f t="shared" si="346"/>
        <v>0</v>
      </c>
      <c r="S199" s="168">
        <f t="shared" si="346"/>
        <v>0</v>
      </c>
      <c r="T199" s="168">
        <f t="shared" si="346"/>
        <v>0</v>
      </c>
      <c r="U199" s="168">
        <f t="shared" si="346"/>
        <v>0</v>
      </c>
      <c r="V199" s="168">
        <f t="shared" si="346"/>
        <v>0</v>
      </c>
      <c r="W199" s="168">
        <f t="shared" si="346"/>
        <v>0</v>
      </c>
      <c r="X199" s="168">
        <f t="shared" si="346"/>
        <v>0</v>
      </c>
      <c r="Y199" s="168">
        <f t="shared" si="346"/>
        <v>0</v>
      </c>
      <c r="Z199" s="168">
        <f t="shared" si="346"/>
        <v>0</v>
      </c>
      <c r="AA199" s="168">
        <f t="shared" si="346"/>
        <v>0</v>
      </c>
      <c r="AB199" s="168">
        <f t="shared" si="346"/>
        <v>0</v>
      </c>
      <c r="AC199" s="168">
        <f t="shared" si="346"/>
        <v>0</v>
      </c>
      <c r="AD199" s="168">
        <f t="shared" si="346"/>
        <v>0</v>
      </c>
      <c r="AE199" s="168">
        <f t="shared" si="346"/>
        <v>0</v>
      </c>
      <c r="AF199" s="168">
        <f t="shared" si="346"/>
        <v>0</v>
      </c>
      <c r="AG199" s="168">
        <f t="shared" si="346"/>
        <v>0</v>
      </c>
      <c r="AH199" s="168">
        <f t="shared" si="346"/>
        <v>0</v>
      </c>
      <c r="AI199" s="168">
        <f t="shared" si="346"/>
        <v>0</v>
      </c>
      <c r="AJ199" s="168">
        <f t="shared" si="346"/>
        <v>0</v>
      </c>
      <c r="AK199" s="168">
        <f t="shared" si="346"/>
        <v>0</v>
      </c>
      <c r="AL199" s="168">
        <f t="shared" si="346"/>
        <v>0</v>
      </c>
      <c r="AM199" s="168">
        <f t="shared" si="346"/>
        <v>0</v>
      </c>
      <c r="AN199" s="168">
        <f t="shared" si="346"/>
        <v>0</v>
      </c>
      <c r="AO199" s="168">
        <f t="shared" si="346"/>
        <v>0</v>
      </c>
      <c r="AP199" s="168">
        <f t="shared" si="346"/>
        <v>0</v>
      </c>
      <c r="AQ199" s="168">
        <f t="shared" si="346"/>
        <v>0</v>
      </c>
      <c r="AR199" s="168">
        <f t="shared" si="346"/>
        <v>0</v>
      </c>
      <c r="AS199" s="168">
        <f t="shared" si="346"/>
        <v>0</v>
      </c>
      <c r="AT199" s="168">
        <f t="shared" si="346"/>
        <v>0</v>
      </c>
      <c r="AU199" s="168">
        <f t="shared" si="346"/>
        <v>0</v>
      </c>
      <c r="AV199" s="168">
        <f t="shared" si="346"/>
        <v>0</v>
      </c>
      <c r="AW199" s="168">
        <f t="shared" si="346"/>
        <v>0</v>
      </c>
      <c r="AX199" s="168">
        <f t="shared" si="346"/>
        <v>0</v>
      </c>
      <c r="AY199" s="168">
        <f t="shared" si="346"/>
        <v>0</v>
      </c>
      <c r="AZ199" s="168">
        <f t="shared" si="346"/>
        <v>0</v>
      </c>
      <c r="BA199" s="168">
        <f t="shared" si="346"/>
        <v>0</v>
      </c>
      <c r="BB199" s="168">
        <f t="shared" si="346"/>
        <v>0</v>
      </c>
      <c r="BC199" s="168">
        <f t="shared" si="346"/>
        <v>0</v>
      </c>
      <c r="BD199" s="168">
        <f t="shared" si="346"/>
        <v>0</v>
      </c>
      <c r="BE199" s="168">
        <f t="shared" si="346"/>
        <v>0</v>
      </c>
      <c r="BF199" s="168">
        <f t="shared" si="346"/>
        <v>0</v>
      </c>
      <c r="BG199" s="168">
        <f t="shared" si="346"/>
        <v>0</v>
      </c>
      <c r="BH199" s="168">
        <f t="shared" si="346"/>
        <v>0</v>
      </c>
      <c r="BI199" s="168">
        <f t="shared" si="346"/>
        <v>0</v>
      </c>
      <c r="BJ199" s="168">
        <f t="shared" si="346"/>
        <v>0</v>
      </c>
      <c r="BK199" s="168">
        <f t="shared" si="346"/>
        <v>0</v>
      </c>
      <c r="BL199" s="168">
        <f t="shared" si="346"/>
        <v>0</v>
      </c>
      <c r="BM199" s="168">
        <f t="shared" si="346"/>
        <v>0</v>
      </c>
      <c r="BN199" s="168">
        <f t="shared" si="346"/>
        <v>0</v>
      </c>
      <c r="BO199" s="168">
        <f t="shared" ref="BO199:CE199" si="347">BO112-BO26</f>
        <v>0</v>
      </c>
      <c r="BP199" s="168">
        <f t="shared" si="347"/>
        <v>0</v>
      </c>
      <c r="BQ199" s="168">
        <f t="shared" si="347"/>
        <v>0</v>
      </c>
      <c r="BR199" s="168">
        <f t="shared" si="347"/>
        <v>0</v>
      </c>
      <c r="BS199" s="168">
        <f t="shared" si="347"/>
        <v>0</v>
      </c>
      <c r="BT199" s="168">
        <f t="shared" si="347"/>
        <v>0</v>
      </c>
      <c r="BU199" s="168">
        <f t="shared" si="347"/>
        <v>0</v>
      </c>
      <c r="BV199" s="168">
        <f t="shared" si="347"/>
        <v>0</v>
      </c>
      <c r="BW199" s="168">
        <f t="shared" si="347"/>
        <v>0</v>
      </c>
      <c r="BX199" s="168">
        <f t="shared" si="347"/>
        <v>0</v>
      </c>
      <c r="BY199" s="168">
        <f t="shared" si="347"/>
        <v>0</v>
      </c>
      <c r="BZ199" s="168">
        <f t="shared" si="347"/>
        <v>0</v>
      </c>
      <c r="CA199" s="168">
        <f t="shared" si="347"/>
        <v>0</v>
      </c>
      <c r="CB199" s="168">
        <f t="shared" si="347"/>
        <v>0</v>
      </c>
      <c r="CC199" s="168">
        <f t="shared" si="347"/>
        <v>0</v>
      </c>
      <c r="CD199" s="168">
        <f t="shared" si="347"/>
        <v>0</v>
      </c>
      <c r="CE199" s="168">
        <f t="shared" si="347"/>
        <v>0</v>
      </c>
    </row>
    <row r="200" spans="1:83" ht="15.5">
      <c r="A200" s="160">
        <v>7</v>
      </c>
      <c r="B200" s="163" t="s">
        <v>140</v>
      </c>
      <c r="C200" s="168">
        <f t="shared" ref="C200:BN200" si="348">C113-C27</f>
        <v>0</v>
      </c>
      <c r="D200" s="168">
        <f t="shared" si="348"/>
        <v>0</v>
      </c>
      <c r="E200" s="168">
        <f t="shared" si="348"/>
        <v>0</v>
      </c>
      <c r="F200" s="168">
        <f t="shared" si="348"/>
        <v>0</v>
      </c>
      <c r="G200" s="168">
        <f t="shared" si="348"/>
        <v>0</v>
      </c>
      <c r="H200" s="168">
        <f t="shared" si="348"/>
        <v>0</v>
      </c>
      <c r="I200" s="168">
        <f t="shared" si="348"/>
        <v>0</v>
      </c>
      <c r="J200" s="168">
        <f t="shared" si="348"/>
        <v>0</v>
      </c>
      <c r="K200" s="168">
        <f t="shared" si="348"/>
        <v>0</v>
      </c>
      <c r="L200" s="168">
        <f t="shared" si="348"/>
        <v>0</v>
      </c>
      <c r="M200" s="168">
        <f t="shared" si="348"/>
        <v>0</v>
      </c>
      <c r="N200" s="168">
        <f t="shared" si="348"/>
        <v>0</v>
      </c>
      <c r="O200" s="168">
        <f t="shared" si="348"/>
        <v>0</v>
      </c>
      <c r="P200" s="168">
        <f t="shared" si="348"/>
        <v>0</v>
      </c>
      <c r="Q200" s="168">
        <f t="shared" si="348"/>
        <v>0</v>
      </c>
      <c r="R200" s="168">
        <f t="shared" si="348"/>
        <v>0</v>
      </c>
      <c r="S200" s="168">
        <f t="shared" si="348"/>
        <v>0</v>
      </c>
      <c r="T200" s="168">
        <f t="shared" si="348"/>
        <v>0</v>
      </c>
      <c r="U200" s="168">
        <f t="shared" si="348"/>
        <v>0</v>
      </c>
      <c r="V200" s="168">
        <f t="shared" si="348"/>
        <v>0</v>
      </c>
      <c r="W200" s="168">
        <f t="shared" si="348"/>
        <v>0</v>
      </c>
      <c r="X200" s="168">
        <f t="shared" si="348"/>
        <v>0</v>
      </c>
      <c r="Y200" s="168">
        <f t="shared" si="348"/>
        <v>0</v>
      </c>
      <c r="Z200" s="168">
        <f t="shared" si="348"/>
        <v>0</v>
      </c>
      <c r="AA200" s="168">
        <f t="shared" si="348"/>
        <v>0</v>
      </c>
      <c r="AB200" s="168">
        <f t="shared" si="348"/>
        <v>0</v>
      </c>
      <c r="AC200" s="168">
        <f t="shared" si="348"/>
        <v>0</v>
      </c>
      <c r="AD200" s="168">
        <f t="shared" si="348"/>
        <v>0</v>
      </c>
      <c r="AE200" s="168">
        <f t="shared" si="348"/>
        <v>0</v>
      </c>
      <c r="AF200" s="168">
        <f t="shared" si="348"/>
        <v>0</v>
      </c>
      <c r="AG200" s="168">
        <f t="shared" si="348"/>
        <v>0</v>
      </c>
      <c r="AH200" s="168">
        <f t="shared" si="348"/>
        <v>0</v>
      </c>
      <c r="AI200" s="168">
        <f t="shared" si="348"/>
        <v>0</v>
      </c>
      <c r="AJ200" s="168">
        <f t="shared" si="348"/>
        <v>0</v>
      </c>
      <c r="AK200" s="168">
        <f t="shared" si="348"/>
        <v>0</v>
      </c>
      <c r="AL200" s="168">
        <f t="shared" si="348"/>
        <v>0</v>
      </c>
      <c r="AM200" s="168">
        <f t="shared" si="348"/>
        <v>0</v>
      </c>
      <c r="AN200" s="168">
        <f t="shared" si="348"/>
        <v>0</v>
      </c>
      <c r="AO200" s="168">
        <f t="shared" si="348"/>
        <v>0</v>
      </c>
      <c r="AP200" s="168">
        <f t="shared" si="348"/>
        <v>0</v>
      </c>
      <c r="AQ200" s="168">
        <f t="shared" si="348"/>
        <v>0</v>
      </c>
      <c r="AR200" s="168">
        <f t="shared" si="348"/>
        <v>0</v>
      </c>
      <c r="AS200" s="168">
        <f t="shared" si="348"/>
        <v>0</v>
      </c>
      <c r="AT200" s="168">
        <f t="shared" si="348"/>
        <v>0</v>
      </c>
      <c r="AU200" s="168">
        <f t="shared" si="348"/>
        <v>0</v>
      </c>
      <c r="AV200" s="168">
        <f t="shared" si="348"/>
        <v>0</v>
      </c>
      <c r="AW200" s="168">
        <f t="shared" si="348"/>
        <v>0</v>
      </c>
      <c r="AX200" s="168">
        <f t="shared" si="348"/>
        <v>0</v>
      </c>
      <c r="AY200" s="168">
        <f t="shared" si="348"/>
        <v>0</v>
      </c>
      <c r="AZ200" s="168">
        <f t="shared" si="348"/>
        <v>0</v>
      </c>
      <c r="BA200" s="168">
        <f t="shared" si="348"/>
        <v>0</v>
      </c>
      <c r="BB200" s="168">
        <f t="shared" si="348"/>
        <v>0</v>
      </c>
      <c r="BC200" s="168">
        <f t="shared" si="348"/>
        <v>0</v>
      </c>
      <c r="BD200" s="168">
        <f t="shared" si="348"/>
        <v>0</v>
      </c>
      <c r="BE200" s="168">
        <f t="shared" si="348"/>
        <v>0</v>
      </c>
      <c r="BF200" s="168">
        <f t="shared" si="348"/>
        <v>0</v>
      </c>
      <c r="BG200" s="168">
        <f t="shared" si="348"/>
        <v>0</v>
      </c>
      <c r="BH200" s="168">
        <f t="shared" si="348"/>
        <v>0</v>
      </c>
      <c r="BI200" s="168">
        <f t="shared" si="348"/>
        <v>0</v>
      </c>
      <c r="BJ200" s="168">
        <f t="shared" si="348"/>
        <v>0</v>
      </c>
      <c r="BK200" s="168">
        <f t="shared" si="348"/>
        <v>0</v>
      </c>
      <c r="BL200" s="168">
        <f t="shared" si="348"/>
        <v>0</v>
      </c>
      <c r="BM200" s="168">
        <f t="shared" si="348"/>
        <v>0</v>
      </c>
      <c r="BN200" s="168">
        <f t="shared" si="348"/>
        <v>0</v>
      </c>
      <c r="BO200" s="168">
        <f t="shared" ref="BO200:CE200" si="349">BO113-BO27</f>
        <v>0</v>
      </c>
      <c r="BP200" s="168">
        <f t="shared" si="349"/>
        <v>0</v>
      </c>
      <c r="BQ200" s="168">
        <f t="shared" si="349"/>
        <v>0</v>
      </c>
      <c r="BR200" s="168">
        <f t="shared" si="349"/>
        <v>0</v>
      </c>
      <c r="BS200" s="168">
        <f t="shared" si="349"/>
        <v>0</v>
      </c>
      <c r="BT200" s="168">
        <f t="shared" si="349"/>
        <v>0</v>
      </c>
      <c r="BU200" s="168">
        <f t="shared" si="349"/>
        <v>0</v>
      </c>
      <c r="BV200" s="168">
        <f t="shared" si="349"/>
        <v>0</v>
      </c>
      <c r="BW200" s="168">
        <f t="shared" si="349"/>
        <v>0</v>
      </c>
      <c r="BX200" s="168">
        <f t="shared" si="349"/>
        <v>0</v>
      </c>
      <c r="BY200" s="168">
        <f t="shared" si="349"/>
        <v>0</v>
      </c>
      <c r="BZ200" s="168">
        <f t="shared" si="349"/>
        <v>0</v>
      </c>
      <c r="CA200" s="168">
        <f t="shared" si="349"/>
        <v>0</v>
      </c>
      <c r="CB200" s="168">
        <f t="shared" si="349"/>
        <v>0</v>
      </c>
      <c r="CC200" s="168">
        <f t="shared" si="349"/>
        <v>0</v>
      </c>
      <c r="CD200" s="168">
        <f t="shared" si="349"/>
        <v>0</v>
      </c>
      <c r="CE200" s="168">
        <f t="shared" si="349"/>
        <v>0</v>
      </c>
    </row>
    <row r="201" spans="1:83" ht="15.5">
      <c r="A201" s="160">
        <v>7</v>
      </c>
      <c r="B201" s="164" t="s">
        <v>195</v>
      </c>
      <c r="C201" s="168">
        <f t="shared" ref="C201:BN201" si="350">C114-C28</f>
        <v>0</v>
      </c>
      <c r="D201" s="168">
        <f t="shared" si="350"/>
        <v>0</v>
      </c>
      <c r="E201" s="168">
        <f t="shared" si="350"/>
        <v>0</v>
      </c>
      <c r="F201" s="168">
        <f t="shared" si="350"/>
        <v>0</v>
      </c>
      <c r="G201" s="168">
        <f t="shared" si="350"/>
        <v>0</v>
      </c>
      <c r="H201" s="168">
        <f t="shared" si="350"/>
        <v>0</v>
      </c>
      <c r="I201" s="168">
        <f t="shared" si="350"/>
        <v>0</v>
      </c>
      <c r="J201" s="168">
        <f t="shared" si="350"/>
        <v>0</v>
      </c>
      <c r="K201" s="168">
        <f t="shared" si="350"/>
        <v>0</v>
      </c>
      <c r="L201" s="168">
        <f t="shared" si="350"/>
        <v>0</v>
      </c>
      <c r="M201" s="168">
        <f t="shared" si="350"/>
        <v>0</v>
      </c>
      <c r="N201" s="168">
        <f t="shared" si="350"/>
        <v>0</v>
      </c>
      <c r="O201" s="168">
        <f t="shared" si="350"/>
        <v>0</v>
      </c>
      <c r="P201" s="168">
        <f t="shared" si="350"/>
        <v>0</v>
      </c>
      <c r="Q201" s="168">
        <f t="shared" si="350"/>
        <v>0</v>
      </c>
      <c r="R201" s="168">
        <f t="shared" si="350"/>
        <v>0</v>
      </c>
      <c r="S201" s="168">
        <f t="shared" si="350"/>
        <v>0</v>
      </c>
      <c r="T201" s="168">
        <f t="shared" si="350"/>
        <v>0</v>
      </c>
      <c r="U201" s="168">
        <f t="shared" si="350"/>
        <v>0</v>
      </c>
      <c r="V201" s="168">
        <f t="shared" si="350"/>
        <v>0</v>
      </c>
      <c r="W201" s="168">
        <f t="shared" si="350"/>
        <v>0</v>
      </c>
      <c r="X201" s="168">
        <f t="shared" si="350"/>
        <v>0</v>
      </c>
      <c r="Y201" s="168">
        <f t="shared" si="350"/>
        <v>0</v>
      </c>
      <c r="Z201" s="168">
        <f t="shared" si="350"/>
        <v>0</v>
      </c>
      <c r="AA201" s="168">
        <f t="shared" si="350"/>
        <v>0</v>
      </c>
      <c r="AB201" s="168">
        <f t="shared" si="350"/>
        <v>0</v>
      </c>
      <c r="AC201" s="168">
        <f t="shared" si="350"/>
        <v>0</v>
      </c>
      <c r="AD201" s="168">
        <f t="shared" si="350"/>
        <v>0</v>
      </c>
      <c r="AE201" s="168">
        <f t="shared" si="350"/>
        <v>0</v>
      </c>
      <c r="AF201" s="168">
        <f t="shared" si="350"/>
        <v>0</v>
      </c>
      <c r="AG201" s="168">
        <f t="shared" si="350"/>
        <v>0</v>
      </c>
      <c r="AH201" s="168">
        <f t="shared" si="350"/>
        <v>0</v>
      </c>
      <c r="AI201" s="168">
        <f t="shared" si="350"/>
        <v>0</v>
      </c>
      <c r="AJ201" s="168">
        <f t="shared" si="350"/>
        <v>0</v>
      </c>
      <c r="AK201" s="168">
        <f t="shared" si="350"/>
        <v>0</v>
      </c>
      <c r="AL201" s="168">
        <f t="shared" si="350"/>
        <v>0</v>
      </c>
      <c r="AM201" s="168">
        <f t="shared" si="350"/>
        <v>0</v>
      </c>
      <c r="AN201" s="168">
        <f t="shared" si="350"/>
        <v>0</v>
      </c>
      <c r="AO201" s="168">
        <f t="shared" si="350"/>
        <v>0</v>
      </c>
      <c r="AP201" s="168">
        <f t="shared" si="350"/>
        <v>0</v>
      </c>
      <c r="AQ201" s="168">
        <f t="shared" si="350"/>
        <v>0</v>
      </c>
      <c r="AR201" s="168">
        <f t="shared" si="350"/>
        <v>0</v>
      </c>
      <c r="AS201" s="168">
        <f t="shared" si="350"/>
        <v>0</v>
      </c>
      <c r="AT201" s="168">
        <f t="shared" si="350"/>
        <v>0</v>
      </c>
      <c r="AU201" s="168">
        <f t="shared" si="350"/>
        <v>0</v>
      </c>
      <c r="AV201" s="168">
        <f t="shared" si="350"/>
        <v>0</v>
      </c>
      <c r="AW201" s="168">
        <f t="shared" si="350"/>
        <v>0</v>
      </c>
      <c r="AX201" s="168">
        <f t="shared" si="350"/>
        <v>0</v>
      </c>
      <c r="AY201" s="168">
        <f t="shared" si="350"/>
        <v>0</v>
      </c>
      <c r="AZ201" s="168">
        <f t="shared" si="350"/>
        <v>0</v>
      </c>
      <c r="BA201" s="168">
        <f t="shared" si="350"/>
        <v>0</v>
      </c>
      <c r="BB201" s="168">
        <f t="shared" si="350"/>
        <v>0</v>
      </c>
      <c r="BC201" s="168">
        <f t="shared" si="350"/>
        <v>0</v>
      </c>
      <c r="BD201" s="168">
        <f t="shared" si="350"/>
        <v>0</v>
      </c>
      <c r="BE201" s="168">
        <f t="shared" si="350"/>
        <v>0</v>
      </c>
      <c r="BF201" s="168">
        <f t="shared" si="350"/>
        <v>0</v>
      </c>
      <c r="BG201" s="168">
        <f t="shared" si="350"/>
        <v>0</v>
      </c>
      <c r="BH201" s="168">
        <f t="shared" si="350"/>
        <v>0</v>
      </c>
      <c r="BI201" s="168">
        <f t="shared" si="350"/>
        <v>0</v>
      </c>
      <c r="BJ201" s="168">
        <f t="shared" si="350"/>
        <v>0</v>
      </c>
      <c r="BK201" s="168">
        <f t="shared" si="350"/>
        <v>0</v>
      </c>
      <c r="BL201" s="168">
        <f t="shared" si="350"/>
        <v>0</v>
      </c>
      <c r="BM201" s="168">
        <f t="shared" si="350"/>
        <v>0</v>
      </c>
      <c r="BN201" s="168">
        <f t="shared" si="350"/>
        <v>0</v>
      </c>
      <c r="BO201" s="168">
        <f t="shared" ref="BO201:CE201" si="351">BO114-BO28</f>
        <v>0</v>
      </c>
      <c r="BP201" s="168">
        <f t="shared" si="351"/>
        <v>0</v>
      </c>
      <c r="BQ201" s="168">
        <f t="shared" si="351"/>
        <v>0</v>
      </c>
      <c r="BR201" s="168">
        <f t="shared" si="351"/>
        <v>0</v>
      </c>
      <c r="BS201" s="168">
        <f t="shared" si="351"/>
        <v>0</v>
      </c>
      <c r="BT201" s="168">
        <f t="shared" si="351"/>
        <v>0</v>
      </c>
      <c r="BU201" s="168">
        <f t="shared" si="351"/>
        <v>0</v>
      </c>
      <c r="BV201" s="168">
        <f t="shared" si="351"/>
        <v>0</v>
      </c>
      <c r="BW201" s="168">
        <f t="shared" si="351"/>
        <v>0</v>
      </c>
      <c r="BX201" s="168">
        <f t="shared" si="351"/>
        <v>0</v>
      </c>
      <c r="BY201" s="168">
        <f t="shared" si="351"/>
        <v>0</v>
      </c>
      <c r="BZ201" s="168">
        <f t="shared" si="351"/>
        <v>0</v>
      </c>
      <c r="CA201" s="168">
        <f t="shared" si="351"/>
        <v>0</v>
      </c>
      <c r="CB201" s="168">
        <f t="shared" si="351"/>
        <v>0</v>
      </c>
      <c r="CC201" s="168">
        <f t="shared" si="351"/>
        <v>0</v>
      </c>
      <c r="CD201" s="168">
        <f t="shared" si="351"/>
        <v>0</v>
      </c>
      <c r="CE201" s="168">
        <f t="shared" si="351"/>
        <v>0</v>
      </c>
    </row>
    <row r="202" spans="1:83" ht="15.5">
      <c r="A202" s="160">
        <v>7</v>
      </c>
      <c r="B202" s="165" t="s">
        <v>196</v>
      </c>
      <c r="C202" s="168">
        <f t="shared" ref="C202:BN202" si="352">C115-C29</f>
        <v>0</v>
      </c>
      <c r="D202" s="168">
        <f t="shared" si="352"/>
        <v>0</v>
      </c>
      <c r="E202" s="168">
        <f t="shared" si="352"/>
        <v>0</v>
      </c>
      <c r="F202" s="168">
        <f t="shared" si="352"/>
        <v>0</v>
      </c>
      <c r="G202" s="168">
        <f t="shared" si="352"/>
        <v>0</v>
      </c>
      <c r="H202" s="168">
        <f t="shared" si="352"/>
        <v>0</v>
      </c>
      <c r="I202" s="168">
        <f t="shared" si="352"/>
        <v>0</v>
      </c>
      <c r="J202" s="168">
        <f t="shared" si="352"/>
        <v>0</v>
      </c>
      <c r="K202" s="168">
        <f t="shared" si="352"/>
        <v>0</v>
      </c>
      <c r="L202" s="168">
        <f t="shared" si="352"/>
        <v>0</v>
      </c>
      <c r="M202" s="168">
        <f t="shared" si="352"/>
        <v>0</v>
      </c>
      <c r="N202" s="168">
        <f t="shared" si="352"/>
        <v>0</v>
      </c>
      <c r="O202" s="168">
        <f t="shared" si="352"/>
        <v>0</v>
      </c>
      <c r="P202" s="168">
        <f t="shared" si="352"/>
        <v>0</v>
      </c>
      <c r="Q202" s="168">
        <f t="shared" si="352"/>
        <v>0</v>
      </c>
      <c r="R202" s="168">
        <f t="shared" si="352"/>
        <v>0</v>
      </c>
      <c r="S202" s="168">
        <f t="shared" si="352"/>
        <v>0</v>
      </c>
      <c r="T202" s="168">
        <f t="shared" si="352"/>
        <v>0</v>
      </c>
      <c r="U202" s="168">
        <f t="shared" si="352"/>
        <v>0</v>
      </c>
      <c r="V202" s="168">
        <f t="shared" si="352"/>
        <v>0</v>
      </c>
      <c r="W202" s="168">
        <f t="shared" si="352"/>
        <v>0</v>
      </c>
      <c r="X202" s="168">
        <f t="shared" si="352"/>
        <v>0</v>
      </c>
      <c r="Y202" s="168">
        <f t="shared" si="352"/>
        <v>0</v>
      </c>
      <c r="Z202" s="168">
        <f t="shared" si="352"/>
        <v>0</v>
      </c>
      <c r="AA202" s="168">
        <f t="shared" si="352"/>
        <v>0</v>
      </c>
      <c r="AB202" s="168">
        <f t="shared" si="352"/>
        <v>0</v>
      </c>
      <c r="AC202" s="168">
        <f t="shared" si="352"/>
        <v>0</v>
      </c>
      <c r="AD202" s="168">
        <f t="shared" si="352"/>
        <v>0</v>
      </c>
      <c r="AE202" s="168">
        <f t="shared" si="352"/>
        <v>0</v>
      </c>
      <c r="AF202" s="168">
        <f t="shared" si="352"/>
        <v>0</v>
      </c>
      <c r="AG202" s="168">
        <f t="shared" si="352"/>
        <v>0</v>
      </c>
      <c r="AH202" s="168">
        <f t="shared" si="352"/>
        <v>0</v>
      </c>
      <c r="AI202" s="168">
        <f t="shared" si="352"/>
        <v>0</v>
      </c>
      <c r="AJ202" s="168">
        <f t="shared" si="352"/>
        <v>0</v>
      </c>
      <c r="AK202" s="168">
        <f t="shared" si="352"/>
        <v>0</v>
      </c>
      <c r="AL202" s="168">
        <f t="shared" si="352"/>
        <v>0</v>
      </c>
      <c r="AM202" s="168">
        <f t="shared" si="352"/>
        <v>0</v>
      </c>
      <c r="AN202" s="168">
        <f t="shared" si="352"/>
        <v>0</v>
      </c>
      <c r="AO202" s="168">
        <f t="shared" si="352"/>
        <v>0</v>
      </c>
      <c r="AP202" s="168">
        <f t="shared" si="352"/>
        <v>0</v>
      </c>
      <c r="AQ202" s="168">
        <f t="shared" si="352"/>
        <v>0</v>
      </c>
      <c r="AR202" s="168">
        <f t="shared" si="352"/>
        <v>0</v>
      </c>
      <c r="AS202" s="168">
        <f t="shared" si="352"/>
        <v>0</v>
      </c>
      <c r="AT202" s="168">
        <f t="shared" si="352"/>
        <v>0</v>
      </c>
      <c r="AU202" s="168">
        <f t="shared" si="352"/>
        <v>0</v>
      </c>
      <c r="AV202" s="168">
        <f t="shared" si="352"/>
        <v>0</v>
      </c>
      <c r="AW202" s="168">
        <f t="shared" si="352"/>
        <v>0</v>
      </c>
      <c r="AX202" s="168">
        <f t="shared" si="352"/>
        <v>0</v>
      </c>
      <c r="AY202" s="168">
        <f t="shared" si="352"/>
        <v>0</v>
      </c>
      <c r="AZ202" s="168">
        <f t="shared" si="352"/>
        <v>0</v>
      </c>
      <c r="BA202" s="168">
        <f t="shared" si="352"/>
        <v>0</v>
      </c>
      <c r="BB202" s="168">
        <f t="shared" si="352"/>
        <v>0</v>
      </c>
      <c r="BC202" s="168">
        <f t="shared" si="352"/>
        <v>0</v>
      </c>
      <c r="BD202" s="168">
        <f t="shared" si="352"/>
        <v>0</v>
      </c>
      <c r="BE202" s="168">
        <f t="shared" si="352"/>
        <v>0</v>
      </c>
      <c r="BF202" s="168">
        <f t="shared" si="352"/>
        <v>0</v>
      </c>
      <c r="BG202" s="168">
        <f t="shared" si="352"/>
        <v>0</v>
      </c>
      <c r="BH202" s="168">
        <f t="shared" si="352"/>
        <v>0</v>
      </c>
      <c r="BI202" s="168">
        <f t="shared" si="352"/>
        <v>0</v>
      </c>
      <c r="BJ202" s="168">
        <f t="shared" si="352"/>
        <v>0</v>
      </c>
      <c r="BK202" s="168">
        <f t="shared" si="352"/>
        <v>0</v>
      </c>
      <c r="BL202" s="168">
        <f t="shared" si="352"/>
        <v>0</v>
      </c>
      <c r="BM202" s="168">
        <f t="shared" si="352"/>
        <v>0</v>
      </c>
      <c r="BN202" s="168">
        <f t="shared" si="352"/>
        <v>0</v>
      </c>
      <c r="BO202" s="168">
        <f t="shared" ref="BO202:CE202" si="353">BO115-BO29</f>
        <v>0</v>
      </c>
      <c r="BP202" s="168">
        <f t="shared" si="353"/>
        <v>0</v>
      </c>
      <c r="BQ202" s="168">
        <f t="shared" si="353"/>
        <v>0</v>
      </c>
      <c r="BR202" s="168">
        <f t="shared" si="353"/>
        <v>0</v>
      </c>
      <c r="BS202" s="168">
        <f t="shared" si="353"/>
        <v>0</v>
      </c>
      <c r="BT202" s="168">
        <f t="shared" si="353"/>
        <v>0</v>
      </c>
      <c r="BU202" s="168">
        <f t="shared" si="353"/>
        <v>0</v>
      </c>
      <c r="BV202" s="168">
        <f t="shared" si="353"/>
        <v>0</v>
      </c>
      <c r="BW202" s="168">
        <f t="shared" si="353"/>
        <v>0</v>
      </c>
      <c r="BX202" s="168">
        <f t="shared" si="353"/>
        <v>0</v>
      </c>
      <c r="BY202" s="168">
        <f t="shared" si="353"/>
        <v>0</v>
      </c>
      <c r="BZ202" s="168">
        <f t="shared" si="353"/>
        <v>0</v>
      </c>
      <c r="CA202" s="168">
        <f t="shared" si="353"/>
        <v>0</v>
      </c>
      <c r="CB202" s="168">
        <f t="shared" si="353"/>
        <v>0</v>
      </c>
      <c r="CC202" s="168">
        <f t="shared" si="353"/>
        <v>0</v>
      </c>
      <c r="CD202" s="168">
        <f t="shared" si="353"/>
        <v>0</v>
      </c>
      <c r="CE202" s="168">
        <f t="shared" si="353"/>
        <v>0</v>
      </c>
    </row>
    <row r="203" spans="1:83" ht="15.5">
      <c r="A203" s="166"/>
      <c r="B203" s="167"/>
      <c r="C203" s="168">
        <f t="shared" ref="C203:BN203" si="354">C116-C30</f>
        <v>0</v>
      </c>
      <c r="D203" s="168">
        <f t="shared" si="354"/>
        <v>0</v>
      </c>
      <c r="E203" s="168">
        <f t="shared" si="354"/>
        <v>0</v>
      </c>
      <c r="F203" s="168">
        <f t="shared" si="354"/>
        <v>0</v>
      </c>
      <c r="G203" s="168">
        <f t="shared" si="354"/>
        <v>0</v>
      </c>
      <c r="H203" s="168">
        <f t="shared" si="354"/>
        <v>0</v>
      </c>
      <c r="I203" s="168">
        <f t="shared" si="354"/>
        <v>0</v>
      </c>
      <c r="J203" s="168">
        <f t="shared" si="354"/>
        <v>0</v>
      </c>
      <c r="K203" s="168">
        <f t="shared" si="354"/>
        <v>0</v>
      </c>
      <c r="L203" s="168">
        <f t="shared" si="354"/>
        <v>0</v>
      </c>
      <c r="M203" s="168">
        <f t="shared" si="354"/>
        <v>0</v>
      </c>
      <c r="N203" s="168">
        <f t="shared" si="354"/>
        <v>0</v>
      </c>
      <c r="O203" s="168">
        <f t="shared" si="354"/>
        <v>0</v>
      </c>
      <c r="P203" s="168">
        <f t="shared" si="354"/>
        <v>0</v>
      </c>
      <c r="Q203" s="168">
        <f t="shared" si="354"/>
        <v>0</v>
      </c>
      <c r="R203" s="168">
        <f t="shared" si="354"/>
        <v>0</v>
      </c>
      <c r="S203" s="168">
        <f t="shared" si="354"/>
        <v>0</v>
      </c>
      <c r="T203" s="168">
        <f t="shared" si="354"/>
        <v>0</v>
      </c>
      <c r="U203" s="168">
        <f t="shared" si="354"/>
        <v>0</v>
      </c>
      <c r="V203" s="168">
        <f t="shared" si="354"/>
        <v>0</v>
      </c>
      <c r="W203" s="168">
        <f t="shared" si="354"/>
        <v>0</v>
      </c>
      <c r="X203" s="168">
        <f t="shared" si="354"/>
        <v>0</v>
      </c>
      <c r="Y203" s="168">
        <f t="shared" si="354"/>
        <v>0</v>
      </c>
      <c r="Z203" s="168">
        <f t="shared" si="354"/>
        <v>0</v>
      </c>
      <c r="AA203" s="168">
        <f t="shared" si="354"/>
        <v>0</v>
      </c>
      <c r="AB203" s="168">
        <f t="shared" si="354"/>
        <v>0</v>
      </c>
      <c r="AC203" s="168">
        <f t="shared" si="354"/>
        <v>0</v>
      </c>
      <c r="AD203" s="168">
        <f t="shared" si="354"/>
        <v>0</v>
      </c>
      <c r="AE203" s="168">
        <f t="shared" si="354"/>
        <v>0</v>
      </c>
      <c r="AF203" s="168">
        <f t="shared" si="354"/>
        <v>0</v>
      </c>
      <c r="AG203" s="168">
        <f t="shared" si="354"/>
        <v>0</v>
      </c>
      <c r="AH203" s="168">
        <f t="shared" si="354"/>
        <v>0</v>
      </c>
      <c r="AI203" s="168">
        <f t="shared" si="354"/>
        <v>0</v>
      </c>
      <c r="AJ203" s="168">
        <f t="shared" si="354"/>
        <v>0</v>
      </c>
      <c r="AK203" s="168">
        <f t="shared" si="354"/>
        <v>0</v>
      </c>
      <c r="AL203" s="168">
        <f t="shared" si="354"/>
        <v>0</v>
      </c>
      <c r="AM203" s="168">
        <f t="shared" si="354"/>
        <v>0</v>
      </c>
      <c r="AN203" s="168">
        <f t="shared" si="354"/>
        <v>0</v>
      </c>
      <c r="AO203" s="168">
        <f t="shared" si="354"/>
        <v>0</v>
      </c>
      <c r="AP203" s="168">
        <f t="shared" si="354"/>
        <v>0</v>
      </c>
      <c r="AQ203" s="168">
        <f t="shared" si="354"/>
        <v>0</v>
      </c>
      <c r="AR203" s="168">
        <f t="shared" si="354"/>
        <v>0</v>
      </c>
      <c r="AS203" s="168">
        <f t="shared" si="354"/>
        <v>0</v>
      </c>
      <c r="AT203" s="168">
        <f t="shared" si="354"/>
        <v>0</v>
      </c>
      <c r="AU203" s="168">
        <f t="shared" si="354"/>
        <v>0</v>
      </c>
      <c r="AV203" s="168">
        <f t="shared" si="354"/>
        <v>0</v>
      </c>
      <c r="AW203" s="168">
        <f t="shared" si="354"/>
        <v>0</v>
      </c>
      <c r="AX203" s="168">
        <f t="shared" si="354"/>
        <v>0</v>
      </c>
      <c r="AY203" s="168">
        <f t="shared" si="354"/>
        <v>0</v>
      </c>
      <c r="AZ203" s="168">
        <f t="shared" si="354"/>
        <v>0</v>
      </c>
      <c r="BA203" s="168">
        <f t="shared" si="354"/>
        <v>0</v>
      </c>
      <c r="BB203" s="168">
        <f t="shared" si="354"/>
        <v>0</v>
      </c>
      <c r="BC203" s="168">
        <f t="shared" si="354"/>
        <v>0</v>
      </c>
      <c r="BD203" s="168">
        <f t="shared" si="354"/>
        <v>0</v>
      </c>
      <c r="BE203" s="168">
        <f t="shared" si="354"/>
        <v>0</v>
      </c>
      <c r="BF203" s="168">
        <f t="shared" si="354"/>
        <v>0</v>
      </c>
      <c r="BG203" s="168">
        <f t="shared" si="354"/>
        <v>0</v>
      </c>
      <c r="BH203" s="168">
        <f t="shared" si="354"/>
        <v>0</v>
      </c>
      <c r="BI203" s="168">
        <f t="shared" si="354"/>
        <v>0</v>
      </c>
      <c r="BJ203" s="168">
        <f t="shared" si="354"/>
        <v>0</v>
      </c>
      <c r="BK203" s="168">
        <f t="shared" si="354"/>
        <v>0</v>
      </c>
      <c r="BL203" s="168">
        <f t="shared" si="354"/>
        <v>0</v>
      </c>
      <c r="BM203" s="168">
        <f t="shared" si="354"/>
        <v>0</v>
      </c>
      <c r="BN203" s="168">
        <f t="shared" si="354"/>
        <v>0</v>
      </c>
      <c r="BO203" s="168">
        <f t="shared" ref="BO203:CE203" si="355">BO116-BO30</f>
        <v>0</v>
      </c>
      <c r="BP203" s="168">
        <f t="shared" si="355"/>
        <v>0</v>
      </c>
      <c r="BQ203" s="168">
        <f t="shared" si="355"/>
        <v>0</v>
      </c>
      <c r="BR203" s="168">
        <f t="shared" si="355"/>
        <v>0</v>
      </c>
      <c r="BS203" s="168">
        <f t="shared" si="355"/>
        <v>0</v>
      </c>
      <c r="BT203" s="168">
        <f t="shared" si="355"/>
        <v>0</v>
      </c>
      <c r="BU203" s="168">
        <f t="shared" si="355"/>
        <v>0</v>
      </c>
      <c r="BV203" s="168">
        <f t="shared" si="355"/>
        <v>0</v>
      </c>
      <c r="BW203" s="168">
        <f t="shared" si="355"/>
        <v>0</v>
      </c>
      <c r="BX203" s="168">
        <f t="shared" si="355"/>
        <v>0</v>
      </c>
      <c r="BY203" s="168">
        <f t="shared" si="355"/>
        <v>0</v>
      </c>
      <c r="BZ203" s="168">
        <f t="shared" si="355"/>
        <v>0</v>
      </c>
      <c r="CA203" s="168">
        <f t="shared" si="355"/>
        <v>0</v>
      </c>
      <c r="CB203" s="168">
        <f t="shared" si="355"/>
        <v>0</v>
      </c>
      <c r="CC203" s="168">
        <f t="shared" si="355"/>
        <v>0</v>
      </c>
      <c r="CD203" s="168">
        <f t="shared" si="355"/>
        <v>0</v>
      </c>
      <c r="CE203" s="168">
        <f t="shared" si="355"/>
        <v>0</v>
      </c>
    </row>
    <row r="204" spans="1:83" ht="21">
      <c r="A204" s="158">
        <v>8</v>
      </c>
      <c r="B204" s="159" t="s">
        <v>3</v>
      </c>
      <c r="C204" s="168">
        <f t="shared" ref="C204:BN204" si="356">C117-C31</f>
        <v>0</v>
      </c>
      <c r="D204" s="168">
        <f t="shared" si="356"/>
        <v>0</v>
      </c>
      <c r="E204" s="168">
        <f t="shared" si="356"/>
        <v>0</v>
      </c>
      <c r="F204" s="168">
        <f t="shared" si="356"/>
        <v>0</v>
      </c>
      <c r="G204" s="168">
        <f t="shared" si="356"/>
        <v>0</v>
      </c>
      <c r="H204" s="168">
        <f t="shared" si="356"/>
        <v>0</v>
      </c>
      <c r="I204" s="168">
        <f t="shared" si="356"/>
        <v>0</v>
      </c>
      <c r="J204" s="168">
        <f t="shared" si="356"/>
        <v>0</v>
      </c>
      <c r="K204" s="168">
        <f t="shared" si="356"/>
        <v>0</v>
      </c>
      <c r="L204" s="168">
        <f t="shared" si="356"/>
        <v>0</v>
      </c>
      <c r="M204" s="168">
        <f t="shared" si="356"/>
        <v>0</v>
      </c>
      <c r="N204" s="168">
        <f t="shared" si="356"/>
        <v>0</v>
      </c>
      <c r="O204" s="168">
        <f t="shared" si="356"/>
        <v>0</v>
      </c>
      <c r="P204" s="168">
        <f t="shared" si="356"/>
        <v>0</v>
      </c>
      <c r="Q204" s="168">
        <f t="shared" si="356"/>
        <v>0</v>
      </c>
      <c r="R204" s="168">
        <f t="shared" si="356"/>
        <v>0</v>
      </c>
      <c r="S204" s="168">
        <f t="shared" si="356"/>
        <v>0</v>
      </c>
      <c r="T204" s="168">
        <f t="shared" si="356"/>
        <v>0</v>
      </c>
      <c r="U204" s="168">
        <f t="shared" si="356"/>
        <v>0</v>
      </c>
      <c r="V204" s="168">
        <f t="shared" si="356"/>
        <v>0</v>
      </c>
      <c r="W204" s="168">
        <f t="shared" si="356"/>
        <v>0</v>
      </c>
      <c r="X204" s="168">
        <f t="shared" si="356"/>
        <v>0</v>
      </c>
      <c r="Y204" s="168">
        <f t="shared" si="356"/>
        <v>0</v>
      </c>
      <c r="Z204" s="168">
        <f t="shared" si="356"/>
        <v>0</v>
      </c>
      <c r="AA204" s="168">
        <f t="shared" si="356"/>
        <v>0</v>
      </c>
      <c r="AB204" s="168">
        <f t="shared" si="356"/>
        <v>0</v>
      </c>
      <c r="AC204" s="168">
        <f t="shared" si="356"/>
        <v>0</v>
      </c>
      <c r="AD204" s="168">
        <f t="shared" si="356"/>
        <v>0</v>
      </c>
      <c r="AE204" s="168">
        <f t="shared" si="356"/>
        <v>0</v>
      </c>
      <c r="AF204" s="168">
        <f t="shared" si="356"/>
        <v>0</v>
      </c>
      <c r="AG204" s="168">
        <f t="shared" si="356"/>
        <v>0</v>
      </c>
      <c r="AH204" s="168">
        <f t="shared" si="356"/>
        <v>0</v>
      </c>
      <c r="AI204" s="168">
        <f t="shared" si="356"/>
        <v>0</v>
      </c>
      <c r="AJ204" s="168">
        <f t="shared" si="356"/>
        <v>0</v>
      </c>
      <c r="AK204" s="168">
        <f t="shared" si="356"/>
        <v>0</v>
      </c>
      <c r="AL204" s="168">
        <f t="shared" si="356"/>
        <v>0</v>
      </c>
      <c r="AM204" s="168">
        <f t="shared" si="356"/>
        <v>0</v>
      </c>
      <c r="AN204" s="168">
        <f t="shared" si="356"/>
        <v>0</v>
      </c>
      <c r="AO204" s="168">
        <f t="shared" si="356"/>
        <v>0</v>
      </c>
      <c r="AP204" s="168">
        <f t="shared" si="356"/>
        <v>0</v>
      </c>
      <c r="AQ204" s="168">
        <f t="shared" si="356"/>
        <v>0</v>
      </c>
      <c r="AR204" s="168">
        <f t="shared" si="356"/>
        <v>0</v>
      </c>
      <c r="AS204" s="168">
        <f t="shared" si="356"/>
        <v>0</v>
      </c>
      <c r="AT204" s="168">
        <f t="shared" si="356"/>
        <v>0</v>
      </c>
      <c r="AU204" s="168">
        <f t="shared" si="356"/>
        <v>0</v>
      </c>
      <c r="AV204" s="168">
        <f t="shared" si="356"/>
        <v>0</v>
      </c>
      <c r="AW204" s="168">
        <f t="shared" si="356"/>
        <v>0</v>
      </c>
      <c r="AX204" s="168">
        <f t="shared" si="356"/>
        <v>0</v>
      </c>
      <c r="AY204" s="168">
        <f t="shared" si="356"/>
        <v>0</v>
      </c>
      <c r="AZ204" s="168">
        <f t="shared" si="356"/>
        <v>0</v>
      </c>
      <c r="BA204" s="168">
        <f t="shared" si="356"/>
        <v>0</v>
      </c>
      <c r="BB204" s="168">
        <f t="shared" si="356"/>
        <v>0</v>
      </c>
      <c r="BC204" s="168">
        <f t="shared" si="356"/>
        <v>0</v>
      </c>
      <c r="BD204" s="168">
        <f t="shared" si="356"/>
        <v>0</v>
      </c>
      <c r="BE204" s="168">
        <f t="shared" si="356"/>
        <v>0</v>
      </c>
      <c r="BF204" s="168">
        <f t="shared" si="356"/>
        <v>0</v>
      </c>
      <c r="BG204" s="168">
        <f t="shared" si="356"/>
        <v>0</v>
      </c>
      <c r="BH204" s="168">
        <f t="shared" si="356"/>
        <v>0</v>
      </c>
      <c r="BI204" s="168">
        <f t="shared" si="356"/>
        <v>0</v>
      </c>
      <c r="BJ204" s="168">
        <f t="shared" si="356"/>
        <v>0</v>
      </c>
      <c r="BK204" s="168">
        <f t="shared" si="356"/>
        <v>0</v>
      </c>
      <c r="BL204" s="168">
        <f t="shared" si="356"/>
        <v>0</v>
      </c>
      <c r="BM204" s="168">
        <f t="shared" si="356"/>
        <v>0</v>
      </c>
      <c r="BN204" s="168">
        <f t="shared" si="356"/>
        <v>0</v>
      </c>
      <c r="BO204" s="168">
        <f t="shared" ref="BO204:CE204" si="357">BO117-BO31</f>
        <v>0</v>
      </c>
      <c r="BP204" s="168">
        <f t="shared" si="357"/>
        <v>0</v>
      </c>
      <c r="BQ204" s="168">
        <f t="shared" si="357"/>
        <v>0</v>
      </c>
      <c r="BR204" s="168">
        <f t="shared" si="357"/>
        <v>0</v>
      </c>
      <c r="BS204" s="168">
        <f t="shared" si="357"/>
        <v>0</v>
      </c>
      <c r="BT204" s="168">
        <f t="shared" si="357"/>
        <v>0</v>
      </c>
      <c r="BU204" s="168">
        <f t="shared" si="357"/>
        <v>0</v>
      </c>
      <c r="BV204" s="168">
        <f t="shared" si="357"/>
        <v>0</v>
      </c>
      <c r="BW204" s="168">
        <f t="shared" si="357"/>
        <v>0</v>
      </c>
      <c r="BX204" s="168">
        <f t="shared" si="357"/>
        <v>0</v>
      </c>
      <c r="BY204" s="168">
        <f t="shared" si="357"/>
        <v>0</v>
      </c>
      <c r="BZ204" s="168">
        <f t="shared" si="357"/>
        <v>0</v>
      </c>
      <c r="CA204" s="168">
        <f t="shared" si="357"/>
        <v>0</v>
      </c>
      <c r="CB204" s="168">
        <f t="shared" si="357"/>
        <v>0</v>
      </c>
      <c r="CC204" s="168">
        <f t="shared" si="357"/>
        <v>0</v>
      </c>
      <c r="CD204" s="168">
        <f t="shared" si="357"/>
        <v>0</v>
      </c>
      <c r="CE204" s="168">
        <f t="shared" si="357"/>
        <v>0</v>
      </c>
    </row>
    <row r="205" spans="1:83" ht="15.5">
      <c r="A205" s="160">
        <v>8</v>
      </c>
      <c r="B205" s="161" t="s">
        <v>194</v>
      </c>
      <c r="C205" s="168">
        <f t="shared" ref="C205:BN205" si="358">C118-C32</f>
        <v>0</v>
      </c>
      <c r="D205" s="168">
        <f t="shared" si="358"/>
        <v>0</v>
      </c>
      <c r="E205" s="168">
        <f t="shared" si="358"/>
        <v>0</v>
      </c>
      <c r="F205" s="168">
        <f t="shared" si="358"/>
        <v>0</v>
      </c>
      <c r="G205" s="168">
        <f t="shared" si="358"/>
        <v>0</v>
      </c>
      <c r="H205" s="168">
        <f t="shared" si="358"/>
        <v>0</v>
      </c>
      <c r="I205" s="168">
        <f t="shared" si="358"/>
        <v>0</v>
      </c>
      <c r="J205" s="168">
        <f t="shared" si="358"/>
        <v>0</v>
      </c>
      <c r="K205" s="168">
        <f t="shared" si="358"/>
        <v>0</v>
      </c>
      <c r="L205" s="168">
        <f t="shared" si="358"/>
        <v>0</v>
      </c>
      <c r="M205" s="168">
        <f t="shared" si="358"/>
        <v>0</v>
      </c>
      <c r="N205" s="168">
        <f t="shared" si="358"/>
        <v>0</v>
      </c>
      <c r="O205" s="168">
        <f t="shared" si="358"/>
        <v>0</v>
      </c>
      <c r="P205" s="168">
        <f t="shared" si="358"/>
        <v>0</v>
      </c>
      <c r="Q205" s="168">
        <f t="shared" si="358"/>
        <v>0</v>
      </c>
      <c r="R205" s="168">
        <f t="shared" si="358"/>
        <v>0</v>
      </c>
      <c r="S205" s="168">
        <f t="shared" si="358"/>
        <v>0</v>
      </c>
      <c r="T205" s="168">
        <f t="shared" si="358"/>
        <v>0</v>
      </c>
      <c r="U205" s="168">
        <f t="shared" si="358"/>
        <v>0</v>
      </c>
      <c r="V205" s="168">
        <f t="shared" si="358"/>
        <v>0</v>
      </c>
      <c r="W205" s="168">
        <f t="shared" si="358"/>
        <v>0</v>
      </c>
      <c r="X205" s="168">
        <f t="shared" si="358"/>
        <v>0</v>
      </c>
      <c r="Y205" s="168">
        <f t="shared" si="358"/>
        <v>0</v>
      </c>
      <c r="Z205" s="168">
        <f t="shared" si="358"/>
        <v>0</v>
      </c>
      <c r="AA205" s="168">
        <f t="shared" si="358"/>
        <v>0</v>
      </c>
      <c r="AB205" s="168">
        <f t="shared" si="358"/>
        <v>0</v>
      </c>
      <c r="AC205" s="168">
        <f t="shared" si="358"/>
        <v>0</v>
      </c>
      <c r="AD205" s="168">
        <f t="shared" si="358"/>
        <v>0</v>
      </c>
      <c r="AE205" s="168">
        <f t="shared" si="358"/>
        <v>0</v>
      </c>
      <c r="AF205" s="168">
        <f t="shared" si="358"/>
        <v>0</v>
      </c>
      <c r="AG205" s="168">
        <f t="shared" si="358"/>
        <v>0</v>
      </c>
      <c r="AH205" s="168">
        <f t="shared" si="358"/>
        <v>0</v>
      </c>
      <c r="AI205" s="168">
        <f t="shared" si="358"/>
        <v>0</v>
      </c>
      <c r="AJ205" s="168">
        <f t="shared" si="358"/>
        <v>0</v>
      </c>
      <c r="AK205" s="168">
        <f t="shared" si="358"/>
        <v>0</v>
      </c>
      <c r="AL205" s="168">
        <f t="shared" si="358"/>
        <v>0</v>
      </c>
      <c r="AM205" s="168">
        <f t="shared" si="358"/>
        <v>0</v>
      </c>
      <c r="AN205" s="168">
        <f t="shared" si="358"/>
        <v>0</v>
      </c>
      <c r="AO205" s="168">
        <f t="shared" si="358"/>
        <v>0</v>
      </c>
      <c r="AP205" s="168">
        <f t="shared" si="358"/>
        <v>0</v>
      </c>
      <c r="AQ205" s="168">
        <f t="shared" si="358"/>
        <v>0</v>
      </c>
      <c r="AR205" s="168">
        <f t="shared" si="358"/>
        <v>0</v>
      </c>
      <c r="AS205" s="168">
        <f t="shared" si="358"/>
        <v>0</v>
      </c>
      <c r="AT205" s="168">
        <f t="shared" si="358"/>
        <v>0</v>
      </c>
      <c r="AU205" s="168">
        <f t="shared" si="358"/>
        <v>0</v>
      </c>
      <c r="AV205" s="168">
        <f t="shared" si="358"/>
        <v>0</v>
      </c>
      <c r="AW205" s="168">
        <f t="shared" si="358"/>
        <v>0</v>
      </c>
      <c r="AX205" s="168">
        <f t="shared" si="358"/>
        <v>0</v>
      </c>
      <c r="AY205" s="168">
        <f t="shared" si="358"/>
        <v>0</v>
      </c>
      <c r="AZ205" s="168">
        <f t="shared" si="358"/>
        <v>0</v>
      </c>
      <c r="BA205" s="168">
        <f t="shared" si="358"/>
        <v>0</v>
      </c>
      <c r="BB205" s="168">
        <f t="shared" si="358"/>
        <v>0</v>
      </c>
      <c r="BC205" s="168">
        <f t="shared" si="358"/>
        <v>0</v>
      </c>
      <c r="BD205" s="168">
        <f t="shared" si="358"/>
        <v>0</v>
      </c>
      <c r="BE205" s="168">
        <f t="shared" si="358"/>
        <v>0</v>
      </c>
      <c r="BF205" s="168">
        <f t="shared" si="358"/>
        <v>0</v>
      </c>
      <c r="BG205" s="168">
        <f t="shared" si="358"/>
        <v>0</v>
      </c>
      <c r="BH205" s="168">
        <f t="shared" si="358"/>
        <v>0</v>
      </c>
      <c r="BI205" s="168">
        <f t="shared" si="358"/>
        <v>0</v>
      </c>
      <c r="BJ205" s="168">
        <f t="shared" si="358"/>
        <v>0</v>
      </c>
      <c r="BK205" s="168">
        <f t="shared" si="358"/>
        <v>0</v>
      </c>
      <c r="BL205" s="168">
        <f t="shared" si="358"/>
        <v>0</v>
      </c>
      <c r="BM205" s="168">
        <f t="shared" si="358"/>
        <v>0</v>
      </c>
      <c r="BN205" s="168">
        <f t="shared" si="358"/>
        <v>0</v>
      </c>
      <c r="BO205" s="168">
        <f t="shared" ref="BO205:CE205" si="359">BO118-BO32</f>
        <v>0</v>
      </c>
      <c r="BP205" s="168">
        <f t="shared" si="359"/>
        <v>0</v>
      </c>
      <c r="BQ205" s="168">
        <f t="shared" si="359"/>
        <v>0</v>
      </c>
      <c r="BR205" s="168">
        <f t="shared" si="359"/>
        <v>0</v>
      </c>
      <c r="BS205" s="168">
        <f t="shared" si="359"/>
        <v>0</v>
      </c>
      <c r="BT205" s="168">
        <f t="shared" si="359"/>
        <v>0</v>
      </c>
      <c r="BU205" s="168">
        <f t="shared" si="359"/>
        <v>0</v>
      </c>
      <c r="BV205" s="168">
        <f t="shared" si="359"/>
        <v>0</v>
      </c>
      <c r="BW205" s="168">
        <f t="shared" si="359"/>
        <v>0</v>
      </c>
      <c r="BX205" s="168">
        <f t="shared" si="359"/>
        <v>0</v>
      </c>
      <c r="BY205" s="168">
        <f t="shared" si="359"/>
        <v>0</v>
      </c>
      <c r="BZ205" s="168">
        <f t="shared" si="359"/>
        <v>0</v>
      </c>
      <c r="CA205" s="168">
        <f t="shared" si="359"/>
        <v>0</v>
      </c>
      <c r="CB205" s="168">
        <f t="shared" si="359"/>
        <v>0</v>
      </c>
      <c r="CC205" s="168">
        <f t="shared" si="359"/>
        <v>0</v>
      </c>
      <c r="CD205" s="168">
        <f t="shared" si="359"/>
        <v>0</v>
      </c>
      <c r="CE205" s="168">
        <f t="shared" si="359"/>
        <v>0</v>
      </c>
    </row>
    <row r="206" spans="1:83" ht="15.5">
      <c r="A206" s="160">
        <v>8</v>
      </c>
      <c r="B206" s="162" t="s">
        <v>139</v>
      </c>
      <c r="C206" s="168">
        <f t="shared" ref="C206:BN206" si="360">C119-C33</f>
        <v>0</v>
      </c>
      <c r="D206" s="168">
        <f t="shared" si="360"/>
        <v>0</v>
      </c>
      <c r="E206" s="168">
        <f t="shared" si="360"/>
        <v>0</v>
      </c>
      <c r="F206" s="168">
        <f t="shared" si="360"/>
        <v>0</v>
      </c>
      <c r="G206" s="168">
        <f t="shared" si="360"/>
        <v>0</v>
      </c>
      <c r="H206" s="168">
        <f t="shared" si="360"/>
        <v>0</v>
      </c>
      <c r="I206" s="168">
        <f t="shared" si="360"/>
        <v>0</v>
      </c>
      <c r="J206" s="168">
        <f t="shared" si="360"/>
        <v>0</v>
      </c>
      <c r="K206" s="168">
        <f t="shared" si="360"/>
        <v>0</v>
      </c>
      <c r="L206" s="168">
        <f t="shared" si="360"/>
        <v>0</v>
      </c>
      <c r="M206" s="168">
        <f t="shared" si="360"/>
        <v>0</v>
      </c>
      <c r="N206" s="168">
        <f t="shared" si="360"/>
        <v>0</v>
      </c>
      <c r="O206" s="168">
        <f t="shared" si="360"/>
        <v>0</v>
      </c>
      <c r="P206" s="168">
        <f t="shared" si="360"/>
        <v>0</v>
      </c>
      <c r="Q206" s="168">
        <f t="shared" si="360"/>
        <v>0</v>
      </c>
      <c r="R206" s="168">
        <f t="shared" si="360"/>
        <v>0</v>
      </c>
      <c r="S206" s="168">
        <f t="shared" si="360"/>
        <v>0</v>
      </c>
      <c r="T206" s="168">
        <f t="shared" si="360"/>
        <v>0</v>
      </c>
      <c r="U206" s="168">
        <f t="shared" si="360"/>
        <v>0</v>
      </c>
      <c r="V206" s="168">
        <f t="shared" si="360"/>
        <v>0</v>
      </c>
      <c r="W206" s="168">
        <f t="shared" si="360"/>
        <v>0</v>
      </c>
      <c r="X206" s="168">
        <f t="shared" si="360"/>
        <v>0</v>
      </c>
      <c r="Y206" s="168">
        <f t="shared" si="360"/>
        <v>0</v>
      </c>
      <c r="Z206" s="168">
        <f t="shared" si="360"/>
        <v>0</v>
      </c>
      <c r="AA206" s="168">
        <f t="shared" si="360"/>
        <v>0</v>
      </c>
      <c r="AB206" s="168">
        <f t="shared" si="360"/>
        <v>0</v>
      </c>
      <c r="AC206" s="168">
        <f t="shared" si="360"/>
        <v>0</v>
      </c>
      <c r="AD206" s="168">
        <f t="shared" si="360"/>
        <v>0</v>
      </c>
      <c r="AE206" s="168">
        <f t="shared" si="360"/>
        <v>0</v>
      </c>
      <c r="AF206" s="168">
        <f t="shared" si="360"/>
        <v>0</v>
      </c>
      <c r="AG206" s="168">
        <f t="shared" si="360"/>
        <v>0</v>
      </c>
      <c r="AH206" s="168">
        <f t="shared" si="360"/>
        <v>0</v>
      </c>
      <c r="AI206" s="168">
        <f t="shared" si="360"/>
        <v>0</v>
      </c>
      <c r="AJ206" s="168">
        <f t="shared" si="360"/>
        <v>0</v>
      </c>
      <c r="AK206" s="168">
        <f t="shared" si="360"/>
        <v>0</v>
      </c>
      <c r="AL206" s="168">
        <f t="shared" si="360"/>
        <v>0</v>
      </c>
      <c r="AM206" s="168">
        <f t="shared" si="360"/>
        <v>0</v>
      </c>
      <c r="AN206" s="168">
        <f t="shared" si="360"/>
        <v>0</v>
      </c>
      <c r="AO206" s="168">
        <f t="shared" si="360"/>
        <v>0</v>
      </c>
      <c r="AP206" s="168">
        <f t="shared" si="360"/>
        <v>0</v>
      </c>
      <c r="AQ206" s="168">
        <f t="shared" si="360"/>
        <v>0</v>
      </c>
      <c r="AR206" s="168">
        <f t="shared" si="360"/>
        <v>0</v>
      </c>
      <c r="AS206" s="168">
        <f t="shared" si="360"/>
        <v>0</v>
      </c>
      <c r="AT206" s="168">
        <f t="shared" si="360"/>
        <v>0</v>
      </c>
      <c r="AU206" s="168">
        <f t="shared" si="360"/>
        <v>0</v>
      </c>
      <c r="AV206" s="168">
        <f t="shared" si="360"/>
        <v>0</v>
      </c>
      <c r="AW206" s="168">
        <f t="shared" si="360"/>
        <v>0</v>
      </c>
      <c r="AX206" s="168">
        <f t="shared" si="360"/>
        <v>0</v>
      </c>
      <c r="AY206" s="168">
        <f t="shared" si="360"/>
        <v>0</v>
      </c>
      <c r="AZ206" s="168">
        <f t="shared" si="360"/>
        <v>0</v>
      </c>
      <c r="BA206" s="168">
        <f t="shared" si="360"/>
        <v>0</v>
      </c>
      <c r="BB206" s="168">
        <f t="shared" si="360"/>
        <v>0</v>
      </c>
      <c r="BC206" s="168">
        <f t="shared" si="360"/>
        <v>0</v>
      </c>
      <c r="BD206" s="168">
        <f t="shared" si="360"/>
        <v>0</v>
      </c>
      <c r="BE206" s="168">
        <f t="shared" si="360"/>
        <v>0</v>
      </c>
      <c r="BF206" s="168">
        <f t="shared" si="360"/>
        <v>0</v>
      </c>
      <c r="BG206" s="168">
        <f t="shared" si="360"/>
        <v>0</v>
      </c>
      <c r="BH206" s="168">
        <f t="shared" si="360"/>
        <v>0</v>
      </c>
      <c r="BI206" s="168">
        <f t="shared" si="360"/>
        <v>0</v>
      </c>
      <c r="BJ206" s="168">
        <f t="shared" si="360"/>
        <v>0</v>
      </c>
      <c r="BK206" s="168">
        <f t="shared" si="360"/>
        <v>0</v>
      </c>
      <c r="BL206" s="168">
        <f t="shared" si="360"/>
        <v>0</v>
      </c>
      <c r="BM206" s="168">
        <f t="shared" si="360"/>
        <v>0</v>
      </c>
      <c r="BN206" s="168">
        <f t="shared" si="360"/>
        <v>0</v>
      </c>
      <c r="BO206" s="168">
        <f t="shared" ref="BO206:CE206" si="361">BO119-BO33</f>
        <v>0</v>
      </c>
      <c r="BP206" s="168">
        <f t="shared" si="361"/>
        <v>0</v>
      </c>
      <c r="BQ206" s="168">
        <f t="shared" si="361"/>
        <v>0</v>
      </c>
      <c r="BR206" s="168">
        <f t="shared" si="361"/>
        <v>0</v>
      </c>
      <c r="BS206" s="168">
        <f t="shared" si="361"/>
        <v>0</v>
      </c>
      <c r="BT206" s="168">
        <f t="shared" si="361"/>
        <v>0</v>
      </c>
      <c r="BU206" s="168">
        <f t="shared" si="361"/>
        <v>0</v>
      </c>
      <c r="BV206" s="168">
        <f t="shared" si="361"/>
        <v>0</v>
      </c>
      <c r="BW206" s="168">
        <f t="shared" si="361"/>
        <v>0</v>
      </c>
      <c r="BX206" s="168">
        <f t="shared" si="361"/>
        <v>0</v>
      </c>
      <c r="BY206" s="168">
        <f t="shared" si="361"/>
        <v>0</v>
      </c>
      <c r="BZ206" s="168">
        <f t="shared" si="361"/>
        <v>0</v>
      </c>
      <c r="CA206" s="168">
        <f t="shared" si="361"/>
        <v>0</v>
      </c>
      <c r="CB206" s="168">
        <f t="shared" si="361"/>
        <v>0</v>
      </c>
      <c r="CC206" s="168">
        <f t="shared" si="361"/>
        <v>0</v>
      </c>
      <c r="CD206" s="168">
        <f t="shared" si="361"/>
        <v>0</v>
      </c>
      <c r="CE206" s="168">
        <f t="shared" si="361"/>
        <v>0</v>
      </c>
    </row>
    <row r="207" spans="1:83" ht="15.5">
      <c r="A207" s="160">
        <v>8</v>
      </c>
      <c r="B207" s="163" t="s">
        <v>140</v>
      </c>
      <c r="C207" s="168">
        <f t="shared" ref="C207:BN207" si="362">C120-C34</f>
        <v>0</v>
      </c>
      <c r="D207" s="168">
        <f t="shared" si="362"/>
        <v>0</v>
      </c>
      <c r="E207" s="168">
        <f t="shared" si="362"/>
        <v>0</v>
      </c>
      <c r="F207" s="168">
        <f t="shared" si="362"/>
        <v>0</v>
      </c>
      <c r="G207" s="168">
        <f t="shared" si="362"/>
        <v>0</v>
      </c>
      <c r="H207" s="168">
        <f t="shared" si="362"/>
        <v>0</v>
      </c>
      <c r="I207" s="168">
        <f t="shared" si="362"/>
        <v>0</v>
      </c>
      <c r="J207" s="168">
        <f t="shared" si="362"/>
        <v>0</v>
      </c>
      <c r="K207" s="168">
        <f t="shared" si="362"/>
        <v>0</v>
      </c>
      <c r="L207" s="168">
        <f t="shared" si="362"/>
        <v>0</v>
      </c>
      <c r="M207" s="168">
        <f t="shared" si="362"/>
        <v>0</v>
      </c>
      <c r="N207" s="168">
        <f t="shared" si="362"/>
        <v>0</v>
      </c>
      <c r="O207" s="168">
        <f t="shared" si="362"/>
        <v>0</v>
      </c>
      <c r="P207" s="168">
        <f t="shared" si="362"/>
        <v>0</v>
      </c>
      <c r="Q207" s="168">
        <f t="shared" si="362"/>
        <v>0</v>
      </c>
      <c r="R207" s="168">
        <f t="shared" si="362"/>
        <v>0</v>
      </c>
      <c r="S207" s="168">
        <f t="shared" si="362"/>
        <v>0</v>
      </c>
      <c r="T207" s="168">
        <f t="shared" si="362"/>
        <v>0</v>
      </c>
      <c r="U207" s="168">
        <f t="shared" si="362"/>
        <v>0</v>
      </c>
      <c r="V207" s="168">
        <f t="shared" si="362"/>
        <v>0</v>
      </c>
      <c r="W207" s="168">
        <f t="shared" si="362"/>
        <v>0</v>
      </c>
      <c r="X207" s="168">
        <f t="shared" si="362"/>
        <v>0</v>
      </c>
      <c r="Y207" s="168">
        <f t="shared" si="362"/>
        <v>0</v>
      </c>
      <c r="Z207" s="168">
        <f t="shared" si="362"/>
        <v>0</v>
      </c>
      <c r="AA207" s="168">
        <f t="shared" si="362"/>
        <v>0</v>
      </c>
      <c r="AB207" s="168">
        <f t="shared" si="362"/>
        <v>0</v>
      </c>
      <c r="AC207" s="168">
        <f t="shared" si="362"/>
        <v>0</v>
      </c>
      <c r="AD207" s="168">
        <f t="shared" si="362"/>
        <v>0</v>
      </c>
      <c r="AE207" s="168">
        <f t="shared" si="362"/>
        <v>0</v>
      </c>
      <c r="AF207" s="168">
        <f t="shared" si="362"/>
        <v>0</v>
      </c>
      <c r="AG207" s="168">
        <f t="shared" si="362"/>
        <v>0</v>
      </c>
      <c r="AH207" s="168">
        <f t="shared" si="362"/>
        <v>0</v>
      </c>
      <c r="AI207" s="168">
        <f t="shared" si="362"/>
        <v>0</v>
      </c>
      <c r="AJ207" s="168">
        <f t="shared" si="362"/>
        <v>0</v>
      </c>
      <c r="AK207" s="168">
        <f t="shared" si="362"/>
        <v>0</v>
      </c>
      <c r="AL207" s="168">
        <f t="shared" si="362"/>
        <v>0</v>
      </c>
      <c r="AM207" s="168">
        <f t="shared" si="362"/>
        <v>0</v>
      </c>
      <c r="AN207" s="168">
        <f t="shared" si="362"/>
        <v>0</v>
      </c>
      <c r="AO207" s="168">
        <f t="shared" si="362"/>
        <v>0</v>
      </c>
      <c r="AP207" s="168">
        <f t="shared" si="362"/>
        <v>0</v>
      </c>
      <c r="AQ207" s="168">
        <f t="shared" si="362"/>
        <v>0</v>
      </c>
      <c r="AR207" s="168">
        <f t="shared" si="362"/>
        <v>0</v>
      </c>
      <c r="AS207" s="168">
        <f t="shared" si="362"/>
        <v>0</v>
      </c>
      <c r="AT207" s="168">
        <f t="shared" si="362"/>
        <v>0</v>
      </c>
      <c r="AU207" s="168">
        <f t="shared" si="362"/>
        <v>0</v>
      </c>
      <c r="AV207" s="168">
        <f t="shared" si="362"/>
        <v>0</v>
      </c>
      <c r="AW207" s="168">
        <f t="shared" si="362"/>
        <v>0</v>
      </c>
      <c r="AX207" s="168">
        <f t="shared" si="362"/>
        <v>0</v>
      </c>
      <c r="AY207" s="168">
        <f t="shared" si="362"/>
        <v>0</v>
      </c>
      <c r="AZ207" s="168">
        <f t="shared" si="362"/>
        <v>0</v>
      </c>
      <c r="BA207" s="168">
        <f t="shared" si="362"/>
        <v>0</v>
      </c>
      <c r="BB207" s="168">
        <f t="shared" si="362"/>
        <v>0</v>
      </c>
      <c r="BC207" s="168">
        <f t="shared" si="362"/>
        <v>0</v>
      </c>
      <c r="BD207" s="168">
        <f t="shared" si="362"/>
        <v>0</v>
      </c>
      <c r="BE207" s="168">
        <f t="shared" si="362"/>
        <v>0</v>
      </c>
      <c r="BF207" s="168">
        <f t="shared" si="362"/>
        <v>0</v>
      </c>
      <c r="BG207" s="168">
        <f t="shared" si="362"/>
        <v>0</v>
      </c>
      <c r="BH207" s="168">
        <f t="shared" si="362"/>
        <v>0</v>
      </c>
      <c r="BI207" s="168">
        <f t="shared" si="362"/>
        <v>0</v>
      </c>
      <c r="BJ207" s="168">
        <f t="shared" si="362"/>
        <v>0</v>
      </c>
      <c r="BK207" s="168">
        <f t="shared" si="362"/>
        <v>0</v>
      </c>
      <c r="BL207" s="168">
        <f t="shared" si="362"/>
        <v>0</v>
      </c>
      <c r="BM207" s="168">
        <f t="shared" si="362"/>
        <v>0</v>
      </c>
      <c r="BN207" s="168">
        <f t="shared" si="362"/>
        <v>0</v>
      </c>
      <c r="BO207" s="168">
        <f t="shared" ref="BO207:CE207" si="363">BO120-BO34</f>
        <v>0</v>
      </c>
      <c r="BP207" s="168">
        <f t="shared" si="363"/>
        <v>0</v>
      </c>
      <c r="BQ207" s="168">
        <f t="shared" si="363"/>
        <v>0</v>
      </c>
      <c r="BR207" s="168">
        <f t="shared" si="363"/>
        <v>0</v>
      </c>
      <c r="BS207" s="168">
        <f t="shared" si="363"/>
        <v>0</v>
      </c>
      <c r="BT207" s="168">
        <f t="shared" si="363"/>
        <v>0</v>
      </c>
      <c r="BU207" s="168">
        <f t="shared" si="363"/>
        <v>0</v>
      </c>
      <c r="BV207" s="168">
        <f t="shared" si="363"/>
        <v>0</v>
      </c>
      <c r="BW207" s="168">
        <f t="shared" si="363"/>
        <v>0</v>
      </c>
      <c r="BX207" s="168">
        <f t="shared" si="363"/>
        <v>0</v>
      </c>
      <c r="BY207" s="168">
        <f t="shared" si="363"/>
        <v>0</v>
      </c>
      <c r="BZ207" s="168">
        <f t="shared" si="363"/>
        <v>0</v>
      </c>
      <c r="CA207" s="168">
        <f t="shared" si="363"/>
        <v>0</v>
      </c>
      <c r="CB207" s="168">
        <f t="shared" si="363"/>
        <v>0</v>
      </c>
      <c r="CC207" s="168">
        <f t="shared" si="363"/>
        <v>0</v>
      </c>
      <c r="CD207" s="168">
        <f t="shared" si="363"/>
        <v>0</v>
      </c>
      <c r="CE207" s="168">
        <f t="shared" si="363"/>
        <v>0</v>
      </c>
    </row>
    <row r="208" spans="1:83" ht="15.5">
      <c r="A208" s="160">
        <v>8</v>
      </c>
      <c r="B208" s="164" t="s">
        <v>195</v>
      </c>
      <c r="C208" s="168">
        <f t="shared" ref="C208:BN208" si="364">C121-C35</f>
        <v>0</v>
      </c>
      <c r="D208" s="168">
        <f t="shared" si="364"/>
        <v>0</v>
      </c>
      <c r="E208" s="168">
        <f t="shared" si="364"/>
        <v>0</v>
      </c>
      <c r="F208" s="168">
        <f t="shared" si="364"/>
        <v>0</v>
      </c>
      <c r="G208" s="168">
        <f t="shared" si="364"/>
        <v>0</v>
      </c>
      <c r="H208" s="168">
        <f t="shared" si="364"/>
        <v>0</v>
      </c>
      <c r="I208" s="168">
        <f t="shared" si="364"/>
        <v>0</v>
      </c>
      <c r="J208" s="168">
        <f t="shared" si="364"/>
        <v>0</v>
      </c>
      <c r="K208" s="168">
        <f t="shared" si="364"/>
        <v>0</v>
      </c>
      <c r="L208" s="168">
        <f t="shared" si="364"/>
        <v>0</v>
      </c>
      <c r="M208" s="168">
        <f t="shared" si="364"/>
        <v>0</v>
      </c>
      <c r="N208" s="168">
        <f t="shared" si="364"/>
        <v>0</v>
      </c>
      <c r="O208" s="168">
        <f t="shared" si="364"/>
        <v>0</v>
      </c>
      <c r="P208" s="168">
        <f t="shared" si="364"/>
        <v>0</v>
      </c>
      <c r="Q208" s="168">
        <f t="shared" si="364"/>
        <v>0</v>
      </c>
      <c r="R208" s="168">
        <f t="shared" si="364"/>
        <v>0</v>
      </c>
      <c r="S208" s="168">
        <f t="shared" si="364"/>
        <v>0</v>
      </c>
      <c r="T208" s="168">
        <f t="shared" si="364"/>
        <v>0</v>
      </c>
      <c r="U208" s="168">
        <f t="shared" si="364"/>
        <v>0</v>
      </c>
      <c r="V208" s="168">
        <f t="shared" si="364"/>
        <v>0</v>
      </c>
      <c r="W208" s="168">
        <f t="shared" si="364"/>
        <v>0</v>
      </c>
      <c r="X208" s="168">
        <f t="shared" si="364"/>
        <v>0</v>
      </c>
      <c r="Y208" s="168">
        <f t="shared" si="364"/>
        <v>0</v>
      </c>
      <c r="Z208" s="168">
        <f t="shared" si="364"/>
        <v>0</v>
      </c>
      <c r="AA208" s="168">
        <f t="shared" si="364"/>
        <v>0</v>
      </c>
      <c r="AB208" s="168">
        <f t="shared" si="364"/>
        <v>0</v>
      </c>
      <c r="AC208" s="168">
        <f t="shared" si="364"/>
        <v>0</v>
      </c>
      <c r="AD208" s="168">
        <f t="shared" si="364"/>
        <v>0</v>
      </c>
      <c r="AE208" s="168">
        <f t="shared" si="364"/>
        <v>0</v>
      </c>
      <c r="AF208" s="168">
        <f t="shared" si="364"/>
        <v>0</v>
      </c>
      <c r="AG208" s="168">
        <f t="shared" si="364"/>
        <v>0</v>
      </c>
      <c r="AH208" s="168">
        <f t="shared" si="364"/>
        <v>0</v>
      </c>
      <c r="AI208" s="168">
        <f t="shared" si="364"/>
        <v>0</v>
      </c>
      <c r="AJ208" s="168">
        <f t="shared" si="364"/>
        <v>0</v>
      </c>
      <c r="AK208" s="168">
        <f t="shared" si="364"/>
        <v>0</v>
      </c>
      <c r="AL208" s="168">
        <f t="shared" si="364"/>
        <v>0</v>
      </c>
      <c r="AM208" s="168">
        <f t="shared" si="364"/>
        <v>0</v>
      </c>
      <c r="AN208" s="168">
        <f t="shared" si="364"/>
        <v>0</v>
      </c>
      <c r="AO208" s="168">
        <f t="shared" si="364"/>
        <v>0</v>
      </c>
      <c r="AP208" s="168">
        <f t="shared" si="364"/>
        <v>0</v>
      </c>
      <c r="AQ208" s="168">
        <f t="shared" si="364"/>
        <v>0</v>
      </c>
      <c r="AR208" s="168">
        <f t="shared" si="364"/>
        <v>0</v>
      </c>
      <c r="AS208" s="168">
        <f t="shared" si="364"/>
        <v>0</v>
      </c>
      <c r="AT208" s="168">
        <f t="shared" si="364"/>
        <v>0</v>
      </c>
      <c r="AU208" s="168">
        <f t="shared" si="364"/>
        <v>0</v>
      </c>
      <c r="AV208" s="168">
        <f t="shared" si="364"/>
        <v>0</v>
      </c>
      <c r="AW208" s="168">
        <f t="shared" si="364"/>
        <v>0</v>
      </c>
      <c r="AX208" s="168">
        <f t="shared" si="364"/>
        <v>0</v>
      </c>
      <c r="AY208" s="168">
        <f t="shared" si="364"/>
        <v>0</v>
      </c>
      <c r="AZ208" s="168">
        <f t="shared" si="364"/>
        <v>0</v>
      </c>
      <c r="BA208" s="168">
        <f t="shared" si="364"/>
        <v>0</v>
      </c>
      <c r="BB208" s="168">
        <f t="shared" si="364"/>
        <v>0</v>
      </c>
      <c r="BC208" s="168">
        <f t="shared" si="364"/>
        <v>0</v>
      </c>
      <c r="BD208" s="168">
        <f t="shared" si="364"/>
        <v>0</v>
      </c>
      <c r="BE208" s="168">
        <f t="shared" si="364"/>
        <v>0</v>
      </c>
      <c r="BF208" s="168">
        <f t="shared" si="364"/>
        <v>0</v>
      </c>
      <c r="BG208" s="168">
        <f t="shared" si="364"/>
        <v>0</v>
      </c>
      <c r="BH208" s="168">
        <f t="shared" si="364"/>
        <v>0</v>
      </c>
      <c r="BI208" s="168">
        <f t="shared" si="364"/>
        <v>0</v>
      </c>
      <c r="BJ208" s="168">
        <f t="shared" si="364"/>
        <v>0</v>
      </c>
      <c r="BK208" s="168">
        <f t="shared" si="364"/>
        <v>0</v>
      </c>
      <c r="BL208" s="168">
        <f t="shared" si="364"/>
        <v>0</v>
      </c>
      <c r="BM208" s="168">
        <f t="shared" si="364"/>
        <v>0</v>
      </c>
      <c r="BN208" s="168">
        <f t="shared" si="364"/>
        <v>0</v>
      </c>
      <c r="BO208" s="168">
        <f t="shared" ref="BO208:CE208" si="365">BO121-BO35</f>
        <v>0</v>
      </c>
      <c r="BP208" s="168">
        <f t="shared" si="365"/>
        <v>0</v>
      </c>
      <c r="BQ208" s="168">
        <f t="shared" si="365"/>
        <v>0</v>
      </c>
      <c r="BR208" s="168">
        <f t="shared" si="365"/>
        <v>0</v>
      </c>
      <c r="BS208" s="168">
        <f t="shared" si="365"/>
        <v>0</v>
      </c>
      <c r="BT208" s="168">
        <f t="shared" si="365"/>
        <v>0</v>
      </c>
      <c r="BU208" s="168">
        <f t="shared" si="365"/>
        <v>0</v>
      </c>
      <c r="BV208" s="168">
        <f t="shared" si="365"/>
        <v>0</v>
      </c>
      <c r="BW208" s="168">
        <f t="shared" si="365"/>
        <v>0</v>
      </c>
      <c r="BX208" s="168">
        <f t="shared" si="365"/>
        <v>0</v>
      </c>
      <c r="BY208" s="168">
        <f t="shared" si="365"/>
        <v>0</v>
      </c>
      <c r="BZ208" s="168">
        <f t="shared" si="365"/>
        <v>0</v>
      </c>
      <c r="CA208" s="168">
        <f t="shared" si="365"/>
        <v>0</v>
      </c>
      <c r="CB208" s="168">
        <f t="shared" si="365"/>
        <v>0</v>
      </c>
      <c r="CC208" s="168">
        <f t="shared" si="365"/>
        <v>0</v>
      </c>
      <c r="CD208" s="168">
        <f t="shared" si="365"/>
        <v>0</v>
      </c>
      <c r="CE208" s="168">
        <f t="shared" si="365"/>
        <v>0</v>
      </c>
    </row>
    <row r="209" spans="1:83" ht="15.5">
      <c r="A209" s="160">
        <v>8</v>
      </c>
      <c r="B209" s="165" t="s">
        <v>196</v>
      </c>
      <c r="C209" s="168">
        <f t="shared" ref="C209:BN209" si="366">C122-C36</f>
        <v>0</v>
      </c>
      <c r="D209" s="168">
        <f t="shared" si="366"/>
        <v>0</v>
      </c>
      <c r="E209" s="168">
        <f t="shared" si="366"/>
        <v>0</v>
      </c>
      <c r="F209" s="168">
        <f t="shared" si="366"/>
        <v>0</v>
      </c>
      <c r="G209" s="168">
        <f t="shared" si="366"/>
        <v>0</v>
      </c>
      <c r="H209" s="168">
        <f t="shared" si="366"/>
        <v>0</v>
      </c>
      <c r="I209" s="168">
        <f t="shared" si="366"/>
        <v>0</v>
      </c>
      <c r="J209" s="168">
        <f t="shared" si="366"/>
        <v>0</v>
      </c>
      <c r="K209" s="168">
        <f t="shared" si="366"/>
        <v>0</v>
      </c>
      <c r="L209" s="168">
        <f t="shared" si="366"/>
        <v>0</v>
      </c>
      <c r="M209" s="168">
        <f t="shared" si="366"/>
        <v>0</v>
      </c>
      <c r="N209" s="168">
        <f t="shared" si="366"/>
        <v>0</v>
      </c>
      <c r="O209" s="168">
        <f t="shared" si="366"/>
        <v>0</v>
      </c>
      <c r="P209" s="168">
        <f t="shared" si="366"/>
        <v>0</v>
      </c>
      <c r="Q209" s="168">
        <f t="shared" si="366"/>
        <v>0</v>
      </c>
      <c r="R209" s="168">
        <f t="shared" si="366"/>
        <v>0</v>
      </c>
      <c r="S209" s="168">
        <f t="shared" si="366"/>
        <v>0</v>
      </c>
      <c r="T209" s="168">
        <f t="shared" si="366"/>
        <v>0</v>
      </c>
      <c r="U209" s="168">
        <f t="shared" si="366"/>
        <v>0</v>
      </c>
      <c r="V209" s="168">
        <f t="shared" si="366"/>
        <v>0</v>
      </c>
      <c r="W209" s="168">
        <f t="shared" si="366"/>
        <v>0</v>
      </c>
      <c r="X209" s="168">
        <f t="shared" si="366"/>
        <v>0</v>
      </c>
      <c r="Y209" s="168">
        <f t="shared" si="366"/>
        <v>0</v>
      </c>
      <c r="Z209" s="168">
        <f t="shared" si="366"/>
        <v>0</v>
      </c>
      <c r="AA209" s="168">
        <f t="shared" si="366"/>
        <v>0</v>
      </c>
      <c r="AB209" s="168">
        <f t="shared" si="366"/>
        <v>0</v>
      </c>
      <c r="AC209" s="168">
        <f t="shared" si="366"/>
        <v>0</v>
      </c>
      <c r="AD209" s="168">
        <f t="shared" si="366"/>
        <v>0</v>
      </c>
      <c r="AE209" s="168">
        <f t="shared" si="366"/>
        <v>0</v>
      </c>
      <c r="AF209" s="168">
        <f t="shared" si="366"/>
        <v>0</v>
      </c>
      <c r="AG209" s="168">
        <f t="shared" si="366"/>
        <v>0</v>
      </c>
      <c r="AH209" s="168">
        <f t="shared" si="366"/>
        <v>0</v>
      </c>
      <c r="AI209" s="168">
        <f t="shared" si="366"/>
        <v>0</v>
      </c>
      <c r="AJ209" s="168">
        <f t="shared" si="366"/>
        <v>0</v>
      </c>
      <c r="AK209" s="168">
        <f t="shared" si="366"/>
        <v>0</v>
      </c>
      <c r="AL209" s="168">
        <f t="shared" si="366"/>
        <v>0</v>
      </c>
      <c r="AM209" s="168">
        <f t="shared" si="366"/>
        <v>0</v>
      </c>
      <c r="AN209" s="168">
        <f t="shared" si="366"/>
        <v>0</v>
      </c>
      <c r="AO209" s="168">
        <f t="shared" si="366"/>
        <v>0</v>
      </c>
      <c r="AP209" s="168">
        <f t="shared" si="366"/>
        <v>0</v>
      </c>
      <c r="AQ209" s="168">
        <f t="shared" si="366"/>
        <v>0</v>
      </c>
      <c r="AR209" s="168">
        <f t="shared" si="366"/>
        <v>0</v>
      </c>
      <c r="AS209" s="168">
        <f t="shared" si="366"/>
        <v>0</v>
      </c>
      <c r="AT209" s="168">
        <f t="shared" si="366"/>
        <v>0</v>
      </c>
      <c r="AU209" s="168">
        <f t="shared" si="366"/>
        <v>0</v>
      </c>
      <c r="AV209" s="168">
        <f t="shared" si="366"/>
        <v>0</v>
      </c>
      <c r="AW209" s="168">
        <f t="shared" si="366"/>
        <v>0</v>
      </c>
      <c r="AX209" s="168">
        <f t="shared" si="366"/>
        <v>0</v>
      </c>
      <c r="AY209" s="168">
        <f t="shared" si="366"/>
        <v>0</v>
      </c>
      <c r="AZ209" s="168">
        <f t="shared" si="366"/>
        <v>0</v>
      </c>
      <c r="BA209" s="168">
        <f t="shared" si="366"/>
        <v>0</v>
      </c>
      <c r="BB209" s="168">
        <f t="shared" si="366"/>
        <v>0</v>
      </c>
      <c r="BC209" s="168">
        <f t="shared" si="366"/>
        <v>0</v>
      </c>
      <c r="BD209" s="168">
        <f t="shared" si="366"/>
        <v>0</v>
      </c>
      <c r="BE209" s="168">
        <f t="shared" si="366"/>
        <v>0</v>
      </c>
      <c r="BF209" s="168">
        <f t="shared" si="366"/>
        <v>0</v>
      </c>
      <c r="BG209" s="168">
        <f t="shared" si="366"/>
        <v>0</v>
      </c>
      <c r="BH209" s="168">
        <f t="shared" si="366"/>
        <v>0</v>
      </c>
      <c r="BI209" s="168">
        <f t="shared" si="366"/>
        <v>0</v>
      </c>
      <c r="BJ209" s="168">
        <f t="shared" si="366"/>
        <v>0</v>
      </c>
      <c r="BK209" s="168">
        <f t="shared" si="366"/>
        <v>0</v>
      </c>
      <c r="BL209" s="168">
        <f t="shared" si="366"/>
        <v>0</v>
      </c>
      <c r="BM209" s="168">
        <f t="shared" si="366"/>
        <v>0</v>
      </c>
      <c r="BN209" s="168">
        <f t="shared" si="366"/>
        <v>0</v>
      </c>
      <c r="BO209" s="168">
        <f t="shared" ref="BO209:CE209" si="367">BO122-BO36</f>
        <v>0</v>
      </c>
      <c r="BP209" s="168">
        <f t="shared" si="367"/>
        <v>0</v>
      </c>
      <c r="BQ209" s="168">
        <f t="shared" si="367"/>
        <v>0</v>
      </c>
      <c r="BR209" s="168">
        <f t="shared" si="367"/>
        <v>0</v>
      </c>
      <c r="BS209" s="168">
        <f t="shared" si="367"/>
        <v>0</v>
      </c>
      <c r="BT209" s="168">
        <f t="shared" si="367"/>
        <v>0</v>
      </c>
      <c r="BU209" s="168">
        <f t="shared" si="367"/>
        <v>0</v>
      </c>
      <c r="BV209" s="168">
        <f t="shared" si="367"/>
        <v>0</v>
      </c>
      <c r="BW209" s="168">
        <f t="shared" si="367"/>
        <v>0</v>
      </c>
      <c r="BX209" s="168">
        <f t="shared" si="367"/>
        <v>0</v>
      </c>
      <c r="BY209" s="168">
        <f t="shared" si="367"/>
        <v>0</v>
      </c>
      <c r="BZ209" s="168">
        <f t="shared" si="367"/>
        <v>0</v>
      </c>
      <c r="CA209" s="168">
        <f t="shared" si="367"/>
        <v>0</v>
      </c>
      <c r="CB209" s="168">
        <f t="shared" si="367"/>
        <v>0</v>
      </c>
      <c r="CC209" s="168">
        <f t="shared" si="367"/>
        <v>0</v>
      </c>
      <c r="CD209" s="168">
        <f t="shared" si="367"/>
        <v>0</v>
      </c>
      <c r="CE209" s="168">
        <f t="shared" si="367"/>
        <v>0</v>
      </c>
    </row>
    <row r="210" spans="1:83" ht="15.5">
      <c r="A210" s="166"/>
      <c r="B210" s="167"/>
      <c r="C210" s="168">
        <f t="shared" ref="C210:BN210" si="368">C123-C37</f>
        <v>0</v>
      </c>
      <c r="D210" s="168">
        <f t="shared" si="368"/>
        <v>0</v>
      </c>
      <c r="E210" s="168">
        <f t="shared" si="368"/>
        <v>0</v>
      </c>
      <c r="F210" s="168">
        <f t="shared" si="368"/>
        <v>0</v>
      </c>
      <c r="G210" s="168">
        <f t="shared" si="368"/>
        <v>0</v>
      </c>
      <c r="H210" s="168">
        <f t="shared" si="368"/>
        <v>0</v>
      </c>
      <c r="I210" s="168">
        <f t="shared" si="368"/>
        <v>0</v>
      </c>
      <c r="J210" s="168">
        <f t="shared" si="368"/>
        <v>0</v>
      </c>
      <c r="K210" s="168">
        <f t="shared" si="368"/>
        <v>0</v>
      </c>
      <c r="L210" s="168">
        <f t="shared" si="368"/>
        <v>0</v>
      </c>
      <c r="M210" s="168">
        <f t="shared" si="368"/>
        <v>0</v>
      </c>
      <c r="N210" s="168">
        <f t="shared" si="368"/>
        <v>0</v>
      </c>
      <c r="O210" s="168">
        <f t="shared" si="368"/>
        <v>0</v>
      </c>
      <c r="P210" s="168">
        <f t="shared" si="368"/>
        <v>0</v>
      </c>
      <c r="Q210" s="168">
        <f t="shared" si="368"/>
        <v>0</v>
      </c>
      <c r="R210" s="168">
        <f t="shared" si="368"/>
        <v>0</v>
      </c>
      <c r="S210" s="168">
        <f t="shared" si="368"/>
        <v>0</v>
      </c>
      <c r="T210" s="168">
        <f t="shared" si="368"/>
        <v>0</v>
      </c>
      <c r="U210" s="168">
        <f t="shared" si="368"/>
        <v>0</v>
      </c>
      <c r="V210" s="168">
        <f t="shared" si="368"/>
        <v>0</v>
      </c>
      <c r="W210" s="168">
        <f t="shared" si="368"/>
        <v>0</v>
      </c>
      <c r="X210" s="168">
        <f t="shared" si="368"/>
        <v>0</v>
      </c>
      <c r="Y210" s="168">
        <f t="shared" si="368"/>
        <v>0</v>
      </c>
      <c r="Z210" s="168">
        <f t="shared" si="368"/>
        <v>0</v>
      </c>
      <c r="AA210" s="168">
        <f t="shared" si="368"/>
        <v>0</v>
      </c>
      <c r="AB210" s="168">
        <f t="shared" si="368"/>
        <v>0</v>
      </c>
      <c r="AC210" s="168">
        <f t="shared" si="368"/>
        <v>0</v>
      </c>
      <c r="AD210" s="168">
        <f t="shared" si="368"/>
        <v>0</v>
      </c>
      <c r="AE210" s="168">
        <f t="shared" si="368"/>
        <v>0</v>
      </c>
      <c r="AF210" s="168">
        <f t="shared" si="368"/>
        <v>0</v>
      </c>
      <c r="AG210" s="168">
        <f t="shared" si="368"/>
        <v>0</v>
      </c>
      <c r="AH210" s="168">
        <f t="shared" si="368"/>
        <v>0</v>
      </c>
      <c r="AI210" s="168">
        <f t="shared" si="368"/>
        <v>0</v>
      </c>
      <c r="AJ210" s="168">
        <f t="shared" si="368"/>
        <v>0</v>
      </c>
      <c r="AK210" s="168">
        <f t="shared" si="368"/>
        <v>0</v>
      </c>
      <c r="AL210" s="168">
        <f t="shared" si="368"/>
        <v>0</v>
      </c>
      <c r="AM210" s="168">
        <f t="shared" si="368"/>
        <v>0</v>
      </c>
      <c r="AN210" s="168">
        <f t="shared" si="368"/>
        <v>0</v>
      </c>
      <c r="AO210" s="168">
        <f t="shared" si="368"/>
        <v>0</v>
      </c>
      <c r="AP210" s="168">
        <f t="shared" si="368"/>
        <v>0</v>
      </c>
      <c r="AQ210" s="168">
        <f t="shared" si="368"/>
        <v>0</v>
      </c>
      <c r="AR210" s="168">
        <f t="shared" si="368"/>
        <v>0</v>
      </c>
      <c r="AS210" s="168">
        <f t="shared" si="368"/>
        <v>0</v>
      </c>
      <c r="AT210" s="168">
        <f t="shared" si="368"/>
        <v>0</v>
      </c>
      <c r="AU210" s="168">
        <f t="shared" si="368"/>
        <v>0</v>
      </c>
      <c r="AV210" s="168">
        <f t="shared" si="368"/>
        <v>0</v>
      </c>
      <c r="AW210" s="168">
        <f t="shared" si="368"/>
        <v>0</v>
      </c>
      <c r="AX210" s="168">
        <f t="shared" si="368"/>
        <v>0</v>
      </c>
      <c r="AY210" s="168">
        <f t="shared" si="368"/>
        <v>0</v>
      </c>
      <c r="AZ210" s="168">
        <f t="shared" si="368"/>
        <v>0</v>
      </c>
      <c r="BA210" s="168">
        <f t="shared" si="368"/>
        <v>0</v>
      </c>
      <c r="BB210" s="168">
        <f t="shared" si="368"/>
        <v>0</v>
      </c>
      <c r="BC210" s="168">
        <f t="shared" si="368"/>
        <v>0</v>
      </c>
      <c r="BD210" s="168">
        <f t="shared" si="368"/>
        <v>0</v>
      </c>
      <c r="BE210" s="168">
        <f t="shared" si="368"/>
        <v>0</v>
      </c>
      <c r="BF210" s="168">
        <f t="shared" si="368"/>
        <v>0</v>
      </c>
      <c r="BG210" s="168">
        <f t="shared" si="368"/>
        <v>0</v>
      </c>
      <c r="BH210" s="168">
        <f t="shared" si="368"/>
        <v>0</v>
      </c>
      <c r="BI210" s="168">
        <f t="shared" si="368"/>
        <v>0</v>
      </c>
      <c r="BJ210" s="168">
        <f t="shared" si="368"/>
        <v>0</v>
      </c>
      <c r="BK210" s="168">
        <f t="shared" si="368"/>
        <v>0</v>
      </c>
      <c r="BL210" s="168">
        <f t="shared" si="368"/>
        <v>0</v>
      </c>
      <c r="BM210" s="168">
        <f t="shared" si="368"/>
        <v>0</v>
      </c>
      <c r="BN210" s="168">
        <f t="shared" si="368"/>
        <v>0</v>
      </c>
      <c r="BO210" s="168">
        <f t="shared" ref="BO210:CE210" si="369">BO123-BO37</f>
        <v>0</v>
      </c>
      <c r="BP210" s="168">
        <f t="shared" si="369"/>
        <v>0</v>
      </c>
      <c r="BQ210" s="168">
        <f t="shared" si="369"/>
        <v>0</v>
      </c>
      <c r="BR210" s="168">
        <f t="shared" si="369"/>
        <v>0</v>
      </c>
      <c r="BS210" s="168">
        <f t="shared" si="369"/>
        <v>0</v>
      </c>
      <c r="BT210" s="168">
        <f t="shared" si="369"/>
        <v>0</v>
      </c>
      <c r="BU210" s="168">
        <f t="shared" si="369"/>
        <v>0</v>
      </c>
      <c r="BV210" s="168">
        <f t="shared" si="369"/>
        <v>0</v>
      </c>
      <c r="BW210" s="168">
        <f t="shared" si="369"/>
        <v>0</v>
      </c>
      <c r="BX210" s="168">
        <f t="shared" si="369"/>
        <v>0</v>
      </c>
      <c r="BY210" s="168">
        <f t="shared" si="369"/>
        <v>0</v>
      </c>
      <c r="BZ210" s="168">
        <f t="shared" si="369"/>
        <v>0</v>
      </c>
      <c r="CA210" s="168">
        <f t="shared" si="369"/>
        <v>0</v>
      </c>
      <c r="CB210" s="168">
        <f t="shared" si="369"/>
        <v>0</v>
      </c>
      <c r="CC210" s="168">
        <f t="shared" si="369"/>
        <v>0</v>
      </c>
      <c r="CD210" s="168">
        <f t="shared" si="369"/>
        <v>0</v>
      </c>
      <c r="CE210" s="168">
        <f t="shared" si="369"/>
        <v>0</v>
      </c>
    </row>
    <row r="211" spans="1:83" ht="21">
      <c r="A211" s="158">
        <v>9</v>
      </c>
      <c r="B211" s="159" t="s">
        <v>3</v>
      </c>
      <c r="C211" s="168">
        <f t="shared" ref="C211:BN211" si="370">C124-C38</f>
        <v>0</v>
      </c>
      <c r="D211" s="168">
        <f t="shared" si="370"/>
        <v>0</v>
      </c>
      <c r="E211" s="168">
        <f t="shared" si="370"/>
        <v>0</v>
      </c>
      <c r="F211" s="168">
        <f t="shared" si="370"/>
        <v>0</v>
      </c>
      <c r="G211" s="168">
        <f t="shared" si="370"/>
        <v>0</v>
      </c>
      <c r="H211" s="168">
        <f t="shared" si="370"/>
        <v>0</v>
      </c>
      <c r="I211" s="168">
        <f t="shared" si="370"/>
        <v>0</v>
      </c>
      <c r="J211" s="168">
        <f t="shared" si="370"/>
        <v>0</v>
      </c>
      <c r="K211" s="168">
        <f t="shared" si="370"/>
        <v>0</v>
      </c>
      <c r="L211" s="168">
        <f t="shared" si="370"/>
        <v>0</v>
      </c>
      <c r="M211" s="168">
        <f t="shared" si="370"/>
        <v>0</v>
      </c>
      <c r="N211" s="168">
        <f t="shared" si="370"/>
        <v>0</v>
      </c>
      <c r="O211" s="168">
        <f t="shared" si="370"/>
        <v>0</v>
      </c>
      <c r="P211" s="168">
        <f t="shared" si="370"/>
        <v>0</v>
      </c>
      <c r="Q211" s="168">
        <f t="shared" si="370"/>
        <v>0</v>
      </c>
      <c r="R211" s="168">
        <f t="shared" si="370"/>
        <v>0</v>
      </c>
      <c r="S211" s="168">
        <f t="shared" si="370"/>
        <v>0</v>
      </c>
      <c r="T211" s="168">
        <f t="shared" si="370"/>
        <v>0</v>
      </c>
      <c r="U211" s="168">
        <f t="shared" si="370"/>
        <v>0</v>
      </c>
      <c r="V211" s="168">
        <f t="shared" si="370"/>
        <v>0</v>
      </c>
      <c r="W211" s="168">
        <f t="shared" si="370"/>
        <v>0</v>
      </c>
      <c r="X211" s="168">
        <f t="shared" si="370"/>
        <v>0</v>
      </c>
      <c r="Y211" s="168">
        <f t="shared" si="370"/>
        <v>0</v>
      </c>
      <c r="Z211" s="168">
        <f t="shared" si="370"/>
        <v>0</v>
      </c>
      <c r="AA211" s="168">
        <f t="shared" si="370"/>
        <v>0</v>
      </c>
      <c r="AB211" s="168">
        <f t="shared" si="370"/>
        <v>0</v>
      </c>
      <c r="AC211" s="168">
        <f t="shared" si="370"/>
        <v>0</v>
      </c>
      <c r="AD211" s="168">
        <f t="shared" si="370"/>
        <v>0</v>
      </c>
      <c r="AE211" s="168">
        <f t="shared" si="370"/>
        <v>0</v>
      </c>
      <c r="AF211" s="168">
        <f t="shared" si="370"/>
        <v>0</v>
      </c>
      <c r="AG211" s="168">
        <f t="shared" si="370"/>
        <v>0</v>
      </c>
      <c r="AH211" s="168">
        <f t="shared" si="370"/>
        <v>0</v>
      </c>
      <c r="AI211" s="168">
        <f t="shared" si="370"/>
        <v>0</v>
      </c>
      <c r="AJ211" s="168">
        <f t="shared" si="370"/>
        <v>0</v>
      </c>
      <c r="AK211" s="168">
        <f t="shared" si="370"/>
        <v>0</v>
      </c>
      <c r="AL211" s="168">
        <f t="shared" si="370"/>
        <v>0</v>
      </c>
      <c r="AM211" s="168">
        <f t="shared" si="370"/>
        <v>0</v>
      </c>
      <c r="AN211" s="168">
        <f t="shared" si="370"/>
        <v>0</v>
      </c>
      <c r="AO211" s="168">
        <f t="shared" si="370"/>
        <v>0</v>
      </c>
      <c r="AP211" s="168">
        <f t="shared" si="370"/>
        <v>0</v>
      </c>
      <c r="AQ211" s="168">
        <f t="shared" si="370"/>
        <v>0</v>
      </c>
      <c r="AR211" s="168">
        <f t="shared" si="370"/>
        <v>0</v>
      </c>
      <c r="AS211" s="168">
        <f t="shared" si="370"/>
        <v>0</v>
      </c>
      <c r="AT211" s="168">
        <f t="shared" si="370"/>
        <v>0</v>
      </c>
      <c r="AU211" s="168">
        <f t="shared" si="370"/>
        <v>0</v>
      </c>
      <c r="AV211" s="168">
        <f t="shared" si="370"/>
        <v>0</v>
      </c>
      <c r="AW211" s="168">
        <f t="shared" si="370"/>
        <v>0</v>
      </c>
      <c r="AX211" s="168">
        <f t="shared" si="370"/>
        <v>0</v>
      </c>
      <c r="AY211" s="168">
        <f t="shared" si="370"/>
        <v>0</v>
      </c>
      <c r="AZ211" s="168">
        <f t="shared" si="370"/>
        <v>0</v>
      </c>
      <c r="BA211" s="168">
        <f t="shared" si="370"/>
        <v>0</v>
      </c>
      <c r="BB211" s="168">
        <f t="shared" si="370"/>
        <v>0</v>
      </c>
      <c r="BC211" s="168">
        <f t="shared" si="370"/>
        <v>0</v>
      </c>
      <c r="BD211" s="168">
        <f t="shared" si="370"/>
        <v>0</v>
      </c>
      <c r="BE211" s="168">
        <f t="shared" si="370"/>
        <v>0</v>
      </c>
      <c r="BF211" s="168">
        <f t="shared" si="370"/>
        <v>0</v>
      </c>
      <c r="BG211" s="168">
        <f t="shared" si="370"/>
        <v>0</v>
      </c>
      <c r="BH211" s="168">
        <f t="shared" si="370"/>
        <v>0</v>
      </c>
      <c r="BI211" s="168">
        <f t="shared" si="370"/>
        <v>0</v>
      </c>
      <c r="BJ211" s="168">
        <f t="shared" si="370"/>
        <v>0</v>
      </c>
      <c r="BK211" s="168">
        <f t="shared" si="370"/>
        <v>0</v>
      </c>
      <c r="BL211" s="168">
        <f t="shared" si="370"/>
        <v>0</v>
      </c>
      <c r="BM211" s="168">
        <f t="shared" si="370"/>
        <v>0</v>
      </c>
      <c r="BN211" s="168">
        <f t="shared" si="370"/>
        <v>0</v>
      </c>
      <c r="BO211" s="168">
        <f t="shared" ref="BO211:CE211" si="371">BO124-BO38</f>
        <v>0</v>
      </c>
      <c r="BP211" s="168">
        <f t="shared" si="371"/>
        <v>0</v>
      </c>
      <c r="BQ211" s="168">
        <f t="shared" si="371"/>
        <v>0</v>
      </c>
      <c r="BR211" s="168">
        <f t="shared" si="371"/>
        <v>0</v>
      </c>
      <c r="BS211" s="168">
        <f t="shared" si="371"/>
        <v>0</v>
      </c>
      <c r="BT211" s="168">
        <f t="shared" si="371"/>
        <v>0</v>
      </c>
      <c r="BU211" s="168">
        <f t="shared" si="371"/>
        <v>0</v>
      </c>
      <c r="BV211" s="168">
        <f t="shared" si="371"/>
        <v>0</v>
      </c>
      <c r="BW211" s="168">
        <f t="shared" si="371"/>
        <v>0</v>
      </c>
      <c r="BX211" s="168">
        <f t="shared" si="371"/>
        <v>0</v>
      </c>
      <c r="BY211" s="168">
        <f t="shared" si="371"/>
        <v>0</v>
      </c>
      <c r="BZ211" s="168">
        <f t="shared" si="371"/>
        <v>0</v>
      </c>
      <c r="CA211" s="168">
        <f t="shared" si="371"/>
        <v>0</v>
      </c>
      <c r="CB211" s="168">
        <f t="shared" si="371"/>
        <v>0</v>
      </c>
      <c r="CC211" s="168">
        <f t="shared" si="371"/>
        <v>0</v>
      </c>
      <c r="CD211" s="168">
        <f t="shared" si="371"/>
        <v>0</v>
      </c>
      <c r="CE211" s="168">
        <f t="shared" si="371"/>
        <v>0</v>
      </c>
    </row>
    <row r="212" spans="1:83" ht="15.5">
      <c r="A212" s="160">
        <v>9</v>
      </c>
      <c r="B212" s="161" t="s">
        <v>194</v>
      </c>
      <c r="C212" s="168">
        <f t="shared" ref="C212:BN212" si="372">C125-C39</f>
        <v>0</v>
      </c>
      <c r="D212" s="168">
        <f t="shared" si="372"/>
        <v>0</v>
      </c>
      <c r="E212" s="168">
        <f t="shared" si="372"/>
        <v>0</v>
      </c>
      <c r="F212" s="168">
        <f t="shared" si="372"/>
        <v>0</v>
      </c>
      <c r="G212" s="168">
        <f t="shared" si="372"/>
        <v>0</v>
      </c>
      <c r="H212" s="168">
        <f t="shared" si="372"/>
        <v>0</v>
      </c>
      <c r="I212" s="168">
        <f t="shared" si="372"/>
        <v>0</v>
      </c>
      <c r="J212" s="168">
        <f t="shared" si="372"/>
        <v>0</v>
      </c>
      <c r="K212" s="168">
        <f t="shared" si="372"/>
        <v>0</v>
      </c>
      <c r="L212" s="168">
        <f t="shared" si="372"/>
        <v>0</v>
      </c>
      <c r="M212" s="168">
        <f t="shared" si="372"/>
        <v>0</v>
      </c>
      <c r="N212" s="168">
        <f t="shared" si="372"/>
        <v>0</v>
      </c>
      <c r="O212" s="168">
        <f t="shared" si="372"/>
        <v>0</v>
      </c>
      <c r="P212" s="168">
        <f t="shared" si="372"/>
        <v>0</v>
      </c>
      <c r="Q212" s="168">
        <f t="shared" si="372"/>
        <v>0</v>
      </c>
      <c r="R212" s="168">
        <f t="shared" si="372"/>
        <v>0</v>
      </c>
      <c r="S212" s="168">
        <f t="shared" si="372"/>
        <v>0</v>
      </c>
      <c r="T212" s="168">
        <f t="shared" si="372"/>
        <v>0</v>
      </c>
      <c r="U212" s="168">
        <f t="shared" si="372"/>
        <v>0</v>
      </c>
      <c r="V212" s="168">
        <f t="shared" si="372"/>
        <v>0</v>
      </c>
      <c r="W212" s="168">
        <f t="shared" si="372"/>
        <v>0</v>
      </c>
      <c r="X212" s="168">
        <f t="shared" si="372"/>
        <v>0</v>
      </c>
      <c r="Y212" s="168">
        <f t="shared" si="372"/>
        <v>0</v>
      </c>
      <c r="Z212" s="168">
        <f t="shared" si="372"/>
        <v>0</v>
      </c>
      <c r="AA212" s="168">
        <f t="shared" si="372"/>
        <v>0</v>
      </c>
      <c r="AB212" s="168">
        <f t="shared" si="372"/>
        <v>0</v>
      </c>
      <c r="AC212" s="168">
        <f t="shared" si="372"/>
        <v>0</v>
      </c>
      <c r="AD212" s="168">
        <f t="shared" si="372"/>
        <v>0</v>
      </c>
      <c r="AE212" s="168">
        <f t="shared" si="372"/>
        <v>0</v>
      </c>
      <c r="AF212" s="168">
        <f t="shared" si="372"/>
        <v>0</v>
      </c>
      <c r="AG212" s="168">
        <f t="shared" si="372"/>
        <v>0</v>
      </c>
      <c r="AH212" s="168">
        <f t="shared" si="372"/>
        <v>0</v>
      </c>
      <c r="AI212" s="168">
        <f t="shared" si="372"/>
        <v>0</v>
      </c>
      <c r="AJ212" s="168">
        <f t="shared" si="372"/>
        <v>0</v>
      </c>
      <c r="AK212" s="168">
        <f t="shared" si="372"/>
        <v>0</v>
      </c>
      <c r="AL212" s="168">
        <f t="shared" si="372"/>
        <v>0</v>
      </c>
      <c r="AM212" s="168">
        <f t="shared" si="372"/>
        <v>0</v>
      </c>
      <c r="AN212" s="168">
        <f t="shared" si="372"/>
        <v>0</v>
      </c>
      <c r="AO212" s="168">
        <f t="shared" si="372"/>
        <v>0</v>
      </c>
      <c r="AP212" s="168">
        <f t="shared" si="372"/>
        <v>0</v>
      </c>
      <c r="AQ212" s="168">
        <f t="shared" si="372"/>
        <v>0</v>
      </c>
      <c r="AR212" s="168">
        <f t="shared" si="372"/>
        <v>0</v>
      </c>
      <c r="AS212" s="168">
        <f t="shared" si="372"/>
        <v>0</v>
      </c>
      <c r="AT212" s="168">
        <f t="shared" si="372"/>
        <v>0</v>
      </c>
      <c r="AU212" s="168">
        <f t="shared" si="372"/>
        <v>0</v>
      </c>
      <c r="AV212" s="168">
        <f t="shared" si="372"/>
        <v>0</v>
      </c>
      <c r="AW212" s="168">
        <f t="shared" si="372"/>
        <v>0</v>
      </c>
      <c r="AX212" s="168">
        <f t="shared" si="372"/>
        <v>0</v>
      </c>
      <c r="AY212" s="168">
        <f t="shared" si="372"/>
        <v>0</v>
      </c>
      <c r="AZ212" s="168">
        <f t="shared" si="372"/>
        <v>0</v>
      </c>
      <c r="BA212" s="168">
        <f t="shared" si="372"/>
        <v>0</v>
      </c>
      <c r="BB212" s="168">
        <f t="shared" si="372"/>
        <v>0</v>
      </c>
      <c r="BC212" s="168">
        <f t="shared" si="372"/>
        <v>0</v>
      </c>
      <c r="BD212" s="168">
        <f t="shared" si="372"/>
        <v>0</v>
      </c>
      <c r="BE212" s="168">
        <f t="shared" si="372"/>
        <v>0</v>
      </c>
      <c r="BF212" s="168">
        <f t="shared" si="372"/>
        <v>0</v>
      </c>
      <c r="BG212" s="168">
        <f t="shared" si="372"/>
        <v>0</v>
      </c>
      <c r="BH212" s="168">
        <f t="shared" si="372"/>
        <v>0</v>
      </c>
      <c r="BI212" s="168">
        <f t="shared" si="372"/>
        <v>0</v>
      </c>
      <c r="BJ212" s="168">
        <f t="shared" si="372"/>
        <v>0</v>
      </c>
      <c r="BK212" s="168">
        <f t="shared" si="372"/>
        <v>0</v>
      </c>
      <c r="BL212" s="168">
        <f t="shared" si="372"/>
        <v>0</v>
      </c>
      <c r="BM212" s="168">
        <f t="shared" si="372"/>
        <v>0</v>
      </c>
      <c r="BN212" s="168">
        <f t="shared" si="372"/>
        <v>0</v>
      </c>
      <c r="BO212" s="168">
        <f t="shared" ref="BO212:CE212" si="373">BO125-BO39</f>
        <v>0</v>
      </c>
      <c r="BP212" s="168">
        <f t="shared" si="373"/>
        <v>0</v>
      </c>
      <c r="BQ212" s="168">
        <f t="shared" si="373"/>
        <v>0</v>
      </c>
      <c r="BR212" s="168">
        <f t="shared" si="373"/>
        <v>0</v>
      </c>
      <c r="BS212" s="168">
        <f t="shared" si="373"/>
        <v>0</v>
      </c>
      <c r="BT212" s="168">
        <f t="shared" si="373"/>
        <v>0</v>
      </c>
      <c r="BU212" s="168">
        <f t="shared" si="373"/>
        <v>0</v>
      </c>
      <c r="BV212" s="168">
        <f t="shared" si="373"/>
        <v>0</v>
      </c>
      <c r="BW212" s="168">
        <f t="shared" si="373"/>
        <v>0</v>
      </c>
      <c r="BX212" s="168">
        <f t="shared" si="373"/>
        <v>0</v>
      </c>
      <c r="BY212" s="168">
        <f t="shared" si="373"/>
        <v>0</v>
      </c>
      <c r="BZ212" s="168">
        <f t="shared" si="373"/>
        <v>0</v>
      </c>
      <c r="CA212" s="168">
        <f t="shared" si="373"/>
        <v>0</v>
      </c>
      <c r="CB212" s="168">
        <f t="shared" si="373"/>
        <v>0</v>
      </c>
      <c r="CC212" s="168">
        <f t="shared" si="373"/>
        <v>0</v>
      </c>
      <c r="CD212" s="168">
        <f t="shared" si="373"/>
        <v>0</v>
      </c>
      <c r="CE212" s="168">
        <f t="shared" si="373"/>
        <v>0</v>
      </c>
    </row>
    <row r="213" spans="1:83" ht="15.5">
      <c r="A213" s="160">
        <v>9</v>
      </c>
      <c r="B213" s="162" t="s">
        <v>139</v>
      </c>
      <c r="C213" s="168">
        <f t="shared" ref="C213:BN213" si="374">C126-C40</f>
        <v>0</v>
      </c>
      <c r="D213" s="168">
        <f t="shared" si="374"/>
        <v>0</v>
      </c>
      <c r="E213" s="168">
        <f t="shared" si="374"/>
        <v>0</v>
      </c>
      <c r="F213" s="168">
        <f t="shared" si="374"/>
        <v>0</v>
      </c>
      <c r="G213" s="168">
        <f t="shared" si="374"/>
        <v>0</v>
      </c>
      <c r="H213" s="168">
        <f t="shared" si="374"/>
        <v>0</v>
      </c>
      <c r="I213" s="168">
        <f t="shared" si="374"/>
        <v>0</v>
      </c>
      <c r="J213" s="168">
        <f t="shared" si="374"/>
        <v>0</v>
      </c>
      <c r="K213" s="168">
        <f t="shared" si="374"/>
        <v>0</v>
      </c>
      <c r="L213" s="168">
        <f t="shared" si="374"/>
        <v>0</v>
      </c>
      <c r="M213" s="168">
        <f t="shared" si="374"/>
        <v>0</v>
      </c>
      <c r="N213" s="168">
        <f t="shared" si="374"/>
        <v>0</v>
      </c>
      <c r="O213" s="168">
        <f t="shared" si="374"/>
        <v>0</v>
      </c>
      <c r="P213" s="168">
        <f t="shared" si="374"/>
        <v>0</v>
      </c>
      <c r="Q213" s="168">
        <f t="shared" si="374"/>
        <v>0</v>
      </c>
      <c r="R213" s="168">
        <f t="shared" si="374"/>
        <v>0</v>
      </c>
      <c r="S213" s="168">
        <f t="shared" si="374"/>
        <v>0</v>
      </c>
      <c r="T213" s="168">
        <f t="shared" si="374"/>
        <v>0</v>
      </c>
      <c r="U213" s="168">
        <f t="shared" si="374"/>
        <v>0</v>
      </c>
      <c r="V213" s="168">
        <f t="shared" si="374"/>
        <v>0</v>
      </c>
      <c r="W213" s="168">
        <f t="shared" si="374"/>
        <v>0</v>
      </c>
      <c r="X213" s="168">
        <f t="shared" si="374"/>
        <v>0</v>
      </c>
      <c r="Y213" s="168">
        <f t="shared" si="374"/>
        <v>0</v>
      </c>
      <c r="Z213" s="168">
        <f t="shared" si="374"/>
        <v>0</v>
      </c>
      <c r="AA213" s="168">
        <f t="shared" si="374"/>
        <v>0</v>
      </c>
      <c r="AB213" s="168">
        <f t="shared" si="374"/>
        <v>0</v>
      </c>
      <c r="AC213" s="168">
        <f t="shared" si="374"/>
        <v>0</v>
      </c>
      <c r="AD213" s="168">
        <f t="shared" si="374"/>
        <v>0</v>
      </c>
      <c r="AE213" s="168">
        <f t="shared" si="374"/>
        <v>0</v>
      </c>
      <c r="AF213" s="168">
        <f t="shared" si="374"/>
        <v>0</v>
      </c>
      <c r="AG213" s="168">
        <f t="shared" si="374"/>
        <v>0</v>
      </c>
      <c r="AH213" s="168">
        <f t="shared" si="374"/>
        <v>0</v>
      </c>
      <c r="AI213" s="168">
        <f t="shared" si="374"/>
        <v>0</v>
      </c>
      <c r="AJ213" s="168">
        <f t="shared" si="374"/>
        <v>0</v>
      </c>
      <c r="AK213" s="168">
        <f t="shared" si="374"/>
        <v>0</v>
      </c>
      <c r="AL213" s="168">
        <f t="shared" si="374"/>
        <v>0</v>
      </c>
      <c r="AM213" s="168">
        <f t="shared" si="374"/>
        <v>0</v>
      </c>
      <c r="AN213" s="168">
        <f t="shared" si="374"/>
        <v>0</v>
      </c>
      <c r="AO213" s="168">
        <f t="shared" si="374"/>
        <v>0</v>
      </c>
      <c r="AP213" s="168">
        <f t="shared" si="374"/>
        <v>0</v>
      </c>
      <c r="AQ213" s="168">
        <f t="shared" si="374"/>
        <v>0</v>
      </c>
      <c r="AR213" s="168">
        <f t="shared" si="374"/>
        <v>0</v>
      </c>
      <c r="AS213" s="168">
        <f t="shared" si="374"/>
        <v>0</v>
      </c>
      <c r="AT213" s="168">
        <f t="shared" si="374"/>
        <v>0</v>
      </c>
      <c r="AU213" s="168">
        <f t="shared" si="374"/>
        <v>0</v>
      </c>
      <c r="AV213" s="168">
        <f t="shared" si="374"/>
        <v>0</v>
      </c>
      <c r="AW213" s="168">
        <f t="shared" si="374"/>
        <v>0</v>
      </c>
      <c r="AX213" s="168">
        <f t="shared" si="374"/>
        <v>0</v>
      </c>
      <c r="AY213" s="168">
        <f t="shared" si="374"/>
        <v>0</v>
      </c>
      <c r="AZ213" s="168">
        <f t="shared" si="374"/>
        <v>0</v>
      </c>
      <c r="BA213" s="168">
        <f t="shared" si="374"/>
        <v>0</v>
      </c>
      <c r="BB213" s="168">
        <f t="shared" si="374"/>
        <v>0</v>
      </c>
      <c r="BC213" s="168">
        <f t="shared" si="374"/>
        <v>0</v>
      </c>
      <c r="BD213" s="168">
        <f t="shared" si="374"/>
        <v>0</v>
      </c>
      <c r="BE213" s="168">
        <f t="shared" si="374"/>
        <v>0</v>
      </c>
      <c r="BF213" s="168">
        <f t="shared" si="374"/>
        <v>0</v>
      </c>
      <c r="BG213" s="168">
        <f t="shared" si="374"/>
        <v>0</v>
      </c>
      <c r="BH213" s="168">
        <f t="shared" si="374"/>
        <v>0</v>
      </c>
      <c r="BI213" s="168">
        <f t="shared" si="374"/>
        <v>0</v>
      </c>
      <c r="BJ213" s="168">
        <f t="shared" si="374"/>
        <v>0</v>
      </c>
      <c r="BK213" s="168">
        <f t="shared" si="374"/>
        <v>0</v>
      </c>
      <c r="BL213" s="168">
        <f t="shared" si="374"/>
        <v>0</v>
      </c>
      <c r="BM213" s="168">
        <f t="shared" si="374"/>
        <v>0</v>
      </c>
      <c r="BN213" s="168">
        <f t="shared" si="374"/>
        <v>0</v>
      </c>
      <c r="BO213" s="168">
        <f t="shared" ref="BO213:CE213" si="375">BO126-BO40</f>
        <v>0</v>
      </c>
      <c r="BP213" s="168">
        <f t="shared" si="375"/>
        <v>0</v>
      </c>
      <c r="BQ213" s="168">
        <f t="shared" si="375"/>
        <v>0</v>
      </c>
      <c r="BR213" s="168">
        <f t="shared" si="375"/>
        <v>0</v>
      </c>
      <c r="BS213" s="168">
        <f t="shared" si="375"/>
        <v>0</v>
      </c>
      <c r="BT213" s="168">
        <f t="shared" si="375"/>
        <v>0</v>
      </c>
      <c r="BU213" s="168">
        <f t="shared" si="375"/>
        <v>0</v>
      </c>
      <c r="BV213" s="168">
        <f t="shared" si="375"/>
        <v>0</v>
      </c>
      <c r="BW213" s="168">
        <f t="shared" si="375"/>
        <v>0</v>
      </c>
      <c r="BX213" s="168">
        <f t="shared" si="375"/>
        <v>0</v>
      </c>
      <c r="BY213" s="168">
        <f t="shared" si="375"/>
        <v>0</v>
      </c>
      <c r="BZ213" s="168">
        <f t="shared" si="375"/>
        <v>0</v>
      </c>
      <c r="CA213" s="168">
        <f t="shared" si="375"/>
        <v>0</v>
      </c>
      <c r="CB213" s="168">
        <f t="shared" si="375"/>
        <v>0</v>
      </c>
      <c r="CC213" s="168">
        <f t="shared" si="375"/>
        <v>0</v>
      </c>
      <c r="CD213" s="168">
        <f t="shared" si="375"/>
        <v>0</v>
      </c>
      <c r="CE213" s="168">
        <f t="shared" si="375"/>
        <v>0</v>
      </c>
    </row>
    <row r="214" spans="1:83" ht="15.5">
      <c r="A214" s="160">
        <v>9</v>
      </c>
      <c r="B214" s="163" t="s">
        <v>140</v>
      </c>
      <c r="C214" s="168">
        <f t="shared" ref="C214:BN214" si="376">C127-C41</f>
        <v>0</v>
      </c>
      <c r="D214" s="168">
        <f t="shared" si="376"/>
        <v>0</v>
      </c>
      <c r="E214" s="168">
        <f t="shared" si="376"/>
        <v>0</v>
      </c>
      <c r="F214" s="168">
        <f t="shared" si="376"/>
        <v>0</v>
      </c>
      <c r="G214" s="168">
        <f t="shared" si="376"/>
        <v>0</v>
      </c>
      <c r="H214" s="168">
        <f t="shared" si="376"/>
        <v>0</v>
      </c>
      <c r="I214" s="168">
        <f t="shared" si="376"/>
        <v>0</v>
      </c>
      <c r="J214" s="168">
        <f t="shared" si="376"/>
        <v>0</v>
      </c>
      <c r="K214" s="168">
        <f t="shared" si="376"/>
        <v>0</v>
      </c>
      <c r="L214" s="168">
        <f t="shared" si="376"/>
        <v>0</v>
      </c>
      <c r="M214" s="168">
        <f t="shared" si="376"/>
        <v>0</v>
      </c>
      <c r="N214" s="168">
        <f t="shared" si="376"/>
        <v>0</v>
      </c>
      <c r="O214" s="168">
        <f t="shared" si="376"/>
        <v>0</v>
      </c>
      <c r="P214" s="168">
        <f t="shared" si="376"/>
        <v>0</v>
      </c>
      <c r="Q214" s="168">
        <f t="shared" si="376"/>
        <v>0</v>
      </c>
      <c r="R214" s="168">
        <f t="shared" si="376"/>
        <v>0</v>
      </c>
      <c r="S214" s="168">
        <f t="shared" si="376"/>
        <v>0</v>
      </c>
      <c r="T214" s="168">
        <f t="shared" si="376"/>
        <v>0</v>
      </c>
      <c r="U214" s="168">
        <f t="shared" si="376"/>
        <v>0</v>
      </c>
      <c r="V214" s="168">
        <f t="shared" si="376"/>
        <v>0</v>
      </c>
      <c r="W214" s="168">
        <f t="shared" si="376"/>
        <v>0</v>
      </c>
      <c r="X214" s="168">
        <f t="shared" si="376"/>
        <v>0</v>
      </c>
      <c r="Y214" s="168">
        <f t="shared" si="376"/>
        <v>0</v>
      </c>
      <c r="Z214" s="168">
        <f t="shared" si="376"/>
        <v>0</v>
      </c>
      <c r="AA214" s="168">
        <f t="shared" si="376"/>
        <v>0</v>
      </c>
      <c r="AB214" s="168">
        <f t="shared" si="376"/>
        <v>0</v>
      </c>
      <c r="AC214" s="168">
        <f t="shared" si="376"/>
        <v>0</v>
      </c>
      <c r="AD214" s="168">
        <f t="shared" si="376"/>
        <v>0</v>
      </c>
      <c r="AE214" s="168">
        <f t="shared" si="376"/>
        <v>0</v>
      </c>
      <c r="AF214" s="168">
        <f t="shared" si="376"/>
        <v>0</v>
      </c>
      <c r="AG214" s="168">
        <f t="shared" si="376"/>
        <v>0</v>
      </c>
      <c r="AH214" s="168">
        <f t="shared" si="376"/>
        <v>0</v>
      </c>
      <c r="AI214" s="168">
        <f t="shared" si="376"/>
        <v>0</v>
      </c>
      <c r="AJ214" s="168">
        <f t="shared" si="376"/>
        <v>0</v>
      </c>
      <c r="AK214" s="168">
        <f t="shared" si="376"/>
        <v>0</v>
      </c>
      <c r="AL214" s="168">
        <f t="shared" si="376"/>
        <v>0</v>
      </c>
      <c r="AM214" s="168">
        <f t="shared" si="376"/>
        <v>0</v>
      </c>
      <c r="AN214" s="168">
        <f t="shared" si="376"/>
        <v>0</v>
      </c>
      <c r="AO214" s="168">
        <f t="shared" si="376"/>
        <v>0</v>
      </c>
      <c r="AP214" s="168">
        <f t="shared" si="376"/>
        <v>0</v>
      </c>
      <c r="AQ214" s="168">
        <f t="shared" si="376"/>
        <v>0</v>
      </c>
      <c r="AR214" s="168">
        <f t="shared" si="376"/>
        <v>0</v>
      </c>
      <c r="AS214" s="168">
        <f t="shared" si="376"/>
        <v>0</v>
      </c>
      <c r="AT214" s="168">
        <f t="shared" si="376"/>
        <v>0</v>
      </c>
      <c r="AU214" s="168">
        <f t="shared" si="376"/>
        <v>0</v>
      </c>
      <c r="AV214" s="168">
        <f t="shared" si="376"/>
        <v>0</v>
      </c>
      <c r="AW214" s="168">
        <f t="shared" si="376"/>
        <v>0</v>
      </c>
      <c r="AX214" s="168">
        <f t="shared" si="376"/>
        <v>0</v>
      </c>
      <c r="AY214" s="168">
        <f t="shared" si="376"/>
        <v>0</v>
      </c>
      <c r="AZ214" s="168">
        <f t="shared" si="376"/>
        <v>0</v>
      </c>
      <c r="BA214" s="168">
        <f t="shared" si="376"/>
        <v>0</v>
      </c>
      <c r="BB214" s="168">
        <f t="shared" si="376"/>
        <v>0</v>
      </c>
      <c r="BC214" s="168">
        <f t="shared" si="376"/>
        <v>0</v>
      </c>
      <c r="BD214" s="168">
        <f t="shared" si="376"/>
        <v>0</v>
      </c>
      <c r="BE214" s="168">
        <f t="shared" si="376"/>
        <v>0</v>
      </c>
      <c r="BF214" s="168">
        <f t="shared" si="376"/>
        <v>0</v>
      </c>
      <c r="BG214" s="168">
        <f t="shared" si="376"/>
        <v>0</v>
      </c>
      <c r="BH214" s="168">
        <f t="shared" si="376"/>
        <v>0</v>
      </c>
      <c r="BI214" s="168">
        <f t="shared" si="376"/>
        <v>0</v>
      </c>
      <c r="BJ214" s="168">
        <f t="shared" si="376"/>
        <v>0</v>
      </c>
      <c r="BK214" s="168">
        <f t="shared" si="376"/>
        <v>0</v>
      </c>
      <c r="BL214" s="168">
        <f t="shared" si="376"/>
        <v>0</v>
      </c>
      <c r="BM214" s="168">
        <f t="shared" si="376"/>
        <v>0</v>
      </c>
      <c r="BN214" s="168">
        <f t="shared" si="376"/>
        <v>0</v>
      </c>
      <c r="BO214" s="168">
        <f t="shared" ref="BO214:CE214" si="377">BO127-BO41</f>
        <v>0</v>
      </c>
      <c r="BP214" s="168">
        <f t="shared" si="377"/>
        <v>0</v>
      </c>
      <c r="BQ214" s="168">
        <f t="shared" si="377"/>
        <v>0</v>
      </c>
      <c r="BR214" s="168">
        <f t="shared" si="377"/>
        <v>0</v>
      </c>
      <c r="BS214" s="168">
        <f t="shared" si="377"/>
        <v>0</v>
      </c>
      <c r="BT214" s="168">
        <f t="shared" si="377"/>
        <v>0</v>
      </c>
      <c r="BU214" s="168">
        <f t="shared" si="377"/>
        <v>0</v>
      </c>
      <c r="BV214" s="168">
        <f t="shared" si="377"/>
        <v>0</v>
      </c>
      <c r="BW214" s="168">
        <f t="shared" si="377"/>
        <v>0</v>
      </c>
      <c r="BX214" s="168">
        <f t="shared" si="377"/>
        <v>0</v>
      </c>
      <c r="BY214" s="168">
        <f t="shared" si="377"/>
        <v>0</v>
      </c>
      <c r="BZ214" s="168">
        <f t="shared" si="377"/>
        <v>0</v>
      </c>
      <c r="CA214" s="168">
        <f t="shared" si="377"/>
        <v>0</v>
      </c>
      <c r="CB214" s="168">
        <f t="shared" si="377"/>
        <v>0</v>
      </c>
      <c r="CC214" s="168">
        <f t="shared" si="377"/>
        <v>0</v>
      </c>
      <c r="CD214" s="168">
        <f t="shared" si="377"/>
        <v>0</v>
      </c>
      <c r="CE214" s="168">
        <f t="shared" si="377"/>
        <v>0</v>
      </c>
    </row>
    <row r="215" spans="1:83" ht="15.5">
      <c r="A215" s="160">
        <v>9</v>
      </c>
      <c r="B215" s="164" t="s">
        <v>195</v>
      </c>
      <c r="C215" s="168">
        <f t="shared" ref="C215:BN215" si="378">C128-C42</f>
        <v>0</v>
      </c>
      <c r="D215" s="168">
        <f t="shared" si="378"/>
        <v>0</v>
      </c>
      <c r="E215" s="168">
        <f t="shared" si="378"/>
        <v>0</v>
      </c>
      <c r="F215" s="168">
        <f t="shared" si="378"/>
        <v>0</v>
      </c>
      <c r="G215" s="168">
        <f t="shared" si="378"/>
        <v>0</v>
      </c>
      <c r="H215" s="168">
        <f t="shared" si="378"/>
        <v>0</v>
      </c>
      <c r="I215" s="168">
        <f t="shared" si="378"/>
        <v>0</v>
      </c>
      <c r="J215" s="168">
        <f t="shared" si="378"/>
        <v>0</v>
      </c>
      <c r="K215" s="168">
        <f t="shared" si="378"/>
        <v>0</v>
      </c>
      <c r="L215" s="168">
        <f t="shared" si="378"/>
        <v>0</v>
      </c>
      <c r="M215" s="168">
        <f t="shared" si="378"/>
        <v>0</v>
      </c>
      <c r="N215" s="168">
        <f t="shared" si="378"/>
        <v>0</v>
      </c>
      <c r="O215" s="168">
        <f t="shared" si="378"/>
        <v>0</v>
      </c>
      <c r="P215" s="168">
        <f t="shared" si="378"/>
        <v>0</v>
      </c>
      <c r="Q215" s="168">
        <f t="shared" si="378"/>
        <v>0</v>
      </c>
      <c r="R215" s="168">
        <f t="shared" si="378"/>
        <v>0</v>
      </c>
      <c r="S215" s="168">
        <f t="shared" si="378"/>
        <v>0</v>
      </c>
      <c r="T215" s="168">
        <f t="shared" si="378"/>
        <v>0</v>
      </c>
      <c r="U215" s="168">
        <f t="shared" si="378"/>
        <v>0</v>
      </c>
      <c r="V215" s="168">
        <f t="shared" si="378"/>
        <v>0</v>
      </c>
      <c r="W215" s="168">
        <f t="shared" si="378"/>
        <v>0</v>
      </c>
      <c r="X215" s="168">
        <f t="shared" si="378"/>
        <v>0</v>
      </c>
      <c r="Y215" s="168">
        <f t="shared" si="378"/>
        <v>0</v>
      </c>
      <c r="Z215" s="168">
        <f t="shared" si="378"/>
        <v>0</v>
      </c>
      <c r="AA215" s="168">
        <f t="shared" si="378"/>
        <v>0</v>
      </c>
      <c r="AB215" s="168">
        <f t="shared" si="378"/>
        <v>0</v>
      </c>
      <c r="AC215" s="168">
        <f t="shared" si="378"/>
        <v>0</v>
      </c>
      <c r="AD215" s="168">
        <f t="shared" si="378"/>
        <v>0</v>
      </c>
      <c r="AE215" s="168">
        <f t="shared" si="378"/>
        <v>0</v>
      </c>
      <c r="AF215" s="168">
        <f t="shared" si="378"/>
        <v>0</v>
      </c>
      <c r="AG215" s="168">
        <f t="shared" si="378"/>
        <v>0</v>
      </c>
      <c r="AH215" s="168">
        <f t="shared" si="378"/>
        <v>0</v>
      </c>
      <c r="AI215" s="168">
        <f t="shared" si="378"/>
        <v>0</v>
      </c>
      <c r="AJ215" s="168">
        <f t="shared" si="378"/>
        <v>0</v>
      </c>
      <c r="AK215" s="168">
        <f t="shared" si="378"/>
        <v>0</v>
      </c>
      <c r="AL215" s="168">
        <f t="shared" si="378"/>
        <v>0</v>
      </c>
      <c r="AM215" s="168">
        <f t="shared" si="378"/>
        <v>0</v>
      </c>
      <c r="AN215" s="168">
        <f t="shared" si="378"/>
        <v>0</v>
      </c>
      <c r="AO215" s="168">
        <f t="shared" si="378"/>
        <v>0</v>
      </c>
      <c r="AP215" s="168">
        <f t="shared" si="378"/>
        <v>0</v>
      </c>
      <c r="AQ215" s="168">
        <f t="shared" si="378"/>
        <v>0</v>
      </c>
      <c r="AR215" s="168">
        <f t="shared" si="378"/>
        <v>0</v>
      </c>
      <c r="AS215" s="168">
        <f t="shared" si="378"/>
        <v>0</v>
      </c>
      <c r="AT215" s="168">
        <f t="shared" si="378"/>
        <v>0</v>
      </c>
      <c r="AU215" s="168">
        <f t="shared" si="378"/>
        <v>0</v>
      </c>
      <c r="AV215" s="168">
        <f t="shared" si="378"/>
        <v>0</v>
      </c>
      <c r="AW215" s="168">
        <f t="shared" si="378"/>
        <v>0</v>
      </c>
      <c r="AX215" s="168">
        <f t="shared" si="378"/>
        <v>0</v>
      </c>
      <c r="AY215" s="168">
        <f t="shared" si="378"/>
        <v>0</v>
      </c>
      <c r="AZ215" s="168">
        <f t="shared" si="378"/>
        <v>0</v>
      </c>
      <c r="BA215" s="168">
        <f t="shared" si="378"/>
        <v>0</v>
      </c>
      <c r="BB215" s="168">
        <f t="shared" si="378"/>
        <v>0</v>
      </c>
      <c r="BC215" s="168">
        <f t="shared" si="378"/>
        <v>0</v>
      </c>
      <c r="BD215" s="168">
        <f t="shared" si="378"/>
        <v>0</v>
      </c>
      <c r="BE215" s="168">
        <f t="shared" si="378"/>
        <v>0</v>
      </c>
      <c r="BF215" s="168">
        <f t="shared" si="378"/>
        <v>0</v>
      </c>
      <c r="BG215" s="168">
        <f t="shared" si="378"/>
        <v>0</v>
      </c>
      <c r="BH215" s="168">
        <f t="shared" si="378"/>
        <v>0</v>
      </c>
      <c r="BI215" s="168">
        <f t="shared" si="378"/>
        <v>0</v>
      </c>
      <c r="BJ215" s="168">
        <f t="shared" si="378"/>
        <v>0</v>
      </c>
      <c r="BK215" s="168">
        <f t="shared" si="378"/>
        <v>0</v>
      </c>
      <c r="BL215" s="168">
        <f t="shared" si="378"/>
        <v>0</v>
      </c>
      <c r="BM215" s="168">
        <f t="shared" si="378"/>
        <v>0</v>
      </c>
      <c r="BN215" s="168">
        <f t="shared" si="378"/>
        <v>0</v>
      </c>
      <c r="BO215" s="168">
        <f t="shared" ref="BO215:CE215" si="379">BO128-BO42</f>
        <v>0</v>
      </c>
      <c r="BP215" s="168">
        <f t="shared" si="379"/>
        <v>0</v>
      </c>
      <c r="BQ215" s="168">
        <f t="shared" si="379"/>
        <v>0</v>
      </c>
      <c r="BR215" s="168">
        <f t="shared" si="379"/>
        <v>0</v>
      </c>
      <c r="BS215" s="168">
        <f t="shared" si="379"/>
        <v>0</v>
      </c>
      <c r="BT215" s="168">
        <f t="shared" si="379"/>
        <v>0</v>
      </c>
      <c r="BU215" s="168">
        <f t="shared" si="379"/>
        <v>0</v>
      </c>
      <c r="BV215" s="168">
        <f t="shared" si="379"/>
        <v>0</v>
      </c>
      <c r="BW215" s="168">
        <f t="shared" si="379"/>
        <v>0</v>
      </c>
      <c r="BX215" s="168">
        <f t="shared" si="379"/>
        <v>0</v>
      </c>
      <c r="BY215" s="168">
        <f t="shared" si="379"/>
        <v>0</v>
      </c>
      <c r="BZ215" s="168">
        <f t="shared" si="379"/>
        <v>0</v>
      </c>
      <c r="CA215" s="168">
        <f t="shared" si="379"/>
        <v>0</v>
      </c>
      <c r="CB215" s="168">
        <f t="shared" si="379"/>
        <v>0</v>
      </c>
      <c r="CC215" s="168">
        <f t="shared" si="379"/>
        <v>0</v>
      </c>
      <c r="CD215" s="168">
        <f t="shared" si="379"/>
        <v>0</v>
      </c>
      <c r="CE215" s="168">
        <f t="shared" si="379"/>
        <v>0</v>
      </c>
    </row>
    <row r="216" spans="1:83" ht="15.5">
      <c r="A216" s="160">
        <v>9</v>
      </c>
      <c r="B216" s="165" t="s">
        <v>196</v>
      </c>
      <c r="C216" s="168">
        <f t="shared" ref="C216:BN216" si="380">C129-C43</f>
        <v>0</v>
      </c>
      <c r="D216" s="168">
        <f t="shared" si="380"/>
        <v>0</v>
      </c>
      <c r="E216" s="168">
        <f t="shared" si="380"/>
        <v>0</v>
      </c>
      <c r="F216" s="168">
        <f t="shared" si="380"/>
        <v>0</v>
      </c>
      <c r="G216" s="168">
        <f t="shared" si="380"/>
        <v>0</v>
      </c>
      <c r="H216" s="168">
        <f t="shared" si="380"/>
        <v>0</v>
      </c>
      <c r="I216" s="168">
        <f t="shared" si="380"/>
        <v>0</v>
      </c>
      <c r="J216" s="168">
        <f t="shared" si="380"/>
        <v>0</v>
      </c>
      <c r="K216" s="168">
        <f t="shared" si="380"/>
        <v>0</v>
      </c>
      <c r="L216" s="168">
        <f t="shared" si="380"/>
        <v>0</v>
      </c>
      <c r="M216" s="168">
        <f t="shared" si="380"/>
        <v>0</v>
      </c>
      <c r="N216" s="168">
        <f t="shared" si="380"/>
        <v>0</v>
      </c>
      <c r="O216" s="168">
        <f t="shared" si="380"/>
        <v>0</v>
      </c>
      <c r="P216" s="168">
        <f t="shared" si="380"/>
        <v>0</v>
      </c>
      <c r="Q216" s="168">
        <f t="shared" si="380"/>
        <v>0</v>
      </c>
      <c r="R216" s="168">
        <f t="shared" si="380"/>
        <v>0</v>
      </c>
      <c r="S216" s="168">
        <f t="shared" si="380"/>
        <v>0</v>
      </c>
      <c r="T216" s="168">
        <f t="shared" si="380"/>
        <v>0</v>
      </c>
      <c r="U216" s="168">
        <f t="shared" si="380"/>
        <v>0</v>
      </c>
      <c r="V216" s="168">
        <f t="shared" si="380"/>
        <v>0</v>
      </c>
      <c r="W216" s="168">
        <f t="shared" si="380"/>
        <v>0</v>
      </c>
      <c r="X216" s="168">
        <f t="shared" si="380"/>
        <v>0</v>
      </c>
      <c r="Y216" s="168">
        <f t="shared" si="380"/>
        <v>0</v>
      </c>
      <c r="Z216" s="168">
        <f t="shared" si="380"/>
        <v>0</v>
      </c>
      <c r="AA216" s="168">
        <f t="shared" si="380"/>
        <v>0</v>
      </c>
      <c r="AB216" s="168">
        <f t="shared" si="380"/>
        <v>0</v>
      </c>
      <c r="AC216" s="168">
        <f t="shared" si="380"/>
        <v>0</v>
      </c>
      <c r="AD216" s="168">
        <f t="shared" si="380"/>
        <v>0</v>
      </c>
      <c r="AE216" s="168">
        <f t="shared" si="380"/>
        <v>0</v>
      </c>
      <c r="AF216" s="168">
        <f t="shared" si="380"/>
        <v>0</v>
      </c>
      <c r="AG216" s="168">
        <f t="shared" si="380"/>
        <v>0</v>
      </c>
      <c r="AH216" s="168">
        <f t="shared" si="380"/>
        <v>0</v>
      </c>
      <c r="AI216" s="168">
        <f t="shared" si="380"/>
        <v>0</v>
      </c>
      <c r="AJ216" s="168">
        <f t="shared" si="380"/>
        <v>0</v>
      </c>
      <c r="AK216" s="168">
        <f t="shared" si="380"/>
        <v>0</v>
      </c>
      <c r="AL216" s="168">
        <f t="shared" si="380"/>
        <v>0</v>
      </c>
      <c r="AM216" s="168">
        <f t="shared" si="380"/>
        <v>0</v>
      </c>
      <c r="AN216" s="168">
        <f t="shared" si="380"/>
        <v>0</v>
      </c>
      <c r="AO216" s="168">
        <f t="shared" si="380"/>
        <v>0</v>
      </c>
      <c r="AP216" s="168">
        <f t="shared" si="380"/>
        <v>0</v>
      </c>
      <c r="AQ216" s="168">
        <f t="shared" si="380"/>
        <v>0</v>
      </c>
      <c r="AR216" s="168">
        <f t="shared" si="380"/>
        <v>0</v>
      </c>
      <c r="AS216" s="168">
        <f t="shared" si="380"/>
        <v>0</v>
      </c>
      <c r="AT216" s="168">
        <f t="shared" si="380"/>
        <v>0</v>
      </c>
      <c r="AU216" s="168">
        <f t="shared" si="380"/>
        <v>0</v>
      </c>
      <c r="AV216" s="168">
        <f t="shared" si="380"/>
        <v>0</v>
      </c>
      <c r="AW216" s="168">
        <f t="shared" si="380"/>
        <v>0</v>
      </c>
      <c r="AX216" s="168">
        <f t="shared" si="380"/>
        <v>0</v>
      </c>
      <c r="AY216" s="168">
        <f t="shared" si="380"/>
        <v>0</v>
      </c>
      <c r="AZ216" s="168">
        <f t="shared" si="380"/>
        <v>0</v>
      </c>
      <c r="BA216" s="168">
        <f t="shared" si="380"/>
        <v>0</v>
      </c>
      <c r="BB216" s="168">
        <f t="shared" si="380"/>
        <v>0</v>
      </c>
      <c r="BC216" s="168">
        <f t="shared" si="380"/>
        <v>0</v>
      </c>
      <c r="BD216" s="168">
        <f t="shared" si="380"/>
        <v>0</v>
      </c>
      <c r="BE216" s="168">
        <f t="shared" si="380"/>
        <v>0</v>
      </c>
      <c r="BF216" s="168">
        <f t="shared" si="380"/>
        <v>0</v>
      </c>
      <c r="BG216" s="168">
        <f t="shared" si="380"/>
        <v>0</v>
      </c>
      <c r="BH216" s="168">
        <f t="shared" si="380"/>
        <v>0</v>
      </c>
      <c r="BI216" s="168">
        <f t="shared" si="380"/>
        <v>0</v>
      </c>
      <c r="BJ216" s="168">
        <f t="shared" si="380"/>
        <v>0</v>
      </c>
      <c r="BK216" s="168">
        <f t="shared" si="380"/>
        <v>0</v>
      </c>
      <c r="BL216" s="168">
        <f t="shared" si="380"/>
        <v>0</v>
      </c>
      <c r="BM216" s="168">
        <f t="shared" si="380"/>
        <v>0</v>
      </c>
      <c r="BN216" s="168">
        <f t="shared" si="380"/>
        <v>0</v>
      </c>
      <c r="BO216" s="168">
        <f t="shared" ref="BO216:CE216" si="381">BO129-BO43</f>
        <v>0</v>
      </c>
      <c r="BP216" s="168">
        <f t="shared" si="381"/>
        <v>0</v>
      </c>
      <c r="BQ216" s="168">
        <f t="shared" si="381"/>
        <v>0</v>
      </c>
      <c r="BR216" s="168">
        <f t="shared" si="381"/>
        <v>0</v>
      </c>
      <c r="BS216" s="168">
        <f t="shared" si="381"/>
        <v>0</v>
      </c>
      <c r="BT216" s="168">
        <f t="shared" si="381"/>
        <v>0</v>
      </c>
      <c r="BU216" s="168">
        <f t="shared" si="381"/>
        <v>0</v>
      </c>
      <c r="BV216" s="168">
        <f t="shared" si="381"/>
        <v>0</v>
      </c>
      <c r="BW216" s="168">
        <f t="shared" si="381"/>
        <v>0</v>
      </c>
      <c r="BX216" s="168">
        <f t="shared" si="381"/>
        <v>0</v>
      </c>
      <c r="BY216" s="168">
        <f t="shared" si="381"/>
        <v>0</v>
      </c>
      <c r="BZ216" s="168">
        <f t="shared" si="381"/>
        <v>0</v>
      </c>
      <c r="CA216" s="168">
        <f t="shared" si="381"/>
        <v>0</v>
      </c>
      <c r="CB216" s="168">
        <f t="shared" si="381"/>
        <v>0</v>
      </c>
      <c r="CC216" s="168">
        <f t="shared" si="381"/>
        <v>0</v>
      </c>
      <c r="CD216" s="168">
        <f t="shared" si="381"/>
        <v>0</v>
      </c>
      <c r="CE216" s="168">
        <f t="shared" si="381"/>
        <v>0</v>
      </c>
    </row>
    <row r="217" spans="1:83" ht="15.5">
      <c r="A217" s="166"/>
      <c r="B217" s="167"/>
      <c r="C217" s="168">
        <f t="shared" ref="C217:BN217" si="382">C130-C44</f>
        <v>0</v>
      </c>
      <c r="D217" s="168">
        <f t="shared" si="382"/>
        <v>0</v>
      </c>
      <c r="E217" s="168">
        <f t="shared" si="382"/>
        <v>0</v>
      </c>
      <c r="F217" s="168">
        <f t="shared" si="382"/>
        <v>0</v>
      </c>
      <c r="G217" s="168">
        <f t="shared" si="382"/>
        <v>0</v>
      </c>
      <c r="H217" s="168">
        <f t="shared" si="382"/>
        <v>0</v>
      </c>
      <c r="I217" s="168">
        <f t="shared" si="382"/>
        <v>0</v>
      </c>
      <c r="J217" s="168">
        <f t="shared" si="382"/>
        <v>0</v>
      </c>
      <c r="K217" s="168">
        <f t="shared" si="382"/>
        <v>0</v>
      </c>
      <c r="L217" s="168">
        <f t="shared" si="382"/>
        <v>0</v>
      </c>
      <c r="M217" s="168">
        <f t="shared" si="382"/>
        <v>0</v>
      </c>
      <c r="N217" s="168">
        <f t="shared" si="382"/>
        <v>0</v>
      </c>
      <c r="O217" s="168">
        <f t="shared" si="382"/>
        <v>0</v>
      </c>
      <c r="P217" s="168">
        <f t="shared" si="382"/>
        <v>0</v>
      </c>
      <c r="Q217" s="168">
        <f t="shared" si="382"/>
        <v>0</v>
      </c>
      <c r="R217" s="168">
        <f t="shared" si="382"/>
        <v>0</v>
      </c>
      <c r="S217" s="168">
        <f t="shared" si="382"/>
        <v>0</v>
      </c>
      <c r="T217" s="168">
        <f t="shared" si="382"/>
        <v>0</v>
      </c>
      <c r="U217" s="168">
        <f t="shared" si="382"/>
        <v>0</v>
      </c>
      <c r="V217" s="168">
        <f t="shared" si="382"/>
        <v>0</v>
      </c>
      <c r="W217" s="168">
        <f t="shared" si="382"/>
        <v>0</v>
      </c>
      <c r="X217" s="168">
        <f t="shared" si="382"/>
        <v>0</v>
      </c>
      <c r="Y217" s="168">
        <f t="shared" si="382"/>
        <v>0</v>
      </c>
      <c r="Z217" s="168">
        <f t="shared" si="382"/>
        <v>0</v>
      </c>
      <c r="AA217" s="168">
        <f t="shared" si="382"/>
        <v>0</v>
      </c>
      <c r="AB217" s="168">
        <f t="shared" si="382"/>
        <v>0</v>
      </c>
      <c r="AC217" s="168">
        <f t="shared" si="382"/>
        <v>0</v>
      </c>
      <c r="AD217" s="168">
        <f t="shared" si="382"/>
        <v>0</v>
      </c>
      <c r="AE217" s="168">
        <f t="shared" si="382"/>
        <v>0</v>
      </c>
      <c r="AF217" s="168">
        <f t="shared" si="382"/>
        <v>0</v>
      </c>
      <c r="AG217" s="168">
        <f t="shared" si="382"/>
        <v>0</v>
      </c>
      <c r="AH217" s="168">
        <f t="shared" si="382"/>
        <v>0</v>
      </c>
      <c r="AI217" s="168">
        <f t="shared" si="382"/>
        <v>0</v>
      </c>
      <c r="AJ217" s="168">
        <f t="shared" si="382"/>
        <v>0</v>
      </c>
      <c r="AK217" s="168">
        <f t="shared" si="382"/>
        <v>0</v>
      </c>
      <c r="AL217" s="168">
        <f t="shared" si="382"/>
        <v>0</v>
      </c>
      <c r="AM217" s="168">
        <f t="shared" si="382"/>
        <v>0</v>
      </c>
      <c r="AN217" s="168">
        <f t="shared" si="382"/>
        <v>0</v>
      </c>
      <c r="AO217" s="168">
        <f t="shared" si="382"/>
        <v>0</v>
      </c>
      <c r="AP217" s="168">
        <f t="shared" si="382"/>
        <v>0</v>
      </c>
      <c r="AQ217" s="168">
        <f t="shared" si="382"/>
        <v>0</v>
      </c>
      <c r="AR217" s="168">
        <f t="shared" si="382"/>
        <v>0</v>
      </c>
      <c r="AS217" s="168">
        <f t="shared" si="382"/>
        <v>0</v>
      </c>
      <c r="AT217" s="168">
        <f t="shared" si="382"/>
        <v>0</v>
      </c>
      <c r="AU217" s="168">
        <f t="shared" si="382"/>
        <v>0</v>
      </c>
      <c r="AV217" s="168">
        <f t="shared" si="382"/>
        <v>0</v>
      </c>
      <c r="AW217" s="168">
        <f t="shared" si="382"/>
        <v>0</v>
      </c>
      <c r="AX217" s="168">
        <f t="shared" si="382"/>
        <v>0</v>
      </c>
      <c r="AY217" s="168">
        <f t="shared" si="382"/>
        <v>0</v>
      </c>
      <c r="AZ217" s="168">
        <f t="shared" si="382"/>
        <v>0</v>
      </c>
      <c r="BA217" s="168">
        <f t="shared" si="382"/>
        <v>0</v>
      </c>
      <c r="BB217" s="168">
        <f t="shared" si="382"/>
        <v>0</v>
      </c>
      <c r="BC217" s="168">
        <f t="shared" si="382"/>
        <v>0</v>
      </c>
      <c r="BD217" s="168">
        <f t="shared" si="382"/>
        <v>0</v>
      </c>
      <c r="BE217" s="168">
        <f t="shared" si="382"/>
        <v>0</v>
      </c>
      <c r="BF217" s="168">
        <f t="shared" si="382"/>
        <v>0</v>
      </c>
      <c r="BG217" s="168">
        <f t="shared" si="382"/>
        <v>0</v>
      </c>
      <c r="BH217" s="168">
        <f t="shared" si="382"/>
        <v>0</v>
      </c>
      <c r="BI217" s="168">
        <f t="shared" si="382"/>
        <v>0</v>
      </c>
      <c r="BJ217" s="168">
        <f t="shared" si="382"/>
        <v>0</v>
      </c>
      <c r="BK217" s="168">
        <f t="shared" si="382"/>
        <v>0</v>
      </c>
      <c r="BL217" s="168">
        <f t="shared" si="382"/>
        <v>0</v>
      </c>
      <c r="BM217" s="168">
        <f t="shared" si="382"/>
        <v>0</v>
      </c>
      <c r="BN217" s="168">
        <f t="shared" si="382"/>
        <v>0</v>
      </c>
      <c r="BO217" s="168">
        <f t="shared" ref="BO217:CE217" si="383">BO130-BO44</f>
        <v>0</v>
      </c>
      <c r="BP217" s="168">
        <f t="shared" si="383"/>
        <v>0</v>
      </c>
      <c r="BQ217" s="168">
        <f t="shared" si="383"/>
        <v>0</v>
      </c>
      <c r="BR217" s="168">
        <f t="shared" si="383"/>
        <v>0</v>
      </c>
      <c r="BS217" s="168">
        <f t="shared" si="383"/>
        <v>0</v>
      </c>
      <c r="BT217" s="168">
        <f t="shared" si="383"/>
        <v>0</v>
      </c>
      <c r="BU217" s="168">
        <f t="shared" si="383"/>
        <v>0</v>
      </c>
      <c r="BV217" s="168">
        <f t="shared" si="383"/>
        <v>0</v>
      </c>
      <c r="BW217" s="168">
        <f t="shared" si="383"/>
        <v>0</v>
      </c>
      <c r="BX217" s="168">
        <f t="shared" si="383"/>
        <v>0</v>
      </c>
      <c r="BY217" s="168">
        <f t="shared" si="383"/>
        <v>0</v>
      </c>
      <c r="BZ217" s="168">
        <f t="shared" si="383"/>
        <v>0</v>
      </c>
      <c r="CA217" s="168">
        <f t="shared" si="383"/>
        <v>0</v>
      </c>
      <c r="CB217" s="168">
        <f t="shared" si="383"/>
        <v>0</v>
      </c>
      <c r="CC217" s="168">
        <f t="shared" si="383"/>
        <v>0</v>
      </c>
      <c r="CD217" s="168">
        <f t="shared" si="383"/>
        <v>0</v>
      </c>
      <c r="CE217" s="168">
        <f t="shared" si="383"/>
        <v>0</v>
      </c>
    </row>
    <row r="218" spans="1:83" ht="21">
      <c r="A218" s="158">
        <v>10</v>
      </c>
      <c r="B218" s="159" t="s">
        <v>3</v>
      </c>
      <c r="C218" s="168">
        <f t="shared" ref="C218:BN218" si="384">C131-C45</f>
        <v>0</v>
      </c>
      <c r="D218" s="168">
        <f t="shared" si="384"/>
        <v>0</v>
      </c>
      <c r="E218" s="168">
        <f t="shared" si="384"/>
        <v>0</v>
      </c>
      <c r="F218" s="168">
        <f t="shared" si="384"/>
        <v>0</v>
      </c>
      <c r="G218" s="168">
        <f t="shared" si="384"/>
        <v>0</v>
      </c>
      <c r="H218" s="168">
        <f t="shared" si="384"/>
        <v>0</v>
      </c>
      <c r="I218" s="168">
        <f t="shared" si="384"/>
        <v>0</v>
      </c>
      <c r="J218" s="168">
        <f t="shared" si="384"/>
        <v>0</v>
      </c>
      <c r="K218" s="168">
        <f t="shared" si="384"/>
        <v>0</v>
      </c>
      <c r="L218" s="168">
        <f t="shared" si="384"/>
        <v>0</v>
      </c>
      <c r="M218" s="168">
        <f t="shared" si="384"/>
        <v>0</v>
      </c>
      <c r="N218" s="168">
        <f t="shared" si="384"/>
        <v>0</v>
      </c>
      <c r="O218" s="168">
        <f t="shared" si="384"/>
        <v>0</v>
      </c>
      <c r="P218" s="168">
        <f t="shared" si="384"/>
        <v>0</v>
      </c>
      <c r="Q218" s="168">
        <f t="shared" si="384"/>
        <v>0</v>
      </c>
      <c r="R218" s="168">
        <f t="shared" si="384"/>
        <v>0</v>
      </c>
      <c r="S218" s="168">
        <f t="shared" si="384"/>
        <v>0</v>
      </c>
      <c r="T218" s="168">
        <f t="shared" si="384"/>
        <v>0</v>
      </c>
      <c r="U218" s="168">
        <f t="shared" si="384"/>
        <v>0</v>
      </c>
      <c r="V218" s="168">
        <f t="shared" si="384"/>
        <v>0</v>
      </c>
      <c r="W218" s="168">
        <f t="shared" si="384"/>
        <v>0</v>
      </c>
      <c r="X218" s="168">
        <f t="shared" si="384"/>
        <v>0</v>
      </c>
      <c r="Y218" s="168">
        <f t="shared" si="384"/>
        <v>0</v>
      </c>
      <c r="Z218" s="168">
        <f t="shared" si="384"/>
        <v>0</v>
      </c>
      <c r="AA218" s="168">
        <f t="shared" si="384"/>
        <v>0</v>
      </c>
      <c r="AB218" s="168">
        <f t="shared" si="384"/>
        <v>0</v>
      </c>
      <c r="AC218" s="168">
        <f t="shared" si="384"/>
        <v>0</v>
      </c>
      <c r="AD218" s="168">
        <f t="shared" si="384"/>
        <v>0</v>
      </c>
      <c r="AE218" s="168">
        <f t="shared" si="384"/>
        <v>0</v>
      </c>
      <c r="AF218" s="168">
        <f t="shared" si="384"/>
        <v>0</v>
      </c>
      <c r="AG218" s="168">
        <f t="shared" si="384"/>
        <v>0</v>
      </c>
      <c r="AH218" s="168">
        <f t="shared" si="384"/>
        <v>0</v>
      </c>
      <c r="AI218" s="168">
        <f t="shared" si="384"/>
        <v>0</v>
      </c>
      <c r="AJ218" s="168">
        <f t="shared" si="384"/>
        <v>0</v>
      </c>
      <c r="AK218" s="168">
        <f t="shared" si="384"/>
        <v>0</v>
      </c>
      <c r="AL218" s="168">
        <f t="shared" si="384"/>
        <v>0</v>
      </c>
      <c r="AM218" s="168">
        <f t="shared" si="384"/>
        <v>0</v>
      </c>
      <c r="AN218" s="168">
        <f t="shared" si="384"/>
        <v>0</v>
      </c>
      <c r="AO218" s="168">
        <f t="shared" si="384"/>
        <v>0</v>
      </c>
      <c r="AP218" s="168">
        <f t="shared" si="384"/>
        <v>0</v>
      </c>
      <c r="AQ218" s="168">
        <f t="shared" si="384"/>
        <v>0</v>
      </c>
      <c r="AR218" s="168">
        <f t="shared" si="384"/>
        <v>0</v>
      </c>
      <c r="AS218" s="168">
        <f t="shared" si="384"/>
        <v>0</v>
      </c>
      <c r="AT218" s="168">
        <f t="shared" si="384"/>
        <v>0</v>
      </c>
      <c r="AU218" s="168">
        <f t="shared" si="384"/>
        <v>0</v>
      </c>
      <c r="AV218" s="168">
        <f t="shared" si="384"/>
        <v>0</v>
      </c>
      <c r="AW218" s="168">
        <f t="shared" si="384"/>
        <v>0</v>
      </c>
      <c r="AX218" s="168">
        <f t="shared" si="384"/>
        <v>0</v>
      </c>
      <c r="AY218" s="168">
        <f t="shared" si="384"/>
        <v>0</v>
      </c>
      <c r="AZ218" s="168">
        <f t="shared" si="384"/>
        <v>0</v>
      </c>
      <c r="BA218" s="168">
        <f t="shared" si="384"/>
        <v>0</v>
      </c>
      <c r="BB218" s="168">
        <f t="shared" si="384"/>
        <v>0</v>
      </c>
      <c r="BC218" s="168">
        <f t="shared" si="384"/>
        <v>0</v>
      </c>
      <c r="BD218" s="168">
        <f t="shared" si="384"/>
        <v>0</v>
      </c>
      <c r="BE218" s="168">
        <f t="shared" si="384"/>
        <v>0</v>
      </c>
      <c r="BF218" s="168">
        <f t="shared" si="384"/>
        <v>0</v>
      </c>
      <c r="BG218" s="168">
        <f t="shared" si="384"/>
        <v>0</v>
      </c>
      <c r="BH218" s="168">
        <f t="shared" si="384"/>
        <v>0</v>
      </c>
      <c r="BI218" s="168">
        <f t="shared" si="384"/>
        <v>0</v>
      </c>
      <c r="BJ218" s="168">
        <f t="shared" si="384"/>
        <v>0</v>
      </c>
      <c r="BK218" s="168">
        <f t="shared" si="384"/>
        <v>0</v>
      </c>
      <c r="BL218" s="168">
        <f t="shared" si="384"/>
        <v>0</v>
      </c>
      <c r="BM218" s="168">
        <f t="shared" si="384"/>
        <v>0</v>
      </c>
      <c r="BN218" s="168">
        <f t="shared" si="384"/>
        <v>0</v>
      </c>
      <c r="BO218" s="168">
        <f t="shared" ref="BO218:CE218" si="385">BO131-BO45</f>
        <v>0</v>
      </c>
      <c r="BP218" s="168">
        <f t="shared" si="385"/>
        <v>0</v>
      </c>
      <c r="BQ218" s="168">
        <f t="shared" si="385"/>
        <v>0</v>
      </c>
      <c r="BR218" s="168">
        <f t="shared" si="385"/>
        <v>0</v>
      </c>
      <c r="BS218" s="168">
        <f t="shared" si="385"/>
        <v>0</v>
      </c>
      <c r="BT218" s="168">
        <f t="shared" si="385"/>
        <v>0</v>
      </c>
      <c r="BU218" s="168">
        <f t="shared" si="385"/>
        <v>0</v>
      </c>
      <c r="BV218" s="168">
        <f t="shared" si="385"/>
        <v>0</v>
      </c>
      <c r="BW218" s="168">
        <f t="shared" si="385"/>
        <v>0</v>
      </c>
      <c r="BX218" s="168">
        <f t="shared" si="385"/>
        <v>0</v>
      </c>
      <c r="BY218" s="168">
        <f t="shared" si="385"/>
        <v>0</v>
      </c>
      <c r="BZ218" s="168">
        <f t="shared" si="385"/>
        <v>0</v>
      </c>
      <c r="CA218" s="168">
        <f t="shared" si="385"/>
        <v>0</v>
      </c>
      <c r="CB218" s="168">
        <f t="shared" si="385"/>
        <v>0</v>
      </c>
      <c r="CC218" s="168">
        <f t="shared" si="385"/>
        <v>0</v>
      </c>
      <c r="CD218" s="168">
        <f t="shared" si="385"/>
        <v>0</v>
      </c>
      <c r="CE218" s="168">
        <f t="shared" si="385"/>
        <v>0</v>
      </c>
    </row>
    <row r="219" spans="1:83" ht="15.5">
      <c r="A219" s="160">
        <v>10</v>
      </c>
      <c r="B219" s="161" t="s">
        <v>194</v>
      </c>
      <c r="C219" s="168">
        <f t="shared" ref="C219:BN219" si="386">C132-C46</f>
        <v>0</v>
      </c>
      <c r="D219" s="168">
        <f t="shared" si="386"/>
        <v>0</v>
      </c>
      <c r="E219" s="168">
        <f t="shared" si="386"/>
        <v>0</v>
      </c>
      <c r="F219" s="168">
        <f t="shared" si="386"/>
        <v>0</v>
      </c>
      <c r="G219" s="168">
        <f t="shared" si="386"/>
        <v>0</v>
      </c>
      <c r="H219" s="168">
        <f t="shared" si="386"/>
        <v>0</v>
      </c>
      <c r="I219" s="168">
        <f t="shared" si="386"/>
        <v>0</v>
      </c>
      <c r="J219" s="168">
        <f t="shared" si="386"/>
        <v>0</v>
      </c>
      <c r="K219" s="168">
        <f t="shared" si="386"/>
        <v>0</v>
      </c>
      <c r="L219" s="168">
        <f t="shared" si="386"/>
        <v>0</v>
      </c>
      <c r="M219" s="168">
        <f t="shared" si="386"/>
        <v>0</v>
      </c>
      <c r="N219" s="168">
        <f t="shared" si="386"/>
        <v>0</v>
      </c>
      <c r="O219" s="168">
        <f t="shared" si="386"/>
        <v>0</v>
      </c>
      <c r="P219" s="168">
        <f t="shared" si="386"/>
        <v>0</v>
      </c>
      <c r="Q219" s="168">
        <f t="shared" si="386"/>
        <v>0</v>
      </c>
      <c r="R219" s="168">
        <f t="shared" si="386"/>
        <v>0</v>
      </c>
      <c r="S219" s="168">
        <f t="shared" si="386"/>
        <v>0</v>
      </c>
      <c r="T219" s="168">
        <f t="shared" si="386"/>
        <v>0</v>
      </c>
      <c r="U219" s="168">
        <f t="shared" si="386"/>
        <v>0</v>
      </c>
      <c r="V219" s="168">
        <f t="shared" si="386"/>
        <v>0</v>
      </c>
      <c r="W219" s="168">
        <f t="shared" si="386"/>
        <v>0</v>
      </c>
      <c r="X219" s="168">
        <f t="shared" si="386"/>
        <v>0</v>
      </c>
      <c r="Y219" s="168">
        <f t="shared" si="386"/>
        <v>0</v>
      </c>
      <c r="Z219" s="168">
        <f t="shared" si="386"/>
        <v>0</v>
      </c>
      <c r="AA219" s="168">
        <f t="shared" si="386"/>
        <v>0</v>
      </c>
      <c r="AB219" s="168">
        <f t="shared" si="386"/>
        <v>0</v>
      </c>
      <c r="AC219" s="168">
        <f t="shared" si="386"/>
        <v>0</v>
      </c>
      <c r="AD219" s="168">
        <f t="shared" si="386"/>
        <v>0</v>
      </c>
      <c r="AE219" s="168">
        <f t="shared" si="386"/>
        <v>0</v>
      </c>
      <c r="AF219" s="168">
        <f t="shared" si="386"/>
        <v>0</v>
      </c>
      <c r="AG219" s="168">
        <f t="shared" si="386"/>
        <v>0</v>
      </c>
      <c r="AH219" s="168">
        <f t="shared" si="386"/>
        <v>0</v>
      </c>
      <c r="AI219" s="168">
        <f t="shared" si="386"/>
        <v>0</v>
      </c>
      <c r="AJ219" s="168">
        <f t="shared" si="386"/>
        <v>0</v>
      </c>
      <c r="AK219" s="168">
        <f t="shared" si="386"/>
        <v>0</v>
      </c>
      <c r="AL219" s="168">
        <f t="shared" si="386"/>
        <v>0</v>
      </c>
      <c r="AM219" s="168">
        <f t="shared" si="386"/>
        <v>0</v>
      </c>
      <c r="AN219" s="168">
        <f t="shared" si="386"/>
        <v>0</v>
      </c>
      <c r="AO219" s="168">
        <f t="shared" si="386"/>
        <v>0</v>
      </c>
      <c r="AP219" s="168">
        <f t="shared" si="386"/>
        <v>0</v>
      </c>
      <c r="AQ219" s="168">
        <f t="shared" si="386"/>
        <v>0</v>
      </c>
      <c r="AR219" s="168">
        <f t="shared" si="386"/>
        <v>0</v>
      </c>
      <c r="AS219" s="168">
        <f t="shared" si="386"/>
        <v>0</v>
      </c>
      <c r="AT219" s="168">
        <f t="shared" si="386"/>
        <v>0</v>
      </c>
      <c r="AU219" s="168">
        <f t="shared" si="386"/>
        <v>0</v>
      </c>
      <c r="AV219" s="168">
        <f t="shared" si="386"/>
        <v>0</v>
      </c>
      <c r="AW219" s="168">
        <f t="shared" si="386"/>
        <v>0</v>
      </c>
      <c r="AX219" s="168">
        <f t="shared" si="386"/>
        <v>0</v>
      </c>
      <c r="AY219" s="168">
        <f t="shared" si="386"/>
        <v>0</v>
      </c>
      <c r="AZ219" s="168">
        <f t="shared" si="386"/>
        <v>0</v>
      </c>
      <c r="BA219" s="168">
        <f t="shared" si="386"/>
        <v>0</v>
      </c>
      <c r="BB219" s="168">
        <f t="shared" si="386"/>
        <v>0</v>
      </c>
      <c r="BC219" s="168">
        <f t="shared" si="386"/>
        <v>0</v>
      </c>
      <c r="BD219" s="168">
        <f t="shared" si="386"/>
        <v>0</v>
      </c>
      <c r="BE219" s="168">
        <f t="shared" si="386"/>
        <v>0</v>
      </c>
      <c r="BF219" s="168">
        <f t="shared" si="386"/>
        <v>0</v>
      </c>
      <c r="BG219" s="168">
        <f t="shared" si="386"/>
        <v>0</v>
      </c>
      <c r="BH219" s="168">
        <f t="shared" si="386"/>
        <v>0</v>
      </c>
      <c r="BI219" s="168">
        <f t="shared" si="386"/>
        <v>0</v>
      </c>
      <c r="BJ219" s="168">
        <f t="shared" si="386"/>
        <v>0</v>
      </c>
      <c r="BK219" s="168">
        <f t="shared" si="386"/>
        <v>0</v>
      </c>
      <c r="BL219" s="168">
        <f t="shared" si="386"/>
        <v>0</v>
      </c>
      <c r="BM219" s="168">
        <f t="shared" si="386"/>
        <v>0</v>
      </c>
      <c r="BN219" s="168">
        <f t="shared" si="386"/>
        <v>0</v>
      </c>
      <c r="BO219" s="168">
        <f t="shared" ref="BO219:CE219" si="387">BO132-BO46</f>
        <v>0</v>
      </c>
      <c r="BP219" s="168">
        <f t="shared" si="387"/>
        <v>0</v>
      </c>
      <c r="BQ219" s="168">
        <f t="shared" si="387"/>
        <v>0</v>
      </c>
      <c r="BR219" s="168">
        <f t="shared" si="387"/>
        <v>0</v>
      </c>
      <c r="BS219" s="168">
        <f t="shared" si="387"/>
        <v>0</v>
      </c>
      <c r="BT219" s="168">
        <f t="shared" si="387"/>
        <v>0</v>
      </c>
      <c r="BU219" s="168">
        <f t="shared" si="387"/>
        <v>0</v>
      </c>
      <c r="BV219" s="168">
        <f t="shared" si="387"/>
        <v>0</v>
      </c>
      <c r="BW219" s="168">
        <f t="shared" si="387"/>
        <v>0</v>
      </c>
      <c r="BX219" s="168">
        <f t="shared" si="387"/>
        <v>0</v>
      </c>
      <c r="BY219" s="168">
        <f t="shared" si="387"/>
        <v>0</v>
      </c>
      <c r="BZ219" s="168">
        <f t="shared" si="387"/>
        <v>0</v>
      </c>
      <c r="CA219" s="168">
        <f t="shared" si="387"/>
        <v>0</v>
      </c>
      <c r="CB219" s="168">
        <f t="shared" si="387"/>
        <v>0</v>
      </c>
      <c r="CC219" s="168">
        <f t="shared" si="387"/>
        <v>0</v>
      </c>
      <c r="CD219" s="168">
        <f t="shared" si="387"/>
        <v>0</v>
      </c>
      <c r="CE219" s="168">
        <f t="shared" si="387"/>
        <v>0</v>
      </c>
    </row>
    <row r="220" spans="1:83" ht="15.5">
      <c r="A220" s="160">
        <v>10</v>
      </c>
      <c r="B220" s="162" t="s">
        <v>139</v>
      </c>
      <c r="C220" s="168">
        <f t="shared" ref="C220:BN220" si="388">C133-C47</f>
        <v>0</v>
      </c>
      <c r="D220" s="168">
        <f t="shared" si="388"/>
        <v>0</v>
      </c>
      <c r="E220" s="168">
        <f t="shared" si="388"/>
        <v>0</v>
      </c>
      <c r="F220" s="168">
        <f t="shared" si="388"/>
        <v>0</v>
      </c>
      <c r="G220" s="168">
        <f t="shared" si="388"/>
        <v>0</v>
      </c>
      <c r="H220" s="168">
        <f t="shared" si="388"/>
        <v>0</v>
      </c>
      <c r="I220" s="168">
        <f t="shared" si="388"/>
        <v>0</v>
      </c>
      <c r="J220" s="168">
        <f t="shared" si="388"/>
        <v>0</v>
      </c>
      <c r="K220" s="168">
        <f t="shared" si="388"/>
        <v>0</v>
      </c>
      <c r="L220" s="168">
        <f t="shared" si="388"/>
        <v>0</v>
      </c>
      <c r="M220" s="168">
        <f t="shared" si="388"/>
        <v>0</v>
      </c>
      <c r="N220" s="168">
        <f t="shared" si="388"/>
        <v>0</v>
      </c>
      <c r="O220" s="168">
        <f t="shared" si="388"/>
        <v>0</v>
      </c>
      <c r="P220" s="168">
        <f t="shared" si="388"/>
        <v>0</v>
      </c>
      <c r="Q220" s="168">
        <f t="shared" si="388"/>
        <v>0</v>
      </c>
      <c r="R220" s="168">
        <f t="shared" si="388"/>
        <v>0</v>
      </c>
      <c r="S220" s="168">
        <f t="shared" si="388"/>
        <v>0</v>
      </c>
      <c r="T220" s="168">
        <f t="shared" si="388"/>
        <v>0</v>
      </c>
      <c r="U220" s="168">
        <f t="shared" si="388"/>
        <v>0</v>
      </c>
      <c r="V220" s="168">
        <f t="shared" si="388"/>
        <v>0</v>
      </c>
      <c r="W220" s="168">
        <f t="shared" si="388"/>
        <v>0</v>
      </c>
      <c r="X220" s="168">
        <f t="shared" si="388"/>
        <v>0</v>
      </c>
      <c r="Y220" s="168">
        <f t="shared" si="388"/>
        <v>0</v>
      </c>
      <c r="Z220" s="168">
        <f t="shared" si="388"/>
        <v>0</v>
      </c>
      <c r="AA220" s="168">
        <f t="shared" si="388"/>
        <v>0</v>
      </c>
      <c r="AB220" s="168">
        <f t="shared" si="388"/>
        <v>0</v>
      </c>
      <c r="AC220" s="168">
        <f t="shared" si="388"/>
        <v>0</v>
      </c>
      <c r="AD220" s="168">
        <f t="shared" si="388"/>
        <v>0</v>
      </c>
      <c r="AE220" s="168">
        <f t="shared" si="388"/>
        <v>0</v>
      </c>
      <c r="AF220" s="168">
        <f t="shared" si="388"/>
        <v>0</v>
      </c>
      <c r="AG220" s="168">
        <f t="shared" si="388"/>
        <v>0</v>
      </c>
      <c r="AH220" s="168">
        <f t="shared" si="388"/>
        <v>0</v>
      </c>
      <c r="AI220" s="168">
        <f t="shared" si="388"/>
        <v>0</v>
      </c>
      <c r="AJ220" s="168">
        <f t="shared" si="388"/>
        <v>0</v>
      </c>
      <c r="AK220" s="168">
        <f t="shared" si="388"/>
        <v>0</v>
      </c>
      <c r="AL220" s="168">
        <f t="shared" si="388"/>
        <v>0</v>
      </c>
      <c r="AM220" s="168">
        <f t="shared" si="388"/>
        <v>0</v>
      </c>
      <c r="AN220" s="168">
        <f t="shared" si="388"/>
        <v>0</v>
      </c>
      <c r="AO220" s="168">
        <f t="shared" si="388"/>
        <v>0</v>
      </c>
      <c r="AP220" s="168">
        <f t="shared" si="388"/>
        <v>0</v>
      </c>
      <c r="AQ220" s="168">
        <f t="shared" si="388"/>
        <v>0</v>
      </c>
      <c r="AR220" s="168">
        <f t="shared" si="388"/>
        <v>0</v>
      </c>
      <c r="AS220" s="168">
        <f t="shared" si="388"/>
        <v>0</v>
      </c>
      <c r="AT220" s="168">
        <f t="shared" si="388"/>
        <v>0</v>
      </c>
      <c r="AU220" s="168">
        <f t="shared" si="388"/>
        <v>0</v>
      </c>
      <c r="AV220" s="168">
        <f t="shared" si="388"/>
        <v>0</v>
      </c>
      <c r="AW220" s="168">
        <f t="shared" si="388"/>
        <v>0</v>
      </c>
      <c r="AX220" s="168">
        <f t="shared" si="388"/>
        <v>0</v>
      </c>
      <c r="AY220" s="168">
        <f t="shared" si="388"/>
        <v>0</v>
      </c>
      <c r="AZ220" s="168">
        <f t="shared" si="388"/>
        <v>0</v>
      </c>
      <c r="BA220" s="168">
        <f t="shared" si="388"/>
        <v>0</v>
      </c>
      <c r="BB220" s="168">
        <f t="shared" si="388"/>
        <v>0</v>
      </c>
      <c r="BC220" s="168">
        <f t="shared" si="388"/>
        <v>0</v>
      </c>
      <c r="BD220" s="168">
        <f t="shared" si="388"/>
        <v>0</v>
      </c>
      <c r="BE220" s="168">
        <f t="shared" si="388"/>
        <v>0</v>
      </c>
      <c r="BF220" s="168">
        <f t="shared" si="388"/>
        <v>0</v>
      </c>
      <c r="BG220" s="168">
        <f t="shared" si="388"/>
        <v>0</v>
      </c>
      <c r="BH220" s="168">
        <f t="shared" si="388"/>
        <v>0</v>
      </c>
      <c r="BI220" s="168">
        <f t="shared" si="388"/>
        <v>0</v>
      </c>
      <c r="BJ220" s="168">
        <f t="shared" si="388"/>
        <v>0</v>
      </c>
      <c r="BK220" s="168">
        <f t="shared" si="388"/>
        <v>0</v>
      </c>
      <c r="BL220" s="168">
        <f t="shared" si="388"/>
        <v>0</v>
      </c>
      <c r="BM220" s="168">
        <f t="shared" si="388"/>
        <v>0</v>
      </c>
      <c r="BN220" s="168">
        <f t="shared" si="388"/>
        <v>0</v>
      </c>
      <c r="BO220" s="168">
        <f t="shared" ref="BO220:CE220" si="389">BO133-BO47</f>
        <v>0</v>
      </c>
      <c r="BP220" s="168">
        <f t="shared" si="389"/>
        <v>0</v>
      </c>
      <c r="BQ220" s="168">
        <f t="shared" si="389"/>
        <v>0</v>
      </c>
      <c r="BR220" s="168">
        <f t="shared" si="389"/>
        <v>0</v>
      </c>
      <c r="BS220" s="168">
        <f t="shared" si="389"/>
        <v>0</v>
      </c>
      <c r="BT220" s="168">
        <f t="shared" si="389"/>
        <v>0</v>
      </c>
      <c r="BU220" s="168">
        <f t="shared" si="389"/>
        <v>0</v>
      </c>
      <c r="BV220" s="168">
        <f t="shared" si="389"/>
        <v>0</v>
      </c>
      <c r="BW220" s="168">
        <f t="shared" si="389"/>
        <v>0</v>
      </c>
      <c r="BX220" s="168">
        <f t="shared" si="389"/>
        <v>0</v>
      </c>
      <c r="BY220" s="168">
        <f t="shared" si="389"/>
        <v>0</v>
      </c>
      <c r="BZ220" s="168">
        <f t="shared" si="389"/>
        <v>0</v>
      </c>
      <c r="CA220" s="168">
        <f t="shared" si="389"/>
        <v>0</v>
      </c>
      <c r="CB220" s="168">
        <f t="shared" si="389"/>
        <v>0</v>
      </c>
      <c r="CC220" s="168">
        <f t="shared" si="389"/>
        <v>0</v>
      </c>
      <c r="CD220" s="168">
        <f t="shared" si="389"/>
        <v>0</v>
      </c>
      <c r="CE220" s="168">
        <f t="shared" si="389"/>
        <v>0</v>
      </c>
    </row>
    <row r="221" spans="1:83" ht="15.5">
      <c r="A221" s="160">
        <v>10</v>
      </c>
      <c r="B221" s="163" t="s">
        <v>140</v>
      </c>
      <c r="C221" s="168">
        <f t="shared" ref="C221:BN221" si="390">C134-C48</f>
        <v>0</v>
      </c>
      <c r="D221" s="168">
        <f t="shared" si="390"/>
        <v>0</v>
      </c>
      <c r="E221" s="168">
        <f t="shared" si="390"/>
        <v>0</v>
      </c>
      <c r="F221" s="168">
        <f t="shared" si="390"/>
        <v>0</v>
      </c>
      <c r="G221" s="168">
        <f t="shared" si="390"/>
        <v>0</v>
      </c>
      <c r="H221" s="168">
        <f t="shared" si="390"/>
        <v>0</v>
      </c>
      <c r="I221" s="168">
        <f t="shared" si="390"/>
        <v>0</v>
      </c>
      <c r="J221" s="168">
        <f t="shared" si="390"/>
        <v>0</v>
      </c>
      <c r="K221" s="168">
        <f t="shared" si="390"/>
        <v>0</v>
      </c>
      <c r="L221" s="168">
        <f t="shared" si="390"/>
        <v>0</v>
      </c>
      <c r="M221" s="168">
        <f t="shared" si="390"/>
        <v>0</v>
      </c>
      <c r="N221" s="168">
        <f t="shared" si="390"/>
        <v>0</v>
      </c>
      <c r="O221" s="168">
        <f t="shared" si="390"/>
        <v>0</v>
      </c>
      <c r="P221" s="168">
        <f t="shared" si="390"/>
        <v>0</v>
      </c>
      <c r="Q221" s="168">
        <f t="shared" si="390"/>
        <v>0</v>
      </c>
      <c r="R221" s="168">
        <f t="shared" si="390"/>
        <v>0</v>
      </c>
      <c r="S221" s="168">
        <f t="shared" si="390"/>
        <v>0</v>
      </c>
      <c r="T221" s="168">
        <f t="shared" si="390"/>
        <v>0</v>
      </c>
      <c r="U221" s="168">
        <f t="shared" si="390"/>
        <v>0</v>
      </c>
      <c r="V221" s="168">
        <f t="shared" si="390"/>
        <v>0</v>
      </c>
      <c r="W221" s="168">
        <f t="shared" si="390"/>
        <v>0</v>
      </c>
      <c r="X221" s="168">
        <f t="shared" si="390"/>
        <v>0</v>
      </c>
      <c r="Y221" s="168">
        <f t="shared" si="390"/>
        <v>0</v>
      </c>
      <c r="Z221" s="168">
        <f t="shared" si="390"/>
        <v>0</v>
      </c>
      <c r="AA221" s="168">
        <f t="shared" si="390"/>
        <v>0</v>
      </c>
      <c r="AB221" s="168">
        <f t="shared" si="390"/>
        <v>0</v>
      </c>
      <c r="AC221" s="168">
        <f t="shared" si="390"/>
        <v>0</v>
      </c>
      <c r="AD221" s="168">
        <f t="shared" si="390"/>
        <v>0</v>
      </c>
      <c r="AE221" s="168">
        <f t="shared" si="390"/>
        <v>0</v>
      </c>
      <c r="AF221" s="168">
        <f t="shared" si="390"/>
        <v>0</v>
      </c>
      <c r="AG221" s="168">
        <f t="shared" si="390"/>
        <v>0</v>
      </c>
      <c r="AH221" s="168">
        <f t="shared" si="390"/>
        <v>0</v>
      </c>
      <c r="AI221" s="168">
        <f t="shared" si="390"/>
        <v>0</v>
      </c>
      <c r="AJ221" s="168">
        <f t="shared" si="390"/>
        <v>0</v>
      </c>
      <c r="AK221" s="168">
        <f t="shared" si="390"/>
        <v>0</v>
      </c>
      <c r="AL221" s="168">
        <f t="shared" si="390"/>
        <v>0</v>
      </c>
      <c r="AM221" s="168">
        <f t="shared" si="390"/>
        <v>0</v>
      </c>
      <c r="AN221" s="168">
        <f t="shared" si="390"/>
        <v>0</v>
      </c>
      <c r="AO221" s="168">
        <f t="shared" si="390"/>
        <v>0</v>
      </c>
      <c r="AP221" s="168">
        <f t="shared" si="390"/>
        <v>0</v>
      </c>
      <c r="AQ221" s="168">
        <f t="shared" si="390"/>
        <v>0</v>
      </c>
      <c r="AR221" s="168">
        <f t="shared" si="390"/>
        <v>0</v>
      </c>
      <c r="AS221" s="168">
        <f t="shared" si="390"/>
        <v>0</v>
      </c>
      <c r="AT221" s="168">
        <f t="shared" si="390"/>
        <v>0</v>
      </c>
      <c r="AU221" s="168">
        <f t="shared" si="390"/>
        <v>0</v>
      </c>
      <c r="AV221" s="168">
        <f t="shared" si="390"/>
        <v>0</v>
      </c>
      <c r="AW221" s="168">
        <f t="shared" si="390"/>
        <v>0</v>
      </c>
      <c r="AX221" s="168">
        <f t="shared" si="390"/>
        <v>0</v>
      </c>
      <c r="AY221" s="168">
        <f t="shared" si="390"/>
        <v>0</v>
      </c>
      <c r="AZ221" s="168">
        <f t="shared" si="390"/>
        <v>0</v>
      </c>
      <c r="BA221" s="168">
        <f t="shared" si="390"/>
        <v>0</v>
      </c>
      <c r="BB221" s="168">
        <f t="shared" si="390"/>
        <v>0</v>
      </c>
      <c r="BC221" s="168">
        <f t="shared" si="390"/>
        <v>0</v>
      </c>
      <c r="BD221" s="168">
        <f t="shared" si="390"/>
        <v>0</v>
      </c>
      <c r="BE221" s="168">
        <f t="shared" si="390"/>
        <v>0</v>
      </c>
      <c r="BF221" s="168">
        <f t="shared" si="390"/>
        <v>0</v>
      </c>
      <c r="BG221" s="168">
        <f t="shared" si="390"/>
        <v>0</v>
      </c>
      <c r="BH221" s="168">
        <f t="shared" si="390"/>
        <v>0</v>
      </c>
      <c r="BI221" s="168">
        <f t="shared" si="390"/>
        <v>0</v>
      </c>
      <c r="BJ221" s="168">
        <f t="shared" si="390"/>
        <v>0</v>
      </c>
      <c r="BK221" s="168">
        <f t="shared" si="390"/>
        <v>0</v>
      </c>
      <c r="BL221" s="168">
        <f t="shared" si="390"/>
        <v>0</v>
      </c>
      <c r="BM221" s="168">
        <f t="shared" si="390"/>
        <v>0</v>
      </c>
      <c r="BN221" s="168">
        <f t="shared" si="390"/>
        <v>0</v>
      </c>
      <c r="BO221" s="168">
        <f t="shared" ref="BO221:CE221" si="391">BO134-BO48</f>
        <v>0</v>
      </c>
      <c r="BP221" s="168">
        <f t="shared" si="391"/>
        <v>0</v>
      </c>
      <c r="BQ221" s="168">
        <f t="shared" si="391"/>
        <v>0</v>
      </c>
      <c r="BR221" s="168">
        <f t="shared" si="391"/>
        <v>0</v>
      </c>
      <c r="BS221" s="168">
        <f t="shared" si="391"/>
        <v>0</v>
      </c>
      <c r="BT221" s="168">
        <f t="shared" si="391"/>
        <v>0</v>
      </c>
      <c r="BU221" s="168">
        <f t="shared" si="391"/>
        <v>0</v>
      </c>
      <c r="BV221" s="168">
        <f t="shared" si="391"/>
        <v>0</v>
      </c>
      <c r="BW221" s="168">
        <f t="shared" si="391"/>
        <v>0</v>
      </c>
      <c r="BX221" s="168">
        <f t="shared" si="391"/>
        <v>0</v>
      </c>
      <c r="BY221" s="168">
        <f t="shared" si="391"/>
        <v>0</v>
      </c>
      <c r="BZ221" s="168">
        <f t="shared" si="391"/>
        <v>0</v>
      </c>
      <c r="CA221" s="168">
        <f t="shared" si="391"/>
        <v>0</v>
      </c>
      <c r="CB221" s="168">
        <f t="shared" si="391"/>
        <v>0</v>
      </c>
      <c r="CC221" s="168">
        <f t="shared" si="391"/>
        <v>0</v>
      </c>
      <c r="CD221" s="168">
        <f t="shared" si="391"/>
        <v>0</v>
      </c>
      <c r="CE221" s="168">
        <f t="shared" si="391"/>
        <v>0</v>
      </c>
    </row>
    <row r="222" spans="1:83" ht="15.5">
      <c r="A222" s="160">
        <v>10</v>
      </c>
      <c r="B222" s="164" t="s">
        <v>195</v>
      </c>
      <c r="C222" s="168">
        <f t="shared" ref="C222:BN222" si="392">C135-C49</f>
        <v>0</v>
      </c>
      <c r="D222" s="168">
        <f t="shared" si="392"/>
        <v>0</v>
      </c>
      <c r="E222" s="168">
        <f t="shared" si="392"/>
        <v>0</v>
      </c>
      <c r="F222" s="168">
        <f t="shared" si="392"/>
        <v>0</v>
      </c>
      <c r="G222" s="168">
        <f t="shared" si="392"/>
        <v>0</v>
      </c>
      <c r="H222" s="168">
        <f t="shared" si="392"/>
        <v>0</v>
      </c>
      <c r="I222" s="168">
        <f t="shared" si="392"/>
        <v>0</v>
      </c>
      <c r="J222" s="168">
        <f t="shared" si="392"/>
        <v>0</v>
      </c>
      <c r="K222" s="168">
        <f t="shared" si="392"/>
        <v>0</v>
      </c>
      <c r="L222" s="168">
        <f t="shared" si="392"/>
        <v>0</v>
      </c>
      <c r="M222" s="168">
        <f t="shared" si="392"/>
        <v>0</v>
      </c>
      <c r="N222" s="168">
        <f t="shared" si="392"/>
        <v>0</v>
      </c>
      <c r="O222" s="168">
        <f t="shared" si="392"/>
        <v>0</v>
      </c>
      <c r="P222" s="168">
        <f t="shared" si="392"/>
        <v>0</v>
      </c>
      <c r="Q222" s="168">
        <f t="shared" si="392"/>
        <v>0</v>
      </c>
      <c r="R222" s="168">
        <f t="shared" si="392"/>
        <v>0</v>
      </c>
      <c r="S222" s="168">
        <f t="shared" si="392"/>
        <v>0</v>
      </c>
      <c r="T222" s="168">
        <f t="shared" si="392"/>
        <v>0</v>
      </c>
      <c r="U222" s="168">
        <f t="shared" si="392"/>
        <v>0</v>
      </c>
      <c r="V222" s="168">
        <f t="shared" si="392"/>
        <v>0</v>
      </c>
      <c r="W222" s="168">
        <f t="shared" si="392"/>
        <v>0</v>
      </c>
      <c r="X222" s="168">
        <f t="shared" si="392"/>
        <v>0</v>
      </c>
      <c r="Y222" s="168">
        <f t="shared" si="392"/>
        <v>0</v>
      </c>
      <c r="Z222" s="168">
        <f t="shared" si="392"/>
        <v>0</v>
      </c>
      <c r="AA222" s="168">
        <f t="shared" si="392"/>
        <v>0</v>
      </c>
      <c r="AB222" s="168">
        <f t="shared" si="392"/>
        <v>0</v>
      </c>
      <c r="AC222" s="168">
        <f t="shared" si="392"/>
        <v>0</v>
      </c>
      <c r="AD222" s="168">
        <f t="shared" si="392"/>
        <v>0</v>
      </c>
      <c r="AE222" s="168">
        <f t="shared" si="392"/>
        <v>0</v>
      </c>
      <c r="AF222" s="168">
        <f t="shared" si="392"/>
        <v>0</v>
      </c>
      <c r="AG222" s="168">
        <f t="shared" si="392"/>
        <v>0</v>
      </c>
      <c r="AH222" s="168">
        <f t="shared" si="392"/>
        <v>0</v>
      </c>
      <c r="AI222" s="168">
        <f t="shared" si="392"/>
        <v>0</v>
      </c>
      <c r="AJ222" s="168">
        <f t="shared" si="392"/>
        <v>0</v>
      </c>
      <c r="AK222" s="168">
        <f t="shared" si="392"/>
        <v>0</v>
      </c>
      <c r="AL222" s="168">
        <f t="shared" si="392"/>
        <v>0</v>
      </c>
      <c r="AM222" s="168">
        <f t="shared" si="392"/>
        <v>0</v>
      </c>
      <c r="AN222" s="168">
        <f t="shared" si="392"/>
        <v>0</v>
      </c>
      <c r="AO222" s="168">
        <f t="shared" si="392"/>
        <v>0</v>
      </c>
      <c r="AP222" s="168">
        <f t="shared" si="392"/>
        <v>0</v>
      </c>
      <c r="AQ222" s="168">
        <f t="shared" si="392"/>
        <v>0</v>
      </c>
      <c r="AR222" s="168">
        <f t="shared" si="392"/>
        <v>0</v>
      </c>
      <c r="AS222" s="168">
        <f t="shared" si="392"/>
        <v>0</v>
      </c>
      <c r="AT222" s="168">
        <f t="shared" si="392"/>
        <v>0</v>
      </c>
      <c r="AU222" s="168">
        <f t="shared" si="392"/>
        <v>0</v>
      </c>
      <c r="AV222" s="168">
        <f t="shared" si="392"/>
        <v>0</v>
      </c>
      <c r="AW222" s="168">
        <f t="shared" si="392"/>
        <v>0</v>
      </c>
      <c r="AX222" s="168">
        <f t="shared" si="392"/>
        <v>0</v>
      </c>
      <c r="AY222" s="168">
        <f t="shared" si="392"/>
        <v>0</v>
      </c>
      <c r="AZ222" s="168">
        <f t="shared" si="392"/>
        <v>0</v>
      </c>
      <c r="BA222" s="168">
        <f t="shared" si="392"/>
        <v>0</v>
      </c>
      <c r="BB222" s="168">
        <f t="shared" si="392"/>
        <v>0</v>
      </c>
      <c r="BC222" s="168">
        <f t="shared" si="392"/>
        <v>0</v>
      </c>
      <c r="BD222" s="168">
        <f t="shared" si="392"/>
        <v>0</v>
      </c>
      <c r="BE222" s="168">
        <f t="shared" si="392"/>
        <v>0</v>
      </c>
      <c r="BF222" s="168">
        <f t="shared" si="392"/>
        <v>0</v>
      </c>
      <c r="BG222" s="168">
        <f t="shared" si="392"/>
        <v>0</v>
      </c>
      <c r="BH222" s="168">
        <f t="shared" si="392"/>
        <v>0</v>
      </c>
      <c r="BI222" s="168">
        <f t="shared" si="392"/>
        <v>0</v>
      </c>
      <c r="BJ222" s="168">
        <f t="shared" si="392"/>
        <v>0</v>
      </c>
      <c r="BK222" s="168">
        <f t="shared" si="392"/>
        <v>0</v>
      </c>
      <c r="BL222" s="168">
        <f t="shared" si="392"/>
        <v>0</v>
      </c>
      <c r="BM222" s="168">
        <f t="shared" si="392"/>
        <v>0</v>
      </c>
      <c r="BN222" s="168">
        <f t="shared" si="392"/>
        <v>0</v>
      </c>
      <c r="BO222" s="168">
        <f t="shared" ref="BO222:CE222" si="393">BO135-BO49</f>
        <v>0</v>
      </c>
      <c r="BP222" s="168">
        <f t="shared" si="393"/>
        <v>0</v>
      </c>
      <c r="BQ222" s="168">
        <f t="shared" si="393"/>
        <v>0</v>
      </c>
      <c r="BR222" s="168">
        <f t="shared" si="393"/>
        <v>0</v>
      </c>
      <c r="BS222" s="168">
        <f t="shared" si="393"/>
        <v>0</v>
      </c>
      <c r="BT222" s="168">
        <f t="shared" si="393"/>
        <v>0</v>
      </c>
      <c r="BU222" s="168">
        <f t="shared" si="393"/>
        <v>0</v>
      </c>
      <c r="BV222" s="168">
        <f t="shared" si="393"/>
        <v>0</v>
      </c>
      <c r="BW222" s="168">
        <f t="shared" si="393"/>
        <v>0</v>
      </c>
      <c r="BX222" s="168">
        <f t="shared" si="393"/>
        <v>0</v>
      </c>
      <c r="BY222" s="168">
        <f t="shared" si="393"/>
        <v>0</v>
      </c>
      <c r="BZ222" s="168">
        <f t="shared" si="393"/>
        <v>0</v>
      </c>
      <c r="CA222" s="168">
        <f t="shared" si="393"/>
        <v>0</v>
      </c>
      <c r="CB222" s="168">
        <f t="shared" si="393"/>
        <v>0</v>
      </c>
      <c r="CC222" s="168">
        <f t="shared" si="393"/>
        <v>0</v>
      </c>
      <c r="CD222" s="168">
        <f t="shared" si="393"/>
        <v>0</v>
      </c>
      <c r="CE222" s="168">
        <f t="shared" si="393"/>
        <v>0</v>
      </c>
    </row>
    <row r="223" spans="1:83" ht="15.5">
      <c r="A223" s="160">
        <v>10</v>
      </c>
      <c r="B223" s="165" t="s">
        <v>196</v>
      </c>
      <c r="C223" s="168">
        <f t="shared" ref="C223:BN223" si="394">C136-C50</f>
        <v>0</v>
      </c>
      <c r="D223" s="168">
        <f t="shared" si="394"/>
        <v>0</v>
      </c>
      <c r="E223" s="168">
        <f t="shared" si="394"/>
        <v>0</v>
      </c>
      <c r="F223" s="168">
        <f t="shared" si="394"/>
        <v>0</v>
      </c>
      <c r="G223" s="168">
        <f t="shared" si="394"/>
        <v>0</v>
      </c>
      <c r="H223" s="168">
        <f t="shared" si="394"/>
        <v>0</v>
      </c>
      <c r="I223" s="168">
        <f t="shared" si="394"/>
        <v>0</v>
      </c>
      <c r="J223" s="168">
        <f t="shared" si="394"/>
        <v>0</v>
      </c>
      <c r="K223" s="168">
        <f t="shared" si="394"/>
        <v>0</v>
      </c>
      <c r="L223" s="168">
        <f t="shared" si="394"/>
        <v>0</v>
      </c>
      <c r="M223" s="168">
        <f t="shared" si="394"/>
        <v>0</v>
      </c>
      <c r="N223" s="168">
        <f t="shared" si="394"/>
        <v>0</v>
      </c>
      <c r="O223" s="168">
        <f t="shared" si="394"/>
        <v>0</v>
      </c>
      <c r="P223" s="168">
        <f t="shared" si="394"/>
        <v>0</v>
      </c>
      <c r="Q223" s="168">
        <f t="shared" si="394"/>
        <v>0</v>
      </c>
      <c r="R223" s="168">
        <f t="shared" si="394"/>
        <v>0</v>
      </c>
      <c r="S223" s="168">
        <f t="shared" si="394"/>
        <v>0</v>
      </c>
      <c r="T223" s="168">
        <f t="shared" si="394"/>
        <v>0</v>
      </c>
      <c r="U223" s="168">
        <f t="shared" si="394"/>
        <v>0</v>
      </c>
      <c r="V223" s="168">
        <f t="shared" si="394"/>
        <v>0</v>
      </c>
      <c r="W223" s="168">
        <f t="shared" si="394"/>
        <v>0</v>
      </c>
      <c r="X223" s="168">
        <f t="shared" si="394"/>
        <v>0</v>
      </c>
      <c r="Y223" s="168">
        <f t="shared" si="394"/>
        <v>0</v>
      </c>
      <c r="Z223" s="168">
        <f t="shared" si="394"/>
        <v>0</v>
      </c>
      <c r="AA223" s="168">
        <f t="shared" si="394"/>
        <v>0</v>
      </c>
      <c r="AB223" s="168">
        <f t="shared" si="394"/>
        <v>0</v>
      </c>
      <c r="AC223" s="168">
        <f t="shared" si="394"/>
        <v>0</v>
      </c>
      <c r="AD223" s="168">
        <f t="shared" si="394"/>
        <v>0</v>
      </c>
      <c r="AE223" s="168">
        <f t="shared" si="394"/>
        <v>0</v>
      </c>
      <c r="AF223" s="168">
        <f t="shared" si="394"/>
        <v>0</v>
      </c>
      <c r="AG223" s="168">
        <f t="shared" si="394"/>
        <v>0</v>
      </c>
      <c r="AH223" s="168">
        <f t="shared" si="394"/>
        <v>0</v>
      </c>
      <c r="AI223" s="168">
        <f t="shared" si="394"/>
        <v>0</v>
      </c>
      <c r="AJ223" s="168">
        <f t="shared" si="394"/>
        <v>0</v>
      </c>
      <c r="AK223" s="168">
        <f t="shared" si="394"/>
        <v>0</v>
      </c>
      <c r="AL223" s="168">
        <f t="shared" si="394"/>
        <v>0</v>
      </c>
      <c r="AM223" s="168">
        <f t="shared" si="394"/>
        <v>0</v>
      </c>
      <c r="AN223" s="168">
        <f t="shared" si="394"/>
        <v>0</v>
      </c>
      <c r="AO223" s="168">
        <f t="shared" si="394"/>
        <v>0</v>
      </c>
      <c r="AP223" s="168">
        <f t="shared" si="394"/>
        <v>0</v>
      </c>
      <c r="AQ223" s="168">
        <f t="shared" si="394"/>
        <v>0</v>
      </c>
      <c r="AR223" s="168">
        <f t="shared" si="394"/>
        <v>0</v>
      </c>
      <c r="AS223" s="168">
        <f t="shared" si="394"/>
        <v>0</v>
      </c>
      <c r="AT223" s="168">
        <f t="shared" si="394"/>
        <v>0</v>
      </c>
      <c r="AU223" s="168">
        <f t="shared" si="394"/>
        <v>0</v>
      </c>
      <c r="AV223" s="168">
        <f t="shared" si="394"/>
        <v>0</v>
      </c>
      <c r="AW223" s="168">
        <f t="shared" si="394"/>
        <v>0</v>
      </c>
      <c r="AX223" s="168">
        <f t="shared" si="394"/>
        <v>0</v>
      </c>
      <c r="AY223" s="168">
        <f t="shared" si="394"/>
        <v>0</v>
      </c>
      <c r="AZ223" s="168">
        <f t="shared" si="394"/>
        <v>0</v>
      </c>
      <c r="BA223" s="168">
        <f t="shared" si="394"/>
        <v>0</v>
      </c>
      <c r="BB223" s="168">
        <f t="shared" si="394"/>
        <v>0</v>
      </c>
      <c r="BC223" s="168">
        <f t="shared" si="394"/>
        <v>0</v>
      </c>
      <c r="BD223" s="168">
        <f t="shared" si="394"/>
        <v>0</v>
      </c>
      <c r="BE223" s="168">
        <f t="shared" si="394"/>
        <v>0</v>
      </c>
      <c r="BF223" s="168">
        <f t="shared" si="394"/>
        <v>0</v>
      </c>
      <c r="BG223" s="168">
        <f t="shared" si="394"/>
        <v>0</v>
      </c>
      <c r="BH223" s="168">
        <f t="shared" si="394"/>
        <v>0</v>
      </c>
      <c r="BI223" s="168">
        <f t="shared" si="394"/>
        <v>0</v>
      </c>
      <c r="BJ223" s="168">
        <f t="shared" si="394"/>
        <v>0</v>
      </c>
      <c r="BK223" s="168">
        <f t="shared" si="394"/>
        <v>0</v>
      </c>
      <c r="BL223" s="168">
        <f t="shared" si="394"/>
        <v>0</v>
      </c>
      <c r="BM223" s="168">
        <f t="shared" si="394"/>
        <v>0</v>
      </c>
      <c r="BN223" s="168">
        <f t="shared" si="394"/>
        <v>0</v>
      </c>
      <c r="BO223" s="168">
        <f t="shared" ref="BO223:CE223" si="395">BO136-BO50</f>
        <v>0</v>
      </c>
      <c r="BP223" s="168">
        <f t="shared" si="395"/>
        <v>0</v>
      </c>
      <c r="BQ223" s="168">
        <f t="shared" si="395"/>
        <v>0</v>
      </c>
      <c r="BR223" s="168">
        <f t="shared" si="395"/>
        <v>0</v>
      </c>
      <c r="BS223" s="168">
        <f t="shared" si="395"/>
        <v>0</v>
      </c>
      <c r="BT223" s="168">
        <f t="shared" si="395"/>
        <v>0</v>
      </c>
      <c r="BU223" s="168">
        <f t="shared" si="395"/>
        <v>0</v>
      </c>
      <c r="BV223" s="168">
        <f t="shared" si="395"/>
        <v>0</v>
      </c>
      <c r="BW223" s="168">
        <f t="shared" si="395"/>
        <v>0</v>
      </c>
      <c r="BX223" s="168">
        <f t="shared" si="395"/>
        <v>0</v>
      </c>
      <c r="BY223" s="168">
        <f t="shared" si="395"/>
        <v>0</v>
      </c>
      <c r="BZ223" s="168">
        <f t="shared" si="395"/>
        <v>0</v>
      </c>
      <c r="CA223" s="168">
        <f t="shared" si="395"/>
        <v>0</v>
      </c>
      <c r="CB223" s="168">
        <f t="shared" si="395"/>
        <v>0</v>
      </c>
      <c r="CC223" s="168">
        <f t="shared" si="395"/>
        <v>0</v>
      </c>
      <c r="CD223" s="168">
        <f t="shared" si="395"/>
        <v>0</v>
      </c>
      <c r="CE223" s="168">
        <f t="shared" si="395"/>
        <v>0</v>
      </c>
    </row>
    <row r="224" spans="1:83" ht="15.5">
      <c r="A224" s="166"/>
      <c r="B224" s="167"/>
      <c r="C224" s="168">
        <f t="shared" ref="C224:BN224" si="396">C137-C51</f>
        <v>0</v>
      </c>
      <c r="D224" s="168">
        <f t="shared" si="396"/>
        <v>0</v>
      </c>
      <c r="E224" s="168">
        <f t="shared" si="396"/>
        <v>0</v>
      </c>
      <c r="F224" s="168">
        <f t="shared" si="396"/>
        <v>0</v>
      </c>
      <c r="G224" s="168">
        <f t="shared" si="396"/>
        <v>0</v>
      </c>
      <c r="H224" s="168">
        <f t="shared" si="396"/>
        <v>0</v>
      </c>
      <c r="I224" s="168">
        <f t="shared" si="396"/>
        <v>0</v>
      </c>
      <c r="J224" s="168">
        <f t="shared" si="396"/>
        <v>0</v>
      </c>
      <c r="K224" s="168">
        <f t="shared" si="396"/>
        <v>0</v>
      </c>
      <c r="L224" s="168">
        <f t="shared" si="396"/>
        <v>0</v>
      </c>
      <c r="M224" s="168">
        <f t="shared" si="396"/>
        <v>0</v>
      </c>
      <c r="N224" s="168">
        <f t="shared" si="396"/>
        <v>0</v>
      </c>
      <c r="O224" s="168">
        <f t="shared" si="396"/>
        <v>0</v>
      </c>
      <c r="P224" s="168">
        <f t="shared" si="396"/>
        <v>0</v>
      </c>
      <c r="Q224" s="168">
        <f t="shared" si="396"/>
        <v>0</v>
      </c>
      <c r="R224" s="168">
        <f t="shared" si="396"/>
        <v>0</v>
      </c>
      <c r="S224" s="168">
        <f t="shared" si="396"/>
        <v>0</v>
      </c>
      <c r="T224" s="168">
        <f t="shared" si="396"/>
        <v>0</v>
      </c>
      <c r="U224" s="168">
        <f t="shared" si="396"/>
        <v>0</v>
      </c>
      <c r="V224" s="168">
        <f t="shared" si="396"/>
        <v>0</v>
      </c>
      <c r="W224" s="168">
        <f t="shared" si="396"/>
        <v>0</v>
      </c>
      <c r="X224" s="168">
        <f t="shared" si="396"/>
        <v>0</v>
      </c>
      <c r="Y224" s="168">
        <f t="shared" si="396"/>
        <v>0</v>
      </c>
      <c r="Z224" s="168">
        <f t="shared" si="396"/>
        <v>0</v>
      </c>
      <c r="AA224" s="168">
        <f t="shared" si="396"/>
        <v>0</v>
      </c>
      <c r="AB224" s="168">
        <f t="shared" si="396"/>
        <v>0</v>
      </c>
      <c r="AC224" s="168">
        <f t="shared" si="396"/>
        <v>0</v>
      </c>
      <c r="AD224" s="168">
        <f t="shared" si="396"/>
        <v>0</v>
      </c>
      <c r="AE224" s="168">
        <f t="shared" si="396"/>
        <v>0</v>
      </c>
      <c r="AF224" s="168">
        <f t="shared" si="396"/>
        <v>0</v>
      </c>
      <c r="AG224" s="168">
        <f t="shared" si="396"/>
        <v>0</v>
      </c>
      <c r="AH224" s="168">
        <f t="shared" si="396"/>
        <v>0</v>
      </c>
      <c r="AI224" s="168">
        <f t="shared" si="396"/>
        <v>0</v>
      </c>
      <c r="AJ224" s="168">
        <f t="shared" si="396"/>
        <v>0</v>
      </c>
      <c r="AK224" s="168">
        <f t="shared" si="396"/>
        <v>0</v>
      </c>
      <c r="AL224" s="168">
        <f t="shared" si="396"/>
        <v>0</v>
      </c>
      <c r="AM224" s="168">
        <f t="shared" si="396"/>
        <v>0</v>
      </c>
      <c r="AN224" s="168">
        <f t="shared" si="396"/>
        <v>0</v>
      </c>
      <c r="AO224" s="168">
        <f t="shared" si="396"/>
        <v>0</v>
      </c>
      <c r="AP224" s="168">
        <f t="shared" si="396"/>
        <v>0</v>
      </c>
      <c r="AQ224" s="168">
        <f t="shared" si="396"/>
        <v>0</v>
      </c>
      <c r="AR224" s="168">
        <f t="shared" si="396"/>
        <v>0</v>
      </c>
      <c r="AS224" s="168">
        <f t="shared" si="396"/>
        <v>0</v>
      </c>
      <c r="AT224" s="168">
        <f t="shared" si="396"/>
        <v>0</v>
      </c>
      <c r="AU224" s="168">
        <f t="shared" si="396"/>
        <v>0</v>
      </c>
      <c r="AV224" s="168">
        <f t="shared" si="396"/>
        <v>0</v>
      </c>
      <c r="AW224" s="168">
        <f t="shared" si="396"/>
        <v>0</v>
      </c>
      <c r="AX224" s="168">
        <f t="shared" si="396"/>
        <v>0</v>
      </c>
      <c r="AY224" s="168">
        <f t="shared" si="396"/>
        <v>0</v>
      </c>
      <c r="AZ224" s="168">
        <f t="shared" si="396"/>
        <v>0</v>
      </c>
      <c r="BA224" s="168">
        <f t="shared" si="396"/>
        <v>0</v>
      </c>
      <c r="BB224" s="168">
        <f t="shared" si="396"/>
        <v>0</v>
      </c>
      <c r="BC224" s="168">
        <f t="shared" si="396"/>
        <v>0</v>
      </c>
      <c r="BD224" s="168">
        <f t="shared" si="396"/>
        <v>0</v>
      </c>
      <c r="BE224" s="168">
        <f t="shared" si="396"/>
        <v>0</v>
      </c>
      <c r="BF224" s="168">
        <f t="shared" si="396"/>
        <v>0</v>
      </c>
      <c r="BG224" s="168">
        <f t="shared" si="396"/>
        <v>0</v>
      </c>
      <c r="BH224" s="168">
        <f t="shared" si="396"/>
        <v>0</v>
      </c>
      <c r="BI224" s="168">
        <f t="shared" si="396"/>
        <v>0</v>
      </c>
      <c r="BJ224" s="168">
        <f t="shared" si="396"/>
        <v>0</v>
      </c>
      <c r="BK224" s="168">
        <f t="shared" si="396"/>
        <v>0</v>
      </c>
      <c r="BL224" s="168">
        <f t="shared" si="396"/>
        <v>0</v>
      </c>
      <c r="BM224" s="168">
        <f t="shared" si="396"/>
        <v>0</v>
      </c>
      <c r="BN224" s="168">
        <f t="shared" si="396"/>
        <v>0</v>
      </c>
      <c r="BO224" s="168">
        <f t="shared" ref="BO224:CE224" si="397">BO137-BO51</f>
        <v>0</v>
      </c>
      <c r="BP224" s="168">
        <f t="shared" si="397"/>
        <v>0</v>
      </c>
      <c r="BQ224" s="168">
        <f t="shared" si="397"/>
        <v>0</v>
      </c>
      <c r="BR224" s="168">
        <f t="shared" si="397"/>
        <v>0</v>
      </c>
      <c r="BS224" s="168">
        <f t="shared" si="397"/>
        <v>0</v>
      </c>
      <c r="BT224" s="168">
        <f t="shared" si="397"/>
        <v>0</v>
      </c>
      <c r="BU224" s="168">
        <f t="shared" si="397"/>
        <v>0</v>
      </c>
      <c r="BV224" s="168">
        <f t="shared" si="397"/>
        <v>0</v>
      </c>
      <c r="BW224" s="168">
        <f t="shared" si="397"/>
        <v>0</v>
      </c>
      <c r="BX224" s="168">
        <f t="shared" si="397"/>
        <v>0</v>
      </c>
      <c r="BY224" s="168">
        <f t="shared" si="397"/>
        <v>0</v>
      </c>
      <c r="BZ224" s="168">
        <f t="shared" si="397"/>
        <v>0</v>
      </c>
      <c r="CA224" s="168">
        <f t="shared" si="397"/>
        <v>0</v>
      </c>
      <c r="CB224" s="168">
        <f t="shared" si="397"/>
        <v>0</v>
      </c>
      <c r="CC224" s="168">
        <f t="shared" si="397"/>
        <v>0</v>
      </c>
      <c r="CD224" s="168">
        <f t="shared" si="397"/>
        <v>0</v>
      </c>
      <c r="CE224" s="168">
        <f t="shared" si="397"/>
        <v>0</v>
      </c>
    </row>
    <row r="225" spans="1:83" ht="21">
      <c r="A225" s="158">
        <v>11</v>
      </c>
      <c r="B225" s="159" t="s">
        <v>3</v>
      </c>
      <c r="C225" s="168">
        <f t="shared" ref="C225:BN225" si="398">C138-C52</f>
        <v>0</v>
      </c>
      <c r="D225" s="168">
        <f t="shared" si="398"/>
        <v>0</v>
      </c>
      <c r="E225" s="168">
        <f t="shared" si="398"/>
        <v>0</v>
      </c>
      <c r="F225" s="168">
        <f t="shared" si="398"/>
        <v>0</v>
      </c>
      <c r="G225" s="168">
        <f t="shared" si="398"/>
        <v>0</v>
      </c>
      <c r="H225" s="168">
        <f t="shared" si="398"/>
        <v>0</v>
      </c>
      <c r="I225" s="168">
        <f t="shared" si="398"/>
        <v>0</v>
      </c>
      <c r="J225" s="168">
        <f t="shared" si="398"/>
        <v>0</v>
      </c>
      <c r="K225" s="168">
        <f t="shared" si="398"/>
        <v>0</v>
      </c>
      <c r="L225" s="168">
        <f t="shared" si="398"/>
        <v>0</v>
      </c>
      <c r="M225" s="168">
        <f t="shared" si="398"/>
        <v>0</v>
      </c>
      <c r="N225" s="168">
        <f t="shared" si="398"/>
        <v>0</v>
      </c>
      <c r="O225" s="168">
        <f t="shared" si="398"/>
        <v>0</v>
      </c>
      <c r="P225" s="168">
        <f t="shared" si="398"/>
        <v>0</v>
      </c>
      <c r="Q225" s="168">
        <f t="shared" si="398"/>
        <v>0</v>
      </c>
      <c r="R225" s="168">
        <f t="shared" si="398"/>
        <v>0</v>
      </c>
      <c r="S225" s="168">
        <f t="shared" si="398"/>
        <v>0</v>
      </c>
      <c r="T225" s="168">
        <f t="shared" si="398"/>
        <v>0</v>
      </c>
      <c r="U225" s="168">
        <f t="shared" si="398"/>
        <v>0</v>
      </c>
      <c r="V225" s="168">
        <f t="shared" si="398"/>
        <v>0</v>
      </c>
      <c r="W225" s="168">
        <f t="shared" si="398"/>
        <v>0</v>
      </c>
      <c r="X225" s="168">
        <f t="shared" si="398"/>
        <v>0</v>
      </c>
      <c r="Y225" s="168">
        <f t="shared" si="398"/>
        <v>0</v>
      </c>
      <c r="Z225" s="168">
        <f t="shared" si="398"/>
        <v>0</v>
      </c>
      <c r="AA225" s="168">
        <f t="shared" si="398"/>
        <v>0</v>
      </c>
      <c r="AB225" s="168">
        <f t="shared" si="398"/>
        <v>0</v>
      </c>
      <c r="AC225" s="168">
        <f t="shared" si="398"/>
        <v>0</v>
      </c>
      <c r="AD225" s="168">
        <f t="shared" si="398"/>
        <v>0</v>
      </c>
      <c r="AE225" s="168">
        <f t="shared" si="398"/>
        <v>0</v>
      </c>
      <c r="AF225" s="168">
        <f t="shared" si="398"/>
        <v>0</v>
      </c>
      <c r="AG225" s="168">
        <f t="shared" si="398"/>
        <v>0</v>
      </c>
      <c r="AH225" s="168">
        <f t="shared" si="398"/>
        <v>0</v>
      </c>
      <c r="AI225" s="168">
        <f t="shared" si="398"/>
        <v>0</v>
      </c>
      <c r="AJ225" s="168">
        <f t="shared" si="398"/>
        <v>0</v>
      </c>
      <c r="AK225" s="168">
        <f t="shared" si="398"/>
        <v>0</v>
      </c>
      <c r="AL225" s="168">
        <f t="shared" si="398"/>
        <v>0</v>
      </c>
      <c r="AM225" s="168">
        <f t="shared" si="398"/>
        <v>0</v>
      </c>
      <c r="AN225" s="168">
        <f t="shared" si="398"/>
        <v>0</v>
      </c>
      <c r="AO225" s="168">
        <f t="shared" si="398"/>
        <v>0</v>
      </c>
      <c r="AP225" s="168">
        <f t="shared" si="398"/>
        <v>0</v>
      </c>
      <c r="AQ225" s="168">
        <f t="shared" si="398"/>
        <v>0</v>
      </c>
      <c r="AR225" s="168">
        <f t="shared" si="398"/>
        <v>0</v>
      </c>
      <c r="AS225" s="168">
        <f t="shared" si="398"/>
        <v>0</v>
      </c>
      <c r="AT225" s="168">
        <f t="shared" si="398"/>
        <v>0</v>
      </c>
      <c r="AU225" s="168">
        <f t="shared" si="398"/>
        <v>0</v>
      </c>
      <c r="AV225" s="168">
        <f t="shared" si="398"/>
        <v>0</v>
      </c>
      <c r="AW225" s="168">
        <f t="shared" si="398"/>
        <v>0</v>
      </c>
      <c r="AX225" s="168">
        <f t="shared" si="398"/>
        <v>0</v>
      </c>
      <c r="AY225" s="168">
        <f t="shared" si="398"/>
        <v>0</v>
      </c>
      <c r="AZ225" s="168">
        <f t="shared" si="398"/>
        <v>0</v>
      </c>
      <c r="BA225" s="168">
        <f t="shared" si="398"/>
        <v>0</v>
      </c>
      <c r="BB225" s="168">
        <f t="shared" si="398"/>
        <v>0</v>
      </c>
      <c r="BC225" s="168">
        <f t="shared" si="398"/>
        <v>0</v>
      </c>
      <c r="BD225" s="168">
        <f t="shared" si="398"/>
        <v>0</v>
      </c>
      <c r="BE225" s="168">
        <f t="shared" si="398"/>
        <v>0</v>
      </c>
      <c r="BF225" s="168">
        <f t="shared" si="398"/>
        <v>0</v>
      </c>
      <c r="BG225" s="168">
        <f t="shared" si="398"/>
        <v>0</v>
      </c>
      <c r="BH225" s="168">
        <f t="shared" si="398"/>
        <v>0</v>
      </c>
      <c r="BI225" s="168">
        <f t="shared" si="398"/>
        <v>0</v>
      </c>
      <c r="BJ225" s="168">
        <f t="shared" si="398"/>
        <v>0</v>
      </c>
      <c r="BK225" s="168">
        <f t="shared" si="398"/>
        <v>0</v>
      </c>
      <c r="BL225" s="168">
        <f t="shared" si="398"/>
        <v>0</v>
      </c>
      <c r="BM225" s="168">
        <f t="shared" si="398"/>
        <v>0</v>
      </c>
      <c r="BN225" s="168">
        <f t="shared" si="398"/>
        <v>0</v>
      </c>
      <c r="BO225" s="168">
        <f t="shared" ref="BO225:CE225" si="399">BO138-BO52</f>
        <v>0</v>
      </c>
      <c r="BP225" s="168">
        <f t="shared" si="399"/>
        <v>0</v>
      </c>
      <c r="BQ225" s="168">
        <f t="shared" si="399"/>
        <v>0</v>
      </c>
      <c r="BR225" s="168">
        <f t="shared" si="399"/>
        <v>0</v>
      </c>
      <c r="BS225" s="168">
        <f t="shared" si="399"/>
        <v>0</v>
      </c>
      <c r="BT225" s="168">
        <f t="shared" si="399"/>
        <v>0</v>
      </c>
      <c r="BU225" s="168">
        <f t="shared" si="399"/>
        <v>0</v>
      </c>
      <c r="BV225" s="168">
        <f t="shared" si="399"/>
        <v>0</v>
      </c>
      <c r="BW225" s="168">
        <f t="shared" si="399"/>
        <v>0</v>
      </c>
      <c r="BX225" s="168">
        <f t="shared" si="399"/>
        <v>0</v>
      </c>
      <c r="BY225" s="168">
        <f t="shared" si="399"/>
        <v>0</v>
      </c>
      <c r="BZ225" s="168">
        <f t="shared" si="399"/>
        <v>0</v>
      </c>
      <c r="CA225" s="168">
        <f t="shared" si="399"/>
        <v>0</v>
      </c>
      <c r="CB225" s="168">
        <f t="shared" si="399"/>
        <v>0</v>
      </c>
      <c r="CC225" s="168">
        <f t="shared" si="399"/>
        <v>0</v>
      </c>
      <c r="CD225" s="168">
        <f t="shared" si="399"/>
        <v>0</v>
      </c>
      <c r="CE225" s="168">
        <f t="shared" si="399"/>
        <v>0</v>
      </c>
    </row>
    <row r="226" spans="1:83" ht="15.5">
      <c r="A226" s="160">
        <v>11</v>
      </c>
      <c r="B226" s="161" t="s">
        <v>194</v>
      </c>
      <c r="C226" s="168">
        <f t="shared" ref="C226:BN226" si="400">C139-C53</f>
        <v>0</v>
      </c>
      <c r="D226" s="168">
        <f t="shared" si="400"/>
        <v>0</v>
      </c>
      <c r="E226" s="168">
        <f t="shared" si="400"/>
        <v>0</v>
      </c>
      <c r="F226" s="168">
        <f t="shared" si="400"/>
        <v>0</v>
      </c>
      <c r="G226" s="168">
        <f t="shared" si="400"/>
        <v>0</v>
      </c>
      <c r="H226" s="168">
        <f t="shared" si="400"/>
        <v>0</v>
      </c>
      <c r="I226" s="168">
        <f t="shared" si="400"/>
        <v>0</v>
      </c>
      <c r="J226" s="168">
        <f t="shared" si="400"/>
        <v>0</v>
      </c>
      <c r="K226" s="168">
        <f t="shared" si="400"/>
        <v>0</v>
      </c>
      <c r="L226" s="168">
        <f t="shared" si="400"/>
        <v>0</v>
      </c>
      <c r="M226" s="168">
        <f t="shared" si="400"/>
        <v>0</v>
      </c>
      <c r="N226" s="168">
        <f t="shared" si="400"/>
        <v>0</v>
      </c>
      <c r="O226" s="168">
        <f t="shared" si="400"/>
        <v>0</v>
      </c>
      <c r="P226" s="168">
        <f t="shared" si="400"/>
        <v>0</v>
      </c>
      <c r="Q226" s="168">
        <f t="shared" si="400"/>
        <v>0</v>
      </c>
      <c r="R226" s="168">
        <f t="shared" si="400"/>
        <v>0</v>
      </c>
      <c r="S226" s="168">
        <f t="shared" si="400"/>
        <v>0</v>
      </c>
      <c r="T226" s="168">
        <f t="shared" si="400"/>
        <v>0</v>
      </c>
      <c r="U226" s="168">
        <f t="shared" si="400"/>
        <v>0</v>
      </c>
      <c r="V226" s="168">
        <f t="shared" si="400"/>
        <v>0</v>
      </c>
      <c r="W226" s="168">
        <f t="shared" si="400"/>
        <v>0</v>
      </c>
      <c r="X226" s="168">
        <f t="shared" si="400"/>
        <v>0</v>
      </c>
      <c r="Y226" s="168">
        <f t="shared" si="400"/>
        <v>0</v>
      </c>
      <c r="Z226" s="168">
        <f t="shared" si="400"/>
        <v>0</v>
      </c>
      <c r="AA226" s="168">
        <f t="shared" si="400"/>
        <v>0</v>
      </c>
      <c r="AB226" s="168">
        <f t="shared" si="400"/>
        <v>0</v>
      </c>
      <c r="AC226" s="168">
        <f t="shared" si="400"/>
        <v>0</v>
      </c>
      <c r="AD226" s="168">
        <f t="shared" si="400"/>
        <v>0</v>
      </c>
      <c r="AE226" s="168">
        <f t="shared" si="400"/>
        <v>0</v>
      </c>
      <c r="AF226" s="168">
        <f t="shared" si="400"/>
        <v>0</v>
      </c>
      <c r="AG226" s="168">
        <f t="shared" si="400"/>
        <v>0</v>
      </c>
      <c r="AH226" s="168">
        <f t="shared" si="400"/>
        <v>0</v>
      </c>
      <c r="AI226" s="168">
        <f t="shared" si="400"/>
        <v>0</v>
      </c>
      <c r="AJ226" s="168">
        <f t="shared" si="400"/>
        <v>0</v>
      </c>
      <c r="AK226" s="168">
        <f t="shared" si="400"/>
        <v>0</v>
      </c>
      <c r="AL226" s="168">
        <f t="shared" si="400"/>
        <v>0</v>
      </c>
      <c r="AM226" s="168">
        <f t="shared" si="400"/>
        <v>0</v>
      </c>
      <c r="AN226" s="168">
        <f t="shared" si="400"/>
        <v>0</v>
      </c>
      <c r="AO226" s="168">
        <f t="shared" si="400"/>
        <v>0</v>
      </c>
      <c r="AP226" s="168">
        <f t="shared" si="400"/>
        <v>0</v>
      </c>
      <c r="AQ226" s="168">
        <f t="shared" si="400"/>
        <v>0</v>
      </c>
      <c r="AR226" s="168">
        <f t="shared" si="400"/>
        <v>0</v>
      </c>
      <c r="AS226" s="168">
        <f t="shared" si="400"/>
        <v>0</v>
      </c>
      <c r="AT226" s="168">
        <f t="shared" si="400"/>
        <v>0</v>
      </c>
      <c r="AU226" s="168">
        <f t="shared" si="400"/>
        <v>0</v>
      </c>
      <c r="AV226" s="168">
        <f t="shared" si="400"/>
        <v>0</v>
      </c>
      <c r="AW226" s="168">
        <f t="shared" si="400"/>
        <v>0</v>
      </c>
      <c r="AX226" s="168">
        <f t="shared" si="400"/>
        <v>0</v>
      </c>
      <c r="AY226" s="168">
        <f t="shared" si="400"/>
        <v>0</v>
      </c>
      <c r="AZ226" s="168">
        <f t="shared" si="400"/>
        <v>0</v>
      </c>
      <c r="BA226" s="168">
        <f t="shared" si="400"/>
        <v>0</v>
      </c>
      <c r="BB226" s="168">
        <f t="shared" si="400"/>
        <v>0</v>
      </c>
      <c r="BC226" s="168">
        <f t="shared" si="400"/>
        <v>0</v>
      </c>
      <c r="BD226" s="168">
        <f t="shared" si="400"/>
        <v>0</v>
      </c>
      <c r="BE226" s="168">
        <f t="shared" si="400"/>
        <v>0</v>
      </c>
      <c r="BF226" s="168">
        <f t="shared" si="400"/>
        <v>0</v>
      </c>
      <c r="BG226" s="168">
        <f t="shared" si="400"/>
        <v>0</v>
      </c>
      <c r="BH226" s="168">
        <f t="shared" si="400"/>
        <v>0</v>
      </c>
      <c r="BI226" s="168">
        <f t="shared" si="400"/>
        <v>0</v>
      </c>
      <c r="BJ226" s="168">
        <f t="shared" si="400"/>
        <v>0</v>
      </c>
      <c r="BK226" s="168">
        <f t="shared" si="400"/>
        <v>0</v>
      </c>
      <c r="BL226" s="168">
        <f t="shared" si="400"/>
        <v>0</v>
      </c>
      <c r="BM226" s="168">
        <f t="shared" si="400"/>
        <v>0</v>
      </c>
      <c r="BN226" s="168">
        <f t="shared" si="400"/>
        <v>0</v>
      </c>
      <c r="BO226" s="168">
        <f t="shared" ref="BO226:CE226" si="401">BO139-BO53</f>
        <v>0</v>
      </c>
      <c r="BP226" s="168">
        <f t="shared" si="401"/>
        <v>0</v>
      </c>
      <c r="BQ226" s="168">
        <f t="shared" si="401"/>
        <v>0</v>
      </c>
      <c r="BR226" s="168">
        <f t="shared" si="401"/>
        <v>0</v>
      </c>
      <c r="BS226" s="168">
        <f t="shared" si="401"/>
        <v>0</v>
      </c>
      <c r="BT226" s="168">
        <f t="shared" si="401"/>
        <v>0</v>
      </c>
      <c r="BU226" s="168">
        <f t="shared" si="401"/>
        <v>0</v>
      </c>
      <c r="BV226" s="168">
        <f t="shared" si="401"/>
        <v>0</v>
      </c>
      <c r="BW226" s="168">
        <f t="shared" si="401"/>
        <v>0</v>
      </c>
      <c r="BX226" s="168">
        <f t="shared" si="401"/>
        <v>0</v>
      </c>
      <c r="BY226" s="168">
        <f t="shared" si="401"/>
        <v>0</v>
      </c>
      <c r="BZ226" s="168">
        <f t="shared" si="401"/>
        <v>0</v>
      </c>
      <c r="CA226" s="168">
        <f t="shared" si="401"/>
        <v>0</v>
      </c>
      <c r="CB226" s="168">
        <f t="shared" si="401"/>
        <v>0</v>
      </c>
      <c r="CC226" s="168">
        <f t="shared" si="401"/>
        <v>0</v>
      </c>
      <c r="CD226" s="168">
        <f t="shared" si="401"/>
        <v>0</v>
      </c>
      <c r="CE226" s="168">
        <f t="shared" si="401"/>
        <v>0</v>
      </c>
    </row>
    <row r="227" spans="1:83" ht="15.5">
      <c r="A227" s="160">
        <v>11</v>
      </c>
      <c r="B227" s="162" t="s">
        <v>139</v>
      </c>
      <c r="C227" s="168">
        <f t="shared" ref="C227:BN227" si="402">C140-C54</f>
        <v>0</v>
      </c>
      <c r="D227" s="168">
        <f t="shared" si="402"/>
        <v>0</v>
      </c>
      <c r="E227" s="168">
        <f t="shared" si="402"/>
        <v>0</v>
      </c>
      <c r="F227" s="168">
        <f t="shared" si="402"/>
        <v>0</v>
      </c>
      <c r="G227" s="168">
        <f t="shared" si="402"/>
        <v>0</v>
      </c>
      <c r="H227" s="168">
        <f t="shared" si="402"/>
        <v>0</v>
      </c>
      <c r="I227" s="168">
        <f t="shared" si="402"/>
        <v>0</v>
      </c>
      <c r="J227" s="168">
        <f t="shared" si="402"/>
        <v>0</v>
      </c>
      <c r="K227" s="168">
        <f t="shared" si="402"/>
        <v>0</v>
      </c>
      <c r="L227" s="168">
        <f t="shared" si="402"/>
        <v>0</v>
      </c>
      <c r="M227" s="168">
        <f t="shared" si="402"/>
        <v>0</v>
      </c>
      <c r="N227" s="168">
        <f t="shared" si="402"/>
        <v>0</v>
      </c>
      <c r="O227" s="168">
        <f t="shared" si="402"/>
        <v>0</v>
      </c>
      <c r="P227" s="168">
        <f t="shared" si="402"/>
        <v>0</v>
      </c>
      <c r="Q227" s="168">
        <f t="shared" si="402"/>
        <v>0</v>
      </c>
      <c r="R227" s="168">
        <f t="shared" si="402"/>
        <v>0</v>
      </c>
      <c r="S227" s="168">
        <f t="shared" si="402"/>
        <v>0</v>
      </c>
      <c r="T227" s="168">
        <f t="shared" si="402"/>
        <v>0</v>
      </c>
      <c r="U227" s="168">
        <f t="shared" si="402"/>
        <v>0</v>
      </c>
      <c r="V227" s="168">
        <f t="shared" si="402"/>
        <v>0</v>
      </c>
      <c r="W227" s="168">
        <f t="shared" si="402"/>
        <v>0</v>
      </c>
      <c r="X227" s="168">
        <f t="shared" si="402"/>
        <v>0</v>
      </c>
      <c r="Y227" s="168">
        <f t="shared" si="402"/>
        <v>0</v>
      </c>
      <c r="Z227" s="168">
        <f t="shared" si="402"/>
        <v>0</v>
      </c>
      <c r="AA227" s="168">
        <f t="shared" si="402"/>
        <v>0</v>
      </c>
      <c r="AB227" s="168">
        <f t="shared" si="402"/>
        <v>0</v>
      </c>
      <c r="AC227" s="168">
        <f t="shared" si="402"/>
        <v>0</v>
      </c>
      <c r="AD227" s="168">
        <f t="shared" si="402"/>
        <v>0</v>
      </c>
      <c r="AE227" s="168">
        <f t="shared" si="402"/>
        <v>0</v>
      </c>
      <c r="AF227" s="168">
        <f t="shared" si="402"/>
        <v>0</v>
      </c>
      <c r="AG227" s="168">
        <f t="shared" si="402"/>
        <v>0</v>
      </c>
      <c r="AH227" s="168">
        <f t="shared" si="402"/>
        <v>0</v>
      </c>
      <c r="AI227" s="168">
        <f t="shared" si="402"/>
        <v>0</v>
      </c>
      <c r="AJ227" s="168">
        <f t="shared" si="402"/>
        <v>0</v>
      </c>
      <c r="AK227" s="168">
        <f t="shared" si="402"/>
        <v>0</v>
      </c>
      <c r="AL227" s="168">
        <f t="shared" si="402"/>
        <v>0</v>
      </c>
      <c r="AM227" s="168">
        <f t="shared" si="402"/>
        <v>0</v>
      </c>
      <c r="AN227" s="168">
        <f t="shared" si="402"/>
        <v>0</v>
      </c>
      <c r="AO227" s="168">
        <f t="shared" si="402"/>
        <v>0</v>
      </c>
      <c r="AP227" s="168">
        <f t="shared" si="402"/>
        <v>0</v>
      </c>
      <c r="AQ227" s="168">
        <f t="shared" si="402"/>
        <v>0</v>
      </c>
      <c r="AR227" s="168">
        <f t="shared" si="402"/>
        <v>0</v>
      </c>
      <c r="AS227" s="168">
        <f t="shared" si="402"/>
        <v>0</v>
      </c>
      <c r="AT227" s="168">
        <f t="shared" si="402"/>
        <v>0</v>
      </c>
      <c r="AU227" s="168">
        <f t="shared" si="402"/>
        <v>0</v>
      </c>
      <c r="AV227" s="168">
        <f t="shared" si="402"/>
        <v>0</v>
      </c>
      <c r="AW227" s="168">
        <f t="shared" si="402"/>
        <v>0</v>
      </c>
      <c r="AX227" s="168">
        <f t="shared" si="402"/>
        <v>0</v>
      </c>
      <c r="AY227" s="168">
        <f t="shared" si="402"/>
        <v>0</v>
      </c>
      <c r="AZ227" s="168">
        <f t="shared" si="402"/>
        <v>0</v>
      </c>
      <c r="BA227" s="168">
        <f t="shared" si="402"/>
        <v>0</v>
      </c>
      <c r="BB227" s="168">
        <f t="shared" si="402"/>
        <v>0</v>
      </c>
      <c r="BC227" s="168">
        <f t="shared" si="402"/>
        <v>0</v>
      </c>
      <c r="BD227" s="168">
        <f t="shared" si="402"/>
        <v>0</v>
      </c>
      <c r="BE227" s="168">
        <f t="shared" si="402"/>
        <v>0</v>
      </c>
      <c r="BF227" s="168">
        <f t="shared" si="402"/>
        <v>0</v>
      </c>
      <c r="BG227" s="168">
        <f t="shared" si="402"/>
        <v>0</v>
      </c>
      <c r="BH227" s="168">
        <f t="shared" si="402"/>
        <v>0</v>
      </c>
      <c r="BI227" s="168">
        <f t="shared" si="402"/>
        <v>0</v>
      </c>
      <c r="BJ227" s="168">
        <f t="shared" si="402"/>
        <v>0</v>
      </c>
      <c r="BK227" s="168">
        <f t="shared" si="402"/>
        <v>0</v>
      </c>
      <c r="BL227" s="168">
        <f t="shared" si="402"/>
        <v>0</v>
      </c>
      <c r="BM227" s="168">
        <f t="shared" si="402"/>
        <v>0</v>
      </c>
      <c r="BN227" s="168">
        <f t="shared" si="402"/>
        <v>0</v>
      </c>
      <c r="BO227" s="168">
        <f t="shared" ref="BO227:CE227" si="403">BO140-BO54</f>
        <v>0</v>
      </c>
      <c r="BP227" s="168">
        <f t="shared" si="403"/>
        <v>0</v>
      </c>
      <c r="BQ227" s="168">
        <f t="shared" si="403"/>
        <v>0</v>
      </c>
      <c r="BR227" s="168">
        <f t="shared" si="403"/>
        <v>0</v>
      </c>
      <c r="BS227" s="168">
        <f t="shared" si="403"/>
        <v>0</v>
      </c>
      <c r="BT227" s="168">
        <f t="shared" si="403"/>
        <v>0</v>
      </c>
      <c r="BU227" s="168">
        <f t="shared" si="403"/>
        <v>0</v>
      </c>
      <c r="BV227" s="168">
        <f t="shared" si="403"/>
        <v>0</v>
      </c>
      <c r="BW227" s="168">
        <f t="shared" si="403"/>
        <v>0</v>
      </c>
      <c r="BX227" s="168">
        <f t="shared" si="403"/>
        <v>0</v>
      </c>
      <c r="BY227" s="168">
        <f t="shared" si="403"/>
        <v>0</v>
      </c>
      <c r="BZ227" s="168">
        <f t="shared" si="403"/>
        <v>0</v>
      </c>
      <c r="CA227" s="168">
        <f t="shared" si="403"/>
        <v>0</v>
      </c>
      <c r="CB227" s="168">
        <f t="shared" si="403"/>
        <v>0</v>
      </c>
      <c r="CC227" s="168">
        <f t="shared" si="403"/>
        <v>0</v>
      </c>
      <c r="CD227" s="168">
        <f t="shared" si="403"/>
        <v>0</v>
      </c>
      <c r="CE227" s="168">
        <f t="shared" si="403"/>
        <v>0</v>
      </c>
    </row>
    <row r="228" spans="1:83" ht="15.5">
      <c r="A228" s="160">
        <v>11</v>
      </c>
      <c r="B228" s="163" t="s">
        <v>140</v>
      </c>
      <c r="C228" s="168">
        <f t="shared" ref="C228:BN228" si="404">C141-C55</f>
        <v>0</v>
      </c>
      <c r="D228" s="168">
        <f t="shared" si="404"/>
        <v>0</v>
      </c>
      <c r="E228" s="168">
        <f t="shared" si="404"/>
        <v>0</v>
      </c>
      <c r="F228" s="168">
        <f t="shared" si="404"/>
        <v>0</v>
      </c>
      <c r="G228" s="168">
        <f t="shared" si="404"/>
        <v>0</v>
      </c>
      <c r="H228" s="168">
        <f t="shared" si="404"/>
        <v>0</v>
      </c>
      <c r="I228" s="168">
        <f t="shared" si="404"/>
        <v>0</v>
      </c>
      <c r="J228" s="168">
        <f t="shared" si="404"/>
        <v>0</v>
      </c>
      <c r="K228" s="168">
        <f t="shared" si="404"/>
        <v>0</v>
      </c>
      <c r="L228" s="168">
        <f t="shared" si="404"/>
        <v>0</v>
      </c>
      <c r="M228" s="168">
        <f t="shared" si="404"/>
        <v>0</v>
      </c>
      <c r="N228" s="168">
        <f t="shared" si="404"/>
        <v>0</v>
      </c>
      <c r="O228" s="168">
        <f t="shared" si="404"/>
        <v>0</v>
      </c>
      <c r="P228" s="168">
        <f t="shared" si="404"/>
        <v>0</v>
      </c>
      <c r="Q228" s="168">
        <f t="shared" si="404"/>
        <v>0</v>
      </c>
      <c r="R228" s="168">
        <f t="shared" si="404"/>
        <v>0</v>
      </c>
      <c r="S228" s="168">
        <f t="shared" si="404"/>
        <v>0</v>
      </c>
      <c r="T228" s="168">
        <f t="shared" si="404"/>
        <v>0</v>
      </c>
      <c r="U228" s="168">
        <f t="shared" si="404"/>
        <v>0</v>
      </c>
      <c r="V228" s="168">
        <f t="shared" si="404"/>
        <v>0</v>
      </c>
      <c r="W228" s="168">
        <f t="shared" si="404"/>
        <v>0</v>
      </c>
      <c r="X228" s="168">
        <f t="shared" si="404"/>
        <v>0</v>
      </c>
      <c r="Y228" s="168">
        <f t="shared" si="404"/>
        <v>0</v>
      </c>
      <c r="Z228" s="168">
        <f t="shared" si="404"/>
        <v>0</v>
      </c>
      <c r="AA228" s="168">
        <f t="shared" si="404"/>
        <v>0</v>
      </c>
      <c r="AB228" s="168">
        <f t="shared" si="404"/>
        <v>0</v>
      </c>
      <c r="AC228" s="168">
        <f t="shared" si="404"/>
        <v>0</v>
      </c>
      <c r="AD228" s="168">
        <f t="shared" si="404"/>
        <v>0</v>
      </c>
      <c r="AE228" s="168">
        <f t="shared" si="404"/>
        <v>0</v>
      </c>
      <c r="AF228" s="168">
        <f t="shared" si="404"/>
        <v>0</v>
      </c>
      <c r="AG228" s="168">
        <f t="shared" si="404"/>
        <v>0</v>
      </c>
      <c r="AH228" s="168">
        <f t="shared" si="404"/>
        <v>0</v>
      </c>
      <c r="AI228" s="168">
        <f t="shared" si="404"/>
        <v>0</v>
      </c>
      <c r="AJ228" s="168">
        <f t="shared" si="404"/>
        <v>0</v>
      </c>
      <c r="AK228" s="168">
        <f t="shared" si="404"/>
        <v>0</v>
      </c>
      <c r="AL228" s="168">
        <f t="shared" si="404"/>
        <v>0</v>
      </c>
      <c r="AM228" s="168">
        <f t="shared" si="404"/>
        <v>0</v>
      </c>
      <c r="AN228" s="168">
        <f t="shared" si="404"/>
        <v>0</v>
      </c>
      <c r="AO228" s="168">
        <f t="shared" si="404"/>
        <v>0</v>
      </c>
      <c r="AP228" s="168">
        <f t="shared" si="404"/>
        <v>0</v>
      </c>
      <c r="AQ228" s="168">
        <f t="shared" si="404"/>
        <v>0</v>
      </c>
      <c r="AR228" s="168">
        <f t="shared" si="404"/>
        <v>0</v>
      </c>
      <c r="AS228" s="168">
        <f t="shared" si="404"/>
        <v>0</v>
      </c>
      <c r="AT228" s="168">
        <f t="shared" si="404"/>
        <v>0</v>
      </c>
      <c r="AU228" s="168">
        <f t="shared" si="404"/>
        <v>0</v>
      </c>
      <c r="AV228" s="168">
        <f t="shared" si="404"/>
        <v>0</v>
      </c>
      <c r="AW228" s="168">
        <f t="shared" si="404"/>
        <v>0</v>
      </c>
      <c r="AX228" s="168">
        <f t="shared" si="404"/>
        <v>0</v>
      </c>
      <c r="AY228" s="168">
        <f t="shared" si="404"/>
        <v>0</v>
      </c>
      <c r="AZ228" s="168">
        <f t="shared" si="404"/>
        <v>0</v>
      </c>
      <c r="BA228" s="168">
        <f t="shared" si="404"/>
        <v>0</v>
      </c>
      <c r="BB228" s="168">
        <f t="shared" si="404"/>
        <v>0</v>
      </c>
      <c r="BC228" s="168">
        <f t="shared" si="404"/>
        <v>0</v>
      </c>
      <c r="BD228" s="168">
        <f t="shared" si="404"/>
        <v>0</v>
      </c>
      <c r="BE228" s="168">
        <f t="shared" si="404"/>
        <v>0</v>
      </c>
      <c r="BF228" s="168">
        <f t="shared" si="404"/>
        <v>0</v>
      </c>
      <c r="BG228" s="168">
        <f t="shared" si="404"/>
        <v>0</v>
      </c>
      <c r="BH228" s="168">
        <f t="shared" si="404"/>
        <v>0</v>
      </c>
      <c r="BI228" s="168">
        <f t="shared" si="404"/>
        <v>0</v>
      </c>
      <c r="BJ228" s="168">
        <f t="shared" si="404"/>
        <v>0</v>
      </c>
      <c r="BK228" s="168">
        <f t="shared" si="404"/>
        <v>0</v>
      </c>
      <c r="BL228" s="168">
        <f t="shared" si="404"/>
        <v>0</v>
      </c>
      <c r="BM228" s="168">
        <f t="shared" si="404"/>
        <v>0</v>
      </c>
      <c r="BN228" s="168">
        <f t="shared" si="404"/>
        <v>0</v>
      </c>
      <c r="BO228" s="168">
        <f t="shared" ref="BO228:CE228" si="405">BO141-BO55</f>
        <v>0</v>
      </c>
      <c r="BP228" s="168">
        <f t="shared" si="405"/>
        <v>0</v>
      </c>
      <c r="BQ228" s="168">
        <f t="shared" si="405"/>
        <v>0</v>
      </c>
      <c r="BR228" s="168">
        <f t="shared" si="405"/>
        <v>0</v>
      </c>
      <c r="BS228" s="168">
        <f t="shared" si="405"/>
        <v>0</v>
      </c>
      <c r="BT228" s="168">
        <f t="shared" si="405"/>
        <v>0</v>
      </c>
      <c r="BU228" s="168">
        <f t="shared" si="405"/>
        <v>0</v>
      </c>
      <c r="BV228" s="168">
        <f t="shared" si="405"/>
        <v>0</v>
      </c>
      <c r="BW228" s="168">
        <f t="shared" si="405"/>
        <v>0</v>
      </c>
      <c r="BX228" s="168">
        <f t="shared" si="405"/>
        <v>0</v>
      </c>
      <c r="BY228" s="168">
        <f t="shared" si="405"/>
        <v>0</v>
      </c>
      <c r="BZ228" s="168">
        <f t="shared" si="405"/>
        <v>0</v>
      </c>
      <c r="CA228" s="168">
        <f t="shared" si="405"/>
        <v>0</v>
      </c>
      <c r="CB228" s="168">
        <f t="shared" si="405"/>
        <v>0</v>
      </c>
      <c r="CC228" s="168">
        <f t="shared" si="405"/>
        <v>0</v>
      </c>
      <c r="CD228" s="168">
        <f t="shared" si="405"/>
        <v>0</v>
      </c>
      <c r="CE228" s="168">
        <f t="shared" si="405"/>
        <v>0</v>
      </c>
    </row>
    <row r="229" spans="1:83" ht="15.5">
      <c r="A229" s="160">
        <v>11</v>
      </c>
      <c r="B229" s="164" t="s">
        <v>195</v>
      </c>
      <c r="C229" s="168">
        <f t="shared" ref="C229:BN229" si="406">C142-C56</f>
        <v>0</v>
      </c>
      <c r="D229" s="168">
        <f t="shared" si="406"/>
        <v>0</v>
      </c>
      <c r="E229" s="168">
        <f t="shared" si="406"/>
        <v>0</v>
      </c>
      <c r="F229" s="168">
        <f t="shared" si="406"/>
        <v>0</v>
      </c>
      <c r="G229" s="168">
        <f t="shared" si="406"/>
        <v>0</v>
      </c>
      <c r="H229" s="168">
        <f t="shared" si="406"/>
        <v>0</v>
      </c>
      <c r="I229" s="168">
        <f t="shared" si="406"/>
        <v>0</v>
      </c>
      <c r="J229" s="168">
        <f t="shared" si="406"/>
        <v>0</v>
      </c>
      <c r="K229" s="168">
        <f t="shared" si="406"/>
        <v>0</v>
      </c>
      <c r="L229" s="168">
        <f t="shared" si="406"/>
        <v>0</v>
      </c>
      <c r="M229" s="168">
        <f t="shared" si="406"/>
        <v>0</v>
      </c>
      <c r="N229" s="168">
        <f t="shared" si="406"/>
        <v>0</v>
      </c>
      <c r="O229" s="168">
        <f t="shared" si="406"/>
        <v>0</v>
      </c>
      <c r="P229" s="168">
        <f t="shared" si="406"/>
        <v>0</v>
      </c>
      <c r="Q229" s="168">
        <f t="shared" si="406"/>
        <v>0</v>
      </c>
      <c r="R229" s="168">
        <f t="shared" si="406"/>
        <v>0</v>
      </c>
      <c r="S229" s="168">
        <f t="shared" si="406"/>
        <v>0</v>
      </c>
      <c r="T229" s="168">
        <f t="shared" si="406"/>
        <v>0</v>
      </c>
      <c r="U229" s="168">
        <f t="shared" si="406"/>
        <v>0</v>
      </c>
      <c r="V229" s="168">
        <f t="shared" si="406"/>
        <v>0</v>
      </c>
      <c r="W229" s="168">
        <f t="shared" si="406"/>
        <v>0</v>
      </c>
      <c r="X229" s="168">
        <f t="shared" si="406"/>
        <v>0</v>
      </c>
      <c r="Y229" s="168">
        <f t="shared" si="406"/>
        <v>0</v>
      </c>
      <c r="Z229" s="168">
        <f t="shared" si="406"/>
        <v>0</v>
      </c>
      <c r="AA229" s="168">
        <f t="shared" si="406"/>
        <v>0</v>
      </c>
      <c r="AB229" s="168">
        <f t="shared" si="406"/>
        <v>0</v>
      </c>
      <c r="AC229" s="168">
        <f t="shared" si="406"/>
        <v>0</v>
      </c>
      <c r="AD229" s="168">
        <f t="shared" si="406"/>
        <v>0</v>
      </c>
      <c r="AE229" s="168">
        <f t="shared" si="406"/>
        <v>0</v>
      </c>
      <c r="AF229" s="168">
        <f t="shared" si="406"/>
        <v>0</v>
      </c>
      <c r="AG229" s="168">
        <f t="shared" si="406"/>
        <v>0</v>
      </c>
      <c r="AH229" s="168">
        <f t="shared" si="406"/>
        <v>0</v>
      </c>
      <c r="AI229" s="168">
        <f t="shared" si="406"/>
        <v>0</v>
      </c>
      <c r="AJ229" s="168">
        <f t="shared" si="406"/>
        <v>0</v>
      </c>
      <c r="AK229" s="168">
        <f t="shared" si="406"/>
        <v>0</v>
      </c>
      <c r="AL229" s="168">
        <f t="shared" si="406"/>
        <v>0</v>
      </c>
      <c r="AM229" s="168">
        <f t="shared" si="406"/>
        <v>0</v>
      </c>
      <c r="AN229" s="168">
        <f t="shared" si="406"/>
        <v>0</v>
      </c>
      <c r="AO229" s="168">
        <f t="shared" si="406"/>
        <v>0</v>
      </c>
      <c r="AP229" s="168">
        <f t="shared" si="406"/>
        <v>0</v>
      </c>
      <c r="AQ229" s="168">
        <f t="shared" si="406"/>
        <v>0</v>
      </c>
      <c r="AR229" s="168">
        <f t="shared" si="406"/>
        <v>0</v>
      </c>
      <c r="AS229" s="168">
        <f t="shared" si="406"/>
        <v>0</v>
      </c>
      <c r="AT229" s="168">
        <f t="shared" si="406"/>
        <v>0</v>
      </c>
      <c r="AU229" s="168">
        <f t="shared" si="406"/>
        <v>0</v>
      </c>
      <c r="AV229" s="168">
        <f t="shared" si="406"/>
        <v>0</v>
      </c>
      <c r="AW229" s="168">
        <f t="shared" si="406"/>
        <v>0</v>
      </c>
      <c r="AX229" s="168">
        <f t="shared" si="406"/>
        <v>0</v>
      </c>
      <c r="AY229" s="168">
        <f t="shared" si="406"/>
        <v>0</v>
      </c>
      <c r="AZ229" s="168">
        <f t="shared" si="406"/>
        <v>0</v>
      </c>
      <c r="BA229" s="168">
        <f t="shared" si="406"/>
        <v>0</v>
      </c>
      <c r="BB229" s="168">
        <f t="shared" si="406"/>
        <v>0</v>
      </c>
      <c r="BC229" s="168">
        <f t="shared" si="406"/>
        <v>0</v>
      </c>
      <c r="BD229" s="168">
        <f t="shared" si="406"/>
        <v>0</v>
      </c>
      <c r="BE229" s="168">
        <f t="shared" si="406"/>
        <v>0</v>
      </c>
      <c r="BF229" s="168">
        <f t="shared" si="406"/>
        <v>0</v>
      </c>
      <c r="BG229" s="168">
        <f t="shared" si="406"/>
        <v>0</v>
      </c>
      <c r="BH229" s="168">
        <f t="shared" si="406"/>
        <v>0</v>
      </c>
      <c r="BI229" s="168">
        <f t="shared" si="406"/>
        <v>0</v>
      </c>
      <c r="BJ229" s="168">
        <f t="shared" si="406"/>
        <v>0</v>
      </c>
      <c r="BK229" s="168">
        <f t="shared" si="406"/>
        <v>0</v>
      </c>
      <c r="BL229" s="168">
        <f t="shared" si="406"/>
        <v>0</v>
      </c>
      <c r="BM229" s="168">
        <f t="shared" si="406"/>
        <v>0</v>
      </c>
      <c r="BN229" s="168">
        <f t="shared" si="406"/>
        <v>0</v>
      </c>
      <c r="BO229" s="168">
        <f t="shared" ref="BO229:CE229" si="407">BO142-BO56</f>
        <v>0</v>
      </c>
      <c r="BP229" s="168">
        <f t="shared" si="407"/>
        <v>0</v>
      </c>
      <c r="BQ229" s="168">
        <f t="shared" si="407"/>
        <v>0</v>
      </c>
      <c r="BR229" s="168">
        <f t="shared" si="407"/>
        <v>0</v>
      </c>
      <c r="BS229" s="168">
        <f t="shared" si="407"/>
        <v>0</v>
      </c>
      <c r="BT229" s="168">
        <f t="shared" si="407"/>
        <v>0</v>
      </c>
      <c r="BU229" s="168">
        <f t="shared" si="407"/>
        <v>0</v>
      </c>
      <c r="BV229" s="168">
        <f t="shared" si="407"/>
        <v>0</v>
      </c>
      <c r="BW229" s="168">
        <f t="shared" si="407"/>
        <v>0</v>
      </c>
      <c r="BX229" s="168">
        <f t="shared" si="407"/>
        <v>0</v>
      </c>
      <c r="BY229" s="168">
        <f t="shared" si="407"/>
        <v>0</v>
      </c>
      <c r="BZ229" s="168">
        <f t="shared" si="407"/>
        <v>0</v>
      </c>
      <c r="CA229" s="168">
        <f t="shared" si="407"/>
        <v>0</v>
      </c>
      <c r="CB229" s="168">
        <f t="shared" si="407"/>
        <v>0</v>
      </c>
      <c r="CC229" s="168">
        <f t="shared" si="407"/>
        <v>0</v>
      </c>
      <c r="CD229" s="168">
        <f t="shared" si="407"/>
        <v>0</v>
      </c>
      <c r="CE229" s="168">
        <f t="shared" si="407"/>
        <v>0</v>
      </c>
    </row>
    <row r="230" spans="1:83" ht="15.5">
      <c r="A230" s="160">
        <v>11</v>
      </c>
      <c r="B230" s="165" t="s">
        <v>196</v>
      </c>
      <c r="C230" s="168">
        <f t="shared" ref="C230:BN230" si="408">C143-C57</f>
        <v>0</v>
      </c>
      <c r="D230" s="168">
        <f t="shared" si="408"/>
        <v>0</v>
      </c>
      <c r="E230" s="168">
        <f t="shared" si="408"/>
        <v>0</v>
      </c>
      <c r="F230" s="168">
        <f t="shared" si="408"/>
        <v>0</v>
      </c>
      <c r="G230" s="168">
        <f t="shared" si="408"/>
        <v>0</v>
      </c>
      <c r="H230" s="168">
        <f t="shared" si="408"/>
        <v>0</v>
      </c>
      <c r="I230" s="168">
        <f t="shared" si="408"/>
        <v>0</v>
      </c>
      <c r="J230" s="168">
        <f t="shared" si="408"/>
        <v>0</v>
      </c>
      <c r="K230" s="168">
        <f t="shared" si="408"/>
        <v>0</v>
      </c>
      <c r="L230" s="168">
        <f t="shared" si="408"/>
        <v>0</v>
      </c>
      <c r="M230" s="168">
        <f t="shared" si="408"/>
        <v>0</v>
      </c>
      <c r="N230" s="168">
        <f t="shared" si="408"/>
        <v>0</v>
      </c>
      <c r="O230" s="168">
        <f t="shared" si="408"/>
        <v>0</v>
      </c>
      <c r="P230" s="168">
        <f t="shared" si="408"/>
        <v>0</v>
      </c>
      <c r="Q230" s="168">
        <f t="shared" si="408"/>
        <v>0</v>
      </c>
      <c r="R230" s="168">
        <f t="shared" si="408"/>
        <v>0</v>
      </c>
      <c r="S230" s="168">
        <f t="shared" si="408"/>
        <v>0</v>
      </c>
      <c r="T230" s="168">
        <f t="shared" si="408"/>
        <v>0</v>
      </c>
      <c r="U230" s="168">
        <f t="shared" si="408"/>
        <v>0</v>
      </c>
      <c r="V230" s="168">
        <f t="shared" si="408"/>
        <v>0</v>
      </c>
      <c r="W230" s="168">
        <f t="shared" si="408"/>
        <v>0</v>
      </c>
      <c r="X230" s="168">
        <f t="shared" si="408"/>
        <v>0</v>
      </c>
      <c r="Y230" s="168">
        <f t="shared" si="408"/>
        <v>0</v>
      </c>
      <c r="Z230" s="168">
        <f t="shared" si="408"/>
        <v>0</v>
      </c>
      <c r="AA230" s="168">
        <f t="shared" si="408"/>
        <v>0</v>
      </c>
      <c r="AB230" s="168">
        <f t="shared" si="408"/>
        <v>0</v>
      </c>
      <c r="AC230" s="168">
        <f t="shared" si="408"/>
        <v>0</v>
      </c>
      <c r="AD230" s="168">
        <f t="shared" si="408"/>
        <v>0</v>
      </c>
      <c r="AE230" s="168">
        <f t="shared" si="408"/>
        <v>0</v>
      </c>
      <c r="AF230" s="168">
        <f t="shared" si="408"/>
        <v>0</v>
      </c>
      <c r="AG230" s="168">
        <f t="shared" si="408"/>
        <v>0</v>
      </c>
      <c r="AH230" s="168">
        <f t="shared" si="408"/>
        <v>0</v>
      </c>
      <c r="AI230" s="168">
        <f t="shared" si="408"/>
        <v>0</v>
      </c>
      <c r="AJ230" s="168">
        <f t="shared" si="408"/>
        <v>0</v>
      </c>
      <c r="AK230" s="168">
        <f t="shared" si="408"/>
        <v>0</v>
      </c>
      <c r="AL230" s="168">
        <f t="shared" si="408"/>
        <v>0</v>
      </c>
      <c r="AM230" s="168">
        <f t="shared" si="408"/>
        <v>0</v>
      </c>
      <c r="AN230" s="168">
        <f t="shared" si="408"/>
        <v>0</v>
      </c>
      <c r="AO230" s="168">
        <f t="shared" si="408"/>
        <v>0</v>
      </c>
      <c r="AP230" s="168">
        <f t="shared" si="408"/>
        <v>0</v>
      </c>
      <c r="AQ230" s="168">
        <f t="shared" si="408"/>
        <v>0</v>
      </c>
      <c r="AR230" s="168">
        <f t="shared" si="408"/>
        <v>0</v>
      </c>
      <c r="AS230" s="168">
        <f t="shared" si="408"/>
        <v>0</v>
      </c>
      <c r="AT230" s="168">
        <f t="shared" si="408"/>
        <v>0</v>
      </c>
      <c r="AU230" s="168">
        <f t="shared" si="408"/>
        <v>0</v>
      </c>
      <c r="AV230" s="168">
        <f t="shared" si="408"/>
        <v>0</v>
      </c>
      <c r="AW230" s="168">
        <f t="shared" si="408"/>
        <v>0</v>
      </c>
      <c r="AX230" s="168">
        <f t="shared" si="408"/>
        <v>0</v>
      </c>
      <c r="AY230" s="168">
        <f t="shared" si="408"/>
        <v>0</v>
      </c>
      <c r="AZ230" s="168">
        <f t="shared" si="408"/>
        <v>0</v>
      </c>
      <c r="BA230" s="168">
        <f t="shared" si="408"/>
        <v>0</v>
      </c>
      <c r="BB230" s="168">
        <f t="shared" si="408"/>
        <v>0</v>
      </c>
      <c r="BC230" s="168">
        <f t="shared" si="408"/>
        <v>0</v>
      </c>
      <c r="BD230" s="168">
        <f t="shared" si="408"/>
        <v>0</v>
      </c>
      <c r="BE230" s="168">
        <f t="shared" si="408"/>
        <v>0</v>
      </c>
      <c r="BF230" s="168">
        <f t="shared" si="408"/>
        <v>0</v>
      </c>
      <c r="BG230" s="168">
        <f t="shared" si="408"/>
        <v>0</v>
      </c>
      <c r="BH230" s="168">
        <f t="shared" si="408"/>
        <v>0</v>
      </c>
      <c r="BI230" s="168">
        <f t="shared" si="408"/>
        <v>0</v>
      </c>
      <c r="BJ230" s="168">
        <f t="shared" si="408"/>
        <v>0</v>
      </c>
      <c r="BK230" s="168">
        <f t="shared" si="408"/>
        <v>0</v>
      </c>
      <c r="BL230" s="168">
        <f t="shared" si="408"/>
        <v>0</v>
      </c>
      <c r="BM230" s="168">
        <f t="shared" si="408"/>
        <v>0</v>
      </c>
      <c r="BN230" s="168">
        <f t="shared" si="408"/>
        <v>0</v>
      </c>
      <c r="BO230" s="168">
        <f t="shared" ref="BO230:CE230" si="409">BO143-BO57</f>
        <v>0</v>
      </c>
      <c r="BP230" s="168">
        <f t="shared" si="409"/>
        <v>0</v>
      </c>
      <c r="BQ230" s="168">
        <f t="shared" si="409"/>
        <v>0</v>
      </c>
      <c r="BR230" s="168">
        <f t="shared" si="409"/>
        <v>0</v>
      </c>
      <c r="BS230" s="168">
        <f t="shared" si="409"/>
        <v>0</v>
      </c>
      <c r="BT230" s="168">
        <f t="shared" si="409"/>
        <v>0</v>
      </c>
      <c r="BU230" s="168">
        <f t="shared" si="409"/>
        <v>0</v>
      </c>
      <c r="BV230" s="168">
        <f t="shared" si="409"/>
        <v>0</v>
      </c>
      <c r="BW230" s="168">
        <f t="shared" si="409"/>
        <v>0</v>
      </c>
      <c r="BX230" s="168">
        <f t="shared" si="409"/>
        <v>0</v>
      </c>
      <c r="BY230" s="168">
        <f t="shared" si="409"/>
        <v>0</v>
      </c>
      <c r="BZ230" s="168">
        <f t="shared" si="409"/>
        <v>0</v>
      </c>
      <c r="CA230" s="168">
        <f t="shared" si="409"/>
        <v>0</v>
      </c>
      <c r="CB230" s="168">
        <f t="shared" si="409"/>
        <v>0</v>
      </c>
      <c r="CC230" s="168">
        <f t="shared" si="409"/>
        <v>0</v>
      </c>
      <c r="CD230" s="168">
        <f t="shared" si="409"/>
        <v>0</v>
      </c>
      <c r="CE230" s="168">
        <f t="shared" si="409"/>
        <v>0</v>
      </c>
    </row>
    <row r="231" spans="1:83" ht="15.5">
      <c r="A231" s="166"/>
      <c r="B231" s="167"/>
      <c r="C231" s="168">
        <f t="shared" ref="C231:BN231" si="410">C144-C58</f>
        <v>0</v>
      </c>
      <c r="D231" s="168">
        <f t="shared" si="410"/>
        <v>0</v>
      </c>
      <c r="E231" s="168">
        <f t="shared" si="410"/>
        <v>0</v>
      </c>
      <c r="F231" s="168">
        <f t="shared" si="410"/>
        <v>0</v>
      </c>
      <c r="G231" s="168">
        <f t="shared" si="410"/>
        <v>0</v>
      </c>
      <c r="H231" s="168">
        <f t="shared" si="410"/>
        <v>0</v>
      </c>
      <c r="I231" s="168">
        <f t="shared" si="410"/>
        <v>0</v>
      </c>
      <c r="J231" s="168">
        <f t="shared" si="410"/>
        <v>0</v>
      </c>
      <c r="K231" s="168">
        <f t="shared" si="410"/>
        <v>0</v>
      </c>
      <c r="L231" s="168">
        <f t="shared" si="410"/>
        <v>0</v>
      </c>
      <c r="M231" s="168">
        <f t="shared" si="410"/>
        <v>0</v>
      </c>
      <c r="N231" s="168">
        <f t="shared" si="410"/>
        <v>0</v>
      </c>
      <c r="O231" s="168">
        <f t="shared" si="410"/>
        <v>0</v>
      </c>
      <c r="P231" s="168">
        <f t="shared" si="410"/>
        <v>0</v>
      </c>
      <c r="Q231" s="168">
        <f t="shared" si="410"/>
        <v>0</v>
      </c>
      <c r="R231" s="168">
        <f t="shared" si="410"/>
        <v>0</v>
      </c>
      <c r="S231" s="168">
        <f t="shared" si="410"/>
        <v>0</v>
      </c>
      <c r="T231" s="168">
        <f t="shared" si="410"/>
        <v>0</v>
      </c>
      <c r="U231" s="168">
        <f t="shared" si="410"/>
        <v>0</v>
      </c>
      <c r="V231" s="168">
        <f t="shared" si="410"/>
        <v>0</v>
      </c>
      <c r="W231" s="168">
        <f t="shared" si="410"/>
        <v>0</v>
      </c>
      <c r="X231" s="168">
        <f t="shared" si="410"/>
        <v>0</v>
      </c>
      <c r="Y231" s="168">
        <f t="shared" si="410"/>
        <v>0</v>
      </c>
      <c r="Z231" s="168">
        <f t="shared" si="410"/>
        <v>0</v>
      </c>
      <c r="AA231" s="168">
        <f t="shared" si="410"/>
        <v>0</v>
      </c>
      <c r="AB231" s="168">
        <f t="shared" si="410"/>
        <v>0</v>
      </c>
      <c r="AC231" s="168">
        <f t="shared" si="410"/>
        <v>0</v>
      </c>
      <c r="AD231" s="168">
        <f t="shared" si="410"/>
        <v>0</v>
      </c>
      <c r="AE231" s="168">
        <f t="shared" si="410"/>
        <v>0</v>
      </c>
      <c r="AF231" s="168">
        <f t="shared" si="410"/>
        <v>0</v>
      </c>
      <c r="AG231" s="168">
        <f t="shared" si="410"/>
        <v>0</v>
      </c>
      <c r="AH231" s="168">
        <f t="shared" si="410"/>
        <v>0</v>
      </c>
      <c r="AI231" s="168">
        <f t="shared" si="410"/>
        <v>0</v>
      </c>
      <c r="AJ231" s="168">
        <f t="shared" si="410"/>
        <v>0</v>
      </c>
      <c r="AK231" s="168">
        <f t="shared" si="410"/>
        <v>0</v>
      </c>
      <c r="AL231" s="168">
        <f t="shared" si="410"/>
        <v>0</v>
      </c>
      <c r="AM231" s="168">
        <f t="shared" si="410"/>
        <v>0</v>
      </c>
      <c r="AN231" s="168">
        <f t="shared" si="410"/>
        <v>0</v>
      </c>
      <c r="AO231" s="168">
        <f t="shared" si="410"/>
        <v>0</v>
      </c>
      <c r="AP231" s="168">
        <f t="shared" si="410"/>
        <v>0</v>
      </c>
      <c r="AQ231" s="168">
        <f t="shared" si="410"/>
        <v>0</v>
      </c>
      <c r="AR231" s="168">
        <f t="shared" si="410"/>
        <v>0</v>
      </c>
      <c r="AS231" s="168">
        <f t="shared" si="410"/>
        <v>0</v>
      </c>
      <c r="AT231" s="168">
        <f t="shared" si="410"/>
        <v>0</v>
      </c>
      <c r="AU231" s="168">
        <f t="shared" si="410"/>
        <v>0</v>
      </c>
      <c r="AV231" s="168">
        <f t="shared" si="410"/>
        <v>0</v>
      </c>
      <c r="AW231" s="168">
        <f t="shared" si="410"/>
        <v>0</v>
      </c>
      <c r="AX231" s="168">
        <f t="shared" si="410"/>
        <v>0</v>
      </c>
      <c r="AY231" s="168">
        <f t="shared" si="410"/>
        <v>0</v>
      </c>
      <c r="AZ231" s="168">
        <f t="shared" si="410"/>
        <v>0</v>
      </c>
      <c r="BA231" s="168">
        <f t="shared" si="410"/>
        <v>0</v>
      </c>
      <c r="BB231" s="168">
        <f t="shared" si="410"/>
        <v>0</v>
      </c>
      <c r="BC231" s="168">
        <f t="shared" si="410"/>
        <v>0</v>
      </c>
      <c r="BD231" s="168">
        <f t="shared" si="410"/>
        <v>0</v>
      </c>
      <c r="BE231" s="168">
        <f t="shared" si="410"/>
        <v>0</v>
      </c>
      <c r="BF231" s="168">
        <f t="shared" si="410"/>
        <v>0</v>
      </c>
      <c r="BG231" s="168">
        <f t="shared" si="410"/>
        <v>0</v>
      </c>
      <c r="BH231" s="168">
        <f t="shared" si="410"/>
        <v>0</v>
      </c>
      <c r="BI231" s="168">
        <f t="shared" si="410"/>
        <v>0</v>
      </c>
      <c r="BJ231" s="168">
        <f t="shared" si="410"/>
        <v>0</v>
      </c>
      <c r="BK231" s="168">
        <f t="shared" si="410"/>
        <v>0</v>
      </c>
      <c r="BL231" s="168">
        <f t="shared" si="410"/>
        <v>0</v>
      </c>
      <c r="BM231" s="168">
        <f t="shared" si="410"/>
        <v>0</v>
      </c>
      <c r="BN231" s="168">
        <f t="shared" si="410"/>
        <v>0</v>
      </c>
      <c r="BO231" s="168">
        <f t="shared" ref="BO231:CE231" si="411">BO144-BO58</f>
        <v>0</v>
      </c>
      <c r="BP231" s="168">
        <f t="shared" si="411"/>
        <v>0</v>
      </c>
      <c r="BQ231" s="168">
        <f t="shared" si="411"/>
        <v>0</v>
      </c>
      <c r="BR231" s="168">
        <f t="shared" si="411"/>
        <v>0</v>
      </c>
      <c r="BS231" s="168">
        <f t="shared" si="411"/>
        <v>0</v>
      </c>
      <c r="BT231" s="168">
        <f t="shared" si="411"/>
        <v>0</v>
      </c>
      <c r="BU231" s="168">
        <f t="shared" si="411"/>
        <v>0</v>
      </c>
      <c r="BV231" s="168">
        <f t="shared" si="411"/>
        <v>0</v>
      </c>
      <c r="BW231" s="168">
        <f t="shared" si="411"/>
        <v>0</v>
      </c>
      <c r="BX231" s="168">
        <f t="shared" si="411"/>
        <v>0</v>
      </c>
      <c r="BY231" s="168">
        <f t="shared" si="411"/>
        <v>0</v>
      </c>
      <c r="BZ231" s="168">
        <f t="shared" si="411"/>
        <v>0</v>
      </c>
      <c r="CA231" s="168">
        <f t="shared" si="411"/>
        <v>0</v>
      </c>
      <c r="CB231" s="168">
        <f t="shared" si="411"/>
        <v>0</v>
      </c>
      <c r="CC231" s="168">
        <f t="shared" si="411"/>
        <v>0</v>
      </c>
      <c r="CD231" s="168">
        <f t="shared" si="411"/>
        <v>0</v>
      </c>
      <c r="CE231" s="168">
        <f t="shared" si="411"/>
        <v>0</v>
      </c>
    </row>
    <row r="232" spans="1:83" ht="21">
      <c r="A232" s="158">
        <v>12</v>
      </c>
      <c r="B232" s="159" t="s">
        <v>3</v>
      </c>
      <c r="C232" s="168">
        <f t="shared" ref="C232:BN232" si="412">C145-C59</f>
        <v>0</v>
      </c>
      <c r="D232" s="168">
        <f t="shared" si="412"/>
        <v>0</v>
      </c>
      <c r="E232" s="168">
        <f t="shared" si="412"/>
        <v>0</v>
      </c>
      <c r="F232" s="168">
        <f t="shared" si="412"/>
        <v>0</v>
      </c>
      <c r="G232" s="168">
        <f t="shared" si="412"/>
        <v>0</v>
      </c>
      <c r="H232" s="168">
        <f t="shared" si="412"/>
        <v>0</v>
      </c>
      <c r="I232" s="168">
        <f t="shared" si="412"/>
        <v>0</v>
      </c>
      <c r="J232" s="168">
        <f t="shared" si="412"/>
        <v>0</v>
      </c>
      <c r="K232" s="168">
        <f t="shared" si="412"/>
        <v>0</v>
      </c>
      <c r="L232" s="168">
        <f t="shared" si="412"/>
        <v>0</v>
      </c>
      <c r="M232" s="168">
        <f t="shared" si="412"/>
        <v>0</v>
      </c>
      <c r="N232" s="168">
        <f t="shared" si="412"/>
        <v>0</v>
      </c>
      <c r="O232" s="168">
        <f t="shared" si="412"/>
        <v>0</v>
      </c>
      <c r="P232" s="168">
        <f t="shared" si="412"/>
        <v>0</v>
      </c>
      <c r="Q232" s="168">
        <f t="shared" si="412"/>
        <v>0</v>
      </c>
      <c r="R232" s="168">
        <f t="shared" si="412"/>
        <v>0</v>
      </c>
      <c r="S232" s="168">
        <f t="shared" si="412"/>
        <v>0</v>
      </c>
      <c r="T232" s="168">
        <f t="shared" si="412"/>
        <v>0</v>
      </c>
      <c r="U232" s="168">
        <f t="shared" si="412"/>
        <v>0</v>
      </c>
      <c r="V232" s="168">
        <f t="shared" si="412"/>
        <v>0</v>
      </c>
      <c r="W232" s="168">
        <f t="shared" si="412"/>
        <v>0</v>
      </c>
      <c r="X232" s="168">
        <f t="shared" si="412"/>
        <v>0</v>
      </c>
      <c r="Y232" s="168">
        <f t="shared" si="412"/>
        <v>0</v>
      </c>
      <c r="Z232" s="168">
        <f t="shared" si="412"/>
        <v>0</v>
      </c>
      <c r="AA232" s="168">
        <f t="shared" si="412"/>
        <v>0</v>
      </c>
      <c r="AB232" s="168">
        <f t="shared" si="412"/>
        <v>0</v>
      </c>
      <c r="AC232" s="168">
        <f t="shared" si="412"/>
        <v>0</v>
      </c>
      <c r="AD232" s="168">
        <f t="shared" si="412"/>
        <v>0</v>
      </c>
      <c r="AE232" s="168">
        <f t="shared" si="412"/>
        <v>0</v>
      </c>
      <c r="AF232" s="168">
        <f t="shared" si="412"/>
        <v>0</v>
      </c>
      <c r="AG232" s="168">
        <f t="shared" si="412"/>
        <v>0</v>
      </c>
      <c r="AH232" s="168">
        <f t="shared" si="412"/>
        <v>0</v>
      </c>
      <c r="AI232" s="168">
        <f t="shared" si="412"/>
        <v>0</v>
      </c>
      <c r="AJ232" s="168">
        <f t="shared" si="412"/>
        <v>0</v>
      </c>
      <c r="AK232" s="168">
        <f t="shared" si="412"/>
        <v>0</v>
      </c>
      <c r="AL232" s="168">
        <f t="shared" si="412"/>
        <v>0</v>
      </c>
      <c r="AM232" s="168">
        <f t="shared" si="412"/>
        <v>0</v>
      </c>
      <c r="AN232" s="168">
        <f t="shared" si="412"/>
        <v>0</v>
      </c>
      <c r="AO232" s="168">
        <f t="shared" si="412"/>
        <v>0</v>
      </c>
      <c r="AP232" s="168">
        <f t="shared" si="412"/>
        <v>0</v>
      </c>
      <c r="AQ232" s="168">
        <f t="shared" si="412"/>
        <v>0</v>
      </c>
      <c r="AR232" s="168">
        <f t="shared" si="412"/>
        <v>0</v>
      </c>
      <c r="AS232" s="168">
        <f t="shared" si="412"/>
        <v>0</v>
      </c>
      <c r="AT232" s="168">
        <f t="shared" si="412"/>
        <v>0</v>
      </c>
      <c r="AU232" s="168">
        <f t="shared" si="412"/>
        <v>0</v>
      </c>
      <c r="AV232" s="168">
        <f t="shared" si="412"/>
        <v>0</v>
      </c>
      <c r="AW232" s="168">
        <f t="shared" si="412"/>
        <v>0</v>
      </c>
      <c r="AX232" s="168">
        <f t="shared" si="412"/>
        <v>0</v>
      </c>
      <c r="AY232" s="168">
        <f t="shared" si="412"/>
        <v>0</v>
      </c>
      <c r="AZ232" s="168">
        <f t="shared" si="412"/>
        <v>0</v>
      </c>
      <c r="BA232" s="168">
        <f t="shared" si="412"/>
        <v>0</v>
      </c>
      <c r="BB232" s="168">
        <f t="shared" si="412"/>
        <v>0</v>
      </c>
      <c r="BC232" s="168">
        <f t="shared" si="412"/>
        <v>0</v>
      </c>
      <c r="BD232" s="168">
        <f t="shared" si="412"/>
        <v>0</v>
      </c>
      <c r="BE232" s="168">
        <f t="shared" si="412"/>
        <v>0</v>
      </c>
      <c r="BF232" s="168">
        <f t="shared" si="412"/>
        <v>0</v>
      </c>
      <c r="BG232" s="168">
        <f t="shared" si="412"/>
        <v>0</v>
      </c>
      <c r="BH232" s="168">
        <f t="shared" si="412"/>
        <v>0</v>
      </c>
      <c r="BI232" s="168">
        <f t="shared" si="412"/>
        <v>0</v>
      </c>
      <c r="BJ232" s="168">
        <f t="shared" si="412"/>
        <v>0</v>
      </c>
      <c r="BK232" s="168">
        <f t="shared" si="412"/>
        <v>0</v>
      </c>
      <c r="BL232" s="168">
        <f t="shared" si="412"/>
        <v>0</v>
      </c>
      <c r="BM232" s="168">
        <f t="shared" si="412"/>
        <v>0</v>
      </c>
      <c r="BN232" s="168">
        <f t="shared" si="412"/>
        <v>0</v>
      </c>
      <c r="BO232" s="168">
        <f t="shared" ref="BO232:CE232" si="413">BO145-BO59</f>
        <v>0</v>
      </c>
      <c r="BP232" s="168">
        <f t="shared" si="413"/>
        <v>0</v>
      </c>
      <c r="BQ232" s="168">
        <f t="shared" si="413"/>
        <v>0</v>
      </c>
      <c r="BR232" s="168">
        <f t="shared" si="413"/>
        <v>0</v>
      </c>
      <c r="BS232" s="168">
        <f t="shared" si="413"/>
        <v>0</v>
      </c>
      <c r="BT232" s="168">
        <f t="shared" si="413"/>
        <v>0</v>
      </c>
      <c r="BU232" s="168">
        <f t="shared" si="413"/>
        <v>0</v>
      </c>
      <c r="BV232" s="168">
        <f t="shared" si="413"/>
        <v>0</v>
      </c>
      <c r="BW232" s="168">
        <f t="shared" si="413"/>
        <v>0</v>
      </c>
      <c r="BX232" s="168">
        <f t="shared" si="413"/>
        <v>0</v>
      </c>
      <c r="BY232" s="168">
        <f t="shared" si="413"/>
        <v>0</v>
      </c>
      <c r="BZ232" s="168">
        <f t="shared" si="413"/>
        <v>0</v>
      </c>
      <c r="CA232" s="168">
        <f t="shared" si="413"/>
        <v>0</v>
      </c>
      <c r="CB232" s="168">
        <f t="shared" si="413"/>
        <v>0</v>
      </c>
      <c r="CC232" s="168">
        <f t="shared" si="413"/>
        <v>0</v>
      </c>
      <c r="CD232" s="168">
        <f t="shared" si="413"/>
        <v>0</v>
      </c>
      <c r="CE232" s="168">
        <f t="shared" si="413"/>
        <v>0</v>
      </c>
    </row>
    <row r="233" spans="1:83" ht="15.5">
      <c r="A233" s="160">
        <v>12</v>
      </c>
      <c r="B233" s="161" t="s">
        <v>194</v>
      </c>
      <c r="C233" s="168">
        <f t="shared" ref="C233:BN233" si="414">C146-C60</f>
        <v>0</v>
      </c>
      <c r="D233" s="168">
        <f t="shared" si="414"/>
        <v>0</v>
      </c>
      <c r="E233" s="168">
        <f t="shared" si="414"/>
        <v>0</v>
      </c>
      <c r="F233" s="168">
        <f t="shared" si="414"/>
        <v>0</v>
      </c>
      <c r="G233" s="168">
        <f t="shared" si="414"/>
        <v>0</v>
      </c>
      <c r="H233" s="168">
        <f t="shared" si="414"/>
        <v>0</v>
      </c>
      <c r="I233" s="168">
        <f t="shared" si="414"/>
        <v>0</v>
      </c>
      <c r="J233" s="168">
        <f t="shared" si="414"/>
        <v>0</v>
      </c>
      <c r="K233" s="168">
        <f t="shared" si="414"/>
        <v>0</v>
      </c>
      <c r="L233" s="168">
        <f t="shared" si="414"/>
        <v>0</v>
      </c>
      <c r="M233" s="168">
        <f t="shared" si="414"/>
        <v>0</v>
      </c>
      <c r="N233" s="168">
        <f t="shared" si="414"/>
        <v>0</v>
      </c>
      <c r="O233" s="168">
        <f t="shared" si="414"/>
        <v>0</v>
      </c>
      <c r="P233" s="168">
        <f t="shared" si="414"/>
        <v>0</v>
      </c>
      <c r="Q233" s="168">
        <f t="shared" si="414"/>
        <v>0</v>
      </c>
      <c r="R233" s="168">
        <f t="shared" si="414"/>
        <v>0</v>
      </c>
      <c r="S233" s="168">
        <f t="shared" si="414"/>
        <v>0</v>
      </c>
      <c r="T233" s="168">
        <f t="shared" si="414"/>
        <v>0</v>
      </c>
      <c r="U233" s="168">
        <f t="shared" si="414"/>
        <v>0</v>
      </c>
      <c r="V233" s="168">
        <f t="shared" si="414"/>
        <v>0</v>
      </c>
      <c r="W233" s="168">
        <f t="shared" si="414"/>
        <v>0</v>
      </c>
      <c r="X233" s="168">
        <f t="shared" si="414"/>
        <v>0</v>
      </c>
      <c r="Y233" s="168">
        <f t="shared" si="414"/>
        <v>0</v>
      </c>
      <c r="Z233" s="168">
        <f t="shared" si="414"/>
        <v>0</v>
      </c>
      <c r="AA233" s="168">
        <f t="shared" si="414"/>
        <v>0</v>
      </c>
      <c r="AB233" s="168">
        <f t="shared" si="414"/>
        <v>0</v>
      </c>
      <c r="AC233" s="168">
        <f t="shared" si="414"/>
        <v>0</v>
      </c>
      <c r="AD233" s="168">
        <f t="shared" si="414"/>
        <v>0</v>
      </c>
      <c r="AE233" s="168">
        <f t="shared" si="414"/>
        <v>0</v>
      </c>
      <c r="AF233" s="168">
        <f t="shared" si="414"/>
        <v>0</v>
      </c>
      <c r="AG233" s="168">
        <f t="shared" si="414"/>
        <v>0</v>
      </c>
      <c r="AH233" s="168">
        <f t="shared" si="414"/>
        <v>0</v>
      </c>
      <c r="AI233" s="168">
        <f t="shared" si="414"/>
        <v>0</v>
      </c>
      <c r="AJ233" s="168">
        <f t="shared" si="414"/>
        <v>0</v>
      </c>
      <c r="AK233" s="168">
        <f t="shared" si="414"/>
        <v>0</v>
      </c>
      <c r="AL233" s="168">
        <f t="shared" si="414"/>
        <v>0</v>
      </c>
      <c r="AM233" s="168">
        <f t="shared" si="414"/>
        <v>0</v>
      </c>
      <c r="AN233" s="168">
        <f t="shared" si="414"/>
        <v>0</v>
      </c>
      <c r="AO233" s="168">
        <f t="shared" si="414"/>
        <v>0</v>
      </c>
      <c r="AP233" s="168">
        <f t="shared" si="414"/>
        <v>0</v>
      </c>
      <c r="AQ233" s="168">
        <f t="shared" si="414"/>
        <v>0</v>
      </c>
      <c r="AR233" s="168">
        <f t="shared" si="414"/>
        <v>0</v>
      </c>
      <c r="AS233" s="168">
        <f t="shared" si="414"/>
        <v>0</v>
      </c>
      <c r="AT233" s="168">
        <f t="shared" si="414"/>
        <v>0</v>
      </c>
      <c r="AU233" s="168">
        <f t="shared" si="414"/>
        <v>0</v>
      </c>
      <c r="AV233" s="168">
        <f t="shared" si="414"/>
        <v>0</v>
      </c>
      <c r="AW233" s="168">
        <f t="shared" si="414"/>
        <v>0</v>
      </c>
      <c r="AX233" s="168">
        <f t="shared" si="414"/>
        <v>0</v>
      </c>
      <c r="AY233" s="168">
        <f t="shared" si="414"/>
        <v>0</v>
      </c>
      <c r="AZ233" s="168">
        <f t="shared" si="414"/>
        <v>0</v>
      </c>
      <c r="BA233" s="168">
        <f t="shared" si="414"/>
        <v>0</v>
      </c>
      <c r="BB233" s="168">
        <f t="shared" si="414"/>
        <v>0</v>
      </c>
      <c r="BC233" s="168">
        <f t="shared" si="414"/>
        <v>0</v>
      </c>
      <c r="BD233" s="168">
        <f t="shared" si="414"/>
        <v>0</v>
      </c>
      <c r="BE233" s="168">
        <f t="shared" si="414"/>
        <v>0</v>
      </c>
      <c r="BF233" s="168">
        <f t="shared" si="414"/>
        <v>0</v>
      </c>
      <c r="BG233" s="168">
        <f t="shared" si="414"/>
        <v>0</v>
      </c>
      <c r="BH233" s="168">
        <f t="shared" si="414"/>
        <v>0</v>
      </c>
      <c r="BI233" s="168">
        <f t="shared" si="414"/>
        <v>0</v>
      </c>
      <c r="BJ233" s="168">
        <f t="shared" si="414"/>
        <v>0</v>
      </c>
      <c r="BK233" s="168">
        <f t="shared" si="414"/>
        <v>0</v>
      </c>
      <c r="BL233" s="168">
        <f t="shared" si="414"/>
        <v>0</v>
      </c>
      <c r="BM233" s="168">
        <f t="shared" si="414"/>
        <v>0</v>
      </c>
      <c r="BN233" s="168">
        <f t="shared" si="414"/>
        <v>0</v>
      </c>
      <c r="BO233" s="168">
        <f t="shared" ref="BO233:CE233" si="415">BO146-BO60</f>
        <v>0</v>
      </c>
      <c r="BP233" s="168">
        <f t="shared" si="415"/>
        <v>0</v>
      </c>
      <c r="BQ233" s="168">
        <f t="shared" si="415"/>
        <v>0</v>
      </c>
      <c r="BR233" s="168">
        <f t="shared" si="415"/>
        <v>0</v>
      </c>
      <c r="BS233" s="168">
        <f t="shared" si="415"/>
        <v>0</v>
      </c>
      <c r="BT233" s="168">
        <f t="shared" si="415"/>
        <v>0</v>
      </c>
      <c r="BU233" s="168">
        <f t="shared" si="415"/>
        <v>0</v>
      </c>
      <c r="BV233" s="168">
        <f t="shared" si="415"/>
        <v>0</v>
      </c>
      <c r="BW233" s="168">
        <f t="shared" si="415"/>
        <v>0</v>
      </c>
      <c r="BX233" s="168">
        <f t="shared" si="415"/>
        <v>0</v>
      </c>
      <c r="BY233" s="168">
        <f t="shared" si="415"/>
        <v>0</v>
      </c>
      <c r="BZ233" s="168">
        <f t="shared" si="415"/>
        <v>0</v>
      </c>
      <c r="CA233" s="168">
        <f t="shared" si="415"/>
        <v>0</v>
      </c>
      <c r="CB233" s="168">
        <f t="shared" si="415"/>
        <v>0</v>
      </c>
      <c r="CC233" s="168">
        <f t="shared" si="415"/>
        <v>0</v>
      </c>
      <c r="CD233" s="168">
        <f t="shared" si="415"/>
        <v>0</v>
      </c>
      <c r="CE233" s="168">
        <f t="shared" si="415"/>
        <v>0</v>
      </c>
    </row>
    <row r="234" spans="1:83" ht="15.5">
      <c r="A234" s="160">
        <v>12</v>
      </c>
      <c r="B234" s="162" t="s">
        <v>139</v>
      </c>
      <c r="C234" s="168">
        <f t="shared" ref="C234:BN234" si="416">C147-C61</f>
        <v>0</v>
      </c>
      <c r="D234" s="168">
        <f t="shared" si="416"/>
        <v>0</v>
      </c>
      <c r="E234" s="168">
        <f t="shared" si="416"/>
        <v>0</v>
      </c>
      <c r="F234" s="168">
        <f t="shared" si="416"/>
        <v>0</v>
      </c>
      <c r="G234" s="168">
        <f t="shared" si="416"/>
        <v>0</v>
      </c>
      <c r="H234" s="168">
        <f t="shared" si="416"/>
        <v>0</v>
      </c>
      <c r="I234" s="168">
        <f t="shared" si="416"/>
        <v>0</v>
      </c>
      <c r="J234" s="168">
        <f t="shared" si="416"/>
        <v>0</v>
      </c>
      <c r="K234" s="168">
        <f t="shared" si="416"/>
        <v>0</v>
      </c>
      <c r="L234" s="168">
        <f t="shared" si="416"/>
        <v>0</v>
      </c>
      <c r="M234" s="168">
        <f t="shared" si="416"/>
        <v>0</v>
      </c>
      <c r="N234" s="168">
        <f t="shared" si="416"/>
        <v>0</v>
      </c>
      <c r="O234" s="168">
        <f t="shared" si="416"/>
        <v>0</v>
      </c>
      <c r="P234" s="168">
        <f t="shared" si="416"/>
        <v>0</v>
      </c>
      <c r="Q234" s="168">
        <f t="shared" si="416"/>
        <v>0</v>
      </c>
      <c r="R234" s="168">
        <f t="shared" si="416"/>
        <v>0</v>
      </c>
      <c r="S234" s="168">
        <f t="shared" si="416"/>
        <v>0</v>
      </c>
      <c r="T234" s="168">
        <f t="shared" si="416"/>
        <v>0</v>
      </c>
      <c r="U234" s="168">
        <f t="shared" si="416"/>
        <v>0</v>
      </c>
      <c r="V234" s="168">
        <f t="shared" si="416"/>
        <v>0</v>
      </c>
      <c r="W234" s="168">
        <f t="shared" si="416"/>
        <v>0</v>
      </c>
      <c r="X234" s="168">
        <f t="shared" si="416"/>
        <v>0</v>
      </c>
      <c r="Y234" s="168">
        <f t="shared" si="416"/>
        <v>0</v>
      </c>
      <c r="Z234" s="168">
        <f t="shared" si="416"/>
        <v>0</v>
      </c>
      <c r="AA234" s="168">
        <f t="shared" si="416"/>
        <v>0</v>
      </c>
      <c r="AB234" s="168">
        <f t="shared" si="416"/>
        <v>0</v>
      </c>
      <c r="AC234" s="168">
        <f t="shared" si="416"/>
        <v>0</v>
      </c>
      <c r="AD234" s="168">
        <f t="shared" si="416"/>
        <v>0</v>
      </c>
      <c r="AE234" s="168">
        <f t="shared" si="416"/>
        <v>0</v>
      </c>
      <c r="AF234" s="168">
        <f t="shared" si="416"/>
        <v>0</v>
      </c>
      <c r="AG234" s="168">
        <f t="shared" si="416"/>
        <v>0</v>
      </c>
      <c r="AH234" s="168">
        <f t="shared" si="416"/>
        <v>0</v>
      </c>
      <c r="AI234" s="168">
        <f t="shared" si="416"/>
        <v>0</v>
      </c>
      <c r="AJ234" s="168">
        <f t="shared" si="416"/>
        <v>0</v>
      </c>
      <c r="AK234" s="168">
        <f t="shared" si="416"/>
        <v>0</v>
      </c>
      <c r="AL234" s="168">
        <f t="shared" si="416"/>
        <v>0</v>
      </c>
      <c r="AM234" s="168">
        <f t="shared" si="416"/>
        <v>0</v>
      </c>
      <c r="AN234" s="168">
        <f t="shared" si="416"/>
        <v>0</v>
      </c>
      <c r="AO234" s="168">
        <f t="shared" si="416"/>
        <v>0</v>
      </c>
      <c r="AP234" s="168">
        <f t="shared" si="416"/>
        <v>0</v>
      </c>
      <c r="AQ234" s="168">
        <f t="shared" si="416"/>
        <v>0</v>
      </c>
      <c r="AR234" s="168">
        <f t="shared" si="416"/>
        <v>0</v>
      </c>
      <c r="AS234" s="168">
        <f t="shared" si="416"/>
        <v>0</v>
      </c>
      <c r="AT234" s="168">
        <f t="shared" si="416"/>
        <v>0</v>
      </c>
      <c r="AU234" s="168">
        <f t="shared" si="416"/>
        <v>0</v>
      </c>
      <c r="AV234" s="168">
        <f t="shared" si="416"/>
        <v>0</v>
      </c>
      <c r="AW234" s="168">
        <f t="shared" si="416"/>
        <v>0</v>
      </c>
      <c r="AX234" s="168">
        <f t="shared" si="416"/>
        <v>0</v>
      </c>
      <c r="AY234" s="168">
        <f t="shared" si="416"/>
        <v>0</v>
      </c>
      <c r="AZ234" s="168">
        <f t="shared" si="416"/>
        <v>0</v>
      </c>
      <c r="BA234" s="168">
        <f t="shared" si="416"/>
        <v>0</v>
      </c>
      <c r="BB234" s="168">
        <f t="shared" si="416"/>
        <v>0</v>
      </c>
      <c r="BC234" s="168">
        <f t="shared" si="416"/>
        <v>0</v>
      </c>
      <c r="BD234" s="168">
        <f t="shared" si="416"/>
        <v>0</v>
      </c>
      <c r="BE234" s="168">
        <f t="shared" si="416"/>
        <v>0</v>
      </c>
      <c r="BF234" s="168">
        <f t="shared" si="416"/>
        <v>0</v>
      </c>
      <c r="BG234" s="168">
        <f t="shared" si="416"/>
        <v>0</v>
      </c>
      <c r="BH234" s="168">
        <f t="shared" si="416"/>
        <v>0</v>
      </c>
      <c r="BI234" s="168">
        <f t="shared" si="416"/>
        <v>0</v>
      </c>
      <c r="BJ234" s="168">
        <f t="shared" si="416"/>
        <v>0</v>
      </c>
      <c r="BK234" s="168">
        <f t="shared" si="416"/>
        <v>0</v>
      </c>
      <c r="BL234" s="168">
        <f t="shared" si="416"/>
        <v>0</v>
      </c>
      <c r="BM234" s="168">
        <f t="shared" si="416"/>
        <v>0</v>
      </c>
      <c r="BN234" s="168">
        <f t="shared" si="416"/>
        <v>0</v>
      </c>
      <c r="BO234" s="168">
        <f t="shared" ref="BO234:CE234" si="417">BO147-BO61</f>
        <v>0</v>
      </c>
      <c r="BP234" s="168">
        <f t="shared" si="417"/>
        <v>0</v>
      </c>
      <c r="BQ234" s="168">
        <f t="shared" si="417"/>
        <v>0</v>
      </c>
      <c r="BR234" s="168">
        <f t="shared" si="417"/>
        <v>0</v>
      </c>
      <c r="BS234" s="168">
        <f t="shared" si="417"/>
        <v>0</v>
      </c>
      <c r="BT234" s="168">
        <f t="shared" si="417"/>
        <v>0</v>
      </c>
      <c r="BU234" s="168">
        <f t="shared" si="417"/>
        <v>0</v>
      </c>
      <c r="BV234" s="168">
        <f t="shared" si="417"/>
        <v>0</v>
      </c>
      <c r="BW234" s="168">
        <f t="shared" si="417"/>
        <v>0</v>
      </c>
      <c r="BX234" s="168">
        <f t="shared" si="417"/>
        <v>0</v>
      </c>
      <c r="BY234" s="168">
        <f t="shared" si="417"/>
        <v>0</v>
      </c>
      <c r="BZ234" s="168">
        <f t="shared" si="417"/>
        <v>0</v>
      </c>
      <c r="CA234" s="168">
        <f t="shared" si="417"/>
        <v>0</v>
      </c>
      <c r="CB234" s="168">
        <f t="shared" si="417"/>
        <v>0</v>
      </c>
      <c r="CC234" s="168">
        <f t="shared" si="417"/>
        <v>0</v>
      </c>
      <c r="CD234" s="168">
        <f t="shared" si="417"/>
        <v>0</v>
      </c>
      <c r="CE234" s="168">
        <f t="shared" si="417"/>
        <v>0</v>
      </c>
    </row>
    <row r="235" spans="1:83" ht="15.5">
      <c r="A235" s="160">
        <v>12</v>
      </c>
      <c r="B235" s="163" t="s">
        <v>140</v>
      </c>
      <c r="C235" s="168">
        <f t="shared" ref="C235:BN235" si="418">C148-C62</f>
        <v>0</v>
      </c>
      <c r="D235" s="168">
        <f t="shared" si="418"/>
        <v>0</v>
      </c>
      <c r="E235" s="168">
        <f t="shared" si="418"/>
        <v>0</v>
      </c>
      <c r="F235" s="168">
        <f t="shared" si="418"/>
        <v>0</v>
      </c>
      <c r="G235" s="168">
        <f t="shared" si="418"/>
        <v>0</v>
      </c>
      <c r="H235" s="168">
        <f t="shared" si="418"/>
        <v>0</v>
      </c>
      <c r="I235" s="168">
        <f t="shared" si="418"/>
        <v>0</v>
      </c>
      <c r="J235" s="168">
        <f t="shared" si="418"/>
        <v>0</v>
      </c>
      <c r="K235" s="168">
        <f t="shared" si="418"/>
        <v>0</v>
      </c>
      <c r="L235" s="168">
        <f t="shared" si="418"/>
        <v>0</v>
      </c>
      <c r="M235" s="168">
        <f t="shared" si="418"/>
        <v>0</v>
      </c>
      <c r="N235" s="168">
        <f t="shared" si="418"/>
        <v>0</v>
      </c>
      <c r="O235" s="168">
        <f t="shared" si="418"/>
        <v>0</v>
      </c>
      <c r="P235" s="168">
        <f t="shared" si="418"/>
        <v>0</v>
      </c>
      <c r="Q235" s="168">
        <f t="shared" si="418"/>
        <v>0</v>
      </c>
      <c r="R235" s="168">
        <f t="shared" si="418"/>
        <v>0</v>
      </c>
      <c r="S235" s="168">
        <f t="shared" si="418"/>
        <v>0</v>
      </c>
      <c r="T235" s="168">
        <f t="shared" si="418"/>
        <v>0</v>
      </c>
      <c r="U235" s="168">
        <f t="shared" si="418"/>
        <v>0</v>
      </c>
      <c r="V235" s="168">
        <f t="shared" si="418"/>
        <v>0</v>
      </c>
      <c r="W235" s="168">
        <f t="shared" si="418"/>
        <v>0</v>
      </c>
      <c r="X235" s="168">
        <f t="shared" si="418"/>
        <v>0</v>
      </c>
      <c r="Y235" s="168">
        <f t="shared" si="418"/>
        <v>0</v>
      </c>
      <c r="Z235" s="168">
        <f t="shared" si="418"/>
        <v>0</v>
      </c>
      <c r="AA235" s="168">
        <f t="shared" si="418"/>
        <v>0</v>
      </c>
      <c r="AB235" s="168">
        <f t="shared" si="418"/>
        <v>0</v>
      </c>
      <c r="AC235" s="168">
        <f t="shared" si="418"/>
        <v>0</v>
      </c>
      <c r="AD235" s="168">
        <f t="shared" si="418"/>
        <v>0</v>
      </c>
      <c r="AE235" s="168">
        <f t="shared" si="418"/>
        <v>0</v>
      </c>
      <c r="AF235" s="168">
        <f t="shared" si="418"/>
        <v>0</v>
      </c>
      <c r="AG235" s="168">
        <f t="shared" si="418"/>
        <v>0</v>
      </c>
      <c r="AH235" s="168">
        <f t="shared" si="418"/>
        <v>0</v>
      </c>
      <c r="AI235" s="168">
        <f t="shared" si="418"/>
        <v>0</v>
      </c>
      <c r="AJ235" s="168">
        <f t="shared" si="418"/>
        <v>0</v>
      </c>
      <c r="AK235" s="168">
        <f t="shared" si="418"/>
        <v>0</v>
      </c>
      <c r="AL235" s="168">
        <f t="shared" si="418"/>
        <v>0</v>
      </c>
      <c r="AM235" s="168">
        <f t="shared" si="418"/>
        <v>0</v>
      </c>
      <c r="AN235" s="168">
        <f t="shared" si="418"/>
        <v>0</v>
      </c>
      <c r="AO235" s="168">
        <f t="shared" si="418"/>
        <v>0</v>
      </c>
      <c r="AP235" s="168">
        <f t="shared" si="418"/>
        <v>0</v>
      </c>
      <c r="AQ235" s="168">
        <f t="shared" si="418"/>
        <v>0</v>
      </c>
      <c r="AR235" s="168">
        <f t="shared" si="418"/>
        <v>0</v>
      </c>
      <c r="AS235" s="168">
        <f t="shared" si="418"/>
        <v>0</v>
      </c>
      <c r="AT235" s="168">
        <f t="shared" si="418"/>
        <v>0</v>
      </c>
      <c r="AU235" s="168">
        <f t="shared" si="418"/>
        <v>0</v>
      </c>
      <c r="AV235" s="168">
        <f t="shared" si="418"/>
        <v>0</v>
      </c>
      <c r="AW235" s="168">
        <f t="shared" si="418"/>
        <v>0</v>
      </c>
      <c r="AX235" s="168">
        <f t="shared" si="418"/>
        <v>0</v>
      </c>
      <c r="AY235" s="168">
        <f t="shared" si="418"/>
        <v>0</v>
      </c>
      <c r="AZ235" s="168">
        <f t="shared" si="418"/>
        <v>0</v>
      </c>
      <c r="BA235" s="168">
        <f t="shared" si="418"/>
        <v>0</v>
      </c>
      <c r="BB235" s="168">
        <f t="shared" si="418"/>
        <v>0</v>
      </c>
      <c r="BC235" s="168">
        <f t="shared" si="418"/>
        <v>0</v>
      </c>
      <c r="BD235" s="168">
        <f t="shared" si="418"/>
        <v>0</v>
      </c>
      <c r="BE235" s="168">
        <f t="shared" si="418"/>
        <v>0</v>
      </c>
      <c r="BF235" s="168">
        <f t="shared" si="418"/>
        <v>0</v>
      </c>
      <c r="BG235" s="168">
        <f t="shared" si="418"/>
        <v>0</v>
      </c>
      <c r="BH235" s="168">
        <f t="shared" si="418"/>
        <v>0</v>
      </c>
      <c r="BI235" s="168">
        <f t="shared" si="418"/>
        <v>0</v>
      </c>
      <c r="BJ235" s="168">
        <f t="shared" si="418"/>
        <v>0</v>
      </c>
      <c r="BK235" s="168">
        <f t="shared" si="418"/>
        <v>0</v>
      </c>
      <c r="BL235" s="168">
        <f t="shared" si="418"/>
        <v>0</v>
      </c>
      <c r="BM235" s="168">
        <f t="shared" si="418"/>
        <v>0</v>
      </c>
      <c r="BN235" s="168">
        <f t="shared" si="418"/>
        <v>0</v>
      </c>
      <c r="BO235" s="168">
        <f t="shared" ref="BO235:CE235" si="419">BO148-BO62</f>
        <v>0</v>
      </c>
      <c r="BP235" s="168">
        <f t="shared" si="419"/>
        <v>0</v>
      </c>
      <c r="BQ235" s="168">
        <f t="shared" si="419"/>
        <v>0</v>
      </c>
      <c r="BR235" s="168">
        <f t="shared" si="419"/>
        <v>0</v>
      </c>
      <c r="BS235" s="168">
        <f t="shared" si="419"/>
        <v>0</v>
      </c>
      <c r="BT235" s="168">
        <f t="shared" si="419"/>
        <v>0</v>
      </c>
      <c r="BU235" s="168">
        <f t="shared" si="419"/>
        <v>0</v>
      </c>
      <c r="BV235" s="168">
        <f t="shared" si="419"/>
        <v>0</v>
      </c>
      <c r="BW235" s="168">
        <f t="shared" si="419"/>
        <v>0</v>
      </c>
      <c r="BX235" s="168">
        <f t="shared" si="419"/>
        <v>0</v>
      </c>
      <c r="BY235" s="168">
        <f t="shared" si="419"/>
        <v>0</v>
      </c>
      <c r="BZ235" s="168">
        <f t="shared" si="419"/>
        <v>0</v>
      </c>
      <c r="CA235" s="168">
        <f t="shared" si="419"/>
        <v>0</v>
      </c>
      <c r="CB235" s="168">
        <f t="shared" si="419"/>
        <v>0</v>
      </c>
      <c r="CC235" s="168">
        <f t="shared" si="419"/>
        <v>0</v>
      </c>
      <c r="CD235" s="168">
        <f t="shared" si="419"/>
        <v>0</v>
      </c>
      <c r="CE235" s="168">
        <f t="shared" si="419"/>
        <v>0</v>
      </c>
    </row>
    <row r="236" spans="1:83" ht="15.5">
      <c r="A236" s="160">
        <v>12</v>
      </c>
      <c r="B236" s="164" t="s">
        <v>195</v>
      </c>
      <c r="C236" s="168">
        <f t="shared" ref="C236:BN236" si="420">C149-C63</f>
        <v>0</v>
      </c>
      <c r="D236" s="168">
        <f t="shared" si="420"/>
        <v>0</v>
      </c>
      <c r="E236" s="168">
        <f t="shared" si="420"/>
        <v>0</v>
      </c>
      <c r="F236" s="168">
        <f t="shared" si="420"/>
        <v>0</v>
      </c>
      <c r="G236" s="168">
        <f t="shared" si="420"/>
        <v>0</v>
      </c>
      <c r="H236" s="168">
        <f t="shared" si="420"/>
        <v>0</v>
      </c>
      <c r="I236" s="168">
        <f t="shared" si="420"/>
        <v>0</v>
      </c>
      <c r="J236" s="168">
        <f t="shared" si="420"/>
        <v>0</v>
      </c>
      <c r="K236" s="168">
        <f t="shared" si="420"/>
        <v>0</v>
      </c>
      <c r="L236" s="168">
        <f t="shared" si="420"/>
        <v>0</v>
      </c>
      <c r="M236" s="168">
        <f t="shared" si="420"/>
        <v>0</v>
      </c>
      <c r="N236" s="168">
        <f t="shared" si="420"/>
        <v>0</v>
      </c>
      <c r="O236" s="168">
        <f t="shared" si="420"/>
        <v>0</v>
      </c>
      <c r="P236" s="168">
        <f t="shared" si="420"/>
        <v>0</v>
      </c>
      <c r="Q236" s="168">
        <f t="shared" si="420"/>
        <v>0</v>
      </c>
      <c r="R236" s="168">
        <f t="shared" si="420"/>
        <v>0</v>
      </c>
      <c r="S236" s="168">
        <f t="shared" si="420"/>
        <v>0</v>
      </c>
      <c r="T236" s="168">
        <f t="shared" si="420"/>
        <v>0</v>
      </c>
      <c r="U236" s="168">
        <f t="shared" si="420"/>
        <v>0</v>
      </c>
      <c r="V236" s="168">
        <f t="shared" si="420"/>
        <v>0</v>
      </c>
      <c r="W236" s="168">
        <f t="shared" si="420"/>
        <v>0</v>
      </c>
      <c r="X236" s="168">
        <f t="shared" si="420"/>
        <v>0</v>
      </c>
      <c r="Y236" s="168">
        <f t="shared" si="420"/>
        <v>0</v>
      </c>
      <c r="Z236" s="168">
        <f t="shared" si="420"/>
        <v>0</v>
      </c>
      <c r="AA236" s="168">
        <f t="shared" si="420"/>
        <v>0</v>
      </c>
      <c r="AB236" s="168">
        <f t="shared" si="420"/>
        <v>0</v>
      </c>
      <c r="AC236" s="168">
        <f t="shared" si="420"/>
        <v>0</v>
      </c>
      <c r="AD236" s="168">
        <f t="shared" si="420"/>
        <v>0</v>
      </c>
      <c r="AE236" s="168">
        <f t="shared" si="420"/>
        <v>0</v>
      </c>
      <c r="AF236" s="168">
        <f t="shared" si="420"/>
        <v>0</v>
      </c>
      <c r="AG236" s="168">
        <f t="shared" si="420"/>
        <v>0</v>
      </c>
      <c r="AH236" s="168">
        <f t="shared" si="420"/>
        <v>0</v>
      </c>
      <c r="AI236" s="168">
        <f t="shared" si="420"/>
        <v>0</v>
      </c>
      <c r="AJ236" s="168">
        <f t="shared" si="420"/>
        <v>0</v>
      </c>
      <c r="AK236" s="168">
        <f t="shared" si="420"/>
        <v>0</v>
      </c>
      <c r="AL236" s="168">
        <f t="shared" si="420"/>
        <v>0</v>
      </c>
      <c r="AM236" s="168">
        <f t="shared" si="420"/>
        <v>0</v>
      </c>
      <c r="AN236" s="168">
        <f t="shared" si="420"/>
        <v>0</v>
      </c>
      <c r="AO236" s="168">
        <f t="shared" si="420"/>
        <v>0</v>
      </c>
      <c r="AP236" s="168">
        <f t="shared" si="420"/>
        <v>0</v>
      </c>
      <c r="AQ236" s="168">
        <f t="shared" si="420"/>
        <v>0</v>
      </c>
      <c r="AR236" s="168">
        <f t="shared" si="420"/>
        <v>0</v>
      </c>
      <c r="AS236" s="168">
        <f t="shared" si="420"/>
        <v>0</v>
      </c>
      <c r="AT236" s="168">
        <f t="shared" si="420"/>
        <v>0</v>
      </c>
      <c r="AU236" s="168">
        <f t="shared" si="420"/>
        <v>0</v>
      </c>
      <c r="AV236" s="168">
        <f t="shared" si="420"/>
        <v>0</v>
      </c>
      <c r="AW236" s="168">
        <f t="shared" si="420"/>
        <v>0</v>
      </c>
      <c r="AX236" s="168">
        <f t="shared" si="420"/>
        <v>0</v>
      </c>
      <c r="AY236" s="168">
        <f t="shared" si="420"/>
        <v>0</v>
      </c>
      <c r="AZ236" s="168">
        <f t="shared" si="420"/>
        <v>0</v>
      </c>
      <c r="BA236" s="168">
        <f t="shared" si="420"/>
        <v>0</v>
      </c>
      <c r="BB236" s="168">
        <f t="shared" si="420"/>
        <v>0</v>
      </c>
      <c r="BC236" s="168">
        <f t="shared" si="420"/>
        <v>0</v>
      </c>
      <c r="BD236" s="168">
        <f t="shared" si="420"/>
        <v>0</v>
      </c>
      <c r="BE236" s="168">
        <f t="shared" si="420"/>
        <v>0</v>
      </c>
      <c r="BF236" s="168">
        <f t="shared" si="420"/>
        <v>0</v>
      </c>
      <c r="BG236" s="168">
        <f t="shared" si="420"/>
        <v>0</v>
      </c>
      <c r="BH236" s="168">
        <f t="shared" si="420"/>
        <v>0</v>
      </c>
      <c r="BI236" s="168">
        <f t="shared" si="420"/>
        <v>0</v>
      </c>
      <c r="BJ236" s="168">
        <f t="shared" si="420"/>
        <v>0</v>
      </c>
      <c r="BK236" s="168">
        <f t="shared" si="420"/>
        <v>0</v>
      </c>
      <c r="BL236" s="168">
        <f t="shared" si="420"/>
        <v>0</v>
      </c>
      <c r="BM236" s="168">
        <f t="shared" si="420"/>
        <v>0</v>
      </c>
      <c r="BN236" s="168">
        <f t="shared" si="420"/>
        <v>0</v>
      </c>
      <c r="BO236" s="168">
        <f t="shared" ref="BO236:CE236" si="421">BO149-BO63</f>
        <v>0</v>
      </c>
      <c r="BP236" s="168">
        <f t="shared" si="421"/>
        <v>0</v>
      </c>
      <c r="BQ236" s="168">
        <f t="shared" si="421"/>
        <v>0</v>
      </c>
      <c r="BR236" s="168">
        <f t="shared" si="421"/>
        <v>0</v>
      </c>
      <c r="BS236" s="168">
        <f t="shared" si="421"/>
        <v>0</v>
      </c>
      <c r="BT236" s="168">
        <f t="shared" si="421"/>
        <v>0</v>
      </c>
      <c r="BU236" s="168">
        <f t="shared" si="421"/>
        <v>0</v>
      </c>
      <c r="BV236" s="168">
        <f t="shared" si="421"/>
        <v>0</v>
      </c>
      <c r="BW236" s="168">
        <f t="shared" si="421"/>
        <v>0</v>
      </c>
      <c r="BX236" s="168">
        <f t="shared" si="421"/>
        <v>0</v>
      </c>
      <c r="BY236" s="168">
        <f t="shared" si="421"/>
        <v>0</v>
      </c>
      <c r="BZ236" s="168">
        <f t="shared" si="421"/>
        <v>0</v>
      </c>
      <c r="CA236" s="168">
        <f t="shared" si="421"/>
        <v>0</v>
      </c>
      <c r="CB236" s="168">
        <f t="shared" si="421"/>
        <v>0</v>
      </c>
      <c r="CC236" s="168">
        <f t="shared" si="421"/>
        <v>0</v>
      </c>
      <c r="CD236" s="168">
        <f t="shared" si="421"/>
        <v>0</v>
      </c>
      <c r="CE236" s="168">
        <f t="shared" si="421"/>
        <v>0</v>
      </c>
    </row>
    <row r="237" spans="1:83" ht="15.5">
      <c r="A237" s="160">
        <v>12</v>
      </c>
      <c r="B237" s="165" t="s">
        <v>196</v>
      </c>
      <c r="C237" s="168">
        <f t="shared" ref="C237:BN237" si="422">C150-C64</f>
        <v>0</v>
      </c>
      <c r="D237" s="168">
        <f t="shared" si="422"/>
        <v>0</v>
      </c>
      <c r="E237" s="168">
        <f t="shared" si="422"/>
        <v>0</v>
      </c>
      <c r="F237" s="168">
        <f t="shared" si="422"/>
        <v>0</v>
      </c>
      <c r="G237" s="168">
        <f t="shared" si="422"/>
        <v>0</v>
      </c>
      <c r="H237" s="168">
        <f t="shared" si="422"/>
        <v>0</v>
      </c>
      <c r="I237" s="168">
        <f t="shared" si="422"/>
        <v>0</v>
      </c>
      <c r="J237" s="168">
        <f t="shared" si="422"/>
        <v>0</v>
      </c>
      <c r="K237" s="168">
        <f t="shared" si="422"/>
        <v>0</v>
      </c>
      <c r="L237" s="168">
        <f t="shared" si="422"/>
        <v>0</v>
      </c>
      <c r="M237" s="168">
        <f t="shared" si="422"/>
        <v>0</v>
      </c>
      <c r="N237" s="168">
        <f t="shared" si="422"/>
        <v>0</v>
      </c>
      <c r="O237" s="168">
        <f t="shared" si="422"/>
        <v>0</v>
      </c>
      <c r="P237" s="168">
        <f t="shared" si="422"/>
        <v>0</v>
      </c>
      <c r="Q237" s="168">
        <f t="shared" si="422"/>
        <v>0</v>
      </c>
      <c r="R237" s="168">
        <f t="shared" si="422"/>
        <v>0</v>
      </c>
      <c r="S237" s="168">
        <f t="shared" si="422"/>
        <v>0</v>
      </c>
      <c r="T237" s="168">
        <f t="shared" si="422"/>
        <v>0</v>
      </c>
      <c r="U237" s="168">
        <f t="shared" si="422"/>
        <v>0</v>
      </c>
      <c r="V237" s="168">
        <f t="shared" si="422"/>
        <v>0</v>
      </c>
      <c r="W237" s="168">
        <f t="shared" si="422"/>
        <v>0</v>
      </c>
      <c r="X237" s="168">
        <f t="shared" si="422"/>
        <v>0</v>
      </c>
      <c r="Y237" s="168">
        <f t="shared" si="422"/>
        <v>0</v>
      </c>
      <c r="Z237" s="168">
        <f t="shared" si="422"/>
        <v>0</v>
      </c>
      <c r="AA237" s="168">
        <f t="shared" si="422"/>
        <v>0</v>
      </c>
      <c r="AB237" s="168">
        <f t="shared" si="422"/>
        <v>0</v>
      </c>
      <c r="AC237" s="168">
        <f t="shared" si="422"/>
        <v>0</v>
      </c>
      <c r="AD237" s="168">
        <f t="shared" si="422"/>
        <v>0</v>
      </c>
      <c r="AE237" s="168">
        <f t="shared" si="422"/>
        <v>0</v>
      </c>
      <c r="AF237" s="168">
        <f t="shared" si="422"/>
        <v>0</v>
      </c>
      <c r="AG237" s="168">
        <f t="shared" si="422"/>
        <v>0</v>
      </c>
      <c r="AH237" s="168">
        <f t="shared" si="422"/>
        <v>0</v>
      </c>
      <c r="AI237" s="168">
        <f t="shared" si="422"/>
        <v>0</v>
      </c>
      <c r="AJ237" s="168">
        <f t="shared" si="422"/>
        <v>0</v>
      </c>
      <c r="AK237" s="168">
        <f t="shared" si="422"/>
        <v>0</v>
      </c>
      <c r="AL237" s="168">
        <f t="shared" si="422"/>
        <v>0</v>
      </c>
      <c r="AM237" s="168">
        <f t="shared" si="422"/>
        <v>0</v>
      </c>
      <c r="AN237" s="168">
        <f t="shared" si="422"/>
        <v>0</v>
      </c>
      <c r="AO237" s="168">
        <f t="shared" si="422"/>
        <v>0</v>
      </c>
      <c r="AP237" s="168">
        <f t="shared" si="422"/>
        <v>0</v>
      </c>
      <c r="AQ237" s="168">
        <f t="shared" si="422"/>
        <v>0</v>
      </c>
      <c r="AR237" s="168">
        <f t="shared" si="422"/>
        <v>0</v>
      </c>
      <c r="AS237" s="168">
        <f t="shared" si="422"/>
        <v>0</v>
      </c>
      <c r="AT237" s="168">
        <f t="shared" si="422"/>
        <v>0</v>
      </c>
      <c r="AU237" s="168">
        <f t="shared" si="422"/>
        <v>0</v>
      </c>
      <c r="AV237" s="168">
        <f t="shared" si="422"/>
        <v>0</v>
      </c>
      <c r="AW237" s="168">
        <f t="shared" si="422"/>
        <v>0</v>
      </c>
      <c r="AX237" s="168">
        <f t="shared" si="422"/>
        <v>0</v>
      </c>
      <c r="AY237" s="168">
        <f t="shared" si="422"/>
        <v>0</v>
      </c>
      <c r="AZ237" s="168">
        <f t="shared" si="422"/>
        <v>0</v>
      </c>
      <c r="BA237" s="168">
        <f t="shared" si="422"/>
        <v>0</v>
      </c>
      <c r="BB237" s="168">
        <f t="shared" si="422"/>
        <v>0</v>
      </c>
      <c r="BC237" s="168">
        <f t="shared" si="422"/>
        <v>0</v>
      </c>
      <c r="BD237" s="168">
        <f t="shared" si="422"/>
        <v>0</v>
      </c>
      <c r="BE237" s="168">
        <f t="shared" si="422"/>
        <v>0</v>
      </c>
      <c r="BF237" s="168">
        <f t="shared" si="422"/>
        <v>0</v>
      </c>
      <c r="BG237" s="168">
        <f t="shared" si="422"/>
        <v>0</v>
      </c>
      <c r="BH237" s="168">
        <f t="shared" si="422"/>
        <v>0</v>
      </c>
      <c r="BI237" s="168">
        <f t="shared" si="422"/>
        <v>0</v>
      </c>
      <c r="BJ237" s="168">
        <f t="shared" si="422"/>
        <v>0</v>
      </c>
      <c r="BK237" s="168">
        <f t="shared" si="422"/>
        <v>0</v>
      </c>
      <c r="BL237" s="168">
        <f t="shared" si="422"/>
        <v>0</v>
      </c>
      <c r="BM237" s="168">
        <f t="shared" si="422"/>
        <v>0</v>
      </c>
      <c r="BN237" s="168">
        <f t="shared" si="422"/>
        <v>0</v>
      </c>
      <c r="BO237" s="168">
        <f t="shared" ref="BO237:CE237" si="423">BO150-BO64</f>
        <v>0</v>
      </c>
      <c r="BP237" s="168">
        <f t="shared" si="423"/>
        <v>0</v>
      </c>
      <c r="BQ237" s="168">
        <f t="shared" si="423"/>
        <v>0</v>
      </c>
      <c r="BR237" s="168">
        <f t="shared" si="423"/>
        <v>0</v>
      </c>
      <c r="BS237" s="168">
        <f t="shared" si="423"/>
        <v>0</v>
      </c>
      <c r="BT237" s="168">
        <f t="shared" si="423"/>
        <v>0</v>
      </c>
      <c r="BU237" s="168">
        <f t="shared" si="423"/>
        <v>0</v>
      </c>
      <c r="BV237" s="168">
        <f t="shared" si="423"/>
        <v>0</v>
      </c>
      <c r="BW237" s="168">
        <f t="shared" si="423"/>
        <v>0</v>
      </c>
      <c r="BX237" s="168">
        <f t="shared" si="423"/>
        <v>0</v>
      </c>
      <c r="BY237" s="168">
        <f t="shared" si="423"/>
        <v>0</v>
      </c>
      <c r="BZ237" s="168">
        <f t="shared" si="423"/>
        <v>0</v>
      </c>
      <c r="CA237" s="168">
        <f t="shared" si="423"/>
        <v>0</v>
      </c>
      <c r="CB237" s="168">
        <f t="shared" si="423"/>
        <v>0</v>
      </c>
      <c r="CC237" s="168">
        <f t="shared" si="423"/>
        <v>0</v>
      </c>
      <c r="CD237" s="168">
        <f t="shared" si="423"/>
        <v>0</v>
      </c>
      <c r="CE237" s="168">
        <f t="shared" si="423"/>
        <v>0</v>
      </c>
    </row>
    <row r="238" spans="1:83" ht="15.5">
      <c r="A238" s="166"/>
      <c r="B238" s="167"/>
      <c r="C238" s="168">
        <f t="shared" ref="C238:BN238" si="424">C151-C65</f>
        <v>0</v>
      </c>
      <c r="D238" s="168">
        <f t="shared" si="424"/>
        <v>0</v>
      </c>
      <c r="E238" s="168">
        <f t="shared" si="424"/>
        <v>0</v>
      </c>
      <c r="F238" s="168">
        <f t="shared" si="424"/>
        <v>0</v>
      </c>
      <c r="G238" s="168">
        <f t="shared" si="424"/>
        <v>0</v>
      </c>
      <c r="H238" s="168">
        <f t="shared" si="424"/>
        <v>0</v>
      </c>
      <c r="I238" s="168">
        <f t="shared" si="424"/>
        <v>0</v>
      </c>
      <c r="J238" s="168">
        <f t="shared" si="424"/>
        <v>0</v>
      </c>
      <c r="K238" s="168">
        <f t="shared" si="424"/>
        <v>0</v>
      </c>
      <c r="L238" s="168">
        <f t="shared" si="424"/>
        <v>0</v>
      </c>
      <c r="M238" s="168">
        <f t="shared" si="424"/>
        <v>0</v>
      </c>
      <c r="N238" s="168">
        <f t="shared" si="424"/>
        <v>0</v>
      </c>
      <c r="O238" s="168">
        <f t="shared" si="424"/>
        <v>0</v>
      </c>
      <c r="P238" s="168">
        <f t="shared" si="424"/>
        <v>0</v>
      </c>
      <c r="Q238" s="168">
        <f t="shared" si="424"/>
        <v>0</v>
      </c>
      <c r="R238" s="168">
        <f t="shared" si="424"/>
        <v>0</v>
      </c>
      <c r="S238" s="168">
        <f t="shared" si="424"/>
        <v>0</v>
      </c>
      <c r="T238" s="168">
        <f t="shared" si="424"/>
        <v>0</v>
      </c>
      <c r="U238" s="168">
        <f t="shared" si="424"/>
        <v>0</v>
      </c>
      <c r="V238" s="168">
        <f t="shared" si="424"/>
        <v>0</v>
      </c>
      <c r="W238" s="168">
        <f t="shared" si="424"/>
        <v>0</v>
      </c>
      <c r="X238" s="168">
        <f t="shared" si="424"/>
        <v>0</v>
      </c>
      <c r="Y238" s="168">
        <f t="shared" si="424"/>
        <v>0</v>
      </c>
      <c r="Z238" s="168">
        <f t="shared" si="424"/>
        <v>0</v>
      </c>
      <c r="AA238" s="168">
        <f t="shared" si="424"/>
        <v>0</v>
      </c>
      <c r="AB238" s="168">
        <f t="shared" si="424"/>
        <v>0</v>
      </c>
      <c r="AC238" s="168">
        <f t="shared" si="424"/>
        <v>0</v>
      </c>
      <c r="AD238" s="168">
        <f t="shared" si="424"/>
        <v>0</v>
      </c>
      <c r="AE238" s="168">
        <f t="shared" si="424"/>
        <v>0</v>
      </c>
      <c r="AF238" s="168">
        <f t="shared" si="424"/>
        <v>0</v>
      </c>
      <c r="AG238" s="168">
        <f t="shared" si="424"/>
        <v>0</v>
      </c>
      <c r="AH238" s="168">
        <f t="shared" si="424"/>
        <v>0</v>
      </c>
      <c r="AI238" s="168">
        <f t="shared" si="424"/>
        <v>0</v>
      </c>
      <c r="AJ238" s="168">
        <f t="shared" si="424"/>
        <v>0</v>
      </c>
      <c r="AK238" s="168">
        <f t="shared" si="424"/>
        <v>0</v>
      </c>
      <c r="AL238" s="168">
        <f t="shared" si="424"/>
        <v>0</v>
      </c>
      <c r="AM238" s="168">
        <f t="shared" si="424"/>
        <v>0</v>
      </c>
      <c r="AN238" s="168">
        <f t="shared" si="424"/>
        <v>0</v>
      </c>
      <c r="AO238" s="168">
        <f t="shared" si="424"/>
        <v>0</v>
      </c>
      <c r="AP238" s="168">
        <f t="shared" si="424"/>
        <v>0</v>
      </c>
      <c r="AQ238" s="168">
        <f t="shared" si="424"/>
        <v>0</v>
      </c>
      <c r="AR238" s="168">
        <f t="shared" si="424"/>
        <v>0</v>
      </c>
      <c r="AS238" s="168">
        <f t="shared" si="424"/>
        <v>0</v>
      </c>
      <c r="AT238" s="168">
        <f t="shared" si="424"/>
        <v>0</v>
      </c>
      <c r="AU238" s="168">
        <f t="shared" si="424"/>
        <v>0</v>
      </c>
      <c r="AV238" s="168">
        <f t="shared" si="424"/>
        <v>0</v>
      </c>
      <c r="AW238" s="168">
        <f t="shared" si="424"/>
        <v>0</v>
      </c>
      <c r="AX238" s="168">
        <f t="shared" si="424"/>
        <v>0</v>
      </c>
      <c r="AY238" s="168">
        <f t="shared" si="424"/>
        <v>0</v>
      </c>
      <c r="AZ238" s="168">
        <f t="shared" si="424"/>
        <v>0</v>
      </c>
      <c r="BA238" s="168">
        <f t="shared" si="424"/>
        <v>0</v>
      </c>
      <c r="BB238" s="168">
        <f t="shared" si="424"/>
        <v>0</v>
      </c>
      <c r="BC238" s="168">
        <f t="shared" si="424"/>
        <v>0</v>
      </c>
      <c r="BD238" s="168">
        <f t="shared" si="424"/>
        <v>0</v>
      </c>
      <c r="BE238" s="168">
        <f t="shared" si="424"/>
        <v>0</v>
      </c>
      <c r="BF238" s="168">
        <f t="shared" si="424"/>
        <v>0</v>
      </c>
      <c r="BG238" s="168">
        <f t="shared" si="424"/>
        <v>0</v>
      </c>
      <c r="BH238" s="168">
        <f t="shared" si="424"/>
        <v>0</v>
      </c>
      <c r="BI238" s="168">
        <f t="shared" si="424"/>
        <v>0</v>
      </c>
      <c r="BJ238" s="168">
        <f t="shared" si="424"/>
        <v>0</v>
      </c>
      <c r="BK238" s="168">
        <f t="shared" si="424"/>
        <v>0</v>
      </c>
      <c r="BL238" s="168">
        <f t="shared" si="424"/>
        <v>0</v>
      </c>
      <c r="BM238" s="168">
        <f t="shared" si="424"/>
        <v>0</v>
      </c>
      <c r="BN238" s="168">
        <f t="shared" si="424"/>
        <v>0</v>
      </c>
      <c r="BO238" s="168">
        <f t="shared" ref="BO238:CE238" si="425">BO151-BO65</f>
        <v>0</v>
      </c>
      <c r="BP238" s="168">
        <f t="shared" si="425"/>
        <v>0</v>
      </c>
      <c r="BQ238" s="168">
        <f t="shared" si="425"/>
        <v>0</v>
      </c>
      <c r="BR238" s="168">
        <f t="shared" si="425"/>
        <v>0</v>
      </c>
      <c r="BS238" s="168">
        <f t="shared" si="425"/>
        <v>0</v>
      </c>
      <c r="BT238" s="168">
        <f t="shared" si="425"/>
        <v>0</v>
      </c>
      <c r="BU238" s="168">
        <f t="shared" si="425"/>
        <v>0</v>
      </c>
      <c r="BV238" s="168">
        <f t="shared" si="425"/>
        <v>0</v>
      </c>
      <c r="BW238" s="168">
        <f t="shared" si="425"/>
        <v>0</v>
      </c>
      <c r="BX238" s="168">
        <f t="shared" si="425"/>
        <v>0</v>
      </c>
      <c r="BY238" s="168">
        <f t="shared" si="425"/>
        <v>0</v>
      </c>
      <c r="BZ238" s="168">
        <f t="shared" si="425"/>
        <v>0</v>
      </c>
      <c r="CA238" s="168">
        <f t="shared" si="425"/>
        <v>0</v>
      </c>
      <c r="CB238" s="168">
        <f t="shared" si="425"/>
        <v>0</v>
      </c>
      <c r="CC238" s="168">
        <f t="shared" si="425"/>
        <v>0</v>
      </c>
      <c r="CD238" s="168">
        <f t="shared" si="425"/>
        <v>0</v>
      </c>
      <c r="CE238" s="168">
        <f t="shared" si="425"/>
        <v>0</v>
      </c>
    </row>
    <row r="239" spans="1:83" ht="21">
      <c r="A239" s="158">
        <v>1</v>
      </c>
      <c r="B239" s="159" t="s">
        <v>3</v>
      </c>
      <c r="C239" s="168">
        <f t="shared" ref="C239:BN239" si="426">C152-C66</f>
        <v>0</v>
      </c>
      <c r="D239" s="168">
        <f t="shared" si="426"/>
        <v>0</v>
      </c>
      <c r="E239" s="168">
        <f t="shared" si="426"/>
        <v>0</v>
      </c>
      <c r="F239" s="168">
        <f t="shared" si="426"/>
        <v>0</v>
      </c>
      <c r="G239" s="168">
        <f t="shared" si="426"/>
        <v>0</v>
      </c>
      <c r="H239" s="168">
        <f t="shared" si="426"/>
        <v>0</v>
      </c>
      <c r="I239" s="168">
        <f t="shared" si="426"/>
        <v>0</v>
      </c>
      <c r="J239" s="168">
        <f t="shared" si="426"/>
        <v>0</v>
      </c>
      <c r="K239" s="168">
        <f t="shared" si="426"/>
        <v>0</v>
      </c>
      <c r="L239" s="168">
        <f t="shared" si="426"/>
        <v>0</v>
      </c>
      <c r="M239" s="168">
        <f t="shared" si="426"/>
        <v>0</v>
      </c>
      <c r="N239" s="168">
        <f t="shared" si="426"/>
        <v>0</v>
      </c>
      <c r="O239" s="168">
        <f t="shared" si="426"/>
        <v>0</v>
      </c>
      <c r="P239" s="168">
        <f t="shared" si="426"/>
        <v>0</v>
      </c>
      <c r="Q239" s="168">
        <f t="shared" si="426"/>
        <v>0</v>
      </c>
      <c r="R239" s="168">
        <f t="shared" si="426"/>
        <v>0</v>
      </c>
      <c r="S239" s="168">
        <f t="shared" si="426"/>
        <v>0</v>
      </c>
      <c r="T239" s="168">
        <f t="shared" si="426"/>
        <v>0</v>
      </c>
      <c r="U239" s="168">
        <f t="shared" si="426"/>
        <v>0</v>
      </c>
      <c r="V239" s="168">
        <f t="shared" si="426"/>
        <v>0</v>
      </c>
      <c r="W239" s="168">
        <f t="shared" si="426"/>
        <v>0</v>
      </c>
      <c r="X239" s="168">
        <f t="shared" si="426"/>
        <v>0</v>
      </c>
      <c r="Y239" s="168">
        <f t="shared" si="426"/>
        <v>0</v>
      </c>
      <c r="Z239" s="168">
        <f t="shared" si="426"/>
        <v>0</v>
      </c>
      <c r="AA239" s="168">
        <f t="shared" si="426"/>
        <v>0</v>
      </c>
      <c r="AB239" s="168">
        <f t="shared" si="426"/>
        <v>0</v>
      </c>
      <c r="AC239" s="168">
        <f t="shared" si="426"/>
        <v>0</v>
      </c>
      <c r="AD239" s="168">
        <f t="shared" si="426"/>
        <v>0</v>
      </c>
      <c r="AE239" s="168">
        <f t="shared" si="426"/>
        <v>0</v>
      </c>
      <c r="AF239" s="168">
        <f t="shared" si="426"/>
        <v>0</v>
      </c>
      <c r="AG239" s="168">
        <f t="shared" si="426"/>
        <v>0</v>
      </c>
      <c r="AH239" s="168">
        <f t="shared" si="426"/>
        <v>0</v>
      </c>
      <c r="AI239" s="168">
        <f t="shared" si="426"/>
        <v>0</v>
      </c>
      <c r="AJ239" s="168">
        <f t="shared" si="426"/>
        <v>0</v>
      </c>
      <c r="AK239" s="168">
        <f t="shared" si="426"/>
        <v>0</v>
      </c>
      <c r="AL239" s="168">
        <f t="shared" si="426"/>
        <v>0</v>
      </c>
      <c r="AM239" s="168">
        <f t="shared" si="426"/>
        <v>0</v>
      </c>
      <c r="AN239" s="168">
        <f t="shared" si="426"/>
        <v>0</v>
      </c>
      <c r="AO239" s="168">
        <f t="shared" si="426"/>
        <v>0</v>
      </c>
      <c r="AP239" s="168">
        <f t="shared" si="426"/>
        <v>0</v>
      </c>
      <c r="AQ239" s="168">
        <f t="shared" si="426"/>
        <v>0</v>
      </c>
      <c r="AR239" s="168">
        <f t="shared" si="426"/>
        <v>0</v>
      </c>
      <c r="AS239" s="168">
        <f t="shared" si="426"/>
        <v>0</v>
      </c>
      <c r="AT239" s="168">
        <f t="shared" si="426"/>
        <v>0</v>
      </c>
      <c r="AU239" s="168">
        <f t="shared" si="426"/>
        <v>0</v>
      </c>
      <c r="AV239" s="168">
        <f t="shared" si="426"/>
        <v>0</v>
      </c>
      <c r="AW239" s="168">
        <f t="shared" si="426"/>
        <v>0</v>
      </c>
      <c r="AX239" s="168">
        <f t="shared" si="426"/>
        <v>0</v>
      </c>
      <c r="AY239" s="168">
        <f t="shared" si="426"/>
        <v>0</v>
      </c>
      <c r="AZ239" s="168">
        <f t="shared" si="426"/>
        <v>0</v>
      </c>
      <c r="BA239" s="168">
        <f t="shared" si="426"/>
        <v>0</v>
      </c>
      <c r="BB239" s="168">
        <f t="shared" si="426"/>
        <v>0</v>
      </c>
      <c r="BC239" s="168">
        <f t="shared" si="426"/>
        <v>0</v>
      </c>
      <c r="BD239" s="168">
        <f t="shared" si="426"/>
        <v>0</v>
      </c>
      <c r="BE239" s="168">
        <f t="shared" si="426"/>
        <v>0</v>
      </c>
      <c r="BF239" s="168">
        <f t="shared" si="426"/>
        <v>0</v>
      </c>
      <c r="BG239" s="168">
        <f t="shared" si="426"/>
        <v>0</v>
      </c>
      <c r="BH239" s="168">
        <f t="shared" si="426"/>
        <v>0</v>
      </c>
      <c r="BI239" s="168">
        <f t="shared" si="426"/>
        <v>0</v>
      </c>
      <c r="BJ239" s="168">
        <f t="shared" si="426"/>
        <v>0</v>
      </c>
      <c r="BK239" s="168">
        <f t="shared" si="426"/>
        <v>0</v>
      </c>
      <c r="BL239" s="168">
        <f t="shared" si="426"/>
        <v>0</v>
      </c>
      <c r="BM239" s="168">
        <f t="shared" si="426"/>
        <v>0</v>
      </c>
      <c r="BN239" s="168">
        <f t="shared" si="426"/>
        <v>0</v>
      </c>
      <c r="BO239" s="168">
        <f t="shared" ref="BO239:CE239" si="427">BO152-BO66</f>
        <v>0</v>
      </c>
      <c r="BP239" s="168">
        <f t="shared" si="427"/>
        <v>0</v>
      </c>
      <c r="BQ239" s="168">
        <f t="shared" si="427"/>
        <v>0</v>
      </c>
      <c r="BR239" s="168">
        <f t="shared" si="427"/>
        <v>0</v>
      </c>
      <c r="BS239" s="168">
        <f t="shared" si="427"/>
        <v>0</v>
      </c>
      <c r="BT239" s="168">
        <f t="shared" si="427"/>
        <v>0</v>
      </c>
      <c r="BU239" s="168">
        <f t="shared" si="427"/>
        <v>0</v>
      </c>
      <c r="BV239" s="168">
        <f t="shared" si="427"/>
        <v>0</v>
      </c>
      <c r="BW239" s="168">
        <f t="shared" si="427"/>
        <v>0</v>
      </c>
      <c r="BX239" s="168">
        <f t="shared" si="427"/>
        <v>0</v>
      </c>
      <c r="BY239" s="168">
        <f t="shared" si="427"/>
        <v>0</v>
      </c>
      <c r="BZ239" s="168">
        <f t="shared" si="427"/>
        <v>0</v>
      </c>
      <c r="CA239" s="168">
        <f t="shared" si="427"/>
        <v>0</v>
      </c>
      <c r="CB239" s="168">
        <f t="shared" si="427"/>
        <v>0</v>
      </c>
      <c r="CC239" s="168">
        <f t="shared" si="427"/>
        <v>0</v>
      </c>
      <c r="CD239" s="168">
        <f t="shared" si="427"/>
        <v>0</v>
      </c>
      <c r="CE239" s="168">
        <f t="shared" si="427"/>
        <v>0</v>
      </c>
    </row>
    <row r="240" spans="1:83" ht="15.5">
      <c r="A240" s="160">
        <v>13</v>
      </c>
      <c r="B240" s="161" t="s">
        <v>194</v>
      </c>
      <c r="C240" s="168">
        <f t="shared" ref="C240:BN240" si="428">C153-C67</f>
        <v>0</v>
      </c>
      <c r="D240" s="168">
        <f t="shared" si="428"/>
        <v>0</v>
      </c>
      <c r="E240" s="168">
        <f t="shared" si="428"/>
        <v>0</v>
      </c>
      <c r="F240" s="168">
        <f t="shared" si="428"/>
        <v>0</v>
      </c>
      <c r="G240" s="168">
        <f t="shared" si="428"/>
        <v>0</v>
      </c>
      <c r="H240" s="168">
        <f t="shared" si="428"/>
        <v>0</v>
      </c>
      <c r="I240" s="168">
        <f t="shared" si="428"/>
        <v>0</v>
      </c>
      <c r="J240" s="168">
        <f t="shared" si="428"/>
        <v>0</v>
      </c>
      <c r="K240" s="168">
        <f t="shared" si="428"/>
        <v>0</v>
      </c>
      <c r="L240" s="168">
        <f t="shared" si="428"/>
        <v>0</v>
      </c>
      <c r="M240" s="168">
        <f t="shared" si="428"/>
        <v>0</v>
      </c>
      <c r="N240" s="168">
        <f t="shared" si="428"/>
        <v>0</v>
      </c>
      <c r="O240" s="168">
        <f t="shared" si="428"/>
        <v>0</v>
      </c>
      <c r="P240" s="168">
        <f t="shared" si="428"/>
        <v>0</v>
      </c>
      <c r="Q240" s="168">
        <f t="shared" si="428"/>
        <v>0</v>
      </c>
      <c r="R240" s="168">
        <f t="shared" si="428"/>
        <v>0</v>
      </c>
      <c r="S240" s="168">
        <f t="shared" si="428"/>
        <v>0</v>
      </c>
      <c r="T240" s="168">
        <f t="shared" si="428"/>
        <v>0</v>
      </c>
      <c r="U240" s="168">
        <f t="shared" si="428"/>
        <v>0</v>
      </c>
      <c r="V240" s="168">
        <f t="shared" si="428"/>
        <v>0</v>
      </c>
      <c r="W240" s="168">
        <f t="shared" si="428"/>
        <v>0</v>
      </c>
      <c r="X240" s="168">
        <f t="shared" si="428"/>
        <v>0</v>
      </c>
      <c r="Y240" s="168">
        <f t="shared" si="428"/>
        <v>0</v>
      </c>
      <c r="Z240" s="168">
        <f t="shared" si="428"/>
        <v>0</v>
      </c>
      <c r="AA240" s="168">
        <f t="shared" si="428"/>
        <v>0</v>
      </c>
      <c r="AB240" s="168">
        <f t="shared" si="428"/>
        <v>0</v>
      </c>
      <c r="AC240" s="168">
        <f t="shared" si="428"/>
        <v>0</v>
      </c>
      <c r="AD240" s="168">
        <f t="shared" si="428"/>
        <v>0</v>
      </c>
      <c r="AE240" s="168">
        <f t="shared" si="428"/>
        <v>0</v>
      </c>
      <c r="AF240" s="168">
        <f t="shared" si="428"/>
        <v>0</v>
      </c>
      <c r="AG240" s="168">
        <f t="shared" si="428"/>
        <v>0</v>
      </c>
      <c r="AH240" s="168">
        <f t="shared" si="428"/>
        <v>0</v>
      </c>
      <c r="AI240" s="168">
        <f t="shared" si="428"/>
        <v>0</v>
      </c>
      <c r="AJ240" s="168">
        <f t="shared" si="428"/>
        <v>0</v>
      </c>
      <c r="AK240" s="168">
        <f t="shared" si="428"/>
        <v>0</v>
      </c>
      <c r="AL240" s="168">
        <f t="shared" si="428"/>
        <v>0</v>
      </c>
      <c r="AM240" s="168">
        <f t="shared" si="428"/>
        <v>0</v>
      </c>
      <c r="AN240" s="168">
        <f t="shared" si="428"/>
        <v>0</v>
      </c>
      <c r="AO240" s="168">
        <f t="shared" si="428"/>
        <v>0</v>
      </c>
      <c r="AP240" s="168">
        <f t="shared" si="428"/>
        <v>0</v>
      </c>
      <c r="AQ240" s="168">
        <f t="shared" si="428"/>
        <v>0</v>
      </c>
      <c r="AR240" s="168">
        <f t="shared" si="428"/>
        <v>0</v>
      </c>
      <c r="AS240" s="168">
        <f t="shared" si="428"/>
        <v>0</v>
      </c>
      <c r="AT240" s="168">
        <f t="shared" si="428"/>
        <v>0</v>
      </c>
      <c r="AU240" s="168">
        <f t="shared" si="428"/>
        <v>0</v>
      </c>
      <c r="AV240" s="168">
        <f t="shared" si="428"/>
        <v>0</v>
      </c>
      <c r="AW240" s="168">
        <f t="shared" si="428"/>
        <v>0</v>
      </c>
      <c r="AX240" s="168">
        <f t="shared" si="428"/>
        <v>0</v>
      </c>
      <c r="AY240" s="168">
        <f t="shared" si="428"/>
        <v>0</v>
      </c>
      <c r="AZ240" s="168">
        <f t="shared" si="428"/>
        <v>0</v>
      </c>
      <c r="BA240" s="168">
        <f t="shared" si="428"/>
        <v>0</v>
      </c>
      <c r="BB240" s="168">
        <f t="shared" si="428"/>
        <v>0</v>
      </c>
      <c r="BC240" s="168">
        <f t="shared" si="428"/>
        <v>0</v>
      </c>
      <c r="BD240" s="168">
        <f t="shared" si="428"/>
        <v>0</v>
      </c>
      <c r="BE240" s="168">
        <f t="shared" si="428"/>
        <v>0</v>
      </c>
      <c r="BF240" s="168">
        <f t="shared" si="428"/>
        <v>0</v>
      </c>
      <c r="BG240" s="168">
        <f t="shared" si="428"/>
        <v>0</v>
      </c>
      <c r="BH240" s="168">
        <f t="shared" si="428"/>
        <v>0</v>
      </c>
      <c r="BI240" s="168">
        <f t="shared" si="428"/>
        <v>0</v>
      </c>
      <c r="BJ240" s="168">
        <f t="shared" si="428"/>
        <v>0</v>
      </c>
      <c r="BK240" s="168">
        <f t="shared" si="428"/>
        <v>0</v>
      </c>
      <c r="BL240" s="168">
        <f t="shared" si="428"/>
        <v>0</v>
      </c>
      <c r="BM240" s="168">
        <f t="shared" si="428"/>
        <v>0</v>
      </c>
      <c r="BN240" s="168">
        <f t="shared" si="428"/>
        <v>0</v>
      </c>
      <c r="BO240" s="168">
        <f t="shared" ref="BO240:CE240" si="429">BO153-BO67</f>
        <v>0</v>
      </c>
      <c r="BP240" s="168">
        <f t="shared" si="429"/>
        <v>0</v>
      </c>
      <c r="BQ240" s="168">
        <f t="shared" si="429"/>
        <v>0</v>
      </c>
      <c r="BR240" s="168">
        <f t="shared" si="429"/>
        <v>0</v>
      </c>
      <c r="BS240" s="168">
        <f t="shared" si="429"/>
        <v>0</v>
      </c>
      <c r="BT240" s="168">
        <f t="shared" si="429"/>
        <v>0</v>
      </c>
      <c r="BU240" s="168">
        <f t="shared" si="429"/>
        <v>0</v>
      </c>
      <c r="BV240" s="168">
        <f t="shared" si="429"/>
        <v>0</v>
      </c>
      <c r="BW240" s="168">
        <f t="shared" si="429"/>
        <v>0</v>
      </c>
      <c r="BX240" s="168">
        <f t="shared" si="429"/>
        <v>0</v>
      </c>
      <c r="BY240" s="168">
        <f t="shared" si="429"/>
        <v>0</v>
      </c>
      <c r="BZ240" s="168">
        <f t="shared" si="429"/>
        <v>0</v>
      </c>
      <c r="CA240" s="168">
        <f t="shared" si="429"/>
        <v>0</v>
      </c>
      <c r="CB240" s="168">
        <f t="shared" si="429"/>
        <v>0</v>
      </c>
      <c r="CC240" s="168">
        <f t="shared" si="429"/>
        <v>0</v>
      </c>
      <c r="CD240" s="168">
        <f t="shared" si="429"/>
        <v>0</v>
      </c>
      <c r="CE240" s="168">
        <f t="shared" si="429"/>
        <v>0</v>
      </c>
    </row>
    <row r="241" spans="1:83" ht="15.5">
      <c r="A241" s="160">
        <v>13</v>
      </c>
      <c r="B241" s="162" t="s">
        <v>139</v>
      </c>
      <c r="C241" s="168">
        <f t="shared" ref="C241:BN241" si="430">C154-C68</f>
        <v>0</v>
      </c>
      <c r="D241" s="168">
        <f t="shared" si="430"/>
        <v>0</v>
      </c>
      <c r="E241" s="168">
        <f t="shared" si="430"/>
        <v>0</v>
      </c>
      <c r="F241" s="168">
        <f t="shared" si="430"/>
        <v>0</v>
      </c>
      <c r="G241" s="168">
        <f t="shared" si="430"/>
        <v>0</v>
      </c>
      <c r="H241" s="168">
        <f t="shared" si="430"/>
        <v>0</v>
      </c>
      <c r="I241" s="168">
        <f t="shared" si="430"/>
        <v>0</v>
      </c>
      <c r="J241" s="168">
        <f t="shared" si="430"/>
        <v>0</v>
      </c>
      <c r="K241" s="168">
        <f t="shared" si="430"/>
        <v>0</v>
      </c>
      <c r="L241" s="168">
        <f t="shared" si="430"/>
        <v>0</v>
      </c>
      <c r="M241" s="168">
        <f t="shared" si="430"/>
        <v>0</v>
      </c>
      <c r="N241" s="168">
        <f t="shared" si="430"/>
        <v>0</v>
      </c>
      <c r="O241" s="168">
        <f t="shared" si="430"/>
        <v>0</v>
      </c>
      <c r="P241" s="168">
        <f t="shared" si="430"/>
        <v>0</v>
      </c>
      <c r="Q241" s="168">
        <f t="shared" si="430"/>
        <v>0</v>
      </c>
      <c r="R241" s="168">
        <f t="shared" si="430"/>
        <v>0</v>
      </c>
      <c r="S241" s="168">
        <f t="shared" si="430"/>
        <v>0</v>
      </c>
      <c r="T241" s="168">
        <f t="shared" si="430"/>
        <v>0</v>
      </c>
      <c r="U241" s="168">
        <f t="shared" si="430"/>
        <v>0</v>
      </c>
      <c r="V241" s="168">
        <f t="shared" si="430"/>
        <v>0</v>
      </c>
      <c r="W241" s="168">
        <f t="shared" si="430"/>
        <v>0</v>
      </c>
      <c r="X241" s="168">
        <f t="shared" si="430"/>
        <v>0</v>
      </c>
      <c r="Y241" s="168">
        <f t="shared" si="430"/>
        <v>0</v>
      </c>
      <c r="Z241" s="168">
        <f t="shared" si="430"/>
        <v>0</v>
      </c>
      <c r="AA241" s="168">
        <f t="shared" si="430"/>
        <v>0</v>
      </c>
      <c r="AB241" s="168">
        <f t="shared" si="430"/>
        <v>0</v>
      </c>
      <c r="AC241" s="168">
        <f t="shared" si="430"/>
        <v>0</v>
      </c>
      <c r="AD241" s="168">
        <f t="shared" si="430"/>
        <v>0</v>
      </c>
      <c r="AE241" s="168">
        <f t="shared" si="430"/>
        <v>0</v>
      </c>
      <c r="AF241" s="168">
        <f t="shared" si="430"/>
        <v>0</v>
      </c>
      <c r="AG241" s="168">
        <f t="shared" si="430"/>
        <v>0</v>
      </c>
      <c r="AH241" s="168">
        <f t="shared" si="430"/>
        <v>0</v>
      </c>
      <c r="AI241" s="168">
        <f t="shared" si="430"/>
        <v>0</v>
      </c>
      <c r="AJ241" s="168">
        <f t="shared" si="430"/>
        <v>0</v>
      </c>
      <c r="AK241" s="168">
        <f t="shared" si="430"/>
        <v>0</v>
      </c>
      <c r="AL241" s="168">
        <f t="shared" si="430"/>
        <v>0</v>
      </c>
      <c r="AM241" s="168">
        <f t="shared" si="430"/>
        <v>0</v>
      </c>
      <c r="AN241" s="168">
        <f t="shared" si="430"/>
        <v>0</v>
      </c>
      <c r="AO241" s="168">
        <f t="shared" si="430"/>
        <v>0</v>
      </c>
      <c r="AP241" s="168">
        <f t="shared" si="430"/>
        <v>0</v>
      </c>
      <c r="AQ241" s="168">
        <f t="shared" si="430"/>
        <v>0</v>
      </c>
      <c r="AR241" s="168">
        <f t="shared" si="430"/>
        <v>0</v>
      </c>
      <c r="AS241" s="168">
        <f t="shared" si="430"/>
        <v>0</v>
      </c>
      <c r="AT241" s="168">
        <f t="shared" si="430"/>
        <v>0</v>
      </c>
      <c r="AU241" s="168">
        <f t="shared" si="430"/>
        <v>0</v>
      </c>
      <c r="AV241" s="168">
        <f t="shared" si="430"/>
        <v>0</v>
      </c>
      <c r="AW241" s="168">
        <f t="shared" si="430"/>
        <v>0</v>
      </c>
      <c r="AX241" s="168">
        <f t="shared" si="430"/>
        <v>0</v>
      </c>
      <c r="AY241" s="168">
        <f t="shared" si="430"/>
        <v>0</v>
      </c>
      <c r="AZ241" s="168">
        <f t="shared" si="430"/>
        <v>0</v>
      </c>
      <c r="BA241" s="168">
        <f t="shared" si="430"/>
        <v>0</v>
      </c>
      <c r="BB241" s="168">
        <f t="shared" si="430"/>
        <v>0</v>
      </c>
      <c r="BC241" s="168">
        <f t="shared" si="430"/>
        <v>0</v>
      </c>
      <c r="BD241" s="168">
        <f t="shared" si="430"/>
        <v>0</v>
      </c>
      <c r="BE241" s="168">
        <f t="shared" si="430"/>
        <v>0</v>
      </c>
      <c r="BF241" s="168">
        <f t="shared" si="430"/>
        <v>0</v>
      </c>
      <c r="BG241" s="168">
        <f t="shared" si="430"/>
        <v>0</v>
      </c>
      <c r="BH241" s="168">
        <f t="shared" si="430"/>
        <v>0</v>
      </c>
      <c r="BI241" s="168">
        <f t="shared" si="430"/>
        <v>0</v>
      </c>
      <c r="BJ241" s="168">
        <f t="shared" si="430"/>
        <v>0</v>
      </c>
      <c r="BK241" s="168">
        <f t="shared" si="430"/>
        <v>0</v>
      </c>
      <c r="BL241" s="168">
        <f t="shared" si="430"/>
        <v>0</v>
      </c>
      <c r="BM241" s="168">
        <f t="shared" si="430"/>
        <v>0</v>
      </c>
      <c r="BN241" s="168">
        <f t="shared" si="430"/>
        <v>0</v>
      </c>
      <c r="BO241" s="168">
        <f t="shared" ref="BO241:CE241" si="431">BO154-BO68</f>
        <v>0</v>
      </c>
      <c r="BP241" s="168">
        <f t="shared" si="431"/>
        <v>0</v>
      </c>
      <c r="BQ241" s="168">
        <f t="shared" si="431"/>
        <v>0</v>
      </c>
      <c r="BR241" s="168">
        <f t="shared" si="431"/>
        <v>0</v>
      </c>
      <c r="BS241" s="168">
        <f t="shared" si="431"/>
        <v>0</v>
      </c>
      <c r="BT241" s="168">
        <f t="shared" si="431"/>
        <v>0</v>
      </c>
      <c r="BU241" s="168">
        <f t="shared" si="431"/>
        <v>0</v>
      </c>
      <c r="BV241" s="168">
        <f t="shared" si="431"/>
        <v>0</v>
      </c>
      <c r="BW241" s="168">
        <f t="shared" si="431"/>
        <v>0</v>
      </c>
      <c r="BX241" s="168">
        <f t="shared" si="431"/>
        <v>0</v>
      </c>
      <c r="BY241" s="168">
        <f t="shared" si="431"/>
        <v>0</v>
      </c>
      <c r="BZ241" s="168">
        <f t="shared" si="431"/>
        <v>0</v>
      </c>
      <c r="CA241" s="168">
        <f t="shared" si="431"/>
        <v>0</v>
      </c>
      <c r="CB241" s="168">
        <f t="shared" si="431"/>
        <v>0</v>
      </c>
      <c r="CC241" s="168">
        <f t="shared" si="431"/>
        <v>0</v>
      </c>
      <c r="CD241" s="168">
        <f t="shared" si="431"/>
        <v>0</v>
      </c>
      <c r="CE241" s="168">
        <f t="shared" si="431"/>
        <v>0</v>
      </c>
    </row>
    <row r="242" spans="1:83" ht="15.5">
      <c r="A242" s="160">
        <v>13</v>
      </c>
      <c r="B242" s="163" t="s">
        <v>140</v>
      </c>
      <c r="C242" s="168">
        <f t="shared" ref="C242:BN242" si="432">C155-C69</f>
        <v>0</v>
      </c>
      <c r="D242" s="168">
        <f t="shared" si="432"/>
        <v>0</v>
      </c>
      <c r="E242" s="168">
        <f t="shared" si="432"/>
        <v>0</v>
      </c>
      <c r="F242" s="168">
        <f t="shared" si="432"/>
        <v>0</v>
      </c>
      <c r="G242" s="168">
        <f t="shared" si="432"/>
        <v>0</v>
      </c>
      <c r="H242" s="168">
        <f t="shared" si="432"/>
        <v>0</v>
      </c>
      <c r="I242" s="168">
        <f t="shared" si="432"/>
        <v>0</v>
      </c>
      <c r="J242" s="168">
        <f t="shared" si="432"/>
        <v>0</v>
      </c>
      <c r="K242" s="168">
        <f t="shared" si="432"/>
        <v>0</v>
      </c>
      <c r="L242" s="168">
        <f t="shared" si="432"/>
        <v>0</v>
      </c>
      <c r="M242" s="168">
        <f t="shared" si="432"/>
        <v>0</v>
      </c>
      <c r="N242" s="168">
        <f t="shared" si="432"/>
        <v>0</v>
      </c>
      <c r="O242" s="168">
        <f t="shared" si="432"/>
        <v>0</v>
      </c>
      <c r="P242" s="168">
        <f t="shared" si="432"/>
        <v>0</v>
      </c>
      <c r="Q242" s="168">
        <f t="shared" si="432"/>
        <v>0</v>
      </c>
      <c r="R242" s="168">
        <f t="shared" si="432"/>
        <v>0</v>
      </c>
      <c r="S242" s="168">
        <f t="shared" si="432"/>
        <v>0</v>
      </c>
      <c r="T242" s="168">
        <f t="shared" si="432"/>
        <v>0</v>
      </c>
      <c r="U242" s="168">
        <f t="shared" si="432"/>
        <v>0</v>
      </c>
      <c r="V242" s="168">
        <f t="shared" si="432"/>
        <v>0</v>
      </c>
      <c r="W242" s="168">
        <f t="shared" si="432"/>
        <v>0</v>
      </c>
      <c r="X242" s="168">
        <f t="shared" si="432"/>
        <v>0</v>
      </c>
      <c r="Y242" s="168">
        <f t="shared" si="432"/>
        <v>0</v>
      </c>
      <c r="Z242" s="168">
        <f t="shared" si="432"/>
        <v>0</v>
      </c>
      <c r="AA242" s="168">
        <f t="shared" si="432"/>
        <v>0</v>
      </c>
      <c r="AB242" s="168">
        <f t="shared" si="432"/>
        <v>0</v>
      </c>
      <c r="AC242" s="168">
        <f t="shared" si="432"/>
        <v>0</v>
      </c>
      <c r="AD242" s="168">
        <f t="shared" si="432"/>
        <v>0</v>
      </c>
      <c r="AE242" s="168">
        <f t="shared" si="432"/>
        <v>0</v>
      </c>
      <c r="AF242" s="168">
        <f t="shared" si="432"/>
        <v>0</v>
      </c>
      <c r="AG242" s="168">
        <f t="shared" si="432"/>
        <v>0</v>
      </c>
      <c r="AH242" s="168">
        <f t="shared" si="432"/>
        <v>0</v>
      </c>
      <c r="AI242" s="168">
        <f t="shared" si="432"/>
        <v>0</v>
      </c>
      <c r="AJ242" s="168">
        <f t="shared" si="432"/>
        <v>0</v>
      </c>
      <c r="AK242" s="168">
        <f t="shared" si="432"/>
        <v>0</v>
      </c>
      <c r="AL242" s="168">
        <f t="shared" si="432"/>
        <v>0</v>
      </c>
      <c r="AM242" s="168">
        <f t="shared" si="432"/>
        <v>0</v>
      </c>
      <c r="AN242" s="168">
        <f t="shared" si="432"/>
        <v>0</v>
      </c>
      <c r="AO242" s="168">
        <f t="shared" si="432"/>
        <v>0</v>
      </c>
      <c r="AP242" s="168">
        <f t="shared" si="432"/>
        <v>0</v>
      </c>
      <c r="AQ242" s="168">
        <f t="shared" si="432"/>
        <v>0</v>
      </c>
      <c r="AR242" s="168">
        <f t="shared" si="432"/>
        <v>0</v>
      </c>
      <c r="AS242" s="168">
        <f t="shared" si="432"/>
        <v>0</v>
      </c>
      <c r="AT242" s="168">
        <f t="shared" si="432"/>
        <v>0</v>
      </c>
      <c r="AU242" s="168">
        <f t="shared" si="432"/>
        <v>0</v>
      </c>
      <c r="AV242" s="168">
        <f t="shared" si="432"/>
        <v>0</v>
      </c>
      <c r="AW242" s="168">
        <f t="shared" si="432"/>
        <v>0</v>
      </c>
      <c r="AX242" s="168">
        <f t="shared" si="432"/>
        <v>0</v>
      </c>
      <c r="AY242" s="168">
        <f t="shared" si="432"/>
        <v>0</v>
      </c>
      <c r="AZ242" s="168">
        <f t="shared" si="432"/>
        <v>0</v>
      </c>
      <c r="BA242" s="168">
        <f t="shared" si="432"/>
        <v>0</v>
      </c>
      <c r="BB242" s="168">
        <f t="shared" si="432"/>
        <v>0</v>
      </c>
      <c r="BC242" s="168">
        <f t="shared" si="432"/>
        <v>0</v>
      </c>
      <c r="BD242" s="168">
        <f t="shared" si="432"/>
        <v>0</v>
      </c>
      <c r="BE242" s="168">
        <f t="shared" si="432"/>
        <v>0</v>
      </c>
      <c r="BF242" s="168">
        <f t="shared" si="432"/>
        <v>0</v>
      </c>
      <c r="BG242" s="168">
        <f t="shared" si="432"/>
        <v>0</v>
      </c>
      <c r="BH242" s="168">
        <f t="shared" si="432"/>
        <v>0</v>
      </c>
      <c r="BI242" s="168">
        <f t="shared" si="432"/>
        <v>0</v>
      </c>
      <c r="BJ242" s="168">
        <f t="shared" si="432"/>
        <v>0</v>
      </c>
      <c r="BK242" s="168">
        <f t="shared" si="432"/>
        <v>0</v>
      </c>
      <c r="BL242" s="168">
        <f t="shared" si="432"/>
        <v>0</v>
      </c>
      <c r="BM242" s="168">
        <f t="shared" si="432"/>
        <v>0</v>
      </c>
      <c r="BN242" s="168">
        <f t="shared" si="432"/>
        <v>0</v>
      </c>
      <c r="BO242" s="168">
        <f t="shared" ref="BO242:CE242" si="433">BO155-BO69</f>
        <v>0</v>
      </c>
      <c r="BP242" s="168">
        <f t="shared" si="433"/>
        <v>0</v>
      </c>
      <c r="BQ242" s="168">
        <f t="shared" si="433"/>
        <v>0</v>
      </c>
      <c r="BR242" s="168">
        <f t="shared" si="433"/>
        <v>0</v>
      </c>
      <c r="BS242" s="168">
        <f t="shared" si="433"/>
        <v>0</v>
      </c>
      <c r="BT242" s="168">
        <f t="shared" si="433"/>
        <v>0</v>
      </c>
      <c r="BU242" s="168">
        <f t="shared" si="433"/>
        <v>0</v>
      </c>
      <c r="BV242" s="168">
        <f t="shared" si="433"/>
        <v>0</v>
      </c>
      <c r="BW242" s="168">
        <f t="shared" si="433"/>
        <v>0</v>
      </c>
      <c r="BX242" s="168">
        <f t="shared" si="433"/>
        <v>0</v>
      </c>
      <c r="BY242" s="168">
        <f t="shared" si="433"/>
        <v>0</v>
      </c>
      <c r="BZ242" s="168">
        <f t="shared" si="433"/>
        <v>0</v>
      </c>
      <c r="CA242" s="168">
        <f t="shared" si="433"/>
        <v>0</v>
      </c>
      <c r="CB242" s="168">
        <f t="shared" si="433"/>
        <v>0</v>
      </c>
      <c r="CC242" s="168">
        <f t="shared" si="433"/>
        <v>0</v>
      </c>
      <c r="CD242" s="168">
        <f t="shared" si="433"/>
        <v>0</v>
      </c>
      <c r="CE242" s="168">
        <f t="shared" si="433"/>
        <v>0</v>
      </c>
    </row>
    <row r="243" spans="1:83" ht="15.5">
      <c r="A243" s="160">
        <v>13</v>
      </c>
      <c r="B243" s="164" t="s">
        <v>195</v>
      </c>
      <c r="C243" s="168">
        <f t="shared" ref="C243:BN243" si="434">C156-C70</f>
        <v>0</v>
      </c>
      <c r="D243" s="168">
        <f t="shared" si="434"/>
        <v>0</v>
      </c>
      <c r="E243" s="168">
        <f t="shared" si="434"/>
        <v>0</v>
      </c>
      <c r="F243" s="168">
        <f t="shared" si="434"/>
        <v>0</v>
      </c>
      <c r="G243" s="168">
        <f t="shared" si="434"/>
        <v>0</v>
      </c>
      <c r="H243" s="168">
        <f t="shared" si="434"/>
        <v>0</v>
      </c>
      <c r="I243" s="168">
        <f t="shared" si="434"/>
        <v>0</v>
      </c>
      <c r="J243" s="168">
        <f t="shared" si="434"/>
        <v>0</v>
      </c>
      <c r="K243" s="168">
        <f t="shared" si="434"/>
        <v>0</v>
      </c>
      <c r="L243" s="168">
        <f t="shared" si="434"/>
        <v>0</v>
      </c>
      <c r="M243" s="168">
        <f t="shared" si="434"/>
        <v>0</v>
      </c>
      <c r="N243" s="168">
        <f t="shared" si="434"/>
        <v>0</v>
      </c>
      <c r="O243" s="168">
        <f t="shared" si="434"/>
        <v>0</v>
      </c>
      <c r="P243" s="168">
        <f t="shared" si="434"/>
        <v>0</v>
      </c>
      <c r="Q243" s="168">
        <f t="shared" si="434"/>
        <v>0</v>
      </c>
      <c r="R243" s="168">
        <f t="shared" si="434"/>
        <v>0</v>
      </c>
      <c r="S243" s="168">
        <f t="shared" si="434"/>
        <v>0</v>
      </c>
      <c r="T243" s="168">
        <f t="shared" si="434"/>
        <v>0</v>
      </c>
      <c r="U243" s="168">
        <f t="shared" si="434"/>
        <v>0</v>
      </c>
      <c r="V243" s="168">
        <f t="shared" si="434"/>
        <v>0</v>
      </c>
      <c r="W243" s="168">
        <f t="shared" si="434"/>
        <v>0</v>
      </c>
      <c r="X243" s="168">
        <f t="shared" si="434"/>
        <v>0</v>
      </c>
      <c r="Y243" s="168">
        <f t="shared" si="434"/>
        <v>0</v>
      </c>
      <c r="Z243" s="168">
        <f t="shared" si="434"/>
        <v>0</v>
      </c>
      <c r="AA243" s="168">
        <f t="shared" si="434"/>
        <v>0</v>
      </c>
      <c r="AB243" s="168">
        <f t="shared" si="434"/>
        <v>0</v>
      </c>
      <c r="AC243" s="168">
        <f t="shared" si="434"/>
        <v>0</v>
      </c>
      <c r="AD243" s="168">
        <f t="shared" si="434"/>
        <v>0</v>
      </c>
      <c r="AE243" s="168">
        <f t="shared" si="434"/>
        <v>0</v>
      </c>
      <c r="AF243" s="168">
        <f t="shared" si="434"/>
        <v>0</v>
      </c>
      <c r="AG243" s="168">
        <f t="shared" si="434"/>
        <v>0</v>
      </c>
      <c r="AH243" s="168">
        <f t="shared" si="434"/>
        <v>0</v>
      </c>
      <c r="AI243" s="168">
        <f t="shared" si="434"/>
        <v>0</v>
      </c>
      <c r="AJ243" s="168">
        <f t="shared" si="434"/>
        <v>0</v>
      </c>
      <c r="AK243" s="168">
        <f t="shared" si="434"/>
        <v>0</v>
      </c>
      <c r="AL243" s="168">
        <f t="shared" si="434"/>
        <v>0</v>
      </c>
      <c r="AM243" s="168">
        <f t="shared" si="434"/>
        <v>0</v>
      </c>
      <c r="AN243" s="168">
        <f t="shared" si="434"/>
        <v>0</v>
      </c>
      <c r="AO243" s="168">
        <f t="shared" si="434"/>
        <v>0</v>
      </c>
      <c r="AP243" s="168">
        <f t="shared" si="434"/>
        <v>0</v>
      </c>
      <c r="AQ243" s="168">
        <f t="shared" si="434"/>
        <v>0</v>
      </c>
      <c r="AR243" s="168">
        <f t="shared" si="434"/>
        <v>0</v>
      </c>
      <c r="AS243" s="168">
        <f t="shared" si="434"/>
        <v>0</v>
      </c>
      <c r="AT243" s="168">
        <f t="shared" si="434"/>
        <v>0</v>
      </c>
      <c r="AU243" s="168">
        <f t="shared" si="434"/>
        <v>0</v>
      </c>
      <c r="AV243" s="168">
        <f t="shared" si="434"/>
        <v>0</v>
      </c>
      <c r="AW243" s="168">
        <f t="shared" si="434"/>
        <v>0</v>
      </c>
      <c r="AX243" s="168">
        <f t="shared" si="434"/>
        <v>0</v>
      </c>
      <c r="AY243" s="168">
        <f t="shared" si="434"/>
        <v>0</v>
      </c>
      <c r="AZ243" s="168">
        <f t="shared" si="434"/>
        <v>0</v>
      </c>
      <c r="BA243" s="168">
        <f t="shared" si="434"/>
        <v>0</v>
      </c>
      <c r="BB243" s="168">
        <f t="shared" si="434"/>
        <v>0</v>
      </c>
      <c r="BC243" s="168">
        <f t="shared" si="434"/>
        <v>0</v>
      </c>
      <c r="BD243" s="168">
        <f t="shared" si="434"/>
        <v>0</v>
      </c>
      <c r="BE243" s="168">
        <f t="shared" si="434"/>
        <v>0</v>
      </c>
      <c r="BF243" s="168">
        <f t="shared" si="434"/>
        <v>0</v>
      </c>
      <c r="BG243" s="168">
        <f t="shared" si="434"/>
        <v>0</v>
      </c>
      <c r="BH243" s="168">
        <f t="shared" si="434"/>
        <v>0</v>
      </c>
      <c r="BI243" s="168">
        <f t="shared" si="434"/>
        <v>0</v>
      </c>
      <c r="BJ243" s="168">
        <f t="shared" si="434"/>
        <v>0</v>
      </c>
      <c r="BK243" s="168">
        <f t="shared" si="434"/>
        <v>0</v>
      </c>
      <c r="BL243" s="168">
        <f t="shared" si="434"/>
        <v>0</v>
      </c>
      <c r="BM243" s="168">
        <f t="shared" si="434"/>
        <v>0</v>
      </c>
      <c r="BN243" s="168">
        <f t="shared" si="434"/>
        <v>0</v>
      </c>
      <c r="BO243" s="168">
        <f t="shared" ref="BO243:CE243" si="435">BO156-BO70</f>
        <v>0</v>
      </c>
      <c r="BP243" s="168">
        <f t="shared" si="435"/>
        <v>0</v>
      </c>
      <c r="BQ243" s="168">
        <f t="shared" si="435"/>
        <v>0</v>
      </c>
      <c r="BR243" s="168">
        <f t="shared" si="435"/>
        <v>0</v>
      </c>
      <c r="BS243" s="168">
        <f t="shared" si="435"/>
        <v>0</v>
      </c>
      <c r="BT243" s="168">
        <f t="shared" si="435"/>
        <v>0</v>
      </c>
      <c r="BU243" s="168">
        <f t="shared" si="435"/>
        <v>0</v>
      </c>
      <c r="BV243" s="168">
        <f t="shared" si="435"/>
        <v>0</v>
      </c>
      <c r="BW243" s="168">
        <f t="shared" si="435"/>
        <v>0</v>
      </c>
      <c r="BX243" s="168">
        <f t="shared" si="435"/>
        <v>0</v>
      </c>
      <c r="BY243" s="168">
        <f t="shared" si="435"/>
        <v>0</v>
      </c>
      <c r="BZ243" s="168">
        <f t="shared" si="435"/>
        <v>0</v>
      </c>
      <c r="CA243" s="168">
        <f t="shared" si="435"/>
        <v>0</v>
      </c>
      <c r="CB243" s="168">
        <f t="shared" si="435"/>
        <v>0</v>
      </c>
      <c r="CC243" s="168">
        <f t="shared" si="435"/>
        <v>0</v>
      </c>
      <c r="CD243" s="168">
        <f t="shared" si="435"/>
        <v>0</v>
      </c>
      <c r="CE243" s="168">
        <f t="shared" si="435"/>
        <v>0</v>
      </c>
    </row>
    <row r="244" spans="1:83" ht="15.5">
      <c r="A244" s="160">
        <v>13</v>
      </c>
      <c r="B244" s="165" t="s">
        <v>196</v>
      </c>
      <c r="C244" s="168">
        <f t="shared" ref="C244:BN244" si="436">C157-C71</f>
        <v>0</v>
      </c>
      <c r="D244" s="168">
        <f t="shared" si="436"/>
        <v>0</v>
      </c>
      <c r="E244" s="168">
        <f t="shared" si="436"/>
        <v>0</v>
      </c>
      <c r="F244" s="168">
        <f t="shared" si="436"/>
        <v>0</v>
      </c>
      <c r="G244" s="168">
        <f t="shared" si="436"/>
        <v>0</v>
      </c>
      <c r="H244" s="168">
        <f t="shared" si="436"/>
        <v>0</v>
      </c>
      <c r="I244" s="168">
        <f t="shared" si="436"/>
        <v>0</v>
      </c>
      <c r="J244" s="168">
        <f t="shared" si="436"/>
        <v>0</v>
      </c>
      <c r="K244" s="168">
        <f t="shared" si="436"/>
        <v>0</v>
      </c>
      <c r="L244" s="168">
        <f t="shared" si="436"/>
        <v>0</v>
      </c>
      <c r="M244" s="168">
        <f t="shared" si="436"/>
        <v>0</v>
      </c>
      <c r="N244" s="168">
        <f t="shared" si="436"/>
        <v>0</v>
      </c>
      <c r="O244" s="168">
        <f t="shared" si="436"/>
        <v>0</v>
      </c>
      <c r="P244" s="168">
        <f t="shared" si="436"/>
        <v>0</v>
      </c>
      <c r="Q244" s="168">
        <f t="shared" si="436"/>
        <v>0</v>
      </c>
      <c r="R244" s="168">
        <f t="shared" si="436"/>
        <v>0</v>
      </c>
      <c r="S244" s="168">
        <f t="shared" si="436"/>
        <v>0</v>
      </c>
      <c r="T244" s="168">
        <f t="shared" si="436"/>
        <v>0</v>
      </c>
      <c r="U244" s="168">
        <f t="shared" si="436"/>
        <v>0</v>
      </c>
      <c r="V244" s="168">
        <f t="shared" si="436"/>
        <v>0</v>
      </c>
      <c r="W244" s="168">
        <f t="shared" si="436"/>
        <v>0</v>
      </c>
      <c r="X244" s="168">
        <f t="shared" si="436"/>
        <v>0</v>
      </c>
      <c r="Y244" s="168">
        <f t="shared" si="436"/>
        <v>0</v>
      </c>
      <c r="Z244" s="168">
        <f t="shared" si="436"/>
        <v>0</v>
      </c>
      <c r="AA244" s="168">
        <f t="shared" si="436"/>
        <v>0</v>
      </c>
      <c r="AB244" s="168">
        <f t="shared" si="436"/>
        <v>0</v>
      </c>
      <c r="AC244" s="168">
        <f t="shared" si="436"/>
        <v>0</v>
      </c>
      <c r="AD244" s="168">
        <f t="shared" si="436"/>
        <v>0</v>
      </c>
      <c r="AE244" s="168">
        <f t="shared" si="436"/>
        <v>0</v>
      </c>
      <c r="AF244" s="168">
        <f t="shared" si="436"/>
        <v>0</v>
      </c>
      <c r="AG244" s="168">
        <f t="shared" si="436"/>
        <v>0</v>
      </c>
      <c r="AH244" s="168">
        <f t="shared" si="436"/>
        <v>0</v>
      </c>
      <c r="AI244" s="168">
        <f t="shared" si="436"/>
        <v>0</v>
      </c>
      <c r="AJ244" s="168">
        <f t="shared" si="436"/>
        <v>0</v>
      </c>
      <c r="AK244" s="168">
        <f t="shared" si="436"/>
        <v>0</v>
      </c>
      <c r="AL244" s="168">
        <f t="shared" si="436"/>
        <v>0</v>
      </c>
      <c r="AM244" s="168">
        <f t="shared" si="436"/>
        <v>0</v>
      </c>
      <c r="AN244" s="168">
        <f t="shared" si="436"/>
        <v>0</v>
      </c>
      <c r="AO244" s="168">
        <f t="shared" si="436"/>
        <v>0</v>
      </c>
      <c r="AP244" s="168">
        <f t="shared" si="436"/>
        <v>0</v>
      </c>
      <c r="AQ244" s="168">
        <f t="shared" si="436"/>
        <v>0</v>
      </c>
      <c r="AR244" s="168">
        <f t="shared" si="436"/>
        <v>0</v>
      </c>
      <c r="AS244" s="168">
        <f t="shared" si="436"/>
        <v>0</v>
      </c>
      <c r="AT244" s="168">
        <f t="shared" si="436"/>
        <v>0</v>
      </c>
      <c r="AU244" s="168">
        <f t="shared" si="436"/>
        <v>0</v>
      </c>
      <c r="AV244" s="168">
        <f t="shared" si="436"/>
        <v>0</v>
      </c>
      <c r="AW244" s="168">
        <f t="shared" si="436"/>
        <v>0</v>
      </c>
      <c r="AX244" s="168">
        <f t="shared" si="436"/>
        <v>0</v>
      </c>
      <c r="AY244" s="168">
        <f t="shared" si="436"/>
        <v>0</v>
      </c>
      <c r="AZ244" s="168">
        <f t="shared" si="436"/>
        <v>0</v>
      </c>
      <c r="BA244" s="168">
        <f t="shared" si="436"/>
        <v>0</v>
      </c>
      <c r="BB244" s="168">
        <f t="shared" si="436"/>
        <v>0</v>
      </c>
      <c r="BC244" s="168">
        <f t="shared" si="436"/>
        <v>0</v>
      </c>
      <c r="BD244" s="168">
        <f t="shared" si="436"/>
        <v>0</v>
      </c>
      <c r="BE244" s="168">
        <f t="shared" si="436"/>
        <v>0</v>
      </c>
      <c r="BF244" s="168">
        <f t="shared" si="436"/>
        <v>0</v>
      </c>
      <c r="BG244" s="168">
        <f t="shared" si="436"/>
        <v>0</v>
      </c>
      <c r="BH244" s="168">
        <f t="shared" si="436"/>
        <v>0</v>
      </c>
      <c r="BI244" s="168">
        <f t="shared" si="436"/>
        <v>0</v>
      </c>
      <c r="BJ244" s="168">
        <f t="shared" si="436"/>
        <v>0</v>
      </c>
      <c r="BK244" s="168">
        <f t="shared" si="436"/>
        <v>0</v>
      </c>
      <c r="BL244" s="168">
        <f t="shared" si="436"/>
        <v>0</v>
      </c>
      <c r="BM244" s="168">
        <f t="shared" si="436"/>
        <v>0</v>
      </c>
      <c r="BN244" s="168">
        <f t="shared" si="436"/>
        <v>0</v>
      </c>
      <c r="BO244" s="168">
        <f t="shared" ref="BO244:CE244" si="437">BO157-BO71</f>
        <v>0</v>
      </c>
      <c r="BP244" s="168">
        <f t="shared" si="437"/>
        <v>0</v>
      </c>
      <c r="BQ244" s="168">
        <f t="shared" si="437"/>
        <v>0</v>
      </c>
      <c r="BR244" s="168">
        <f t="shared" si="437"/>
        <v>0</v>
      </c>
      <c r="BS244" s="168">
        <f t="shared" si="437"/>
        <v>0</v>
      </c>
      <c r="BT244" s="168">
        <f t="shared" si="437"/>
        <v>0</v>
      </c>
      <c r="BU244" s="168">
        <f t="shared" si="437"/>
        <v>0</v>
      </c>
      <c r="BV244" s="168">
        <f t="shared" si="437"/>
        <v>0</v>
      </c>
      <c r="BW244" s="168">
        <f t="shared" si="437"/>
        <v>0</v>
      </c>
      <c r="BX244" s="168">
        <f t="shared" si="437"/>
        <v>0</v>
      </c>
      <c r="BY244" s="168">
        <f t="shared" si="437"/>
        <v>0</v>
      </c>
      <c r="BZ244" s="168">
        <f t="shared" si="437"/>
        <v>0</v>
      </c>
      <c r="CA244" s="168">
        <f t="shared" si="437"/>
        <v>0</v>
      </c>
      <c r="CB244" s="168">
        <f t="shared" si="437"/>
        <v>0</v>
      </c>
      <c r="CC244" s="168">
        <f t="shared" si="437"/>
        <v>0</v>
      </c>
      <c r="CD244" s="168">
        <f t="shared" si="437"/>
        <v>0</v>
      </c>
      <c r="CE244" s="168">
        <f t="shared" si="437"/>
        <v>0</v>
      </c>
    </row>
    <row r="245" spans="1:83" ht="15.5">
      <c r="A245" s="166"/>
      <c r="B245" s="167"/>
      <c r="C245" s="168">
        <f t="shared" ref="C245:BN245" si="438">C158-C72</f>
        <v>0</v>
      </c>
      <c r="D245" s="168">
        <f t="shared" si="438"/>
        <v>0</v>
      </c>
      <c r="E245" s="168">
        <f t="shared" si="438"/>
        <v>0</v>
      </c>
      <c r="F245" s="168">
        <f t="shared" si="438"/>
        <v>0</v>
      </c>
      <c r="G245" s="168">
        <f t="shared" si="438"/>
        <v>0</v>
      </c>
      <c r="H245" s="168">
        <f t="shared" si="438"/>
        <v>0</v>
      </c>
      <c r="I245" s="168">
        <f t="shared" si="438"/>
        <v>0</v>
      </c>
      <c r="J245" s="168">
        <f t="shared" si="438"/>
        <v>0</v>
      </c>
      <c r="K245" s="168">
        <f t="shared" si="438"/>
        <v>0</v>
      </c>
      <c r="L245" s="168">
        <f t="shared" si="438"/>
        <v>0</v>
      </c>
      <c r="M245" s="168">
        <f t="shared" si="438"/>
        <v>0</v>
      </c>
      <c r="N245" s="168">
        <f t="shared" si="438"/>
        <v>0</v>
      </c>
      <c r="O245" s="168">
        <f t="shared" si="438"/>
        <v>0</v>
      </c>
      <c r="P245" s="168">
        <f t="shared" si="438"/>
        <v>0</v>
      </c>
      <c r="Q245" s="168">
        <f t="shared" si="438"/>
        <v>0</v>
      </c>
      <c r="R245" s="168">
        <f t="shared" si="438"/>
        <v>0</v>
      </c>
      <c r="S245" s="168">
        <f t="shared" si="438"/>
        <v>0</v>
      </c>
      <c r="T245" s="168">
        <f t="shared" si="438"/>
        <v>0</v>
      </c>
      <c r="U245" s="168">
        <f t="shared" si="438"/>
        <v>0</v>
      </c>
      <c r="V245" s="168">
        <f t="shared" si="438"/>
        <v>0</v>
      </c>
      <c r="W245" s="168">
        <f t="shared" si="438"/>
        <v>0</v>
      </c>
      <c r="X245" s="168">
        <f t="shared" si="438"/>
        <v>0</v>
      </c>
      <c r="Y245" s="168">
        <f t="shared" si="438"/>
        <v>0</v>
      </c>
      <c r="Z245" s="168">
        <f t="shared" si="438"/>
        <v>0</v>
      </c>
      <c r="AA245" s="168">
        <f t="shared" si="438"/>
        <v>0</v>
      </c>
      <c r="AB245" s="168">
        <f t="shared" si="438"/>
        <v>0</v>
      </c>
      <c r="AC245" s="168">
        <f t="shared" si="438"/>
        <v>0</v>
      </c>
      <c r="AD245" s="168">
        <f t="shared" si="438"/>
        <v>0</v>
      </c>
      <c r="AE245" s="168">
        <f t="shared" si="438"/>
        <v>0</v>
      </c>
      <c r="AF245" s="168">
        <f t="shared" si="438"/>
        <v>0</v>
      </c>
      <c r="AG245" s="168">
        <f t="shared" si="438"/>
        <v>0</v>
      </c>
      <c r="AH245" s="168">
        <f t="shared" si="438"/>
        <v>0</v>
      </c>
      <c r="AI245" s="168">
        <f t="shared" si="438"/>
        <v>0</v>
      </c>
      <c r="AJ245" s="168">
        <f t="shared" si="438"/>
        <v>0</v>
      </c>
      <c r="AK245" s="168">
        <f t="shared" si="438"/>
        <v>0</v>
      </c>
      <c r="AL245" s="168">
        <f t="shared" si="438"/>
        <v>0</v>
      </c>
      <c r="AM245" s="168">
        <f t="shared" si="438"/>
        <v>0</v>
      </c>
      <c r="AN245" s="168">
        <f t="shared" si="438"/>
        <v>0</v>
      </c>
      <c r="AO245" s="168">
        <f t="shared" si="438"/>
        <v>0</v>
      </c>
      <c r="AP245" s="168">
        <f t="shared" si="438"/>
        <v>0</v>
      </c>
      <c r="AQ245" s="168">
        <f t="shared" si="438"/>
        <v>0</v>
      </c>
      <c r="AR245" s="168">
        <f t="shared" si="438"/>
        <v>0</v>
      </c>
      <c r="AS245" s="168">
        <f t="shared" si="438"/>
        <v>0</v>
      </c>
      <c r="AT245" s="168">
        <f t="shared" si="438"/>
        <v>0</v>
      </c>
      <c r="AU245" s="168">
        <f t="shared" si="438"/>
        <v>0</v>
      </c>
      <c r="AV245" s="168">
        <f t="shared" si="438"/>
        <v>0</v>
      </c>
      <c r="AW245" s="168">
        <f t="shared" si="438"/>
        <v>0</v>
      </c>
      <c r="AX245" s="168">
        <f t="shared" si="438"/>
        <v>0</v>
      </c>
      <c r="AY245" s="168">
        <f t="shared" si="438"/>
        <v>0</v>
      </c>
      <c r="AZ245" s="168">
        <f t="shared" si="438"/>
        <v>0</v>
      </c>
      <c r="BA245" s="168">
        <f t="shared" si="438"/>
        <v>0</v>
      </c>
      <c r="BB245" s="168">
        <f t="shared" si="438"/>
        <v>0</v>
      </c>
      <c r="BC245" s="168">
        <f t="shared" si="438"/>
        <v>0</v>
      </c>
      <c r="BD245" s="168">
        <f t="shared" si="438"/>
        <v>0</v>
      </c>
      <c r="BE245" s="168">
        <f t="shared" si="438"/>
        <v>0</v>
      </c>
      <c r="BF245" s="168">
        <f t="shared" si="438"/>
        <v>0</v>
      </c>
      <c r="BG245" s="168">
        <f t="shared" si="438"/>
        <v>0</v>
      </c>
      <c r="BH245" s="168">
        <f t="shared" si="438"/>
        <v>0</v>
      </c>
      <c r="BI245" s="168">
        <f t="shared" si="438"/>
        <v>0</v>
      </c>
      <c r="BJ245" s="168">
        <f t="shared" si="438"/>
        <v>0</v>
      </c>
      <c r="BK245" s="168">
        <f t="shared" si="438"/>
        <v>0</v>
      </c>
      <c r="BL245" s="168">
        <f t="shared" si="438"/>
        <v>0</v>
      </c>
      <c r="BM245" s="168">
        <f t="shared" si="438"/>
        <v>0</v>
      </c>
      <c r="BN245" s="168">
        <f t="shared" si="438"/>
        <v>0</v>
      </c>
      <c r="BO245" s="168">
        <f t="shared" ref="BO245:CE245" si="439">BO158-BO72</f>
        <v>0</v>
      </c>
      <c r="BP245" s="168">
        <f t="shared" si="439"/>
        <v>0</v>
      </c>
      <c r="BQ245" s="168">
        <f t="shared" si="439"/>
        <v>0</v>
      </c>
      <c r="BR245" s="168">
        <f t="shared" si="439"/>
        <v>0</v>
      </c>
      <c r="BS245" s="168">
        <f t="shared" si="439"/>
        <v>0</v>
      </c>
      <c r="BT245" s="168">
        <f t="shared" si="439"/>
        <v>0</v>
      </c>
      <c r="BU245" s="168">
        <f t="shared" si="439"/>
        <v>0</v>
      </c>
      <c r="BV245" s="168">
        <f t="shared" si="439"/>
        <v>0</v>
      </c>
      <c r="BW245" s="168">
        <f t="shared" si="439"/>
        <v>0</v>
      </c>
      <c r="BX245" s="168">
        <f t="shared" si="439"/>
        <v>0</v>
      </c>
      <c r="BY245" s="168">
        <f t="shared" si="439"/>
        <v>0</v>
      </c>
      <c r="BZ245" s="168">
        <f t="shared" si="439"/>
        <v>0</v>
      </c>
      <c r="CA245" s="168">
        <f t="shared" si="439"/>
        <v>0</v>
      </c>
      <c r="CB245" s="168">
        <f t="shared" si="439"/>
        <v>0</v>
      </c>
      <c r="CC245" s="168">
        <f t="shared" si="439"/>
        <v>0</v>
      </c>
      <c r="CD245" s="168">
        <f t="shared" si="439"/>
        <v>0</v>
      </c>
      <c r="CE245" s="168">
        <f t="shared" si="439"/>
        <v>0</v>
      </c>
    </row>
    <row r="246" spans="1:83" ht="21">
      <c r="A246" s="158">
        <v>2</v>
      </c>
      <c r="B246" s="159" t="s">
        <v>3</v>
      </c>
      <c r="C246" s="168">
        <f t="shared" ref="C246:BN246" si="440">C159-C73</f>
        <v>0</v>
      </c>
      <c r="D246" s="168">
        <f t="shared" si="440"/>
        <v>0</v>
      </c>
      <c r="E246" s="168">
        <f t="shared" si="440"/>
        <v>0</v>
      </c>
      <c r="F246" s="168">
        <f t="shared" si="440"/>
        <v>0</v>
      </c>
      <c r="G246" s="168">
        <f t="shared" si="440"/>
        <v>0</v>
      </c>
      <c r="H246" s="168">
        <f t="shared" si="440"/>
        <v>0</v>
      </c>
      <c r="I246" s="168">
        <f t="shared" si="440"/>
        <v>0</v>
      </c>
      <c r="J246" s="168">
        <f t="shared" si="440"/>
        <v>0</v>
      </c>
      <c r="K246" s="168">
        <f t="shared" si="440"/>
        <v>0</v>
      </c>
      <c r="L246" s="168">
        <f t="shared" si="440"/>
        <v>0</v>
      </c>
      <c r="M246" s="168">
        <f t="shared" si="440"/>
        <v>0</v>
      </c>
      <c r="N246" s="168">
        <f t="shared" si="440"/>
        <v>0</v>
      </c>
      <c r="O246" s="168">
        <f t="shared" si="440"/>
        <v>0</v>
      </c>
      <c r="P246" s="168">
        <f t="shared" si="440"/>
        <v>0</v>
      </c>
      <c r="Q246" s="168">
        <f t="shared" si="440"/>
        <v>0</v>
      </c>
      <c r="R246" s="168">
        <f t="shared" si="440"/>
        <v>0</v>
      </c>
      <c r="S246" s="168">
        <f t="shared" si="440"/>
        <v>0</v>
      </c>
      <c r="T246" s="168">
        <f t="shared" si="440"/>
        <v>0</v>
      </c>
      <c r="U246" s="168">
        <f t="shared" si="440"/>
        <v>0</v>
      </c>
      <c r="V246" s="168">
        <f t="shared" si="440"/>
        <v>0</v>
      </c>
      <c r="W246" s="168">
        <f t="shared" si="440"/>
        <v>0</v>
      </c>
      <c r="X246" s="168">
        <f t="shared" si="440"/>
        <v>0</v>
      </c>
      <c r="Y246" s="168">
        <f t="shared" si="440"/>
        <v>0</v>
      </c>
      <c r="Z246" s="168">
        <f t="shared" si="440"/>
        <v>0</v>
      </c>
      <c r="AA246" s="168">
        <f t="shared" si="440"/>
        <v>0</v>
      </c>
      <c r="AB246" s="168">
        <f t="shared" si="440"/>
        <v>0</v>
      </c>
      <c r="AC246" s="168">
        <f t="shared" si="440"/>
        <v>0</v>
      </c>
      <c r="AD246" s="168">
        <f t="shared" si="440"/>
        <v>0</v>
      </c>
      <c r="AE246" s="168">
        <f t="shared" si="440"/>
        <v>0</v>
      </c>
      <c r="AF246" s="168">
        <f t="shared" si="440"/>
        <v>0</v>
      </c>
      <c r="AG246" s="168">
        <f t="shared" si="440"/>
        <v>0</v>
      </c>
      <c r="AH246" s="168">
        <f t="shared" si="440"/>
        <v>0</v>
      </c>
      <c r="AI246" s="168">
        <f t="shared" si="440"/>
        <v>0</v>
      </c>
      <c r="AJ246" s="168">
        <f t="shared" si="440"/>
        <v>0</v>
      </c>
      <c r="AK246" s="168">
        <f t="shared" si="440"/>
        <v>0</v>
      </c>
      <c r="AL246" s="168">
        <f t="shared" si="440"/>
        <v>0</v>
      </c>
      <c r="AM246" s="168">
        <f t="shared" si="440"/>
        <v>0</v>
      </c>
      <c r="AN246" s="168">
        <f t="shared" si="440"/>
        <v>0</v>
      </c>
      <c r="AO246" s="168">
        <f t="shared" si="440"/>
        <v>0</v>
      </c>
      <c r="AP246" s="168">
        <f t="shared" si="440"/>
        <v>0</v>
      </c>
      <c r="AQ246" s="168">
        <f t="shared" si="440"/>
        <v>0</v>
      </c>
      <c r="AR246" s="168">
        <f t="shared" si="440"/>
        <v>0</v>
      </c>
      <c r="AS246" s="168">
        <f t="shared" si="440"/>
        <v>0</v>
      </c>
      <c r="AT246" s="168">
        <f t="shared" si="440"/>
        <v>0</v>
      </c>
      <c r="AU246" s="168">
        <f t="shared" si="440"/>
        <v>0</v>
      </c>
      <c r="AV246" s="168">
        <f t="shared" si="440"/>
        <v>0</v>
      </c>
      <c r="AW246" s="168">
        <f t="shared" si="440"/>
        <v>0</v>
      </c>
      <c r="AX246" s="168">
        <f t="shared" si="440"/>
        <v>0</v>
      </c>
      <c r="AY246" s="168">
        <f t="shared" si="440"/>
        <v>0</v>
      </c>
      <c r="AZ246" s="168">
        <f t="shared" si="440"/>
        <v>0</v>
      </c>
      <c r="BA246" s="168">
        <f t="shared" si="440"/>
        <v>0</v>
      </c>
      <c r="BB246" s="168">
        <f t="shared" si="440"/>
        <v>0</v>
      </c>
      <c r="BC246" s="168">
        <f t="shared" si="440"/>
        <v>0</v>
      </c>
      <c r="BD246" s="168">
        <f t="shared" si="440"/>
        <v>0</v>
      </c>
      <c r="BE246" s="168">
        <f t="shared" si="440"/>
        <v>0</v>
      </c>
      <c r="BF246" s="168">
        <f t="shared" si="440"/>
        <v>0</v>
      </c>
      <c r="BG246" s="168">
        <f t="shared" si="440"/>
        <v>0</v>
      </c>
      <c r="BH246" s="168">
        <f t="shared" si="440"/>
        <v>0</v>
      </c>
      <c r="BI246" s="168">
        <f t="shared" si="440"/>
        <v>0</v>
      </c>
      <c r="BJ246" s="168">
        <f t="shared" si="440"/>
        <v>0</v>
      </c>
      <c r="BK246" s="168">
        <f t="shared" si="440"/>
        <v>0</v>
      </c>
      <c r="BL246" s="168">
        <f t="shared" si="440"/>
        <v>0</v>
      </c>
      <c r="BM246" s="168">
        <f t="shared" si="440"/>
        <v>0</v>
      </c>
      <c r="BN246" s="168">
        <f t="shared" si="440"/>
        <v>0</v>
      </c>
      <c r="BO246" s="168">
        <f t="shared" ref="BO246:CE246" si="441">BO159-BO73</f>
        <v>0</v>
      </c>
      <c r="BP246" s="168">
        <f t="shared" si="441"/>
        <v>0</v>
      </c>
      <c r="BQ246" s="168">
        <f t="shared" si="441"/>
        <v>0</v>
      </c>
      <c r="BR246" s="168">
        <f t="shared" si="441"/>
        <v>0</v>
      </c>
      <c r="BS246" s="168">
        <f t="shared" si="441"/>
        <v>0</v>
      </c>
      <c r="BT246" s="168">
        <f t="shared" si="441"/>
        <v>0</v>
      </c>
      <c r="BU246" s="168">
        <f t="shared" si="441"/>
        <v>0</v>
      </c>
      <c r="BV246" s="168">
        <f t="shared" si="441"/>
        <v>0</v>
      </c>
      <c r="BW246" s="168">
        <f t="shared" si="441"/>
        <v>0</v>
      </c>
      <c r="BX246" s="168">
        <f t="shared" si="441"/>
        <v>0</v>
      </c>
      <c r="BY246" s="168">
        <f t="shared" si="441"/>
        <v>0</v>
      </c>
      <c r="BZ246" s="168">
        <f t="shared" si="441"/>
        <v>0</v>
      </c>
      <c r="CA246" s="168">
        <f t="shared" si="441"/>
        <v>0</v>
      </c>
      <c r="CB246" s="168">
        <f t="shared" si="441"/>
        <v>0</v>
      </c>
      <c r="CC246" s="168">
        <f t="shared" si="441"/>
        <v>0</v>
      </c>
      <c r="CD246" s="168">
        <f t="shared" si="441"/>
        <v>0</v>
      </c>
      <c r="CE246" s="168">
        <f t="shared" si="441"/>
        <v>0</v>
      </c>
    </row>
    <row r="247" spans="1:83" ht="15.5">
      <c r="A247" s="160">
        <v>14</v>
      </c>
      <c r="B247" s="161" t="s">
        <v>194</v>
      </c>
      <c r="C247" s="168">
        <f t="shared" ref="C247:BN247" si="442">C160-C74</f>
        <v>0</v>
      </c>
      <c r="D247" s="168">
        <f t="shared" si="442"/>
        <v>0</v>
      </c>
      <c r="E247" s="168">
        <f t="shared" si="442"/>
        <v>0</v>
      </c>
      <c r="F247" s="168">
        <f t="shared" si="442"/>
        <v>0</v>
      </c>
      <c r="G247" s="168">
        <f t="shared" si="442"/>
        <v>0</v>
      </c>
      <c r="H247" s="168">
        <f t="shared" si="442"/>
        <v>0</v>
      </c>
      <c r="I247" s="168">
        <f t="shared" si="442"/>
        <v>0</v>
      </c>
      <c r="J247" s="168">
        <f t="shared" si="442"/>
        <v>0</v>
      </c>
      <c r="K247" s="168">
        <f t="shared" si="442"/>
        <v>0</v>
      </c>
      <c r="L247" s="168">
        <f t="shared" si="442"/>
        <v>0</v>
      </c>
      <c r="M247" s="168">
        <f t="shared" si="442"/>
        <v>0</v>
      </c>
      <c r="N247" s="168">
        <f t="shared" si="442"/>
        <v>0</v>
      </c>
      <c r="O247" s="168">
        <f t="shared" si="442"/>
        <v>0</v>
      </c>
      <c r="P247" s="168">
        <f t="shared" si="442"/>
        <v>0</v>
      </c>
      <c r="Q247" s="168">
        <f t="shared" si="442"/>
        <v>0</v>
      </c>
      <c r="R247" s="168">
        <f t="shared" si="442"/>
        <v>0</v>
      </c>
      <c r="S247" s="168">
        <f t="shared" si="442"/>
        <v>0</v>
      </c>
      <c r="T247" s="168">
        <f t="shared" si="442"/>
        <v>0</v>
      </c>
      <c r="U247" s="168">
        <f t="shared" si="442"/>
        <v>0</v>
      </c>
      <c r="V247" s="168">
        <f t="shared" si="442"/>
        <v>0</v>
      </c>
      <c r="W247" s="168">
        <f t="shared" si="442"/>
        <v>0</v>
      </c>
      <c r="X247" s="168">
        <f t="shared" si="442"/>
        <v>0</v>
      </c>
      <c r="Y247" s="168">
        <f t="shared" si="442"/>
        <v>0</v>
      </c>
      <c r="Z247" s="168">
        <f t="shared" si="442"/>
        <v>0</v>
      </c>
      <c r="AA247" s="168">
        <f t="shared" si="442"/>
        <v>0</v>
      </c>
      <c r="AB247" s="168">
        <f t="shared" si="442"/>
        <v>0</v>
      </c>
      <c r="AC247" s="168">
        <f t="shared" si="442"/>
        <v>0</v>
      </c>
      <c r="AD247" s="168">
        <f t="shared" si="442"/>
        <v>0</v>
      </c>
      <c r="AE247" s="168">
        <f t="shared" si="442"/>
        <v>0</v>
      </c>
      <c r="AF247" s="168">
        <f t="shared" si="442"/>
        <v>0</v>
      </c>
      <c r="AG247" s="168">
        <f t="shared" si="442"/>
        <v>0</v>
      </c>
      <c r="AH247" s="168">
        <f t="shared" si="442"/>
        <v>0</v>
      </c>
      <c r="AI247" s="168">
        <f t="shared" si="442"/>
        <v>0</v>
      </c>
      <c r="AJ247" s="168">
        <f t="shared" si="442"/>
        <v>0</v>
      </c>
      <c r="AK247" s="168">
        <f t="shared" si="442"/>
        <v>0</v>
      </c>
      <c r="AL247" s="168">
        <f t="shared" si="442"/>
        <v>0</v>
      </c>
      <c r="AM247" s="168">
        <f t="shared" si="442"/>
        <v>0</v>
      </c>
      <c r="AN247" s="168">
        <f t="shared" si="442"/>
        <v>0</v>
      </c>
      <c r="AO247" s="168">
        <f t="shared" si="442"/>
        <v>0</v>
      </c>
      <c r="AP247" s="168">
        <f t="shared" si="442"/>
        <v>0</v>
      </c>
      <c r="AQ247" s="168">
        <f t="shared" si="442"/>
        <v>0</v>
      </c>
      <c r="AR247" s="168">
        <f t="shared" si="442"/>
        <v>0</v>
      </c>
      <c r="AS247" s="168">
        <f t="shared" si="442"/>
        <v>0</v>
      </c>
      <c r="AT247" s="168">
        <f t="shared" si="442"/>
        <v>0</v>
      </c>
      <c r="AU247" s="168">
        <f t="shared" si="442"/>
        <v>0</v>
      </c>
      <c r="AV247" s="168">
        <f t="shared" si="442"/>
        <v>0</v>
      </c>
      <c r="AW247" s="168">
        <f t="shared" si="442"/>
        <v>0</v>
      </c>
      <c r="AX247" s="168">
        <f t="shared" si="442"/>
        <v>0</v>
      </c>
      <c r="AY247" s="168">
        <f t="shared" si="442"/>
        <v>0</v>
      </c>
      <c r="AZ247" s="168">
        <f t="shared" si="442"/>
        <v>0</v>
      </c>
      <c r="BA247" s="168">
        <f t="shared" si="442"/>
        <v>0</v>
      </c>
      <c r="BB247" s="168">
        <f t="shared" si="442"/>
        <v>0</v>
      </c>
      <c r="BC247" s="168">
        <f t="shared" si="442"/>
        <v>0</v>
      </c>
      <c r="BD247" s="168">
        <f t="shared" si="442"/>
        <v>0</v>
      </c>
      <c r="BE247" s="168">
        <f t="shared" si="442"/>
        <v>0</v>
      </c>
      <c r="BF247" s="168">
        <f t="shared" si="442"/>
        <v>0</v>
      </c>
      <c r="BG247" s="168">
        <f t="shared" si="442"/>
        <v>0</v>
      </c>
      <c r="BH247" s="168">
        <f t="shared" si="442"/>
        <v>0</v>
      </c>
      <c r="BI247" s="168">
        <f t="shared" si="442"/>
        <v>0</v>
      </c>
      <c r="BJ247" s="168">
        <f t="shared" si="442"/>
        <v>0</v>
      </c>
      <c r="BK247" s="168">
        <f t="shared" si="442"/>
        <v>0</v>
      </c>
      <c r="BL247" s="168">
        <f t="shared" si="442"/>
        <v>0</v>
      </c>
      <c r="BM247" s="168">
        <f t="shared" si="442"/>
        <v>0</v>
      </c>
      <c r="BN247" s="168">
        <f t="shared" si="442"/>
        <v>0</v>
      </c>
      <c r="BO247" s="168">
        <f t="shared" ref="BO247:CE247" si="443">BO160-BO74</f>
        <v>0</v>
      </c>
      <c r="BP247" s="168">
        <f t="shared" si="443"/>
        <v>0</v>
      </c>
      <c r="BQ247" s="168">
        <f t="shared" si="443"/>
        <v>0</v>
      </c>
      <c r="BR247" s="168">
        <f t="shared" si="443"/>
        <v>0</v>
      </c>
      <c r="BS247" s="168">
        <f t="shared" si="443"/>
        <v>0</v>
      </c>
      <c r="BT247" s="168">
        <f t="shared" si="443"/>
        <v>0</v>
      </c>
      <c r="BU247" s="168">
        <f t="shared" si="443"/>
        <v>0</v>
      </c>
      <c r="BV247" s="168">
        <f t="shared" si="443"/>
        <v>0</v>
      </c>
      <c r="BW247" s="168">
        <f t="shared" si="443"/>
        <v>0</v>
      </c>
      <c r="BX247" s="168">
        <f t="shared" si="443"/>
        <v>0</v>
      </c>
      <c r="BY247" s="168">
        <f t="shared" si="443"/>
        <v>0</v>
      </c>
      <c r="BZ247" s="168">
        <f t="shared" si="443"/>
        <v>0</v>
      </c>
      <c r="CA247" s="168">
        <f t="shared" si="443"/>
        <v>0</v>
      </c>
      <c r="CB247" s="168">
        <f t="shared" si="443"/>
        <v>0</v>
      </c>
      <c r="CC247" s="168">
        <f t="shared" si="443"/>
        <v>0</v>
      </c>
      <c r="CD247" s="168">
        <f t="shared" si="443"/>
        <v>0</v>
      </c>
      <c r="CE247" s="168">
        <f t="shared" si="443"/>
        <v>0</v>
      </c>
    </row>
    <row r="248" spans="1:83" ht="15.5">
      <c r="A248" s="160">
        <v>14</v>
      </c>
      <c r="B248" s="162" t="s">
        <v>139</v>
      </c>
      <c r="C248" s="168">
        <f t="shared" ref="C248:BN248" si="444">C161-C75</f>
        <v>0</v>
      </c>
      <c r="D248" s="168">
        <f t="shared" si="444"/>
        <v>0</v>
      </c>
      <c r="E248" s="168">
        <f t="shared" si="444"/>
        <v>0</v>
      </c>
      <c r="F248" s="168">
        <f t="shared" si="444"/>
        <v>0</v>
      </c>
      <c r="G248" s="168">
        <f t="shared" si="444"/>
        <v>0</v>
      </c>
      <c r="H248" s="168">
        <f t="shared" si="444"/>
        <v>0</v>
      </c>
      <c r="I248" s="168">
        <f t="shared" si="444"/>
        <v>0</v>
      </c>
      <c r="J248" s="168">
        <f t="shared" si="444"/>
        <v>0</v>
      </c>
      <c r="K248" s="168">
        <f t="shared" si="444"/>
        <v>0</v>
      </c>
      <c r="L248" s="168">
        <f t="shared" si="444"/>
        <v>0</v>
      </c>
      <c r="M248" s="168">
        <f t="shared" si="444"/>
        <v>0</v>
      </c>
      <c r="N248" s="168">
        <f t="shared" si="444"/>
        <v>0</v>
      </c>
      <c r="O248" s="168">
        <f t="shared" si="444"/>
        <v>0</v>
      </c>
      <c r="P248" s="168">
        <f t="shared" si="444"/>
        <v>0</v>
      </c>
      <c r="Q248" s="168">
        <f t="shared" si="444"/>
        <v>0</v>
      </c>
      <c r="R248" s="168">
        <f t="shared" si="444"/>
        <v>0</v>
      </c>
      <c r="S248" s="168">
        <f t="shared" si="444"/>
        <v>0</v>
      </c>
      <c r="T248" s="168">
        <f t="shared" si="444"/>
        <v>0</v>
      </c>
      <c r="U248" s="168">
        <f t="shared" si="444"/>
        <v>0</v>
      </c>
      <c r="V248" s="168">
        <f t="shared" si="444"/>
        <v>0</v>
      </c>
      <c r="W248" s="168">
        <f t="shared" si="444"/>
        <v>0</v>
      </c>
      <c r="X248" s="168">
        <f t="shared" si="444"/>
        <v>0</v>
      </c>
      <c r="Y248" s="168">
        <f t="shared" si="444"/>
        <v>0</v>
      </c>
      <c r="Z248" s="168">
        <f t="shared" si="444"/>
        <v>0</v>
      </c>
      <c r="AA248" s="168">
        <f t="shared" si="444"/>
        <v>0</v>
      </c>
      <c r="AB248" s="168">
        <f t="shared" si="444"/>
        <v>0</v>
      </c>
      <c r="AC248" s="168">
        <f t="shared" si="444"/>
        <v>0</v>
      </c>
      <c r="AD248" s="168">
        <f t="shared" si="444"/>
        <v>0</v>
      </c>
      <c r="AE248" s="168">
        <f t="shared" si="444"/>
        <v>0</v>
      </c>
      <c r="AF248" s="168">
        <f t="shared" si="444"/>
        <v>0</v>
      </c>
      <c r="AG248" s="168">
        <f t="shared" si="444"/>
        <v>0</v>
      </c>
      <c r="AH248" s="168">
        <f t="shared" si="444"/>
        <v>0</v>
      </c>
      <c r="AI248" s="168">
        <f t="shared" si="444"/>
        <v>0</v>
      </c>
      <c r="AJ248" s="168">
        <f t="shared" si="444"/>
        <v>0</v>
      </c>
      <c r="AK248" s="168">
        <f t="shared" si="444"/>
        <v>0</v>
      </c>
      <c r="AL248" s="168">
        <f t="shared" si="444"/>
        <v>0</v>
      </c>
      <c r="AM248" s="168">
        <f t="shared" si="444"/>
        <v>0</v>
      </c>
      <c r="AN248" s="168">
        <f t="shared" si="444"/>
        <v>0</v>
      </c>
      <c r="AO248" s="168">
        <f t="shared" si="444"/>
        <v>0</v>
      </c>
      <c r="AP248" s="168">
        <f t="shared" si="444"/>
        <v>0</v>
      </c>
      <c r="AQ248" s="168">
        <f t="shared" si="444"/>
        <v>0</v>
      </c>
      <c r="AR248" s="168">
        <f t="shared" si="444"/>
        <v>0</v>
      </c>
      <c r="AS248" s="168">
        <f t="shared" si="444"/>
        <v>0</v>
      </c>
      <c r="AT248" s="168">
        <f t="shared" si="444"/>
        <v>0</v>
      </c>
      <c r="AU248" s="168">
        <f t="shared" si="444"/>
        <v>0</v>
      </c>
      <c r="AV248" s="168">
        <f t="shared" si="444"/>
        <v>0</v>
      </c>
      <c r="AW248" s="168">
        <f t="shared" si="444"/>
        <v>0</v>
      </c>
      <c r="AX248" s="168">
        <f t="shared" si="444"/>
        <v>0</v>
      </c>
      <c r="AY248" s="168">
        <f t="shared" si="444"/>
        <v>0</v>
      </c>
      <c r="AZ248" s="168">
        <f t="shared" si="444"/>
        <v>0</v>
      </c>
      <c r="BA248" s="168">
        <f t="shared" si="444"/>
        <v>0</v>
      </c>
      <c r="BB248" s="168">
        <f t="shared" si="444"/>
        <v>0</v>
      </c>
      <c r="BC248" s="168">
        <f t="shared" si="444"/>
        <v>0</v>
      </c>
      <c r="BD248" s="168">
        <f t="shared" si="444"/>
        <v>0</v>
      </c>
      <c r="BE248" s="168">
        <f t="shared" si="444"/>
        <v>0</v>
      </c>
      <c r="BF248" s="168">
        <f t="shared" si="444"/>
        <v>0</v>
      </c>
      <c r="BG248" s="168">
        <f t="shared" si="444"/>
        <v>0</v>
      </c>
      <c r="BH248" s="168">
        <f t="shared" si="444"/>
        <v>0</v>
      </c>
      <c r="BI248" s="168">
        <f t="shared" si="444"/>
        <v>0</v>
      </c>
      <c r="BJ248" s="168">
        <f t="shared" si="444"/>
        <v>0</v>
      </c>
      <c r="BK248" s="168">
        <f t="shared" si="444"/>
        <v>0</v>
      </c>
      <c r="BL248" s="168">
        <f t="shared" si="444"/>
        <v>0</v>
      </c>
      <c r="BM248" s="168">
        <f t="shared" si="444"/>
        <v>0</v>
      </c>
      <c r="BN248" s="168">
        <f t="shared" si="444"/>
        <v>0</v>
      </c>
      <c r="BO248" s="168">
        <f t="shared" ref="BO248:CE248" si="445">BO161-BO75</f>
        <v>0</v>
      </c>
      <c r="BP248" s="168">
        <f t="shared" si="445"/>
        <v>0</v>
      </c>
      <c r="BQ248" s="168">
        <f t="shared" si="445"/>
        <v>0</v>
      </c>
      <c r="BR248" s="168">
        <f t="shared" si="445"/>
        <v>0</v>
      </c>
      <c r="BS248" s="168">
        <f t="shared" si="445"/>
        <v>0</v>
      </c>
      <c r="BT248" s="168">
        <f t="shared" si="445"/>
        <v>0</v>
      </c>
      <c r="BU248" s="168">
        <f t="shared" si="445"/>
        <v>0</v>
      </c>
      <c r="BV248" s="168">
        <f t="shared" si="445"/>
        <v>0</v>
      </c>
      <c r="BW248" s="168">
        <f t="shared" si="445"/>
        <v>0</v>
      </c>
      <c r="BX248" s="168">
        <f t="shared" si="445"/>
        <v>0</v>
      </c>
      <c r="BY248" s="168">
        <f t="shared" si="445"/>
        <v>0</v>
      </c>
      <c r="BZ248" s="168">
        <f t="shared" si="445"/>
        <v>0</v>
      </c>
      <c r="CA248" s="168">
        <f t="shared" si="445"/>
        <v>0</v>
      </c>
      <c r="CB248" s="168">
        <f t="shared" si="445"/>
        <v>0</v>
      </c>
      <c r="CC248" s="168">
        <f t="shared" si="445"/>
        <v>0</v>
      </c>
      <c r="CD248" s="168">
        <f t="shared" si="445"/>
        <v>0</v>
      </c>
      <c r="CE248" s="168">
        <f t="shared" si="445"/>
        <v>0</v>
      </c>
    </row>
    <row r="249" spans="1:83" ht="15.5">
      <c r="A249" s="160">
        <v>14</v>
      </c>
      <c r="B249" s="163" t="s">
        <v>140</v>
      </c>
      <c r="C249" s="168">
        <f t="shared" ref="C249:BN249" si="446">C162-C76</f>
        <v>0</v>
      </c>
      <c r="D249" s="168">
        <f t="shared" si="446"/>
        <v>0</v>
      </c>
      <c r="E249" s="168">
        <f t="shared" si="446"/>
        <v>0</v>
      </c>
      <c r="F249" s="168">
        <f t="shared" si="446"/>
        <v>0</v>
      </c>
      <c r="G249" s="168">
        <f t="shared" si="446"/>
        <v>0</v>
      </c>
      <c r="H249" s="168">
        <f t="shared" si="446"/>
        <v>0</v>
      </c>
      <c r="I249" s="168">
        <f t="shared" si="446"/>
        <v>0</v>
      </c>
      <c r="J249" s="168">
        <f t="shared" si="446"/>
        <v>0</v>
      </c>
      <c r="K249" s="168">
        <f t="shared" si="446"/>
        <v>0</v>
      </c>
      <c r="L249" s="168">
        <f t="shared" si="446"/>
        <v>0</v>
      </c>
      <c r="M249" s="168">
        <f t="shared" si="446"/>
        <v>0</v>
      </c>
      <c r="N249" s="168">
        <f t="shared" si="446"/>
        <v>0</v>
      </c>
      <c r="O249" s="168">
        <f t="shared" si="446"/>
        <v>0</v>
      </c>
      <c r="P249" s="168">
        <f t="shared" si="446"/>
        <v>0</v>
      </c>
      <c r="Q249" s="168">
        <f t="shared" si="446"/>
        <v>0</v>
      </c>
      <c r="R249" s="168">
        <f t="shared" si="446"/>
        <v>0</v>
      </c>
      <c r="S249" s="168">
        <f t="shared" si="446"/>
        <v>0</v>
      </c>
      <c r="T249" s="168">
        <f t="shared" si="446"/>
        <v>0</v>
      </c>
      <c r="U249" s="168">
        <f t="shared" si="446"/>
        <v>0</v>
      </c>
      <c r="V249" s="168">
        <f t="shared" si="446"/>
        <v>0</v>
      </c>
      <c r="W249" s="168">
        <f t="shared" si="446"/>
        <v>0</v>
      </c>
      <c r="X249" s="168">
        <f t="shared" si="446"/>
        <v>0</v>
      </c>
      <c r="Y249" s="168">
        <f t="shared" si="446"/>
        <v>0</v>
      </c>
      <c r="Z249" s="168">
        <f t="shared" si="446"/>
        <v>0</v>
      </c>
      <c r="AA249" s="168">
        <f t="shared" si="446"/>
        <v>0</v>
      </c>
      <c r="AB249" s="168">
        <f t="shared" si="446"/>
        <v>0</v>
      </c>
      <c r="AC249" s="168">
        <f t="shared" si="446"/>
        <v>0</v>
      </c>
      <c r="AD249" s="168">
        <f t="shared" si="446"/>
        <v>0</v>
      </c>
      <c r="AE249" s="168">
        <f t="shared" si="446"/>
        <v>0</v>
      </c>
      <c r="AF249" s="168">
        <f t="shared" si="446"/>
        <v>0</v>
      </c>
      <c r="AG249" s="168">
        <f t="shared" si="446"/>
        <v>0</v>
      </c>
      <c r="AH249" s="168">
        <f t="shared" si="446"/>
        <v>0</v>
      </c>
      <c r="AI249" s="168">
        <f t="shared" si="446"/>
        <v>0</v>
      </c>
      <c r="AJ249" s="168">
        <f t="shared" si="446"/>
        <v>0</v>
      </c>
      <c r="AK249" s="168">
        <f t="shared" si="446"/>
        <v>0</v>
      </c>
      <c r="AL249" s="168">
        <f t="shared" si="446"/>
        <v>0</v>
      </c>
      <c r="AM249" s="168">
        <f t="shared" si="446"/>
        <v>0</v>
      </c>
      <c r="AN249" s="168">
        <f t="shared" si="446"/>
        <v>0</v>
      </c>
      <c r="AO249" s="168">
        <f t="shared" si="446"/>
        <v>0</v>
      </c>
      <c r="AP249" s="168">
        <f t="shared" si="446"/>
        <v>0</v>
      </c>
      <c r="AQ249" s="168">
        <f t="shared" si="446"/>
        <v>0</v>
      </c>
      <c r="AR249" s="168">
        <f t="shared" si="446"/>
        <v>0</v>
      </c>
      <c r="AS249" s="168">
        <f t="shared" si="446"/>
        <v>0</v>
      </c>
      <c r="AT249" s="168">
        <f t="shared" si="446"/>
        <v>0</v>
      </c>
      <c r="AU249" s="168">
        <f t="shared" si="446"/>
        <v>0</v>
      </c>
      <c r="AV249" s="168">
        <f t="shared" si="446"/>
        <v>0</v>
      </c>
      <c r="AW249" s="168">
        <f t="shared" si="446"/>
        <v>0</v>
      </c>
      <c r="AX249" s="168">
        <f t="shared" si="446"/>
        <v>0</v>
      </c>
      <c r="AY249" s="168">
        <f t="shared" si="446"/>
        <v>0</v>
      </c>
      <c r="AZ249" s="168">
        <f t="shared" si="446"/>
        <v>0</v>
      </c>
      <c r="BA249" s="168">
        <f t="shared" si="446"/>
        <v>0</v>
      </c>
      <c r="BB249" s="168">
        <f t="shared" si="446"/>
        <v>0</v>
      </c>
      <c r="BC249" s="168">
        <f t="shared" si="446"/>
        <v>0</v>
      </c>
      <c r="BD249" s="168">
        <f t="shared" si="446"/>
        <v>0</v>
      </c>
      <c r="BE249" s="168">
        <f t="shared" si="446"/>
        <v>0</v>
      </c>
      <c r="BF249" s="168">
        <f t="shared" si="446"/>
        <v>0</v>
      </c>
      <c r="BG249" s="168">
        <f t="shared" si="446"/>
        <v>0</v>
      </c>
      <c r="BH249" s="168">
        <f t="shared" si="446"/>
        <v>0</v>
      </c>
      <c r="BI249" s="168">
        <f t="shared" si="446"/>
        <v>0</v>
      </c>
      <c r="BJ249" s="168">
        <f t="shared" si="446"/>
        <v>0</v>
      </c>
      <c r="BK249" s="168">
        <f t="shared" si="446"/>
        <v>0</v>
      </c>
      <c r="BL249" s="168">
        <f t="shared" si="446"/>
        <v>0</v>
      </c>
      <c r="BM249" s="168">
        <f t="shared" si="446"/>
        <v>0</v>
      </c>
      <c r="BN249" s="168">
        <f t="shared" si="446"/>
        <v>0</v>
      </c>
      <c r="BO249" s="168">
        <f t="shared" ref="BO249:CE249" si="447">BO162-BO76</f>
        <v>0</v>
      </c>
      <c r="BP249" s="168">
        <f t="shared" si="447"/>
        <v>0</v>
      </c>
      <c r="BQ249" s="168">
        <f t="shared" si="447"/>
        <v>0</v>
      </c>
      <c r="BR249" s="168">
        <f t="shared" si="447"/>
        <v>0</v>
      </c>
      <c r="BS249" s="168">
        <f t="shared" si="447"/>
        <v>0</v>
      </c>
      <c r="BT249" s="168">
        <f t="shared" si="447"/>
        <v>0</v>
      </c>
      <c r="BU249" s="168">
        <f t="shared" si="447"/>
        <v>0</v>
      </c>
      <c r="BV249" s="168">
        <f t="shared" si="447"/>
        <v>0</v>
      </c>
      <c r="BW249" s="168">
        <f t="shared" si="447"/>
        <v>0</v>
      </c>
      <c r="BX249" s="168">
        <f t="shared" si="447"/>
        <v>0</v>
      </c>
      <c r="BY249" s="168">
        <f t="shared" si="447"/>
        <v>0</v>
      </c>
      <c r="BZ249" s="168">
        <f t="shared" si="447"/>
        <v>0</v>
      </c>
      <c r="CA249" s="168">
        <f t="shared" si="447"/>
        <v>0</v>
      </c>
      <c r="CB249" s="168">
        <f t="shared" si="447"/>
        <v>0</v>
      </c>
      <c r="CC249" s="168">
        <f t="shared" si="447"/>
        <v>0</v>
      </c>
      <c r="CD249" s="168">
        <f t="shared" si="447"/>
        <v>0</v>
      </c>
      <c r="CE249" s="168">
        <f t="shared" si="447"/>
        <v>0</v>
      </c>
    </row>
    <row r="250" spans="1:83" ht="15.5">
      <c r="A250" s="160">
        <v>14</v>
      </c>
      <c r="B250" s="164" t="s">
        <v>195</v>
      </c>
      <c r="C250" s="168">
        <f t="shared" ref="C250:BN250" si="448">C163-C77</f>
        <v>0</v>
      </c>
      <c r="D250" s="168">
        <f t="shared" si="448"/>
        <v>0</v>
      </c>
      <c r="E250" s="168">
        <f t="shared" si="448"/>
        <v>0</v>
      </c>
      <c r="F250" s="168">
        <f t="shared" si="448"/>
        <v>0</v>
      </c>
      <c r="G250" s="168">
        <f t="shared" si="448"/>
        <v>0</v>
      </c>
      <c r="H250" s="168">
        <f t="shared" si="448"/>
        <v>0</v>
      </c>
      <c r="I250" s="168">
        <f t="shared" si="448"/>
        <v>0</v>
      </c>
      <c r="J250" s="168">
        <f t="shared" si="448"/>
        <v>0</v>
      </c>
      <c r="K250" s="168">
        <f t="shared" si="448"/>
        <v>0</v>
      </c>
      <c r="L250" s="168">
        <f t="shared" si="448"/>
        <v>0</v>
      </c>
      <c r="M250" s="168">
        <f t="shared" si="448"/>
        <v>0</v>
      </c>
      <c r="N250" s="168">
        <f t="shared" si="448"/>
        <v>0</v>
      </c>
      <c r="O250" s="168">
        <f t="shared" si="448"/>
        <v>0</v>
      </c>
      <c r="P250" s="168">
        <f t="shared" si="448"/>
        <v>0</v>
      </c>
      <c r="Q250" s="168">
        <f t="shared" si="448"/>
        <v>0</v>
      </c>
      <c r="R250" s="168">
        <f t="shared" si="448"/>
        <v>0</v>
      </c>
      <c r="S250" s="168">
        <f t="shared" si="448"/>
        <v>0</v>
      </c>
      <c r="T250" s="168">
        <f t="shared" si="448"/>
        <v>0</v>
      </c>
      <c r="U250" s="168">
        <f t="shared" si="448"/>
        <v>0</v>
      </c>
      <c r="V250" s="168">
        <f t="shared" si="448"/>
        <v>0</v>
      </c>
      <c r="W250" s="168">
        <f t="shared" si="448"/>
        <v>0</v>
      </c>
      <c r="X250" s="168">
        <f t="shared" si="448"/>
        <v>0</v>
      </c>
      <c r="Y250" s="168">
        <f t="shared" si="448"/>
        <v>0</v>
      </c>
      <c r="Z250" s="168">
        <f t="shared" si="448"/>
        <v>0</v>
      </c>
      <c r="AA250" s="168">
        <f t="shared" si="448"/>
        <v>0</v>
      </c>
      <c r="AB250" s="168">
        <f t="shared" si="448"/>
        <v>0</v>
      </c>
      <c r="AC250" s="168">
        <f t="shared" si="448"/>
        <v>0</v>
      </c>
      <c r="AD250" s="168">
        <f t="shared" si="448"/>
        <v>0</v>
      </c>
      <c r="AE250" s="168">
        <f t="shared" si="448"/>
        <v>0</v>
      </c>
      <c r="AF250" s="168">
        <f t="shared" si="448"/>
        <v>0</v>
      </c>
      <c r="AG250" s="168">
        <f t="shared" si="448"/>
        <v>0</v>
      </c>
      <c r="AH250" s="168">
        <f t="shared" si="448"/>
        <v>0</v>
      </c>
      <c r="AI250" s="168">
        <f t="shared" si="448"/>
        <v>0</v>
      </c>
      <c r="AJ250" s="168">
        <f t="shared" si="448"/>
        <v>0</v>
      </c>
      <c r="AK250" s="168">
        <f t="shared" si="448"/>
        <v>0</v>
      </c>
      <c r="AL250" s="168">
        <f t="shared" si="448"/>
        <v>0</v>
      </c>
      <c r="AM250" s="168">
        <f t="shared" si="448"/>
        <v>0</v>
      </c>
      <c r="AN250" s="168">
        <f t="shared" si="448"/>
        <v>0</v>
      </c>
      <c r="AO250" s="168">
        <f t="shared" si="448"/>
        <v>0</v>
      </c>
      <c r="AP250" s="168">
        <f t="shared" si="448"/>
        <v>0</v>
      </c>
      <c r="AQ250" s="168">
        <f t="shared" si="448"/>
        <v>0</v>
      </c>
      <c r="AR250" s="168">
        <f t="shared" si="448"/>
        <v>0</v>
      </c>
      <c r="AS250" s="168">
        <f t="shared" si="448"/>
        <v>0</v>
      </c>
      <c r="AT250" s="168">
        <f t="shared" si="448"/>
        <v>0</v>
      </c>
      <c r="AU250" s="168">
        <f t="shared" si="448"/>
        <v>0</v>
      </c>
      <c r="AV250" s="168">
        <f t="shared" si="448"/>
        <v>0</v>
      </c>
      <c r="AW250" s="168">
        <f t="shared" si="448"/>
        <v>0</v>
      </c>
      <c r="AX250" s="168">
        <f t="shared" si="448"/>
        <v>0</v>
      </c>
      <c r="AY250" s="168">
        <f t="shared" si="448"/>
        <v>0</v>
      </c>
      <c r="AZ250" s="168">
        <f t="shared" si="448"/>
        <v>0</v>
      </c>
      <c r="BA250" s="168">
        <f t="shared" si="448"/>
        <v>0</v>
      </c>
      <c r="BB250" s="168">
        <f t="shared" si="448"/>
        <v>0</v>
      </c>
      <c r="BC250" s="168">
        <f t="shared" si="448"/>
        <v>0</v>
      </c>
      <c r="BD250" s="168">
        <f t="shared" si="448"/>
        <v>0</v>
      </c>
      <c r="BE250" s="168">
        <f t="shared" si="448"/>
        <v>0</v>
      </c>
      <c r="BF250" s="168">
        <f t="shared" si="448"/>
        <v>0</v>
      </c>
      <c r="BG250" s="168">
        <f t="shared" si="448"/>
        <v>0</v>
      </c>
      <c r="BH250" s="168">
        <f t="shared" si="448"/>
        <v>0</v>
      </c>
      <c r="BI250" s="168">
        <f t="shared" si="448"/>
        <v>0</v>
      </c>
      <c r="BJ250" s="168">
        <f t="shared" si="448"/>
        <v>0</v>
      </c>
      <c r="BK250" s="168">
        <f t="shared" si="448"/>
        <v>0</v>
      </c>
      <c r="BL250" s="168">
        <f t="shared" si="448"/>
        <v>0</v>
      </c>
      <c r="BM250" s="168">
        <f t="shared" si="448"/>
        <v>0</v>
      </c>
      <c r="BN250" s="168">
        <f t="shared" si="448"/>
        <v>0</v>
      </c>
      <c r="BO250" s="168">
        <f t="shared" ref="BO250:CE250" si="449">BO163-BO77</f>
        <v>0</v>
      </c>
      <c r="BP250" s="168">
        <f t="shared" si="449"/>
        <v>0</v>
      </c>
      <c r="BQ250" s="168">
        <f t="shared" si="449"/>
        <v>0</v>
      </c>
      <c r="BR250" s="168">
        <f t="shared" si="449"/>
        <v>0</v>
      </c>
      <c r="BS250" s="168">
        <f t="shared" si="449"/>
        <v>0</v>
      </c>
      <c r="BT250" s="168">
        <f t="shared" si="449"/>
        <v>0</v>
      </c>
      <c r="BU250" s="168">
        <f t="shared" si="449"/>
        <v>0</v>
      </c>
      <c r="BV250" s="168">
        <f t="shared" si="449"/>
        <v>0</v>
      </c>
      <c r="BW250" s="168">
        <f t="shared" si="449"/>
        <v>0</v>
      </c>
      <c r="BX250" s="168">
        <f t="shared" si="449"/>
        <v>0</v>
      </c>
      <c r="BY250" s="168">
        <f t="shared" si="449"/>
        <v>0</v>
      </c>
      <c r="BZ250" s="168">
        <f t="shared" si="449"/>
        <v>0</v>
      </c>
      <c r="CA250" s="168">
        <f t="shared" si="449"/>
        <v>0</v>
      </c>
      <c r="CB250" s="168">
        <f t="shared" si="449"/>
        <v>0</v>
      </c>
      <c r="CC250" s="168">
        <f t="shared" si="449"/>
        <v>0</v>
      </c>
      <c r="CD250" s="168">
        <f t="shared" si="449"/>
        <v>0</v>
      </c>
      <c r="CE250" s="168">
        <f t="shared" si="449"/>
        <v>0</v>
      </c>
    </row>
    <row r="251" spans="1:83" ht="15.5">
      <c r="A251" s="160">
        <v>14</v>
      </c>
      <c r="B251" s="165" t="s">
        <v>196</v>
      </c>
      <c r="C251" s="168">
        <f t="shared" ref="C251:BN251" si="450">C164-C78</f>
        <v>0</v>
      </c>
      <c r="D251" s="168">
        <f t="shared" si="450"/>
        <v>0</v>
      </c>
      <c r="E251" s="168">
        <f t="shared" si="450"/>
        <v>0</v>
      </c>
      <c r="F251" s="168">
        <f t="shared" si="450"/>
        <v>0</v>
      </c>
      <c r="G251" s="168">
        <f t="shared" si="450"/>
        <v>0</v>
      </c>
      <c r="H251" s="168">
        <f t="shared" si="450"/>
        <v>0</v>
      </c>
      <c r="I251" s="168">
        <f t="shared" si="450"/>
        <v>0</v>
      </c>
      <c r="J251" s="168">
        <f t="shared" si="450"/>
        <v>0</v>
      </c>
      <c r="K251" s="168">
        <f t="shared" si="450"/>
        <v>0</v>
      </c>
      <c r="L251" s="168">
        <f t="shared" si="450"/>
        <v>0</v>
      </c>
      <c r="M251" s="168">
        <f t="shared" si="450"/>
        <v>0</v>
      </c>
      <c r="N251" s="168">
        <f t="shared" si="450"/>
        <v>0</v>
      </c>
      <c r="O251" s="168">
        <f t="shared" si="450"/>
        <v>0</v>
      </c>
      <c r="P251" s="168">
        <f t="shared" si="450"/>
        <v>0</v>
      </c>
      <c r="Q251" s="168">
        <f t="shared" si="450"/>
        <v>0</v>
      </c>
      <c r="R251" s="168">
        <f t="shared" si="450"/>
        <v>0</v>
      </c>
      <c r="S251" s="168">
        <f t="shared" si="450"/>
        <v>0</v>
      </c>
      <c r="T251" s="168">
        <f t="shared" si="450"/>
        <v>0</v>
      </c>
      <c r="U251" s="168">
        <f t="shared" si="450"/>
        <v>0</v>
      </c>
      <c r="V251" s="168">
        <f t="shared" si="450"/>
        <v>0</v>
      </c>
      <c r="W251" s="168">
        <f t="shared" si="450"/>
        <v>0</v>
      </c>
      <c r="X251" s="168">
        <f t="shared" si="450"/>
        <v>0</v>
      </c>
      <c r="Y251" s="168">
        <f t="shared" si="450"/>
        <v>0</v>
      </c>
      <c r="Z251" s="168">
        <f t="shared" si="450"/>
        <v>0</v>
      </c>
      <c r="AA251" s="168">
        <f t="shared" si="450"/>
        <v>0</v>
      </c>
      <c r="AB251" s="168">
        <f t="shared" si="450"/>
        <v>0</v>
      </c>
      <c r="AC251" s="168">
        <f t="shared" si="450"/>
        <v>0</v>
      </c>
      <c r="AD251" s="168">
        <f t="shared" si="450"/>
        <v>0</v>
      </c>
      <c r="AE251" s="168">
        <f t="shared" si="450"/>
        <v>0</v>
      </c>
      <c r="AF251" s="168">
        <f t="shared" si="450"/>
        <v>0</v>
      </c>
      <c r="AG251" s="168">
        <f t="shared" si="450"/>
        <v>0</v>
      </c>
      <c r="AH251" s="168">
        <f t="shared" si="450"/>
        <v>0</v>
      </c>
      <c r="AI251" s="168">
        <f t="shared" si="450"/>
        <v>0</v>
      </c>
      <c r="AJ251" s="168">
        <f t="shared" si="450"/>
        <v>0</v>
      </c>
      <c r="AK251" s="168">
        <f t="shared" si="450"/>
        <v>0</v>
      </c>
      <c r="AL251" s="168">
        <f t="shared" si="450"/>
        <v>0</v>
      </c>
      <c r="AM251" s="168">
        <f t="shared" si="450"/>
        <v>0</v>
      </c>
      <c r="AN251" s="168">
        <f t="shared" si="450"/>
        <v>0</v>
      </c>
      <c r="AO251" s="168">
        <f t="shared" si="450"/>
        <v>0</v>
      </c>
      <c r="AP251" s="168">
        <f t="shared" si="450"/>
        <v>0</v>
      </c>
      <c r="AQ251" s="168">
        <f t="shared" si="450"/>
        <v>0</v>
      </c>
      <c r="AR251" s="168">
        <f t="shared" si="450"/>
        <v>0</v>
      </c>
      <c r="AS251" s="168">
        <f t="shared" si="450"/>
        <v>0</v>
      </c>
      <c r="AT251" s="168">
        <f t="shared" si="450"/>
        <v>0</v>
      </c>
      <c r="AU251" s="168">
        <f t="shared" si="450"/>
        <v>0</v>
      </c>
      <c r="AV251" s="168">
        <f t="shared" si="450"/>
        <v>0</v>
      </c>
      <c r="AW251" s="168">
        <f t="shared" si="450"/>
        <v>0</v>
      </c>
      <c r="AX251" s="168">
        <f t="shared" si="450"/>
        <v>0</v>
      </c>
      <c r="AY251" s="168">
        <f t="shared" si="450"/>
        <v>0</v>
      </c>
      <c r="AZ251" s="168">
        <f t="shared" si="450"/>
        <v>0</v>
      </c>
      <c r="BA251" s="168">
        <f t="shared" si="450"/>
        <v>0</v>
      </c>
      <c r="BB251" s="168">
        <f t="shared" si="450"/>
        <v>0</v>
      </c>
      <c r="BC251" s="168">
        <f t="shared" si="450"/>
        <v>0</v>
      </c>
      <c r="BD251" s="168">
        <f t="shared" si="450"/>
        <v>0</v>
      </c>
      <c r="BE251" s="168">
        <f t="shared" si="450"/>
        <v>0</v>
      </c>
      <c r="BF251" s="168">
        <f t="shared" si="450"/>
        <v>0</v>
      </c>
      <c r="BG251" s="168">
        <f t="shared" si="450"/>
        <v>0</v>
      </c>
      <c r="BH251" s="168">
        <f t="shared" si="450"/>
        <v>0</v>
      </c>
      <c r="BI251" s="168">
        <f t="shared" si="450"/>
        <v>0</v>
      </c>
      <c r="BJ251" s="168">
        <f t="shared" si="450"/>
        <v>0</v>
      </c>
      <c r="BK251" s="168">
        <f t="shared" si="450"/>
        <v>0</v>
      </c>
      <c r="BL251" s="168">
        <f t="shared" si="450"/>
        <v>0</v>
      </c>
      <c r="BM251" s="168">
        <f t="shared" si="450"/>
        <v>0</v>
      </c>
      <c r="BN251" s="168">
        <f t="shared" si="450"/>
        <v>0</v>
      </c>
      <c r="BO251" s="168">
        <f t="shared" ref="BO251:CE251" si="451">BO164-BO78</f>
        <v>0</v>
      </c>
      <c r="BP251" s="168">
        <f t="shared" si="451"/>
        <v>0</v>
      </c>
      <c r="BQ251" s="168">
        <f t="shared" si="451"/>
        <v>0</v>
      </c>
      <c r="BR251" s="168">
        <f t="shared" si="451"/>
        <v>0</v>
      </c>
      <c r="BS251" s="168">
        <f t="shared" si="451"/>
        <v>0</v>
      </c>
      <c r="BT251" s="168">
        <f t="shared" si="451"/>
        <v>0</v>
      </c>
      <c r="BU251" s="168">
        <f t="shared" si="451"/>
        <v>0</v>
      </c>
      <c r="BV251" s="168">
        <f t="shared" si="451"/>
        <v>0</v>
      </c>
      <c r="BW251" s="168">
        <f t="shared" si="451"/>
        <v>0</v>
      </c>
      <c r="BX251" s="168">
        <f t="shared" si="451"/>
        <v>0</v>
      </c>
      <c r="BY251" s="168">
        <f t="shared" si="451"/>
        <v>0</v>
      </c>
      <c r="BZ251" s="168">
        <f t="shared" si="451"/>
        <v>0</v>
      </c>
      <c r="CA251" s="168">
        <f t="shared" si="451"/>
        <v>0</v>
      </c>
      <c r="CB251" s="168">
        <f t="shared" si="451"/>
        <v>0</v>
      </c>
      <c r="CC251" s="168">
        <f t="shared" si="451"/>
        <v>0</v>
      </c>
      <c r="CD251" s="168">
        <f t="shared" si="451"/>
        <v>0</v>
      </c>
      <c r="CE251" s="168">
        <f t="shared" si="451"/>
        <v>0</v>
      </c>
    </row>
    <row r="252" spans="1:83" ht="15.5">
      <c r="A252" s="166"/>
      <c r="B252" s="167"/>
      <c r="C252" s="168">
        <f t="shared" ref="C252:BN252" si="452">C165-C79</f>
        <v>0</v>
      </c>
      <c r="D252" s="168">
        <f t="shared" si="452"/>
        <v>0</v>
      </c>
      <c r="E252" s="168">
        <f t="shared" si="452"/>
        <v>0</v>
      </c>
      <c r="F252" s="168">
        <f t="shared" si="452"/>
        <v>0</v>
      </c>
      <c r="G252" s="168">
        <f t="shared" si="452"/>
        <v>0</v>
      </c>
      <c r="H252" s="168">
        <f t="shared" si="452"/>
        <v>0</v>
      </c>
      <c r="I252" s="168">
        <f t="shared" si="452"/>
        <v>0</v>
      </c>
      <c r="J252" s="168">
        <f t="shared" si="452"/>
        <v>0</v>
      </c>
      <c r="K252" s="168">
        <f t="shared" si="452"/>
        <v>0</v>
      </c>
      <c r="L252" s="168">
        <f t="shared" si="452"/>
        <v>0</v>
      </c>
      <c r="M252" s="168">
        <f t="shared" si="452"/>
        <v>0</v>
      </c>
      <c r="N252" s="168">
        <f t="shared" si="452"/>
        <v>0</v>
      </c>
      <c r="O252" s="168">
        <f t="shared" si="452"/>
        <v>0</v>
      </c>
      <c r="P252" s="168">
        <f t="shared" si="452"/>
        <v>0</v>
      </c>
      <c r="Q252" s="168">
        <f t="shared" si="452"/>
        <v>0</v>
      </c>
      <c r="R252" s="168">
        <f t="shared" si="452"/>
        <v>0</v>
      </c>
      <c r="S252" s="168">
        <f t="shared" si="452"/>
        <v>0</v>
      </c>
      <c r="T252" s="168">
        <f t="shared" si="452"/>
        <v>0</v>
      </c>
      <c r="U252" s="168">
        <f t="shared" si="452"/>
        <v>0</v>
      </c>
      <c r="V252" s="168">
        <f t="shared" si="452"/>
        <v>0</v>
      </c>
      <c r="W252" s="168">
        <f t="shared" si="452"/>
        <v>0</v>
      </c>
      <c r="X252" s="168">
        <f t="shared" si="452"/>
        <v>0</v>
      </c>
      <c r="Y252" s="168">
        <f t="shared" si="452"/>
        <v>0</v>
      </c>
      <c r="Z252" s="168">
        <f t="shared" si="452"/>
        <v>0</v>
      </c>
      <c r="AA252" s="168">
        <f t="shared" si="452"/>
        <v>0</v>
      </c>
      <c r="AB252" s="168">
        <f t="shared" si="452"/>
        <v>0</v>
      </c>
      <c r="AC252" s="168">
        <f t="shared" si="452"/>
        <v>0</v>
      </c>
      <c r="AD252" s="168">
        <f t="shared" si="452"/>
        <v>0</v>
      </c>
      <c r="AE252" s="168">
        <f t="shared" si="452"/>
        <v>0</v>
      </c>
      <c r="AF252" s="168">
        <f t="shared" si="452"/>
        <v>0</v>
      </c>
      <c r="AG252" s="168">
        <f t="shared" si="452"/>
        <v>0</v>
      </c>
      <c r="AH252" s="168">
        <f t="shared" si="452"/>
        <v>0</v>
      </c>
      <c r="AI252" s="168">
        <f t="shared" si="452"/>
        <v>0</v>
      </c>
      <c r="AJ252" s="168">
        <f t="shared" si="452"/>
        <v>0</v>
      </c>
      <c r="AK252" s="168">
        <f t="shared" si="452"/>
        <v>0</v>
      </c>
      <c r="AL252" s="168">
        <f t="shared" si="452"/>
        <v>0</v>
      </c>
      <c r="AM252" s="168">
        <f t="shared" si="452"/>
        <v>0</v>
      </c>
      <c r="AN252" s="168">
        <f t="shared" si="452"/>
        <v>0</v>
      </c>
      <c r="AO252" s="168">
        <f t="shared" si="452"/>
        <v>0</v>
      </c>
      <c r="AP252" s="168">
        <f t="shared" si="452"/>
        <v>0</v>
      </c>
      <c r="AQ252" s="168">
        <f t="shared" si="452"/>
        <v>0</v>
      </c>
      <c r="AR252" s="168">
        <f t="shared" si="452"/>
        <v>0</v>
      </c>
      <c r="AS252" s="168">
        <f t="shared" si="452"/>
        <v>0</v>
      </c>
      <c r="AT252" s="168">
        <f t="shared" si="452"/>
        <v>0</v>
      </c>
      <c r="AU252" s="168">
        <f t="shared" si="452"/>
        <v>0</v>
      </c>
      <c r="AV252" s="168">
        <f t="shared" si="452"/>
        <v>0</v>
      </c>
      <c r="AW252" s="168">
        <f t="shared" si="452"/>
        <v>0</v>
      </c>
      <c r="AX252" s="168">
        <f t="shared" si="452"/>
        <v>0</v>
      </c>
      <c r="AY252" s="168">
        <f t="shared" si="452"/>
        <v>0</v>
      </c>
      <c r="AZ252" s="168">
        <f t="shared" si="452"/>
        <v>0</v>
      </c>
      <c r="BA252" s="168">
        <f t="shared" si="452"/>
        <v>0</v>
      </c>
      <c r="BB252" s="168">
        <f t="shared" si="452"/>
        <v>0</v>
      </c>
      <c r="BC252" s="168">
        <f t="shared" si="452"/>
        <v>0</v>
      </c>
      <c r="BD252" s="168">
        <f t="shared" si="452"/>
        <v>0</v>
      </c>
      <c r="BE252" s="168">
        <f t="shared" si="452"/>
        <v>0</v>
      </c>
      <c r="BF252" s="168">
        <f t="shared" si="452"/>
        <v>0</v>
      </c>
      <c r="BG252" s="168">
        <f t="shared" si="452"/>
        <v>0</v>
      </c>
      <c r="BH252" s="168">
        <f t="shared" si="452"/>
        <v>0</v>
      </c>
      <c r="BI252" s="168">
        <f t="shared" si="452"/>
        <v>0</v>
      </c>
      <c r="BJ252" s="168">
        <f t="shared" si="452"/>
        <v>0</v>
      </c>
      <c r="BK252" s="168">
        <f t="shared" si="452"/>
        <v>0</v>
      </c>
      <c r="BL252" s="168">
        <f t="shared" si="452"/>
        <v>0</v>
      </c>
      <c r="BM252" s="168">
        <f t="shared" si="452"/>
        <v>0</v>
      </c>
      <c r="BN252" s="168">
        <f t="shared" si="452"/>
        <v>0</v>
      </c>
      <c r="BO252" s="168">
        <f t="shared" ref="BO252:CE252" si="453">BO165-BO79</f>
        <v>0</v>
      </c>
      <c r="BP252" s="168">
        <f t="shared" si="453"/>
        <v>0</v>
      </c>
      <c r="BQ252" s="168">
        <f t="shared" si="453"/>
        <v>0</v>
      </c>
      <c r="BR252" s="168">
        <f t="shared" si="453"/>
        <v>0</v>
      </c>
      <c r="BS252" s="168">
        <f t="shared" si="453"/>
        <v>0</v>
      </c>
      <c r="BT252" s="168">
        <f t="shared" si="453"/>
        <v>0</v>
      </c>
      <c r="BU252" s="168">
        <f t="shared" si="453"/>
        <v>0</v>
      </c>
      <c r="BV252" s="168">
        <f t="shared" si="453"/>
        <v>0</v>
      </c>
      <c r="BW252" s="168">
        <f t="shared" si="453"/>
        <v>0</v>
      </c>
      <c r="BX252" s="168">
        <f t="shared" si="453"/>
        <v>0</v>
      </c>
      <c r="BY252" s="168">
        <f t="shared" si="453"/>
        <v>0</v>
      </c>
      <c r="BZ252" s="168">
        <f t="shared" si="453"/>
        <v>0</v>
      </c>
      <c r="CA252" s="168">
        <f t="shared" si="453"/>
        <v>0</v>
      </c>
      <c r="CB252" s="168">
        <f t="shared" si="453"/>
        <v>0</v>
      </c>
      <c r="CC252" s="168">
        <f t="shared" si="453"/>
        <v>0</v>
      </c>
      <c r="CD252" s="168">
        <f t="shared" si="453"/>
        <v>0</v>
      </c>
      <c r="CE252" s="168">
        <f t="shared" si="453"/>
        <v>0</v>
      </c>
    </row>
    <row r="253" spans="1:83" ht="21">
      <c r="A253" s="158">
        <v>3</v>
      </c>
      <c r="B253" s="159" t="s">
        <v>3</v>
      </c>
      <c r="C253" s="168">
        <f t="shared" ref="C253:BN253" si="454">C166-C80</f>
        <v>0</v>
      </c>
      <c r="D253" s="168">
        <f t="shared" si="454"/>
        <v>0</v>
      </c>
      <c r="E253" s="168">
        <f t="shared" si="454"/>
        <v>0</v>
      </c>
      <c r="F253" s="168">
        <f t="shared" si="454"/>
        <v>0</v>
      </c>
      <c r="G253" s="168">
        <f t="shared" si="454"/>
        <v>0</v>
      </c>
      <c r="H253" s="168">
        <f t="shared" si="454"/>
        <v>0</v>
      </c>
      <c r="I253" s="168">
        <f t="shared" si="454"/>
        <v>0</v>
      </c>
      <c r="J253" s="168">
        <f t="shared" si="454"/>
        <v>0</v>
      </c>
      <c r="K253" s="168">
        <f t="shared" si="454"/>
        <v>0</v>
      </c>
      <c r="L253" s="168">
        <f t="shared" si="454"/>
        <v>0</v>
      </c>
      <c r="M253" s="168">
        <f t="shared" si="454"/>
        <v>0</v>
      </c>
      <c r="N253" s="168">
        <f t="shared" si="454"/>
        <v>0</v>
      </c>
      <c r="O253" s="168">
        <f t="shared" si="454"/>
        <v>0</v>
      </c>
      <c r="P253" s="168">
        <f t="shared" si="454"/>
        <v>0</v>
      </c>
      <c r="Q253" s="168">
        <f t="shared" si="454"/>
        <v>0</v>
      </c>
      <c r="R253" s="168">
        <f t="shared" si="454"/>
        <v>0</v>
      </c>
      <c r="S253" s="168">
        <f t="shared" si="454"/>
        <v>0</v>
      </c>
      <c r="T253" s="168">
        <f t="shared" si="454"/>
        <v>0</v>
      </c>
      <c r="U253" s="168">
        <f t="shared" si="454"/>
        <v>0</v>
      </c>
      <c r="V253" s="168">
        <f t="shared" si="454"/>
        <v>0</v>
      </c>
      <c r="W253" s="168">
        <f t="shared" si="454"/>
        <v>0</v>
      </c>
      <c r="X253" s="168">
        <f t="shared" si="454"/>
        <v>0</v>
      </c>
      <c r="Y253" s="168">
        <f t="shared" si="454"/>
        <v>0</v>
      </c>
      <c r="Z253" s="168">
        <f t="shared" si="454"/>
        <v>0</v>
      </c>
      <c r="AA253" s="168">
        <f t="shared" si="454"/>
        <v>0</v>
      </c>
      <c r="AB253" s="168">
        <f t="shared" si="454"/>
        <v>0</v>
      </c>
      <c r="AC253" s="168">
        <f t="shared" si="454"/>
        <v>0</v>
      </c>
      <c r="AD253" s="168">
        <f t="shared" si="454"/>
        <v>0</v>
      </c>
      <c r="AE253" s="168">
        <f t="shared" si="454"/>
        <v>0</v>
      </c>
      <c r="AF253" s="168">
        <f t="shared" si="454"/>
        <v>0</v>
      </c>
      <c r="AG253" s="168">
        <f t="shared" si="454"/>
        <v>0</v>
      </c>
      <c r="AH253" s="168">
        <f t="shared" si="454"/>
        <v>0</v>
      </c>
      <c r="AI253" s="168">
        <f t="shared" si="454"/>
        <v>0</v>
      </c>
      <c r="AJ253" s="168">
        <f t="shared" si="454"/>
        <v>0</v>
      </c>
      <c r="AK253" s="168">
        <f t="shared" si="454"/>
        <v>0</v>
      </c>
      <c r="AL253" s="168">
        <f t="shared" si="454"/>
        <v>0</v>
      </c>
      <c r="AM253" s="168">
        <f t="shared" si="454"/>
        <v>0</v>
      </c>
      <c r="AN253" s="168">
        <f t="shared" si="454"/>
        <v>0</v>
      </c>
      <c r="AO253" s="168">
        <f t="shared" si="454"/>
        <v>0</v>
      </c>
      <c r="AP253" s="168">
        <f t="shared" si="454"/>
        <v>0</v>
      </c>
      <c r="AQ253" s="168">
        <f t="shared" si="454"/>
        <v>0</v>
      </c>
      <c r="AR253" s="168">
        <f t="shared" si="454"/>
        <v>0</v>
      </c>
      <c r="AS253" s="168">
        <f t="shared" si="454"/>
        <v>0</v>
      </c>
      <c r="AT253" s="168">
        <f t="shared" si="454"/>
        <v>0</v>
      </c>
      <c r="AU253" s="168">
        <f t="shared" si="454"/>
        <v>0</v>
      </c>
      <c r="AV253" s="168">
        <f t="shared" si="454"/>
        <v>0</v>
      </c>
      <c r="AW253" s="168">
        <f t="shared" si="454"/>
        <v>0</v>
      </c>
      <c r="AX253" s="168">
        <f t="shared" si="454"/>
        <v>0</v>
      </c>
      <c r="AY253" s="168">
        <f t="shared" si="454"/>
        <v>0</v>
      </c>
      <c r="AZ253" s="168">
        <f t="shared" si="454"/>
        <v>0</v>
      </c>
      <c r="BA253" s="168">
        <f t="shared" si="454"/>
        <v>0</v>
      </c>
      <c r="BB253" s="168">
        <f t="shared" si="454"/>
        <v>0</v>
      </c>
      <c r="BC253" s="168">
        <f t="shared" si="454"/>
        <v>0</v>
      </c>
      <c r="BD253" s="168">
        <f t="shared" si="454"/>
        <v>0</v>
      </c>
      <c r="BE253" s="168">
        <f t="shared" si="454"/>
        <v>0</v>
      </c>
      <c r="BF253" s="168">
        <f t="shared" si="454"/>
        <v>0</v>
      </c>
      <c r="BG253" s="168">
        <f t="shared" si="454"/>
        <v>0</v>
      </c>
      <c r="BH253" s="168">
        <f t="shared" si="454"/>
        <v>0</v>
      </c>
      <c r="BI253" s="168">
        <f t="shared" si="454"/>
        <v>0</v>
      </c>
      <c r="BJ253" s="168">
        <f t="shared" si="454"/>
        <v>0</v>
      </c>
      <c r="BK253" s="168">
        <f t="shared" si="454"/>
        <v>0</v>
      </c>
      <c r="BL253" s="168">
        <f t="shared" si="454"/>
        <v>0</v>
      </c>
      <c r="BM253" s="168">
        <f t="shared" si="454"/>
        <v>0</v>
      </c>
      <c r="BN253" s="168">
        <f t="shared" si="454"/>
        <v>0</v>
      </c>
      <c r="BO253" s="168">
        <f t="shared" ref="BO253:CE253" si="455">BO166-BO80</f>
        <v>0</v>
      </c>
      <c r="BP253" s="168">
        <f t="shared" si="455"/>
        <v>0</v>
      </c>
      <c r="BQ253" s="168">
        <f t="shared" si="455"/>
        <v>0</v>
      </c>
      <c r="BR253" s="168">
        <f t="shared" si="455"/>
        <v>0</v>
      </c>
      <c r="BS253" s="168">
        <f t="shared" si="455"/>
        <v>0</v>
      </c>
      <c r="BT253" s="168">
        <f t="shared" si="455"/>
        <v>0</v>
      </c>
      <c r="BU253" s="168">
        <f t="shared" si="455"/>
        <v>0</v>
      </c>
      <c r="BV253" s="168">
        <f t="shared" si="455"/>
        <v>0</v>
      </c>
      <c r="BW253" s="168">
        <f t="shared" si="455"/>
        <v>0</v>
      </c>
      <c r="BX253" s="168">
        <f t="shared" si="455"/>
        <v>0</v>
      </c>
      <c r="BY253" s="168">
        <f t="shared" si="455"/>
        <v>0</v>
      </c>
      <c r="BZ253" s="168">
        <f t="shared" si="455"/>
        <v>0</v>
      </c>
      <c r="CA253" s="168">
        <f t="shared" si="455"/>
        <v>0</v>
      </c>
      <c r="CB253" s="168">
        <f t="shared" si="455"/>
        <v>0</v>
      </c>
      <c r="CC253" s="168">
        <f t="shared" si="455"/>
        <v>0</v>
      </c>
      <c r="CD253" s="168">
        <f t="shared" si="455"/>
        <v>0</v>
      </c>
      <c r="CE253" s="168">
        <f t="shared" si="455"/>
        <v>0</v>
      </c>
    </row>
    <row r="254" spans="1:83" ht="15.5">
      <c r="A254" s="160">
        <v>15</v>
      </c>
      <c r="B254" s="161" t="s">
        <v>194</v>
      </c>
      <c r="C254" s="168">
        <f t="shared" ref="C254:BN254" si="456">C167-C81</f>
        <v>0</v>
      </c>
      <c r="D254" s="168">
        <f t="shared" si="456"/>
        <v>0</v>
      </c>
      <c r="E254" s="168">
        <f t="shared" si="456"/>
        <v>0</v>
      </c>
      <c r="F254" s="168">
        <f t="shared" si="456"/>
        <v>0</v>
      </c>
      <c r="G254" s="168">
        <f t="shared" si="456"/>
        <v>0</v>
      </c>
      <c r="H254" s="168">
        <f t="shared" si="456"/>
        <v>0</v>
      </c>
      <c r="I254" s="168">
        <f t="shared" si="456"/>
        <v>0</v>
      </c>
      <c r="J254" s="168">
        <f t="shared" si="456"/>
        <v>0</v>
      </c>
      <c r="K254" s="168">
        <f t="shared" si="456"/>
        <v>0</v>
      </c>
      <c r="L254" s="168">
        <f t="shared" si="456"/>
        <v>0</v>
      </c>
      <c r="M254" s="168">
        <f t="shared" si="456"/>
        <v>0</v>
      </c>
      <c r="N254" s="168">
        <f t="shared" si="456"/>
        <v>0</v>
      </c>
      <c r="O254" s="168">
        <f t="shared" si="456"/>
        <v>0</v>
      </c>
      <c r="P254" s="168">
        <f t="shared" si="456"/>
        <v>0</v>
      </c>
      <c r="Q254" s="168">
        <f t="shared" si="456"/>
        <v>0</v>
      </c>
      <c r="R254" s="168">
        <f t="shared" si="456"/>
        <v>0</v>
      </c>
      <c r="S254" s="168">
        <f t="shared" si="456"/>
        <v>0</v>
      </c>
      <c r="T254" s="168">
        <f t="shared" si="456"/>
        <v>0</v>
      </c>
      <c r="U254" s="168">
        <f t="shared" si="456"/>
        <v>0</v>
      </c>
      <c r="V254" s="168">
        <f t="shared" si="456"/>
        <v>0</v>
      </c>
      <c r="W254" s="168">
        <f t="shared" si="456"/>
        <v>0</v>
      </c>
      <c r="X254" s="168">
        <f t="shared" si="456"/>
        <v>0</v>
      </c>
      <c r="Y254" s="168">
        <f t="shared" si="456"/>
        <v>0</v>
      </c>
      <c r="Z254" s="168">
        <f t="shared" si="456"/>
        <v>0</v>
      </c>
      <c r="AA254" s="168">
        <f t="shared" si="456"/>
        <v>0</v>
      </c>
      <c r="AB254" s="168">
        <f t="shared" si="456"/>
        <v>0</v>
      </c>
      <c r="AC254" s="168">
        <f t="shared" si="456"/>
        <v>0</v>
      </c>
      <c r="AD254" s="168">
        <f t="shared" si="456"/>
        <v>0</v>
      </c>
      <c r="AE254" s="168">
        <f t="shared" si="456"/>
        <v>0</v>
      </c>
      <c r="AF254" s="168">
        <f t="shared" si="456"/>
        <v>0</v>
      </c>
      <c r="AG254" s="168">
        <f t="shared" si="456"/>
        <v>0</v>
      </c>
      <c r="AH254" s="168">
        <f t="shared" si="456"/>
        <v>0</v>
      </c>
      <c r="AI254" s="168">
        <f t="shared" si="456"/>
        <v>0</v>
      </c>
      <c r="AJ254" s="168">
        <f t="shared" si="456"/>
        <v>0</v>
      </c>
      <c r="AK254" s="168">
        <f t="shared" si="456"/>
        <v>0</v>
      </c>
      <c r="AL254" s="168">
        <f t="shared" si="456"/>
        <v>0</v>
      </c>
      <c r="AM254" s="168">
        <f t="shared" si="456"/>
        <v>0</v>
      </c>
      <c r="AN254" s="168">
        <f t="shared" si="456"/>
        <v>0</v>
      </c>
      <c r="AO254" s="168">
        <f t="shared" si="456"/>
        <v>0</v>
      </c>
      <c r="AP254" s="168">
        <f t="shared" si="456"/>
        <v>0</v>
      </c>
      <c r="AQ254" s="168">
        <f t="shared" si="456"/>
        <v>0</v>
      </c>
      <c r="AR254" s="168">
        <f t="shared" si="456"/>
        <v>0</v>
      </c>
      <c r="AS254" s="168">
        <f t="shared" si="456"/>
        <v>0</v>
      </c>
      <c r="AT254" s="168">
        <f t="shared" si="456"/>
        <v>0</v>
      </c>
      <c r="AU254" s="168">
        <f t="shared" si="456"/>
        <v>0</v>
      </c>
      <c r="AV254" s="168">
        <f t="shared" si="456"/>
        <v>0</v>
      </c>
      <c r="AW254" s="168">
        <f t="shared" si="456"/>
        <v>0</v>
      </c>
      <c r="AX254" s="168">
        <f t="shared" si="456"/>
        <v>0</v>
      </c>
      <c r="AY254" s="168">
        <f t="shared" si="456"/>
        <v>0</v>
      </c>
      <c r="AZ254" s="168">
        <f t="shared" si="456"/>
        <v>0</v>
      </c>
      <c r="BA254" s="168">
        <f t="shared" si="456"/>
        <v>0</v>
      </c>
      <c r="BB254" s="168">
        <f t="shared" si="456"/>
        <v>0</v>
      </c>
      <c r="BC254" s="168">
        <f t="shared" si="456"/>
        <v>0</v>
      </c>
      <c r="BD254" s="168">
        <f t="shared" si="456"/>
        <v>0</v>
      </c>
      <c r="BE254" s="168">
        <f t="shared" si="456"/>
        <v>0</v>
      </c>
      <c r="BF254" s="168">
        <f t="shared" si="456"/>
        <v>0</v>
      </c>
      <c r="BG254" s="168">
        <f t="shared" si="456"/>
        <v>0</v>
      </c>
      <c r="BH254" s="168">
        <f t="shared" si="456"/>
        <v>0</v>
      </c>
      <c r="BI254" s="168">
        <f t="shared" si="456"/>
        <v>0</v>
      </c>
      <c r="BJ254" s="168">
        <f t="shared" si="456"/>
        <v>0</v>
      </c>
      <c r="BK254" s="168">
        <f t="shared" si="456"/>
        <v>0</v>
      </c>
      <c r="BL254" s="168">
        <f t="shared" si="456"/>
        <v>0</v>
      </c>
      <c r="BM254" s="168">
        <f t="shared" si="456"/>
        <v>0</v>
      </c>
      <c r="BN254" s="168">
        <f t="shared" si="456"/>
        <v>0</v>
      </c>
      <c r="BO254" s="168">
        <f t="shared" ref="BO254:CE254" si="457">BO167-BO81</f>
        <v>0</v>
      </c>
      <c r="BP254" s="168">
        <f t="shared" si="457"/>
        <v>0</v>
      </c>
      <c r="BQ254" s="168">
        <f t="shared" si="457"/>
        <v>0</v>
      </c>
      <c r="BR254" s="168">
        <f t="shared" si="457"/>
        <v>0</v>
      </c>
      <c r="BS254" s="168">
        <f t="shared" si="457"/>
        <v>0</v>
      </c>
      <c r="BT254" s="168">
        <f t="shared" si="457"/>
        <v>0</v>
      </c>
      <c r="BU254" s="168">
        <f t="shared" si="457"/>
        <v>0</v>
      </c>
      <c r="BV254" s="168">
        <f t="shared" si="457"/>
        <v>0</v>
      </c>
      <c r="BW254" s="168">
        <f t="shared" si="457"/>
        <v>0</v>
      </c>
      <c r="BX254" s="168">
        <f t="shared" si="457"/>
        <v>0</v>
      </c>
      <c r="BY254" s="168">
        <f t="shared" si="457"/>
        <v>0</v>
      </c>
      <c r="BZ254" s="168">
        <f t="shared" si="457"/>
        <v>0</v>
      </c>
      <c r="CA254" s="168">
        <f t="shared" si="457"/>
        <v>0</v>
      </c>
      <c r="CB254" s="168">
        <f t="shared" si="457"/>
        <v>0</v>
      </c>
      <c r="CC254" s="168">
        <f t="shared" si="457"/>
        <v>0</v>
      </c>
      <c r="CD254" s="168">
        <f t="shared" si="457"/>
        <v>0</v>
      </c>
      <c r="CE254" s="168">
        <f t="shared" si="457"/>
        <v>0</v>
      </c>
    </row>
    <row r="255" spans="1:83" ht="15.5">
      <c r="A255" s="160">
        <v>15</v>
      </c>
      <c r="B255" s="162" t="s">
        <v>139</v>
      </c>
      <c r="C255" s="168">
        <f t="shared" ref="C255:BN255" si="458">C168-C82</f>
        <v>0</v>
      </c>
      <c r="D255" s="168">
        <f t="shared" si="458"/>
        <v>0</v>
      </c>
      <c r="E255" s="168">
        <f t="shared" si="458"/>
        <v>0</v>
      </c>
      <c r="F255" s="168">
        <f t="shared" si="458"/>
        <v>0</v>
      </c>
      <c r="G255" s="168">
        <f t="shared" si="458"/>
        <v>0</v>
      </c>
      <c r="H255" s="168">
        <f t="shared" si="458"/>
        <v>0</v>
      </c>
      <c r="I255" s="168">
        <f t="shared" si="458"/>
        <v>0</v>
      </c>
      <c r="J255" s="168">
        <f t="shared" si="458"/>
        <v>0</v>
      </c>
      <c r="K255" s="168">
        <f t="shared" si="458"/>
        <v>0</v>
      </c>
      <c r="L255" s="168">
        <f t="shared" si="458"/>
        <v>0</v>
      </c>
      <c r="M255" s="168">
        <f t="shared" si="458"/>
        <v>0</v>
      </c>
      <c r="N255" s="168">
        <f t="shared" si="458"/>
        <v>0</v>
      </c>
      <c r="O255" s="168">
        <f t="shared" si="458"/>
        <v>0</v>
      </c>
      <c r="P255" s="168">
        <f t="shared" si="458"/>
        <v>0</v>
      </c>
      <c r="Q255" s="168">
        <f t="shared" si="458"/>
        <v>0</v>
      </c>
      <c r="R255" s="168">
        <f t="shared" si="458"/>
        <v>0</v>
      </c>
      <c r="S255" s="168">
        <f t="shared" si="458"/>
        <v>0</v>
      </c>
      <c r="T255" s="168">
        <f t="shared" si="458"/>
        <v>0</v>
      </c>
      <c r="U255" s="168">
        <f t="shared" si="458"/>
        <v>0</v>
      </c>
      <c r="V255" s="168">
        <f t="shared" si="458"/>
        <v>0</v>
      </c>
      <c r="W255" s="168">
        <f t="shared" si="458"/>
        <v>0</v>
      </c>
      <c r="X255" s="168">
        <f t="shared" si="458"/>
        <v>0</v>
      </c>
      <c r="Y255" s="168">
        <f t="shared" si="458"/>
        <v>0</v>
      </c>
      <c r="Z255" s="168">
        <f t="shared" si="458"/>
        <v>0</v>
      </c>
      <c r="AA255" s="168">
        <f t="shared" si="458"/>
        <v>0</v>
      </c>
      <c r="AB255" s="168">
        <f t="shared" si="458"/>
        <v>0</v>
      </c>
      <c r="AC255" s="168">
        <f t="shared" si="458"/>
        <v>0</v>
      </c>
      <c r="AD255" s="168">
        <f t="shared" si="458"/>
        <v>0</v>
      </c>
      <c r="AE255" s="168">
        <f t="shared" si="458"/>
        <v>0</v>
      </c>
      <c r="AF255" s="168">
        <f t="shared" si="458"/>
        <v>0</v>
      </c>
      <c r="AG255" s="168">
        <f t="shared" si="458"/>
        <v>0</v>
      </c>
      <c r="AH255" s="168">
        <f t="shared" si="458"/>
        <v>0</v>
      </c>
      <c r="AI255" s="168">
        <f t="shared" si="458"/>
        <v>0</v>
      </c>
      <c r="AJ255" s="168">
        <f t="shared" si="458"/>
        <v>0</v>
      </c>
      <c r="AK255" s="168">
        <f t="shared" si="458"/>
        <v>0</v>
      </c>
      <c r="AL255" s="168">
        <f t="shared" si="458"/>
        <v>0</v>
      </c>
      <c r="AM255" s="168">
        <f t="shared" si="458"/>
        <v>0</v>
      </c>
      <c r="AN255" s="168">
        <f t="shared" si="458"/>
        <v>0</v>
      </c>
      <c r="AO255" s="168">
        <f t="shared" si="458"/>
        <v>0</v>
      </c>
      <c r="AP255" s="168">
        <f t="shared" si="458"/>
        <v>0</v>
      </c>
      <c r="AQ255" s="168">
        <f t="shared" si="458"/>
        <v>0</v>
      </c>
      <c r="AR255" s="168">
        <f t="shared" si="458"/>
        <v>0</v>
      </c>
      <c r="AS255" s="168">
        <f t="shared" si="458"/>
        <v>0</v>
      </c>
      <c r="AT255" s="168">
        <f t="shared" si="458"/>
        <v>0</v>
      </c>
      <c r="AU255" s="168">
        <f t="shared" si="458"/>
        <v>0</v>
      </c>
      <c r="AV255" s="168">
        <f t="shared" si="458"/>
        <v>0</v>
      </c>
      <c r="AW255" s="168">
        <f t="shared" si="458"/>
        <v>0</v>
      </c>
      <c r="AX255" s="168">
        <f t="shared" si="458"/>
        <v>0</v>
      </c>
      <c r="AY255" s="168">
        <f t="shared" si="458"/>
        <v>0</v>
      </c>
      <c r="AZ255" s="168">
        <f t="shared" si="458"/>
        <v>0</v>
      </c>
      <c r="BA255" s="168">
        <f t="shared" si="458"/>
        <v>0</v>
      </c>
      <c r="BB255" s="168">
        <f t="shared" si="458"/>
        <v>0</v>
      </c>
      <c r="BC255" s="168">
        <f t="shared" si="458"/>
        <v>0</v>
      </c>
      <c r="BD255" s="168">
        <f t="shared" si="458"/>
        <v>0</v>
      </c>
      <c r="BE255" s="168">
        <f t="shared" si="458"/>
        <v>0</v>
      </c>
      <c r="BF255" s="168">
        <f t="shared" si="458"/>
        <v>0</v>
      </c>
      <c r="BG255" s="168">
        <f t="shared" si="458"/>
        <v>0</v>
      </c>
      <c r="BH255" s="168">
        <f t="shared" si="458"/>
        <v>0</v>
      </c>
      <c r="BI255" s="168">
        <f t="shared" si="458"/>
        <v>0</v>
      </c>
      <c r="BJ255" s="168">
        <f t="shared" si="458"/>
        <v>0</v>
      </c>
      <c r="BK255" s="168">
        <f t="shared" si="458"/>
        <v>0</v>
      </c>
      <c r="BL255" s="168">
        <f t="shared" si="458"/>
        <v>0</v>
      </c>
      <c r="BM255" s="168">
        <f t="shared" si="458"/>
        <v>0</v>
      </c>
      <c r="BN255" s="168">
        <f t="shared" si="458"/>
        <v>0</v>
      </c>
      <c r="BO255" s="168">
        <f t="shared" ref="BO255:CE255" si="459">BO168-BO82</f>
        <v>0</v>
      </c>
      <c r="BP255" s="168">
        <f t="shared" si="459"/>
        <v>0</v>
      </c>
      <c r="BQ255" s="168">
        <f t="shared" si="459"/>
        <v>0</v>
      </c>
      <c r="BR255" s="168">
        <f t="shared" si="459"/>
        <v>0</v>
      </c>
      <c r="BS255" s="168">
        <f t="shared" si="459"/>
        <v>0</v>
      </c>
      <c r="BT255" s="168">
        <f t="shared" si="459"/>
        <v>0</v>
      </c>
      <c r="BU255" s="168">
        <f t="shared" si="459"/>
        <v>0</v>
      </c>
      <c r="BV255" s="168">
        <f t="shared" si="459"/>
        <v>0</v>
      </c>
      <c r="BW255" s="168">
        <f t="shared" si="459"/>
        <v>0</v>
      </c>
      <c r="BX255" s="168">
        <f t="shared" si="459"/>
        <v>0</v>
      </c>
      <c r="BY255" s="168">
        <f t="shared" si="459"/>
        <v>0</v>
      </c>
      <c r="BZ255" s="168">
        <f t="shared" si="459"/>
        <v>0</v>
      </c>
      <c r="CA255" s="168">
        <f t="shared" si="459"/>
        <v>0</v>
      </c>
      <c r="CB255" s="168">
        <f t="shared" si="459"/>
        <v>0</v>
      </c>
      <c r="CC255" s="168">
        <f t="shared" si="459"/>
        <v>0</v>
      </c>
      <c r="CD255" s="168">
        <f t="shared" si="459"/>
        <v>0</v>
      </c>
      <c r="CE255" s="168">
        <f t="shared" si="459"/>
        <v>0</v>
      </c>
    </row>
    <row r="256" spans="1:83" ht="15.5">
      <c r="A256" s="160">
        <v>15</v>
      </c>
      <c r="B256" s="163" t="s">
        <v>140</v>
      </c>
      <c r="C256" s="168">
        <f t="shared" ref="C256:BN256" si="460">C169-C83</f>
        <v>0</v>
      </c>
      <c r="D256" s="168">
        <f t="shared" si="460"/>
        <v>0</v>
      </c>
      <c r="E256" s="168">
        <f t="shared" si="460"/>
        <v>0</v>
      </c>
      <c r="F256" s="168">
        <f t="shared" si="460"/>
        <v>0</v>
      </c>
      <c r="G256" s="168">
        <f t="shared" si="460"/>
        <v>0</v>
      </c>
      <c r="H256" s="168">
        <f t="shared" si="460"/>
        <v>0</v>
      </c>
      <c r="I256" s="168">
        <f t="shared" si="460"/>
        <v>0</v>
      </c>
      <c r="J256" s="168">
        <f t="shared" si="460"/>
        <v>0</v>
      </c>
      <c r="K256" s="168">
        <f t="shared" si="460"/>
        <v>0</v>
      </c>
      <c r="L256" s="168">
        <f t="shared" si="460"/>
        <v>0</v>
      </c>
      <c r="M256" s="168">
        <f t="shared" si="460"/>
        <v>0</v>
      </c>
      <c r="N256" s="168">
        <f t="shared" si="460"/>
        <v>0</v>
      </c>
      <c r="O256" s="168">
        <f t="shared" si="460"/>
        <v>0</v>
      </c>
      <c r="P256" s="168">
        <f t="shared" si="460"/>
        <v>0</v>
      </c>
      <c r="Q256" s="168">
        <f t="shared" si="460"/>
        <v>0</v>
      </c>
      <c r="R256" s="168">
        <f t="shared" si="460"/>
        <v>0</v>
      </c>
      <c r="S256" s="168">
        <f t="shared" si="460"/>
        <v>0</v>
      </c>
      <c r="T256" s="168">
        <f t="shared" si="460"/>
        <v>0</v>
      </c>
      <c r="U256" s="168">
        <f t="shared" si="460"/>
        <v>0</v>
      </c>
      <c r="V256" s="168">
        <f t="shared" si="460"/>
        <v>0</v>
      </c>
      <c r="W256" s="168">
        <f t="shared" si="460"/>
        <v>0</v>
      </c>
      <c r="X256" s="168">
        <f t="shared" si="460"/>
        <v>0</v>
      </c>
      <c r="Y256" s="168">
        <f t="shared" si="460"/>
        <v>0</v>
      </c>
      <c r="Z256" s="168">
        <f t="shared" si="460"/>
        <v>0</v>
      </c>
      <c r="AA256" s="168">
        <f t="shared" si="460"/>
        <v>0</v>
      </c>
      <c r="AB256" s="168">
        <f t="shared" si="460"/>
        <v>0</v>
      </c>
      <c r="AC256" s="168">
        <f t="shared" si="460"/>
        <v>0</v>
      </c>
      <c r="AD256" s="168">
        <f t="shared" si="460"/>
        <v>0</v>
      </c>
      <c r="AE256" s="168">
        <f t="shared" si="460"/>
        <v>0</v>
      </c>
      <c r="AF256" s="168">
        <f t="shared" si="460"/>
        <v>0</v>
      </c>
      <c r="AG256" s="168">
        <f t="shared" si="460"/>
        <v>0</v>
      </c>
      <c r="AH256" s="168">
        <f t="shared" si="460"/>
        <v>0</v>
      </c>
      <c r="AI256" s="168">
        <f t="shared" si="460"/>
        <v>0</v>
      </c>
      <c r="AJ256" s="168">
        <f t="shared" si="460"/>
        <v>0</v>
      </c>
      <c r="AK256" s="168">
        <f t="shared" si="460"/>
        <v>0</v>
      </c>
      <c r="AL256" s="168">
        <f t="shared" si="460"/>
        <v>0</v>
      </c>
      <c r="AM256" s="168">
        <f t="shared" si="460"/>
        <v>0</v>
      </c>
      <c r="AN256" s="168">
        <f t="shared" si="460"/>
        <v>0</v>
      </c>
      <c r="AO256" s="168">
        <f t="shared" si="460"/>
        <v>0</v>
      </c>
      <c r="AP256" s="168">
        <f t="shared" si="460"/>
        <v>0</v>
      </c>
      <c r="AQ256" s="168">
        <f t="shared" si="460"/>
        <v>0</v>
      </c>
      <c r="AR256" s="168">
        <f t="shared" si="460"/>
        <v>0</v>
      </c>
      <c r="AS256" s="168">
        <f t="shared" si="460"/>
        <v>0</v>
      </c>
      <c r="AT256" s="168">
        <f t="shared" si="460"/>
        <v>0</v>
      </c>
      <c r="AU256" s="168">
        <f t="shared" si="460"/>
        <v>0</v>
      </c>
      <c r="AV256" s="168">
        <f t="shared" si="460"/>
        <v>0</v>
      </c>
      <c r="AW256" s="168">
        <f t="shared" si="460"/>
        <v>0</v>
      </c>
      <c r="AX256" s="168">
        <f t="shared" si="460"/>
        <v>0</v>
      </c>
      <c r="AY256" s="168">
        <f t="shared" si="460"/>
        <v>0</v>
      </c>
      <c r="AZ256" s="168">
        <f t="shared" si="460"/>
        <v>0</v>
      </c>
      <c r="BA256" s="168">
        <f t="shared" si="460"/>
        <v>0</v>
      </c>
      <c r="BB256" s="168">
        <f t="shared" si="460"/>
        <v>0</v>
      </c>
      <c r="BC256" s="168">
        <f t="shared" si="460"/>
        <v>0</v>
      </c>
      <c r="BD256" s="168">
        <f t="shared" si="460"/>
        <v>0</v>
      </c>
      <c r="BE256" s="168">
        <f t="shared" si="460"/>
        <v>0</v>
      </c>
      <c r="BF256" s="168">
        <f t="shared" si="460"/>
        <v>0</v>
      </c>
      <c r="BG256" s="168">
        <f t="shared" si="460"/>
        <v>0</v>
      </c>
      <c r="BH256" s="168">
        <f t="shared" si="460"/>
        <v>0</v>
      </c>
      <c r="BI256" s="168">
        <f t="shared" si="460"/>
        <v>0</v>
      </c>
      <c r="BJ256" s="168">
        <f t="shared" si="460"/>
        <v>0</v>
      </c>
      <c r="BK256" s="168">
        <f t="shared" si="460"/>
        <v>0</v>
      </c>
      <c r="BL256" s="168">
        <f t="shared" si="460"/>
        <v>0</v>
      </c>
      <c r="BM256" s="168">
        <f t="shared" si="460"/>
        <v>0</v>
      </c>
      <c r="BN256" s="168">
        <f t="shared" si="460"/>
        <v>0</v>
      </c>
      <c r="BO256" s="168">
        <f t="shared" ref="BO256:CE256" si="461">BO169-BO83</f>
        <v>0</v>
      </c>
      <c r="BP256" s="168">
        <f t="shared" si="461"/>
        <v>0</v>
      </c>
      <c r="BQ256" s="168">
        <f t="shared" si="461"/>
        <v>0</v>
      </c>
      <c r="BR256" s="168">
        <f t="shared" si="461"/>
        <v>0</v>
      </c>
      <c r="BS256" s="168">
        <f t="shared" si="461"/>
        <v>0</v>
      </c>
      <c r="BT256" s="168">
        <f t="shared" si="461"/>
        <v>0</v>
      </c>
      <c r="BU256" s="168">
        <f t="shared" si="461"/>
        <v>0</v>
      </c>
      <c r="BV256" s="168">
        <f t="shared" si="461"/>
        <v>0</v>
      </c>
      <c r="BW256" s="168">
        <f t="shared" si="461"/>
        <v>0</v>
      </c>
      <c r="BX256" s="168">
        <f t="shared" si="461"/>
        <v>0</v>
      </c>
      <c r="BY256" s="168">
        <f t="shared" si="461"/>
        <v>0</v>
      </c>
      <c r="BZ256" s="168">
        <f t="shared" si="461"/>
        <v>0</v>
      </c>
      <c r="CA256" s="168">
        <f t="shared" si="461"/>
        <v>0</v>
      </c>
      <c r="CB256" s="168">
        <f t="shared" si="461"/>
        <v>0</v>
      </c>
      <c r="CC256" s="168">
        <f t="shared" si="461"/>
        <v>0</v>
      </c>
      <c r="CD256" s="168">
        <f t="shared" si="461"/>
        <v>0</v>
      </c>
      <c r="CE256" s="168">
        <f t="shared" si="461"/>
        <v>0</v>
      </c>
    </row>
    <row r="257" spans="1:83" ht="15.5">
      <c r="A257" s="160">
        <v>15</v>
      </c>
      <c r="B257" s="164" t="s">
        <v>195</v>
      </c>
      <c r="C257" s="168">
        <f t="shared" ref="C257:BN257" si="462">C170-C84</f>
        <v>0</v>
      </c>
      <c r="D257" s="168">
        <f t="shared" si="462"/>
        <v>0</v>
      </c>
      <c r="E257" s="168">
        <f t="shared" si="462"/>
        <v>0</v>
      </c>
      <c r="F257" s="168">
        <f t="shared" si="462"/>
        <v>0</v>
      </c>
      <c r="G257" s="168">
        <f t="shared" si="462"/>
        <v>0</v>
      </c>
      <c r="H257" s="168">
        <f t="shared" si="462"/>
        <v>0</v>
      </c>
      <c r="I257" s="168">
        <f t="shared" si="462"/>
        <v>0</v>
      </c>
      <c r="J257" s="168">
        <f t="shared" si="462"/>
        <v>0</v>
      </c>
      <c r="K257" s="168">
        <f t="shared" si="462"/>
        <v>0</v>
      </c>
      <c r="L257" s="168">
        <f t="shared" si="462"/>
        <v>0</v>
      </c>
      <c r="M257" s="168">
        <f t="shared" si="462"/>
        <v>0</v>
      </c>
      <c r="N257" s="168">
        <f t="shared" si="462"/>
        <v>0</v>
      </c>
      <c r="O257" s="168">
        <f t="shared" si="462"/>
        <v>0</v>
      </c>
      <c r="P257" s="168">
        <f t="shared" si="462"/>
        <v>0</v>
      </c>
      <c r="Q257" s="168">
        <f t="shared" si="462"/>
        <v>0</v>
      </c>
      <c r="R257" s="168">
        <f t="shared" si="462"/>
        <v>0</v>
      </c>
      <c r="S257" s="168">
        <f t="shared" si="462"/>
        <v>0</v>
      </c>
      <c r="T257" s="168">
        <f t="shared" si="462"/>
        <v>0</v>
      </c>
      <c r="U257" s="168">
        <f t="shared" si="462"/>
        <v>0</v>
      </c>
      <c r="V257" s="168">
        <f t="shared" si="462"/>
        <v>0</v>
      </c>
      <c r="W257" s="168">
        <f t="shared" si="462"/>
        <v>0</v>
      </c>
      <c r="X257" s="168">
        <f t="shared" si="462"/>
        <v>0</v>
      </c>
      <c r="Y257" s="168">
        <f t="shared" si="462"/>
        <v>0</v>
      </c>
      <c r="Z257" s="168">
        <f t="shared" si="462"/>
        <v>0</v>
      </c>
      <c r="AA257" s="168">
        <f t="shared" si="462"/>
        <v>0</v>
      </c>
      <c r="AB257" s="168">
        <f t="shared" si="462"/>
        <v>0</v>
      </c>
      <c r="AC257" s="168">
        <f t="shared" si="462"/>
        <v>0</v>
      </c>
      <c r="AD257" s="168">
        <f t="shared" si="462"/>
        <v>0</v>
      </c>
      <c r="AE257" s="168">
        <f t="shared" si="462"/>
        <v>0</v>
      </c>
      <c r="AF257" s="168">
        <f t="shared" si="462"/>
        <v>0</v>
      </c>
      <c r="AG257" s="168">
        <f t="shared" si="462"/>
        <v>0</v>
      </c>
      <c r="AH257" s="168">
        <f t="shared" si="462"/>
        <v>0</v>
      </c>
      <c r="AI257" s="168">
        <f t="shared" si="462"/>
        <v>0</v>
      </c>
      <c r="AJ257" s="168">
        <f t="shared" si="462"/>
        <v>0</v>
      </c>
      <c r="AK257" s="168">
        <f t="shared" si="462"/>
        <v>0</v>
      </c>
      <c r="AL257" s="168">
        <f t="shared" si="462"/>
        <v>0</v>
      </c>
      <c r="AM257" s="168">
        <f t="shared" si="462"/>
        <v>0</v>
      </c>
      <c r="AN257" s="168">
        <f t="shared" si="462"/>
        <v>0</v>
      </c>
      <c r="AO257" s="168">
        <f t="shared" si="462"/>
        <v>0</v>
      </c>
      <c r="AP257" s="168">
        <f t="shared" si="462"/>
        <v>0</v>
      </c>
      <c r="AQ257" s="168">
        <f t="shared" si="462"/>
        <v>0</v>
      </c>
      <c r="AR257" s="168">
        <f t="shared" si="462"/>
        <v>0</v>
      </c>
      <c r="AS257" s="168">
        <f t="shared" si="462"/>
        <v>0</v>
      </c>
      <c r="AT257" s="168">
        <f t="shared" si="462"/>
        <v>0</v>
      </c>
      <c r="AU257" s="168">
        <f t="shared" si="462"/>
        <v>0</v>
      </c>
      <c r="AV257" s="168">
        <f t="shared" si="462"/>
        <v>0</v>
      </c>
      <c r="AW257" s="168">
        <f t="shared" si="462"/>
        <v>0</v>
      </c>
      <c r="AX257" s="168">
        <f t="shared" si="462"/>
        <v>0</v>
      </c>
      <c r="AY257" s="168">
        <f t="shared" si="462"/>
        <v>0</v>
      </c>
      <c r="AZ257" s="168">
        <f t="shared" si="462"/>
        <v>0</v>
      </c>
      <c r="BA257" s="168">
        <f t="shared" si="462"/>
        <v>0</v>
      </c>
      <c r="BB257" s="168">
        <f t="shared" si="462"/>
        <v>0</v>
      </c>
      <c r="BC257" s="168">
        <f t="shared" si="462"/>
        <v>0</v>
      </c>
      <c r="BD257" s="168">
        <f t="shared" si="462"/>
        <v>0</v>
      </c>
      <c r="BE257" s="168">
        <f t="shared" si="462"/>
        <v>0</v>
      </c>
      <c r="BF257" s="168">
        <f t="shared" si="462"/>
        <v>0</v>
      </c>
      <c r="BG257" s="168">
        <f t="shared" si="462"/>
        <v>0</v>
      </c>
      <c r="BH257" s="168">
        <f t="shared" si="462"/>
        <v>0</v>
      </c>
      <c r="BI257" s="168">
        <f t="shared" si="462"/>
        <v>0</v>
      </c>
      <c r="BJ257" s="168">
        <f t="shared" si="462"/>
        <v>0</v>
      </c>
      <c r="BK257" s="168">
        <f t="shared" si="462"/>
        <v>0</v>
      </c>
      <c r="BL257" s="168">
        <f t="shared" si="462"/>
        <v>0</v>
      </c>
      <c r="BM257" s="168">
        <f t="shared" si="462"/>
        <v>0</v>
      </c>
      <c r="BN257" s="168">
        <f t="shared" si="462"/>
        <v>0</v>
      </c>
      <c r="BO257" s="168">
        <f t="shared" ref="BO257:CE257" si="463">BO170-BO84</f>
        <v>0</v>
      </c>
      <c r="BP257" s="168">
        <f t="shared" si="463"/>
        <v>0</v>
      </c>
      <c r="BQ257" s="168">
        <f t="shared" si="463"/>
        <v>0</v>
      </c>
      <c r="BR257" s="168">
        <f t="shared" si="463"/>
        <v>0</v>
      </c>
      <c r="BS257" s="168">
        <f t="shared" si="463"/>
        <v>0</v>
      </c>
      <c r="BT257" s="168">
        <f t="shared" si="463"/>
        <v>0</v>
      </c>
      <c r="BU257" s="168">
        <f t="shared" si="463"/>
        <v>0</v>
      </c>
      <c r="BV257" s="168">
        <f t="shared" si="463"/>
        <v>0</v>
      </c>
      <c r="BW257" s="168">
        <f t="shared" si="463"/>
        <v>0</v>
      </c>
      <c r="BX257" s="168">
        <f t="shared" si="463"/>
        <v>0</v>
      </c>
      <c r="BY257" s="168">
        <f t="shared" si="463"/>
        <v>0</v>
      </c>
      <c r="BZ257" s="168">
        <f t="shared" si="463"/>
        <v>0</v>
      </c>
      <c r="CA257" s="168">
        <f t="shared" si="463"/>
        <v>0</v>
      </c>
      <c r="CB257" s="168">
        <f t="shared" si="463"/>
        <v>0</v>
      </c>
      <c r="CC257" s="168">
        <f t="shared" si="463"/>
        <v>0</v>
      </c>
      <c r="CD257" s="168">
        <f t="shared" si="463"/>
        <v>0</v>
      </c>
      <c r="CE257" s="168">
        <f t="shared" si="463"/>
        <v>0</v>
      </c>
    </row>
    <row r="258" spans="1:83" ht="15.5">
      <c r="A258" s="160">
        <v>15</v>
      </c>
      <c r="B258" s="165" t="s">
        <v>196</v>
      </c>
      <c r="C258" s="168">
        <f t="shared" ref="C258:BN258" si="464">C171-C85</f>
        <v>0</v>
      </c>
      <c r="D258" s="168">
        <f t="shared" si="464"/>
        <v>0</v>
      </c>
      <c r="E258" s="168">
        <f t="shared" si="464"/>
        <v>0</v>
      </c>
      <c r="F258" s="168">
        <f t="shared" si="464"/>
        <v>0</v>
      </c>
      <c r="G258" s="168">
        <f t="shared" si="464"/>
        <v>0</v>
      </c>
      <c r="H258" s="168">
        <f t="shared" si="464"/>
        <v>0</v>
      </c>
      <c r="I258" s="168">
        <f t="shared" si="464"/>
        <v>0</v>
      </c>
      <c r="J258" s="168">
        <f t="shared" si="464"/>
        <v>0</v>
      </c>
      <c r="K258" s="168">
        <f t="shared" si="464"/>
        <v>0</v>
      </c>
      <c r="L258" s="168">
        <f t="shared" si="464"/>
        <v>0</v>
      </c>
      <c r="M258" s="168">
        <f t="shared" si="464"/>
        <v>0</v>
      </c>
      <c r="N258" s="168">
        <f t="shared" si="464"/>
        <v>0</v>
      </c>
      <c r="O258" s="168">
        <f t="shared" si="464"/>
        <v>0</v>
      </c>
      <c r="P258" s="168">
        <f t="shared" si="464"/>
        <v>0</v>
      </c>
      <c r="Q258" s="168">
        <f t="shared" si="464"/>
        <v>0</v>
      </c>
      <c r="R258" s="168">
        <f t="shared" si="464"/>
        <v>0</v>
      </c>
      <c r="S258" s="168">
        <f t="shared" si="464"/>
        <v>0</v>
      </c>
      <c r="T258" s="168">
        <f t="shared" si="464"/>
        <v>0</v>
      </c>
      <c r="U258" s="168">
        <f t="shared" si="464"/>
        <v>0</v>
      </c>
      <c r="V258" s="168">
        <f t="shared" si="464"/>
        <v>0</v>
      </c>
      <c r="W258" s="168">
        <f t="shared" si="464"/>
        <v>0</v>
      </c>
      <c r="X258" s="168">
        <f t="shared" si="464"/>
        <v>0</v>
      </c>
      <c r="Y258" s="168">
        <f t="shared" si="464"/>
        <v>0</v>
      </c>
      <c r="Z258" s="168">
        <f t="shared" si="464"/>
        <v>0</v>
      </c>
      <c r="AA258" s="168">
        <f t="shared" si="464"/>
        <v>0</v>
      </c>
      <c r="AB258" s="168">
        <f t="shared" si="464"/>
        <v>0</v>
      </c>
      <c r="AC258" s="168">
        <f t="shared" si="464"/>
        <v>0</v>
      </c>
      <c r="AD258" s="168">
        <f t="shared" si="464"/>
        <v>0</v>
      </c>
      <c r="AE258" s="168">
        <f t="shared" si="464"/>
        <v>0</v>
      </c>
      <c r="AF258" s="168">
        <f t="shared" si="464"/>
        <v>0</v>
      </c>
      <c r="AG258" s="168">
        <f t="shared" si="464"/>
        <v>0</v>
      </c>
      <c r="AH258" s="168">
        <f t="shared" si="464"/>
        <v>0</v>
      </c>
      <c r="AI258" s="168">
        <f t="shared" si="464"/>
        <v>0</v>
      </c>
      <c r="AJ258" s="168">
        <f t="shared" si="464"/>
        <v>0</v>
      </c>
      <c r="AK258" s="168">
        <f t="shared" si="464"/>
        <v>0</v>
      </c>
      <c r="AL258" s="168">
        <f t="shared" si="464"/>
        <v>0</v>
      </c>
      <c r="AM258" s="168">
        <f t="shared" si="464"/>
        <v>0</v>
      </c>
      <c r="AN258" s="168">
        <f t="shared" si="464"/>
        <v>0</v>
      </c>
      <c r="AO258" s="168">
        <f t="shared" si="464"/>
        <v>0</v>
      </c>
      <c r="AP258" s="168">
        <f t="shared" si="464"/>
        <v>0</v>
      </c>
      <c r="AQ258" s="168">
        <f t="shared" si="464"/>
        <v>0</v>
      </c>
      <c r="AR258" s="168">
        <f t="shared" si="464"/>
        <v>0</v>
      </c>
      <c r="AS258" s="168">
        <f t="shared" si="464"/>
        <v>0</v>
      </c>
      <c r="AT258" s="168">
        <f t="shared" si="464"/>
        <v>0</v>
      </c>
      <c r="AU258" s="168">
        <f t="shared" si="464"/>
        <v>0</v>
      </c>
      <c r="AV258" s="168">
        <f t="shared" si="464"/>
        <v>0</v>
      </c>
      <c r="AW258" s="168">
        <f t="shared" si="464"/>
        <v>0</v>
      </c>
      <c r="AX258" s="168">
        <f t="shared" si="464"/>
        <v>0</v>
      </c>
      <c r="AY258" s="168">
        <f t="shared" si="464"/>
        <v>0</v>
      </c>
      <c r="AZ258" s="168">
        <f t="shared" si="464"/>
        <v>0</v>
      </c>
      <c r="BA258" s="168">
        <f t="shared" si="464"/>
        <v>0</v>
      </c>
      <c r="BB258" s="168">
        <f t="shared" si="464"/>
        <v>0</v>
      </c>
      <c r="BC258" s="168">
        <f t="shared" si="464"/>
        <v>0</v>
      </c>
      <c r="BD258" s="168">
        <f t="shared" si="464"/>
        <v>0</v>
      </c>
      <c r="BE258" s="168">
        <f t="shared" si="464"/>
        <v>0</v>
      </c>
      <c r="BF258" s="168">
        <f t="shared" si="464"/>
        <v>0</v>
      </c>
      <c r="BG258" s="168">
        <f t="shared" si="464"/>
        <v>0</v>
      </c>
      <c r="BH258" s="168">
        <f t="shared" si="464"/>
        <v>0</v>
      </c>
      <c r="BI258" s="168">
        <f t="shared" si="464"/>
        <v>0</v>
      </c>
      <c r="BJ258" s="168">
        <f t="shared" si="464"/>
        <v>0</v>
      </c>
      <c r="BK258" s="168">
        <f t="shared" si="464"/>
        <v>0</v>
      </c>
      <c r="BL258" s="168">
        <f t="shared" si="464"/>
        <v>0</v>
      </c>
      <c r="BM258" s="168">
        <f t="shared" si="464"/>
        <v>0</v>
      </c>
      <c r="BN258" s="168">
        <f t="shared" si="464"/>
        <v>0</v>
      </c>
      <c r="BO258" s="168">
        <f t="shared" ref="BO258:CE258" si="465">BO171-BO85</f>
        <v>0</v>
      </c>
      <c r="BP258" s="168">
        <f t="shared" si="465"/>
        <v>0</v>
      </c>
      <c r="BQ258" s="168">
        <f t="shared" si="465"/>
        <v>0</v>
      </c>
      <c r="BR258" s="168">
        <f t="shared" si="465"/>
        <v>0</v>
      </c>
      <c r="BS258" s="168">
        <f t="shared" si="465"/>
        <v>0</v>
      </c>
      <c r="BT258" s="168">
        <f t="shared" si="465"/>
        <v>0</v>
      </c>
      <c r="BU258" s="168">
        <f t="shared" si="465"/>
        <v>0</v>
      </c>
      <c r="BV258" s="168">
        <f t="shared" si="465"/>
        <v>0</v>
      </c>
      <c r="BW258" s="168">
        <f t="shared" si="465"/>
        <v>0</v>
      </c>
      <c r="BX258" s="168">
        <f t="shared" si="465"/>
        <v>0</v>
      </c>
      <c r="BY258" s="168">
        <f t="shared" si="465"/>
        <v>0</v>
      </c>
      <c r="BZ258" s="168">
        <f t="shared" si="465"/>
        <v>0</v>
      </c>
      <c r="CA258" s="168">
        <f t="shared" si="465"/>
        <v>0</v>
      </c>
      <c r="CB258" s="168">
        <f t="shared" si="465"/>
        <v>0</v>
      </c>
      <c r="CC258" s="168">
        <f t="shared" si="465"/>
        <v>0</v>
      </c>
      <c r="CD258" s="168">
        <f t="shared" si="465"/>
        <v>0</v>
      </c>
      <c r="CE258" s="168">
        <f t="shared" si="465"/>
        <v>0</v>
      </c>
    </row>
  </sheetData>
  <autoFilter ref="A2:CE171" xr:uid="{7EC92C53-01FE-4C8B-B1B4-5EC8B1E4C72B}"/>
  <conditionalFormatting sqref="C87:CE87 C177:CE258">
    <cfRule type="expression" dxfId="10" priority="1">
      <formula>C87&lt;&gt;0</formula>
    </cfRule>
  </conditionalFormatting>
  <conditionalFormatting sqref="D177:Q181 R177:CE258 C178:CE258">
    <cfRule type="expression" dxfId="9" priority="3">
      <formula>"BH177&lt;&gt;0"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FFAE-8E5C-4DF5-8E18-DD0E3097A64B}">
  <dimension ref="A1:T66"/>
  <sheetViews>
    <sheetView zoomScale="85" zoomScaleNormal="85" workbookViewId="0">
      <selection activeCell="B25" sqref="B25:M43"/>
    </sheetView>
  </sheetViews>
  <sheetFormatPr defaultColWidth="9" defaultRowHeight="14.5"/>
  <cols>
    <col min="1" max="1" width="13.36328125" style="101" customWidth="1"/>
    <col min="2" max="13" width="12.7265625" style="101" customWidth="1"/>
    <col min="14" max="16384" width="9" style="101"/>
  </cols>
  <sheetData>
    <row r="1" spans="1:13">
      <c r="A1" s="216" t="s">
        <v>217</v>
      </c>
      <c r="B1" s="169">
        <v>4</v>
      </c>
      <c r="C1" s="169">
        <v>5</v>
      </c>
      <c r="D1" s="169">
        <v>6</v>
      </c>
      <c r="E1" s="169">
        <v>7</v>
      </c>
      <c r="F1" s="169">
        <v>8</v>
      </c>
      <c r="G1" s="169">
        <v>9</v>
      </c>
      <c r="H1" s="169">
        <v>10</v>
      </c>
      <c r="I1" s="169">
        <v>11</v>
      </c>
      <c r="J1" s="169">
        <v>12</v>
      </c>
      <c r="K1" s="169">
        <v>1</v>
      </c>
      <c r="L1" s="169">
        <v>2</v>
      </c>
      <c r="M1" s="169">
        <v>3</v>
      </c>
    </row>
    <row r="2" spans="1:13">
      <c r="A2" s="170" t="s">
        <v>3</v>
      </c>
    </row>
    <row r="3" spans="1:13">
      <c r="A3" s="171" t="s">
        <v>194</v>
      </c>
      <c r="B3" s="171">
        <f>SUMIFS(集計!F:F,集計!$C:$C,KDTVN!$A$2,集計!$D:$D,KDTVN!$A$3)</f>
        <v>48</v>
      </c>
      <c r="C3" s="171">
        <f>SUMIFS(集計!G:G,集計!$C:$C,KDTVN!$A$2,集計!$D:$D,KDTVN!$A$3)</f>
        <v>48</v>
      </c>
      <c r="D3" s="171">
        <f>SUMIFS(集計!H:H,集計!$C:$C,KDTVN!$A$2,集計!$D:$D,KDTVN!$A$3)</f>
        <v>48</v>
      </c>
      <c r="E3" s="171">
        <f>SUMIFS(集計!I:I,集計!$C:$C,KDTVN!$A$2,集計!$D:$D,KDTVN!$A$3)</f>
        <v>48</v>
      </c>
      <c r="F3" s="171">
        <f>SUMIFS(集計!J:J,集計!$C:$C,KDTVN!$A$2,集計!$D:$D,KDTVN!$A$3)</f>
        <v>48</v>
      </c>
      <c r="G3" s="171">
        <f>SUMIFS(集計!K:K,集計!$C:$C,KDTVN!$A$2,集計!$D:$D,KDTVN!$A$3)</f>
        <v>48</v>
      </c>
      <c r="H3" s="171">
        <f>SUMIFS(集計!L:L,集計!$C:$C,KDTVN!$A$2,集計!$D:$D,KDTVN!$A$3)</f>
        <v>51</v>
      </c>
      <c r="I3" s="171">
        <f>SUMIFS(集計!M:M,集計!$C:$C,KDTVN!$A$2,集計!$D:$D,KDTVN!$A$3)</f>
        <v>51</v>
      </c>
      <c r="J3" s="171">
        <f>SUMIFS(集計!N:N,集計!$C:$C,KDTVN!$A$2,集計!$D:$D,KDTVN!$A$3)</f>
        <v>51</v>
      </c>
      <c r="K3" s="171">
        <f>SUMIFS(集計!O:O,集計!$C:$C,KDTVN!$A$2,集計!$D:$D,KDTVN!$A$3)</f>
        <v>51</v>
      </c>
      <c r="L3" s="171">
        <f>SUMIFS(集計!P:P,集計!$C:$C,KDTVN!$A$2,集計!$D:$D,KDTVN!$A$3)</f>
        <v>51</v>
      </c>
      <c r="M3" s="171">
        <f>SUMIFS(集計!Q:Q,集計!$C:$C,KDTVN!$A$2,集計!$D:$D,KDTVN!$A$3)</f>
        <v>51</v>
      </c>
    </row>
    <row r="4" spans="1:13">
      <c r="A4" s="172" t="s">
        <v>139</v>
      </c>
      <c r="B4" s="171">
        <f>SUMIFS(集計!F:F,集計!$C:$C,KDTVN!$A$2,集計!$E:$E,KDTVN!$A$4)</f>
        <v>1064</v>
      </c>
      <c r="C4" s="171">
        <f>SUMIFS(集計!G:G,集計!$C:$C,KDTVN!$A$2,集計!$E:$E,KDTVN!$A$4)</f>
        <v>1071</v>
      </c>
      <c r="D4" s="171">
        <f>SUMIFS(集計!H:H,集計!$C:$C,KDTVN!$A$2,集計!$E:$E,KDTVN!$A$4)</f>
        <v>1072</v>
      </c>
      <c r="E4" s="171">
        <f>SUMIFS(集計!I:I,集計!$C:$C,KDTVN!$A$2,集計!$E:$E,KDTVN!$A$4)</f>
        <v>1118</v>
      </c>
      <c r="F4" s="171">
        <f>SUMIFS(集計!J:J,集計!$C:$C,KDTVN!$A$2,集計!$E:$E,KDTVN!$A$4)</f>
        <v>1122</v>
      </c>
      <c r="G4" s="171">
        <f>SUMIFS(集計!K:K,集計!$C:$C,KDTVN!$A$2,集計!$E:$E,KDTVN!$A$4)</f>
        <v>1131</v>
      </c>
      <c r="H4" s="171">
        <f>SUMIFS(集計!L:L,集計!$C:$C,KDTVN!$A$2,集計!$E:$E,KDTVN!$A$4)</f>
        <v>1133</v>
      </c>
      <c r="I4" s="171">
        <f>SUMIFS(集計!M:M,集計!$C:$C,KDTVN!$A$2,集計!$E:$E,KDTVN!$A$4)</f>
        <v>1133</v>
      </c>
      <c r="J4" s="171">
        <f>SUMIFS(集計!N:N,集計!$C:$C,KDTVN!$A$2,集計!$E:$E,KDTVN!$A$4)</f>
        <v>1133</v>
      </c>
      <c r="K4" s="171">
        <f>SUMIFS(集計!O:O,集計!$C:$C,KDTVN!$A$2,集計!$E:$E,KDTVN!$A$4)</f>
        <v>1174</v>
      </c>
      <c r="L4" s="171">
        <f>SUMIFS(集計!P:P,集計!$C:$C,KDTVN!$A$2,集計!$E:$E,KDTVN!$A$4)</f>
        <v>1174</v>
      </c>
      <c r="M4" s="171">
        <f>SUMIFS(集計!Q:Q,集計!$C:$C,KDTVN!$A$2,集計!$E:$E,KDTVN!$A$4)</f>
        <v>1174</v>
      </c>
    </row>
    <row r="5" spans="1:13">
      <c r="A5" s="173" t="s">
        <v>140</v>
      </c>
      <c r="B5" s="171">
        <f>SUMIFS(集計!F:F,集計!$C:$C,KDTVN!$A$2,集計!$E:$E,KDTVN!$A$5)</f>
        <v>4685</v>
      </c>
      <c r="C5" s="171">
        <f>SUMIFS(集計!G:G,集計!$C:$C,KDTVN!$A$2,集計!$E:$E,KDTVN!$A$5)</f>
        <v>4634</v>
      </c>
      <c r="D5" s="171">
        <f>SUMIFS(集計!H:H,集計!$C:$C,KDTVN!$A$2,集計!$E:$E,KDTVN!$A$5)</f>
        <v>4498</v>
      </c>
      <c r="E5" s="171">
        <f>SUMIFS(集計!I:I,集計!$C:$C,KDTVN!$A$2,集計!$E:$E,KDTVN!$A$5)</f>
        <v>4971</v>
      </c>
      <c r="F5" s="171">
        <f>SUMIFS(集計!J:J,集計!$C:$C,KDTVN!$A$2,集計!$E:$E,KDTVN!$A$5)</f>
        <v>5155</v>
      </c>
      <c r="G5" s="171">
        <f>SUMIFS(集計!K:K,集計!$C:$C,KDTVN!$A$2,集計!$E:$E,KDTVN!$A$5)</f>
        <v>5368</v>
      </c>
      <c r="H5" s="171">
        <f>SUMIFS(集計!L:L,集計!$C:$C,KDTVN!$A$2,集計!$E:$E,KDTVN!$A$5)</f>
        <v>5713</v>
      </c>
      <c r="I5" s="171">
        <f>SUMIFS(集計!M:M,集計!$C:$C,KDTVN!$A$2,集計!$E:$E,KDTVN!$A$5)</f>
        <v>5819</v>
      </c>
      <c r="J5" s="171">
        <f>SUMIFS(集計!N:N,集計!$C:$C,KDTVN!$A$2,集計!$E:$E,KDTVN!$A$5)</f>
        <v>5757</v>
      </c>
      <c r="K5" s="171">
        <f>SUMIFS(集計!O:O,集計!$C:$C,KDTVN!$A$2,集計!$E:$E,KDTVN!$A$5)</f>
        <v>5982</v>
      </c>
      <c r="L5" s="171">
        <f>SUMIFS(集計!P:P,集計!$C:$C,KDTVN!$A$2,集計!$E:$E,KDTVN!$A$5)</f>
        <v>6436</v>
      </c>
      <c r="M5" s="171">
        <f>SUMIFS(集計!Q:Q,集計!$C:$C,KDTVN!$A$2,集計!$E:$E,KDTVN!$A$5)</f>
        <v>5968</v>
      </c>
    </row>
    <row r="6" spans="1:13">
      <c r="A6" s="174" t="s">
        <v>195</v>
      </c>
      <c r="B6" s="174">
        <f>SUM(B4:B5)</f>
        <v>5749</v>
      </c>
      <c r="C6" s="174">
        <f t="shared" ref="C6:M6" si="0">SUM(C4:C5)</f>
        <v>5705</v>
      </c>
      <c r="D6" s="174">
        <f t="shared" si="0"/>
        <v>5570</v>
      </c>
      <c r="E6" s="174">
        <f t="shared" si="0"/>
        <v>6089</v>
      </c>
      <c r="F6" s="174">
        <f t="shared" si="0"/>
        <v>6277</v>
      </c>
      <c r="G6" s="174">
        <f t="shared" si="0"/>
        <v>6499</v>
      </c>
      <c r="H6" s="174">
        <f t="shared" si="0"/>
        <v>6846</v>
      </c>
      <c r="I6" s="174">
        <f t="shared" si="0"/>
        <v>6952</v>
      </c>
      <c r="J6" s="174">
        <f t="shared" si="0"/>
        <v>6890</v>
      </c>
      <c r="K6" s="174">
        <f t="shared" si="0"/>
        <v>7156</v>
      </c>
      <c r="L6" s="174">
        <f t="shared" si="0"/>
        <v>7610</v>
      </c>
      <c r="M6" s="174">
        <f t="shared" si="0"/>
        <v>7142</v>
      </c>
    </row>
    <row r="7" spans="1:13" ht="15" thickBot="1">
      <c r="A7" s="175" t="s">
        <v>138</v>
      </c>
      <c r="B7" s="175">
        <f>B6+B3</f>
        <v>5797</v>
      </c>
      <c r="C7" s="175">
        <f t="shared" ref="C7:M7" si="1">C6+C3</f>
        <v>5753</v>
      </c>
      <c r="D7" s="175">
        <f t="shared" si="1"/>
        <v>5618</v>
      </c>
      <c r="E7" s="175">
        <f t="shared" si="1"/>
        <v>6137</v>
      </c>
      <c r="F7" s="175">
        <f t="shared" si="1"/>
        <v>6325</v>
      </c>
      <c r="G7" s="175">
        <f t="shared" si="1"/>
        <v>6547</v>
      </c>
      <c r="H7" s="175">
        <f t="shared" si="1"/>
        <v>6897</v>
      </c>
      <c r="I7" s="175">
        <f t="shared" si="1"/>
        <v>7003</v>
      </c>
      <c r="J7" s="175">
        <f t="shared" si="1"/>
        <v>6941</v>
      </c>
      <c r="K7" s="175">
        <f t="shared" si="1"/>
        <v>7207</v>
      </c>
      <c r="L7" s="175">
        <f t="shared" si="1"/>
        <v>7661</v>
      </c>
      <c r="M7" s="175">
        <f t="shared" si="1"/>
        <v>7193</v>
      </c>
    </row>
    <row r="9" spans="1:13">
      <c r="A9" s="170" t="s">
        <v>202</v>
      </c>
      <c r="B9" s="176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</row>
    <row r="10" spans="1:13">
      <c r="A10" s="171" t="s">
        <v>194</v>
      </c>
      <c r="B10" s="171">
        <f>SUMIFS(集計!F:F,集計!$C:$C,KDTVN!$A$9,集計!$D:$D,KDTVN!$A$10)</f>
        <v>7956</v>
      </c>
      <c r="C10" s="171">
        <f>SUMIFS(集計!G:G,集計!$C:$C,KDTVN!$A$9,集計!$D:$D,KDTVN!$A$10)</f>
        <v>7514</v>
      </c>
      <c r="D10" s="171">
        <f>SUMIFS(集計!H:H,集計!$C:$C,KDTVN!$A$9,集計!$D:$D,KDTVN!$A$10)</f>
        <v>8449</v>
      </c>
      <c r="E10" s="171">
        <f>SUMIFS(集計!I:I,集計!$C:$C,KDTVN!$A$9,集計!$D:$D,KDTVN!$A$10)</f>
        <v>9197</v>
      </c>
      <c r="F10" s="171">
        <f>SUMIFS(集計!J:J,集計!$C:$C,KDTVN!$A$9,集計!$D:$D,KDTVN!$A$10)</f>
        <v>7488.5</v>
      </c>
      <c r="G10" s="171">
        <f>SUMIFS(集計!K:K,集計!$C:$C,KDTVN!$A$9,集計!$D:$D,KDTVN!$A$10)</f>
        <v>7548</v>
      </c>
      <c r="H10" s="171">
        <f>SUMIFS(集計!L:L,集計!$C:$C,KDTVN!$A$9,集計!$D:$D,KDTVN!$A$10)</f>
        <v>9724</v>
      </c>
      <c r="I10" s="171">
        <f>SUMIFS(集計!M:M,集計!$C:$C,KDTVN!$A$9,集計!$D:$D,KDTVN!$A$10)</f>
        <v>8474.5</v>
      </c>
      <c r="J10" s="171">
        <f>SUMIFS(集計!N:N,集計!$C:$C,KDTVN!$A$9,集計!$D:$D,KDTVN!$A$10)</f>
        <v>9401</v>
      </c>
      <c r="K10" s="171">
        <f>SUMIFS(集計!O:O,集計!$C:$C,KDTVN!$A$9,集計!$D:$D,KDTVN!$A$10)</f>
        <v>8304.5</v>
      </c>
      <c r="L10" s="171">
        <f>SUMIFS(集計!P:P,集計!$C:$C,KDTVN!$A$9,集計!$D:$D,KDTVN!$A$10)</f>
        <v>6103</v>
      </c>
      <c r="M10" s="171">
        <f>SUMIFS(集計!Q:Q,集計!$C:$C,KDTVN!$A$9,集計!$D:$D,KDTVN!$A$10)</f>
        <v>8517</v>
      </c>
    </row>
    <row r="11" spans="1:13">
      <c r="A11" s="172" t="s">
        <v>139</v>
      </c>
      <c r="B11" s="171">
        <f>SUMIFS(集計!F:F,集計!$C:$C,KDTVN!$A$9,集計!$E:$E,KDTVN!$A$11)</f>
        <v>174646.75</v>
      </c>
      <c r="C11" s="171">
        <f>SUMIFS(集計!G:G,集計!$C:$C,KDTVN!$A$9,集計!$E:$E,KDTVN!$A$11)</f>
        <v>166472.25</v>
      </c>
      <c r="D11" s="171">
        <f>SUMIFS(集計!H:H,集計!$C:$C,KDTVN!$A$9,集計!$E:$E,KDTVN!$A$11)</f>
        <v>184171.25</v>
      </c>
      <c r="E11" s="171">
        <f>SUMIFS(集計!I:I,集計!$C:$C,KDTVN!$A$9,集計!$E:$E,KDTVN!$A$11)</f>
        <v>210633.75</v>
      </c>
      <c r="F11" s="171">
        <f>SUMIFS(集計!J:J,集計!$C:$C,KDTVN!$A$9,集計!$E:$E,KDTVN!$A$11)</f>
        <v>183947</v>
      </c>
      <c r="G11" s="171">
        <f>SUMIFS(集計!K:K,集計!$C:$C,KDTVN!$A$9,集計!$E:$E,KDTVN!$A$11)</f>
        <v>175759.75</v>
      </c>
      <c r="H11" s="171">
        <f>SUMIFS(集計!L:L,集計!$C:$C,KDTVN!$A$9,集計!$E:$E,KDTVN!$A$11)</f>
        <v>213846.25</v>
      </c>
      <c r="I11" s="171">
        <f>SUMIFS(集計!M:M,集計!$C:$C,KDTVN!$A$9,集計!$E:$E,KDTVN!$A$11)</f>
        <v>186876</v>
      </c>
      <c r="J11" s="171">
        <f>SUMIFS(集計!N:N,集計!$C:$C,KDTVN!$A$9,集計!$E:$E,KDTVN!$A$11)</f>
        <v>205792.5</v>
      </c>
      <c r="K11" s="171">
        <f>SUMIFS(集計!O:O,集計!$C:$C,KDTVN!$A$9,集計!$E:$E,KDTVN!$A$11)</f>
        <v>194170.5</v>
      </c>
      <c r="L11" s="171">
        <f>SUMIFS(集計!P:P,集計!$C:$C,KDTVN!$A$9,集計!$E:$E,KDTVN!$A$11)</f>
        <v>145504.5</v>
      </c>
      <c r="M11" s="171">
        <f>SUMIFS(集計!Q:Q,集計!$C:$C,KDTVN!$A$9,集計!$E:$E,KDTVN!$A$11)</f>
        <v>194299</v>
      </c>
    </row>
    <row r="12" spans="1:13">
      <c r="A12" s="173" t="s">
        <v>140</v>
      </c>
      <c r="B12" s="171">
        <f>SUMIFS(集計!F:F,集計!$C:$C,KDTVN!$A$9,集計!$E:$E,KDTVN!$A$12)</f>
        <v>741839.25</v>
      </c>
      <c r="C12" s="171">
        <f>SUMIFS(集計!G:G,集計!$C:$C,KDTVN!$A$9,集計!$E:$E,KDTVN!$A$12)</f>
        <v>693664.5</v>
      </c>
      <c r="D12" s="171">
        <f>SUMIFS(集計!H:H,集計!$C:$C,KDTVN!$A$9,集計!$E:$E,KDTVN!$A$12)</f>
        <v>741395.25</v>
      </c>
      <c r="E12" s="171">
        <f>SUMIFS(集計!I:I,集計!$C:$C,KDTVN!$A$9,集計!$E:$E,KDTVN!$A$12)</f>
        <v>911652</v>
      </c>
      <c r="F12" s="171">
        <f>SUMIFS(集計!J:J,集計!$C:$C,KDTVN!$A$9,集計!$E:$E,KDTVN!$A$12)</f>
        <v>817042.5</v>
      </c>
      <c r="G12" s="171">
        <f>SUMIFS(集計!K:K,集計!$C:$C,KDTVN!$A$9,集計!$E:$E,KDTVN!$A$12)</f>
        <v>802219.25</v>
      </c>
      <c r="H12" s="171">
        <f>SUMIFS(集計!L:L,集計!$C:$C,KDTVN!$A$9,集計!$E:$E,KDTVN!$A$12)</f>
        <v>1057396</v>
      </c>
      <c r="I12" s="171">
        <f>SUMIFS(集計!M:M,集計!$C:$C,KDTVN!$A$9,集計!$E:$E,KDTVN!$A$12)</f>
        <v>884199.5</v>
      </c>
      <c r="J12" s="171">
        <f>SUMIFS(集計!N:N,集計!$C:$C,KDTVN!$A$9,集計!$E:$E,KDTVN!$A$12)</f>
        <v>952336</v>
      </c>
      <c r="K12" s="171">
        <f>SUMIFS(集計!O:O,集計!$C:$C,KDTVN!$A$9,集計!$E:$E,KDTVN!$A$12)</f>
        <v>919181.5</v>
      </c>
      <c r="L12" s="171">
        <f>SUMIFS(集計!P:P,集計!$C:$C,KDTVN!$A$9,集計!$E:$E,KDTVN!$A$12)</f>
        <v>737706.5</v>
      </c>
      <c r="M12" s="171">
        <f>SUMIFS(集計!Q:Q,集計!$C:$C,KDTVN!$A$9,集計!$E:$E,KDTVN!$A$12)</f>
        <v>924071</v>
      </c>
    </row>
    <row r="13" spans="1:13">
      <c r="A13" s="174" t="s">
        <v>195</v>
      </c>
      <c r="B13" s="174">
        <f>SUM(B11:B12)</f>
        <v>916486</v>
      </c>
      <c r="C13" s="174">
        <f t="shared" ref="C13:M13" si="2">SUM(C11:C12)</f>
        <v>860136.75</v>
      </c>
      <c r="D13" s="174">
        <f t="shared" si="2"/>
        <v>925566.5</v>
      </c>
      <c r="E13" s="174">
        <f t="shared" si="2"/>
        <v>1122285.75</v>
      </c>
      <c r="F13" s="174">
        <f t="shared" si="2"/>
        <v>1000989.5</v>
      </c>
      <c r="G13" s="174">
        <f t="shared" si="2"/>
        <v>977979</v>
      </c>
      <c r="H13" s="174">
        <f t="shared" si="2"/>
        <v>1271242.25</v>
      </c>
      <c r="I13" s="174">
        <f t="shared" si="2"/>
        <v>1071075.5</v>
      </c>
      <c r="J13" s="174">
        <f t="shared" si="2"/>
        <v>1158128.5</v>
      </c>
      <c r="K13" s="174">
        <f t="shared" si="2"/>
        <v>1113352</v>
      </c>
      <c r="L13" s="174">
        <f t="shared" si="2"/>
        <v>883211</v>
      </c>
      <c r="M13" s="174">
        <f t="shared" si="2"/>
        <v>1118370</v>
      </c>
    </row>
    <row r="14" spans="1:13" ht="15" thickBot="1">
      <c r="A14" s="175" t="s">
        <v>138</v>
      </c>
      <c r="B14" s="175">
        <f>B13+B10</f>
        <v>924442</v>
      </c>
      <c r="C14" s="175">
        <f t="shared" ref="C14:M14" si="3">C13+C10</f>
        <v>867650.75</v>
      </c>
      <c r="D14" s="175">
        <f t="shared" si="3"/>
        <v>934015.5</v>
      </c>
      <c r="E14" s="175">
        <f t="shared" si="3"/>
        <v>1131482.75</v>
      </c>
      <c r="F14" s="175">
        <f t="shared" si="3"/>
        <v>1008478</v>
      </c>
      <c r="G14" s="175">
        <f t="shared" si="3"/>
        <v>985527</v>
      </c>
      <c r="H14" s="175">
        <f t="shared" si="3"/>
        <v>1280966.25</v>
      </c>
      <c r="I14" s="175">
        <f t="shared" si="3"/>
        <v>1079550</v>
      </c>
      <c r="J14" s="175">
        <f t="shared" si="3"/>
        <v>1167529.5</v>
      </c>
      <c r="K14" s="175">
        <f t="shared" si="3"/>
        <v>1121656.5</v>
      </c>
      <c r="L14" s="175">
        <f t="shared" si="3"/>
        <v>889314</v>
      </c>
      <c r="M14" s="175">
        <f t="shared" si="3"/>
        <v>1126887</v>
      </c>
    </row>
    <row r="16" spans="1:13">
      <c r="A16" s="170" t="s">
        <v>71</v>
      </c>
    </row>
    <row r="17" spans="1:13">
      <c r="A17" s="171" t="s">
        <v>194</v>
      </c>
      <c r="B17" s="171">
        <f>SUMIFS(集計!F:F,集計!$C:$C,KDTVN!$A$16,集計!$D:$D,KDTVN!$A$17)</f>
        <v>1872</v>
      </c>
      <c r="C17" s="171">
        <f>SUMIFS(集計!G:G,集計!$C:$C,KDTVN!$A$16,集計!$D:$D,KDTVN!$A$17)</f>
        <v>1768</v>
      </c>
      <c r="D17" s="171">
        <f>SUMIFS(集計!H:H,集計!$C:$C,KDTVN!$A$16,集計!$D:$D,KDTVN!$A$17)</f>
        <v>1988</v>
      </c>
      <c r="E17" s="171">
        <f>SUMIFS(集計!I:I,集計!$C:$C,KDTVN!$A$16,集計!$D:$D,KDTVN!$A$17)</f>
        <v>2164</v>
      </c>
      <c r="F17" s="171">
        <f>SUMIFS(集計!J:J,集計!$C:$C,KDTVN!$A$16,集計!$D:$D,KDTVN!$A$17)</f>
        <v>1762</v>
      </c>
      <c r="G17" s="171">
        <f>SUMIFS(集計!K:K,集計!$C:$C,KDTVN!$A$16,集計!$D:$D,KDTVN!$A$17)</f>
        <v>1776</v>
      </c>
      <c r="H17" s="171">
        <f>SUMIFS(集計!L:L,集計!$C:$C,KDTVN!$A$16,集計!$D:$D,KDTVN!$A$17)</f>
        <v>2288</v>
      </c>
      <c r="I17" s="171">
        <f>SUMIFS(集計!M:M,集計!$C:$C,KDTVN!$A$16,集計!$D:$D,KDTVN!$A$17)</f>
        <v>1994</v>
      </c>
      <c r="J17" s="171">
        <f>SUMIFS(集計!N:N,集計!$C:$C,KDTVN!$A$16,集計!$D:$D,KDTVN!$A$17)</f>
        <v>2212</v>
      </c>
      <c r="K17" s="171">
        <f>SUMIFS(集計!O:O,集計!$C:$C,KDTVN!$A$16,集計!$D:$D,KDTVN!$A$17)</f>
        <v>1954</v>
      </c>
      <c r="L17" s="171">
        <f>SUMIFS(集計!P:P,集計!$C:$C,KDTVN!$A$16,集計!$D:$D,KDTVN!$A$17)</f>
        <v>1436</v>
      </c>
      <c r="M17" s="171">
        <f>SUMIFS(集計!Q:Q,集計!$C:$C,KDTVN!$A$16,集計!$D:$D,KDTVN!$A$17)</f>
        <v>2004</v>
      </c>
    </row>
    <row r="18" spans="1:13">
      <c r="A18" s="172" t="s">
        <v>139</v>
      </c>
      <c r="B18" s="171">
        <f>SUMIFS(集計!F:F,集計!$C:$C,KDTVN!$A$16,集計!$E:$E,KDTVN!$A$18)</f>
        <v>9542</v>
      </c>
      <c r="C18" s="171">
        <f>SUMIFS(集計!G:G,集計!$C:$C,KDTVN!$A$16,集計!$E:$E,KDTVN!$A$18)</f>
        <v>9672</v>
      </c>
      <c r="D18" s="171">
        <f>SUMIFS(集計!H:H,集計!$C:$C,KDTVN!$A$16,集計!$E:$E,KDTVN!$A$18)</f>
        <v>10035.5</v>
      </c>
      <c r="E18" s="171">
        <f>SUMIFS(集計!I:I,集計!$C:$C,KDTVN!$A$16,集計!$E:$E,KDTVN!$A$18)</f>
        <v>11465</v>
      </c>
      <c r="F18" s="171">
        <f>SUMIFS(集計!J:J,集計!$C:$C,KDTVN!$A$16,集計!$E:$E,KDTVN!$A$18)</f>
        <v>11327</v>
      </c>
      <c r="G18" s="171">
        <f>SUMIFS(集計!K:K,集計!$C:$C,KDTVN!$A$16,集計!$E:$E,KDTVN!$A$18)</f>
        <v>12047.75</v>
      </c>
      <c r="H18" s="171">
        <f>SUMIFS(集計!L:L,集計!$C:$C,KDTVN!$A$16,集計!$E:$E,KDTVN!$A$18)</f>
        <v>11356.5</v>
      </c>
      <c r="I18" s="171">
        <f>SUMIFS(集計!M:M,集計!$C:$C,KDTVN!$A$16,集計!$E:$E,KDTVN!$A$18)</f>
        <v>11331</v>
      </c>
      <c r="J18" s="171">
        <f>SUMIFS(集計!N:N,集計!$C:$C,KDTVN!$A$16,集計!$E:$E,KDTVN!$A$18)</f>
        <v>11256</v>
      </c>
      <c r="K18" s="171">
        <f>SUMIFS(集計!O:O,集計!$C:$C,KDTVN!$A$16,集計!$E:$E,KDTVN!$A$18)</f>
        <v>11626</v>
      </c>
      <c r="L18" s="171">
        <f>SUMIFS(集計!P:P,集計!$C:$C,KDTVN!$A$16,集計!$E:$E,KDTVN!$A$18)</f>
        <v>14024.5</v>
      </c>
      <c r="M18" s="171">
        <f>SUMIFS(集計!Q:Q,集計!$C:$C,KDTVN!$A$16,集計!$E:$E,KDTVN!$A$18)</f>
        <v>12747.25</v>
      </c>
    </row>
    <row r="19" spans="1:13">
      <c r="A19" s="173" t="s">
        <v>140</v>
      </c>
      <c r="B19" s="171">
        <f>SUMIFS(集計!F:F,集計!$C:$C,KDTVN!$A$16,集計!$E:$E,KDTVN!$A$19)</f>
        <v>11632.5</v>
      </c>
      <c r="C19" s="171">
        <f>SUMIFS(集計!G:G,集計!$C:$C,KDTVN!$A$16,集計!$E:$E,KDTVN!$A$19)</f>
        <v>12943.5</v>
      </c>
      <c r="D19" s="171">
        <f>SUMIFS(集計!H:H,集計!$C:$C,KDTVN!$A$16,集計!$E:$E,KDTVN!$A$19)</f>
        <v>11566.5</v>
      </c>
      <c r="E19" s="171">
        <f>SUMIFS(集計!I:I,集計!$C:$C,KDTVN!$A$16,集計!$E:$E,KDTVN!$A$19)</f>
        <v>14117.5</v>
      </c>
      <c r="F19" s="171">
        <f>SUMIFS(集計!J:J,集計!$C:$C,KDTVN!$A$16,集計!$E:$E,KDTVN!$A$19)</f>
        <v>22318.5</v>
      </c>
      <c r="G19" s="171">
        <f>SUMIFS(集計!K:K,集計!$C:$C,KDTVN!$A$16,集計!$E:$E,KDTVN!$A$19)</f>
        <v>48060</v>
      </c>
      <c r="H19" s="171">
        <f>SUMIFS(集計!L:L,集計!$C:$C,KDTVN!$A$16,集計!$E:$E,KDTVN!$A$19)</f>
        <v>18614.5</v>
      </c>
      <c r="I19" s="171">
        <f>SUMIFS(集計!M:M,集計!$C:$C,KDTVN!$A$16,集計!$E:$E,KDTVN!$A$19)</f>
        <v>27045.5</v>
      </c>
      <c r="J19" s="171">
        <f>SUMIFS(集計!N:N,集計!$C:$C,KDTVN!$A$16,集計!$E:$E,KDTVN!$A$19)</f>
        <v>27172.5</v>
      </c>
      <c r="K19" s="171">
        <f>SUMIFS(集計!O:O,集計!$C:$C,KDTVN!$A$16,集計!$E:$E,KDTVN!$A$19)</f>
        <v>37825.5</v>
      </c>
      <c r="L19" s="171">
        <f>SUMIFS(集計!P:P,集計!$C:$C,KDTVN!$A$16,集計!$E:$E,KDTVN!$A$19)</f>
        <v>78937.5</v>
      </c>
      <c r="M19" s="171">
        <f>SUMIFS(集計!Q:Q,集計!$C:$C,KDTVN!$A$16,集計!$E:$E,KDTVN!$A$19)</f>
        <v>45939.5</v>
      </c>
    </row>
    <row r="20" spans="1:13">
      <c r="A20" s="174" t="s">
        <v>195</v>
      </c>
      <c r="B20" s="174">
        <f>SUM(B18:B19)</f>
        <v>21174.5</v>
      </c>
      <c r="C20" s="174">
        <f t="shared" ref="C20:M20" si="4">SUM(C18:C19)</f>
        <v>22615.5</v>
      </c>
      <c r="D20" s="174">
        <f t="shared" si="4"/>
        <v>21602</v>
      </c>
      <c r="E20" s="174">
        <f t="shared" si="4"/>
        <v>25582.5</v>
      </c>
      <c r="F20" s="174">
        <f t="shared" si="4"/>
        <v>33645.5</v>
      </c>
      <c r="G20" s="174">
        <f t="shared" si="4"/>
        <v>60107.75</v>
      </c>
      <c r="H20" s="174">
        <f t="shared" si="4"/>
        <v>29971</v>
      </c>
      <c r="I20" s="174">
        <f t="shared" si="4"/>
        <v>38376.5</v>
      </c>
      <c r="J20" s="174">
        <f t="shared" si="4"/>
        <v>38428.5</v>
      </c>
      <c r="K20" s="174">
        <f t="shared" si="4"/>
        <v>49451.5</v>
      </c>
      <c r="L20" s="174">
        <f t="shared" si="4"/>
        <v>92962</v>
      </c>
      <c r="M20" s="174">
        <f t="shared" si="4"/>
        <v>58686.75</v>
      </c>
    </row>
    <row r="21" spans="1:13" ht="15" thickBot="1">
      <c r="A21" s="175" t="s">
        <v>138</v>
      </c>
      <c r="B21" s="175">
        <f>B20+B17</f>
        <v>23046.5</v>
      </c>
      <c r="C21" s="175">
        <f t="shared" ref="C21:M21" si="5">C20+C17</f>
        <v>24383.5</v>
      </c>
      <c r="D21" s="175">
        <f t="shared" si="5"/>
        <v>23590</v>
      </c>
      <c r="E21" s="175">
        <f t="shared" si="5"/>
        <v>27746.5</v>
      </c>
      <c r="F21" s="175">
        <f t="shared" si="5"/>
        <v>35407.5</v>
      </c>
      <c r="G21" s="175">
        <f t="shared" si="5"/>
        <v>61883.75</v>
      </c>
      <c r="H21" s="175">
        <f t="shared" si="5"/>
        <v>32259</v>
      </c>
      <c r="I21" s="175">
        <f t="shared" si="5"/>
        <v>40370.5</v>
      </c>
      <c r="J21" s="175">
        <f t="shared" si="5"/>
        <v>40640.5</v>
      </c>
      <c r="K21" s="175">
        <f t="shared" si="5"/>
        <v>51405.5</v>
      </c>
      <c r="L21" s="175">
        <f t="shared" si="5"/>
        <v>94398</v>
      </c>
      <c r="M21" s="175">
        <f t="shared" si="5"/>
        <v>60690.75</v>
      </c>
    </row>
    <row r="23" spans="1:13" ht="26">
      <c r="A23" s="178" t="s">
        <v>197</v>
      </c>
    </row>
    <row r="24" spans="1:13">
      <c r="A24" s="170" t="s">
        <v>3</v>
      </c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1:13">
      <c r="A25" s="171" t="s">
        <v>194</v>
      </c>
      <c r="B25" s="180">
        <v>48</v>
      </c>
      <c r="C25" s="180">
        <v>48</v>
      </c>
      <c r="D25" s="180">
        <v>48</v>
      </c>
      <c r="E25" s="180">
        <v>48</v>
      </c>
      <c r="F25" s="180">
        <v>48</v>
      </c>
      <c r="G25" s="180">
        <v>48</v>
      </c>
      <c r="H25" s="180">
        <v>51</v>
      </c>
      <c r="I25" s="180">
        <v>51</v>
      </c>
      <c r="J25" s="180">
        <v>51</v>
      </c>
      <c r="K25" s="180">
        <v>51</v>
      </c>
      <c r="L25" s="180">
        <v>51</v>
      </c>
      <c r="M25" s="180">
        <v>51</v>
      </c>
    </row>
    <row r="26" spans="1:13">
      <c r="A26" s="172" t="s">
        <v>139</v>
      </c>
      <c r="B26" s="180">
        <v>1064</v>
      </c>
      <c r="C26" s="180">
        <v>1071</v>
      </c>
      <c r="D26" s="180">
        <v>1072</v>
      </c>
      <c r="E26" s="180">
        <v>1118</v>
      </c>
      <c r="F26" s="180">
        <v>1122</v>
      </c>
      <c r="G26" s="180">
        <v>1131</v>
      </c>
      <c r="H26" s="180">
        <v>1133</v>
      </c>
      <c r="I26" s="180">
        <v>1133</v>
      </c>
      <c r="J26" s="180">
        <v>1133</v>
      </c>
      <c r="K26" s="180">
        <v>1174</v>
      </c>
      <c r="L26" s="180">
        <v>1174</v>
      </c>
      <c r="M26" s="180">
        <v>1174</v>
      </c>
    </row>
    <row r="27" spans="1:13">
      <c r="A27" s="173" t="s">
        <v>140</v>
      </c>
      <c r="B27" s="180">
        <v>4685</v>
      </c>
      <c r="C27" s="180">
        <v>4634</v>
      </c>
      <c r="D27" s="180">
        <v>4498</v>
      </c>
      <c r="E27" s="180">
        <v>4971</v>
      </c>
      <c r="F27" s="180">
        <v>5155</v>
      </c>
      <c r="G27" s="180">
        <v>5368</v>
      </c>
      <c r="H27" s="180">
        <v>5713</v>
      </c>
      <c r="I27" s="180">
        <v>5819</v>
      </c>
      <c r="J27" s="180">
        <v>5757</v>
      </c>
      <c r="K27" s="180">
        <v>5982</v>
      </c>
      <c r="L27" s="180">
        <v>6436</v>
      </c>
      <c r="M27" s="180">
        <v>5968</v>
      </c>
    </row>
    <row r="28" spans="1:13">
      <c r="A28" s="174" t="s">
        <v>195</v>
      </c>
      <c r="B28" s="181">
        <v>5749</v>
      </c>
      <c r="C28" s="181">
        <v>5705</v>
      </c>
      <c r="D28" s="181">
        <v>5570</v>
      </c>
      <c r="E28" s="181">
        <v>6089</v>
      </c>
      <c r="F28" s="181">
        <v>6277</v>
      </c>
      <c r="G28" s="181">
        <v>6499</v>
      </c>
      <c r="H28" s="181">
        <v>6846</v>
      </c>
      <c r="I28" s="181">
        <v>6952</v>
      </c>
      <c r="J28" s="181">
        <v>6890</v>
      </c>
      <c r="K28" s="181">
        <v>7156</v>
      </c>
      <c r="L28" s="181">
        <v>7610</v>
      </c>
      <c r="M28" s="181">
        <v>7142</v>
      </c>
    </row>
    <row r="29" spans="1:13" ht="15" thickBot="1">
      <c r="A29" s="175" t="s">
        <v>138</v>
      </c>
      <c r="B29" s="181">
        <v>5797</v>
      </c>
      <c r="C29" s="181">
        <v>5753</v>
      </c>
      <c r="D29" s="181">
        <v>5618</v>
      </c>
      <c r="E29" s="181">
        <v>6137</v>
      </c>
      <c r="F29" s="181">
        <v>6325</v>
      </c>
      <c r="G29" s="181">
        <v>6547</v>
      </c>
      <c r="H29" s="181">
        <v>6897</v>
      </c>
      <c r="I29" s="181">
        <v>7003</v>
      </c>
      <c r="J29" s="181">
        <v>6941</v>
      </c>
      <c r="K29" s="181">
        <v>7207</v>
      </c>
      <c r="L29" s="181">
        <v>7661</v>
      </c>
      <c r="M29" s="181">
        <v>7193</v>
      </c>
    </row>
    <row r="30" spans="1:13">
      <c r="B30"/>
      <c r="C30"/>
      <c r="D30"/>
      <c r="E30"/>
      <c r="F30"/>
      <c r="G30"/>
      <c r="H30"/>
      <c r="I30"/>
      <c r="J30"/>
      <c r="K30"/>
      <c r="L30"/>
      <c r="M30"/>
    </row>
    <row r="31" spans="1:13">
      <c r="A31" s="170" t="s">
        <v>202</v>
      </c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</row>
    <row r="32" spans="1:13">
      <c r="A32" s="171" t="s">
        <v>194</v>
      </c>
      <c r="B32" s="182">
        <v>7956</v>
      </c>
      <c r="C32" s="182">
        <v>7514</v>
      </c>
      <c r="D32" s="182">
        <v>8449</v>
      </c>
      <c r="E32" s="182">
        <v>9197</v>
      </c>
      <c r="F32" s="182">
        <v>7488.5</v>
      </c>
      <c r="G32" s="182">
        <v>7548</v>
      </c>
      <c r="H32" s="182">
        <v>9724</v>
      </c>
      <c r="I32" s="182">
        <v>8474.5</v>
      </c>
      <c r="J32" s="182">
        <v>9401</v>
      </c>
      <c r="K32" s="182">
        <v>8304.5</v>
      </c>
      <c r="L32" s="182">
        <v>6103</v>
      </c>
      <c r="M32" s="182">
        <v>8517</v>
      </c>
    </row>
    <row r="33" spans="1:20">
      <c r="A33" s="172" t="s">
        <v>139</v>
      </c>
      <c r="B33" s="182">
        <v>174646.75</v>
      </c>
      <c r="C33" s="182">
        <v>166472.25</v>
      </c>
      <c r="D33" s="182">
        <v>184171.25</v>
      </c>
      <c r="E33" s="182">
        <v>210633.75</v>
      </c>
      <c r="F33" s="182">
        <v>183947</v>
      </c>
      <c r="G33" s="182">
        <v>175759.75</v>
      </c>
      <c r="H33" s="182">
        <v>213846.25</v>
      </c>
      <c r="I33" s="182">
        <v>186876</v>
      </c>
      <c r="J33" s="182">
        <v>205792.5</v>
      </c>
      <c r="K33" s="182">
        <v>194170.5</v>
      </c>
      <c r="L33" s="182">
        <v>145504.5</v>
      </c>
      <c r="M33" s="182">
        <v>194299</v>
      </c>
    </row>
    <row r="34" spans="1:20">
      <c r="A34" s="173" t="s">
        <v>140</v>
      </c>
      <c r="B34" s="182">
        <v>741839.25</v>
      </c>
      <c r="C34" s="182">
        <v>693664.5</v>
      </c>
      <c r="D34" s="182">
        <v>741395.25</v>
      </c>
      <c r="E34" s="182">
        <v>911652</v>
      </c>
      <c r="F34" s="182">
        <v>817042.5</v>
      </c>
      <c r="G34" s="182">
        <v>802219.25</v>
      </c>
      <c r="H34" s="182">
        <v>1057396</v>
      </c>
      <c r="I34" s="182">
        <v>884199.5</v>
      </c>
      <c r="J34" s="182">
        <v>952336</v>
      </c>
      <c r="K34" s="182">
        <v>919181.5</v>
      </c>
      <c r="L34" s="182">
        <v>737706.5</v>
      </c>
      <c r="M34" s="182">
        <v>924071</v>
      </c>
    </row>
    <row r="35" spans="1:20">
      <c r="A35" s="174" t="s">
        <v>195</v>
      </c>
      <c r="B35" s="183">
        <v>916486</v>
      </c>
      <c r="C35" s="183">
        <v>860136.75</v>
      </c>
      <c r="D35" s="183">
        <v>925566.5</v>
      </c>
      <c r="E35" s="183">
        <v>1122285.75</v>
      </c>
      <c r="F35" s="183">
        <v>1000989.5</v>
      </c>
      <c r="G35" s="183">
        <v>977979</v>
      </c>
      <c r="H35" s="183">
        <v>1271242.25</v>
      </c>
      <c r="I35" s="183">
        <v>1071075.5</v>
      </c>
      <c r="J35" s="183">
        <v>1158128.5</v>
      </c>
      <c r="K35" s="183">
        <v>1113352</v>
      </c>
      <c r="L35" s="183">
        <v>883211</v>
      </c>
      <c r="M35" s="183">
        <v>1118370</v>
      </c>
    </row>
    <row r="36" spans="1:20" ht="15" thickBot="1">
      <c r="A36" s="175" t="s">
        <v>138</v>
      </c>
      <c r="B36" s="183">
        <v>924442</v>
      </c>
      <c r="C36" s="183">
        <v>867650.75</v>
      </c>
      <c r="D36" s="183">
        <v>934015.5</v>
      </c>
      <c r="E36" s="183">
        <v>1131482.75</v>
      </c>
      <c r="F36" s="183">
        <v>1008478</v>
      </c>
      <c r="G36" s="183">
        <v>985527</v>
      </c>
      <c r="H36" s="183">
        <v>1280966.25</v>
      </c>
      <c r="I36" s="183">
        <v>1079550</v>
      </c>
      <c r="J36" s="183">
        <v>1167529.5</v>
      </c>
      <c r="K36" s="183">
        <v>1121656.5</v>
      </c>
      <c r="L36" s="183">
        <v>889314</v>
      </c>
      <c r="M36" s="183">
        <v>1126887</v>
      </c>
    </row>
    <row r="37" spans="1:20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</row>
    <row r="38" spans="1:20">
      <c r="A38" s="170" t="s">
        <v>71</v>
      </c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</row>
    <row r="39" spans="1:20">
      <c r="A39" s="171" t="s">
        <v>194</v>
      </c>
      <c r="B39" s="182">
        <v>1872</v>
      </c>
      <c r="C39" s="182">
        <v>1768</v>
      </c>
      <c r="D39" s="182">
        <v>1988</v>
      </c>
      <c r="E39" s="182">
        <v>2164</v>
      </c>
      <c r="F39" s="182">
        <v>1762</v>
      </c>
      <c r="G39" s="182">
        <v>1776</v>
      </c>
      <c r="H39" s="182">
        <v>2288</v>
      </c>
      <c r="I39" s="182">
        <v>1994</v>
      </c>
      <c r="J39" s="182">
        <v>2212</v>
      </c>
      <c r="K39" s="182">
        <v>1954</v>
      </c>
      <c r="L39" s="182">
        <v>1436</v>
      </c>
      <c r="M39" s="182">
        <v>2004</v>
      </c>
    </row>
    <row r="40" spans="1:20">
      <c r="A40" s="172" t="s">
        <v>139</v>
      </c>
      <c r="B40" s="182">
        <v>9542</v>
      </c>
      <c r="C40" s="182">
        <v>9672</v>
      </c>
      <c r="D40" s="182">
        <v>10035.5</v>
      </c>
      <c r="E40" s="182">
        <v>11465</v>
      </c>
      <c r="F40" s="182">
        <v>11327</v>
      </c>
      <c r="G40" s="182">
        <v>12047.75</v>
      </c>
      <c r="H40" s="182">
        <v>11356.5</v>
      </c>
      <c r="I40" s="182">
        <v>11331</v>
      </c>
      <c r="J40" s="182">
        <v>11256</v>
      </c>
      <c r="K40" s="182">
        <v>11626</v>
      </c>
      <c r="L40" s="182">
        <v>14024.5</v>
      </c>
      <c r="M40" s="182">
        <v>12747.25</v>
      </c>
    </row>
    <row r="41" spans="1:20">
      <c r="A41" s="173" t="s">
        <v>140</v>
      </c>
      <c r="B41" s="182">
        <v>11632.5</v>
      </c>
      <c r="C41" s="182">
        <v>12943.5</v>
      </c>
      <c r="D41" s="182">
        <v>11566.5</v>
      </c>
      <c r="E41" s="182">
        <v>14117.5</v>
      </c>
      <c r="F41" s="182">
        <v>22318.5</v>
      </c>
      <c r="G41" s="182">
        <v>48060</v>
      </c>
      <c r="H41" s="182">
        <v>18614.5</v>
      </c>
      <c r="I41" s="182">
        <v>27045.5</v>
      </c>
      <c r="J41" s="182">
        <v>27172.5</v>
      </c>
      <c r="K41" s="182">
        <v>37825.5</v>
      </c>
      <c r="L41" s="182">
        <v>78937.5</v>
      </c>
      <c r="M41" s="182">
        <v>45939.5</v>
      </c>
    </row>
    <row r="42" spans="1:20">
      <c r="A42" s="174" t="s">
        <v>195</v>
      </c>
      <c r="B42" s="183">
        <v>21174.5</v>
      </c>
      <c r="C42" s="183">
        <v>22615.5</v>
      </c>
      <c r="D42" s="183">
        <v>21602</v>
      </c>
      <c r="E42" s="183">
        <v>25582.5</v>
      </c>
      <c r="F42" s="183">
        <v>33645.5</v>
      </c>
      <c r="G42" s="183">
        <v>60107.75</v>
      </c>
      <c r="H42" s="183">
        <v>29971</v>
      </c>
      <c r="I42" s="183">
        <v>38376.5</v>
      </c>
      <c r="J42" s="183">
        <v>38428.5</v>
      </c>
      <c r="K42" s="183">
        <v>49451.5</v>
      </c>
      <c r="L42" s="183">
        <v>92962</v>
      </c>
      <c r="M42" s="183">
        <v>58686.75</v>
      </c>
    </row>
    <row r="43" spans="1:20" ht="15" thickBot="1">
      <c r="A43" s="175" t="s">
        <v>138</v>
      </c>
      <c r="B43" s="183">
        <v>23046.5</v>
      </c>
      <c r="C43" s="183">
        <v>24383.5</v>
      </c>
      <c r="D43" s="183">
        <v>23590</v>
      </c>
      <c r="E43" s="183">
        <v>27746.5</v>
      </c>
      <c r="F43" s="183">
        <v>35407.5</v>
      </c>
      <c r="G43" s="183">
        <v>61883.75</v>
      </c>
      <c r="H43" s="183">
        <v>32259</v>
      </c>
      <c r="I43" s="183">
        <v>40370.5</v>
      </c>
      <c r="J43" s="183">
        <v>40640.5</v>
      </c>
      <c r="K43" s="183">
        <v>51405.5</v>
      </c>
      <c r="L43" s="183">
        <v>94398</v>
      </c>
      <c r="M43" s="183">
        <v>60690.75</v>
      </c>
    </row>
    <row r="45" spans="1:20" ht="26">
      <c r="A45" s="178" t="s">
        <v>198</v>
      </c>
    </row>
    <row r="47" spans="1:20">
      <c r="A47" s="170" t="s">
        <v>3</v>
      </c>
      <c r="B47" s="179" t="s">
        <v>203</v>
      </c>
      <c r="C47" s="179" t="s">
        <v>204</v>
      </c>
      <c r="D47" s="179" t="s">
        <v>205</v>
      </c>
      <c r="E47" s="179" t="s">
        <v>206</v>
      </c>
      <c r="F47" s="179" t="s">
        <v>207</v>
      </c>
      <c r="G47" s="179" t="s">
        <v>208</v>
      </c>
      <c r="H47" s="179" t="s">
        <v>209</v>
      </c>
      <c r="I47" s="179" t="s">
        <v>210</v>
      </c>
      <c r="J47" s="179" t="s">
        <v>211</v>
      </c>
      <c r="K47" s="179" t="s">
        <v>212</v>
      </c>
      <c r="L47" s="179" t="s">
        <v>213</v>
      </c>
      <c r="M47" s="179" t="s">
        <v>214</v>
      </c>
    </row>
    <row r="48" spans="1:20" ht="15.5">
      <c r="A48" s="171" t="s">
        <v>194</v>
      </c>
      <c r="B48" s="168">
        <f>B3-B25</f>
        <v>0</v>
      </c>
      <c r="C48" s="168">
        <f t="shared" ref="C48:M48" si="6">C3-C25</f>
        <v>0</v>
      </c>
      <c r="D48" s="168">
        <f t="shared" si="6"/>
        <v>0</v>
      </c>
      <c r="E48" s="168">
        <f t="shared" si="6"/>
        <v>0</v>
      </c>
      <c r="F48" s="168">
        <f t="shared" si="6"/>
        <v>0</v>
      </c>
      <c r="G48" s="168">
        <f t="shared" si="6"/>
        <v>0</v>
      </c>
      <c r="H48" s="168">
        <f t="shared" si="6"/>
        <v>0</v>
      </c>
      <c r="I48" s="168">
        <f t="shared" si="6"/>
        <v>0</v>
      </c>
      <c r="J48" s="168">
        <f t="shared" si="6"/>
        <v>0</v>
      </c>
      <c r="K48" s="168">
        <f t="shared" si="6"/>
        <v>0</v>
      </c>
      <c r="L48" s="168">
        <f t="shared" si="6"/>
        <v>0</v>
      </c>
      <c r="M48" s="168">
        <f t="shared" si="6"/>
        <v>0</v>
      </c>
      <c r="N48" s="168"/>
      <c r="O48" s="168"/>
      <c r="P48" s="168"/>
      <c r="Q48" s="168"/>
      <c r="R48" s="168"/>
      <c r="S48" s="168"/>
      <c r="T48" s="168"/>
    </row>
    <row r="49" spans="1:13" ht="15.5">
      <c r="A49" s="172" t="s">
        <v>139</v>
      </c>
      <c r="B49" s="168">
        <f t="shared" ref="B49:M49" si="7">B4-B26</f>
        <v>0</v>
      </c>
      <c r="C49" s="168">
        <f t="shared" ref="C49:M49" si="8">C4-C26</f>
        <v>0</v>
      </c>
      <c r="D49" s="168">
        <f t="shared" si="8"/>
        <v>0</v>
      </c>
      <c r="E49" s="168">
        <f t="shared" si="8"/>
        <v>0</v>
      </c>
      <c r="F49" s="168">
        <f t="shared" si="8"/>
        <v>0</v>
      </c>
      <c r="G49" s="168">
        <f t="shared" si="8"/>
        <v>0</v>
      </c>
      <c r="H49" s="168">
        <f t="shared" si="8"/>
        <v>0</v>
      </c>
      <c r="I49" s="168">
        <f t="shared" si="8"/>
        <v>0</v>
      </c>
      <c r="J49" s="168">
        <f t="shared" si="8"/>
        <v>0</v>
      </c>
      <c r="K49" s="168">
        <f t="shared" si="8"/>
        <v>0</v>
      </c>
      <c r="L49" s="168">
        <f t="shared" si="8"/>
        <v>0</v>
      </c>
      <c r="M49" s="168">
        <f t="shared" si="8"/>
        <v>0</v>
      </c>
    </row>
    <row r="50" spans="1:13" ht="15.5">
      <c r="A50" s="173" t="s">
        <v>140</v>
      </c>
      <c r="B50" s="168">
        <f t="shared" ref="B50:M50" si="9">B5-B27</f>
        <v>0</v>
      </c>
      <c r="C50" s="168">
        <f t="shared" ref="C50:M50" si="10">C5-C27</f>
        <v>0</v>
      </c>
      <c r="D50" s="168">
        <f t="shared" si="10"/>
        <v>0</v>
      </c>
      <c r="E50" s="168">
        <f t="shared" si="10"/>
        <v>0</v>
      </c>
      <c r="F50" s="168">
        <f t="shared" si="10"/>
        <v>0</v>
      </c>
      <c r="G50" s="168">
        <f t="shared" si="10"/>
        <v>0</v>
      </c>
      <c r="H50" s="168">
        <f t="shared" si="10"/>
        <v>0</v>
      </c>
      <c r="I50" s="168">
        <f t="shared" si="10"/>
        <v>0</v>
      </c>
      <c r="J50" s="168">
        <f t="shared" si="10"/>
        <v>0</v>
      </c>
      <c r="K50" s="168">
        <f t="shared" si="10"/>
        <v>0</v>
      </c>
      <c r="L50" s="168">
        <f t="shared" si="10"/>
        <v>0</v>
      </c>
      <c r="M50" s="168">
        <f t="shared" si="10"/>
        <v>0</v>
      </c>
    </row>
    <row r="51" spans="1:13" ht="15.5">
      <c r="A51" s="174" t="s">
        <v>195</v>
      </c>
      <c r="B51" s="168">
        <f t="shared" ref="B51:M51" si="11">B6-B28</f>
        <v>0</v>
      </c>
      <c r="C51" s="168">
        <f t="shared" ref="C51:M51" si="12">C6-C28</f>
        <v>0</v>
      </c>
      <c r="D51" s="168">
        <f t="shared" si="12"/>
        <v>0</v>
      </c>
      <c r="E51" s="168">
        <f t="shared" si="12"/>
        <v>0</v>
      </c>
      <c r="F51" s="168">
        <f t="shared" si="12"/>
        <v>0</v>
      </c>
      <c r="G51" s="168">
        <f t="shared" si="12"/>
        <v>0</v>
      </c>
      <c r="H51" s="168">
        <f t="shared" si="12"/>
        <v>0</v>
      </c>
      <c r="I51" s="168">
        <f t="shared" si="12"/>
        <v>0</v>
      </c>
      <c r="J51" s="168">
        <f t="shared" si="12"/>
        <v>0</v>
      </c>
      <c r="K51" s="168">
        <f t="shared" si="12"/>
        <v>0</v>
      </c>
      <c r="L51" s="168">
        <f t="shared" si="12"/>
        <v>0</v>
      </c>
      <c r="M51" s="168">
        <f t="shared" si="12"/>
        <v>0</v>
      </c>
    </row>
    <row r="52" spans="1:13" ht="16" thickBot="1">
      <c r="A52" s="175" t="s">
        <v>138</v>
      </c>
      <c r="B52" s="168">
        <f t="shared" ref="B52:M52" si="13">B7-B29</f>
        <v>0</v>
      </c>
      <c r="C52" s="168">
        <f t="shared" ref="C52:M52" si="14">C7-C29</f>
        <v>0</v>
      </c>
      <c r="D52" s="168">
        <f t="shared" si="14"/>
        <v>0</v>
      </c>
      <c r="E52" s="168">
        <f t="shared" si="14"/>
        <v>0</v>
      </c>
      <c r="F52" s="168">
        <f t="shared" si="14"/>
        <v>0</v>
      </c>
      <c r="G52" s="168">
        <f t="shared" si="14"/>
        <v>0</v>
      </c>
      <c r="H52" s="168">
        <f t="shared" si="14"/>
        <v>0</v>
      </c>
      <c r="I52" s="168">
        <f t="shared" si="14"/>
        <v>0</v>
      </c>
      <c r="J52" s="168">
        <f t="shared" si="14"/>
        <v>0</v>
      </c>
      <c r="K52" s="168">
        <f t="shared" si="14"/>
        <v>0</v>
      </c>
      <c r="L52" s="168">
        <f t="shared" si="14"/>
        <v>0</v>
      </c>
      <c r="M52" s="168">
        <f t="shared" si="14"/>
        <v>0</v>
      </c>
    </row>
    <row r="53" spans="1:13"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</row>
    <row r="54" spans="1:13">
      <c r="A54" s="170" t="s">
        <v>202</v>
      </c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</row>
    <row r="55" spans="1:13" ht="15.5">
      <c r="A55" s="171" t="s">
        <v>194</v>
      </c>
      <c r="B55" s="168">
        <f>B10-B32</f>
        <v>0</v>
      </c>
      <c r="C55" s="168">
        <f t="shared" ref="C55:M55" si="15">C10-C32</f>
        <v>0</v>
      </c>
      <c r="D55" s="168">
        <f t="shared" si="15"/>
        <v>0</v>
      </c>
      <c r="E55" s="168">
        <f t="shared" si="15"/>
        <v>0</v>
      </c>
      <c r="F55" s="168">
        <f t="shared" si="15"/>
        <v>0</v>
      </c>
      <c r="G55" s="168">
        <f t="shared" si="15"/>
        <v>0</v>
      </c>
      <c r="H55" s="168">
        <f t="shared" si="15"/>
        <v>0</v>
      </c>
      <c r="I55" s="168">
        <f t="shared" si="15"/>
        <v>0</v>
      </c>
      <c r="J55" s="168">
        <f t="shared" si="15"/>
        <v>0</v>
      </c>
      <c r="K55" s="168">
        <f t="shared" si="15"/>
        <v>0</v>
      </c>
      <c r="L55" s="168">
        <f t="shared" si="15"/>
        <v>0</v>
      </c>
      <c r="M55" s="168">
        <f t="shared" si="15"/>
        <v>0</v>
      </c>
    </row>
    <row r="56" spans="1:13" ht="15.5">
      <c r="A56" s="172" t="s">
        <v>139</v>
      </c>
      <c r="B56" s="168">
        <f t="shared" ref="B56:M56" si="16">B11-B33</f>
        <v>0</v>
      </c>
      <c r="C56" s="168">
        <f t="shared" si="16"/>
        <v>0</v>
      </c>
      <c r="D56" s="168">
        <f t="shared" si="16"/>
        <v>0</v>
      </c>
      <c r="E56" s="168">
        <f t="shared" si="16"/>
        <v>0</v>
      </c>
      <c r="F56" s="168">
        <f t="shared" si="16"/>
        <v>0</v>
      </c>
      <c r="G56" s="168">
        <f t="shared" si="16"/>
        <v>0</v>
      </c>
      <c r="H56" s="168">
        <f t="shared" si="16"/>
        <v>0</v>
      </c>
      <c r="I56" s="168">
        <f t="shared" si="16"/>
        <v>0</v>
      </c>
      <c r="J56" s="168">
        <f t="shared" si="16"/>
        <v>0</v>
      </c>
      <c r="K56" s="168">
        <f t="shared" si="16"/>
        <v>0</v>
      </c>
      <c r="L56" s="168">
        <f t="shared" si="16"/>
        <v>0</v>
      </c>
      <c r="M56" s="168">
        <f t="shared" si="16"/>
        <v>0</v>
      </c>
    </row>
    <row r="57" spans="1:13" ht="15.5">
      <c r="A57" s="173" t="s">
        <v>140</v>
      </c>
      <c r="B57" s="168">
        <f t="shared" ref="B57:M57" si="17">B12-B34</f>
        <v>0</v>
      </c>
      <c r="C57" s="168">
        <f t="shared" si="17"/>
        <v>0</v>
      </c>
      <c r="D57" s="168">
        <f t="shared" si="17"/>
        <v>0</v>
      </c>
      <c r="E57" s="168">
        <f t="shared" si="17"/>
        <v>0</v>
      </c>
      <c r="F57" s="168">
        <f t="shared" si="17"/>
        <v>0</v>
      </c>
      <c r="G57" s="168">
        <f t="shared" si="17"/>
        <v>0</v>
      </c>
      <c r="H57" s="168">
        <f t="shared" si="17"/>
        <v>0</v>
      </c>
      <c r="I57" s="168">
        <f t="shared" si="17"/>
        <v>0</v>
      </c>
      <c r="J57" s="168">
        <f t="shared" si="17"/>
        <v>0</v>
      </c>
      <c r="K57" s="168">
        <f t="shared" si="17"/>
        <v>0</v>
      </c>
      <c r="L57" s="168">
        <f t="shared" si="17"/>
        <v>0</v>
      </c>
      <c r="M57" s="168">
        <f t="shared" si="17"/>
        <v>0</v>
      </c>
    </row>
    <row r="58" spans="1:13" ht="15.5">
      <c r="A58" s="174" t="s">
        <v>195</v>
      </c>
      <c r="B58" s="168">
        <f t="shared" ref="B58:M58" si="18">B13-B35</f>
        <v>0</v>
      </c>
      <c r="C58" s="168">
        <f t="shared" si="18"/>
        <v>0</v>
      </c>
      <c r="D58" s="168">
        <f t="shared" si="18"/>
        <v>0</v>
      </c>
      <c r="E58" s="168">
        <f t="shared" si="18"/>
        <v>0</v>
      </c>
      <c r="F58" s="168">
        <f t="shared" si="18"/>
        <v>0</v>
      </c>
      <c r="G58" s="168">
        <f t="shared" si="18"/>
        <v>0</v>
      </c>
      <c r="H58" s="168">
        <f t="shared" si="18"/>
        <v>0</v>
      </c>
      <c r="I58" s="168">
        <f t="shared" si="18"/>
        <v>0</v>
      </c>
      <c r="J58" s="168">
        <f t="shared" si="18"/>
        <v>0</v>
      </c>
      <c r="K58" s="168">
        <f t="shared" si="18"/>
        <v>0</v>
      </c>
      <c r="L58" s="168">
        <f t="shared" si="18"/>
        <v>0</v>
      </c>
      <c r="M58" s="168">
        <f t="shared" si="18"/>
        <v>0</v>
      </c>
    </row>
    <row r="59" spans="1:13" ht="16" thickBot="1">
      <c r="A59" s="175" t="s">
        <v>138</v>
      </c>
      <c r="B59" s="168">
        <f t="shared" ref="B59:M59" si="19">B14-B36</f>
        <v>0</v>
      </c>
      <c r="C59" s="168">
        <f t="shared" si="19"/>
        <v>0</v>
      </c>
      <c r="D59" s="168">
        <f t="shared" si="19"/>
        <v>0</v>
      </c>
      <c r="E59" s="168">
        <f t="shared" si="19"/>
        <v>0</v>
      </c>
      <c r="F59" s="168">
        <f t="shared" si="19"/>
        <v>0</v>
      </c>
      <c r="G59" s="168">
        <f t="shared" si="19"/>
        <v>0</v>
      </c>
      <c r="H59" s="168">
        <f t="shared" si="19"/>
        <v>0</v>
      </c>
      <c r="I59" s="168">
        <f t="shared" si="19"/>
        <v>0</v>
      </c>
      <c r="J59" s="168">
        <f t="shared" si="19"/>
        <v>0</v>
      </c>
      <c r="K59" s="168">
        <f t="shared" si="19"/>
        <v>0</v>
      </c>
      <c r="L59" s="168">
        <f t="shared" si="19"/>
        <v>0</v>
      </c>
      <c r="M59" s="168">
        <f t="shared" si="19"/>
        <v>0</v>
      </c>
    </row>
    <row r="60" spans="1:13"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</row>
    <row r="61" spans="1:13">
      <c r="A61" s="170" t="s">
        <v>71</v>
      </c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</row>
    <row r="62" spans="1:13" ht="15.5">
      <c r="A62" s="171" t="s">
        <v>194</v>
      </c>
      <c r="B62" s="168">
        <f>B17-B39</f>
        <v>0</v>
      </c>
      <c r="C62" s="168">
        <f t="shared" ref="C62:M62" si="20">C17-C39</f>
        <v>0</v>
      </c>
      <c r="D62" s="168">
        <f t="shared" si="20"/>
        <v>0</v>
      </c>
      <c r="E62" s="168">
        <f t="shared" si="20"/>
        <v>0</v>
      </c>
      <c r="F62" s="168">
        <f t="shared" si="20"/>
        <v>0</v>
      </c>
      <c r="G62" s="168">
        <f t="shared" si="20"/>
        <v>0</v>
      </c>
      <c r="H62" s="168">
        <f t="shared" si="20"/>
        <v>0</v>
      </c>
      <c r="I62" s="168">
        <f t="shared" si="20"/>
        <v>0</v>
      </c>
      <c r="J62" s="168">
        <f t="shared" si="20"/>
        <v>0</v>
      </c>
      <c r="K62" s="168">
        <f t="shared" si="20"/>
        <v>0</v>
      </c>
      <c r="L62" s="168">
        <f t="shared" si="20"/>
        <v>0</v>
      </c>
      <c r="M62" s="168">
        <f t="shared" si="20"/>
        <v>0</v>
      </c>
    </row>
    <row r="63" spans="1:13" ht="15.5">
      <c r="A63" s="172" t="s">
        <v>139</v>
      </c>
      <c r="B63" s="168">
        <f t="shared" ref="B63:M63" si="21">B18-B40</f>
        <v>0</v>
      </c>
      <c r="C63" s="168">
        <f t="shared" si="21"/>
        <v>0</v>
      </c>
      <c r="D63" s="168">
        <f t="shared" si="21"/>
        <v>0</v>
      </c>
      <c r="E63" s="168">
        <f t="shared" si="21"/>
        <v>0</v>
      </c>
      <c r="F63" s="168">
        <f t="shared" si="21"/>
        <v>0</v>
      </c>
      <c r="G63" s="168">
        <f t="shared" si="21"/>
        <v>0</v>
      </c>
      <c r="H63" s="168">
        <f t="shared" si="21"/>
        <v>0</v>
      </c>
      <c r="I63" s="168">
        <f t="shared" si="21"/>
        <v>0</v>
      </c>
      <c r="J63" s="168">
        <f t="shared" si="21"/>
        <v>0</v>
      </c>
      <c r="K63" s="168">
        <f t="shared" si="21"/>
        <v>0</v>
      </c>
      <c r="L63" s="168">
        <f t="shared" si="21"/>
        <v>0</v>
      </c>
      <c r="M63" s="168">
        <f t="shared" si="21"/>
        <v>0</v>
      </c>
    </row>
    <row r="64" spans="1:13" ht="15.5">
      <c r="A64" s="173" t="s">
        <v>140</v>
      </c>
      <c r="B64" s="168">
        <f t="shared" ref="B64:M64" si="22">B19-B41</f>
        <v>0</v>
      </c>
      <c r="C64" s="168">
        <f t="shared" si="22"/>
        <v>0</v>
      </c>
      <c r="D64" s="168">
        <f t="shared" si="22"/>
        <v>0</v>
      </c>
      <c r="E64" s="168">
        <f t="shared" si="22"/>
        <v>0</v>
      </c>
      <c r="F64" s="168">
        <f t="shared" si="22"/>
        <v>0</v>
      </c>
      <c r="G64" s="168">
        <f t="shared" si="22"/>
        <v>0</v>
      </c>
      <c r="H64" s="168">
        <f t="shared" si="22"/>
        <v>0</v>
      </c>
      <c r="I64" s="168">
        <f t="shared" si="22"/>
        <v>0</v>
      </c>
      <c r="J64" s="168">
        <f t="shared" si="22"/>
        <v>0</v>
      </c>
      <c r="K64" s="168">
        <f t="shared" si="22"/>
        <v>0</v>
      </c>
      <c r="L64" s="168">
        <f t="shared" si="22"/>
        <v>0</v>
      </c>
      <c r="M64" s="168">
        <f t="shared" si="22"/>
        <v>0</v>
      </c>
    </row>
    <row r="65" spans="1:13" ht="15.5">
      <c r="A65" s="174" t="s">
        <v>195</v>
      </c>
      <c r="B65" s="168">
        <f t="shared" ref="B65:M65" si="23">B20-B42</f>
        <v>0</v>
      </c>
      <c r="C65" s="168">
        <f t="shared" si="23"/>
        <v>0</v>
      </c>
      <c r="D65" s="168">
        <f t="shared" si="23"/>
        <v>0</v>
      </c>
      <c r="E65" s="168">
        <f t="shared" si="23"/>
        <v>0</v>
      </c>
      <c r="F65" s="168">
        <f t="shared" si="23"/>
        <v>0</v>
      </c>
      <c r="G65" s="168">
        <f t="shared" si="23"/>
        <v>0</v>
      </c>
      <c r="H65" s="168">
        <f t="shared" si="23"/>
        <v>0</v>
      </c>
      <c r="I65" s="168">
        <f t="shared" si="23"/>
        <v>0</v>
      </c>
      <c r="J65" s="168">
        <f t="shared" si="23"/>
        <v>0</v>
      </c>
      <c r="K65" s="168">
        <f t="shared" si="23"/>
        <v>0</v>
      </c>
      <c r="L65" s="168">
        <f t="shared" si="23"/>
        <v>0</v>
      </c>
      <c r="M65" s="168">
        <f t="shared" si="23"/>
        <v>0</v>
      </c>
    </row>
    <row r="66" spans="1:13" ht="16" thickBot="1">
      <c r="A66" s="175" t="s">
        <v>138</v>
      </c>
      <c r="B66" s="168">
        <f t="shared" ref="B66:M66" si="24">B21-B43</f>
        <v>0</v>
      </c>
      <c r="C66" s="168">
        <f t="shared" si="24"/>
        <v>0</v>
      </c>
      <c r="D66" s="168">
        <f t="shared" si="24"/>
        <v>0</v>
      </c>
      <c r="E66" s="168">
        <f t="shared" si="24"/>
        <v>0</v>
      </c>
      <c r="F66" s="168">
        <f t="shared" si="24"/>
        <v>0</v>
      </c>
      <c r="G66" s="168">
        <f t="shared" si="24"/>
        <v>0</v>
      </c>
      <c r="H66" s="168">
        <f t="shared" si="24"/>
        <v>0</v>
      </c>
      <c r="I66" s="168">
        <f t="shared" si="24"/>
        <v>0</v>
      </c>
      <c r="J66" s="168">
        <f t="shared" si="24"/>
        <v>0</v>
      </c>
      <c r="K66" s="168">
        <f t="shared" si="24"/>
        <v>0</v>
      </c>
      <c r="L66" s="168">
        <f t="shared" si="24"/>
        <v>0</v>
      </c>
      <c r="M66" s="168">
        <f t="shared" si="24"/>
        <v>0</v>
      </c>
    </row>
  </sheetData>
  <conditionalFormatting sqref="B48:T48 B48:M52">
    <cfRule type="expression" dxfId="6" priority="11">
      <formula>B48&lt;&gt;0</formula>
    </cfRule>
  </conditionalFormatting>
  <conditionalFormatting sqref="C48:T48 C48:M52">
    <cfRule type="expression" dxfId="3" priority="12">
      <formula>"BH177&lt;&gt;0"</formula>
    </cfRule>
  </conditionalFormatting>
  <conditionalFormatting sqref="B62:M66 B55:M59">
    <cfRule type="expression" dxfId="1" priority="1">
      <formula>B55&lt;&gt;0</formula>
    </cfRule>
  </conditionalFormatting>
  <conditionalFormatting sqref="C62:M66 C55:M59">
    <cfRule type="expression" dxfId="0" priority="2">
      <formula>"BH177&lt;&gt;0"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22D7-5F6F-4198-9A1C-4188383CFA58}">
  <sheetPr filterMode="1"/>
  <dimension ref="A1:Q1221"/>
  <sheetViews>
    <sheetView zoomScaleNormal="100" workbookViewId="0">
      <selection activeCell="F5" sqref="F5"/>
    </sheetView>
  </sheetViews>
  <sheetFormatPr defaultRowHeight="13"/>
  <cols>
    <col min="1" max="1" width="15.26953125" customWidth="1"/>
    <col min="2" max="2" width="20.453125" customWidth="1"/>
    <col min="3" max="3" width="12.453125" customWidth="1"/>
    <col min="5" max="5" width="11.08984375" customWidth="1"/>
    <col min="6" max="6" width="10.81640625" customWidth="1"/>
    <col min="7" max="7" width="10.54296875" bestFit="1" customWidth="1"/>
  </cols>
  <sheetData>
    <row r="1" spans="1:17" ht="14.5" thickBot="1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s="208">
        <v>4</v>
      </c>
      <c r="G1" s="209">
        <v>5</v>
      </c>
      <c r="H1" s="209">
        <v>6</v>
      </c>
      <c r="I1" s="209">
        <v>7</v>
      </c>
      <c r="J1" s="209">
        <v>8</v>
      </c>
      <c r="K1" s="209">
        <v>9</v>
      </c>
      <c r="L1" s="209">
        <v>10</v>
      </c>
      <c r="M1" s="209">
        <v>11</v>
      </c>
      <c r="N1" s="210">
        <v>12</v>
      </c>
      <c r="O1" s="211">
        <v>1</v>
      </c>
      <c r="P1" s="212">
        <v>2</v>
      </c>
      <c r="Q1" s="213">
        <v>3</v>
      </c>
    </row>
    <row r="2" spans="1:17" ht="14.5" hidden="1" thickBot="1">
      <c r="A2">
        <f>[1]人員・時間計画!$A$5</f>
        <v>1412000004</v>
      </c>
      <c r="B2" t="str">
        <f>[1]人員・時間計画!$B$5</f>
        <v>機器製造1課</v>
      </c>
      <c r="C2" s="185" t="s">
        <v>3</v>
      </c>
      <c r="D2" s="185" t="s">
        <v>3</v>
      </c>
      <c r="E2" s="186"/>
    </row>
    <row r="3" spans="1:17" ht="14.5" hidden="1" thickBot="1">
      <c r="A3">
        <f>[1]人員・時間計画!$A$5</f>
        <v>1412000004</v>
      </c>
      <c r="B3" t="str">
        <f>[1]人員・時間計画!$B$5</f>
        <v>機器製造1課</v>
      </c>
      <c r="C3" s="185" t="s">
        <v>3</v>
      </c>
      <c r="D3" s="187" t="s">
        <v>194</v>
      </c>
      <c r="E3" s="188"/>
      <c r="F3" s="214">
        <f>[1]人員・時間計画!C10</f>
        <v>2</v>
      </c>
      <c r="G3" s="214">
        <f>[1]人員・時間計画!D10</f>
        <v>2</v>
      </c>
      <c r="H3" s="214">
        <f>[1]人員・時間計画!E10</f>
        <v>2</v>
      </c>
      <c r="I3" s="214">
        <f>[1]人員・時間計画!F10</f>
        <v>2</v>
      </c>
      <c r="J3" s="214">
        <f>[1]人員・時間計画!G10</f>
        <v>2</v>
      </c>
      <c r="K3" s="214">
        <f>[1]人員・時間計画!H10</f>
        <v>2</v>
      </c>
      <c r="L3" s="214">
        <f>[1]人員・時間計画!I10</f>
        <v>2</v>
      </c>
      <c r="M3" s="214">
        <f>[1]人員・時間計画!J10</f>
        <v>2</v>
      </c>
      <c r="N3" s="214">
        <f>[1]人員・時間計画!K10</f>
        <v>2</v>
      </c>
      <c r="O3" s="214">
        <f>[1]人員・時間計画!L10</f>
        <v>2</v>
      </c>
      <c r="P3" s="214">
        <f>[1]人員・時間計画!M10</f>
        <v>2</v>
      </c>
      <c r="Q3" s="214">
        <f>[1]人員・時間計画!N10</f>
        <v>2</v>
      </c>
    </row>
    <row r="4" spans="1:17" ht="14.5" hidden="1" thickBot="1">
      <c r="A4">
        <f>[1]人員・時間計画!$A$5</f>
        <v>1412000004</v>
      </c>
      <c r="B4" t="str">
        <f>[1]人員・時間計画!$B$5</f>
        <v>機器製造1課</v>
      </c>
      <c r="C4" s="185" t="s">
        <v>3</v>
      </c>
      <c r="D4" s="189"/>
      <c r="E4" s="190" t="s">
        <v>139</v>
      </c>
      <c r="F4" s="214">
        <f>[1]人員・時間計画!C11</f>
        <v>77</v>
      </c>
      <c r="G4" s="214">
        <f>[1]人員・時間計画!D11</f>
        <v>77</v>
      </c>
      <c r="H4" s="214">
        <f>[1]人員・時間計画!E11</f>
        <v>77</v>
      </c>
      <c r="I4" s="214">
        <f>[1]人員・時間計画!F11</f>
        <v>85</v>
      </c>
      <c r="J4" s="214">
        <f>[1]人員・時間計画!G11</f>
        <v>85</v>
      </c>
      <c r="K4" s="214">
        <f>[1]人員・時間計画!H11</f>
        <v>85</v>
      </c>
      <c r="L4" s="214">
        <f>[1]人員・時間計画!I11</f>
        <v>85</v>
      </c>
      <c r="M4" s="214">
        <f>[1]人員・時間計画!J11</f>
        <v>85</v>
      </c>
      <c r="N4" s="214">
        <f>[1]人員・時間計画!K11</f>
        <v>85</v>
      </c>
      <c r="O4" s="214">
        <f>[1]人員・時間計画!L11</f>
        <v>93</v>
      </c>
      <c r="P4" s="214">
        <f>[1]人員・時間計画!M11</f>
        <v>93</v>
      </c>
      <c r="Q4" s="214">
        <f>[1]人員・時間計画!N11</f>
        <v>93</v>
      </c>
    </row>
    <row r="5" spans="1:17" ht="14.5" thickBot="1">
      <c r="A5">
        <f>[1]人員・時間計画!$A$5</f>
        <v>1412000004</v>
      </c>
      <c r="B5" t="str">
        <f>[1]人員・時間計画!$B$5</f>
        <v>機器製造1課</v>
      </c>
      <c r="C5" s="185" t="s">
        <v>3</v>
      </c>
      <c r="D5" s="191" t="s">
        <v>195</v>
      </c>
      <c r="E5" s="192" t="s">
        <v>140</v>
      </c>
      <c r="F5" s="214">
        <f>[1]人員・時間計画!C12</f>
        <v>928</v>
      </c>
      <c r="G5" s="214">
        <f>[1]人員・時間計画!D12</f>
        <v>965</v>
      </c>
      <c r="H5" s="214">
        <f>[1]人員・時間計画!E12</f>
        <v>961</v>
      </c>
      <c r="I5" s="214">
        <f>[1]人員・時間計画!F12</f>
        <v>1105</v>
      </c>
      <c r="J5" s="214">
        <f>[1]人員・時間計画!G12</f>
        <v>1185</v>
      </c>
      <c r="K5" s="214">
        <f>[1]人員・時間計画!H12</f>
        <v>1450</v>
      </c>
      <c r="L5" s="214">
        <f>[1]人員・時間計画!I12</f>
        <v>1751</v>
      </c>
      <c r="M5" s="214">
        <f>[1]人員・時間計画!J12</f>
        <v>1757</v>
      </c>
      <c r="N5" s="214">
        <f>[1]人員・時間計画!K12</f>
        <v>1752</v>
      </c>
      <c r="O5" s="214">
        <f>[1]人員・時間計画!L12</f>
        <v>1772</v>
      </c>
      <c r="P5" s="214">
        <f>[1]人員・時間計画!M12</f>
        <v>1962</v>
      </c>
      <c r="Q5" s="214">
        <f>[1]人員・時間計画!N12</f>
        <v>1789</v>
      </c>
    </row>
    <row r="6" spans="1:17" ht="14.5" hidden="1" thickBot="1">
      <c r="A6">
        <f>[1]人員・時間計画!$A$5</f>
        <v>1412000004</v>
      </c>
      <c r="B6" t="str">
        <f>[1]人員・時間計画!$B$5</f>
        <v>機器製造1課</v>
      </c>
      <c r="C6" s="185" t="s">
        <v>3</v>
      </c>
      <c r="D6" s="193"/>
      <c r="E6" s="194" t="s">
        <v>138</v>
      </c>
      <c r="F6" s="214">
        <f>[1]人員・時間計画!C13</f>
        <v>1005</v>
      </c>
      <c r="G6" s="214">
        <f>[1]人員・時間計画!D13</f>
        <v>1042</v>
      </c>
      <c r="H6" s="214">
        <f>[1]人員・時間計画!E13</f>
        <v>1038</v>
      </c>
      <c r="I6" s="214">
        <f>[1]人員・時間計画!F13</f>
        <v>1190</v>
      </c>
      <c r="J6" s="214">
        <f>[1]人員・時間計画!G13</f>
        <v>1270</v>
      </c>
      <c r="K6" s="214">
        <f>[1]人員・時間計画!H13</f>
        <v>1535</v>
      </c>
      <c r="L6" s="214">
        <f>[1]人員・時間計画!I13</f>
        <v>1836</v>
      </c>
      <c r="M6" s="214">
        <f>[1]人員・時間計画!J13</f>
        <v>1842</v>
      </c>
      <c r="N6" s="214">
        <f>[1]人員・時間計画!K13</f>
        <v>1837</v>
      </c>
      <c r="O6" s="214">
        <f>[1]人員・時間計画!L13</f>
        <v>1865</v>
      </c>
      <c r="P6" s="214">
        <f>[1]人員・時間計画!M13</f>
        <v>2055</v>
      </c>
      <c r="Q6" s="214">
        <f>[1]人員・時間計画!N13</f>
        <v>1882</v>
      </c>
    </row>
    <row r="7" spans="1:17" ht="14.5" hidden="1" thickBot="1">
      <c r="A7">
        <f>[1]人員・時間計画!$A$5</f>
        <v>1412000004</v>
      </c>
      <c r="B7" t="str">
        <f>[1]人員・時間計画!$B$5</f>
        <v>機器製造1課</v>
      </c>
      <c r="C7" s="185" t="s">
        <v>3</v>
      </c>
      <c r="D7" s="195" t="s">
        <v>196</v>
      </c>
      <c r="E7" s="196"/>
      <c r="F7" s="214">
        <f>[1]人員・時間計画!C14</f>
        <v>1007</v>
      </c>
      <c r="G7" s="214">
        <f>[1]人員・時間計画!D14</f>
        <v>1044</v>
      </c>
      <c r="H7" s="214">
        <f>[1]人員・時間計画!E14</f>
        <v>1040</v>
      </c>
      <c r="I7" s="214">
        <f>[1]人員・時間計画!F14</f>
        <v>1192</v>
      </c>
      <c r="J7" s="214">
        <f>[1]人員・時間計画!G14</f>
        <v>1272</v>
      </c>
      <c r="K7" s="214">
        <f>[1]人員・時間計画!H14</f>
        <v>1537</v>
      </c>
      <c r="L7" s="214">
        <f>[1]人員・時間計画!I14</f>
        <v>1838</v>
      </c>
      <c r="M7" s="214">
        <f>[1]人員・時間計画!J14</f>
        <v>1844</v>
      </c>
      <c r="N7" s="214">
        <f>[1]人員・時間計画!K14</f>
        <v>1839</v>
      </c>
      <c r="O7" s="214">
        <f>[1]人員・時間計画!L14</f>
        <v>1867</v>
      </c>
      <c r="P7" s="214">
        <f>[1]人員・時間計画!M14</f>
        <v>2057</v>
      </c>
      <c r="Q7" s="214">
        <f>[1]人員・時間計画!N14</f>
        <v>1884</v>
      </c>
    </row>
    <row r="8" spans="1:17" ht="14.5" hidden="1" thickBot="1">
      <c r="A8">
        <f>[1]人員・時間計画!$A$5</f>
        <v>1412000004</v>
      </c>
      <c r="B8" t="str">
        <f>[1]人員・時間計画!$B$5</f>
        <v>機器製造1課</v>
      </c>
      <c r="D8" s="197"/>
      <c r="E8" s="197"/>
    </row>
    <row r="9" spans="1:17" ht="14.5" hidden="1" thickBot="1">
      <c r="A9">
        <f>[1]人員・時間計画!$A$5</f>
        <v>1412000004</v>
      </c>
      <c r="B9" t="str">
        <f>[1]人員・時間計画!$B$5</f>
        <v>機器製造1課</v>
      </c>
      <c r="C9" s="185" t="s">
        <v>202</v>
      </c>
      <c r="D9" s="185" t="s">
        <v>202</v>
      </c>
      <c r="E9" s="186"/>
    </row>
    <row r="10" spans="1:17" ht="14.5" hidden="1" thickBot="1">
      <c r="A10">
        <f>[1]人員・時間計画!$A$5</f>
        <v>1412000004</v>
      </c>
      <c r="B10" t="str">
        <f>[1]人員・時間計画!$B$5</f>
        <v>機器製造1課</v>
      </c>
      <c r="C10" s="185" t="s">
        <v>202</v>
      </c>
      <c r="D10" s="198" t="s">
        <v>194</v>
      </c>
      <c r="E10" s="199"/>
      <c r="F10" s="182">
        <f>[1]人員・時間計画!C17</f>
        <v>340</v>
      </c>
      <c r="G10" s="182">
        <f>[1]人員・時間計画!D17</f>
        <v>323</v>
      </c>
      <c r="H10" s="182">
        <f>[1]人員・時間計画!E17</f>
        <v>357</v>
      </c>
      <c r="I10" s="182">
        <f>[1]人員・時間計画!F17</f>
        <v>391</v>
      </c>
      <c r="J10" s="182">
        <f>[1]人員・時間計画!G17</f>
        <v>340</v>
      </c>
      <c r="K10" s="182">
        <f>[1]人員・時間計画!H17</f>
        <v>323</v>
      </c>
      <c r="L10" s="182">
        <f>[1]人員・時間計画!I17</f>
        <v>391</v>
      </c>
      <c r="M10" s="182">
        <f>[1]人員・時間計画!J17</f>
        <v>340</v>
      </c>
      <c r="N10" s="182">
        <f>[1]人員・時間計画!K17</f>
        <v>374</v>
      </c>
      <c r="O10" s="182">
        <f>[1]人員・時間計画!L17</f>
        <v>340</v>
      </c>
      <c r="P10" s="182">
        <f>[1]人員・時間計画!M17</f>
        <v>255</v>
      </c>
      <c r="Q10" s="182">
        <f>[1]人員・時間計画!N17</f>
        <v>340</v>
      </c>
    </row>
    <row r="11" spans="1:17" ht="14.5" hidden="1" thickBot="1">
      <c r="A11">
        <f>[1]人員・時間計画!$A$5</f>
        <v>1412000004</v>
      </c>
      <c r="B11" t="str">
        <f>[1]人員・時間計画!$B$5</f>
        <v>機器製造1課</v>
      </c>
      <c r="C11" s="185" t="s">
        <v>202</v>
      </c>
      <c r="D11" s="200"/>
      <c r="E11" s="190" t="s">
        <v>139</v>
      </c>
      <c r="F11" s="182">
        <f>[1]人員・時間計画!C18</f>
        <v>13430</v>
      </c>
      <c r="G11" s="182">
        <f>[1]人員・時間計画!D18</f>
        <v>12759</v>
      </c>
      <c r="H11" s="182">
        <f>[1]人員・時間計画!E18</f>
        <v>14102</v>
      </c>
      <c r="I11" s="182">
        <f>[1]人員・時間計画!F18</f>
        <v>17009</v>
      </c>
      <c r="J11" s="182">
        <f>[1]人員・時間計画!G18</f>
        <v>14790</v>
      </c>
      <c r="K11" s="182">
        <f>[1]人員・時間計画!H18</f>
        <v>14051</v>
      </c>
      <c r="L11" s="182">
        <f>[1]人員・時間計画!I18</f>
        <v>17009</v>
      </c>
      <c r="M11" s="182">
        <f>[1]人員・時間計画!J18</f>
        <v>14790</v>
      </c>
      <c r="N11" s="182">
        <f>[1]人員・時間計画!K18</f>
        <v>16269</v>
      </c>
      <c r="O11" s="182">
        <f>[1]人員・時間計画!L18</f>
        <v>16150</v>
      </c>
      <c r="P11" s="182">
        <f>[1]人員・時間計画!M18</f>
        <v>12113</v>
      </c>
      <c r="Q11" s="182">
        <f>[1]人員・時間計画!N18</f>
        <v>16150</v>
      </c>
    </row>
    <row r="12" spans="1:17" ht="14.5" thickBot="1">
      <c r="A12">
        <f>[1]人員・時間計画!$A$5</f>
        <v>1412000004</v>
      </c>
      <c r="B12" t="str">
        <f>[1]人員・時間計画!$B$5</f>
        <v>機器製造1課</v>
      </c>
      <c r="C12" s="185" t="s">
        <v>202</v>
      </c>
      <c r="D12" s="201" t="s">
        <v>195</v>
      </c>
      <c r="E12" s="192" t="s">
        <v>140</v>
      </c>
      <c r="F12" s="182">
        <f>[1]人員・時間計画!C19</f>
        <v>77074</v>
      </c>
      <c r="G12" s="182">
        <f>[1]人員・時間計画!D19</f>
        <v>76933</v>
      </c>
      <c r="H12" s="182">
        <f>[1]人員・時間計画!E19</f>
        <v>89856</v>
      </c>
      <c r="I12" s="182">
        <f>[1]人員・時間計画!F19</f>
        <v>118502</v>
      </c>
      <c r="J12" s="182">
        <f>[1]人員・時間計画!G19</f>
        <v>112189</v>
      </c>
      <c r="K12" s="182">
        <f>[1]人員・時間計画!H19</f>
        <v>145429</v>
      </c>
      <c r="L12" s="182">
        <f>[1]人員・時間計画!I19</f>
        <v>249945</v>
      </c>
      <c r="M12" s="182">
        <f>[1]人員・時間計画!J19</f>
        <v>161958</v>
      </c>
      <c r="N12" s="182">
        <f>[1]人員・時間計画!K19</f>
        <v>177584</v>
      </c>
      <c r="O12" s="182">
        <f>[1]人員・時間計画!L19</f>
        <v>173898</v>
      </c>
      <c r="P12" s="182">
        <f>[1]人員・時間計画!M19</f>
        <v>141193</v>
      </c>
      <c r="Q12" s="182">
        <f>[1]人員・時間計画!N19</f>
        <v>168487</v>
      </c>
    </row>
    <row r="13" spans="1:17" ht="14.5" hidden="1" thickBot="1">
      <c r="A13">
        <f>[1]人員・時間計画!$A$5</f>
        <v>1412000004</v>
      </c>
      <c r="B13" t="str">
        <f>[1]人員・時間計画!$B$5</f>
        <v>機器製造1課</v>
      </c>
      <c r="C13" s="185" t="s">
        <v>202</v>
      </c>
      <c r="D13" s="202"/>
      <c r="E13" s="203" t="s">
        <v>138</v>
      </c>
      <c r="F13" s="182">
        <f>[1]人員・時間計画!C20</f>
        <v>90504</v>
      </c>
      <c r="G13" s="182">
        <f>[1]人員・時間計画!D20</f>
        <v>89692</v>
      </c>
      <c r="H13" s="182">
        <f>[1]人員・時間計画!E20</f>
        <v>103958</v>
      </c>
      <c r="I13" s="182">
        <f>[1]人員・時間計画!F20</f>
        <v>135511</v>
      </c>
      <c r="J13" s="182">
        <f>[1]人員・時間計画!G20</f>
        <v>126979</v>
      </c>
      <c r="K13" s="182">
        <f>[1]人員・時間計画!H20</f>
        <v>159480</v>
      </c>
      <c r="L13" s="182">
        <f>[1]人員・時間計画!I20</f>
        <v>266954</v>
      </c>
      <c r="M13" s="182">
        <f>[1]人員・時間計画!J20</f>
        <v>176748</v>
      </c>
      <c r="N13" s="182">
        <f>[1]人員・時間計画!K20</f>
        <v>193853</v>
      </c>
      <c r="O13" s="182">
        <f>[1]人員・時間計画!L20</f>
        <v>190048</v>
      </c>
      <c r="P13" s="182">
        <f>[1]人員・時間計画!M20</f>
        <v>153306</v>
      </c>
      <c r="Q13" s="182">
        <f>[1]人員・時間計画!N20</f>
        <v>184637</v>
      </c>
    </row>
    <row r="14" spans="1:17" ht="14.5" hidden="1" thickBot="1">
      <c r="A14">
        <f>[1]人員・時間計画!$A$5</f>
        <v>1412000004</v>
      </c>
      <c r="B14" t="str">
        <f>[1]人員・時間計画!$B$5</f>
        <v>機器製造1課</v>
      </c>
      <c r="C14" s="185" t="s">
        <v>202</v>
      </c>
      <c r="D14" s="204" t="s">
        <v>215</v>
      </c>
      <c r="E14" s="205"/>
      <c r="F14" s="182">
        <f>[1]人員・時間計画!C21</f>
        <v>90844</v>
      </c>
      <c r="G14" s="182">
        <f>[1]人員・時間計画!D21</f>
        <v>90015</v>
      </c>
      <c r="H14" s="182">
        <f>[1]人員・時間計画!E21</f>
        <v>104315</v>
      </c>
      <c r="I14" s="182">
        <f>[1]人員・時間計画!F21</f>
        <v>135902</v>
      </c>
      <c r="J14" s="182">
        <f>[1]人員・時間計画!G21</f>
        <v>127319</v>
      </c>
      <c r="K14" s="182">
        <f>[1]人員・時間計画!H21</f>
        <v>159803</v>
      </c>
      <c r="L14" s="182">
        <f>[1]人員・時間計画!I21</f>
        <v>267345</v>
      </c>
      <c r="M14" s="182">
        <f>[1]人員・時間計画!J21</f>
        <v>177088</v>
      </c>
      <c r="N14" s="182">
        <f>[1]人員・時間計画!K21</f>
        <v>194227</v>
      </c>
      <c r="O14" s="182">
        <f>[1]人員・時間計画!L21</f>
        <v>190388</v>
      </c>
      <c r="P14" s="182">
        <f>[1]人員・時間計画!M21</f>
        <v>153561</v>
      </c>
      <c r="Q14" s="182">
        <f>[1]人員・時間計画!N21</f>
        <v>184977</v>
      </c>
    </row>
    <row r="15" spans="1:17" ht="14.5" hidden="1" thickBot="1">
      <c r="A15">
        <f>[1]人員・時間計画!$A$5</f>
        <v>1412000004</v>
      </c>
      <c r="B15" t="str">
        <f>[1]人員・時間計画!$B$5</f>
        <v>機器製造1課</v>
      </c>
      <c r="D15" s="197"/>
      <c r="E15" s="197"/>
    </row>
    <row r="16" spans="1:17" ht="14.5" hidden="1" thickBot="1">
      <c r="A16">
        <f>[1]人員・時間計画!$A$5</f>
        <v>1412000004</v>
      </c>
      <c r="B16" t="str">
        <f>[1]人員・時間計画!$B$5</f>
        <v>機器製造1課</v>
      </c>
      <c r="C16" s="185" t="s">
        <v>71</v>
      </c>
      <c r="D16" s="185" t="s">
        <v>71</v>
      </c>
      <c r="E16" s="186"/>
    </row>
    <row r="17" spans="1:17" ht="14.5" hidden="1" thickBot="1">
      <c r="A17">
        <f>[1]人員・時間計画!$A$5</f>
        <v>1412000004</v>
      </c>
      <c r="B17" t="str">
        <f>[1]人員・時間計画!$B$5</f>
        <v>機器製造1課</v>
      </c>
      <c r="C17" s="185" t="s">
        <v>71</v>
      </c>
      <c r="D17" s="198" t="s">
        <v>194</v>
      </c>
      <c r="E17" s="199"/>
      <c r="F17" s="182">
        <f>[1]人員・時間計画!C24</f>
        <v>80</v>
      </c>
      <c r="G17" s="182">
        <f>[1]人員・時間計画!D24</f>
        <v>76</v>
      </c>
      <c r="H17" s="182">
        <f>[1]人員・時間計画!E24</f>
        <v>84</v>
      </c>
      <c r="I17" s="182">
        <f>[1]人員・時間計画!F24</f>
        <v>92</v>
      </c>
      <c r="J17" s="182">
        <f>[1]人員・時間計画!G24</f>
        <v>80</v>
      </c>
      <c r="K17" s="182">
        <f>[1]人員・時間計画!H24</f>
        <v>76</v>
      </c>
      <c r="L17" s="182">
        <f>[1]人員・時間計画!I24</f>
        <v>92</v>
      </c>
      <c r="M17" s="182">
        <f>[1]人員・時間計画!J24</f>
        <v>80</v>
      </c>
      <c r="N17" s="182">
        <f>[1]人員・時間計画!K24</f>
        <v>88</v>
      </c>
      <c r="O17" s="182">
        <f>[1]人員・時間計画!L24</f>
        <v>80</v>
      </c>
      <c r="P17" s="182">
        <f>[1]人員・時間計画!M24</f>
        <v>60</v>
      </c>
      <c r="Q17" s="182">
        <f>[1]人員・時間計画!N24</f>
        <v>80</v>
      </c>
    </row>
    <row r="18" spans="1:17" ht="14.5" hidden="1" thickBot="1">
      <c r="A18">
        <f>[1]人員・時間計画!$A$5</f>
        <v>1412000004</v>
      </c>
      <c r="B18" t="str">
        <f>[1]人員・時間計画!$B$5</f>
        <v>機器製造1課</v>
      </c>
      <c r="C18" s="185" t="s">
        <v>71</v>
      </c>
      <c r="D18" s="200"/>
      <c r="E18" s="206" t="s">
        <v>139</v>
      </c>
      <c r="F18" s="182">
        <f>[1]人員・時間計画!C25</f>
        <v>189</v>
      </c>
      <c r="G18" s="182">
        <f>[1]人員・時間計画!D25</f>
        <v>221</v>
      </c>
      <c r="H18" s="182">
        <f>[1]人員・時間計画!E25</f>
        <v>189</v>
      </c>
      <c r="I18" s="182">
        <f>[1]人員・時間計画!F25</f>
        <v>216</v>
      </c>
      <c r="J18" s="182">
        <f>[1]人員・時間計画!G25</f>
        <v>300</v>
      </c>
      <c r="K18" s="182">
        <f>[1]人員・時間計画!H25</f>
        <v>570</v>
      </c>
      <c r="L18" s="182">
        <f>[1]人員・時間計画!I25</f>
        <v>271</v>
      </c>
      <c r="M18" s="182">
        <f>[1]人員・時間計画!J25</f>
        <v>281</v>
      </c>
      <c r="N18" s="182">
        <f>[1]人員・時間計画!K25</f>
        <v>345</v>
      </c>
      <c r="O18" s="182">
        <f>[1]人員・時間計画!L25</f>
        <v>503</v>
      </c>
      <c r="P18" s="182">
        <f>[1]人員・時間計画!M25</f>
        <v>1053</v>
      </c>
      <c r="Q18" s="182">
        <f>[1]人員・時間計画!N25</f>
        <v>423</v>
      </c>
    </row>
    <row r="19" spans="1:17" ht="14.5" thickBot="1">
      <c r="A19">
        <f>[1]人員・時間計画!$A$5</f>
        <v>1412000004</v>
      </c>
      <c r="B19" t="str">
        <f>[1]人員・時間計画!$B$5</f>
        <v>機器製造1課</v>
      </c>
      <c r="C19" s="185" t="s">
        <v>71</v>
      </c>
      <c r="D19" s="201" t="s">
        <v>195</v>
      </c>
      <c r="E19" s="207" t="s">
        <v>140</v>
      </c>
      <c r="F19" s="182">
        <f>[1]人員・時間計画!C26</f>
        <v>721</v>
      </c>
      <c r="G19" s="182">
        <f>[1]人員・時間計画!D26</f>
        <v>732</v>
      </c>
      <c r="H19" s="182">
        <f>[1]人員・時間計画!E26</f>
        <v>709</v>
      </c>
      <c r="I19" s="182">
        <f>[1]人員・時間計画!F26</f>
        <v>667</v>
      </c>
      <c r="J19" s="182">
        <f>[1]人員・時間計画!G26</f>
        <v>1081</v>
      </c>
      <c r="K19" s="182">
        <f>[1]人員・時間計画!H26</f>
        <v>647</v>
      </c>
      <c r="L19" s="182">
        <f>[1]人員・時間計画!I26</f>
        <v>615</v>
      </c>
      <c r="M19" s="182">
        <f>[1]人員・時間計画!J26</f>
        <v>665</v>
      </c>
      <c r="N19" s="182">
        <f>[1]人員・時間計画!K26</f>
        <v>555</v>
      </c>
      <c r="O19" s="182">
        <f>[1]人員・時間計画!L26</f>
        <v>449</v>
      </c>
      <c r="P19" s="182">
        <f>[1]人員・時間計画!M26</f>
        <v>3057</v>
      </c>
      <c r="Q19" s="182">
        <f>[1]人員・時間計画!N26</f>
        <v>769</v>
      </c>
    </row>
    <row r="20" spans="1:17" ht="14.5" hidden="1" thickBot="1">
      <c r="A20">
        <f>[1]人員・時間計画!$A$5</f>
        <v>1412000004</v>
      </c>
      <c r="B20" t="str">
        <f>[1]人員・時間計画!$B$5</f>
        <v>機器製造1課</v>
      </c>
      <c r="C20" s="185" t="s">
        <v>71</v>
      </c>
      <c r="D20" s="202"/>
      <c r="E20" s="203" t="s">
        <v>138</v>
      </c>
      <c r="F20" s="182">
        <f>[1]人員・時間計画!C27</f>
        <v>910</v>
      </c>
      <c r="G20" s="182">
        <f>[1]人員・時間計画!D27</f>
        <v>953</v>
      </c>
      <c r="H20" s="182">
        <f>[1]人員・時間計画!E27</f>
        <v>898</v>
      </c>
      <c r="I20" s="182">
        <f>[1]人員・時間計画!F27</f>
        <v>883</v>
      </c>
      <c r="J20" s="182">
        <f>[1]人員・時間計画!G27</f>
        <v>1381</v>
      </c>
      <c r="K20" s="182">
        <f>[1]人員・時間計画!H27</f>
        <v>1217</v>
      </c>
      <c r="L20" s="182">
        <f>[1]人員・時間計画!I27</f>
        <v>886</v>
      </c>
      <c r="M20" s="182">
        <f>[1]人員・時間計画!J27</f>
        <v>946</v>
      </c>
      <c r="N20" s="182">
        <f>[1]人員・時間計画!K27</f>
        <v>900</v>
      </c>
      <c r="O20" s="182">
        <f>[1]人員・時間計画!L27</f>
        <v>952</v>
      </c>
      <c r="P20" s="182">
        <f>[1]人員・時間計画!M27</f>
        <v>4110</v>
      </c>
      <c r="Q20" s="182">
        <f>[1]人員・時間計画!N27</f>
        <v>1192</v>
      </c>
    </row>
    <row r="21" spans="1:17" ht="14.5" hidden="1" thickBot="1">
      <c r="A21">
        <f>[1]人員・時間計画!$A$5</f>
        <v>1412000004</v>
      </c>
      <c r="B21" t="str">
        <f>[1]人員・時間計画!$B$5</f>
        <v>機器製造1課</v>
      </c>
      <c r="C21" s="185" t="s">
        <v>71</v>
      </c>
      <c r="D21" s="204" t="s">
        <v>216</v>
      </c>
      <c r="E21" s="205"/>
      <c r="F21" s="182">
        <f>[1]人員・時間計画!C28</f>
        <v>990</v>
      </c>
      <c r="G21" s="182">
        <f>[1]人員・時間計画!D28</f>
        <v>1029</v>
      </c>
      <c r="H21" s="182">
        <f>[1]人員・時間計画!E28</f>
        <v>982</v>
      </c>
      <c r="I21" s="182">
        <f>[1]人員・時間計画!F28</f>
        <v>975</v>
      </c>
      <c r="J21" s="182">
        <f>[1]人員・時間計画!G28</f>
        <v>1461</v>
      </c>
      <c r="K21" s="182">
        <f>[1]人員・時間計画!H28</f>
        <v>1293</v>
      </c>
      <c r="L21" s="182">
        <f>[1]人員・時間計画!I28</f>
        <v>978</v>
      </c>
      <c r="M21" s="182">
        <f>[1]人員・時間計画!J28</f>
        <v>1026</v>
      </c>
      <c r="N21" s="182">
        <f>[1]人員・時間計画!K28</f>
        <v>988</v>
      </c>
      <c r="O21" s="182">
        <f>[1]人員・時間計画!L28</f>
        <v>1032</v>
      </c>
      <c r="P21" s="182">
        <f>[1]人員・時間計画!M28</f>
        <v>4170</v>
      </c>
      <c r="Q21" s="182">
        <f>[1]人員・時間計画!N28</f>
        <v>1272</v>
      </c>
    </row>
    <row r="22" spans="1:17" ht="14.5" hidden="1" thickBot="1">
      <c r="A22">
        <f>[2]人員・時間計画!$A$5</f>
        <v>1412000005</v>
      </c>
      <c r="B22" t="str">
        <f>[2]人員・時間計画!$B$5</f>
        <v>機器製造2課</v>
      </c>
      <c r="C22" s="185" t="s">
        <v>3</v>
      </c>
      <c r="D22" s="185" t="s">
        <v>3</v>
      </c>
      <c r="E22" s="186"/>
    </row>
    <row r="23" spans="1:17" ht="14.5" hidden="1" thickBot="1">
      <c r="A23">
        <f>[2]人員・時間計画!$A$5</f>
        <v>1412000005</v>
      </c>
      <c r="B23" t="str">
        <f>[2]人員・時間計画!$B$5</f>
        <v>機器製造2課</v>
      </c>
      <c r="C23" s="185" t="s">
        <v>3</v>
      </c>
      <c r="D23" s="187" t="s">
        <v>194</v>
      </c>
      <c r="E23" s="188"/>
      <c r="F23" s="214">
        <f>[2]人員・時間計画!C10</f>
        <v>0</v>
      </c>
      <c r="G23" s="214">
        <f>[2]人員・時間計画!D10</f>
        <v>0</v>
      </c>
      <c r="H23" s="214">
        <f>[2]人員・時間計画!E10</f>
        <v>0</v>
      </c>
      <c r="I23" s="214">
        <f>[2]人員・時間計画!F10</f>
        <v>0</v>
      </c>
      <c r="J23" s="214">
        <f>[2]人員・時間計画!G10</f>
        <v>0</v>
      </c>
      <c r="K23" s="214">
        <f>[2]人員・時間計画!H10</f>
        <v>0</v>
      </c>
      <c r="L23" s="214">
        <f>[2]人員・時間計画!I10</f>
        <v>0</v>
      </c>
      <c r="M23" s="214">
        <f>[2]人員・時間計画!J10</f>
        <v>0</v>
      </c>
      <c r="N23" s="214">
        <f>[2]人員・時間計画!K10</f>
        <v>0</v>
      </c>
      <c r="O23" s="214">
        <f>[2]人員・時間計画!L10</f>
        <v>0</v>
      </c>
      <c r="P23" s="214">
        <f>[2]人員・時間計画!M10</f>
        <v>0</v>
      </c>
      <c r="Q23" s="214">
        <f>[2]人員・時間計画!N10</f>
        <v>0</v>
      </c>
    </row>
    <row r="24" spans="1:17" ht="14.5" hidden="1" thickBot="1">
      <c r="A24">
        <f>[2]人員・時間計画!$A$5</f>
        <v>1412000005</v>
      </c>
      <c r="B24" t="str">
        <f>[2]人員・時間計画!$B$5</f>
        <v>機器製造2課</v>
      </c>
      <c r="C24" s="185" t="s">
        <v>3</v>
      </c>
      <c r="D24" s="189"/>
      <c r="E24" s="190" t="s">
        <v>139</v>
      </c>
      <c r="F24" s="214">
        <f>[2]人員・時間計画!C11</f>
        <v>100</v>
      </c>
      <c r="G24" s="214">
        <f>[2]人員・時間計画!D11</f>
        <v>100</v>
      </c>
      <c r="H24" s="214">
        <f>[2]人員・時間計画!E11</f>
        <v>100</v>
      </c>
      <c r="I24" s="214">
        <f>[2]人員・時間計画!F11</f>
        <v>116</v>
      </c>
      <c r="J24" s="214">
        <f>[2]人員・時間計画!G11</f>
        <v>116</v>
      </c>
      <c r="K24" s="214">
        <f>[2]人員・時間計画!H11</f>
        <v>116</v>
      </c>
      <c r="L24" s="214">
        <f>[2]人員・時間計画!I11</f>
        <v>116</v>
      </c>
      <c r="M24" s="214">
        <f>[2]人員・時間計画!J11</f>
        <v>116</v>
      </c>
      <c r="N24" s="214">
        <f>[2]人員・時間計画!K11</f>
        <v>116</v>
      </c>
      <c r="O24" s="214">
        <f>[2]人員・時間計画!L11</f>
        <v>132</v>
      </c>
      <c r="P24" s="214">
        <f>[2]人員・時間計画!M11</f>
        <v>132</v>
      </c>
      <c r="Q24" s="214">
        <f>[2]人員・時間計画!N11</f>
        <v>132</v>
      </c>
    </row>
    <row r="25" spans="1:17" ht="14.5" thickBot="1">
      <c r="A25">
        <f>[2]人員・時間計画!$A$5</f>
        <v>1412000005</v>
      </c>
      <c r="B25" t="str">
        <f>[2]人員・時間計画!$B$5</f>
        <v>機器製造2課</v>
      </c>
      <c r="C25" s="185" t="s">
        <v>3</v>
      </c>
      <c r="D25" s="191" t="s">
        <v>195</v>
      </c>
      <c r="E25" s="192" t="s">
        <v>140</v>
      </c>
      <c r="F25" s="214">
        <f>[2]人員・時間計画!C12</f>
        <v>1514</v>
      </c>
      <c r="G25" s="214">
        <f>[2]人員・時間計画!D12</f>
        <v>1454</v>
      </c>
      <c r="H25" s="214">
        <f>[2]人員・時間計画!E12</f>
        <v>1418</v>
      </c>
      <c r="I25" s="214">
        <f>[2]人員・時間計画!F12</f>
        <v>1637</v>
      </c>
      <c r="J25" s="214">
        <f>[2]人員・時間計画!G12</f>
        <v>1688</v>
      </c>
      <c r="K25" s="214">
        <f>[2]人員・時間計画!H12</f>
        <v>1616</v>
      </c>
      <c r="L25" s="214">
        <f>[2]人員・時間計画!I12</f>
        <v>1660</v>
      </c>
      <c r="M25" s="214">
        <f>[2]人員・時間計画!J12</f>
        <v>1761</v>
      </c>
      <c r="N25" s="214">
        <f>[2]人員・時間計画!K12</f>
        <v>1714</v>
      </c>
      <c r="O25" s="214">
        <f>[2]人員・時間計画!L12</f>
        <v>1862</v>
      </c>
      <c r="P25" s="214">
        <f>[2]人員・時間計画!M12</f>
        <v>2010</v>
      </c>
      <c r="Q25" s="214">
        <f>[2]人員・時間計画!N12</f>
        <v>1761</v>
      </c>
    </row>
    <row r="26" spans="1:17" ht="14.5" hidden="1" thickBot="1">
      <c r="A26">
        <f>[2]人員・時間計画!$A$5</f>
        <v>1412000005</v>
      </c>
      <c r="B26" t="str">
        <f>[2]人員・時間計画!$B$5</f>
        <v>機器製造2課</v>
      </c>
      <c r="C26" s="185" t="s">
        <v>3</v>
      </c>
      <c r="D26" s="193"/>
      <c r="E26" s="194" t="s">
        <v>138</v>
      </c>
      <c r="F26" s="214">
        <f>[2]人員・時間計画!C13</f>
        <v>1614</v>
      </c>
      <c r="G26" s="214">
        <f>[2]人員・時間計画!D13</f>
        <v>1554</v>
      </c>
      <c r="H26" s="214">
        <f>[2]人員・時間計画!E13</f>
        <v>1518</v>
      </c>
      <c r="I26" s="214">
        <f>[2]人員・時間計画!F13</f>
        <v>1753</v>
      </c>
      <c r="J26" s="214">
        <f>[2]人員・時間計画!G13</f>
        <v>1804</v>
      </c>
      <c r="K26" s="214">
        <f>[2]人員・時間計画!H13</f>
        <v>1732</v>
      </c>
      <c r="L26" s="214">
        <f>[2]人員・時間計画!I13</f>
        <v>1776</v>
      </c>
      <c r="M26" s="214">
        <f>[2]人員・時間計画!J13</f>
        <v>1877</v>
      </c>
      <c r="N26" s="214">
        <f>[2]人員・時間計画!K13</f>
        <v>1830</v>
      </c>
      <c r="O26" s="214">
        <f>[2]人員・時間計画!L13</f>
        <v>1994</v>
      </c>
      <c r="P26" s="214">
        <f>[2]人員・時間計画!M13</f>
        <v>2142</v>
      </c>
      <c r="Q26" s="214">
        <f>[2]人員・時間計画!N13</f>
        <v>1893</v>
      </c>
    </row>
    <row r="27" spans="1:17" ht="14.5" hidden="1" thickBot="1">
      <c r="A27">
        <f>[2]人員・時間計画!$A$5</f>
        <v>1412000005</v>
      </c>
      <c r="B27" t="str">
        <f>[2]人員・時間計画!$B$5</f>
        <v>機器製造2課</v>
      </c>
      <c r="C27" s="185" t="s">
        <v>3</v>
      </c>
      <c r="D27" s="195" t="s">
        <v>196</v>
      </c>
      <c r="E27" s="196"/>
      <c r="F27" s="214">
        <f>[2]人員・時間計画!C14</f>
        <v>1614</v>
      </c>
      <c r="G27" s="214">
        <f>[2]人員・時間計画!D14</f>
        <v>1554</v>
      </c>
      <c r="H27" s="214">
        <f>[2]人員・時間計画!E14</f>
        <v>1518</v>
      </c>
      <c r="I27" s="214">
        <f>[2]人員・時間計画!F14</f>
        <v>1753</v>
      </c>
      <c r="J27" s="214">
        <f>[2]人員・時間計画!G14</f>
        <v>1804</v>
      </c>
      <c r="K27" s="214">
        <f>[2]人員・時間計画!H14</f>
        <v>1732</v>
      </c>
      <c r="L27" s="214">
        <f>[2]人員・時間計画!I14</f>
        <v>1776</v>
      </c>
      <c r="M27" s="214">
        <f>[2]人員・時間計画!J14</f>
        <v>1877</v>
      </c>
      <c r="N27" s="214">
        <f>[2]人員・時間計画!K14</f>
        <v>1830</v>
      </c>
      <c r="O27" s="214">
        <f>[2]人員・時間計画!L14</f>
        <v>1994</v>
      </c>
      <c r="P27" s="214">
        <f>[2]人員・時間計画!M14</f>
        <v>2142</v>
      </c>
      <c r="Q27" s="214">
        <f>[2]人員・時間計画!N14</f>
        <v>1893</v>
      </c>
    </row>
    <row r="28" spans="1:17" ht="14.5" hidden="1" thickBot="1">
      <c r="A28">
        <f>[2]人員・時間計画!$A$5</f>
        <v>1412000005</v>
      </c>
      <c r="B28" t="str">
        <f>[2]人員・時間計画!$B$5</f>
        <v>機器製造2課</v>
      </c>
      <c r="D28" s="197"/>
      <c r="E28" s="197"/>
    </row>
    <row r="29" spans="1:17" ht="14.5" hidden="1" thickBot="1">
      <c r="A29">
        <f>[2]人員・時間計画!$A$5</f>
        <v>1412000005</v>
      </c>
      <c r="B29" t="str">
        <f>[2]人員・時間計画!$B$5</f>
        <v>機器製造2課</v>
      </c>
      <c r="C29" s="185" t="s">
        <v>202</v>
      </c>
      <c r="D29" s="185" t="s">
        <v>202</v>
      </c>
      <c r="E29" s="186"/>
    </row>
    <row r="30" spans="1:17" ht="14.5" hidden="1" thickBot="1">
      <c r="A30">
        <f>[2]人員・時間計画!$A$5</f>
        <v>1412000005</v>
      </c>
      <c r="B30" t="str">
        <f>[2]人員・時間計画!$B$5</f>
        <v>機器製造2課</v>
      </c>
      <c r="C30" s="185" t="s">
        <v>202</v>
      </c>
      <c r="D30" s="198" t="s">
        <v>194</v>
      </c>
      <c r="E30" s="199"/>
      <c r="F30" s="214">
        <f>[2]人員・時間計画!C17</f>
        <v>0</v>
      </c>
      <c r="G30" s="214">
        <f>[2]人員・時間計画!D17</f>
        <v>0</v>
      </c>
      <c r="H30" s="214">
        <f>[2]人員・時間計画!E17</f>
        <v>0</v>
      </c>
      <c r="I30" s="214">
        <f>[2]人員・時間計画!F17</f>
        <v>0</v>
      </c>
      <c r="J30" s="214">
        <f>[2]人員・時間計画!G17</f>
        <v>0</v>
      </c>
      <c r="K30" s="214">
        <f>[2]人員・時間計画!H17</f>
        <v>0</v>
      </c>
      <c r="L30" s="214">
        <f>[2]人員・時間計画!I17</f>
        <v>0</v>
      </c>
      <c r="M30" s="214">
        <f>[2]人員・時間計画!J17</f>
        <v>0</v>
      </c>
      <c r="N30" s="214">
        <f>[2]人員・時間計画!K17</f>
        <v>0</v>
      </c>
      <c r="O30" s="214">
        <f>[2]人員・時間計画!L17</f>
        <v>0</v>
      </c>
      <c r="P30" s="214">
        <f>[2]人員・時間計画!M17</f>
        <v>0</v>
      </c>
      <c r="Q30" s="214">
        <f>[2]人員・時間計画!N17</f>
        <v>0</v>
      </c>
    </row>
    <row r="31" spans="1:17" ht="14.5" hidden="1" thickBot="1">
      <c r="A31">
        <f>[2]人員・時間計画!$A$5</f>
        <v>1412000005</v>
      </c>
      <c r="B31" t="str">
        <f>[2]人員・時間計画!$B$5</f>
        <v>機器製造2課</v>
      </c>
      <c r="C31" s="185" t="s">
        <v>202</v>
      </c>
      <c r="D31" s="200"/>
      <c r="E31" s="190" t="s">
        <v>139</v>
      </c>
      <c r="F31" s="214">
        <f>[2]人員・時間計画!C18</f>
        <v>17680</v>
      </c>
      <c r="G31" s="214">
        <f>[2]人員・時間計画!D18</f>
        <v>16796</v>
      </c>
      <c r="H31" s="214">
        <f>[2]人員・時間計画!E18</f>
        <v>18564</v>
      </c>
      <c r="I31" s="214">
        <f>[2]人員・時間計画!F18</f>
        <v>23460</v>
      </c>
      <c r="J31" s="214">
        <f>[2]人員・時間計画!G18</f>
        <v>20400</v>
      </c>
      <c r="K31" s="214">
        <f>[2]人員・時間計画!H18</f>
        <v>19380</v>
      </c>
      <c r="L31" s="214">
        <f>[2]人員・時間計画!I18</f>
        <v>23460</v>
      </c>
      <c r="M31" s="214">
        <f>[2]人員・時間計画!J18</f>
        <v>20400</v>
      </c>
      <c r="N31" s="214">
        <f>[2]人員・時間計画!K18</f>
        <v>22440</v>
      </c>
      <c r="O31" s="214">
        <f>[2]人員・時間計画!L18</f>
        <v>23120</v>
      </c>
      <c r="P31" s="214">
        <f>[2]人員・時間計画!M18</f>
        <v>17340</v>
      </c>
      <c r="Q31" s="214">
        <f>[2]人員・時間計画!N18</f>
        <v>23120</v>
      </c>
    </row>
    <row r="32" spans="1:17" ht="14.5" thickBot="1">
      <c r="A32">
        <f>[2]人員・時間計画!$A$5</f>
        <v>1412000005</v>
      </c>
      <c r="B32" t="str">
        <f>[2]人員・時間計画!$B$5</f>
        <v>機器製造2課</v>
      </c>
      <c r="C32" s="185" t="s">
        <v>202</v>
      </c>
      <c r="D32" s="201" t="s">
        <v>195</v>
      </c>
      <c r="E32" s="192" t="s">
        <v>140</v>
      </c>
      <c r="F32" s="214">
        <f>[2]人員・時間計画!C19</f>
        <v>298714</v>
      </c>
      <c r="G32" s="214">
        <f>[2]人員・時間計画!D19</f>
        <v>275654</v>
      </c>
      <c r="H32" s="214">
        <f>[2]人員・時間計画!E19</f>
        <v>293133</v>
      </c>
      <c r="I32" s="214">
        <f>[2]人員・時間計画!F19</f>
        <v>380903</v>
      </c>
      <c r="J32" s="214">
        <f>[2]人員・時間計画!G19</f>
        <v>332664</v>
      </c>
      <c r="K32" s="214">
        <f>[2]人員・時間計画!H19</f>
        <v>304855</v>
      </c>
      <c r="L32" s="214">
        <f>[2]人員・時間計画!I19</f>
        <v>371226</v>
      </c>
      <c r="M32" s="214">
        <f>[2]人員・時間計画!J19</f>
        <v>345745</v>
      </c>
      <c r="N32" s="214">
        <f>[2]人員・時間計画!K19</f>
        <v>367426</v>
      </c>
      <c r="O32" s="214">
        <f>[2]人員・時間計画!L19</f>
        <v>361894</v>
      </c>
      <c r="P32" s="214">
        <f>[2]人員・時間計画!M19</f>
        <v>293047</v>
      </c>
      <c r="Q32" s="214">
        <f>[2]人員・時間計画!N19</f>
        <v>342991</v>
      </c>
    </row>
    <row r="33" spans="1:17" ht="14.5" hidden="1" thickBot="1">
      <c r="A33">
        <f>[2]人員・時間計画!$A$5</f>
        <v>1412000005</v>
      </c>
      <c r="B33" t="str">
        <f>[2]人員・時間計画!$B$5</f>
        <v>機器製造2課</v>
      </c>
      <c r="C33" s="185" t="s">
        <v>202</v>
      </c>
      <c r="D33" s="202"/>
      <c r="E33" s="203" t="s">
        <v>138</v>
      </c>
      <c r="F33" s="214">
        <f>[2]人員・時間計画!C20</f>
        <v>316394</v>
      </c>
      <c r="G33" s="214">
        <f>[2]人員・時間計画!D20</f>
        <v>292450</v>
      </c>
      <c r="H33" s="214">
        <f>[2]人員・時間計画!E20</f>
        <v>311697</v>
      </c>
      <c r="I33" s="214">
        <f>[2]人員・時間計画!F20</f>
        <v>404363</v>
      </c>
      <c r="J33" s="214">
        <f>[2]人員・時間計画!G20</f>
        <v>353064</v>
      </c>
      <c r="K33" s="214">
        <f>[2]人員・時間計画!H20</f>
        <v>324235</v>
      </c>
      <c r="L33" s="214">
        <f>[2]人員・時間計画!I20</f>
        <v>394686</v>
      </c>
      <c r="M33" s="214">
        <f>[2]人員・時間計画!J20</f>
        <v>366145</v>
      </c>
      <c r="N33" s="214">
        <f>[2]人員・時間計画!K20</f>
        <v>389866</v>
      </c>
      <c r="O33" s="214">
        <f>[2]人員・時間計画!L20</f>
        <v>385014</v>
      </c>
      <c r="P33" s="214">
        <f>[2]人員・時間計画!M20</f>
        <v>310387</v>
      </c>
      <c r="Q33" s="214">
        <f>[2]人員・時間計画!N20</f>
        <v>366111</v>
      </c>
    </row>
    <row r="34" spans="1:17" ht="14.5" hidden="1" thickBot="1">
      <c r="A34">
        <f>[2]人員・時間計画!$A$5</f>
        <v>1412000005</v>
      </c>
      <c r="B34" t="str">
        <f>[2]人員・時間計画!$B$5</f>
        <v>機器製造2課</v>
      </c>
      <c r="C34" s="185" t="s">
        <v>202</v>
      </c>
      <c r="D34" s="204" t="s">
        <v>215</v>
      </c>
      <c r="E34" s="205"/>
      <c r="F34" s="214">
        <f>[2]人員・時間計画!C21</f>
        <v>316394</v>
      </c>
      <c r="G34" s="214">
        <f>[2]人員・時間計画!D21</f>
        <v>292450</v>
      </c>
      <c r="H34" s="214">
        <f>[2]人員・時間計画!E21</f>
        <v>311697</v>
      </c>
      <c r="I34" s="214">
        <f>[2]人員・時間計画!F21</f>
        <v>404363</v>
      </c>
      <c r="J34" s="214">
        <f>[2]人員・時間計画!G21</f>
        <v>353064</v>
      </c>
      <c r="K34" s="214">
        <f>[2]人員・時間計画!H21</f>
        <v>324235</v>
      </c>
      <c r="L34" s="214">
        <f>[2]人員・時間計画!I21</f>
        <v>394686</v>
      </c>
      <c r="M34" s="214">
        <f>[2]人員・時間計画!J21</f>
        <v>366145</v>
      </c>
      <c r="N34" s="214">
        <f>[2]人員・時間計画!K21</f>
        <v>389866</v>
      </c>
      <c r="O34" s="214">
        <f>[2]人員・時間計画!L21</f>
        <v>385014</v>
      </c>
      <c r="P34" s="214">
        <f>[2]人員・時間計画!M21</f>
        <v>310387</v>
      </c>
      <c r="Q34" s="214">
        <f>[2]人員・時間計画!N21</f>
        <v>366111</v>
      </c>
    </row>
    <row r="35" spans="1:17" ht="14.5" hidden="1" thickBot="1">
      <c r="A35">
        <f>[2]人員・時間計画!$A$5</f>
        <v>1412000005</v>
      </c>
      <c r="B35" t="str">
        <f>[2]人員・時間計画!$B$5</f>
        <v>機器製造2課</v>
      </c>
      <c r="D35" s="197"/>
      <c r="E35" s="197"/>
    </row>
    <row r="36" spans="1:17" ht="14.5" hidden="1" thickBot="1">
      <c r="A36">
        <f>[2]人員・時間計画!$A$5</f>
        <v>1412000005</v>
      </c>
      <c r="B36" t="str">
        <f>[2]人員・時間計画!$B$5</f>
        <v>機器製造2課</v>
      </c>
      <c r="C36" s="185" t="s">
        <v>71</v>
      </c>
      <c r="D36" s="185" t="s">
        <v>71</v>
      </c>
      <c r="E36" s="186"/>
    </row>
    <row r="37" spans="1:17" ht="14.5" hidden="1" thickBot="1">
      <c r="A37">
        <f>[2]人員・時間計画!$A$5</f>
        <v>1412000005</v>
      </c>
      <c r="B37" t="str">
        <f>[2]人員・時間計画!$B$5</f>
        <v>機器製造2課</v>
      </c>
      <c r="C37" s="185" t="s">
        <v>71</v>
      </c>
      <c r="D37" s="198" t="s">
        <v>194</v>
      </c>
      <c r="E37" s="199"/>
      <c r="F37" s="214">
        <f>[2]人員・時間計画!C24</f>
        <v>0</v>
      </c>
      <c r="G37" s="214">
        <f>[2]人員・時間計画!D24</f>
        <v>0</v>
      </c>
      <c r="H37" s="214">
        <f>[2]人員・時間計画!E24</f>
        <v>0</v>
      </c>
      <c r="I37" s="214">
        <f>[2]人員・時間計画!F24</f>
        <v>0</v>
      </c>
      <c r="J37" s="214">
        <f>[2]人員・時間計画!G24</f>
        <v>0</v>
      </c>
      <c r="K37" s="214">
        <f>[2]人員・時間計画!H24</f>
        <v>0</v>
      </c>
      <c r="L37" s="214">
        <f>[2]人員・時間計画!I24</f>
        <v>0</v>
      </c>
      <c r="M37" s="214">
        <f>[2]人員・時間計画!J24</f>
        <v>0</v>
      </c>
      <c r="N37" s="214">
        <f>[2]人員・時間計画!K24</f>
        <v>0</v>
      </c>
      <c r="O37" s="214">
        <f>[2]人員・時間計画!L24</f>
        <v>0</v>
      </c>
      <c r="P37" s="214">
        <f>[2]人員・時間計画!M24</f>
        <v>0</v>
      </c>
      <c r="Q37" s="214">
        <f>[2]人員・時間計画!N24</f>
        <v>0</v>
      </c>
    </row>
    <row r="38" spans="1:17" ht="14.5" hidden="1" thickBot="1">
      <c r="A38">
        <f>[2]人員・時間計画!$A$5</f>
        <v>1412000005</v>
      </c>
      <c r="B38" t="str">
        <f>[2]人員・時間計画!$B$5</f>
        <v>機器製造2課</v>
      </c>
      <c r="C38" s="185" t="s">
        <v>71</v>
      </c>
      <c r="D38" s="200"/>
      <c r="E38" s="206" t="s">
        <v>139</v>
      </c>
      <c r="F38" s="214">
        <f>[2]人員・時間計画!C25</f>
        <v>263</v>
      </c>
      <c r="G38" s="214">
        <f>[2]人員・時間計画!D25</f>
        <v>259</v>
      </c>
      <c r="H38" s="214">
        <f>[2]人員・時間計画!E25</f>
        <v>267</v>
      </c>
      <c r="I38" s="214">
        <f>[2]人員・時間計画!F25</f>
        <v>283</v>
      </c>
      <c r="J38" s="214">
        <f>[2]人員・時間計画!G25</f>
        <v>356</v>
      </c>
      <c r="K38" s="214">
        <f>[2]人員・時間計画!H25</f>
        <v>939</v>
      </c>
      <c r="L38" s="214">
        <f>[2]人員・時間計画!I25</f>
        <v>328</v>
      </c>
      <c r="M38" s="214">
        <f>[2]人員・時間計画!J25</f>
        <v>628</v>
      </c>
      <c r="N38" s="214">
        <f>[2]人員・時間計画!K25</f>
        <v>288</v>
      </c>
      <c r="O38" s="214">
        <f>[2]人員・時間計画!L25</f>
        <v>372</v>
      </c>
      <c r="P38" s="214">
        <f>[2]人員・時間計画!M25</f>
        <v>1323</v>
      </c>
      <c r="Q38" s="214">
        <f>[2]人員・時間計画!N25</f>
        <v>360</v>
      </c>
    </row>
    <row r="39" spans="1:17" ht="14.5" thickBot="1">
      <c r="A39">
        <f>[2]人員・時間計画!$A$5</f>
        <v>1412000005</v>
      </c>
      <c r="B39" t="str">
        <f>[2]人員・時間計画!$B$5</f>
        <v>機器製造2課</v>
      </c>
      <c r="C39" s="185" t="s">
        <v>71</v>
      </c>
      <c r="D39" s="201" t="s">
        <v>195</v>
      </c>
      <c r="E39" s="207" t="s">
        <v>140</v>
      </c>
      <c r="F39" s="214">
        <f>[2]人員・時間計画!C26</f>
        <v>2323</v>
      </c>
      <c r="G39" s="214">
        <f>[2]人員・時間計画!D26</f>
        <v>2947</v>
      </c>
      <c r="H39" s="214">
        <f>[2]人員・時間計画!E26</f>
        <v>2207</v>
      </c>
      <c r="I39" s="214">
        <f>[2]人員・時間計画!F26</f>
        <v>2210</v>
      </c>
      <c r="J39" s="214">
        <f>[2]人員・時間計画!G26</f>
        <v>4741</v>
      </c>
      <c r="K39" s="214">
        <f>[2]人員・時間計画!H26</f>
        <v>17785</v>
      </c>
      <c r="L39" s="214">
        <f>[2]人員・時間計画!I26</f>
        <v>3215</v>
      </c>
      <c r="M39" s="214">
        <f>[2]人員・時間計画!J26</f>
        <v>8836</v>
      </c>
      <c r="N39" s="214">
        <f>[2]人員・時間計画!K26</f>
        <v>3250</v>
      </c>
      <c r="O39" s="214">
        <f>[2]人員・時間計画!L26</f>
        <v>7764</v>
      </c>
      <c r="P39" s="214">
        <f>[2]人員・時間計画!M26</f>
        <v>28373</v>
      </c>
      <c r="Q39" s="214">
        <f>[2]人員・時間計画!N26</f>
        <v>5748</v>
      </c>
    </row>
    <row r="40" spans="1:17" ht="14.5" hidden="1" thickBot="1">
      <c r="A40">
        <f>[2]人員・時間計画!$A$5</f>
        <v>1412000005</v>
      </c>
      <c r="B40" t="str">
        <f>[2]人員・時間計画!$B$5</f>
        <v>機器製造2課</v>
      </c>
      <c r="C40" s="185" t="s">
        <v>71</v>
      </c>
      <c r="D40" s="202"/>
      <c r="E40" s="203" t="s">
        <v>138</v>
      </c>
      <c r="F40" s="214">
        <f>[2]人員・時間計画!C27</f>
        <v>2586</v>
      </c>
      <c r="G40" s="214">
        <f>[2]人員・時間計画!D27</f>
        <v>3206</v>
      </c>
      <c r="H40" s="214">
        <f>[2]人員・時間計画!E27</f>
        <v>2474</v>
      </c>
      <c r="I40" s="214">
        <f>[2]人員・時間計画!F27</f>
        <v>2493</v>
      </c>
      <c r="J40" s="214">
        <f>[2]人員・時間計画!G27</f>
        <v>5097</v>
      </c>
      <c r="K40" s="214">
        <f>[2]人員・時間計画!H27</f>
        <v>18724</v>
      </c>
      <c r="L40" s="214">
        <f>[2]人員・時間計画!I27</f>
        <v>3543</v>
      </c>
      <c r="M40" s="214">
        <f>[2]人員・時間計画!J27</f>
        <v>9464</v>
      </c>
      <c r="N40" s="214">
        <f>[2]人員・時間計画!K27</f>
        <v>3538</v>
      </c>
      <c r="O40" s="214">
        <f>[2]人員・時間計画!L27</f>
        <v>8136</v>
      </c>
      <c r="P40" s="214">
        <f>[2]人員・時間計画!M27</f>
        <v>29696</v>
      </c>
      <c r="Q40" s="214">
        <f>[2]人員・時間計画!N27</f>
        <v>6108</v>
      </c>
    </row>
    <row r="41" spans="1:17" ht="14.5" hidden="1" thickBot="1">
      <c r="A41">
        <f>[2]人員・時間計画!$A$5</f>
        <v>1412000005</v>
      </c>
      <c r="B41" t="str">
        <f>[2]人員・時間計画!$B$5</f>
        <v>機器製造2課</v>
      </c>
      <c r="C41" s="185" t="s">
        <v>71</v>
      </c>
      <c r="D41" s="204" t="s">
        <v>216</v>
      </c>
      <c r="E41" s="205"/>
      <c r="F41" s="214">
        <f>[2]人員・時間計画!C28</f>
        <v>2586</v>
      </c>
      <c r="G41" s="214">
        <f>[2]人員・時間計画!D28</f>
        <v>3206</v>
      </c>
      <c r="H41" s="214">
        <f>[2]人員・時間計画!E28</f>
        <v>2474</v>
      </c>
      <c r="I41" s="214">
        <f>[2]人員・時間計画!F28</f>
        <v>2493</v>
      </c>
      <c r="J41" s="214">
        <f>[2]人員・時間計画!G28</f>
        <v>5097</v>
      </c>
      <c r="K41" s="214">
        <f>[2]人員・時間計画!H28</f>
        <v>18724</v>
      </c>
      <c r="L41" s="214">
        <f>[2]人員・時間計画!I28</f>
        <v>3543</v>
      </c>
      <c r="M41" s="214">
        <f>[2]人員・時間計画!J28</f>
        <v>9464</v>
      </c>
      <c r="N41" s="214">
        <f>[2]人員・時間計画!K28</f>
        <v>3538</v>
      </c>
      <c r="O41" s="214">
        <f>[2]人員・時間計画!L28</f>
        <v>8136</v>
      </c>
      <c r="P41" s="214">
        <f>[2]人員・時間計画!M28</f>
        <v>29696</v>
      </c>
      <c r="Q41" s="214">
        <f>[2]人員・時間計画!N28</f>
        <v>6108</v>
      </c>
    </row>
    <row r="42" spans="1:17" ht="14.5" hidden="1" thickBot="1">
      <c r="A42">
        <f>[17]人員・時間計画!$A$5</f>
        <v>1412000062</v>
      </c>
      <c r="B42" t="str">
        <f>[17]人員・時間計画!$B$5</f>
        <v>機器製造管理課</v>
      </c>
      <c r="C42" s="185" t="s">
        <v>3</v>
      </c>
      <c r="D42" s="185" t="s">
        <v>3</v>
      </c>
      <c r="E42" s="186"/>
    </row>
    <row r="43" spans="1:17" ht="14.5" hidden="1" thickBot="1">
      <c r="A43">
        <f>[17]人員・時間計画!$A$5</f>
        <v>1412000062</v>
      </c>
      <c r="B43" t="str">
        <f>[17]人員・時間計画!$B$5</f>
        <v>機器製造管理課</v>
      </c>
      <c r="C43" s="185" t="s">
        <v>3</v>
      </c>
      <c r="D43" s="187" t="s">
        <v>194</v>
      </c>
      <c r="E43" s="188"/>
      <c r="F43" s="214">
        <f>[17]人員・時間計画!C10</f>
        <v>0</v>
      </c>
      <c r="G43" s="214">
        <f>[17]人員・時間計画!D10</f>
        <v>0</v>
      </c>
      <c r="H43" s="214">
        <f>[17]人員・時間計画!E10</f>
        <v>0</v>
      </c>
      <c r="I43" s="214">
        <f>[17]人員・時間計画!F10</f>
        <v>0</v>
      </c>
      <c r="J43" s="214">
        <f>[17]人員・時間計画!G10</f>
        <v>0</v>
      </c>
      <c r="K43" s="214">
        <f>[17]人員・時間計画!H10</f>
        <v>0</v>
      </c>
      <c r="L43" s="214">
        <f>[17]人員・時間計画!I10</f>
        <v>0</v>
      </c>
      <c r="M43" s="214">
        <f>[17]人員・時間計画!J10</f>
        <v>0</v>
      </c>
      <c r="N43" s="214">
        <f>[17]人員・時間計画!K10</f>
        <v>0</v>
      </c>
      <c r="O43" s="214">
        <f>[17]人員・時間計画!L10</f>
        <v>0</v>
      </c>
      <c r="P43" s="214">
        <f>[17]人員・時間計画!M10</f>
        <v>0</v>
      </c>
      <c r="Q43" s="214">
        <f>[17]人員・時間計画!N10</f>
        <v>0</v>
      </c>
    </row>
    <row r="44" spans="1:17" ht="14.5" hidden="1" thickBot="1">
      <c r="A44">
        <f>[17]人員・時間計画!$A$5</f>
        <v>1412000062</v>
      </c>
      <c r="B44" t="str">
        <f>[17]人員・時間計画!$B$5</f>
        <v>機器製造管理課</v>
      </c>
      <c r="C44" s="185" t="s">
        <v>3</v>
      </c>
      <c r="D44" s="189"/>
      <c r="E44" s="190" t="s">
        <v>139</v>
      </c>
      <c r="F44" s="214">
        <f>[17]人員・時間計画!C11</f>
        <v>21</v>
      </c>
      <c r="G44" s="214">
        <f>[17]人員・時間計画!D11</f>
        <v>21</v>
      </c>
      <c r="H44" s="214">
        <f>[17]人員・時間計画!E11</f>
        <v>21</v>
      </c>
      <c r="I44" s="214">
        <f>[17]人員・時間計画!F11</f>
        <v>21</v>
      </c>
      <c r="J44" s="214">
        <f>[17]人員・時間計画!G11</f>
        <v>21</v>
      </c>
      <c r="K44" s="214">
        <f>[17]人員・時間計画!H11</f>
        <v>21</v>
      </c>
      <c r="L44" s="214">
        <f>[17]人員・時間計画!I11</f>
        <v>21</v>
      </c>
      <c r="M44" s="214">
        <f>[17]人員・時間計画!J11</f>
        <v>21</v>
      </c>
      <c r="N44" s="214">
        <f>[17]人員・時間計画!K11</f>
        <v>21</v>
      </c>
      <c r="O44" s="214">
        <f>[17]人員・時間計画!L11</f>
        <v>21</v>
      </c>
      <c r="P44" s="214">
        <f>[17]人員・時間計画!M11</f>
        <v>21</v>
      </c>
      <c r="Q44" s="214">
        <f>[17]人員・時間計画!N11</f>
        <v>21</v>
      </c>
    </row>
    <row r="45" spans="1:17" ht="14.5" thickBot="1">
      <c r="A45">
        <f>[17]人員・時間計画!$A$5</f>
        <v>1412000062</v>
      </c>
      <c r="B45" t="str">
        <f>[17]人員・時間計画!$B$5</f>
        <v>機器製造管理課</v>
      </c>
      <c r="C45" s="185" t="s">
        <v>3</v>
      </c>
      <c r="D45" s="191" t="s">
        <v>195</v>
      </c>
      <c r="E45" s="192" t="s">
        <v>140</v>
      </c>
      <c r="F45" s="214">
        <f>[17]人員・時間計画!C12</f>
        <v>7</v>
      </c>
      <c r="G45" s="214">
        <f>[17]人員・時間計画!D12</f>
        <v>7</v>
      </c>
      <c r="H45" s="214">
        <f>[17]人員・時間計画!E12</f>
        <v>7</v>
      </c>
      <c r="I45" s="214">
        <f>[17]人員・時間計画!F12</f>
        <v>7</v>
      </c>
      <c r="J45" s="214">
        <f>[17]人員・時間計画!G12</f>
        <v>7</v>
      </c>
      <c r="K45" s="214">
        <f>[17]人員・時間計画!H12</f>
        <v>7</v>
      </c>
      <c r="L45" s="214">
        <f>[17]人員・時間計画!I12</f>
        <v>7</v>
      </c>
      <c r="M45" s="214">
        <f>[17]人員・時間計画!J12</f>
        <v>7</v>
      </c>
      <c r="N45" s="214">
        <f>[17]人員・時間計画!K12</f>
        <v>7</v>
      </c>
      <c r="O45" s="214">
        <f>[17]人員・時間計画!L12</f>
        <v>7</v>
      </c>
      <c r="P45" s="214">
        <f>[17]人員・時間計画!M12</f>
        <v>7</v>
      </c>
      <c r="Q45" s="214">
        <f>[17]人員・時間計画!N12</f>
        <v>7</v>
      </c>
    </row>
    <row r="46" spans="1:17" ht="14.5" hidden="1" thickBot="1">
      <c r="A46">
        <f>[17]人員・時間計画!$A$5</f>
        <v>1412000062</v>
      </c>
      <c r="B46" t="str">
        <f>[17]人員・時間計画!$B$5</f>
        <v>機器製造管理課</v>
      </c>
      <c r="C46" s="185" t="s">
        <v>3</v>
      </c>
      <c r="D46" s="193"/>
      <c r="E46" s="194" t="s">
        <v>138</v>
      </c>
      <c r="F46" s="214">
        <f>[17]人員・時間計画!C13</f>
        <v>28</v>
      </c>
      <c r="G46" s="214">
        <f>[17]人員・時間計画!D13</f>
        <v>28</v>
      </c>
      <c r="H46" s="214">
        <f>[17]人員・時間計画!E13</f>
        <v>28</v>
      </c>
      <c r="I46" s="214">
        <f>[17]人員・時間計画!F13</f>
        <v>28</v>
      </c>
      <c r="J46" s="214">
        <f>[17]人員・時間計画!G13</f>
        <v>28</v>
      </c>
      <c r="K46" s="214">
        <f>[17]人員・時間計画!H13</f>
        <v>28</v>
      </c>
      <c r="L46" s="214">
        <f>[17]人員・時間計画!I13</f>
        <v>28</v>
      </c>
      <c r="M46" s="214">
        <f>[17]人員・時間計画!J13</f>
        <v>28</v>
      </c>
      <c r="N46" s="214">
        <f>[17]人員・時間計画!K13</f>
        <v>28</v>
      </c>
      <c r="O46" s="214">
        <f>[17]人員・時間計画!L13</f>
        <v>28</v>
      </c>
      <c r="P46" s="214">
        <f>[17]人員・時間計画!M13</f>
        <v>28</v>
      </c>
      <c r="Q46" s="214">
        <f>[17]人員・時間計画!N13</f>
        <v>28</v>
      </c>
    </row>
    <row r="47" spans="1:17" ht="14.5" hidden="1" thickBot="1">
      <c r="A47">
        <f>[17]人員・時間計画!$A$5</f>
        <v>1412000062</v>
      </c>
      <c r="B47" t="str">
        <f>[17]人員・時間計画!$B$5</f>
        <v>機器製造管理課</v>
      </c>
      <c r="C47" s="185" t="s">
        <v>3</v>
      </c>
      <c r="D47" s="195" t="s">
        <v>196</v>
      </c>
      <c r="E47" s="196"/>
      <c r="F47" s="214">
        <f>[17]人員・時間計画!C14</f>
        <v>28</v>
      </c>
      <c r="G47" s="214">
        <f>[17]人員・時間計画!D14</f>
        <v>28</v>
      </c>
      <c r="H47" s="214">
        <f>[17]人員・時間計画!E14</f>
        <v>28</v>
      </c>
      <c r="I47" s="214">
        <f>[17]人員・時間計画!F14</f>
        <v>28</v>
      </c>
      <c r="J47" s="214">
        <f>[17]人員・時間計画!G14</f>
        <v>28</v>
      </c>
      <c r="K47" s="214">
        <f>[17]人員・時間計画!H14</f>
        <v>28</v>
      </c>
      <c r="L47" s="214">
        <f>[17]人員・時間計画!I14</f>
        <v>28</v>
      </c>
      <c r="M47" s="214">
        <f>[17]人員・時間計画!J14</f>
        <v>28</v>
      </c>
      <c r="N47" s="214">
        <f>[17]人員・時間計画!K14</f>
        <v>28</v>
      </c>
      <c r="O47" s="214">
        <f>[17]人員・時間計画!L14</f>
        <v>28</v>
      </c>
      <c r="P47" s="214">
        <f>[17]人員・時間計画!M14</f>
        <v>28</v>
      </c>
      <c r="Q47" s="214">
        <f>[17]人員・時間計画!N14</f>
        <v>28</v>
      </c>
    </row>
    <row r="48" spans="1:17" ht="14.5" hidden="1" thickBot="1">
      <c r="A48">
        <f>[17]人員・時間計画!$A$5</f>
        <v>1412000062</v>
      </c>
      <c r="B48" t="str">
        <f>[17]人員・時間計画!$B$5</f>
        <v>機器製造管理課</v>
      </c>
      <c r="D48" s="197"/>
      <c r="E48" s="197"/>
    </row>
    <row r="49" spans="1:17" ht="14.5" hidden="1" thickBot="1">
      <c r="A49">
        <f>[17]人員・時間計画!$A$5</f>
        <v>1412000062</v>
      </c>
      <c r="B49" t="str">
        <f>[17]人員・時間計画!$B$5</f>
        <v>機器製造管理課</v>
      </c>
      <c r="C49" s="185" t="s">
        <v>202</v>
      </c>
      <c r="D49" s="185" t="s">
        <v>202</v>
      </c>
      <c r="E49" s="186"/>
    </row>
    <row r="50" spans="1:17" ht="14.5" hidden="1" thickBot="1">
      <c r="A50">
        <f>[17]人員・時間計画!$A$5</f>
        <v>1412000062</v>
      </c>
      <c r="B50" t="str">
        <f>[17]人員・時間計画!$B$5</f>
        <v>機器製造管理課</v>
      </c>
      <c r="C50" s="185" t="s">
        <v>202</v>
      </c>
      <c r="D50" s="198" t="s">
        <v>194</v>
      </c>
      <c r="E50" s="199"/>
      <c r="F50" s="214">
        <f>[17]人員・時間計画!C17</f>
        <v>0</v>
      </c>
      <c r="G50" s="214">
        <f>[17]人員・時間計画!D17</f>
        <v>0</v>
      </c>
      <c r="H50" s="214">
        <f>[17]人員・時間計画!E17</f>
        <v>0</v>
      </c>
      <c r="I50" s="214">
        <f>[17]人員・時間計画!F17</f>
        <v>0</v>
      </c>
      <c r="J50" s="214">
        <f>[17]人員・時間計画!G17</f>
        <v>0</v>
      </c>
      <c r="K50" s="214">
        <f>[17]人員・時間計画!H17</f>
        <v>0</v>
      </c>
      <c r="L50" s="214">
        <f>[17]人員・時間計画!I17</f>
        <v>0</v>
      </c>
      <c r="M50" s="214">
        <f>[17]人員・時間計画!J17</f>
        <v>0</v>
      </c>
      <c r="N50" s="214">
        <f>[17]人員・時間計画!K17</f>
        <v>0</v>
      </c>
      <c r="O50" s="214">
        <f>[17]人員・時間計画!L17</f>
        <v>0</v>
      </c>
      <c r="P50" s="214">
        <f>[17]人員・時間計画!M17</f>
        <v>0</v>
      </c>
      <c r="Q50" s="214">
        <f>[17]人員・時間計画!N17</f>
        <v>0</v>
      </c>
    </row>
    <row r="51" spans="1:17" ht="14.5" hidden="1" thickBot="1">
      <c r="A51">
        <f>[17]人員・時間計画!$A$5</f>
        <v>1412000062</v>
      </c>
      <c r="B51" t="str">
        <f>[17]人員・時間計画!$B$5</f>
        <v>機器製造管理課</v>
      </c>
      <c r="C51" s="185" t="s">
        <v>202</v>
      </c>
      <c r="D51" s="200"/>
      <c r="E51" s="190" t="s">
        <v>139</v>
      </c>
      <c r="F51" s="214">
        <f>[17]人員・時間計画!C18</f>
        <v>3499</v>
      </c>
      <c r="G51" s="214">
        <f>[17]人員・時間計画!D18</f>
        <v>3001</v>
      </c>
      <c r="H51" s="214">
        <f>[17]人員・時間計画!E18</f>
        <v>3317</v>
      </c>
      <c r="I51" s="214">
        <f>[17]人員・時間計画!F18</f>
        <v>3632</v>
      </c>
      <c r="J51" s="214">
        <f>[17]人員・時間計画!G18</f>
        <v>3159</v>
      </c>
      <c r="K51" s="214">
        <f>[17]人員・時間計画!H18</f>
        <v>3001</v>
      </c>
      <c r="L51" s="214">
        <f>[17]人員・時間計画!I18</f>
        <v>3632</v>
      </c>
      <c r="M51" s="214">
        <f>[17]人員・時間計画!J18</f>
        <v>3459</v>
      </c>
      <c r="N51" s="214">
        <f>[17]人員・時間計画!K18</f>
        <v>3804</v>
      </c>
      <c r="O51" s="214">
        <f>[17]人員・時間計画!L18</f>
        <v>3459</v>
      </c>
      <c r="P51" s="214">
        <f>[17]人員・時間計画!M18</f>
        <v>2594</v>
      </c>
      <c r="Q51" s="214">
        <f>[17]人員・時間計画!N18</f>
        <v>3459</v>
      </c>
    </row>
    <row r="52" spans="1:17" ht="14.5" thickBot="1">
      <c r="A52">
        <f>[17]人員・時間計画!$A$5</f>
        <v>1412000062</v>
      </c>
      <c r="B52" t="str">
        <f>[17]人員・時間計画!$B$5</f>
        <v>機器製造管理課</v>
      </c>
      <c r="C52" s="185" t="s">
        <v>202</v>
      </c>
      <c r="D52" s="201" t="s">
        <v>195</v>
      </c>
      <c r="E52" s="192" t="s">
        <v>140</v>
      </c>
      <c r="F52" s="214">
        <f>[17]人員・時間計画!C19</f>
        <v>1146</v>
      </c>
      <c r="G52" s="214">
        <f>[17]人員・時間計画!D19</f>
        <v>927.5</v>
      </c>
      <c r="H52" s="214">
        <f>[17]人員・時間計画!E19</f>
        <v>1025.5</v>
      </c>
      <c r="I52" s="214">
        <f>[17]人員・時間計画!F19</f>
        <v>1122.5</v>
      </c>
      <c r="J52" s="214">
        <f>[17]人員・時間計画!G19</f>
        <v>976</v>
      </c>
      <c r="K52" s="214">
        <f>[17]人員・時間計画!H19</f>
        <v>927.5</v>
      </c>
      <c r="L52" s="214">
        <f>[17]人員・時間計画!I19</f>
        <v>1145.5</v>
      </c>
      <c r="M52" s="214">
        <f>[17]人員・時間計画!J19</f>
        <v>996</v>
      </c>
      <c r="N52" s="214">
        <f>[17]人員・時間計画!K19</f>
        <v>1261</v>
      </c>
      <c r="O52" s="214">
        <f>[17]人員・時間計画!L19</f>
        <v>1146</v>
      </c>
      <c r="P52" s="214">
        <f>[17]人員・時間計画!M19</f>
        <v>860</v>
      </c>
      <c r="Q52" s="214">
        <f>[17]人員・時間計画!N19</f>
        <v>1146</v>
      </c>
    </row>
    <row r="53" spans="1:17" ht="14.5" hidden="1" thickBot="1">
      <c r="A53">
        <f>[17]人員・時間計画!$A$5</f>
        <v>1412000062</v>
      </c>
      <c r="B53" t="str">
        <f>[17]人員・時間計画!$B$5</f>
        <v>機器製造管理課</v>
      </c>
      <c r="C53" s="185" t="s">
        <v>202</v>
      </c>
      <c r="D53" s="202"/>
      <c r="E53" s="203" t="s">
        <v>138</v>
      </c>
      <c r="F53" s="214">
        <f>[17]人員・時間計画!C20</f>
        <v>4645</v>
      </c>
      <c r="G53" s="214">
        <f>[17]人員・時間計画!D20</f>
        <v>3928.5</v>
      </c>
      <c r="H53" s="214">
        <f>[17]人員・時間計画!E20</f>
        <v>4342.5</v>
      </c>
      <c r="I53" s="214">
        <f>[17]人員・時間計画!F20</f>
        <v>4754.5</v>
      </c>
      <c r="J53" s="214">
        <f>[17]人員・時間計画!G20</f>
        <v>4135</v>
      </c>
      <c r="K53" s="214">
        <f>[17]人員・時間計画!H20</f>
        <v>3928.5</v>
      </c>
      <c r="L53" s="214">
        <f>[17]人員・時間計画!I20</f>
        <v>4777.5</v>
      </c>
      <c r="M53" s="214">
        <f>[17]人員・時間計画!J20</f>
        <v>4455</v>
      </c>
      <c r="N53" s="214">
        <f>[17]人員・時間計画!K20</f>
        <v>5065</v>
      </c>
      <c r="O53" s="214">
        <f>[17]人員・時間計画!L20</f>
        <v>4605</v>
      </c>
      <c r="P53" s="214">
        <f>[17]人員・時間計画!M20</f>
        <v>3454</v>
      </c>
      <c r="Q53" s="214">
        <f>[17]人員・時間計画!N20</f>
        <v>4605</v>
      </c>
    </row>
    <row r="54" spans="1:17" ht="14.5" hidden="1" thickBot="1">
      <c r="A54">
        <f>[17]人員・時間計画!$A$5</f>
        <v>1412000062</v>
      </c>
      <c r="B54" t="str">
        <f>[17]人員・時間計画!$B$5</f>
        <v>機器製造管理課</v>
      </c>
      <c r="C54" s="185" t="s">
        <v>202</v>
      </c>
      <c r="D54" s="204" t="s">
        <v>215</v>
      </c>
      <c r="E54" s="205"/>
      <c r="F54" s="214">
        <f>[17]人員・時間計画!C21</f>
        <v>4645</v>
      </c>
      <c r="G54" s="214">
        <f>[17]人員・時間計画!D21</f>
        <v>3928.5</v>
      </c>
      <c r="H54" s="214">
        <f>[17]人員・時間計画!E21</f>
        <v>4342.5</v>
      </c>
      <c r="I54" s="214">
        <f>[17]人員・時間計画!F21</f>
        <v>4754.5</v>
      </c>
      <c r="J54" s="214">
        <f>[17]人員・時間計画!G21</f>
        <v>4135</v>
      </c>
      <c r="K54" s="214">
        <f>[17]人員・時間計画!H21</f>
        <v>3928.5</v>
      </c>
      <c r="L54" s="214">
        <f>[17]人員・時間計画!I21</f>
        <v>4777.5</v>
      </c>
      <c r="M54" s="214">
        <f>[17]人員・時間計画!J21</f>
        <v>4455</v>
      </c>
      <c r="N54" s="214">
        <f>[17]人員・時間計画!K21</f>
        <v>5065</v>
      </c>
      <c r="O54" s="214">
        <f>[17]人員・時間計画!L21</f>
        <v>4605</v>
      </c>
      <c r="P54" s="214">
        <f>[17]人員・時間計画!M21</f>
        <v>3454</v>
      </c>
      <c r="Q54" s="214">
        <f>[17]人員・時間計画!N21</f>
        <v>4605</v>
      </c>
    </row>
    <row r="55" spans="1:17" ht="14.5" hidden="1" thickBot="1">
      <c r="A55">
        <f>[17]人員・時間計画!$A$5</f>
        <v>1412000062</v>
      </c>
      <c r="B55" t="str">
        <f>[17]人員・時間計画!$B$5</f>
        <v>機器製造管理課</v>
      </c>
      <c r="D55" s="197"/>
      <c r="E55" s="197"/>
    </row>
    <row r="56" spans="1:17" ht="14.5" hidden="1" thickBot="1">
      <c r="A56">
        <f>[17]人員・時間計画!$A$5</f>
        <v>1412000062</v>
      </c>
      <c r="B56" t="str">
        <f>[17]人員・時間計画!$B$5</f>
        <v>機器製造管理課</v>
      </c>
      <c r="C56" s="185" t="s">
        <v>71</v>
      </c>
      <c r="D56" s="185" t="s">
        <v>71</v>
      </c>
      <c r="E56" s="186"/>
    </row>
    <row r="57" spans="1:17" ht="14.5" hidden="1" thickBot="1">
      <c r="A57">
        <f>[17]人員・時間計画!$A$5</f>
        <v>1412000062</v>
      </c>
      <c r="B57" t="str">
        <f>[17]人員・時間計画!$B$5</f>
        <v>機器製造管理課</v>
      </c>
      <c r="C57" s="185" t="s">
        <v>71</v>
      </c>
      <c r="D57" s="198" t="s">
        <v>194</v>
      </c>
      <c r="E57" s="199"/>
      <c r="F57" s="214">
        <f>[17]人員・時間計画!C24</f>
        <v>0</v>
      </c>
      <c r="G57" s="214">
        <f>[17]人員・時間計画!D24</f>
        <v>0</v>
      </c>
      <c r="H57" s="214">
        <f>[17]人員・時間計画!E24</f>
        <v>0</v>
      </c>
      <c r="I57" s="214">
        <f>[17]人員・時間計画!F24</f>
        <v>0</v>
      </c>
      <c r="J57" s="214">
        <f>[17]人員・時間計画!G24</f>
        <v>0</v>
      </c>
      <c r="K57" s="214">
        <f>[17]人員・時間計画!H24</f>
        <v>0</v>
      </c>
      <c r="L57" s="214">
        <f>[17]人員・時間計画!I24</f>
        <v>0</v>
      </c>
      <c r="M57" s="214">
        <f>[17]人員・時間計画!J24</f>
        <v>0</v>
      </c>
      <c r="N57" s="214">
        <f>[17]人員・時間計画!K24</f>
        <v>0</v>
      </c>
      <c r="O57" s="214">
        <f>[17]人員・時間計画!L24</f>
        <v>0</v>
      </c>
      <c r="P57" s="214">
        <f>[17]人員・時間計画!M24</f>
        <v>0</v>
      </c>
      <c r="Q57" s="214">
        <f>[17]人員・時間計画!N24</f>
        <v>0</v>
      </c>
    </row>
    <row r="58" spans="1:17" ht="14.5" hidden="1" thickBot="1">
      <c r="A58">
        <f>[17]人員・時間計画!$A$5</f>
        <v>1412000062</v>
      </c>
      <c r="B58" t="str">
        <f>[17]人員・時間計画!$B$5</f>
        <v>機器製造管理課</v>
      </c>
      <c r="C58" s="185" t="s">
        <v>71</v>
      </c>
      <c r="D58" s="200"/>
      <c r="E58" s="206" t="s">
        <v>139</v>
      </c>
      <c r="F58" s="214">
        <f>[17]人員・時間計画!C25</f>
        <v>200</v>
      </c>
      <c r="G58" s="214">
        <f>[17]人員・時間計画!D25</f>
        <v>200</v>
      </c>
      <c r="H58" s="214">
        <f>[17]人員・時間計画!E25</f>
        <v>200</v>
      </c>
      <c r="I58" s="214">
        <f>[17]人員・時間計画!F25</f>
        <v>200</v>
      </c>
      <c r="J58" s="214">
        <f>[17]人員・時間計画!G25</f>
        <v>200</v>
      </c>
      <c r="K58" s="214">
        <f>[17]人員・時間計画!H25</f>
        <v>200</v>
      </c>
      <c r="L58" s="214">
        <f>[17]人員・時間計画!I25</f>
        <v>200</v>
      </c>
      <c r="M58" s="214">
        <f>[17]人員・時間計画!J25</f>
        <v>200</v>
      </c>
      <c r="N58" s="214">
        <f>[17]人員・時間計画!K25</f>
        <v>200</v>
      </c>
      <c r="O58" s="214">
        <f>[17]人員・時間計画!L25</f>
        <v>200</v>
      </c>
      <c r="P58" s="214">
        <f>[17]人員・時間計画!M25</f>
        <v>100</v>
      </c>
      <c r="Q58" s="214">
        <f>[17]人員・時間計画!N25</f>
        <v>200</v>
      </c>
    </row>
    <row r="59" spans="1:17" ht="14.5" thickBot="1">
      <c r="A59">
        <f>[17]人員・時間計画!$A$5</f>
        <v>1412000062</v>
      </c>
      <c r="B59" t="str">
        <f>[17]人員・時間計画!$B$5</f>
        <v>機器製造管理課</v>
      </c>
      <c r="C59" s="185" t="s">
        <v>71</v>
      </c>
      <c r="D59" s="201" t="s">
        <v>195</v>
      </c>
      <c r="E59" s="207" t="s">
        <v>140</v>
      </c>
      <c r="F59" s="214">
        <f>[17]人員・時間計画!C26</f>
        <v>100</v>
      </c>
      <c r="G59" s="214">
        <f>[17]人員・時間計画!D26</f>
        <v>100</v>
      </c>
      <c r="H59" s="214">
        <f>[17]人員・時間計画!E26</f>
        <v>100</v>
      </c>
      <c r="I59" s="214">
        <f>[17]人員・時間計画!F26</f>
        <v>100</v>
      </c>
      <c r="J59" s="214">
        <f>[17]人員・時間計画!G26</f>
        <v>100</v>
      </c>
      <c r="K59" s="214">
        <f>[17]人員・時間計画!H26</f>
        <v>100</v>
      </c>
      <c r="L59" s="214">
        <f>[17]人員・時間計画!I26</f>
        <v>100</v>
      </c>
      <c r="M59" s="214">
        <f>[17]人員・時間計画!J26</f>
        <v>100</v>
      </c>
      <c r="N59" s="214">
        <f>[17]人員・時間計画!K26</f>
        <v>100</v>
      </c>
      <c r="O59" s="214">
        <f>[17]人員・時間計画!L26</f>
        <v>100</v>
      </c>
      <c r="P59" s="214">
        <f>[17]人員・時間計画!M26</f>
        <v>80</v>
      </c>
      <c r="Q59" s="214">
        <f>[17]人員・時間計画!N26</f>
        <v>100</v>
      </c>
    </row>
    <row r="60" spans="1:17" ht="14.5" hidden="1" thickBot="1">
      <c r="A60">
        <f>[17]人員・時間計画!$A$5</f>
        <v>1412000062</v>
      </c>
      <c r="B60" t="str">
        <f>[17]人員・時間計画!$B$5</f>
        <v>機器製造管理課</v>
      </c>
      <c r="C60" s="185" t="s">
        <v>71</v>
      </c>
      <c r="D60" s="202"/>
      <c r="E60" s="203" t="s">
        <v>138</v>
      </c>
      <c r="F60" s="214">
        <f>[17]人員・時間計画!C27</f>
        <v>300</v>
      </c>
      <c r="G60" s="214">
        <f>[17]人員・時間計画!D27</f>
        <v>300</v>
      </c>
      <c r="H60" s="214">
        <f>[17]人員・時間計画!E27</f>
        <v>300</v>
      </c>
      <c r="I60" s="214">
        <f>[17]人員・時間計画!F27</f>
        <v>300</v>
      </c>
      <c r="J60" s="214">
        <f>[17]人員・時間計画!G27</f>
        <v>300</v>
      </c>
      <c r="K60" s="214">
        <f>[17]人員・時間計画!H27</f>
        <v>300</v>
      </c>
      <c r="L60" s="214">
        <f>[17]人員・時間計画!I27</f>
        <v>300</v>
      </c>
      <c r="M60" s="214">
        <f>[17]人員・時間計画!J27</f>
        <v>300</v>
      </c>
      <c r="N60" s="214">
        <f>[17]人員・時間計画!K27</f>
        <v>300</v>
      </c>
      <c r="O60" s="214">
        <f>[17]人員・時間計画!L27</f>
        <v>300</v>
      </c>
      <c r="P60" s="214">
        <f>[17]人員・時間計画!M27</f>
        <v>180</v>
      </c>
      <c r="Q60" s="214">
        <f>[17]人員・時間計画!N27</f>
        <v>300</v>
      </c>
    </row>
    <row r="61" spans="1:17" ht="14.5" hidden="1" thickBot="1">
      <c r="A61">
        <f>[17]人員・時間計画!$A$5</f>
        <v>1412000062</v>
      </c>
      <c r="B61" t="str">
        <f>[17]人員・時間計画!$B$5</f>
        <v>機器製造管理課</v>
      </c>
      <c r="C61" s="185" t="s">
        <v>71</v>
      </c>
      <c r="D61" s="204" t="s">
        <v>216</v>
      </c>
      <c r="E61" s="205"/>
      <c r="F61" s="214">
        <f>[17]人員・時間計画!C28</f>
        <v>300</v>
      </c>
      <c r="G61" s="214">
        <f>[17]人員・時間計画!D28</f>
        <v>300</v>
      </c>
      <c r="H61" s="214">
        <f>[17]人員・時間計画!E28</f>
        <v>300</v>
      </c>
      <c r="I61" s="214">
        <f>[17]人員・時間計画!F28</f>
        <v>300</v>
      </c>
      <c r="J61" s="214">
        <f>[17]人員・時間計画!G28</f>
        <v>300</v>
      </c>
      <c r="K61" s="214">
        <f>[17]人員・時間計画!H28</f>
        <v>300</v>
      </c>
      <c r="L61" s="214">
        <f>[17]人員・時間計画!I28</f>
        <v>300</v>
      </c>
      <c r="M61" s="214">
        <f>[17]人員・時間計画!J28</f>
        <v>300</v>
      </c>
      <c r="N61" s="214">
        <f>[17]人員・時間計画!K28</f>
        <v>300</v>
      </c>
      <c r="O61" s="214">
        <f>[17]人員・時間計画!L28</f>
        <v>300</v>
      </c>
      <c r="P61" s="214">
        <f>[17]人員・時間計画!M28</f>
        <v>180</v>
      </c>
      <c r="Q61" s="214">
        <f>[17]人員・時間計画!N28</f>
        <v>300</v>
      </c>
    </row>
    <row r="62" spans="1:17" ht="14.5" hidden="1" thickBot="1">
      <c r="A62">
        <f>[5]人員・時間計画!$A$5</f>
        <v>1412000034</v>
      </c>
      <c r="B62" t="str">
        <f>[5]人員・時間計画!$B$5</f>
        <v>トナー製造課</v>
      </c>
      <c r="C62" s="185" t="s">
        <v>3</v>
      </c>
      <c r="D62" s="185" t="s">
        <v>3</v>
      </c>
      <c r="E62" s="186"/>
    </row>
    <row r="63" spans="1:17" ht="14.5" hidden="1" thickBot="1">
      <c r="A63">
        <f>[5]人員・時間計画!$A$5</f>
        <v>1412000034</v>
      </c>
      <c r="B63" t="str">
        <f>[5]人員・時間計画!$B$5</f>
        <v>トナー製造課</v>
      </c>
      <c r="C63" s="185" t="s">
        <v>3</v>
      </c>
      <c r="D63" s="187" t="s">
        <v>194</v>
      </c>
      <c r="E63" s="188"/>
      <c r="F63" s="214">
        <f>[5]人員・時間計画!C10</f>
        <v>1</v>
      </c>
      <c r="G63" s="214">
        <f>[5]人員・時間計画!D10</f>
        <v>1</v>
      </c>
      <c r="H63" s="214">
        <f>[5]人員・時間計画!E10</f>
        <v>1</v>
      </c>
      <c r="I63" s="214">
        <f>[5]人員・時間計画!F10</f>
        <v>1</v>
      </c>
      <c r="J63" s="214">
        <f>[5]人員・時間計画!G10</f>
        <v>1</v>
      </c>
      <c r="K63" s="214">
        <f>[5]人員・時間計画!H10</f>
        <v>1</v>
      </c>
      <c r="L63" s="214">
        <f>[5]人員・時間計画!I10</f>
        <v>1</v>
      </c>
      <c r="M63" s="214">
        <f>[5]人員・時間計画!J10</f>
        <v>1</v>
      </c>
      <c r="N63" s="214">
        <f>[5]人員・時間計画!K10</f>
        <v>1</v>
      </c>
      <c r="O63" s="214">
        <f>[5]人員・時間計画!L10</f>
        <v>1</v>
      </c>
      <c r="P63" s="214">
        <f>[5]人員・時間計画!M10</f>
        <v>1</v>
      </c>
      <c r="Q63" s="214">
        <f>[5]人員・時間計画!N10</f>
        <v>1</v>
      </c>
    </row>
    <row r="64" spans="1:17" ht="14.5" hidden="1" thickBot="1">
      <c r="A64">
        <f>[5]人員・時間計画!$A$5</f>
        <v>1412000034</v>
      </c>
      <c r="B64" t="str">
        <f>[5]人員・時間計画!$B$5</f>
        <v>トナー製造課</v>
      </c>
      <c r="C64" s="185" t="s">
        <v>3</v>
      </c>
      <c r="D64" s="189"/>
      <c r="E64" s="190" t="s">
        <v>139</v>
      </c>
      <c r="F64" s="214">
        <f>[5]人員・時間計画!C11</f>
        <v>22</v>
      </c>
      <c r="G64" s="214">
        <f>[5]人員・時間計画!D11</f>
        <v>22</v>
      </c>
      <c r="H64" s="214">
        <f>[5]人員・時間計画!E11</f>
        <v>22</v>
      </c>
      <c r="I64" s="214">
        <f>[5]人員・時間計画!F11</f>
        <v>22</v>
      </c>
      <c r="J64" s="214">
        <f>[5]人員・時間計画!G11</f>
        <v>22</v>
      </c>
      <c r="K64" s="214">
        <f>[5]人員・時間計画!H11</f>
        <v>22</v>
      </c>
      <c r="L64" s="214">
        <f>[5]人員・時間計画!I11</f>
        <v>22</v>
      </c>
      <c r="M64" s="214">
        <f>[5]人員・時間計画!J11</f>
        <v>22</v>
      </c>
      <c r="N64" s="214">
        <f>[5]人員・時間計画!K11</f>
        <v>22</v>
      </c>
      <c r="O64" s="214">
        <f>[5]人員・時間計画!L11</f>
        <v>22</v>
      </c>
      <c r="P64" s="214">
        <f>[5]人員・時間計画!M11</f>
        <v>22</v>
      </c>
      <c r="Q64" s="214">
        <f>[5]人員・時間計画!N11</f>
        <v>22</v>
      </c>
    </row>
    <row r="65" spans="1:17" ht="14.5" thickBot="1">
      <c r="A65">
        <f>[5]人員・時間計画!$A$5</f>
        <v>1412000034</v>
      </c>
      <c r="B65" t="str">
        <f>[5]人員・時間計画!$B$5</f>
        <v>トナー製造課</v>
      </c>
      <c r="C65" s="185" t="s">
        <v>3</v>
      </c>
      <c r="D65" s="191" t="s">
        <v>195</v>
      </c>
      <c r="E65" s="192" t="s">
        <v>140</v>
      </c>
      <c r="F65" s="214">
        <f>[5]人員・時間計画!C12</f>
        <v>297</v>
      </c>
      <c r="G65" s="214">
        <f>[5]人員・時間計画!D12</f>
        <v>297</v>
      </c>
      <c r="H65" s="214">
        <f>[5]人員・時間計画!E12</f>
        <v>298</v>
      </c>
      <c r="I65" s="214">
        <f>[5]人員・時間計画!F12</f>
        <v>298</v>
      </c>
      <c r="J65" s="214">
        <f>[5]人員・時間計画!G12</f>
        <v>306</v>
      </c>
      <c r="K65" s="214">
        <f>[5]人員・時間計画!H12</f>
        <v>314</v>
      </c>
      <c r="L65" s="214">
        <f>[5]人員・時間計画!I12</f>
        <v>314</v>
      </c>
      <c r="M65" s="214">
        <f>[5]人員・時間計画!J12</f>
        <v>314</v>
      </c>
      <c r="N65" s="214">
        <f>[5]人員・時間計画!K12</f>
        <v>314</v>
      </c>
      <c r="O65" s="214">
        <f>[5]人員・時間計画!L12</f>
        <v>314</v>
      </c>
      <c r="P65" s="214">
        <f>[5]人員・時間計画!M12</f>
        <v>324</v>
      </c>
      <c r="Q65" s="214">
        <f>[5]人員・時間計画!N12</f>
        <v>324</v>
      </c>
    </row>
    <row r="66" spans="1:17" ht="14.5" hidden="1" thickBot="1">
      <c r="A66">
        <f>[5]人員・時間計画!$A$5</f>
        <v>1412000034</v>
      </c>
      <c r="B66" t="str">
        <f>[5]人員・時間計画!$B$5</f>
        <v>トナー製造課</v>
      </c>
      <c r="C66" s="185" t="s">
        <v>3</v>
      </c>
      <c r="D66" s="193"/>
      <c r="E66" s="194" t="s">
        <v>138</v>
      </c>
      <c r="F66" s="214">
        <f>[5]人員・時間計画!C13</f>
        <v>319</v>
      </c>
      <c r="G66" s="214">
        <f>[5]人員・時間計画!D13</f>
        <v>319</v>
      </c>
      <c r="H66" s="214">
        <f>[5]人員・時間計画!E13</f>
        <v>320</v>
      </c>
      <c r="I66" s="214">
        <f>[5]人員・時間計画!F13</f>
        <v>320</v>
      </c>
      <c r="J66" s="214">
        <f>[5]人員・時間計画!G13</f>
        <v>328</v>
      </c>
      <c r="K66" s="214">
        <f>[5]人員・時間計画!H13</f>
        <v>336</v>
      </c>
      <c r="L66" s="214">
        <f>[5]人員・時間計画!I13</f>
        <v>336</v>
      </c>
      <c r="M66" s="214">
        <f>[5]人員・時間計画!J13</f>
        <v>336</v>
      </c>
      <c r="N66" s="214">
        <f>[5]人員・時間計画!K13</f>
        <v>336</v>
      </c>
      <c r="O66" s="214">
        <f>[5]人員・時間計画!L13</f>
        <v>336</v>
      </c>
      <c r="P66" s="214">
        <f>[5]人員・時間計画!M13</f>
        <v>346</v>
      </c>
      <c r="Q66" s="214">
        <f>[5]人員・時間計画!N13</f>
        <v>346</v>
      </c>
    </row>
    <row r="67" spans="1:17" ht="14.5" hidden="1" thickBot="1">
      <c r="A67">
        <f>[5]人員・時間計画!$A$5</f>
        <v>1412000034</v>
      </c>
      <c r="B67" t="str">
        <f>[5]人員・時間計画!$B$5</f>
        <v>トナー製造課</v>
      </c>
      <c r="C67" s="185" t="s">
        <v>3</v>
      </c>
      <c r="D67" s="195" t="s">
        <v>196</v>
      </c>
      <c r="E67" s="196"/>
      <c r="F67" s="214">
        <f>[5]人員・時間計画!C14</f>
        <v>320</v>
      </c>
      <c r="G67" s="214">
        <f>[5]人員・時間計画!D14</f>
        <v>320</v>
      </c>
      <c r="H67" s="214">
        <f>[5]人員・時間計画!E14</f>
        <v>321</v>
      </c>
      <c r="I67" s="214">
        <f>[5]人員・時間計画!F14</f>
        <v>321</v>
      </c>
      <c r="J67" s="214">
        <f>[5]人員・時間計画!G14</f>
        <v>329</v>
      </c>
      <c r="K67" s="214">
        <f>[5]人員・時間計画!H14</f>
        <v>337</v>
      </c>
      <c r="L67" s="214">
        <f>[5]人員・時間計画!I14</f>
        <v>337</v>
      </c>
      <c r="M67" s="214">
        <f>[5]人員・時間計画!J14</f>
        <v>337</v>
      </c>
      <c r="N67" s="214">
        <f>[5]人員・時間計画!K14</f>
        <v>337</v>
      </c>
      <c r="O67" s="214">
        <f>[5]人員・時間計画!L14</f>
        <v>337</v>
      </c>
      <c r="P67" s="214">
        <f>[5]人員・時間計画!M14</f>
        <v>347</v>
      </c>
      <c r="Q67" s="214">
        <f>[5]人員・時間計画!N14</f>
        <v>347</v>
      </c>
    </row>
    <row r="68" spans="1:17" ht="14.5" hidden="1" thickBot="1">
      <c r="A68">
        <f>[5]人員・時間計画!$A$5</f>
        <v>1412000034</v>
      </c>
      <c r="B68" t="str">
        <f>[5]人員・時間計画!$B$5</f>
        <v>トナー製造課</v>
      </c>
      <c r="D68" s="197"/>
      <c r="E68" s="197"/>
    </row>
    <row r="69" spans="1:17" ht="14.5" hidden="1" thickBot="1">
      <c r="A69">
        <f>[5]人員・時間計画!$A$5</f>
        <v>1412000034</v>
      </c>
      <c r="B69" t="str">
        <f>[5]人員・時間計画!$B$5</f>
        <v>トナー製造課</v>
      </c>
      <c r="C69" s="185" t="s">
        <v>202</v>
      </c>
      <c r="D69" s="185" t="s">
        <v>202</v>
      </c>
      <c r="E69" s="186"/>
    </row>
    <row r="70" spans="1:17" ht="14.5" hidden="1" thickBot="1">
      <c r="A70">
        <f>[5]人員・時間計画!$A$5</f>
        <v>1412000034</v>
      </c>
      <c r="B70" t="str">
        <f>[5]人員・時間計画!$B$5</f>
        <v>トナー製造課</v>
      </c>
      <c r="C70" s="185" t="s">
        <v>202</v>
      </c>
      <c r="D70" s="198" t="s">
        <v>194</v>
      </c>
      <c r="E70" s="199"/>
      <c r="F70" s="182">
        <f>[5]人員・時間計画!C17</f>
        <v>170</v>
      </c>
      <c r="G70" s="182">
        <f>[5]人員・時間計画!D17</f>
        <v>161.5</v>
      </c>
      <c r="H70" s="182">
        <f>[5]人員・時間計画!E17</f>
        <v>178.5</v>
      </c>
      <c r="I70" s="182">
        <f>[5]人員・時間計画!F17</f>
        <v>195.5</v>
      </c>
      <c r="J70" s="182">
        <f>[5]人員・時間計画!G17</f>
        <v>170</v>
      </c>
      <c r="K70" s="182">
        <f>[5]人員・時間計画!H17</f>
        <v>161.5</v>
      </c>
      <c r="L70" s="182">
        <f>[5]人員・時間計画!I17</f>
        <v>195.5</v>
      </c>
      <c r="M70" s="182">
        <f>[5]人員・時間計画!J17</f>
        <v>170</v>
      </c>
      <c r="N70" s="182">
        <f>[5]人員・時間計画!K17</f>
        <v>187</v>
      </c>
      <c r="O70" s="182">
        <f>[5]人員・時間計画!L17</f>
        <v>170</v>
      </c>
      <c r="P70" s="182">
        <f>[5]人員・時間計画!M17</f>
        <v>127.5</v>
      </c>
      <c r="Q70" s="182">
        <f>[5]人員・時間計画!N17</f>
        <v>170</v>
      </c>
    </row>
    <row r="71" spans="1:17" ht="14.5" hidden="1" thickBot="1">
      <c r="A71">
        <f>[5]人員・時間計画!$A$5</f>
        <v>1412000034</v>
      </c>
      <c r="B71" t="str">
        <f>[5]人員・時間計画!$B$5</f>
        <v>トナー製造課</v>
      </c>
      <c r="C71" s="185" t="s">
        <v>202</v>
      </c>
      <c r="D71" s="200"/>
      <c r="E71" s="190" t="s">
        <v>139</v>
      </c>
      <c r="F71" s="182">
        <f>[5]人員・時間計画!C18</f>
        <v>3456</v>
      </c>
      <c r="G71" s="182">
        <f>[5]人員・時間計画!D18</f>
        <v>3200</v>
      </c>
      <c r="H71" s="182">
        <f>[5]人員・時間計画!E18</f>
        <v>3528</v>
      </c>
      <c r="I71" s="182">
        <f>[5]人員・時間計画!F18</f>
        <v>3854</v>
      </c>
      <c r="J71" s="182">
        <f>[5]人員・時間計画!G18</f>
        <v>3456</v>
      </c>
      <c r="K71" s="182">
        <f>[5]人員・時間計画!H18</f>
        <v>3200</v>
      </c>
      <c r="L71" s="182">
        <f>[5]人員・時間計画!I18</f>
        <v>3854</v>
      </c>
      <c r="M71" s="182">
        <f>[5]人員・時間計画!J18</f>
        <v>3456</v>
      </c>
      <c r="N71" s="182">
        <f>[5]人員・時間計画!K18</f>
        <v>3691</v>
      </c>
      <c r="O71" s="182">
        <f>[5]人員・時間計画!L18</f>
        <v>3456</v>
      </c>
      <c r="P71" s="182">
        <f>[5]人員・時間計画!M18</f>
        <v>2546</v>
      </c>
      <c r="Q71" s="182">
        <f>[5]人員・時間計画!N18</f>
        <v>3364</v>
      </c>
    </row>
    <row r="72" spans="1:17" ht="14.5" thickBot="1">
      <c r="A72">
        <f>[5]人員・時間計画!$A$5</f>
        <v>1412000034</v>
      </c>
      <c r="B72" t="str">
        <f>[5]人員・時間計画!$B$5</f>
        <v>トナー製造課</v>
      </c>
      <c r="C72" s="185" t="s">
        <v>202</v>
      </c>
      <c r="D72" s="201" t="s">
        <v>195</v>
      </c>
      <c r="E72" s="192" t="s">
        <v>140</v>
      </c>
      <c r="F72" s="182">
        <f>[5]人員・時間計画!C19</f>
        <v>46065</v>
      </c>
      <c r="G72" s="182">
        <f>[5]人員・時間計画!D19</f>
        <v>41877</v>
      </c>
      <c r="H72" s="182">
        <f>[5]人員・時間計画!E19</f>
        <v>46220</v>
      </c>
      <c r="I72" s="182">
        <f>[5]人員・時間計画!F19</f>
        <v>50421</v>
      </c>
      <c r="J72" s="182">
        <f>[5]人員・時間計画!G19</f>
        <v>47461</v>
      </c>
      <c r="K72" s="182">
        <f>[5]人員・時間計画!H19</f>
        <v>40608</v>
      </c>
      <c r="L72" s="182">
        <f>[5]人員・時間計画!I19</f>
        <v>53129</v>
      </c>
      <c r="M72" s="182">
        <f>[5]人員・時間計画!J19</f>
        <v>48701</v>
      </c>
      <c r="N72" s="182">
        <f>[5]人員・時間計画!K19</f>
        <v>50915</v>
      </c>
      <c r="O72" s="182">
        <f>[5]人員・時間計画!L19</f>
        <v>48701</v>
      </c>
      <c r="P72" s="182">
        <f>[5]人員・時間計画!M19</f>
        <v>36547</v>
      </c>
      <c r="Q72" s="182">
        <f>[5]人員・時間計画!N19</f>
        <v>47969</v>
      </c>
    </row>
    <row r="73" spans="1:17" ht="14.5" hidden="1" thickBot="1">
      <c r="A73">
        <f>[5]人員・時間計画!$A$5</f>
        <v>1412000034</v>
      </c>
      <c r="B73" t="str">
        <f>[5]人員・時間計画!$B$5</f>
        <v>トナー製造課</v>
      </c>
      <c r="C73" s="185" t="s">
        <v>202</v>
      </c>
      <c r="D73" s="202"/>
      <c r="E73" s="203" t="s">
        <v>138</v>
      </c>
      <c r="F73" s="182">
        <f>[5]人員・時間計画!C20</f>
        <v>49521</v>
      </c>
      <c r="G73" s="182">
        <f>[5]人員・時間計画!D20</f>
        <v>45077</v>
      </c>
      <c r="H73" s="182">
        <f>[5]人員・時間計画!E20</f>
        <v>49748</v>
      </c>
      <c r="I73" s="182">
        <f>[5]人員・時間計画!F20</f>
        <v>54275</v>
      </c>
      <c r="J73" s="182">
        <f>[5]人員・時間計画!G20</f>
        <v>50917</v>
      </c>
      <c r="K73" s="182">
        <f>[5]人員・時間計画!H20</f>
        <v>43808</v>
      </c>
      <c r="L73" s="182">
        <f>[5]人員・時間計画!I20</f>
        <v>56983</v>
      </c>
      <c r="M73" s="182">
        <f>[5]人員・時間計画!J20</f>
        <v>52157</v>
      </c>
      <c r="N73" s="182">
        <f>[5]人員・時間計画!K20</f>
        <v>54606</v>
      </c>
      <c r="O73" s="182">
        <f>[5]人員・時間計画!L20</f>
        <v>52157</v>
      </c>
      <c r="P73" s="182">
        <f>[5]人員・時間計画!M20</f>
        <v>39093</v>
      </c>
      <c r="Q73" s="182">
        <f>[5]人員・時間計画!N20</f>
        <v>51333</v>
      </c>
    </row>
    <row r="74" spans="1:17" ht="14.5" hidden="1" thickBot="1">
      <c r="A74">
        <f>[5]人員・時間計画!$A$5</f>
        <v>1412000034</v>
      </c>
      <c r="B74" t="str">
        <f>[5]人員・時間計画!$B$5</f>
        <v>トナー製造課</v>
      </c>
      <c r="C74" s="185" t="s">
        <v>202</v>
      </c>
      <c r="D74" s="204" t="s">
        <v>215</v>
      </c>
      <c r="E74" s="205"/>
      <c r="F74" s="182">
        <f>[5]人員・時間計画!C21</f>
        <v>49691</v>
      </c>
      <c r="G74" s="182">
        <f>[5]人員・時間計画!D21</f>
        <v>45238.5</v>
      </c>
      <c r="H74" s="182">
        <f>[5]人員・時間計画!E21</f>
        <v>49926.5</v>
      </c>
      <c r="I74" s="182">
        <f>[5]人員・時間計画!F21</f>
        <v>54470.5</v>
      </c>
      <c r="J74" s="182">
        <f>[5]人員・時間計画!G21</f>
        <v>51087</v>
      </c>
      <c r="K74" s="182">
        <f>[5]人員・時間計画!H21</f>
        <v>43969.5</v>
      </c>
      <c r="L74" s="182">
        <f>[5]人員・時間計画!I21</f>
        <v>57178.5</v>
      </c>
      <c r="M74" s="182">
        <f>[5]人員・時間計画!J21</f>
        <v>52327</v>
      </c>
      <c r="N74" s="182">
        <f>[5]人員・時間計画!K21</f>
        <v>54793</v>
      </c>
      <c r="O74" s="182">
        <f>[5]人員・時間計画!L21</f>
        <v>52327</v>
      </c>
      <c r="P74" s="182">
        <f>[5]人員・時間計画!M21</f>
        <v>39220.5</v>
      </c>
      <c r="Q74" s="182">
        <f>[5]人員・時間計画!N21</f>
        <v>51503</v>
      </c>
    </row>
    <row r="75" spans="1:17" ht="14.5" hidden="1" thickBot="1">
      <c r="A75">
        <f>[5]人員・時間計画!$A$5</f>
        <v>1412000034</v>
      </c>
      <c r="B75" t="str">
        <f>[5]人員・時間計画!$B$5</f>
        <v>トナー製造課</v>
      </c>
      <c r="D75" s="197"/>
      <c r="E75" s="197"/>
    </row>
    <row r="76" spans="1:17" ht="14.5" hidden="1" thickBot="1">
      <c r="A76">
        <f>[5]人員・時間計画!$A$5</f>
        <v>1412000034</v>
      </c>
      <c r="B76" t="str">
        <f>[5]人員・時間計画!$B$5</f>
        <v>トナー製造課</v>
      </c>
      <c r="C76" s="185" t="s">
        <v>71</v>
      </c>
      <c r="D76" s="185" t="s">
        <v>71</v>
      </c>
      <c r="E76" s="186"/>
    </row>
    <row r="77" spans="1:17" ht="14.5" hidden="1" thickBot="1">
      <c r="A77">
        <f>[5]人員・時間計画!$A$5</f>
        <v>1412000034</v>
      </c>
      <c r="B77" t="str">
        <f>[5]人員・時間計画!$B$5</f>
        <v>トナー製造課</v>
      </c>
      <c r="C77" s="185" t="s">
        <v>71</v>
      </c>
      <c r="D77" s="198" t="s">
        <v>194</v>
      </c>
      <c r="E77" s="199"/>
      <c r="F77" s="182">
        <f>[5]人員・時間計画!C24</f>
        <v>40</v>
      </c>
      <c r="G77" s="182">
        <f>[5]人員・時間計画!D24</f>
        <v>38</v>
      </c>
      <c r="H77" s="182">
        <f>[5]人員・時間計画!E24</f>
        <v>42</v>
      </c>
      <c r="I77" s="182">
        <f>[5]人員・時間計画!F24</f>
        <v>46</v>
      </c>
      <c r="J77" s="182">
        <f>[5]人員・時間計画!G24</f>
        <v>40</v>
      </c>
      <c r="K77" s="182">
        <f>[5]人員・時間計画!H24</f>
        <v>38</v>
      </c>
      <c r="L77" s="182">
        <f>[5]人員・時間計画!I24</f>
        <v>46</v>
      </c>
      <c r="M77" s="182">
        <f>[5]人員・時間計画!J24</f>
        <v>40</v>
      </c>
      <c r="N77" s="182">
        <f>[5]人員・時間計画!K24</f>
        <v>44</v>
      </c>
      <c r="O77" s="182">
        <f>[5]人員・時間計画!L24</f>
        <v>40</v>
      </c>
      <c r="P77" s="182">
        <f>[5]人員・時間計画!M24</f>
        <v>30</v>
      </c>
      <c r="Q77" s="182">
        <f>[5]人員・時間計画!N24</f>
        <v>40</v>
      </c>
    </row>
    <row r="78" spans="1:17" ht="14.5" hidden="1" thickBot="1">
      <c r="A78">
        <f>[5]人員・時間計画!$A$5</f>
        <v>1412000034</v>
      </c>
      <c r="B78" t="str">
        <f>[5]人員・時間計画!$B$5</f>
        <v>トナー製造課</v>
      </c>
      <c r="C78" s="185" t="s">
        <v>71</v>
      </c>
      <c r="D78" s="200"/>
      <c r="E78" s="206" t="s">
        <v>139</v>
      </c>
      <c r="F78" s="182">
        <f>[5]人員・時間計画!C25</f>
        <v>76</v>
      </c>
      <c r="G78" s="182">
        <f>[5]人員・時間計画!D25</f>
        <v>104</v>
      </c>
      <c r="H78" s="182">
        <f>[5]人員・時間計画!E25</f>
        <v>112</v>
      </c>
      <c r="I78" s="182">
        <f>[5]人員・時間計画!F25</f>
        <v>184</v>
      </c>
      <c r="J78" s="182">
        <f>[5]人員・時間計画!G25</f>
        <v>132</v>
      </c>
      <c r="K78" s="182">
        <f>[5]人員・時間計画!H25</f>
        <v>136</v>
      </c>
      <c r="L78" s="182">
        <f>[5]人員・時間計画!I25</f>
        <v>160</v>
      </c>
      <c r="M78" s="182">
        <f>[5]人員・時間計画!J25</f>
        <v>164</v>
      </c>
      <c r="N78" s="182">
        <f>[5]人員・時間計画!K25</f>
        <v>132</v>
      </c>
      <c r="O78" s="182">
        <f>[5]人員・時間計画!L25</f>
        <v>180</v>
      </c>
      <c r="P78" s="182">
        <f>[5]人員・時間計画!M25</f>
        <v>136</v>
      </c>
      <c r="Q78" s="182">
        <f>[5]人員・時間計画!N25</f>
        <v>124</v>
      </c>
    </row>
    <row r="79" spans="1:17" ht="14.5" thickBot="1">
      <c r="A79">
        <f>[5]人員・時間計画!$A$5</f>
        <v>1412000034</v>
      </c>
      <c r="B79" t="str">
        <f>[5]人員・時間計画!$B$5</f>
        <v>トナー製造課</v>
      </c>
      <c r="C79" s="185" t="s">
        <v>71</v>
      </c>
      <c r="D79" s="201" t="s">
        <v>195</v>
      </c>
      <c r="E79" s="207" t="s">
        <v>140</v>
      </c>
      <c r="F79" s="182">
        <f>[5]人員・時間計画!C26</f>
        <v>0</v>
      </c>
      <c r="G79" s="182">
        <f>[5]人員・時間計画!D26</f>
        <v>720</v>
      </c>
      <c r="H79" s="182">
        <f>[5]人員・時間計画!E26</f>
        <v>304</v>
      </c>
      <c r="I79" s="182">
        <f>[5]人員・時間計画!F26</f>
        <v>2384</v>
      </c>
      <c r="J79" s="182">
        <f>[5]人員・時間計画!G26</f>
        <v>1240</v>
      </c>
      <c r="K79" s="182">
        <f>[5]人員・時間計画!H26</f>
        <v>2064</v>
      </c>
      <c r="L79" s="182">
        <f>[5]人員・時間計画!I26</f>
        <v>1656</v>
      </c>
      <c r="M79" s="182">
        <f>[5]人員・時間計画!J26</f>
        <v>1352</v>
      </c>
      <c r="N79" s="182">
        <f>[5]人員・時間計画!K26</f>
        <v>1248</v>
      </c>
      <c r="O79" s="182">
        <f>[5]人員・時間計画!L26</f>
        <v>2376</v>
      </c>
      <c r="P79" s="182">
        <f>[5]人員・時間計画!M26</f>
        <v>1968</v>
      </c>
      <c r="Q79" s="182">
        <f>[5]人員・時間計画!N26</f>
        <v>936</v>
      </c>
    </row>
    <row r="80" spans="1:17" ht="14.5" hidden="1" thickBot="1">
      <c r="A80">
        <f>[5]人員・時間計画!$A$5</f>
        <v>1412000034</v>
      </c>
      <c r="B80" t="str">
        <f>[5]人員・時間計画!$B$5</f>
        <v>トナー製造課</v>
      </c>
      <c r="C80" s="185" t="s">
        <v>71</v>
      </c>
      <c r="D80" s="202"/>
      <c r="E80" s="203" t="s">
        <v>138</v>
      </c>
      <c r="F80" s="182">
        <f>[5]人員・時間計画!C27</f>
        <v>76</v>
      </c>
      <c r="G80" s="182">
        <f>[5]人員・時間計画!D27</f>
        <v>824</v>
      </c>
      <c r="H80" s="182">
        <f>[5]人員・時間計画!E27</f>
        <v>416</v>
      </c>
      <c r="I80" s="182">
        <f>[5]人員・時間計画!F27</f>
        <v>2568</v>
      </c>
      <c r="J80" s="182">
        <f>[5]人員・時間計画!G27</f>
        <v>1372</v>
      </c>
      <c r="K80" s="182">
        <f>[5]人員・時間計画!H27</f>
        <v>2200</v>
      </c>
      <c r="L80" s="182">
        <f>[5]人員・時間計画!I27</f>
        <v>1816</v>
      </c>
      <c r="M80" s="182">
        <f>[5]人員・時間計画!J27</f>
        <v>1516</v>
      </c>
      <c r="N80" s="182">
        <f>[5]人員・時間計画!K27</f>
        <v>1380</v>
      </c>
      <c r="O80" s="182">
        <f>[5]人員・時間計画!L27</f>
        <v>2556</v>
      </c>
      <c r="P80" s="182">
        <f>[5]人員・時間計画!M27</f>
        <v>2104</v>
      </c>
      <c r="Q80" s="182">
        <f>[5]人員・時間計画!N27</f>
        <v>1060</v>
      </c>
    </row>
    <row r="81" spans="1:17" ht="14.5" hidden="1" thickBot="1">
      <c r="A81">
        <f>[5]人員・時間計画!$A$5</f>
        <v>1412000034</v>
      </c>
      <c r="B81" t="str">
        <f>[5]人員・時間計画!$B$5</f>
        <v>トナー製造課</v>
      </c>
      <c r="C81" s="185" t="s">
        <v>71</v>
      </c>
      <c r="D81" s="204" t="s">
        <v>216</v>
      </c>
      <c r="E81" s="205"/>
      <c r="F81" s="182">
        <f>[5]人員・時間計画!C28</f>
        <v>116</v>
      </c>
      <c r="G81" s="182">
        <f>[5]人員・時間計画!D28</f>
        <v>862</v>
      </c>
      <c r="H81" s="182">
        <f>[5]人員・時間計画!E28</f>
        <v>458</v>
      </c>
      <c r="I81" s="182">
        <f>[5]人員・時間計画!F28</f>
        <v>2614</v>
      </c>
      <c r="J81" s="182">
        <f>[5]人員・時間計画!G28</f>
        <v>1412</v>
      </c>
      <c r="K81" s="182">
        <f>[5]人員・時間計画!H28</f>
        <v>2238</v>
      </c>
      <c r="L81" s="182">
        <f>[5]人員・時間計画!I28</f>
        <v>1862</v>
      </c>
      <c r="M81" s="182">
        <f>[5]人員・時間計画!J28</f>
        <v>1556</v>
      </c>
      <c r="N81" s="182">
        <f>[5]人員・時間計画!K28</f>
        <v>1424</v>
      </c>
      <c r="O81" s="182">
        <f>[5]人員・時間計画!L28</f>
        <v>2596</v>
      </c>
      <c r="P81" s="182">
        <f>[5]人員・時間計画!M28</f>
        <v>2134</v>
      </c>
      <c r="Q81" s="182">
        <f>[5]人員・時間計画!N28</f>
        <v>1100</v>
      </c>
    </row>
    <row r="82" spans="1:17" ht="14.5" hidden="1" thickBot="1">
      <c r="A82">
        <f>[18]人員・時間計画!$A$5</f>
        <v>1412000048</v>
      </c>
      <c r="B82" t="str">
        <f>[18]人員・時間計画!$B$5</f>
        <v>トナー生産技術課</v>
      </c>
      <c r="C82" s="185" t="s">
        <v>3</v>
      </c>
      <c r="D82" s="185" t="s">
        <v>3</v>
      </c>
      <c r="E82" s="186"/>
    </row>
    <row r="83" spans="1:17" ht="14.5" hidden="1" thickBot="1">
      <c r="A83">
        <f>[18]人員・時間計画!$A$5</f>
        <v>1412000048</v>
      </c>
      <c r="B83" t="str">
        <f>[18]人員・時間計画!$B$5</f>
        <v>トナー生産技術課</v>
      </c>
      <c r="C83" s="185" t="s">
        <v>3</v>
      </c>
      <c r="D83" s="187" t="s">
        <v>194</v>
      </c>
      <c r="E83" s="188"/>
      <c r="F83" s="214">
        <f>[18]人員・時間計画!C10</f>
        <v>0</v>
      </c>
      <c r="G83" s="214">
        <f>[18]人員・時間計画!D10</f>
        <v>0</v>
      </c>
      <c r="H83" s="214">
        <f>[18]人員・時間計画!E10</f>
        <v>0</v>
      </c>
      <c r="I83" s="214">
        <f>[18]人員・時間計画!F10</f>
        <v>0</v>
      </c>
      <c r="J83" s="214">
        <f>[18]人員・時間計画!G10</f>
        <v>0</v>
      </c>
      <c r="K83" s="214">
        <f>[18]人員・時間計画!H10</f>
        <v>0</v>
      </c>
      <c r="L83" s="214">
        <f>[18]人員・時間計画!I10</f>
        <v>0</v>
      </c>
      <c r="M83" s="214">
        <f>[18]人員・時間計画!J10</f>
        <v>0</v>
      </c>
      <c r="N83" s="214">
        <f>[18]人員・時間計画!K10</f>
        <v>0</v>
      </c>
      <c r="O83" s="214">
        <f>[18]人員・時間計画!L10</f>
        <v>0</v>
      </c>
      <c r="P83" s="214">
        <f>[18]人員・時間計画!M10</f>
        <v>0</v>
      </c>
      <c r="Q83" s="214">
        <f>[18]人員・時間計画!N10</f>
        <v>0</v>
      </c>
    </row>
    <row r="84" spans="1:17" ht="14.5" hidden="1" thickBot="1">
      <c r="A84">
        <f>[18]人員・時間計画!$A$5</f>
        <v>1412000048</v>
      </c>
      <c r="B84" t="str">
        <f>[18]人員・時間計画!$B$5</f>
        <v>トナー生産技術課</v>
      </c>
      <c r="C84" s="185" t="s">
        <v>3</v>
      </c>
      <c r="D84" s="189"/>
      <c r="E84" s="190" t="s">
        <v>139</v>
      </c>
      <c r="F84" s="214">
        <f>[18]人員・時間計画!C11</f>
        <v>14</v>
      </c>
      <c r="G84" s="214">
        <f>[18]人員・時間計画!D11</f>
        <v>14</v>
      </c>
      <c r="H84" s="214">
        <f>[18]人員・時間計画!E11</f>
        <v>14</v>
      </c>
      <c r="I84" s="214">
        <f>[18]人員・時間計画!F11</f>
        <v>14</v>
      </c>
      <c r="J84" s="214">
        <f>[18]人員・時間計画!G11</f>
        <v>14</v>
      </c>
      <c r="K84" s="214">
        <f>[18]人員・時間計画!H11</f>
        <v>14</v>
      </c>
      <c r="L84" s="214">
        <f>[18]人員・時間計画!I11</f>
        <v>14</v>
      </c>
      <c r="M84" s="214">
        <f>[18]人員・時間計画!J11</f>
        <v>14</v>
      </c>
      <c r="N84" s="214">
        <f>[18]人員・時間計画!K11</f>
        <v>14</v>
      </c>
      <c r="O84" s="214">
        <f>[18]人員・時間計画!L11</f>
        <v>14</v>
      </c>
      <c r="P84" s="214">
        <f>[18]人員・時間計画!M11</f>
        <v>14</v>
      </c>
      <c r="Q84" s="214">
        <f>[18]人員・時間計画!N11</f>
        <v>14</v>
      </c>
    </row>
    <row r="85" spans="1:17" ht="14.5" thickBot="1">
      <c r="A85">
        <f>[18]人員・時間計画!$A$5</f>
        <v>1412000048</v>
      </c>
      <c r="B85" t="str">
        <f>[18]人員・時間計画!$B$5</f>
        <v>トナー生産技術課</v>
      </c>
      <c r="C85" s="185" t="s">
        <v>3</v>
      </c>
      <c r="D85" s="191" t="s">
        <v>195</v>
      </c>
      <c r="E85" s="192" t="s">
        <v>140</v>
      </c>
      <c r="F85" s="214">
        <f>[18]人員・時間計画!C12</f>
        <v>10</v>
      </c>
      <c r="G85" s="214">
        <f>[18]人員・時間計画!D12</f>
        <v>10</v>
      </c>
      <c r="H85" s="214">
        <f>[18]人員・時間計画!E12</f>
        <v>11</v>
      </c>
      <c r="I85" s="214">
        <f>[18]人員・時間計画!F12</f>
        <v>11</v>
      </c>
      <c r="J85" s="214">
        <f>[18]人員・時間計画!G12</f>
        <v>11</v>
      </c>
      <c r="K85" s="214">
        <f>[18]人員・時間計画!H12</f>
        <v>11</v>
      </c>
      <c r="L85" s="214">
        <f>[18]人員・時間計画!I12</f>
        <v>11</v>
      </c>
      <c r="M85" s="214">
        <f>[18]人員・時間計画!J12</f>
        <v>11</v>
      </c>
      <c r="N85" s="214">
        <f>[18]人員・時間計画!K12</f>
        <v>11</v>
      </c>
      <c r="O85" s="214">
        <f>[18]人員・時間計画!L12</f>
        <v>11</v>
      </c>
      <c r="P85" s="214">
        <f>[18]人員・時間計画!M12</f>
        <v>11</v>
      </c>
      <c r="Q85" s="214">
        <f>[18]人員・時間計画!N12</f>
        <v>11</v>
      </c>
    </row>
    <row r="86" spans="1:17" ht="14.5" hidden="1" thickBot="1">
      <c r="A86">
        <f>[18]人員・時間計画!$A$5</f>
        <v>1412000048</v>
      </c>
      <c r="B86" t="str">
        <f>[18]人員・時間計画!$B$5</f>
        <v>トナー生産技術課</v>
      </c>
      <c r="C86" s="185" t="s">
        <v>3</v>
      </c>
      <c r="D86" s="193"/>
      <c r="E86" s="194" t="s">
        <v>138</v>
      </c>
      <c r="F86" s="214">
        <f>[18]人員・時間計画!C13</f>
        <v>24</v>
      </c>
      <c r="G86" s="214">
        <f>[18]人員・時間計画!D13</f>
        <v>24</v>
      </c>
      <c r="H86" s="214">
        <f>[18]人員・時間計画!E13</f>
        <v>25</v>
      </c>
      <c r="I86" s="214">
        <f>[18]人員・時間計画!F13</f>
        <v>25</v>
      </c>
      <c r="J86" s="214">
        <f>[18]人員・時間計画!G13</f>
        <v>25</v>
      </c>
      <c r="K86" s="214">
        <f>[18]人員・時間計画!H13</f>
        <v>25</v>
      </c>
      <c r="L86" s="214">
        <f>[18]人員・時間計画!I13</f>
        <v>25</v>
      </c>
      <c r="M86" s="214">
        <f>[18]人員・時間計画!J13</f>
        <v>25</v>
      </c>
      <c r="N86" s="214">
        <f>[18]人員・時間計画!K13</f>
        <v>25</v>
      </c>
      <c r="O86" s="214">
        <f>[18]人員・時間計画!L13</f>
        <v>25</v>
      </c>
      <c r="P86" s="214">
        <f>[18]人員・時間計画!M13</f>
        <v>25</v>
      </c>
      <c r="Q86" s="214">
        <f>[18]人員・時間計画!N13</f>
        <v>25</v>
      </c>
    </row>
    <row r="87" spans="1:17" ht="14.5" hidden="1" thickBot="1">
      <c r="A87">
        <f>[18]人員・時間計画!$A$5</f>
        <v>1412000048</v>
      </c>
      <c r="B87" t="str">
        <f>[18]人員・時間計画!$B$5</f>
        <v>トナー生産技術課</v>
      </c>
      <c r="C87" s="185" t="s">
        <v>3</v>
      </c>
      <c r="D87" s="195" t="s">
        <v>196</v>
      </c>
      <c r="E87" s="196"/>
      <c r="F87" s="214">
        <f>[18]人員・時間計画!C14</f>
        <v>24</v>
      </c>
      <c r="G87" s="214">
        <f>[18]人員・時間計画!D14</f>
        <v>24</v>
      </c>
      <c r="H87" s="214">
        <f>[18]人員・時間計画!E14</f>
        <v>25</v>
      </c>
      <c r="I87" s="214">
        <f>[18]人員・時間計画!F14</f>
        <v>25</v>
      </c>
      <c r="J87" s="214">
        <f>[18]人員・時間計画!G14</f>
        <v>25</v>
      </c>
      <c r="K87" s="214">
        <f>[18]人員・時間計画!H14</f>
        <v>25</v>
      </c>
      <c r="L87" s="214">
        <f>[18]人員・時間計画!I14</f>
        <v>25</v>
      </c>
      <c r="M87" s="214">
        <f>[18]人員・時間計画!J14</f>
        <v>25</v>
      </c>
      <c r="N87" s="214">
        <f>[18]人員・時間計画!K14</f>
        <v>25</v>
      </c>
      <c r="O87" s="214">
        <f>[18]人員・時間計画!L14</f>
        <v>25</v>
      </c>
      <c r="P87" s="214">
        <f>[18]人員・時間計画!M14</f>
        <v>25</v>
      </c>
      <c r="Q87" s="214">
        <f>[18]人員・時間計画!N14</f>
        <v>25</v>
      </c>
    </row>
    <row r="88" spans="1:17" ht="14.5" hidden="1" thickBot="1">
      <c r="A88">
        <f>[18]人員・時間計画!$A$5</f>
        <v>1412000048</v>
      </c>
      <c r="B88" t="str">
        <f>[18]人員・時間計画!$B$5</f>
        <v>トナー生産技術課</v>
      </c>
      <c r="D88" s="197"/>
      <c r="E88" s="197"/>
    </row>
    <row r="89" spans="1:17" ht="14.5" hidden="1" thickBot="1">
      <c r="A89">
        <f>[18]人員・時間計画!$A$5</f>
        <v>1412000048</v>
      </c>
      <c r="B89" t="str">
        <f>[18]人員・時間計画!$B$5</f>
        <v>トナー生産技術課</v>
      </c>
      <c r="C89" s="185" t="s">
        <v>202</v>
      </c>
      <c r="D89" s="185" t="s">
        <v>202</v>
      </c>
      <c r="E89" s="186"/>
    </row>
    <row r="90" spans="1:17" ht="14.5" hidden="1" thickBot="1">
      <c r="A90">
        <f>[18]人員・時間計画!$A$5</f>
        <v>1412000048</v>
      </c>
      <c r="B90" t="str">
        <f>[18]人員・時間計画!$B$5</f>
        <v>トナー生産技術課</v>
      </c>
      <c r="C90" s="185" t="s">
        <v>202</v>
      </c>
      <c r="D90" s="198" t="s">
        <v>194</v>
      </c>
      <c r="E90" s="199"/>
      <c r="F90" s="182">
        <f>[18]人員・時間計画!C17</f>
        <v>0</v>
      </c>
      <c r="G90" s="182">
        <f>[18]人員・時間計画!D17</f>
        <v>0</v>
      </c>
      <c r="H90" s="182">
        <f>[18]人員・時間計画!E17</f>
        <v>0</v>
      </c>
      <c r="I90" s="182">
        <f>[18]人員・時間計画!F17</f>
        <v>0</v>
      </c>
      <c r="J90" s="182">
        <f>[18]人員・時間計画!G17</f>
        <v>0</v>
      </c>
      <c r="K90" s="182">
        <f>[18]人員・時間計画!H17</f>
        <v>0</v>
      </c>
      <c r="L90" s="182">
        <f>[18]人員・時間計画!I17</f>
        <v>0</v>
      </c>
      <c r="M90" s="182">
        <f>[18]人員・時間計画!J17</f>
        <v>0</v>
      </c>
      <c r="N90" s="182">
        <f>[18]人員・時間計画!K17</f>
        <v>0</v>
      </c>
      <c r="O90" s="182">
        <f>[18]人員・時間計画!L17</f>
        <v>0</v>
      </c>
      <c r="P90" s="182">
        <f>[18]人員・時間計画!M17</f>
        <v>0</v>
      </c>
      <c r="Q90" s="182">
        <f>[18]人員・時間計画!N17</f>
        <v>0</v>
      </c>
    </row>
    <row r="91" spans="1:17" ht="14.5" hidden="1" thickBot="1">
      <c r="A91">
        <f>[18]人員・時間計画!$A$5</f>
        <v>1412000048</v>
      </c>
      <c r="B91" t="str">
        <f>[18]人員・時間計画!$B$5</f>
        <v>トナー生産技術課</v>
      </c>
      <c r="C91" s="185" t="s">
        <v>202</v>
      </c>
      <c r="D91" s="200"/>
      <c r="E91" s="190" t="s">
        <v>139</v>
      </c>
      <c r="F91" s="182">
        <f>[18]人員・時間計画!C18</f>
        <v>2275</v>
      </c>
      <c r="G91" s="182">
        <f>[18]人員・時間計画!D18</f>
        <v>2148</v>
      </c>
      <c r="H91" s="182">
        <f>[18]人員・時間計画!E18</f>
        <v>2373</v>
      </c>
      <c r="I91" s="182">
        <f>[18]人員・時間計画!F18</f>
        <v>2598</v>
      </c>
      <c r="J91" s="182">
        <f>[18]人員・時間計画!G18</f>
        <v>2275</v>
      </c>
      <c r="K91" s="182">
        <f>[18]人員・時間計画!H18</f>
        <v>2148</v>
      </c>
      <c r="L91" s="182">
        <f>[18]人員・時間計画!I18</f>
        <v>2598</v>
      </c>
      <c r="M91" s="182">
        <f>[18]人員・時間計画!J18</f>
        <v>2275</v>
      </c>
      <c r="N91" s="182">
        <f>[18]人員・時間計画!K18</f>
        <v>2485</v>
      </c>
      <c r="O91" s="182">
        <f>[18]人員・時間計画!L18</f>
        <v>2275</v>
      </c>
      <c r="P91" s="182">
        <f>[18]人員・時間計画!M18</f>
        <v>1699</v>
      </c>
      <c r="Q91" s="182">
        <f>[18]人員・時間計画!N18</f>
        <v>2261</v>
      </c>
    </row>
    <row r="92" spans="1:17" ht="14.5" thickBot="1">
      <c r="A92">
        <f>[18]人員・時間計画!$A$5</f>
        <v>1412000048</v>
      </c>
      <c r="B92" t="str">
        <f>[18]人員・時間計画!$B$5</f>
        <v>トナー生産技術課</v>
      </c>
      <c r="C92" s="185" t="s">
        <v>202</v>
      </c>
      <c r="D92" s="201" t="s">
        <v>195</v>
      </c>
      <c r="E92" s="192" t="s">
        <v>140</v>
      </c>
      <c r="F92" s="182">
        <f>[18]人員・時間計画!C19</f>
        <v>1584</v>
      </c>
      <c r="G92" s="182">
        <f>[18]人員・時間計画!D19</f>
        <v>1440</v>
      </c>
      <c r="H92" s="182">
        <f>[18]人員・時間計画!E19</f>
        <v>1742</v>
      </c>
      <c r="I92" s="182">
        <f>[18]人員・時間計画!F19</f>
        <v>1901</v>
      </c>
      <c r="J92" s="182">
        <f>[18]人員・時間計画!G19</f>
        <v>1742</v>
      </c>
      <c r="K92" s="182">
        <f>[18]人員・時間計画!H19</f>
        <v>1584</v>
      </c>
      <c r="L92" s="182">
        <f>[18]人員・時間計画!I19</f>
        <v>1901</v>
      </c>
      <c r="M92" s="182">
        <f>[18]人員・時間計画!J19</f>
        <v>1742</v>
      </c>
      <c r="N92" s="182">
        <f>[18]人員・時間計画!K19</f>
        <v>1822</v>
      </c>
      <c r="O92" s="182">
        <f>[18]人員・時間計画!L19</f>
        <v>1742</v>
      </c>
      <c r="P92" s="182">
        <f>[18]人員・時間計画!M19</f>
        <v>1267</v>
      </c>
      <c r="Q92" s="182">
        <f>[18]人員・時間計画!N19</f>
        <v>1663</v>
      </c>
    </row>
    <row r="93" spans="1:17" ht="14.5" hidden="1" thickBot="1">
      <c r="A93">
        <f>[18]人員・時間計画!$A$5</f>
        <v>1412000048</v>
      </c>
      <c r="B93" t="str">
        <f>[18]人員・時間計画!$B$5</f>
        <v>トナー生産技術課</v>
      </c>
      <c r="C93" s="185" t="s">
        <v>202</v>
      </c>
      <c r="D93" s="202"/>
      <c r="E93" s="203" t="s">
        <v>138</v>
      </c>
      <c r="F93" s="182">
        <f>[18]人員・時間計画!C20</f>
        <v>3859</v>
      </c>
      <c r="G93" s="182">
        <f>[18]人員・時間計画!D20</f>
        <v>3588</v>
      </c>
      <c r="H93" s="182">
        <f>[18]人員・時間計画!E20</f>
        <v>4115</v>
      </c>
      <c r="I93" s="182">
        <f>[18]人員・時間計画!F20</f>
        <v>4499</v>
      </c>
      <c r="J93" s="182">
        <f>[18]人員・時間計画!G20</f>
        <v>4017</v>
      </c>
      <c r="K93" s="182">
        <f>[18]人員・時間計画!H20</f>
        <v>3732</v>
      </c>
      <c r="L93" s="182">
        <f>[18]人員・時間計画!I20</f>
        <v>4499</v>
      </c>
      <c r="M93" s="182">
        <f>[18]人員・時間計画!J20</f>
        <v>4017</v>
      </c>
      <c r="N93" s="182">
        <f>[18]人員・時間計画!K20</f>
        <v>4307</v>
      </c>
      <c r="O93" s="182">
        <f>[18]人員・時間計画!L20</f>
        <v>4017</v>
      </c>
      <c r="P93" s="182">
        <f>[18]人員・時間計画!M20</f>
        <v>2966</v>
      </c>
      <c r="Q93" s="182">
        <f>[18]人員・時間計画!N20</f>
        <v>3924</v>
      </c>
    </row>
    <row r="94" spans="1:17" ht="14.5" hidden="1" thickBot="1">
      <c r="A94">
        <f>[18]人員・時間計画!$A$5</f>
        <v>1412000048</v>
      </c>
      <c r="B94" t="str">
        <f>[18]人員・時間計画!$B$5</f>
        <v>トナー生産技術課</v>
      </c>
      <c r="C94" s="185" t="s">
        <v>202</v>
      </c>
      <c r="D94" s="204" t="s">
        <v>215</v>
      </c>
      <c r="E94" s="205"/>
      <c r="F94" s="182">
        <f>[18]人員・時間計画!C21</f>
        <v>3859</v>
      </c>
      <c r="G94" s="182">
        <f>[18]人員・時間計画!D21</f>
        <v>3588</v>
      </c>
      <c r="H94" s="182">
        <f>[18]人員・時間計画!E21</f>
        <v>4115</v>
      </c>
      <c r="I94" s="182">
        <f>[18]人員・時間計画!F21</f>
        <v>4499</v>
      </c>
      <c r="J94" s="182">
        <f>[18]人員・時間計画!G21</f>
        <v>4017</v>
      </c>
      <c r="K94" s="182">
        <f>[18]人員・時間計画!H21</f>
        <v>3732</v>
      </c>
      <c r="L94" s="182">
        <f>[18]人員・時間計画!I21</f>
        <v>4499</v>
      </c>
      <c r="M94" s="182">
        <f>[18]人員・時間計画!J21</f>
        <v>4017</v>
      </c>
      <c r="N94" s="182">
        <f>[18]人員・時間計画!K21</f>
        <v>4307</v>
      </c>
      <c r="O94" s="182">
        <f>[18]人員・時間計画!L21</f>
        <v>4017</v>
      </c>
      <c r="P94" s="182">
        <f>[18]人員・時間計画!M21</f>
        <v>2966</v>
      </c>
      <c r="Q94" s="182">
        <f>[18]人員・時間計画!N21</f>
        <v>3924</v>
      </c>
    </row>
    <row r="95" spans="1:17" ht="14.5" hidden="1" thickBot="1">
      <c r="A95">
        <f>[18]人員・時間計画!$A$5</f>
        <v>1412000048</v>
      </c>
      <c r="B95" t="str">
        <f>[18]人員・時間計画!$B$5</f>
        <v>トナー生産技術課</v>
      </c>
      <c r="D95" s="197"/>
      <c r="E95" s="197"/>
    </row>
    <row r="96" spans="1:17" ht="14.5" hidden="1" thickBot="1">
      <c r="A96">
        <f>[18]人員・時間計画!$A$5</f>
        <v>1412000048</v>
      </c>
      <c r="B96" t="str">
        <f>[18]人員・時間計画!$B$5</f>
        <v>トナー生産技術課</v>
      </c>
      <c r="C96" s="185" t="s">
        <v>71</v>
      </c>
      <c r="D96" s="185" t="s">
        <v>71</v>
      </c>
      <c r="E96" s="186"/>
    </row>
    <row r="97" spans="1:17" ht="14.5" hidden="1" thickBot="1">
      <c r="A97">
        <f>[18]人員・時間計画!$A$5</f>
        <v>1412000048</v>
      </c>
      <c r="B97" t="str">
        <f>[18]人員・時間計画!$B$5</f>
        <v>トナー生産技術課</v>
      </c>
      <c r="C97" s="185" t="s">
        <v>71</v>
      </c>
      <c r="D97" s="198" t="s">
        <v>194</v>
      </c>
      <c r="E97" s="199"/>
      <c r="F97" s="182">
        <f>[18]人員・時間計画!C24</f>
        <v>0</v>
      </c>
      <c r="G97" s="182">
        <f>[18]人員・時間計画!D24</f>
        <v>0</v>
      </c>
      <c r="H97" s="182">
        <f>[18]人員・時間計画!E24</f>
        <v>0</v>
      </c>
      <c r="I97" s="182">
        <f>[18]人員・時間計画!F24</f>
        <v>0</v>
      </c>
      <c r="J97" s="182">
        <f>[18]人員・時間計画!G24</f>
        <v>0</v>
      </c>
      <c r="K97" s="182">
        <f>[18]人員・時間計画!H24</f>
        <v>0</v>
      </c>
      <c r="L97" s="182">
        <f>[18]人員・時間計画!I24</f>
        <v>0</v>
      </c>
      <c r="M97" s="182">
        <f>[18]人員・時間計画!J24</f>
        <v>0</v>
      </c>
      <c r="N97" s="182">
        <f>[18]人員・時間計画!K24</f>
        <v>0</v>
      </c>
      <c r="O97" s="182">
        <f>[18]人員・時間計画!L24</f>
        <v>0</v>
      </c>
      <c r="P97" s="182">
        <f>[18]人員・時間計画!M24</f>
        <v>0</v>
      </c>
      <c r="Q97" s="182">
        <f>[18]人員・時間計画!N24</f>
        <v>0</v>
      </c>
    </row>
    <row r="98" spans="1:17" ht="14.5" hidden="1" thickBot="1">
      <c r="A98">
        <f>[18]人員・時間計画!$A$5</f>
        <v>1412000048</v>
      </c>
      <c r="B98" t="str">
        <f>[18]人員・時間計画!$B$5</f>
        <v>トナー生産技術課</v>
      </c>
      <c r="C98" s="185" t="s">
        <v>71</v>
      </c>
      <c r="D98" s="200"/>
      <c r="E98" s="206" t="s">
        <v>139</v>
      </c>
      <c r="F98" s="182">
        <f>[18]人員・時間計画!C25</f>
        <v>38</v>
      </c>
      <c r="G98" s="182">
        <f>[18]人員・時間計画!D25</f>
        <v>52</v>
      </c>
      <c r="H98" s="182">
        <f>[18]人員・時間計画!E25</f>
        <v>40</v>
      </c>
      <c r="I98" s="182">
        <f>[18]人員・時間計画!F25</f>
        <v>60</v>
      </c>
      <c r="J98" s="182">
        <f>[18]人員・時間計画!G25</f>
        <v>54</v>
      </c>
      <c r="K98" s="182">
        <f>[18]人員・時間計画!H25</f>
        <v>60</v>
      </c>
      <c r="L98" s="182">
        <f>[18]人員・時間計画!I25</f>
        <v>68</v>
      </c>
      <c r="M98" s="182">
        <f>[18]人員・時間計画!J25</f>
        <v>54</v>
      </c>
      <c r="N98" s="182">
        <f>[18]人員・時間計画!K25</f>
        <v>58</v>
      </c>
      <c r="O98" s="182">
        <f>[18]人員・時間計画!L25</f>
        <v>54</v>
      </c>
      <c r="P98" s="182">
        <f>[18]人員・時間計画!M25</f>
        <v>44</v>
      </c>
      <c r="Q98" s="182">
        <f>[18]人員・時間計画!N25</f>
        <v>54</v>
      </c>
    </row>
    <row r="99" spans="1:17" ht="14.5" thickBot="1">
      <c r="A99">
        <f>[18]人員・時間計画!$A$5</f>
        <v>1412000048</v>
      </c>
      <c r="B99" t="str">
        <f>[18]人員・時間計画!$B$5</f>
        <v>トナー生産技術課</v>
      </c>
      <c r="C99" s="185" t="s">
        <v>71</v>
      </c>
      <c r="D99" s="201" t="s">
        <v>195</v>
      </c>
      <c r="E99" s="207" t="s">
        <v>140</v>
      </c>
      <c r="F99" s="182">
        <f>[18]人員・時間計画!C26</f>
        <v>0</v>
      </c>
      <c r="G99" s="182">
        <f>[18]人員・時間計画!D26</f>
        <v>24</v>
      </c>
      <c r="H99" s="182">
        <f>[18]人員・時間計画!E26</f>
        <v>0</v>
      </c>
      <c r="I99" s="182">
        <f>[18]人員・時間計画!F26</f>
        <v>16</v>
      </c>
      <c r="J99" s="182">
        <f>[18]人員・時間計画!G26</f>
        <v>16</v>
      </c>
      <c r="K99" s="182">
        <f>[18]人員・時間計画!H26</f>
        <v>24</v>
      </c>
      <c r="L99" s="182">
        <f>[18]人員・時間計画!I26</f>
        <v>24</v>
      </c>
      <c r="M99" s="182">
        <f>[18]人員・時間計画!J26</f>
        <v>16</v>
      </c>
      <c r="N99" s="182">
        <f>[18]人員・時間計画!K26</f>
        <v>16</v>
      </c>
      <c r="O99" s="182">
        <f>[18]人員・時間計画!L26</f>
        <v>16</v>
      </c>
      <c r="P99" s="182">
        <f>[18]人員・時間計画!M26</f>
        <v>16</v>
      </c>
      <c r="Q99" s="182">
        <f>[18]人員・時間計画!N26</f>
        <v>16</v>
      </c>
    </row>
    <row r="100" spans="1:17" ht="14.5" hidden="1" thickBot="1">
      <c r="A100">
        <f>[18]人員・時間計画!$A$5</f>
        <v>1412000048</v>
      </c>
      <c r="B100" t="str">
        <f>[18]人員・時間計画!$B$5</f>
        <v>トナー生産技術課</v>
      </c>
      <c r="C100" s="185" t="s">
        <v>71</v>
      </c>
      <c r="D100" s="202"/>
      <c r="E100" s="203" t="s">
        <v>138</v>
      </c>
      <c r="F100" s="182">
        <f>[18]人員・時間計画!C27</f>
        <v>38</v>
      </c>
      <c r="G100" s="182">
        <f>[18]人員・時間計画!D27</f>
        <v>76</v>
      </c>
      <c r="H100" s="182">
        <f>[18]人員・時間計画!E27</f>
        <v>40</v>
      </c>
      <c r="I100" s="182">
        <f>[18]人員・時間計画!F27</f>
        <v>76</v>
      </c>
      <c r="J100" s="182">
        <f>[18]人員・時間計画!G27</f>
        <v>70</v>
      </c>
      <c r="K100" s="182">
        <f>[18]人員・時間計画!H27</f>
        <v>84</v>
      </c>
      <c r="L100" s="182">
        <f>[18]人員・時間計画!I27</f>
        <v>92</v>
      </c>
      <c r="M100" s="182">
        <f>[18]人員・時間計画!J27</f>
        <v>70</v>
      </c>
      <c r="N100" s="182">
        <f>[18]人員・時間計画!K27</f>
        <v>74</v>
      </c>
      <c r="O100" s="182">
        <f>[18]人員・時間計画!L27</f>
        <v>70</v>
      </c>
      <c r="P100" s="182">
        <f>[18]人員・時間計画!M27</f>
        <v>60</v>
      </c>
      <c r="Q100" s="182">
        <f>[18]人員・時間計画!N27</f>
        <v>70</v>
      </c>
    </row>
    <row r="101" spans="1:17" ht="14.5" hidden="1" thickBot="1">
      <c r="A101">
        <f>[18]人員・時間計画!$A$5</f>
        <v>1412000048</v>
      </c>
      <c r="B101" t="str">
        <f>[18]人員・時間計画!$B$5</f>
        <v>トナー生産技術課</v>
      </c>
      <c r="C101" s="185" t="s">
        <v>71</v>
      </c>
      <c r="D101" s="204" t="s">
        <v>216</v>
      </c>
      <c r="E101" s="205"/>
      <c r="F101" s="182">
        <f>[18]人員・時間計画!C28</f>
        <v>38</v>
      </c>
      <c r="G101" s="182">
        <f>[18]人員・時間計画!D28</f>
        <v>76</v>
      </c>
      <c r="H101" s="182">
        <f>[18]人員・時間計画!E28</f>
        <v>40</v>
      </c>
      <c r="I101" s="182">
        <f>[18]人員・時間計画!F28</f>
        <v>76</v>
      </c>
      <c r="J101" s="182">
        <f>[18]人員・時間計画!G28</f>
        <v>70</v>
      </c>
      <c r="K101" s="182">
        <f>[18]人員・時間計画!H28</f>
        <v>84</v>
      </c>
      <c r="L101" s="182">
        <f>[18]人員・時間計画!I28</f>
        <v>92</v>
      </c>
      <c r="M101" s="182">
        <f>[18]人員・時間計画!J28</f>
        <v>70</v>
      </c>
      <c r="N101" s="182">
        <f>[18]人員・時間計画!K28</f>
        <v>74</v>
      </c>
      <c r="O101" s="182">
        <f>[18]人員・時間計画!L28</f>
        <v>70</v>
      </c>
      <c r="P101" s="182">
        <f>[18]人員・時間計画!M28</f>
        <v>60</v>
      </c>
      <c r="Q101" s="182">
        <f>[18]人員・時間計画!N28</f>
        <v>70</v>
      </c>
    </row>
    <row r="102" spans="1:17" ht="14.5" hidden="1" thickBot="1">
      <c r="A102">
        <f>[20]人員・時間計画!$A$5</f>
        <v>1412000055</v>
      </c>
      <c r="B102" t="str">
        <f>[20]人員・時間計画!$B$5</f>
        <v>トナー品質管理課</v>
      </c>
      <c r="C102" s="185" t="s">
        <v>3</v>
      </c>
      <c r="D102" s="185" t="s">
        <v>3</v>
      </c>
      <c r="E102" s="186"/>
    </row>
    <row r="103" spans="1:17" ht="14.5" hidden="1" thickBot="1">
      <c r="A103">
        <f>[20]人員・時間計画!$A$5</f>
        <v>1412000055</v>
      </c>
      <c r="B103" t="str">
        <f>[20]人員・時間計画!$B$5</f>
        <v>トナー品質管理課</v>
      </c>
      <c r="C103" s="185" t="s">
        <v>3</v>
      </c>
      <c r="D103" s="187" t="s">
        <v>194</v>
      </c>
      <c r="E103" s="188"/>
      <c r="F103" s="214">
        <f>[20]人員・時間計画!C10</f>
        <v>0</v>
      </c>
      <c r="G103" s="214">
        <f>[20]人員・時間計画!D10</f>
        <v>0</v>
      </c>
      <c r="H103" s="214">
        <f>[20]人員・時間計画!E10</f>
        <v>0</v>
      </c>
      <c r="I103" s="214">
        <f>[20]人員・時間計画!F10</f>
        <v>0</v>
      </c>
      <c r="J103" s="214">
        <f>[20]人員・時間計画!G10</f>
        <v>0</v>
      </c>
      <c r="K103" s="214">
        <f>[20]人員・時間計画!H10</f>
        <v>0</v>
      </c>
      <c r="L103" s="214">
        <f>[20]人員・時間計画!I10</f>
        <v>0</v>
      </c>
      <c r="M103" s="214">
        <f>[20]人員・時間計画!J10</f>
        <v>0</v>
      </c>
      <c r="N103" s="214">
        <f>[20]人員・時間計画!K10</f>
        <v>0</v>
      </c>
      <c r="O103" s="214">
        <f>[20]人員・時間計画!L10</f>
        <v>0</v>
      </c>
      <c r="P103" s="214">
        <f>[20]人員・時間計画!M10</f>
        <v>0</v>
      </c>
      <c r="Q103" s="214">
        <f>[20]人員・時間計画!N10</f>
        <v>0</v>
      </c>
    </row>
    <row r="104" spans="1:17" ht="14.5" hidden="1" thickBot="1">
      <c r="A104">
        <f>[20]人員・時間計画!$A$5</f>
        <v>1412000055</v>
      </c>
      <c r="B104" t="str">
        <f>[20]人員・時間計画!$B$5</f>
        <v>トナー品質管理課</v>
      </c>
      <c r="C104" s="185" t="s">
        <v>3</v>
      </c>
      <c r="D104" s="189"/>
      <c r="E104" s="190" t="s">
        <v>139</v>
      </c>
      <c r="F104" s="214">
        <f>[20]人員・時間計画!C11</f>
        <v>11</v>
      </c>
      <c r="G104" s="214">
        <f>[20]人員・時間計画!D11</f>
        <v>11</v>
      </c>
      <c r="H104" s="214">
        <f>[20]人員・時間計画!E11</f>
        <v>11</v>
      </c>
      <c r="I104" s="214">
        <f>[20]人員・時間計画!F11</f>
        <v>10</v>
      </c>
      <c r="J104" s="214">
        <f>[20]人員・時間計画!G11</f>
        <v>10</v>
      </c>
      <c r="K104" s="214">
        <f>[20]人員・時間計画!H11</f>
        <v>10</v>
      </c>
      <c r="L104" s="214">
        <f>[20]人員・時間計画!I11</f>
        <v>10</v>
      </c>
      <c r="M104" s="214">
        <f>[20]人員・時間計画!J11</f>
        <v>10</v>
      </c>
      <c r="N104" s="214">
        <f>[20]人員・時間計画!K11</f>
        <v>11</v>
      </c>
      <c r="O104" s="214">
        <f>[20]人員・時間計画!L11</f>
        <v>11</v>
      </c>
      <c r="P104" s="214">
        <f>[20]人員・時間計画!M11</f>
        <v>11</v>
      </c>
      <c r="Q104" s="214">
        <f>[20]人員・時間計画!N11</f>
        <v>11</v>
      </c>
    </row>
    <row r="105" spans="1:17" ht="14.5" thickBot="1">
      <c r="A105">
        <f>[20]人員・時間計画!$A$5</f>
        <v>1412000055</v>
      </c>
      <c r="B105" t="str">
        <f>[20]人員・時間計画!$B$5</f>
        <v>トナー品質管理課</v>
      </c>
      <c r="C105" s="185" t="s">
        <v>3</v>
      </c>
      <c r="D105" s="191" t="s">
        <v>195</v>
      </c>
      <c r="E105" s="192" t="s">
        <v>140</v>
      </c>
      <c r="F105" s="214">
        <f>[20]人員・時間計画!C12</f>
        <v>14</v>
      </c>
      <c r="G105" s="214">
        <f>[20]人員・時間計画!D12</f>
        <v>14</v>
      </c>
      <c r="H105" s="214">
        <f>[20]人員・時間計画!E12</f>
        <v>14</v>
      </c>
      <c r="I105" s="214">
        <f>[20]人員・時間計画!F12</f>
        <v>14</v>
      </c>
      <c r="J105" s="214">
        <f>[20]人員・時間計画!G12</f>
        <v>15</v>
      </c>
      <c r="K105" s="214">
        <f>[20]人員・時間計画!H12</f>
        <v>17</v>
      </c>
      <c r="L105" s="214">
        <f>[20]人員・時間計画!I12</f>
        <v>17</v>
      </c>
      <c r="M105" s="214">
        <f>[20]人員・時間計画!J12</f>
        <v>17</v>
      </c>
      <c r="N105" s="214">
        <f>[20]人員・時間計画!K12</f>
        <v>17</v>
      </c>
      <c r="O105" s="214">
        <f>[20]人員・時間計画!L12</f>
        <v>17</v>
      </c>
      <c r="P105" s="214">
        <f>[20]人員・時間計画!M12</f>
        <v>17</v>
      </c>
      <c r="Q105" s="214">
        <f>[20]人員・時間計画!N12</f>
        <v>19</v>
      </c>
    </row>
    <row r="106" spans="1:17" ht="14.5" hidden="1" thickBot="1">
      <c r="A106">
        <f>[20]人員・時間計画!$A$5</f>
        <v>1412000055</v>
      </c>
      <c r="B106" t="str">
        <f>[20]人員・時間計画!$B$5</f>
        <v>トナー品質管理課</v>
      </c>
      <c r="C106" s="185" t="s">
        <v>3</v>
      </c>
      <c r="D106" s="193"/>
      <c r="E106" s="194" t="s">
        <v>138</v>
      </c>
      <c r="F106" s="214">
        <f>[20]人員・時間計画!C13</f>
        <v>25</v>
      </c>
      <c r="G106" s="214">
        <f>[20]人員・時間計画!D13</f>
        <v>25</v>
      </c>
      <c r="H106" s="214">
        <f>[20]人員・時間計画!E13</f>
        <v>25</v>
      </c>
      <c r="I106" s="214">
        <f>[20]人員・時間計画!F13</f>
        <v>24</v>
      </c>
      <c r="J106" s="214">
        <f>[20]人員・時間計画!G13</f>
        <v>25</v>
      </c>
      <c r="K106" s="214">
        <f>[20]人員・時間計画!H13</f>
        <v>27</v>
      </c>
      <c r="L106" s="214">
        <f>[20]人員・時間計画!I13</f>
        <v>27</v>
      </c>
      <c r="M106" s="214">
        <f>[20]人員・時間計画!J13</f>
        <v>27</v>
      </c>
      <c r="N106" s="214">
        <f>[20]人員・時間計画!K13</f>
        <v>28</v>
      </c>
      <c r="O106" s="214">
        <f>[20]人員・時間計画!L13</f>
        <v>28</v>
      </c>
      <c r="P106" s="214">
        <f>[20]人員・時間計画!M13</f>
        <v>28</v>
      </c>
      <c r="Q106" s="214">
        <f>[20]人員・時間計画!N13</f>
        <v>30</v>
      </c>
    </row>
    <row r="107" spans="1:17" ht="14.5" hidden="1" thickBot="1">
      <c r="A107">
        <f>[20]人員・時間計画!$A$5</f>
        <v>1412000055</v>
      </c>
      <c r="B107" t="str">
        <f>[20]人員・時間計画!$B$5</f>
        <v>トナー品質管理課</v>
      </c>
      <c r="C107" s="185" t="s">
        <v>3</v>
      </c>
      <c r="D107" s="195" t="s">
        <v>196</v>
      </c>
      <c r="E107" s="196"/>
      <c r="F107" s="214">
        <f>[20]人員・時間計画!C14</f>
        <v>25</v>
      </c>
      <c r="G107" s="214">
        <f>[20]人員・時間計画!D14</f>
        <v>25</v>
      </c>
      <c r="H107" s="214">
        <f>[20]人員・時間計画!E14</f>
        <v>25</v>
      </c>
      <c r="I107" s="214">
        <f>[20]人員・時間計画!F14</f>
        <v>24</v>
      </c>
      <c r="J107" s="214">
        <f>[20]人員・時間計画!G14</f>
        <v>25</v>
      </c>
      <c r="K107" s="214">
        <f>[20]人員・時間計画!H14</f>
        <v>27</v>
      </c>
      <c r="L107" s="214">
        <f>[20]人員・時間計画!I14</f>
        <v>27</v>
      </c>
      <c r="M107" s="214">
        <f>[20]人員・時間計画!J14</f>
        <v>27</v>
      </c>
      <c r="N107" s="214">
        <f>[20]人員・時間計画!K14</f>
        <v>28</v>
      </c>
      <c r="O107" s="214">
        <f>[20]人員・時間計画!L14</f>
        <v>28</v>
      </c>
      <c r="P107" s="214">
        <f>[20]人員・時間計画!M14</f>
        <v>28</v>
      </c>
      <c r="Q107" s="214">
        <f>[20]人員・時間計画!N14</f>
        <v>30</v>
      </c>
    </row>
    <row r="108" spans="1:17" ht="14.5" hidden="1" thickBot="1">
      <c r="A108">
        <f>[20]人員・時間計画!$A$5</f>
        <v>1412000055</v>
      </c>
      <c r="B108" t="str">
        <f>[20]人員・時間計画!$B$5</f>
        <v>トナー品質管理課</v>
      </c>
      <c r="D108" s="197"/>
      <c r="E108" s="197"/>
    </row>
    <row r="109" spans="1:17" ht="14.5" hidden="1" thickBot="1">
      <c r="A109">
        <f>[20]人員・時間計画!$A$5</f>
        <v>1412000055</v>
      </c>
      <c r="B109" t="str">
        <f>[20]人員・時間計画!$B$5</f>
        <v>トナー品質管理課</v>
      </c>
      <c r="C109" s="185" t="s">
        <v>202</v>
      </c>
      <c r="D109" s="185" t="s">
        <v>202</v>
      </c>
      <c r="E109" s="186"/>
    </row>
    <row r="110" spans="1:17" ht="14.5" hidden="1" thickBot="1">
      <c r="A110">
        <f>[20]人員・時間計画!$A$5</f>
        <v>1412000055</v>
      </c>
      <c r="B110" t="str">
        <f>[20]人員・時間計画!$B$5</f>
        <v>トナー品質管理課</v>
      </c>
      <c r="C110" s="185" t="s">
        <v>202</v>
      </c>
      <c r="D110" s="198" t="s">
        <v>194</v>
      </c>
      <c r="E110" s="199"/>
      <c r="F110" s="214">
        <f>[20]人員・時間計画!C17</f>
        <v>0</v>
      </c>
      <c r="G110" s="214">
        <f>[20]人員・時間計画!D17</f>
        <v>0</v>
      </c>
      <c r="H110" s="214">
        <f>[20]人員・時間計画!E17</f>
        <v>0</v>
      </c>
      <c r="I110" s="214">
        <f>[20]人員・時間計画!F17</f>
        <v>0</v>
      </c>
      <c r="J110" s="214">
        <f>[20]人員・時間計画!G17</f>
        <v>0</v>
      </c>
      <c r="K110" s="214">
        <f>[20]人員・時間計画!H17</f>
        <v>0</v>
      </c>
      <c r="L110" s="214">
        <f>[20]人員・時間計画!I17</f>
        <v>0</v>
      </c>
      <c r="M110" s="214">
        <f>[20]人員・時間計画!J17</f>
        <v>0</v>
      </c>
      <c r="N110" s="214">
        <f>[20]人員・時間計画!K17</f>
        <v>0</v>
      </c>
      <c r="O110" s="214">
        <f>[20]人員・時間計画!L17</f>
        <v>0</v>
      </c>
      <c r="P110" s="214">
        <f>[20]人員・時間計画!M17</f>
        <v>0</v>
      </c>
      <c r="Q110" s="214">
        <f>[20]人員・時間計画!N17</f>
        <v>0</v>
      </c>
    </row>
    <row r="111" spans="1:17" ht="14.5" hidden="1" thickBot="1">
      <c r="A111">
        <f>[20]人員・時間計画!$A$5</f>
        <v>1412000055</v>
      </c>
      <c r="B111" t="str">
        <f>[20]人員・時間計画!$B$5</f>
        <v>トナー品質管理課</v>
      </c>
      <c r="C111" s="185" t="s">
        <v>202</v>
      </c>
      <c r="D111" s="200"/>
      <c r="E111" s="190" t="s">
        <v>139</v>
      </c>
      <c r="F111" s="214">
        <f>[20]人員・時間計画!C18</f>
        <v>1757</v>
      </c>
      <c r="G111" s="214">
        <f>[20]人員・時間計画!D18</f>
        <v>1617</v>
      </c>
      <c r="H111" s="214">
        <f>[20]人員・時間計画!E18</f>
        <v>1781</v>
      </c>
      <c r="I111" s="214">
        <f>[20]人員・時間計画!F18</f>
        <v>1758</v>
      </c>
      <c r="J111" s="214">
        <f>[20]人員・時間計画!G18</f>
        <v>1594</v>
      </c>
      <c r="K111" s="214">
        <f>[20]人員・時間計画!H18</f>
        <v>1462</v>
      </c>
      <c r="L111" s="214">
        <f>[20]人員・時間計画!I18</f>
        <v>1758</v>
      </c>
      <c r="M111" s="214">
        <f>[20]人員・時間計画!J18</f>
        <v>1594</v>
      </c>
      <c r="N111" s="214">
        <f>[20]人員・時間計画!K18</f>
        <v>1863</v>
      </c>
      <c r="O111" s="214">
        <f>[20]人員・時間計画!L18</f>
        <v>1757</v>
      </c>
      <c r="P111" s="214">
        <f>[20]人員・時間計画!M18</f>
        <v>1289</v>
      </c>
      <c r="Q111" s="214">
        <f>[20]人員・時間計画!N18</f>
        <v>1699</v>
      </c>
    </row>
    <row r="112" spans="1:17" ht="14.5" thickBot="1">
      <c r="A112">
        <f>[20]人員・時間計画!$A$5</f>
        <v>1412000055</v>
      </c>
      <c r="B112" t="str">
        <f>[20]人員・時間計画!$B$5</f>
        <v>トナー品質管理課</v>
      </c>
      <c r="C112" s="185" t="s">
        <v>202</v>
      </c>
      <c r="D112" s="201" t="s">
        <v>195</v>
      </c>
      <c r="E112" s="192" t="s">
        <v>140</v>
      </c>
      <c r="F112" s="214">
        <f>[20]人員・時間計画!C19</f>
        <v>2218</v>
      </c>
      <c r="G112" s="214">
        <f>[20]人員・時間計画!D19</f>
        <v>2016</v>
      </c>
      <c r="H112" s="214">
        <f>[20]人員・時間計画!E19</f>
        <v>2218</v>
      </c>
      <c r="I112" s="214">
        <f>[20]人員・時間計画!F19</f>
        <v>2419</v>
      </c>
      <c r="J112" s="214">
        <f>[20]人員・時間計画!G19</f>
        <v>2376</v>
      </c>
      <c r="K112" s="214">
        <f>[20]人員・時間計画!H19</f>
        <v>2448</v>
      </c>
      <c r="L112" s="214">
        <f>[20]人員・時間計画!I19</f>
        <v>2938</v>
      </c>
      <c r="M112" s="214">
        <f>[20]人員・時間計画!J19</f>
        <v>2693</v>
      </c>
      <c r="N112" s="214">
        <f>[20]人員・時間計画!K19</f>
        <v>2815</v>
      </c>
      <c r="O112" s="214">
        <f>[20]人員・時間計画!L19</f>
        <v>2693</v>
      </c>
      <c r="P112" s="214">
        <f>[20]人員・時間計画!M19</f>
        <v>1958</v>
      </c>
      <c r="Q112" s="214">
        <f>[20]人員・時間計画!N19</f>
        <v>2873</v>
      </c>
    </row>
    <row r="113" spans="1:17" ht="14.5" hidden="1" thickBot="1">
      <c r="A113">
        <f>[20]人員・時間計画!$A$5</f>
        <v>1412000055</v>
      </c>
      <c r="B113" t="str">
        <f>[20]人員・時間計画!$B$5</f>
        <v>トナー品質管理課</v>
      </c>
      <c r="C113" s="185" t="s">
        <v>202</v>
      </c>
      <c r="D113" s="202"/>
      <c r="E113" s="203" t="s">
        <v>138</v>
      </c>
      <c r="F113" s="214">
        <f>[20]人員・時間計画!C20</f>
        <v>3975</v>
      </c>
      <c r="G113" s="214">
        <f>[20]人員・時間計画!D20</f>
        <v>3633</v>
      </c>
      <c r="H113" s="214">
        <f>[20]人員・時間計画!E20</f>
        <v>3999</v>
      </c>
      <c r="I113" s="214">
        <f>[20]人員・時間計画!F20</f>
        <v>4177</v>
      </c>
      <c r="J113" s="214">
        <f>[20]人員・時間計画!G20</f>
        <v>3970</v>
      </c>
      <c r="K113" s="214">
        <f>[20]人員・時間計画!H20</f>
        <v>3910</v>
      </c>
      <c r="L113" s="214">
        <f>[20]人員・時間計画!I20</f>
        <v>4696</v>
      </c>
      <c r="M113" s="214">
        <f>[20]人員・時間計画!J20</f>
        <v>4287</v>
      </c>
      <c r="N113" s="214">
        <f>[20]人員・時間計画!K20</f>
        <v>4678</v>
      </c>
      <c r="O113" s="214">
        <f>[20]人員・時間計画!L20</f>
        <v>4450</v>
      </c>
      <c r="P113" s="214">
        <f>[20]人員・時間計画!M20</f>
        <v>3247</v>
      </c>
      <c r="Q113" s="214">
        <f>[20]人員・時間計画!N20</f>
        <v>4572</v>
      </c>
    </row>
    <row r="114" spans="1:17" ht="14.5" hidden="1" thickBot="1">
      <c r="A114">
        <f>[20]人員・時間計画!$A$5</f>
        <v>1412000055</v>
      </c>
      <c r="B114" t="str">
        <f>[20]人員・時間計画!$B$5</f>
        <v>トナー品質管理課</v>
      </c>
      <c r="C114" s="185" t="s">
        <v>202</v>
      </c>
      <c r="D114" s="204" t="s">
        <v>215</v>
      </c>
      <c r="E114" s="205"/>
      <c r="F114" s="214">
        <f>[20]人員・時間計画!C21</f>
        <v>3975</v>
      </c>
      <c r="G114" s="214">
        <f>[20]人員・時間計画!D21</f>
        <v>3633</v>
      </c>
      <c r="H114" s="214">
        <f>[20]人員・時間計画!E21</f>
        <v>3999</v>
      </c>
      <c r="I114" s="214">
        <f>[20]人員・時間計画!F21</f>
        <v>4177</v>
      </c>
      <c r="J114" s="214">
        <f>[20]人員・時間計画!G21</f>
        <v>3970</v>
      </c>
      <c r="K114" s="214">
        <f>[20]人員・時間計画!H21</f>
        <v>3910</v>
      </c>
      <c r="L114" s="214">
        <f>[20]人員・時間計画!I21</f>
        <v>4696</v>
      </c>
      <c r="M114" s="214">
        <f>[20]人員・時間計画!J21</f>
        <v>4287</v>
      </c>
      <c r="N114" s="214">
        <f>[20]人員・時間計画!K21</f>
        <v>4678</v>
      </c>
      <c r="O114" s="214">
        <f>[20]人員・時間計画!L21</f>
        <v>4450</v>
      </c>
      <c r="P114" s="214">
        <f>[20]人員・時間計画!M21</f>
        <v>3247</v>
      </c>
      <c r="Q114" s="214">
        <f>[20]人員・時間計画!N21</f>
        <v>4572</v>
      </c>
    </row>
    <row r="115" spans="1:17" ht="14.5" hidden="1" thickBot="1">
      <c r="A115">
        <f>[20]人員・時間計画!$A$5</f>
        <v>1412000055</v>
      </c>
      <c r="B115" t="str">
        <f>[20]人員・時間計画!$B$5</f>
        <v>トナー品質管理課</v>
      </c>
      <c r="D115" s="197"/>
      <c r="E115" s="197"/>
    </row>
    <row r="116" spans="1:17" ht="14.5" hidden="1" thickBot="1">
      <c r="A116">
        <f>[20]人員・時間計画!$A$5</f>
        <v>1412000055</v>
      </c>
      <c r="B116" t="str">
        <f>[20]人員・時間計画!$B$5</f>
        <v>トナー品質管理課</v>
      </c>
      <c r="C116" s="185" t="s">
        <v>71</v>
      </c>
      <c r="D116" s="185" t="s">
        <v>71</v>
      </c>
      <c r="E116" s="186"/>
    </row>
    <row r="117" spans="1:17" ht="14.5" hidden="1" thickBot="1">
      <c r="A117">
        <f>[20]人員・時間計画!$A$5</f>
        <v>1412000055</v>
      </c>
      <c r="B117" t="str">
        <f>[20]人員・時間計画!$B$5</f>
        <v>トナー品質管理課</v>
      </c>
      <c r="C117" s="185" t="s">
        <v>71</v>
      </c>
      <c r="D117" s="198" t="s">
        <v>194</v>
      </c>
      <c r="E117" s="199"/>
      <c r="F117" s="214">
        <f>[20]人員・時間計画!C24</f>
        <v>0</v>
      </c>
      <c r="G117" s="214">
        <f>[20]人員・時間計画!D24</f>
        <v>0</v>
      </c>
      <c r="H117" s="214">
        <f>[20]人員・時間計画!E24</f>
        <v>0</v>
      </c>
      <c r="I117" s="214">
        <f>[20]人員・時間計画!F24</f>
        <v>0</v>
      </c>
      <c r="J117" s="214">
        <f>[20]人員・時間計画!G24</f>
        <v>0</v>
      </c>
      <c r="K117" s="214">
        <f>[20]人員・時間計画!H24</f>
        <v>0</v>
      </c>
      <c r="L117" s="214">
        <f>[20]人員・時間計画!I24</f>
        <v>0</v>
      </c>
      <c r="M117" s="214">
        <f>[20]人員・時間計画!J24</f>
        <v>0</v>
      </c>
      <c r="N117" s="214">
        <f>[20]人員・時間計画!K24</f>
        <v>0</v>
      </c>
      <c r="O117" s="214">
        <f>[20]人員・時間計画!L24</f>
        <v>0</v>
      </c>
      <c r="P117" s="214">
        <f>[20]人員・時間計画!M24</f>
        <v>0</v>
      </c>
      <c r="Q117" s="214">
        <f>[20]人員・時間計画!N24</f>
        <v>0</v>
      </c>
    </row>
    <row r="118" spans="1:17" ht="14.5" hidden="1" thickBot="1">
      <c r="A118">
        <f>[20]人員・時間計画!$A$5</f>
        <v>1412000055</v>
      </c>
      <c r="B118" t="str">
        <f>[20]人員・時間計画!$B$5</f>
        <v>トナー品質管理課</v>
      </c>
      <c r="C118" s="185" t="s">
        <v>71</v>
      </c>
      <c r="D118" s="200"/>
      <c r="E118" s="206" t="s">
        <v>139</v>
      </c>
      <c r="F118" s="214">
        <f>[20]人員・時間計画!C25</f>
        <v>38</v>
      </c>
      <c r="G118" s="214">
        <f>[20]人員・時間計画!D25</f>
        <v>60</v>
      </c>
      <c r="H118" s="214">
        <f>[20]人員・時間計画!E25</f>
        <v>40</v>
      </c>
      <c r="I118" s="214">
        <f>[20]人員・時間計画!F25</f>
        <v>68</v>
      </c>
      <c r="J118" s="214">
        <f>[20]人員・時間計画!G25</f>
        <v>62</v>
      </c>
      <c r="K118" s="214">
        <f>[20]人員・時間計画!H25</f>
        <v>60</v>
      </c>
      <c r="L118" s="214">
        <f>[20]人員・時間計画!I25</f>
        <v>68</v>
      </c>
      <c r="M118" s="214">
        <f>[20]人員・時間計画!J25</f>
        <v>62</v>
      </c>
      <c r="N118" s="214">
        <f>[20]人員・時間計画!K25</f>
        <v>66</v>
      </c>
      <c r="O118" s="214">
        <f>[20]人員・時間計画!L25</f>
        <v>62</v>
      </c>
      <c r="P118" s="214">
        <f>[20]人員・時間計画!M25</f>
        <v>52</v>
      </c>
      <c r="Q118" s="214">
        <f>[20]人員・時間計画!N25</f>
        <v>38</v>
      </c>
    </row>
    <row r="119" spans="1:17" ht="14.5" thickBot="1">
      <c r="A119">
        <f>[20]人員・時間計画!$A$5</f>
        <v>1412000055</v>
      </c>
      <c r="B119" t="str">
        <f>[20]人員・時間計画!$B$5</f>
        <v>トナー品質管理課</v>
      </c>
      <c r="C119" s="185" t="s">
        <v>71</v>
      </c>
      <c r="D119" s="201" t="s">
        <v>195</v>
      </c>
      <c r="E119" s="207" t="s">
        <v>140</v>
      </c>
      <c r="F119" s="214">
        <f>[20]人員・時間計画!C26</f>
        <v>0</v>
      </c>
      <c r="G119" s="214">
        <f>[20]人員・時間計画!D26</f>
        <v>24</v>
      </c>
      <c r="H119" s="214">
        <f>[20]人員・時間計画!E26</f>
        <v>24</v>
      </c>
      <c r="I119" s="214">
        <f>[20]人員・時間計画!F26</f>
        <v>176</v>
      </c>
      <c r="J119" s="214">
        <f>[20]人員・時間計画!G26</f>
        <v>24</v>
      </c>
      <c r="K119" s="214">
        <f>[20]人員・時間計画!H26</f>
        <v>48</v>
      </c>
      <c r="L119" s="214">
        <f>[20]人員・時間計画!I26</f>
        <v>48</v>
      </c>
      <c r="M119" s="214">
        <f>[20]人員・時間計画!J26</f>
        <v>24</v>
      </c>
      <c r="N119" s="214">
        <f>[20]人員・時間計画!K26</f>
        <v>24</v>
      </c>
      <c r="O119" s="214">
        <f>[20]人員・時間計画!L26</f>
        <v>176</v>
      </c>
      <c r="P119" s="214">
        <f>[20]人員・時間計画!M26</f>
        <v>152</v>
      </c>
      <c r="Q119" s="214">
        <f>[20]人員・時間計画!N26</f>
        <v>72</v>
      </c>
    </row>
    <row r="120" spans="1:17" ht="14.5" hidden="1" thickBot="1">
      <c r="A120">
        <f>[20]人員・時間計画!$A$5</f>
        <v>1412000055</v>
      </c>
      <c r="B120" t="str">
        <f>[20]人員・時間計画!$B$5</f>
        <v>トナー品質管理課</v>
      </c>
      <c r="C120" s="185" t="s">
        <v>71</v>
      </c>
      <c r="D120" s="202"/>
      <c r="E120" s="203" t="s">
        <v>138</v>
      </c>
      <c r="F120" s="214">
        <f>[20]人員・時間計画!C27</f>
        <v>38</v>
      </c>
      <c r="G120" s="214">
        <f>[20]人員・時間計画!D27</f>
        <v>84</v>
      </c>
      <c r="H120" s="214">
        <f>[20]人員・時間計画!E27</f>
        <v>64</v>
      </c>
      <c r="I120" s="214">
        <f>[20]人員・時間計画!F27</f>
        <v>244</v>
      </c>
      <c r="J120" s="214">
        <f>[20]人員・時間計画!G27</f>
        <v>86</v>
      </c>
      <c r="K120" s="214">
        <f>[20]人員・時間計画!H27</f>
        <v>108</v>
      </c>
      <c r="L120" s="214">
        <f>[20]人員・時間計画!I27</f>
        <v>116</v>
      </c>
      <c r="M120" s="214">
        <f>[20]人員・時間計画!J27</f>
        <v>86</v>
      </c>
      <c r="N120" s="214">
        <f>[20]人員・時間計画!K27</f>
        <v>90</v>
      </c>
      <c r="O120" s="214">
        <f>[20]人員・時間計画!L27</f>
        <v>238</v>
      </c>
      <c r="P120" s="214">
        <f>[20]人員・時間計画!M27</f>
        <v>204</v>
      </c>
      <c r="Q120" s="214">
        <f>[20]人員・時間計画!N27</f>
        <v>110</v>
      </c>
    </row>
    <row r="121" spans="1:17" ht="14.5" hidden="1" thickBot="1">
      <c r="A121">
        <f>[20]人員・時間計画!$A$5</f>
        <v>1412000055</v>
      </c>
      <c r="B121" t="str">
        <f>[20]人員・時間計画!$B$5</f>
        <v>トナー品質管理課</v>
      </c>
      <c r="C121" s="185" t="s">
        <v>71</v>
      </c>
      <c r="D121" s="204" t="s">
        <v>216</v>
      </c>
      <c r="E121" s="205"/>
      <c r="F121" s="214">
        <f>[20]人員・時間計画!C28</f>
        <v>38</v>
      </c>
      <c r="G121" s="214">
        <f>[20]人員・時間計画!D28</f>
        <v>84</v>
      </c>
      <c r="H121" s="214">
        <f>[20]人員・時間計画!E28</f>
        <v>64</v>
      </c>
      <c r="I121" s="214">
        <f>[20]人員・時間計画!F28</f>
        <v>244</v>
      </c>
      <c r="J121" s="214">
        <f>[20]人員・時間計画!G28</f>
        <v>86</v>
      </c>
      <c r="K121" s="214">
        <f>[20]人員・時間計画!H28</f>
        <v>108</v>
      </c>
      <c r="L121" s="214">
        <f>[20]人員・時間計画!I28</f>
        <v>116</v>
      </c>
      <c r="M121" s="214">
        <f>[20]人員・時間計画!J28</f>
        <v>86</v>
      </c>
      <c r="N121" s="214">
        <f>[20]人員・時間計画!K28</f>
        <v>90</v>
      </c>
      <c r="O121" s="214">
        <f>[20]人員・時間計画!L28</f>
        <v>238</v>
      </c>
      <c r="P121" s="214">
        <f>[20]人員・時間計画!M28</f>
        <v>204</v>
      </c>
      <c r="Q121" s="214">
        <f>[20]人員・時間計画!N28</f>
        <v>110</v>
      </c>
    </row>
    <row r="122" spans="1:17" ht="14.5" hidden="1" thickBot="1">
      <c r="A122">
        <f>[8]人員・時間計画!$A$5</f>
        <v>1412000050</v>
      </c>
      <c r="B122" t="str">
        <f>[8]人員・時間計画!$B$5</f>
        <v>MD1課</v>
      </c>
      <c r="C122" s="185" t="s">
        <v>3</v>
      </c>
      <c r="D122" s="185" t="s">
        <v>3</v>
      </c>
      <c r="E122" s="186"/>
    </row>
    <row r="123" spans="1:17" ht="14.5" hidden="1" thickBot="1">
      <c r="A123">
        <f>[8]人員・時間計画!$A$5</f>
        <v>1412000050</v>
      </c>
      <c r="B123" t="str">
        <f>[8]人員・時間計画!$B$5</f>
        <v>MD1課</v>
      </c>
      <c r="C123" s="185" t="s">
        <v>3</v>
      </c>
      <c r="D123" s="187" t="s">
        <v>194</v>
      </c>
      <c r="E123" s="188"/>
      <c r="F123" s="214">
        <f>[8]人員・時間計画!C10</f>
        <v>0</v>
      </c>
      <c r="G123" s="214">
        <f>[8]人員・時間計画!D10</f>
        <v>0</v>
      </c>
      <c r="H123" s="214">
        <f>[8]人員・時間計画!E10</f>
        <v>0</v>
      </c>
      <c r="I123" s="214">
        <f>[8]人員・時間計画!F10</f>
        <v>0</v>
      </c>
      <c r="J123" s="214">
        <f>[8]人員・時間計画!G10</f>
        <v>0</v>
      </c>
      <c r="K123" s="214">
        <f>[8]人員・時間計画!H10</f>
        <v>0</v>
      </c>
      <c r="L123" s="214">
        <f>[8]人員・時間計画!I10</f>
        <v>0</v>
      </c>
      <c r="M123" s="214">
        <f>[8]人員・時間計画!J10</f>
        <v>0</v>
      </c>
      <c r="N123" s="214">
        <f>[8]人員・時間計画!K10</f>
        <v>0</v>
      </c>
      <c r="O123" s="214">
        <f>[8]人員・時間計画!L10</f>
        <v>0</v>
      </c>
      <c r="P123" s="214">
        <f>[8]人員・時間計画!M10</f>
        <v>0</v>
      </c>
      <c r="Q123" s="214">
        <f>[8]人員・時間計画!N10</f>
        <v>0</v>
      </c>
    </row>
    <row r="124" spans="1:17" ht="14.5" hidden="1" thickBot="1">
      <c r="A124">
        <f>[8]人員・時間計画!$A$5</f>
        <v>1412000050</v>
      </c>
      <c r="B124" t="str">
        <f>[8]人員・時間計画!$B$5</f>
        <v>MD1課</v>
      </c>
      <c r="C124" s="185" t="s">
        <v>3</v>
      </c>
      <c r="D124" s="189"/>
      <c r="E124" s="190" t="s">
        <v>139</v>
      </c>
      <c r="F124" s="214">
        <f>[8]人員・時間計画!C11</f>
        <v>8</v>
      </c>
      <c r="G124" s="214">
        <f>[8]人員・時間計画!D11</f>
        <v>8</v>
      </c>
      <c r="H124" s="214">
        <f>[8]人員・時間計画!E11</f>
        <v>8</v>
      </c>
      <c r="I124" s="214">
        <f>[8]人員・時間計画!F11</f>
        <v>8</v>
      </c>
      <c r="J124" s="214">
        <f>[8]人員・時間計画!G11</f>
        <v>8</v>
      </c>
      <c r="K124" s="214">
        <f>[8]人員・時間計画!H11</f>
        <v>9</v>
      </c>
      <c r="L124" s="214">
        <f>[8]人員・時間計画!I11</f>
        <v>9</v>
      </c>
      <c r="M124" s="214">
        <f>[8]人員・時間計画!J11</f>
        <v>9</v>
      </c>
      <c r="N124" s="214">
        <f>[8]人員・時間計画!K11</f>
        <v>9</v>
      </c>
      <c r="O124" s="214">
        <f>[8]人員・時間計画!L11</f>
        <v>9</v>
      </c>
      <c r="P124" s="214">
        <f>[8]人員・時間計画!M11</f>
        <v>9</v>
      </c>
      <c r="Q124" s="214">
        <f>[8]人員・時間計画!N11</f>
        <v>9</v>
      </c>
    </row>
    <row r="125" spans="1:17" ht="14.5" thickBot="1">
      <c r="A125">
        <f>[8]人員・時間計画!$A$5</f>
        <v>1412000050</v>
      </c>
      <c r="B125" t="str">
        <f>[8]人員・時間計画!$B$5</f>
        <v>MD1課</v>
      </c>
      <c r="C125" s="185" t="s">
        <v>3</v>
      </c>
      <c r="D125" s="191" t="s">
        <v>195</v>
      </c>
      <c r="E125" s="192" t="s">
        <v>140</v>
      </c>
      <c r="F125" s="214">
        <f>[8]人員・時間計画!C12</f>
        <v>0</v>
      </c>
      <c r="G125" s="214">
        <f>[8]人員・時間計画!D12</f>
        <v>0</v>
      </c>
      <c r="H125" s="214">
        <f>[8]人員・時間計画!E12</f>
        <v>0</v>
      </c>
      <c r="I125" s="214">
        <f>[8]人員・時間計画!F12</f>
        <v>0</v>
      </c>
      <c r="J125" s="214">
        <f>[8]人員・時間計画!G12</f>
        <v>0</v>
      </c>
      <c r="K125" s="214">
        <f>[8]人員・時間計画!H12</f>
        <v>0</v>
      </c>
      <c r="L125" s="214">
        <f>[8]人員・時間計画!I12</f>
        <v>0</v>
      </c>
      <c r="M125" s="214">
        <f>[8]人員・時間計画!J12</f>
        <v>0</v>
      </c>
      <c r="N125" s="214">
        <f>[8]人員・時間計画!K12</f>
        <v>0</v>
      </c>
      <c r="O125" s="214">
        <f>[8]人員・時間計画!L12</f>
        <v>0</v>
      </c>
      <c r="P125" s="214">
        <f>[8]人員・時間計画!M12</f>
        <v>0</v>
      </c>
      <c r="Q125" s="214">
        <f>[8]人員・時間計画!N12</f>
        <v>0</v>
      </c>
    </row>
    <row r="126" spans="1:17" ht="14.5" hidden="1" thickBot="1">
      <c r="A126">
        <f>[8]人員・時間計画!$A$5</f>
        <v>1412000050</v>
      </c>
      <c r="B126" t="str">
        <f>[8]人員・時間計画!$B$5</f>
        <v>MD1課</v>
      </c>
      <c r="C126" s="185" t="s">
        <v>3</v>
      </c>
      <c r="D126" s="193"/>
      <c r="E126" s="194" t="s">
        <v>138</v>
      </c>
      <c r="F126" s="214">
        <f>[8]人員・時間計画!C13</f>
        <v>8</v>
      </c>
      <c r="G126" s="214">
        <f>[8]人員・時間計画!D13</f>
        <v>8</v>
      </c>
      <c r="H126" s="214">
        <f>[8]人員・時間計画!E13</f>
        <v>8</v>
      </c>
      <c r="I126" s="214">
        <f>[8]人員・時間計画!F13</f>
        <v>8</v>
      </c>
      <c r="J126" s="214">
        <f>[8]人員・時間計画!G13</f>
        <v>8</v>
      </c>
      <c r="K126" s="214">
        <f>[8]人員・時間計画!H13</f>
        <v>9</v>
      </c>
      <c r="L126" s="214">
        <f>[8]人員・時間計画!I13</f>
        <v>9</v>
      </c>
      <c r="M126" s="214">
        <f>[8]人員・時間計画!J13</f>
        <v>9</v>
      </c>
      <c r="N126" s="214">
        <f>[8]人員・時間計画!K13</f>
        <v>9</v>
      </c>
      <c r="O126" s="214">
        <f>[8]人員・時間計画!L13</f>
        <v>9</v>
      </c>
      <c r="P126" s="214">
        <f>[8]人員・時間計画!M13</f>
        <v>9</v>
      </c>
      <c r="Q126" s="214">
        <f>[8]人員・時間計画!N13</f>
        <v>9</v>
      </c>
    </row>
    <row r="127" spans="1:17" ht="14.5" hidden="1" thickBot="1">
      <c r="A127">
        <f>[8]人員・時間計画!$A$5</f>
        <v>1412000050</v>
      </c>
      <c r="B127" t="str">
        <f>[8]人員・時間計画!$B$5</f>
        <v>MD1課</v>
      </c>
      <c r="C127" s="185" t="s">
        <v>3</v>
      </c>
      <c r="D127" s="195" t="s">
        <v>196</v>
      </c>
      <c r="E127" s="196"/>
      <c r="F127" s="214">
        <f>[8]人員・時間計画!C14</f>
        <v>8</v>
      </c>
      <c r="G127" s="214">
        <f>[8]人員・時間計画!D14</f>
        <v>8</v>
      </c>
      <c r="H127" s="214">
        <f>[8]人員・時間計画!E14</f>
        <v>8</v>
      </c>
      <c r="I127" s="214">
        <f>[8]人員・時間計画!F14</f>
        <v>8</v>
      </c>
      <c r="J127" s="214">
        <f>[8]人員・時間計画!G14</f>
        <v>8</v>
      </c>
      <c r="K127" s="214">
        <f>[8]人員・時間計画!H14</f>
        <v>9</v>
      </c>
      <c r="L127" s="214">
        <f>[8]人員・時間計画!I14</f>
        <v>9</v>
      </c>
      <c r="M127" s="214">
        <f>[8]人員・時間計画!J14</f>
        <v>9</v>
      </c>
      <c r="N127" s="214">
        <f>[8]人員・時間計画!K14</f>
        <v>9</v>
      </c>
      <c r="O127" s="214">
        <f>[8]人員・時間計画!L14</f>
        <v>9</v>
      </c>
      <c r="P127" s="214">
        <f>[8]人員・時間計画!M14</f>
        <v>9</v>
      </c>
      <c r="Q127" s="214">
        <f>[8]人員・時間計画!N14</f>
        <v>9</v>
      </c>
    </row>
    <row r="128" spans="1:17" ht="14.5" hidden="1" thickBot="1">
      <c r="A128">
        <f>[8]人員・時間計画!$A$5</f>
        <v>1412000050</v>
      </c>
      <c r="B128" t="str">
        <f>[8]人員・時間計画!$B$5</f>
        <v>MD1課</v>
      </c>
      <c r="D128" s="197"/>
      <c r="E128" s="197"/>
    </row>
    <row r="129" spans="1:17" ht="14.5" hidden="1" thickBot="1">
      <c r="A129">
        <f>[8]人員・時間計画!$A$5</f>
        <v>1412000050</v>
      </c>
      <c r="B129" t="str">
        <f>[8]人員・時間計画!$B$5</f>
        <v>MD1課</v>
      </c>
      <c r="C129" s="185" t="s">
        <v>202</v>
      </c>
      <c r="D129" s="185" t="s">
        <v>202</v>
      </c>
      <c r="E129" s="186"/>
    </row>
    <row r="130" spans="1:17" ht="14.5" hidden="1" thickBot="1">
      <c r="A130">
        <f>[8]人員・時間計画!$A$5</f>
        <v>1412000050</v>
      </c>
      <c r="B130" t="str">
        <f>[8]人員・時間計画!$B$5</f>
        <v>MD1課</v>
      </c>
      <c r="C130" s="185" t="s">
        <v>202</v>
      </c>
      <c r="D130" s="198" t="s">
        <v>194</v>
      </c>
      <c r="E130" s="199"/>
      <c r="F130" s="182">
        <f>[8]人員・時間計画!C17</f>
        <v>0</v>
      </c>
      <c r="G130" s="182">
        <f>[8]人員・時間計画!D17</f>
        <v>0</v>
      </c>
      <c r="H130" s="182">
        <f>[8]人員・時間計画!E17</f>
        <v>0</v>
      </c>
      <c r="I130" s="182">
        <f>[8]人員・時間計画!F17</f>
        <v>0</v>
      </c>
      <c r="J130" s="182">
        <f>[8]人員・時間計画!G17</f>
        <v>0</v>
      </c>
      <c r="K130" s="182">
        <f>[8]人員・時間計画!H17</f>
        <v>0</v>
      </c>
      <c r="L130" s="182">
        <f>[8]人員・時間計画!I17</f>
        <v>0</v>
      </c>
      <c r="M130" s="182">
        <f>[8]人員・時間計画!J17</f>
        <v>0</v>
      </c>
      <c r="N130" s="182">
        <f>[8]人員・時間計画!K17</f>
        <v>0</v>
      </c>
      <c r="O130" s="182">
        <f>[8]人員・時間計画!L17</f>
        <v>0</v>
      </c>
      <c r="P130" s="182">
        <f>[8]人員・時間計画!M17</f>
        <v>0</v>
      </c>
      <c r="Q130" s="182">
        <f>[8]人員・時間計画!N17</f>
        <v>0</v>
      </c>
    </row>
    <row r="131" spans="1:17" ht="14.5" hidden="1" thickBot="1">
      <c r="A131">
        <f>[8]人員・時間計画!$A$5</f>
        <v>1412000050</v>
      </c>
      <c r="B131" t="str">
        <f>[8]人員・時間計画!$B$5</f>
        <v>MD1課</v>
      </c>
      <c r="C131" s="185" t="s">
        <v>202</v>
      </c>
      <c r="D131" s="200"/>
      <c r="E131" s="190" t="s">
        <v>139</v>
      </c>
      <c r="F131" s="182">
        <f>[8]人員・時間計画!C18</f>
        <v>1292</v>
      </c>
      <c r="G131" s="182">
        <f>[8]人員・時間計画!D18</f>
        <v>1224</v>
      </c>
      <c r="H131" s="182">
        <f>[8]人員・時間計画!E18</f>
        <v>1360</v>
      </c>
      <c r="I131" s="182">
        <f>[8]人員・時間計画!F18</f>
        <v>1496</v>
      </c>
      <c r="J131" s="182">
        <f>[8]人員・時間計画!G18</f>
        <v>1292</v>
      </c>
      <c r="K131" s="182">
        <f>[8]人員・時間計画!H18</f>
        <v>1377</v>
      </c>
      <c r="L131" s="182">
        <f>[8]人員・時間計画!I18</f>
        <v>1683</v>
      </c>
      <c r="M131" s="182">
        <f>[8]人員・時間計画!J18</f>
        <v>1453.5</v>
      </c>
      <c r="N131" s="182">
        <f>[8]人員・時間計画!K18</f>
        <v>1606.5</v>
      </c>
      <c r="O131" s="182">
        <f>[8]人員・時間計画!L18</f>
        <v>1453.5</v>
      </c>
      <c r="P131" s="182">
        <f>[8]人員・時間計画!M18</f>
        <v>1071</v>
      </c>
      <c r="Q131" s="182">
        <f>[8]人員・時間計画!N18</f>
        <v>1453.5</v>
      </c>
    </row>
    <row r="132" spans="1:17" ht="14.5" thickBot="1">
      <c r="A132">
        <f>[8]人員・時間計画!$A$5</f>
        <v>1412000050</v>
      </c>
      <c r="B132" t="str">
        <f>[8]人員・時間計画!$B$5</f>
        <v>MD1課</v>
      </c>
      <c r="C132" s="185" t="s">
        <v>202</v>
      </c>
      <c r="D132" s="201" t="s">
        <v>195</v>
      </c>
      <c r="E132" s="192" t="s">
        <v>140</v>
      </c>
      <c r="F132" s="182">
        <f>[8]人員・時間計画!C19</f>
        <v>0</v>
      </c>
      <c r="G132" s="182">
        <f>[8]人員・時間計画!D19</f>
        <v>0</v>
      </c>
      <c r="H132" s="182">
        <f>[8]人員・時間計画!E19</f>
        <v>0</v>
      </c>
      <c r="I132" s="182">
        <f>[8]人員・時間計画!F19</f>
        <v>0</v>
      </c>
      <c r="J132" s="182">
        <f>[8]人員・時間計画!G19</f>
        <v>0</v>
      </c>
      <c r="K132" s="182">
        <f>[8]人員・時間計画!H19</f>
        <v>0</v>
      </c>
      <c r="L132" s="182">
        <f>[8]人員・時間計画!I19</f>
        <v>0</v>
      </c>
      <c r="M132" s="182">
        <f>[8]人員・時間計画!J19</f>
        <v>0</v>
      </c>
      <c r="N132" s="182">
        <f>[8]人員・時間計画!K19</f>
        <v>0</v>
      </c>
      <c r="O132" s="182">
        <f>[8]人員・時間計画!L19</f>
        <v>0</v>
      </c>
      <c r="P132" s="182">
        <f>[8]人員・時間計画!M19</f>
        <v>0</v>
      </c>
      <c r="Q132" s="182">
        <f>[8]人員・時間計画!N19</f>
        <v>0</v>
      </c>
    </row>
    <row r="133" spans="1:17" ht="14.5" hidden="1" thickBot="1">
      <c r="A133">
        <f>[8]人員・時間計画!$A$5</f>
        <v>1412000050</v>
      </c>
      <c r="B133" t="str">
        <f>[8]人員・時間計画!$B$5</f>
        <v>MD1課</v>
      </c>
      <c r="C133" s="185" t="s">
        <v>202</v>
      </c>
      <c r="D133" s="202"/>
      <c r="E133" s="203" t="s">
        <v>138</v>
      </c>
      <c r="F133" s="182">
        <f>[8]人員・時間計画!C20</f>
        <v>1292</v>
      </c>
      <c r="G133" s="182">
        <f>[8]人員・時間計画!D20</f>
        <v>1224</v>
      </c>
      <c r="H133" s="182">
        <f>[8]人員・時間計画!E20</f>
        <v>1360</v>
      </c>
      <c r="I133" s="182">
        <f>[8]人員・時間計画!F20</f>
        <v>1496</v>
      </c>
      <c r="J133" s="182">
        <f>[8]人員・時間計画!G20</f>
        <v>1292</v>
      </c>
      <c r="K133" s="182">
        <f>[8]人員・時間計画!H20</f>
        <v>1377</v>
      </c>
      <c r="L133" s="182">
        <f>[8]人員・時間計画!I20</f>
        <v>1683</v>
      </c>
      <c r="M133" s="182">
        <f>[8]人員・時間計画!J20</f>
        <v>1453.5</v>
      </c>
      <c r="N133" s="182">
        <f>[8]人員・時間計画!K20</f>
        <v>1606.5</v>
      </c>
      <c r="O133" s="182">
        <f>[8]人員・時間計画!L20</f>
        <v>1453.5</v>
      </c>
      <c r="P133" s="182">
        <f>[8]人員・時間計画!M20</f>
        <v>1071</v>
      </c>
      <c r="Q133" s="182">
        <f>[8]人員・時間計画!N20</f>
        <v>1453.5</v>
      </c>
    </row>
    <row r="134" spans="1:17" ht="14.5" hidden="1" thickBot="1">
      <c r="A134">
        <f>[8]人員・時間計画!$A$5</f>
        <v>1412000050</v>
      </c>
      <c r="B134" t="str">
        <f>[8]人員・時間計画!$B$5</f>
        <v>MD1課</v>
      </c>
      <c r="C134" s="185" t="s">
        <v>202</v>
      </c>
      <c r="D134" s="204" t="s">
        <v>215</v>
      </c>
      <c r="E134" s="205"/>
      <c r="F134" s="182">
        <f>[8]人員・時間計画!C21</f>
        <v>1292</v>
      </c>
      <c r="G134" s="182">
        <f>[8]人員・時間計画!D21</f>
        <v>1224</v>
      </c>
      <c r="H134" s="182">
        <f>[8]人員・時間計画!E21</f>
        <v>1360</v>
      </c>
      <c r="I134" s="182">
        <f>[8]人員・時間計画!F21</f>
        <v>1496</v>
      </c>
      <c r="J134" s="182">
        <f>[8]人員・時間計画!G21</f>
        <v>1292</v>
      </c>
      <c r="K134" s="182">
        <f>[8]人員・時間計画!H21</f>
        <v>1377</v>
      </c>
      <c r="L134" s="182">
        <f>[8]人員・時間計画!I21</f>
        <v>1683</v>
      </c>
      <c r="M134" s="182">
        <f>[8]人員・時間計画!J21</f>
        <v>1453.5</v>
      </c>
      <c r="N134" s="182">
        <f>[8]人員・時間計画!K21</f>
        <v>1606.5</v>
      </c>
      <c r="O134" s="182">
        <f>[8]人員・時間計画!L21</f>
        <v>1453.5</v>
      </c>
      <c r="P134" s="182">
        <f>[8]人員・時間計画!M21</f>
        <v>1071</v>
      </c>
      <c r="Q134" s="182">
        <f>[8]人員・時間計画!N21</f>
        <v>1453.5</v>
      </c>
    </row>
    <row r="135" spans="1:17" ht="14.5" hidden="1" thickBot="1">
      <c r="A135">
        <f>[8]人員・時間計画!$A$5</f>
        <v>1412000050</v>
      </c>
      <c r="B135" t="str">
        <f>[8]人員・時間計画!$B$5</f>
        <v>MD1課</v>
      </c>
      <c r="D135" s="197"/>
      <c r="E135" s="197"/>
    </row>
    <row r="136" spans="1:17" ht="14.5" hidden="1" thickBot="1">
      <c r="A136">
        <f>[8]人員・時間計画!$A$5</f>
        <v>1412000050</v>
      </c>
      <c r="B136" t="str">
        <f>[8]人員・時間計画!$B$5</f>
        <v>MD1課</v>
      </c>
      <c r="C136" s="185" t="s">
        <v>71</v>
      </c>
      <c r="D136" s="185" t="s">
        <v>71</v>
      </c>
      <c r="E136" s="186"/>
    </row>
    <row r="137" spans="1:17" ht="14.5" hidden="1" thickBot="1">
      <c r="A137">
        <f>[8]人員・時間計画!$A$5</f>
        <v>1412000050</v>
      </c>
      <c r="B137" t="str">
        <f>[8]人員・時間計画!$B$5</f>
        <v>MD1課</v>
      </c>
      <c r="C137" s="185" t="s">
        <v>71</v>
      </c>
      <c r="D137" s="198" t="s">
        <v>194</v>
      </c>
      <c r="E137" s="199"/>
      <c r="F137" s="182">
        <f>[8]人員・時間計画!C24</f>
        <v>0</v>
      </c>
      <c r="G137" s="182">
        <f>[8]人員・時間計画!D24</f>
        <v>0</v>
      </c>
      <c r="H137" s="182">
        <f>[8]人員・時間計画!E24</f>
        <v>0</v>
      </c>
      <c r="I137" s="182">
        <f>[8]人員・時間計画!F24</f>
        <v>0</v>
      </c>
      <c r="J137" s="182">
        <f>[8]人員・時間計画!G24</f>
        <v>0</v>
      </c>
      <c r="K137" s="182">
        <f>[8]人員・時間計画!H24</f>
        <v>0</v>
      </c>
      <c r="L137" s="182">
        <f>[8]人員・時間計画!I24</f>
        <v>0</v>
      </c>
      <c r="M137" s="182">
        <f>[8]人員・時間計画!J24</f>
        <v>0</v>
      </c>
      <c r="N137" s="182">
        <f>[8]人員・時間計画!K24</f>
        <v>0</v>
      </c>
      <c r="O137" s="182">
        <f>[8]人員・時間計画!L24</f>
        <v>0</v>
      </c>
      <c r="P137" s="182">
        <f>[8]人員・時間計画!M24</f>
        <v>0</v>
      </c>
      <c r="Q137" s="182">
        <f>[8]人員・時間計画!N24</f>
        <v>0</v>
      </c>
    </row>
    <row r="138" spans="1:17" ht="14.5" hidden="1" thickBot="1">
      <c r="A138">
        <f>[8]人員・時間計画!$A$5</f>
        <v>1412000050</v>
      </c>
      <c r="B138" t="str">
        <f>[8]人員・時間計画!$B$5</f>
        <v>MD1課</v>
      </c>
      <c r="C138" s="185" t="s">
        <v>71</v>
      </c>
      <c r="D138" s="200"/>
      <c r="E138" s="206" t="s">
        <v>139</v>
      </c>
      <c r="F138" s="182">
        <f>[8]人員・時間計画!C25</f>
        <v>170</v>
      </c>
      <c r="G138" s="182">
        <f>[8]人員・時間計画!D25</f>
        <v>166</v>
      </c>
      <c r="H138" s="182">
        <f>[8]人員・時間計画!E25</f>
        <v>174</v>
      </c>
      <c r="I138" s="182">
        <f>[8]人員・時間計画!F25</f>
        <v>182</v>
      </c>
      <c r="J138" s="182">
        <f>[8]人員・時間計画!G25</f>
        <v>170</v>
      </c>
      <c r="K138" s="182">
        <f>[8]人員・時間計画!H25</f>
        <v>166</v>
      </c>
      <c r="L138" s="182">
        <f>[8]人員・時間計画!I25</f>
        <v>182</v>
      </c>
      <c r="M138" s="182">
        <f>[8]人員・時間計画!J25</f>
        <v>170</v>
      </c>
      <c r="N138" s="182">
        <f>[8]人員・時間計画!K25</f>
        <v>178</v>
      </c>
      <c r="O138" s="182">
        <f>[8]人員・時間計画!L25</f>
        <v>170</v>
      </c>
      <c r="P138" s="182">
        <f>[8]人員・時間計画!M25</f>
        <v>150</v>
      </c>
      <c r="Q138" s="182">
        <f>[8]人員・時間計画!N25</f>
        <v>170</v>
      </c>
    </row>
    <row r="139" spans="1:17" ht="14.5" thickBot="1">
      <c r="A139">
        <f>[8]人員・時間計画!$A$5</f>
        <v>1412000050</v>
      </c>
      <c r="B139" t="str">
        <f>[8]人員・時間計画!$B$5</f>
        <v>MD1課</v>
      </c>
      <c r="C139" s="185" t="s">
        <v>71</v>
      </c>
      <c r="D139" s="201" t="s">
        <v>195</v>
      </c>
      <c r="E139" s="207" t="s">
        <v>140</v>
      </c>
      <c r="F139" s="182">
        <f>[8]人員・時間計画!C26</f>
        <v>0</v>
      </c>
      <c r="G139" s="182">
        <f>[8]人員・時間計画!D26</f>
        <v>0</v>
      </c>
      <c r="H139" s="182">
        <f>[8]人員・時間計画!E26</f>
        <v>0</v>
      </c>
      <c r="I139" s="182">
        <f>[8]人員・時間計画!F26</f>
        <v>0</v>
      </c>
      <c r="J139" s="182">
        <f>[8]人員・時間計画!G26</f>
        <v>0</v>
      </c>
      <c r="K139" s="182">
        <f>[8]人員・時間計画!H26</f>
        <v>0</v>
      </c>
      <c r="L139" s="182">
        <f>[8]人員・時間計画!I26</f>
        <v>0</v>
      </c>
      <c r="M139" s="182">
        <f>[8]人員・時間計画!J26</f>
        <v>0</v>
      </c>
      <c r="N139" s="182">
        <f>[8]人員・時間計画!K26</f>
        <v>0</v>
      </c>
      <c r="O139" s="182">
        <f>[8]人員・時間計画!L26</f>
        <v>0</v>
      </c>
      <c r="P139" s="182">
        <f>[8]人員・時間計画!M26</f>
        <v>0</v>
      </c>
      <c r="Q139" s="182">
        <f>[8]人員・時間計画!N26</f>
        <v>0</v>
      </c>
    </row>
    <row r="140" spans="1:17" ht="14.5" hidden="1" thickBot="1">
      <c r="A140">
        <f>[8]人員・時間計画!$A$5</f>
        <v>1412000050</v>
      </c>
      <c r="B140" t="str">
        <f>[8]人員・時間計画!$B$5</f>
        <v>MD1課</v>
      </c>
      <c r="C140" s="185" t="s">
        <v>71</v>
      </c>
      <c r="D140" s="202"/>
      <c r="E140" s="203" t="s">
        <v>138</v>
      </c>
      <c r="F140" s="182">
        <f>[8]人員・時間計画!C27</f>
        <v>170</v>
      </c>
      <c r="G140" s="182">
        <f>[8]人員・時間計画!D27</f>
        <v>166</v>
      </c>
      <c r="H140" s="182">
        <f>[8]人員・時間計画!E27</f>
        <v>174</v>
      </c>
      <c r="I140" s="182">
        <f>[8]人員・時間計画!F27</f>
        <v>182</v>
      </c>
      <c r="J140" s="182">
        <f>[8]人員・時間計画!G27</f>
        <v>170</v>
      </c>
      <c r="K140" s="182">
        <f>[8]人員・時間計画!H27</f>
        <v>166</v>
      </c>
      <c r="L140" s="182">
        <f>[8]人員・時間計画!I27</f>
        <v>182</v>
      </c>
      <c r="M140" s="182">
        <f>[8]人員・時間計画!J27</f>
        <v>170</v>
      </c>
      <c r="N140" s="182">
        <f>[8]人員・時間計画!K27</f>
        <v>178</v>
      </c>
      <c r="O140" s="182">
        <f>[8]人員・時間計画!L27</f>
        <v>170</v>
      </c>
      <c r="P140" s="182">
        <f>[8]人員・時間計画!M27</f>
        <v>150</v>
      </c>
      <c r="Q140" s="182">
        <f>[8]人員・時間計画!N27</f>
        <v>170</v>
      </c>
    </row>
    <row r="141" spans="1:17" ht="14.5" hidden="1" thickBot="1">
      <c r="A141">
        <f>[8]人員・時間計画!$A$5</f>
        <v>1412000050</v>
      </c>
      <c r="B141" t="str">
        <f>[8]人員・時間計画!$B$5</f>
        <v>MD1課</v>
      </c>
      <c r="C141" s="185" t="s">
        <v>71</v>
      </c>
      <c r="D141" s="204" t="s">
        <v>216</v>
      </c>
      <c r="E141" s="205"/>
      <c r="F141" s="182">
        <f>[8]人員・時間計画!C28</f>
        <v>170</v>
      </c>
      <c r="G141" s="182">
        <f>[8]人員・時間計画!D28</f>
        <v>166</v>
      </c>
      <c r="H141" s="182">
        <f>[8]人員・時間計画!E28</f>
        <v>174</v>
      </c>
      <c r="I141" s="182">
        <f>[8]人員・時間計画!F28</f>
        <v>182</v>
      </c>
      <c r="J141" s="182">
        <f>[8]人員・時間計画!G28</f>
        <v>170</v>
      </c>
      <c r="K141" s="182">
        <f>[8]人員・時間計画!H28</f>
        <v>166</v>
      </c>
      <c r="L141" s="182">
        <f>[8]人員・時間計画!I28</f>
        <v>182</v>
      </c>
      <c r="M141" s="182">
        <f>[8]人員・時間計画!J28</f>
        <v>170</v>
      </c>
      <c r="N141" s="182">
        <f>[8]人員・時間計画!K28</f>
        <v>178</v>
      </c>
      <c r="O141" s="182">
        <f>[8]人員・時間計画!L28</f>
        <v>170</v>
      </c>
      <c r="P141" s="182">
        <f>[8]人員・時間計画!M28</f>
        <v>150</v>
      </c>
      <c r="Q141" s="182">
        <f>[8]人員・時間計画!N28</f>
        <v>170</v>
      </c>
    </row>
    <row r="142" spans="1:17" ht="14.5" hidden="1" thickBot="1">
      <c r="A142">
        <f>[9]人員・時間計画!$A$5</f>
        <v>1412000077</v>
      </c>
      <c r="B142" t="str">
        <f>[9]人員・時間計画!$B$5</f>
        <v>MD2課</v>
      </c>
      <c r="C142" s="185" t="s">
        <v>3</v>
      </c>
      <c r="D142" s="185" t="s">
        <v>3</v>
      </c>
      <c r="E142" s="186"/>
    </row>
    <row r="143" spans="1:17" ht="14.5" hidden="1" thickBot="1">
      <c r="A143">
        <f>[9]人員・時間計画!$A$5</f>
        <v>1412000077</v>
      </c>
      <c r="B143" t="str">
        <f>[9]人員・時間計画!$B$5</f>
        <v>MD2課</v>
      </c>
      <c r="C143" s="185" t="s">
        <v>3</v>
      </c>
      <c r="D143" s="187" t="s">
        <v>194</v>
      </c>
      <c r="E143" s="188"/>
      <c r="F143" s="214">
        <f>[9]人員・時間計画!C10</f>
        <v>9</v>
      </c>
      <c r="G143" s="214">
        <f>[9]人員・時間計画!D10</f>
        <v>9</v>
      </c>
      <c r="H143" s="214">
        <f>[9]人員・時間計画!E10</f>
        <v>9</v>
      </c>
      <c r="I143" s="214">
        <f>[9]人員・時間計画!F10</f>
        <v>9</v>
      </c>
      <c r="J143" s="214">
        <f>[9]人員・時間計画!G10</f>
        <v>9</v>
      </c>
      <c r="K143" s="214">
        <f>[9]人員・時間計画!H10</f>
        <v>9</v>
      </c>
      <c r="L143" s="214">
        <f>[9]人員・時間計画!I10</f>
        <v>11</v>
      </c>
      <c r="M143" s="214">
        <f>[9]人員・時間計画!J10</f>
        <v>11</v>
      </c>
      <c r="N143" s="214">
        <f>[9]人員・時間計画!K10</f>
        <v>11</v>
      </c>
      <c r="O143" s="214">
        <f>[9]人員・時間計画!L10</f>
        <v>11</v>
      </c>
      <c r="P143" s="214">
        <f>[9]人員・時間計画!M10</f>
        <v>11</v>
      </c>
      <c r="Q143" s="214">
        <f>[9]人員・時間計画!N10</f>
        <v>11</v>
      </c>
    </row>
    <row r="144" spans="1:17" ht="14.5" hidden="1" thickBot="1">
      <c r="A144">
        <f>[9]人員・時間計画!$A$5</f>
        <v>1412000077</v>
      </c>
      <c r="B144" t="str">
        <f>[9]人員・時間計画!$B$5</f>
        <v>MD2課</v>
      </c>
      <c r="C144" s="185" t="s">
        <v>3</v>
      </c>
      <c r="D144" s="189"/>
      <c r="E144" s="190" t="s">
        <v>139</v>
      </c>
      <c r="F144" s="214">
        <f>[9]人員・時間計画!C11</f>
        <v>9</v>
      </c>
      <c r="G144" s="214">
        <f>[9]人員・時間計画!D11</f>
        <v>9</v>
      </c>
      <c r="H144" s="214">
        <f>[9]人員・時間計画!E11</f>
        <v>9</v>
      </c>
      <c r="I144" s="214">
        <f>[9]人員・時間計画!F11</f>
        <v>9</v>
      </c>
      <c r="J144" s="214">
        <f>[9]人員・時間計画!G11</f>
        <v>9</v>
      </c>
      <c r="K144" s="214">
        <f>[9]人員・時間計画!H11</f>
        <v>9</v>
      </c>
      <c r="L144" s="214">
        <f>[9]人員・時間計画!I11</f>
        <v>9</v>
      </c>
      <c r="M144" s="214">
        <f>[9]人員・時間計画!J11</f>
        <v>9</v>
      </c>
      <c r="N144" s="214">
        <f>[9]人員・時間計画!K11</f>
        <v>9</v>
      </c>
      <c r="O144" s="214">
        <f>[9]人員・時間計画!L11</f>
        <v>9</v>
      </c>
      <c r="P144" s="214">
        <f>[9]人員・時間計画!M11</f>
        <v>9</v>
      </c>
      <c r="Q144" s="214">
        <f>[9]人員・時間計画!N11</f>
        <v>9</v>
      </c>
    </row>
    <row r="145" spans="1:17" ht="14.5" thickBot="1">
      <c r="A145">
        <f>[9]人員・時間計画!$A$5</f>
        <v>1412000077</v>
      </c>
      <c r="B145" t="str">
        <f>[9]人員・時間計画!$B$5</f>
        <v>MD2課</v>
      </c>
      <c r="C145" s="185" t="s">
        <v>3</v>
      </c>
      <c r="D145" s="191" t="s">
        <v>195</v>
      </c>
      <c r="E145" s="192" t="s">
        <v>140</v>
      </c>
      <c r="F145" s="214">
        <f>[9]人員・時間計画!C12</f>
        <v>0</v>
      </c>
      <c r="G145" s="214">
        <f>[9]人員・時間計画!D12</f>
        <v>0</v>
      </c>
      <c r="H145" s="214">
        <f>[9]人員・時間計画!E12</f>
        <v>0</v>
      </c>
      <c r="I145" s="214">
        <f>[9]人員・時間計画!F12</f>
        <v>0</v>
      </c>
      <c r="J145" s="214">
        <f>[9]人員・時間計画!G12</f>
        <v>0</v>
      </c>
      <c r="K145" s="214">
        <f>[9]人員・時間計画!H12</f>
        <v>0</v>
      </c>
      <c r="L145" s="214">
        <f>[9]人員・時間計画!I12</f>
        <v>0</v>
      </c>
      <c r="M145" s="214">
        <f>[9]人員・時間計画!J12</f>
        <v>0</v>
      </c>
      <c r="N145" s="214">
        <f>[9]人員・時間計画!K12</f>
        <v>0</v>
      </c>
      <c r="O145" s="214">
        <f>[9]人員・時間計画!L12</f>
        <v>0</v>
      </c>
      <c r="P145" s="214">
        <f>[9]人員・時間計画!M12</f>
        <v>0</v>
      </c>
      <c r="Q145" s="214">
        <f>[9]人員・時間計画!N12</f>
        <v>0</v>
      </c>
    </row>
    <row r="146" spans="1:17" ht="14.5" hidden="1" thickBot="1">
      <c r="A146">
        <f>[9]人員・時間計画!$A$5</f>
        <v>1412000077</v>
      </c>
      <c r="B146" t="str">
        <f>[9]人員・時間計画!$B$5</f>
        <v>MD2課</v>
      </c>
      <c r="C146" s="185" t="s">
        <v>3</v>
      </c>
      <c r="D146" s="193"/>
      <c r="E146" s="194" t="s">
        <v>138</v>
      </c>
      <c r="F146" s="214">
        <f>[9]人員・時間計画!C13</f>
        <v>9</v>
      </c>
      <c r="G146" s="214">
        <f>[9]人員・時間計画!D13</f>
        <v>9</v>
      </c>
      <c r="H146" s="214">
        <f>[9]人員・時間計画!E13</f>
        <v>9</v>
      </c>
      <c r="I146" s="214">
        <f>[9]人員・時間計画!F13</f>
        <v>9</v>
      </c>
      <c r="J146" s="214">
        <f>[9]人員・時間計画!G13</f>
        <v>9</v>
      </c>
      <c r="K146" s="214">
        <f>[9]人員・時間計画!H13</f>
        <v>9</v>
      </c>
      <c r="L146" s="214">
        <f>[9]人員・時間計画!I13</f>
        <v>9</v>
      </c>
      <c r="M146" s="214">
        <f>[9]人員・時間計画!J13</f>
        <v>9</v>
      </c>
      <c r="N146" s="214">
        <f>[9]人員・時間計画!K13</f>
        <v>9</v>
      </c>
      <c r="O146" s="214">
        <f>[9]人員・時間計画!L13</f>
        <v>9</v>
      </c>
      <c r="P146" s="214">
        <f>[9]人員・時間計画!M13</f>
        <v>9</v>
      </c>
      <c r="Q146" s="214">
        <f>[9]人員・時間計画!N13</f>
        <v>9</v>
      </c>
    </row>
    <row r="147" spans="1:17" ht="14.5" hidden="1" thickBot="1">
      <c r="A147">
        <f>[9]人員・時間計画!$A$5</f>
        <v>1412000077</v>
      </c>
      <c r="B147" t="str">
        <f>[9]人員・時間計画!$B$5</f>
        <v>MD2課</v>
      </c>
      <c r="C147" s="185" t="s">
        <v>3</v>
      </c>
      <c r="D147" s="195" t="s">
        <v>196</v>
      </c>
      <c r="E147" s="196"/>
      <c r="F147" s="214">
        <f>[9]人員・時間計画!C14</f>
        <v>18</v>
      </c>
      <c r="G147" s="214">
        <f>[9]人員・時間計画!D14</f>
        <v>18</v>
      </c>
      <c r="H147" s="214">
        <f>[9]人員・時間計画!E14</f>
        <v>18</v>
      </c>
      <c r="I147" s="214">
        <f>[9]人員・時間計画!F14</f>
        <v>18</v>
      </c>
      <c r="J147" s="214">
        <f>[9]人員・時間計画!G14</f>
        <v>18</v>
      </c>
      <c r="K147" s="214">
        <f>[9]人員・時間計画!H14</f>
        <v>18</v>
      </c>
      <c r="L147" s="214">
        <f>[9]人員・時間計画!I14</f>
        <v>20</v>
      </c>
      <c r="M147" s="214">
        <f>[9]人員・時間計画!J14</f>
        <v>20</v>
      </c>
      <c r="N147" s="214">
        <f>[9]人員・時間計画!K14</f>
        <v>20</v>
      </c>
      <c r="O147" s="214">
        <f>[9]人員・時間計画!L14</f>
        <v>20</v>
      </c>
      <c r="P147" s="214">
        <f>[9]人員・時間計画!M14</f>
        <v>20</v>
      </c>
      <c r="Q147" s="214">
        <f>[9]人員・時間計画!N14</f>
        <v>20</v>
      </c>
    </row>
    <row r="148" spans="1:17" ht="14.5" hidden="1" thickBot="1">
      <c r="A148">
        <f>[9]人員・時間計画!$A$5</f>
        <v>1412000077</v>
      </c>
      <c r="B148" t="str">
        <f>[9]人員・時間計画!$B$5</f>
        <v>MD2課</v>
      </c>
      <c r="D148" s="197"/>
      <c r="E148" s="197"/>
    </row>
    <row r="149" spans="1:17" ht="14.5" hidden="1" thickBot="1">
      <c r="A149">
        <f>[9]人員・時間計画!$A$5</f>
        <v>1412000077</v>
      </c>
      <c r="B149" t="str">
        <f>[9]人員・時間計画!$B$5</f>
        <v>MD2課</v>
      </c>
      <c r="C149" s="185" t="s">
        <v>202</v>
      </c>
      <c r="D149" s="185" t="s">
        <v>202</v>
      </c>
      <c r="E149" s="186"/>
    </row>
    <row r="150" spans="1:17" ht="14.5" hidden="1" thickBot="1">
      <c r="A150">
        <f>[9]人員・時間計画!$A$5</f>
        <v>1412000077</v>
      </c>
      <c r="B150" t="str">
        <f>[9]人員・時間計画!$B$5</f>
        <v>MD2課</v>
      </c>
      <c r="C150" s="185" t="s">
        <v>202</v>
      </c>
      <c r="D150" s="198" t="s">
        <v>194</v>
      </c>
      <c r="E150" s="199"/>
      <c r="F150" s="182">
        <f>[9]人員・時間計画!C17</f>
        <v>1521.5</v>
      </c>
      <c r="G150" s="182">
        <f>[9]人員・時間計画!D17</f>
        <v>1445</v>
      </c>
      <c r="H150" s="182">
        <f>[9]人員・時間計画!E17</f>
        <v>1598</v>
      </c>
      <c r="I150" s="182">
        <f>[9]人員・時間計画!F17</f>
        <v>1751</v>
      </c>
      <c r="J150" s="182">
        <f>[9]人員・時間計画!G17</f>
        <v>1521.5</v>
      </c>
      <c r="K150" s="182">
        <f>[9]人員・時間計画!H17</f>
        <v>1445</v>
      </c>
      <c r="L150" s="182">
        <f>[9]人員・時間計画!I17</f>
        <v>2142</v>
      </c>
      <c r="M150" s="182">
        <f>[9]人員・時間計画!J17</f>
        <v>1861.5</v>
      </c>
      <c r="N150" s="182">
        <f>[9]人員・時間計画!K17</f>
        <v>2048.5</v>
      </c>
      <c r="O150" s="182">
        <f>[9]人員・時間計画!L17</f>
        <v>1861.5</v>
      </c>
      <c r="P150" s="182">
        <f>[9]人員・時間計画!M17</f>
        <v>1351.5</v>
      </c>
      <c r="Q150" s="182">
        <f>[9]人員・時間計画!N17</f>
        <v>1861.5</v>
      </c>
    </row>
    <row r="151" spans="1:17" ht="14.5" hidden="1" thickBot="1">
      <c r="A151">
        <f>[9]人員・時間計画!$A$5</f>
        <v>1412000077</v>
      </c>
      <c r="B151" t="str">
        <f>[9]人員・時間計画!$B$5</f>
        <v>MD2課</v>
      </c>
      <c r="C151" s="185" t="s">
        <v>202</v>
      </c>
      <c r="D151" s="200"/>
      <c r="E151" s="190" t="s">
        <v>139</v>
      </c>
      <c r="F151" s="182">
        <f>[9]人員・時間計画!C18</f>
        <v>1470.5</v>
      </c>
      <c r="G151" s="182">
        <f>[9]人員・時間計画!D18</f>
        <v>1394</v>
      </c>
      <c r="H151" s="182">
        <f>[9]人員・時間計画!E18</f>
        <v>1547</v>
      </c>
      <c r="I151" s="182">
        <f>[9]人員・時間計画!F18</f>
        <v>1700</v>
      </c>
      <c r="J151" s="182">
        <f>[9]人員・時間計画!G18</f>
        <v>1470.5</v>
      </c>
      <c r="K151" s="182">
        <f>[9]人員・時間計画!H18</f>
        <v>1394</v>
      </c>
      <c r="L151" s="182">
        <f>[9]人員・時間計画!I18</f>
        <v>1700</v>
      </c>
      <c r="M151" s="182">
        <f>[9]人員・時間計画!J18</f>
        <v>1470.5</v>
      </c>
      <c r="N151" s="182">
        <f>[9]人員・時間計画!K18</f>
        <v>1623.5</v>
      </c>
      <c r="O151" s="182">
        <f>[9]人員・時間計画!L18</f>
        <v>1470.5</v>
      </c>
      <c r="P151" s="182">
        <f>[9]人員・時間計画!M18</f>
        <v>1088</v>
      </c>
      <c r="Q151" s="182">
        <f>[9]人員・時間計画!N18</f>
        <v>1470.5</v>
      </c>
    </row>
    <row r="152" spans="1:17" ht="14.5" thickBot="1">
      <c r="A152">
        <f>[9]人員・時間計画!$A$5</f>
        <v>1412000077</v>
      </c>
      <c r="B152" t="str">
        <f>[9]人員・時間計画!$B$5</f>
        <v>MD2課</v>
      </c>
      <c r="C152" s="185" t="s">
        <v>202</v>
      </c>
      <c r="D152" s="201" t="s">
        <v>195</v>
      </c>
      <c r="E152" s="192" t="s">
        <v>140</v>
      </c>
      <c r="F152" s="182">
        <f>[9]人員・時間計画!C19</f>
        <v>0</v>
      </c>
      <c r="G152" s="182">
        <f>[9]人員・時間計画!D19</f>
        <v>0</v>
      </c>
      <c r="H152" s="182">
        <f>[9]人員・時間計画!E19</f>
        <v>0</v>
      </c>
      <c r="I152" s="182">
        <f>[9]人員・時間計画!F19</f>
        <v>0</v>
      </c>
      <c r="J152" s="182">
        <f>[9]人員・時間計画!G19</f>
        <v>0</v>
      </c>
      <c r="K152" s="182">
        <f>[9]人員・時間計画!H19</f>
        <v>0</v>
      </c>
      <c r="L152" s="182">
        <f>[9]人員・時間計画!I19</f>
        <v>0</v>
      </c>
      <c r="M152" s="182">
        <f>[9]人員・時間計画!J19</f>
        <v>0</v>
      </c>
      <c r="N152" s="182">
        <f>[9]人員・時間計画!K19</f>
        <v>0</v>
      </c>
      <c r="O152" s="182">
        <f>[9]人員・時間計画!L19</f>
        <v>0</v>
      </c>
      <c r="P152" s="182">
        <f>[9]人員・時間計画!M19</f>
        <v>0</v>
      </c>
      <c r="Q152" s="182">
        <f>[9]人員・時間計画!N19</f>
        <v>0</v>
      </c>
    </row>
    <row r="153" spans="1:17" ht="14.5" hidden="1" thickBot="1">
      <c r="A153">
        <f>[9]人員・時間計画!$A$5</f>
        <v>1412000077</v>
      </c>
      <c r="B153" t="str">
        <f>[9]人員・時間計画!$B$5</f>
        <v>MD2課</v>
      </c>
      <c r="C153" s="185" t="s">
        <v>202</v>
      </c>
      <c r="D153" s="202"/>
      <c r="E153" s="203" t="s">
        <v>138</v>
      </c>
      <c r="F153" s="182">
        <f>[9]人員・時間計画!C20</f>
        <v>1470.5</v>
      </c>
      <c r="G153" s="182">
        <f>[9]人員・時間計画!D20</f>
        <v>1394</v>
      </c>
      <c r="H153" s="182">
        <f>[9]人員・時間計画!E20</f>
        <v>1547</v>
      </c>
      <c r="I153" s="182">
        <f>[9]人員・時間計画!F20</f>
        <v>1700</v>
      </c>
      <c r="J153" s="182">
        <f>[9]人員・時間計画!G20</f>
        <v>1470.5</v>
      </c>
      <c r="K153" s="182">
        <f>[9]人員・時間計画!H20</f>
        <v>1394</v>
      </c>
      <c r="L153" s="182">
        <f>[9]人員・時間計画!I20</f>
        <v>1700</v>
      </c>
      <c r="M153" s="182">
        <f>[9]人員・時間計画!J20</f>
        <v>1470.5</v>
      </c>
      <c r="N153" s="182">
        <f>[9]人員・時間計画!K20</f>
        <v>1623.5</v>
      </c>
      <c r="O153" s="182">
        <f>[9]人員・時間計画!L20</f>
        <v>1470.5</v>
      </c>
      <c r="P153" s="182">
        <f>[9]人員・時間計画!M20</f>
        <v>1088</v>
      </c>
      <c r="Q153" s="182">
        <f>[9]人員・時間計画!N20</f>
        <v>1470.5</v>
      </c>
    </row>
    <row r="154" spans="1:17" ht="14.5" hidden="1" thickBot="1">
      <c r="A154">
        <f>[9]人員・時間計画!$A$5</f>
        <v>1412000077</v>
      </c>
      <c r="B154" t="str">
        <f>[9]人員・時間計画!$B$5</f>
        <v>MD2課</v>
      </c>
      <c r="C154" s="185" t="s">
        <v>202</v>
      </c>
      <c r="D154" s="204" t="s">
        <v>215</v>
      </c>
      <c r="E154" s="205"/>
      <c r="F154" s="182">
        <f>[9]人員・時間計画!C21</f>
        <v>2992</v>
      </c>
      <c r="G154" s="182">
        <f>[9]人員・時間計画!D21</f>
        <v>2839</v>
      </c>
      <c r="H154" s="182">
        <f>[9]人員・時間計画!E21</f>
        <v>3145</v>
      </c>
      <c r="I154" s="182">
        <f>[9]人員・時間計画!F21</f>
        <v>3451</v>
      </c>
      <c r="J154" s="182">
        <f>[9]人員・時間計画!G21</f>
        <v>2992</v>
      </c>
      <c r="K154" s="182">
        <f>[9]人員・時間計画!H21</f>
        <v>2839</v>
      </c>
      <c r="L154" s="182">
        <f>[9]人員・時間計画!I21</f>
        <v>3842</v>
      </c>
      <c r="M154" s="182">
        <f>[9]人員・時間計画!J21</f>
        <v>3332</v>
      </c>
      <c r="N154" s="182">
        <f>[9]人員・時間計画!K21</f>
        <v>3672</v>
      </c>
      <c r="O154" s="182">
        <f>[9]人員・時間計画!L21</f>
        <v>3332</v>
      </c>
      <c r="P154" s="182">
        <f>[9]人員・時間計画!M21</f>
        <v>2439.5</v>
      </c>
      <c r="Q154" s="182">
        <f>[9]人員・時間計画!N21</f>
        <v>3332</v>
      </c>
    </row>
    <row r="155" spans="1:17" ht="14.5" hidden="1" thickBot="1">
      <c r="A155">
        <f>[9]人員・時間計画!$A$5</f>
        <v>1412000077</v>
      </c>
      <c r="B155" t="str">
        <f>[9]人員・時間計画!$B$5</f>
        <v>MD2課</v>
      </c>
      <c r="D155" s="197"/>
      <c r="E155" s="197"/>
    </row>
    <row r="156" spans="1:17" ht="14.5" hidden="1" thickBot="1">
      <c r="A156">
        <f>[9]人員・時間計画!$A$5</f>
        <v>1412000077</v>
      </c>
      <c r="B156" t="str">
        <f>[9]人員・時間計画!$B$5</f>
        <v>MD2課</v>
      </c>
      <c r="C156" s="185" t="s">
        <v>71</v>
      </c>
      <c r="D156" s="185" t="s">
        <v>71</v>
      </c>
      <c r="E156" s="186"/>
    </row>
    <row r="157" spans="1:17" ht="14.5" hidden="1" thickBot="1">
      <c r="A157">
        <f>[9]人員・時間計画!$A$5</f>
        <v>1412000077</v>
      </c>
      <c r="B157" t="str">
        <f>[9]人員・時間計画!$B$5</f>
        <v>MD2課</v>
      </c>
      <c r="C157" s="185" t="s">
        <v>71</v>
      </c>
      <c r="D157" s="198" t="s">
        <v>194</v>
      </c>
      <c r="E157" s="199"/>
      <c r="F157" s="182">
        <f>[9]人員・時間計画!C24</f>
        <v>358</v>
      </c>
      <c r="G157" s="182">
        <f>[9]人員・時間計画!D24</f>
        <v>340</v>
      </c>
      <c r="H157" s="182">
        <f>[9]人員・時間計画!E24</f>
        <v>376</v>
      </c>
      <c r="I157" s="182">
        <f>[9]人員・時間計画!F24</f>
        <v>412</v>
      </c>
      <c r="J157" s="182">
        <f>[9]人員・時間計画!G24</f>
        <v>358</v>
      </c>
      <c r="K157" s="182">
        <f>[9]人員・時間計画!H24</f>
        <v>340</v>
      </c>
      <c r="L157" s="182">
        <f>[9]人員・時間計画!I24</f>
        <v>504</v>
      </c>
      <c r="M157" s="182">
        <f>[9]人員・時間計画!J24</f>
        <v>438</v>
      </c>
      <c r="N157" s="182">
        <f>[9]人員・時間計画!K24</f>
        <v>482</v>
      </c>
      <c r="O157" s="182">
        <f>[9]人員・時間計画!L24</f>
        <v>438</v>
      </c>
      <c r="P157" s="182">
        <f>[9]人員・時間計画!M24</f>
        <v>318</v>
      </c>
      <c r="Q157" s="182">
        <f>[9]人員・時間計画!N24</f>
        <v>438</v>
      </c>
    </row>
    <row r="158" spans="1:17" ht="14.5" hidden="1" thickBot="1">
      <c r="A158">
        <f>[9]人員・時間計画!$A$5</f>
        <v>1412000077</v>
      </c>
      <c r="B158" t="str">
        <f>[9]人員・時間計画!$B$5</f>
        <v>MD2課</v>
      </c>
      <c r="C158" s="185" t="s">
        <v>71</v>
      </c>
      <c r="D158" s="200"/>
      <c r="E158" s="206" t="s">
        <v>139</v>
      </c>
      <c r="F158" s="182">
        <f>[9]人員・時間計画!C25</f>
        <v>144</v>
      </c>
      <c r="G158" s="182">
        <f>[9]人員・時間計画!D25</f>
        <v>142</v>
      </c>
      <c r="H158" s="182">
        <f>[9]人員・時間計画!E25</f>
        <v>146</v>
      </c>
      <c r="I158" s="182">
        <f>[9]人員・時間計画!F25</f>
        <v>150</v>
      </c>
      <c r="J158" s="182">
        <f>[9]人員・時間計画!G25</f>
        <v>144</v>
      </c>
      <c r="K158" s="182">
        <f>[9]人員・時間計画!H25</f>
        <v>142</v>
      </c>
      <c r="L158" s="182">
        <f>[9]人員・時間計画!I25</f>
        <v>150</v>
      </c>
      <c r="M158" s="182">
        <f>[9]人員・時間計画!J25</f>
        <v>144</v>
      </c>
      <c r="N158" s="182">
        <f>[9]人員・時間計画!K25</f>
        <v>148</v>
      </c>
      <c r="O158" s="182">
        <f>[9]人員・時間計画!L25</f>
        <v>144</v>
      </c>
      <c r="P158" s="182">
        <f>[9]人員・時間計画!M25</f>
        <v>134</v>
      </c>
      <c r="Q158" s="182">
        <f>[9]人員・時間計画!N25</f>
        <v>144</v>
      </c>
    </row>
    <row r="159" spans="1:17" ht="14.5" thickBot="1">
      <c r="A159">
        <f>[9]人員・時間計画!$A$5</f>
        <v>1412000077</v>
      </c>
      <c r="B159" t="str">
        <f>[9]人員・時間計画!$B$5</f>
        <v>MD2課</v>
      </c>
      <c r="C159" s="185" t="s">
        <v>71</v>
      </c>
      <c r="D159" s="201" t="s">
        <v>195</v>
      </c>
      <c r="E159" s="207" t="s">
        <v>140</v>
      </c>
      <c r="F159" s="182">
        <f>[9]人員・時間計画!C26</f>
        <v>0</v>
      </c>
      <c r="G159" s="182">
        <f>[9]人員・時間計画!D26</f>
        <v>0</v>
      </c>
      <c r="H159" s="182">
        <f>[9]人員・時間計画!E26</f>
        <v>0</v>
      </c>
      <c r="I159" s="182">
        <f>[9]人員・時間計画!F26</f>
        <v>0</v>
      </c>
      <c r="J159" s="182">
        <f>[9]人員・時間計画!G26</f>
        <v>0</v>
      </c>
      <c r="K159" s="182">
        <f>[9]人員・時間計画!H26</f>
        <v>0</v>
      </c>
      <c r="L159" s="182">
        <f>[9]人員・時間計画!I26</f>
        <v>0</v>
      </c>
      <c r="M159" s="182">
        <f>[9]人員・時間計画!J26</f>
        <v>0</v>
      </c>
      <c r="N159" s="182">
        <f>[9]人員・時間計画!K26</f>
        <v>0</v>
      </c>
      <c r="O159" s="182">
        <f>[9]人員・時間計画!L26</f>
        <v>0</v>
      </c>
      <c r="P159" s="182">
        <f>[9]人員・時間計画!M26</f>
        <v>0</v>
      </c>
      <c r="Q159" s="182">
        <f>[9]人員・時間計画!N26</f>
        <v>0</v>
      </c>
    </row>
    <row r="160" spans="1:17" ht="14.5" hidden="1" thickBot="1">
      <c r="A160">
        <f>[9]人員・時間計画!$A$5</f>
        <v>1412000077</v>
      </c>
      <c r="B160" t="str">
        <f>[9]人員・時間計画!$B$5</f>
        <v>MD2課</v>
      </c>
      <c r="C160" s="185" t="s">
        <v>71</v>
      </c>
      <c r="D160" s="202"/>
      <c r="E160" s="203" t="s">
        <v>138</v>
      </c>
      <c r="F160" s="182">
        <f>[9]人員・時間計画!C27</f>
        <v>144</v>
      </c>
      <c r="G160" s="182">
        <f>[9]人員・時間計画!D27</f>
        <v>142</v>
      </c>
      <c r="H160" s="182">
        <f>[9]人員・時間計画!E27</f>
        <v>146</v>
      </c>
      <c r="I160" s="182">
        <f>[9]人員・時間計画!F27</f>
        <v>150</v>
      </c>
      <c r="J160" s="182">
        <f>[9]人員・時間計画!G27</f>
        <v>144</v>
      </c>
      <c r="K160" s="182">
        <f>[9]人員・時間計画!H27</f>
        <v>142</v>
      </c>
      <c r="L160" s="182">
        <f>[9]人員・時間計画!I27</f>
        <v>150</v>
      </c>
      <c r="M160" s="182">
        <f>[9]人員・時間計画!J27</f>
        <v>144</v>
      </c>
      <c r="N160" s="182">
        <f>[9]人員・時間計画!K27</f>
        <v>148</v>
      </c>
      <c r="O160" s="182">
        <f>[9]人員・時間計画!L27</f>
        <v>144</v>
      </c>
      <c r="P160" s="182">
        <f>[9]人員・時間計画!M27</f>
        <v>134</v>
      </c>
      <c r="Q160" s="182">
        <f>[9]人員・時間計画!N27</f>
        <v>144</v>
      </c>
    </row>
    <row r="161" spans="1:17" ht="14.5" hidden="1" thickBot="1">
      <c r="A161">
        <f>[9]人員・時間計画!$A$5</f>
        <v>1412000077</v>
      </c>
      <c r="B161" t="str">
        <f>[9]人員・時間計画!$B$5</f>
        <v>MD2課</v>
      </c>
      <c r="C161" s="185" t="s">
        <v>71</v>
      </c>
      <c r="D161" s="204" t="s">
        <v>216</v>
      </c>
      <c r="E161" s="205"/>
      <c r="F161" s="182">
        <f>[9]人員・時間計画!C28</f>
        <v>502</v>
      </c>
      <c r="G161" s="182">
        <f>[9]人員・時間計画!D28</f>
        <v>482</v>
      </c>
      <c r="H161" s="182">
        <f>[9]人員・時間計画!E28</f>
        <v>522</v>
      </c>
      <c r="I161" s="182">
        <f>[9]人員・時間計画!F28</f>
        <v>562</v>
      </c>
      <c r="J161" s="182">
        <f>[9]人員・時間計画!G28</f>
        <v>502</v>
      </c>
      <c r="K161" s="182">
        <f>[9]人員・時間計画!H28</f>
        <v>482</v>
      </c>
      <c r="L161" s="182">
        <f>[9]人員・時間計画!I28</f>
        <v>654</v>
      </c>
      <c r="M161" s="182">
        <f>[9]人員・時間計画!J28</f>
        <v>582</v>
      </c>
      <c r="N161" s="182">
        <f>[9]人員・時間計画!K28</f>
        <v>630</v>
      </c>
      <c r="O161" s="182">
        <f>[9]人員・時間計画!L28</f>
        <v>582</v>
      </c>
      <c r="P161" s="182">
        <f>[9]人員・時間計画!M28</f>
        <v>452</v>
      </c>
      <c r="Q161" s="182">
        <f>[9]人員・時間計画!N28</f>
        <v>582</v>
      </c>
    </row>
    <row r="162" spans="1:17" ht="14.5" hidden="1" thickBot="1">
      <c r="A162">
        <f>[24]人員・時間計画!$A$5</f>
        <v>1412000053</v>
      </c>
      <c r="B162" t="str">
        <f>[24]人員・時間計画!$B$5</f>
        <v>工程品質管理1課</v>
      </c>
      <c r="C162" s="185" t="s">
        <v>3</v>
      </c>
      <c r="D162" s="185" t="s">
        <v>3</v>
      </c>
      <c r="E162" s="186"/>
    </row>
    <row r="163" spans="1:17" ht="14.5" hidden="1" thickBot="1">
      <c r="A163">
        <f>[24]人員・時間計画!$A$5</f>
        <v>1412000053</v>
      </c>
      <c r="B163" t="str">
        <f>[24]人員・時間計画!$B$5</f>
        <v>工程品質管理1課</v>
      </c>
      <c r="C163" s="185" t="s">
        <v>3</v>
      </c>
      <c r="D163" s="187" t="s">
        <v>194</v>
      </c>
      <c r="E163" s="188"/>
      <c r="F163" s="214">
        <f>[24]人員・時間計画!C10</f>
        <v>2</v>
      </c>
      <c r="G163" s="214">
        <f>[24]人員・時間計画!D10</f>
        <v>2</v>
      </c>
      <c r="H163" s="214">
        <f>[24]人員・時間計画!E10</f>
        <v>2</v>
      </c>
      <c r="I163" s="214">
        <f>[24]人員・時間計画!F10</f>
        <v>2</v>
      </c>
      <c r="J163" s="214">
        <f>[24]人員・時間計画!G10</f>
        <v>2</v>
      </c>
      <c r="K163" s="214">
        <f>[24]人員・時間計画!H10</f>
        <v>2</v>
      </c>
      <c r="L163" s="214">
        <f>[24]人員・時間計画!I10</f>
        <v>2</v>
      </c>
      <c r="M163" s="214">
        <f>[24]人員・時間計画!J10</f>
        <v>2</v>
      </c>
      <c r="N163" s="214">
        <f>[24]人員・時間計画!K10</f>
        <v>2</v>
      </c>
      <c r="O163" s="214">
        <f>[24]人員・時間計画!L10</f>
        <v>2</v>
      </c>
      <c r="P163" s="214">
        <f>[24]人員・時間計画!M10</f>
        <v>2</v>
      </c>
      <c r="Q163" s="214">
        <f>[24]人員・時間計画!N10</f>
        <v>2</v>
      </c>
    </row>
    <row r="164" spans="1:17" ht="14.5" hidden="1" thickBot="1">
      <c r="A164">
        <f>[24]人員・時間計画!$A$5</f>
        <v>1412000053</v>
      </c>
      <c r="B164" t="str">
        <f>[24]人員・時間計画!$B$5</f>
        <v>工程品質管理1課</v>
      </c>
      <c r="C164" s="185" t="s">
        <v>3</v>
      </c>
      <c r="D164" s="189"/>
      <c r="E164" s="190" t="s">
        <v>139</v>
      </c>
      <c r="F164" s="214">
        <f>[24]人員・時間計画!C11</f>
        <v>94</v>
      </c>
      <c r="G164" s="214">
        <f>[24]人員・時間計画!D11</f>
        <v>94</v>
      </c>
      <c r="H164" s="214">
        <f>[24]人員・時間計画!E11</f>
        <v>94</v>
      </c>
      <c r="I164" s="214">
        <f>[24]人員・時間計画!F11</f>
        <v>102</v>
      </c>
      <c r="J164" s="214">
        <f>[24]人員・時間計画!G11</f>
        <v>102</v>
      </c>
      <c r="K164" s="214">
        <f>[24]人員・時間計画!H11</f>
        <v>102</v>
      </c>
      <c r="L164" s="214">
        <f>[24]人員・時間計画!I11</f>
        <v>103</v>
      </c>
      <c r="M164" s="214">
        <f>[24]人員・時間計画!J11</f>
        <v>103</v>
      </c>
      <c r="N164" s="214">
        <f>[24]人員・時間計画!K11</f>
        <v>103</v>
      </c>
      <c r="O164" s="214">
        <f>[24]人員・時間計画!L11</f>
        <v>110</v>
      </c>
      <c r="P164" s="214">
        <f>[24]人員・時間計画!M11</f>
        <v>110</v>
      </c>
      <c r="Q164" s="214">
        <f>[24]人員・時間計画!N11</f>
        <v>110</v>
      </c>
    </row>
    <row r="165" spans="1:17" ht="14.5" thickBot="1">
      <c r="A165">
        <f>[24]人員・時間計画!$A$5</f>
        <v>1412000053</v>
      </c>
      <c r="B165" t="str">
        <f>[24]人員・時間計画!$B$5</f>
        <v>工程品質管理1課</v>
      </c>
      <c r="C165" s="185" t="s">
        <v>3</v>
      </c>
      <c r="D165" s="191" t="s">
        <v>195</v>
      </c>
      <c r="E165" s="192" t="s">
        <v>140</v>
      </c>
      <c r="F165" s="214">
        <f>[24]人員・時間計画!C12</f>
        <v>102</v>
      </c>
      <c r="G165" s="214">
        <f>[24]人員・時間計画!D12</f>
        <v>102</v>
      </c>
      <c r="H165" s="214">
        <f>[24]人員・時間計画!E12</f>
        <v>102</v>
      </c>
      <c r="I165" s="214">
        <f>[24]人員・時間計画!F12</f>
        <v>94</v>
      </c>
      <c r="J165" s="214">
        <f>[24]人員・時間計画!G12</f>
        <v>94</v>
      </c>
      <c r="K165" s="214">
        <f>[24]人員・時間計画!H12</f>
        <v>94</v>
      </c>
      <c r="L165" s="214">
        <f>[24]人員・時間計画!I12</f>
        <v>97</v>
      </c>
      <c r="M165" s="214">
        <f>[24]人員・時間計画!J12</f>
        <v>97</v>
      </c>
      <c r="N165" s="214">
        <f>[24]人員・時間計画!K12</f>
        <v>97</v>
      </c>
      <c r="O165" s="214">
        <f>[24]人員・時間計画!L12</f>
        <v>91</v>
      </c>
      <c r="P165" s="214">
        <f>[24]人員・時間計画!M12</f>
        <v>108</v>
      </c>
      <c r="Q165" s="214">
        <f>[24]人員・時間計画!N12</f>
        <v>108</v>
      </c>
    </row>
    <row r="166" spans="1:17" ht="14.5" hidden="1" thickBot="1">
      <c r="A166">
        <f>[24]人員・時間計画!$A$5</f>
        <v>1412000053</v>
      </c>
      <c r="B166" t="str">
        <f>[24]人員・時間計画!$B$5</f>
        <v>工程品質管理1課</v>
      </c>
      <c r="C166" s="185" t="s">
        <v>3</v>
      </c>
      <c r="D166" s="193"/>
      <c r="E166" s="194" t="s">
        <v>138</v>
      </c>
      <c r="F166" s="214">
        <f>[24]人員・時間計画!C13</f>
        <v>196</v>
      </c>
      <c r="G166" s="214">
        <f>[24]人員・時間計画!D13</f>
        <v>196</v>
      </c>
      <c r="H166" s="214">
        <f>[24]人員・時間計画!E13</f>
        <v>196</v>
      </c>
      <c r="I166" s="214">
        <f>[24]人員・時間計画!F13</f>
        <v>196</v>
      </c>
      <c r="J166" s="214">
        <f>[24]人員・時間計画!G13</f>
        <v>196</v>
      </c>
      <c r="K166" s="214">
        <f>[24]人員・時間計画!H13</f>
        <v>196</v>
      </c>
      <c r="L166" s="214">
        <f>[24]人員・時間計画!I13</f>
        <v>200</v>
      </c>
      <c r="M166" s="214">
        <f>[24]人員・時間計画!J13</f>
        <v>200</v>
      </c>
      <c r="N166" s="214">
        <f>[24]人員・時間計画!K13</f>
        <v>200</v>
      </c>
      <c r="O166" s="214">
        <f>[24]人員・時間計画!L13</f>
        <v>201</v>
      </c>
      <c r="P166" s="214">
        <f>[24]人員・時間計画!M13</f>
        <v>218</v>
      </c>
      <c r="Q166" s="214">
        <f>[24]人員・時間計画!N13</f>
        <v>218</v>
      </c>
    </row>
    <row r="167" spans="1:17" ht="14.5" hidden="1" thickBot="1">
      <c r="A167">
        <f>[24]人員・時間計画!$A$5</f>
        <v>1412000053</v>
      </c>
      <c r="B167" t="str">
        <f>[24]人員・時間計画!$B$5</f>
        <v>工程品質管理1課</v>
      </c>
      <c r="C167" s="185" t="s">
        <v>3</v>
      </c>
      <c r="D167" s="195" t="s">
        <v>196</v>
      </c>
      <c r="E167" s="196"/>
      <c r="F167" s="214">
        <f>[24]人員・時間計画!C14</f>
        <v>198</v>
      </c>
      <c r="G167" s="214">
        <f>[24]人員・時間計画!D14</f>
        <v>198</v>
      </c>
      <c r="H167" s="214">
        <f>[24]人員・時間計画!E14</f>
        <v>198</v>
      </c>
      <c r="I167" s="214">
        <f>[24]人員・時間計画!F14</f>
        <v>198</v>
      </c>
      <c r="J167" s="214">
        <f>[24]人員・時間計画!G14</f>
        <v>198</v>
      </c>
      <c r="K167" s="214">
        <f>[24]人員・時間計画!H14</f>
        <v>198</v>
      </c>
      <c r="L167" s="214">
        <f>[24]人員・時間計画!I14</f>
        <v>202</v>
      </c>
      <c r="M167" s="214">
        <f>[24]人員・時間計画!J14</f>
        <v>202</v>
      </c>
      <c r="N167" s="214">
        <f>[24]人員・時間計画!K14</f>
        <v>202</v>
      </c>
      <c r="O167" s="214">
        <f>[24]人員・時間計画!L14</f>
        <v>203</v>
      </c>
      <c r="P167" s="214">
        <f>[24]人員・時間計画!M14</f>
        <v>220</v>
      </c>
      <c r="Q167" s="214">
        <f>[24]人員・時間計画!N14</f>
        <v>220</v>
      </c>
    </row>
    <row r="168" spans="1:17" ht="14.5" hidden="1" thickBot="1">
      <c r="A168">
        <f>[24]人員・時間計画!$A$5</f>
        <v>1412000053</v>
      </c>
      <c r="B168" t="str">
        <f>[24]人員・時間計画!$B$5</f>
        <v>工程品質管理1課</v>
      </c>
      <c r="D168" s="197"/>
      <c r="E168" s="197"/>
    </row>
    <row r="169" spans="1:17" ht="14.5" hidden="1" thickBot="1">
      <c r="A169">
        <f>[24]人員・時間計画!$A$5</f>
        <v>1412000053</v>
      </c>
      <c r="B169" t="str">
        <f>[24]人員・時間計画!$B$5</f>
        <v>工程品質管理1課</v>
      </c>
      <c r="C169" s="185" t="s">
        <v>202</v>
      </c>
      <c r="D169" s="185" t="s">
        <v>202</v>
      </c>
      <c r="E169" s="186"/>
    </row>
    <row r="170" spans="1:17" ht="14.5" hidden="1" thickBot="1">
      <c r="A170">
        <f>[24]人員・時間計画!$A$5</f>
        <v>1412000053</v>
      </c>
      <c r="B170" t="str">
        <f>[24]人員・時間計画!$B$5</f>
        <v>工程品質管理1課</v>
      </c>
      <c r="C170" s="185" t="s">
        <v>202</v>
      </c>
      <c r="D170" s="198" t="s">
        <v>194</v>
      </c>
      <c r="E170" s="199"/>
      <c r="F170" s="182">
        <f>[24]人員・時間計画!C17</f>
        <v>323</v>
      </c>
      <c r="G170" s="182">
        <f>[24]人員・時間計画!D17</f>
        <v>323</v>
      </c>
      <c r="H170" s="182">
        <f>[24]人員・時間計画!E17</f>
        <v>357</v>
      </c>
      <c r="I170" s="182">
        <f>[24]人員・時間計画!F17</f>
        <v>391</v>
      </c>
      <c r="J170" s="182">
        <f>[24]人員・時間計画!G17</f>
        <v>297.5</v>
      </c>
      <c r="K170" s="182">
        <f>[24]人員・時間計画!H17</f>
        <v>306</v>
      </c>
      <c r="L170" s="182">
        <f>[24]人員・時間計画!I17</f>
        <v>391</v>
      </c>
      <c r="M170" s="182">
        <f>[24]人員・時間計画!J17</f>
        <v>340</v>
      </c>
      <c r="N170" s="182">
        <f>[24]人員・時間計画!K17</f>
        <v>357</v>
      </c>
      <c r="O170" s="182">
        <f>[24]人員・時間計画!L17</f>
        <v>306</v>
      </c>
      <c r="P170" s="182">
        <f>[24]人員・時間計画!M17</f>
        <v>255</v>
      </c>
      <c r="Q170" s="182">
        <f>[24]人員・時間計画!N17</f>
        <v>340</v>
      </c>
    </row>
    <row r="171" spans="1:17" ht="14.5" hidden="1" thickBot="1">
      <c r="A171">
        <f>[24]人員・時間計画!$A$5</f>
        <v>1412000053</v>
      </c>
      <c r="B171" t="str">
        <f>[24]人員・時間計画!$B$5</f>
        <v>工程品質管理1課</v>
      </c>
      <c r="C171" s="185" t="s">
        <v>202</v>
      </c>
      <c r="D171" s="200"/>
      <c r="E171" s="190" t="s">
        <v>139</v>
      </c>
      <c r="F171" s="182">
        <f>[24]人員・時間計画!C18</f>
        <v>15021</v>
      </c>
      <c r="G171" s="182">
        <f>[24]人員・時間計画!D18</f>
        <v>14270</v>
      </c>
      <c r="H171" s="182">
        <f>[24]人員・時間計画!E18</f>
        <v>15772</v>
      </c>
      <c r="I171" s="182">
        <f>[24]人員・時間計画!F18</f>
        <v>18745</v>
      </c>
      <c r="J171" s="182">
        <f>[24]人員・時間計画!G18</f>
        <v>16300</v>
      </c>
      <c r="K171" s="182">
        <f>[24]人員・時間計画!H18</f>
        <v>15485</v>
      </c>
      <c r="L171" s="182">
        <f>[24]人員・時間計画!I18</f>
        <v>18928</v>
      </c>
      <c r="M171" s="182">
        <f>[24]人員・時間計画!J18</f>
        <v>16459</v>
      </c>
      <c r="N171" s="182">
        <f>[24]人員・時間計画!K18</f>
        <v>18105</v>
      </c>
      <c r="O171" s="182">
        <f>[24]人員・時間計画!L18</f>
        <v>17578</v>
      </c>
      <c r="P171" s="182">
        <f>[24]人員・時間計画!M18</f>
        <v>13184</v>
      </c>
      <c r="Q171" s="182">
        <f>[24]人員・時間計画!N18</f>
        <v>17578</v>
      </c>
    </row>
    <row r="172" spans="1:17" ht="14.5" thickBot="1">
      <c r="A172">
        <f>[24]人員・時間計画!$A$5</f>
        <v>1412000053</v>
      </c>
      <c r="B172" t="str">
        <f>[24]人員・時間計画!$B$5</f>
        <v>工程品質管理1課</v>
      </c>
      <c r="C172" s="185" t="s">
        <v>202</v>
      </c>
      <c r="D172" s="201" t="s">
        <v>195</v>
      </c>
      <c r="E172" s="192" t="s">
        <v>140</v>
      </c>
      <c r="F172" s="182">
        <f>[24]人員・時間計画!C19</f>
        <v>16300</v>
      </c>
      <c r="G172" s="182">
        <f>[24]人員・時間計画!D19</f>
        <v>15485</v>
      </c>
      <c r="H172" s="182">
        <f>[24]人員・時間計画!E19</f>
        <v>17115</v>
      </c>
      <c r="I172" s="182">
        <f>[24]人員・時間計画!F19</f>
        <v>17274</v>
      </c>
      <c r="J172" s="182">
        <f>[24]人員・時間計画!G19</f>
        <v>15021</v>
      </c>
      <c r="K172" s="182">
        <f>[24]人員・時間計画!H19</f>
        <v>14270</v>
      </c>
      <c r="L172" s="182">
        <f>[24]人員・時間計画!I19</f>
        <v>17826</v>
      </c>
      <c r="M172" s="182">
        <f>[24]人員・時間計画!J19</f>
        <v>15501</v>
      </c>
      <c r="N172" s="182">
        <f>[24]人員・時間計画!K19</f>
        <v>17051</v>
      </c>
      <c r="O172" s="182">
        <f>[24]人員・時間計画!L19</f>
        <v>14542</v>
      </c>
      <c r="P172" s="182">
        <f>[24]人員・時間計画!M19</f>
        <v>12944</v>
      </c>
      <c r="Q172" s="182">
        <f>[24]人員・時間計画!N19</f>
        <v>17258</v>
      </c>
    </row>
    <row r="173" spans="1:17" ht="14.5" hidden="1" thickBot="1">
      <c r="A173">
        <f>[24]人員・時間計画!$A$5</f>
        <v>1412000053</v>
      </c>
      <c r="B173" t="str">
        <f>[24]人員・時間計画!$B$5</f>
        <v>工程品質管理1課</v>
      </c>
      <c r="C173" s="185" t="s">
        <v>202</v>
      </c>
      <c r="D173" s="202"/>
      <c r="E173" s="203" t="s">
        <v>138</v>
      </c>
      <c r="F173" s="182">
        <f>[24]人員・時間計画!C20</f>
        <v>31321</v>
      </c>
      <c r="G173" s="182">
        <f>[24]人員・時間計画!D20</f>
        <v>29755</v>
      </c>
      <c r="H173" s="182">
        <f>[24]人員・時間計画!E20</f>
        <v>32887</v>
      </c>
      <c r="I173" s="182">
        <f>[24]人員・時間計画!F20</f>
        <v>36019</v>
      </c>
      <c r="J173" s="182">
        <f>[24]人員・時間計画!G20</f>
        <v>31321</v>
      </c>
      <c r="K173" s="182">
        <f>[24]人員・時間計画!H20</f>
        <v>29755</v>
      </c>
      <c r="L173" s="182">
        <f>[24]人員・時間計画!I20</f>
        <v>36754</v>
      </c>
      <c r="M173" s="182">
        <f>[24]人員・時間計画!J20</f>
        <v>31960</v>
      </c>
      <c r="N173" s="182">
        <f>[24]人員・時間計画!K20</f>
        <v>35156</v>
      </c>
      <c r="O173" s="182">
        <f>[24]人員・時間計画!L20</f>
        <v>32120</v>
      </c>
      <c r="P173" s="182">
        <f>[24]人員・時間計画!M20</f>
        <v>26128</v>
      </c>
      <c r="Q173" s="182">
        <f>[24]人員・時間計画!N20</f>
        <v>34836</v>
      </c>
    </row>
    <row r="174" spans="1:17" ht="14.5" hidden="1" thickBot="1">
      <c r="A174">
        <f>[24]人員・時間計画!$A$5</f>
        <v>1412000053</v>
      </c>
      <c r="B174" t="str">
        <f>[24]人員・時間計画!$B$5</f>
        <v>工程品質管理1課</v>
      </c>
      <c r="C174" s="185" t="s">
        <v>202</v>
      </c>
      <c r="D174" s="204" t="s">
        <v>215</v>
      </c>
      <c r="E174" s="205"/>
      <c r="F174" s="182">
        <f>[24]人員・時間計画!C21</f>
        <v>31644</v>
      </c>
      <c r="G174" s="182">
        <f>[24]人員・時間計画!D21</f>
        <v>30078</v>
      </c>
      <c r="H174" s="182">
        <f>[24]人員・時間計画!E21</f>
        <v>33244</v>
      </c>
      <c r="I174" s="182">
        <f>[24]人員・時間計画!F21</f>
        <v>36410</v>
      </c>
      <c r="J174" s="182">
        <f>[24]人員・時間計画!G21</f>
        <v>31618.5</v>
      </c>
      <c r="K174" s="182">
        <f>[24]人員・時間計画!H21</f>
        <v>30061</v>
      </c>
      <c r="L174" s="182">
        <f>[24]人員・時間計画!I21</f>
        <v>37145</v>
      </c>
      <c r="M174" s="182">
        <f>[24]人員・時間計画!J21</f>
        <v>32300</v>
      </c>
      <c r="N174" s="182">
        <f>[24]人員・時間計画!K21</f>
        <v>35513</v>
      </c>
      <c r="O174" s="182">
        <f>[24]人員・時間計画!L21</f>
        <v>32426</v>
      </c>
      <c r="P174" s="182">
        <f>[24]人員・時間計画!M21</f>
        <v>26383</v>
      </c>
      <c r="Q174" s="182">
        <f>[24]人員・時間計画!N21</f>
        <v>35176</v>
      </c>
    </row>
    <row r="175" spans="1:17" ht="14.5" hidden="1" thickBot="1">
      <c r="A175">
        <f>[24]人員・時間計画!$A$5</f>
        <v>1412000053</v>
      </c>
      <c r="B175" t="str">
        <f>[24]人員・時間計画!$B$5</f>
        <v>工程品質管理1課</v>
      </c>
      <c r="D175" s="197"/>
      <c r="E175" s="197"/>
    </row>
    <row r="176" spans="1:17" ht="14.5" hidden="1" thickBot="1">
      <c r="A176">
        <f>[24]人員・時間計画!$A$5</f>
        <v>1412000053</v>
      </c>
      <c r="B176" t="str">
        <f>[24]人員・時間計画!$B$5</f>
        <v>工程品質管理1課</v>
      </c>
      <c r="C176" s="185" t="s">
        <v>71</v>
      </c>
      <c r="D176" s="185" t="s">
        <v>71</v>
      </c>
      <c r="E176" s="186"/>
    </row>
    <row r="177" spans="1:17" ht="14.5" hidden="1" thickBot="1">
      <c r="A177">
        <f>[24]人員・時間計画!$A$5</f>
        <v>1412000053</v>
      </c>
      <c r="B177" t="str">
        <f>[24]人員・時間計画!$B$5</f>
        <v>工程品質管理1課</v>
      </c>
      <c r="C177" s="185" t="s">
        <v>71</v>
      </c>
      <c r="D177" s="198" t="s">
        <v>194</v>
      </c>
      <c r="E177" s="199"/>
      <c r="F177" s="182">
        <f>[24]人員・時間計画!C24</f>
        <v>76</v>
      </c>
      <c r="G177" s="182">
        <f>[24]人員・時間計画!D24</f>
        <v>76</v>
      </c>
      <c r="H177" s="182">
        <f>[24]人員・時間計画!E24</f>
        <v>84</v>
      </c>
      <c r="I177" s="182">
        <f>[24]人員・時間計画!F24</f>
        <v>92</v>
      </c>
      <c r="J177" s="182">
        <f>[24]人員・時間計画!G24</f>
        <v>70</v>
      </c>
      <c r="K177" s="182">
        <f>[24]人員・時間計画!H24</f>
        <v>72</v>
      </c>
      <c r="L177" s="182">
        <f>[24]人員・時間計画!I24</f>
        <v>92</v>
      </c>
      <c r="M177" s="182">
        <f>[24]人員・時間計画!J24</f>
        <v>80</v>
      </c>
      <c r="N177" s="182">
        <f>[24]人員・時間計画!K24</f>
        <v>84</v>
      </c>
      <c r="O177" s="182">
        <f>[24]人員・時間計画!L24</f>
        <v>72</v>
      </c>
      <c r="P177" s="182">
        <f>[24]人員・時間計画!M24</f>
        <v>60</v>
      </c>
      <c r="Q177" s="182">
        <f>[24]人員・時間計画!N24</f>
        <v>80</v>
      </c>
    </row>
    <row r="178" spans="1:17" ht="14.5" hidden="1" thickBot="1">
      <c r="A178">
        <f>[24]人員・時間計画!$A$5</f>
        <v>1412000053</v>
      </c>
      <c r="B178" t="str">
        <f>[24]人員・時間計画!$B$5</f>
        <v>工程品質管理1課</v>
      </c>
      <c r="C178" s="185" t="s">
        <v>71</v>
      </c>
      <c r="D178" s="200"/>
      <c r="E178" s="206" t="s">
        <v>139</v>
      </c>
      <c r="F178" s="182">
        <f>[24]人員・時間計画!C25</f>
        <v>2395</v>
      </c>
      <c r="G178" s="182">
        <f>[24]人員・時間計画!D25</f>
        <v>2389</v>
      </c>
      <c r="H178" s="182">
        <f>[24]人員・時間計画!E25</f>
        <v>2401</v>
      </c>
      <c r="I178" s="182">
        <f>[24]人員・時間計画!F25</f>
        <v>2613</v>
      </c>
      <c r="J178" s="182">
        <f>[24]人員・時間計画!G25</f>
        <v>2595</v>
      </c>
      <c r="K178" s="182">
        <f>[24]人員・時間計画!H25</f>
        <v>2589</v>
      </c>
      <c r="L178" s="182">
        <f>[24]人員・時間計画!I25</f>
        <v>2638</v>
      </c>
      <c r="M178" s="182">
        <f>[24]人員・時間計画!J25</f>
        <v>2620</v>
      </c>
      <c r="N178" s="182">
        <f>[24]人員・時間計画!K25</f>
        <v>2632</v>
      </c>
      <c r="O178" s="182">
        <f>[24]人員・時間計画!L25</f>
        <v>2795</v>
      </c>
      <c r="P178" s="182">
        <f>[24]人員・時間計画!M25</f>
        <v>2765</v>
      </c>
      <c r="Q178" s="182">
        <f>[24]人員・時間計画!N25</f>
        <v>2795</v>
      </c>
    </row>
    <row r="179" spans="1:17" ht="14.5" thickBot="1">
      <c r="A179">
        <f>[24]人員・時間計画!$A$5</f>
        <v>1412000053</v>
      </c>
      <c r="B179" t="str">
        <f>[24]人員・時間計画!$B$5</f>
        <v>工程品質管理1課</v>
      </c>
      <c r="C179" s="185" t="s">
        <v>71</v>
      </c>
      <c r="D179" s="201" t="s">
        <v>195</v>
      </c>
      <c r="E179" s="207" t="s">
        <v>140</v>
      </c>
      <c r="F179" s="182">
        <f>[24]人員・時間計画!C26</f>
        <v>2550</v>
      </c>
      <c r="G179" s="182">
        <f>[24]人員・時間計画!D26</f>
        <v>2550</v>
      </c>
      <c r="H179" s="182">
        <f>[24]人員・時間計画!E26</f>
        <v>2550</v>
      </c>
      <c r="I179" s="182">
        <f>[24]人員・時間計画!F26</f>
        <v>2350</v>
      </c>
      <c r="J179" s="182">
        <f>[24]人員・時間計画!G26</f>
        <v>2350</v>
      </c>
      <c r="K179" s="182">
        <f>[24]人員・時間計画!H26</f>
        <v>2350</v>
      </c>
      <c r="L179" s="182">
        <f>[24]人員・時間計画!I26</f>
        <v>2425</v>
      </c>
      <c r="M179" s="182">
        <f>[24]人員・時間計画!J26</f>
        <v>2425</v>
      </c>
      <c r="N179" s="182">
        <f>[24]人員・時間計画!K26</f>
        <v>2425</v>
      </c>
      <c r="O179" s="182">
        <f>[24]人員・時間計画!L26</f>
        <v>2275</v>
      </c>
      <c r="P179" s="182">
        <f>[24]人員・時間計画!M26</f>
        <v>2700</v>
      </c>
      <c r="Q179" s="182">
        <f>[24]人員・時間計画!N26</f>
        <v>2700</v>
      </c>
    </row>
    <row r="180" spans="1:17" ht="14.5" hidden="1" thickBot="1">
      <c r="A180">
        <f>[24]人員・時間計画!$A$5</f>
        <v>1412000053</v>
      </c>
      <c r="B180" t="str">
        <f>[24]人員・時間計画!$B$5</f>
        <v>工程品質管理1課</v>
      </c>
      <c r="C180" s="185" t="s">
        <v>71</v>
      </c>
      <c r="D180" s="202"/>
      <c r="E180" s="203" t="s">
        <v>138</v>
      </c>
      <c r="F180" s="182">
        <f>[24]人員・時間計画!C27</f>
        <v>4945</v>
      </c>
      <c r="G180" s="182">
        <f>[24]人員・時間計画!D27</f>
        <v>4939</v>
      </c>
      <c r="H180" s="182">
        <f>[24]人員・時間計画!E27</f>
        <v>4951</v>
      </c>
      <c r="I180" s="182">
        <f>[24]人員・時間計画!F27</f>
        <v>4963</v>
      </c>
      <c r="J180" s="182">
        <f>[24]人員・時間計画!G27</f>
        <v>4945</v>
      </c>
      <c r="K180" s="182">
        <f>[24]人員・時間計画!H27</f>
        <v>4939</v>
      </c>
      <c r="L180" s="182">
        <f>[24]人員・時間計画!I27</f>
        <v>5063</v>
      </c>
      <c r="M180" s="182">
        <f>[24]人員・時間計画!J27</f>
        <v>5045</v>
      </c>
      <c r="N180" s="182">
        <f>[24]人員・時間計画!K27</f>
        <v>5057</v>
      </c>
      <c r="O180" s="182">
        <f>[24]人員・時間計画!L27</f>
        <v>5070</v>
      </c>
      <c r="P180" s="182">
        <f>[24]人員・時間計画!M27</f>
        <v>5465</v>
      </c>
      <c r="Q180" s="182">
        <f>[24]人員・時間計画!N27</f>
        <v>5495</v>
      </c>
    </row>
    <row r="181" spans="1:17" ht="14.5" hidden="1" thickBot="1">
      <c r="A181">
        <f>[24]人員・時間計画!$A$5</f>
        <v>1412000053</v>
      </c>
      <c r="B181" t="str">
        <f>[24]人員・時間計画!$B$5</f>
        <v>工程品質管理1課</v>
      </c>
      <c r="C181" s="185" t="s">
        <v>71</v>
      </c>
      <c r="D181" s="204" t="s">
        <v>216</v>
      </c>
      <c r="E181" s="205"/>
      <c r="F181" s="182">
        <f>[24]人員・時間計画!C28</f>
        <v>5021</v>
      </c>
      <c r="G181" s="182">
        <f>[24]人員・時間計画!D28</f>
        <v>5015</v>
      </c>
      <c r="H181" s="182">
        <f>[24]人員・時間計画!E28</f>
        <v>5035</v>
      </c>
      <c r="I181" s="182">
        <f>[24]人員・時間計画!F28</f>
        <v>5055</v>
      </c>
      <c r="J181" s="182">
        <f>[24]人員・時間計画!G28</f>
        <v>5015</v>
      </c>
      <c r="K181" s="182">
        <f>[24]人員・時間計画!H28</f>
        <v>5011</v>
      </c>
      <c r="L181" s="182">
        <f>[24]人員・時間計画!I28</f>
        <v>5155</v>
      </c>
      <c r="M181" s="182">
        <f>[24]人員・時間計画!J28</f>
        <v>5125</v>
      </c>
      <c r="N181" s="182">
        <f>[24]人員・時間計画!K28</f>
        <v>5141</v>
      </c>
      <c r="O181" s="182">
        <f>[24]人員・時間計画!L28</f>
        <v>5142</v>
      </c>
      <c r="P181" s="182">
        <f>[24]人員・時間計画!M28</f>
        <v>5525</v>
      </c>
      <c r="Q181" s="182">
        <f>[24]人員・時間計画!N28</f>
        <v>5575</v>
      </c>
    </row>
    <row r="182" spans="1:17" ht="14.5" hidden="1" thickBot="1">
      <c r="A182">
        <f>[26]人員・時間計画!$A$5</f>
        <v>1412000008</v>
      </c>
      <c r="B182" t="str">
        <f>[26]人員・時間計画!$B$5</f>
        <v>生産管理課</v>
      </c>
      <c r="C182" s="185" t="s">
        <v>3</v>
      </c>
      <c r="D182" s="185" t="s">
        <v>3</v>
      </c>
      <c r="E182" s="186"/>
    </row>
    <row r="183" spans="1:17" ht="14.5" hidden="1" thickBot="1">
      <c r="A183">
        <f>[26]人員・時間計画!$A$5</f>
        <v>1412000008</v>
      </c>
      <c r="B183" t="str">
        <f>[26]人員・時間計画!$B$5</f>
        <v>生産管理課</v>
      </c>
      <c r="C183" s="185" t="s">
        <v>3</v>
      </c>
      <c r="D183" s="187" t="s">
        <v>194</v>
      </c>
      <c r="E183" s="188"/>
      <c r="F183" s="214">
        <f>[26]人員・時間計画!C10</f>
        <v>1</v>
      </c>
      <c r="G183" s="214">
        <f>[26]人員・時間計画!D10</f>
        <v>1</v>
      </c>
      <c r="H183" s="214">
        <f>[26]人員・時間計画!E10</f>
        <v>1</v>
      </c>
      <c r="I183" s="214">
        <f>[26]人員・時間計画!F10</f>
        <v>1</v>
      </c>
      <c r="J183" s="214">
        <f>[26]人員・時間計画!G10</f>
        <v>1</v>
      </c>
      <c r="K183" s="214">
        <f>[26]人員・時間計画!H10</f>
        <v>1</v>
      </c>
      <c r="L183" s="214">
        <f>[26]人員・時間計画!I10</f>
        <v>1</v>
      </c>
      <c r="M183" s="214">
        <f>[26]人員・時間計画!J10</f>
        <v>1</v>
      </c>
      <c r="N183" s="214">
        <f>[26]人員・時間計画!K10</f>
        <v>1</v>
      </c>
      <c r="O183" s="214">
        <f>[26]人員・時間計画!L10</f>
        <v>1</v>
      </c>
      <c r="P183" s="214">
        <f>[26]人員・時間計画!M10</f>
        <v>1</v>
      </c>
      <c r="Q183" s="214">
        <f>[26]人員・時間計画!N10</f>
        <v>1</v>
      </c>
    </row>
    <row r="184" spans="1:17" ht="14.5" hidden="1" thickBot="1">
      <c r="A184">
        <f>[26]人員・時間計画!$A$5</f>
        <v>1412000008</v>
      </c>
      <c r="B184" t="str">
        <f>[26]人員・時間計画!$B$5</f>
        <v>生産管理課</v>
      </c>
      <c r="C184" s="185" t="s">
        <v>3</v>
      </c>
      <c r="D184" s="189"/>
      <c r="E184" s="190" t="s">
        <v>139</v>
      </c>
      <c r="F184" s="214">
        <f>[26]人員・時間計画!C11</f>
        <v>10</v>
      </c>
      <c r="G184" s="214">
        <f>[26]人員・時間計画!D11</f>
        <v>10</v>
      </c>
      <c r="H184" s="214">
        <f>[26]人員・時間計画!E11</f>
        <v>10</v>
      </c>
      <c r="I184" s="214">
        <f>[26]人員・時間計画!F11</f>
        <v>10</v>
      </c>
      <c r="J184" s="214">
        <f>[26]人員・時間計画!G11</f>
        <v>10</v>
      </c>
      <c r="K184" s="214">
        <f>[26]人員・時間計画!H11</f>
        <v>10</v>
      </c>
      <c r="L184" s="214">
        <f>[26]人員・時間計画!I11</f>
        <v>10</v>
      </c>
      <c r="M184" s="214">
        <f>[26]人員・時間計画!J11</f>
        <v>10</v>
      </c>
      <c r="N184" s="214">
        <f>[26]人員・時間計画!K11</f>
        <v>10</v>
      </c>
      <c r="O184" s="214">
        <f>[26]人員・時間計画!L11</f>
        <v>10</v>
      </c>
      <c r="P184" s="214">
        <f>[26]人員・時間計画!M11</f>
        <v>10</v>
      </c>
      <c r="Q184" s="214">
        <f>[26]人員・時間計画!N11</f>
        <v>10</v>
      </c>
    </row>
    <row r="185" spans="1:17" ht="14.5" thickBot="1">
      <c r="A185">
        <f>[26]人員・時間計画!$A$5</f>
        <v>1412000008</v>
      </c>
      <c r="B185" t="str">
        <f>[26]人員・時間計画!$B$5</f>
        <v>生産管理課</v>
      </c>
      <c r="C185" s="185" t="s">
        <v>3</v>
      </c>
      <c r="D185" s="191" t="s">
        <v>195</v>
      </c>
      <c r="E185" s="192" t="s">
        <v>140</v>
      </c>
      <c r="F185" s="214">
        <f>[26]人員・時間計画!C12</f>
        <v>0</v>
      </c>
      <c r="G185" s="214">
        <f>[26]人員・時間計画!D12</f>
        <v>0</v>
      </c>
      <c r="H185" s="214">
        <f>[26]人員・時間計画!E12</f>
        <v>0</v>
      </c>
      <c r="I185" s="214">
        <f>[26]人員・時間計画!F12</f>
        <v>0</v>
      </c>
      <c r="J185" s="214">
        <f>[26]人員・時間計画!G12</f>
        <v>0</v>
      </c>
      <c r="K185" s="214">
        <f>[26]人員・時間計画!H12</f>
        <v>0</v>
      </c>
      <c r="L185" s="214">
        <f>[26]人員・時間計画!I12</f>
        <v>0</v>
      </c>
      <c r="M185" s="214">
        <f>[26]人員・時間計画!J12</f>
        <v>0</v>
      </c>
      <c r="N185" s="214">
        <f>[26]人員・時間計画!K12</f>
        <v>0</v>
      </c>
      <c r="O185" s="214">
        <f>[26]人員・時間計画!L12</f>
        <v>0</v>
      </c>
      <c r="P185" s="214">
        <f>[26]人員・時間計画!M12</f>
        <v>0</v>
      </c>
      <c r="Q185" s="214">
        <f>[26]人員・時間計画!N12</f>
        <v>0</v>
      </c>
    </row>
    <row r="186" spans="1:17" ht="14.5" hidden="1" thickBot="1">
      <c r="A186">
        <f>[26]人員・時間計画!$A$5</f>
        <v>1412000008</v>
      </c>
      <c r="B186" t="str">
        <f>[26]人員・時間計画!$B$5</f>
        <v>生産管理課</v>
      </c>
      <c r="C186" s="185" t="s">
        <v>3</v>
      </c>
      <c r="D186" s="193"/>
      <c r="E186" s="194" t="s">
        <v>138</v>
      </c>
      <c r="F186" s="214">
        <f>[26]人員・時間計画!C13</f>
        <v>10</v>
      </c>
      <c r="G186" s="214">
        <f>[26]人員・時間計画!D13</f>
        <v>10</v>
      </c>
      <c r="H186" s="214">
        <f>[26]人員・時間計画!E13</f>
        <v>10</v>
      </c>
      <c r="I186" s="214">
        <f>[26]人員・時間計画!F13</f>
        <v>10</v>
      </c>
      <c r="J186" s="214">
        <f>[26]人員・時間計画!G13</f>
        <v>10</v>
      </c>
      <c r="K186" s="214">
        <f>[26]人員・時間計画!H13</f>
        <v>10</v>
      </c>
      <c r="L186" s="214">
        <f>[26]人員・時間計画!I13</f>
        <v>10</v>
      </c>
      <c r="M186" s="214">
        <f>[26]人員・時間計画!J13</f>
        <v>10</v>
      </c>
      <c r="N186" s="214">
        <f>[26]人員・時間計画!K13</f>
        <v>10</v>
      </c>
      <c r="O186" s="214">
        <f>[26]人員・時間計画!L13</f>
        <v>10</v>
      </c>
      <c r="P186" s="214">
        <f>[26]人員・時間計画!M13</f>
        <v>10</v>
      </c>
      <c r="Q186" s="214">
        <f>[26]人員・時間計画!N13</f>
        <v>10</v>
      </c>
    </row>
    <row r="187" spans="1:17" ht="14.5" hidden="1" thickBot="1">
      <c r="A187">
        <f>[26]人員・時間計画!$A$5</f>
        <v>1412000008</v>
      </c>
      <c r="B187" t="str">
        <f>[26]人員・時間計画!$B$5</f>
        <v>生産管理課</v>
      </c>
      <c r="C187" s="185" t="s">
        <v>3</v>
      </c>
      <c r="D187" s="195" t="s">
        <v>196</v>
      </c>
      <c r="E187" s="196"/>
      <c r="F187" s="214">
        <f>[26]人員・時間計画!C14</f>
        <v>11</v>
      </c>
      <c r="G187" s="214">
        <f>[26]人員・時間計画!D14</f>
        <v>11</v>
      </c>
      <c r="H187" s="214">
        <f>[26]人員・時間計画!E14</f>
        <v>11</v>
      </c>
      <c r="I187" s="214">
        <f>[26]人員・時間計画!F14</f>
        <v>11</v>
      </c>
      <c r="J187" s="214">
        <f>[26]人員・時間計画!G14</f>
        <v>11</v>
      </c>
      <c r="K187" s="214">
        <f>[26]人員・時間計画!H14</f>
        <v>11</v>
      </c>
      <c r="L187" s="214">
        <f>[26]人員・時間計画!I14</f>
        <v>11</v>
      </c>
      <c r="M187" s="214">
        <f>[26]人員・時間計画!J14</f>
        <v>11</v>
      </c>
      <c r="N187" s="214">
        <f>[26]人員・時間計画!K14</f>
        <v>11</v>
      </c>
      <c r="O187" s="214">
        <f>[26]人員・時間計画!L14</f>
        <v>11</v>
      </c>
      <c r="P187" s="214">
        <f>[26]人員・時間計画!M14</f>
        <v>11</v>
      </c>
      <c r="Q187" s="214">
        <f>[26]人員・時間計画!N14</f>
        <v>11</v>
      </c>
    </row>
    <row r="188" spans="1:17" ht="14.5" hidden="1" thickBot="1">
      <c r="A188">
        <f>[26]人員・時間計画!$A$5</f>
        <v>1412000008</v>
      </c>
      <c r="B188" t="str">
        <f>[26]人員・時間計画!$B$5</f>
        <v>生産管理課</v>
      </c>
      <c r="D188" s="197"/>
      <c r="E188" s="197"/>
    </row>
    <row r="189" spans="1:17" ht="14.5" hidden="1" thickBot="1">
      <c r="A189">
        <f>[26]人員・時間計画!$A$5</f>
        <v>1412000008</v>
      </c>
      <c r="B189" t="str">
        <f>[26]人員・時間計画!$B$5</f>
        <v>生産管理課</v>
      </c>
      <c r="C189" s="185" t="s">
        <v>202</v>
      </c>
      <c r="D189" s="185" t="s">
        <v>202</v>
      </c>
      <c r="E189" s="186"/>
    </row>
    <row r="190" spans="1:17" ht="14.5" hidden="1" thickBot="1">
      <c r="A190">
        <f>[26]人員・時間計画!$A$5</f>
        <v>1412000008</v>
      </c>
      <c r="B190" t="str">
        <f>[26]人員・時間計画!$B$5</f>
        <v>生産管理課</v>
      </c>
      <c r="C190" s="185" t="s">
        <v>202</v>
      </c>
      <c r="D190" s="198" t="s">
        <v>194</v>
      </c>
      <c r="E190" s="199"/>
      <c r="F190" s="182">
        <f>[26]人員・時間計画!C17</f>
        <v>170</v>
      </c>
      <c r="G190" s="182">
        <f>[26]人員・時間計画!D17</f>
        <v>161.5</v>
      </c>
      <c r="H190" s="182">
        <f>[26]人員・時間計画!E17</f>
        <v>136</v>
      </c>
      <c r="I190" s="182">
        <f>[26]人員・時間計画!F17</f>
        <v>195.5</v>
      </c>
      <c r="J190" s="182">
        <f>[26]人員・時間計画!G17</f>
        <v>170</v>
      </c>
      <c r="K190" s="182">
        <f>[26]人員・時間計画!H17</f>
        <v>161.5</v>
      </c>
      <c r="L190" s="182">
        <f>[26]人員・時間計画!I17</f>
        <v>195.5</v>
      </c>
      <c r="M190" s="182">
        <f>[26]人員・時間計画!J17</f>
        <v>170</v>
      </c>
      <c r="N190" s="182">
        <f>[26]人員・時間計画!K17</f>
        <v>144.5</v>
      </c>
      <c r="O190" s="182">
        <f>[26]人員・時間計画!L17</f>
        <v>170</v>
      </c>
      <c r="P190" s="182">
        <f>[26]人員・時間計画!M17</f>
        <v>127.5</v>
      </c>
      <c r="Q190" s="182">
        <f>[26]人員・時間計画!N17</f>
        <v>170</v>
      </c>
    </row>
    <row r="191" spans="1:17" ht="14.5" hidden="1" thickBot="1">
      <c r="A191">
        <f>[26]人員・時間計画!$A$5</f>
        <v>1412000008</v>
      </c>
      <c r="B191" t="str">
        <f>[26]人員・時間計画!$B$5</f>
        <v>生産管理課</v>
      </c>
      <c r="C191" s="185" t="s">
        <v>202</v>
      </c>
      <c r="D191" s="200"/>
      <c r="E191" s="190" t="s">
        <v>139</v>
      </c>
      <c r="F191" s="182">
        <f>[26]人員・時間計画!C18</f>
        <v>1445</v>
      </c>
      <c r="G191" s="182">
        <f>[26]人員・時間計画!D18</f>
        <v>1534.25</v>
      </c>
      <c r="H191" s="182">
        <f>[26]人員・時間計画!E18</f>
        <v>1700</v>
      </c>
      <c r="I191" s="182">
        <f>[26]人員・時間計画!F18</f>
        <v>1865.75</v>
      </c>
      <c r="J191" s="182">
        <f>[26]人員・時間計画!G18</f>
        <v>1602.25</v>
      </c>
      <c r="K191" s="182">
        <f>[26]人員・時間計画!H18</f>
        <v>1521.5</v>
      </c>
      <c r="L191" s="182">
        <f>[26]人員・時間計画!I18</f>
        <v>1861.5</v>
      </c>
      <c r="M191" s="182">
        <f>[26]人員・時間計画!J18</f>
        <v>1606.5</v>
      </c>
      <c r="N191" s="182">
        <f>[26]人員・時間計画!K18</f>
        <v>1776.5</v>
      </c>
      <c r="O191" s="182">
        <f>[26]人員・時間計画!L18</f>
        <v>1615</v>
      </c>
      <c r="P191" s="182">
        <f>[26]人員・時間計画!M18</f>
        <v>1190</v>
      </c>
      <c r="Q191" s="182">
        <f>[26]人員・時間計画!N18</f>
        <v>1615</v>
      </c>
    </row>
    <row r="192" spans="1:17" ht="14.5" thickBot="1">
      <c r="A192">
        <f>[26]人員・時間計画!$A$5</f>
        <v>1412000008</v>
      </c>
      <c r="B192" t="str">
        <f>[26]人員・時間計画!$B$5</f>
        <v>生産管理課</v>
      </c>
      <c r="C192" s="185" t="s">
        <v>202</v>
      </c>
      <c r="D192" s="201" t="s">
        <v>195</v>
      </c>
      <c r="E192" s="192" t="s">
        <v>140</v>
      </c>
      <c r="F192" s="182">
        <f>[26]人員・時間計画!C19</f>
        <v>0</v>
      </c>
      <c r="G192" s="182">
        <f>[26]人員・時間計画!D19</f>
        <v>0</v>
      </c>
      <c r="H192" s="182">
        <f>[26]人員・時間計画!E19</f>
        <v>0</v>
      </c>
      <c r="I192" s="182">
        <f>[26]人員・時間計画!F19</f>
        <v>0</v>
      </c>
      <c r="J192" s="182">
        <f>[26]人員・時間計画!G19</f>
        <v>0</v>
      </c>
      <c r="K192" s="182">
        <f>[26]人員・時間計画!H19</f>
        <v>0</v>
      </c>
      <c r="L192" s="182">
        <f>[26]人員・時間計画!I19</f>
        <v>0</v>
      </c>
      <c r="M192" s="182">
        <f>[26]人員・時間計画!J19</f>
        <v>0</v>
      </c>
      <c r="N192" s="182">
        <f>[26]人員・時間計画!K19</f>
        <v>0</v>
      </c>
      <c r="O192" s="182">
        <f>[26]人員・時間計画!L19</f>
        <v>0</v>
      </c>
      <c r="P192" s="182">
        <f>[26]人員・時間計画!M19</f>
        <v>0</v>
      </c>
      <c r="Q192" s="182">
        <f>[26]人員・時間計画!N19</f>
        <v>0</v>
      </c>
    </row>
    <row r="193" spans="1:17" ht="14.5" hidden="1" thickBot="1">
      <c r="A193">
        <f>[26]人員・時間計画!$A$5</f>
        <v>1412000008</v>
      </c>
      <c r="B193" t="str">
        <f>[26]人員・時間計画!$B$5</f>
        <v>生産管理課</v>
      </c>
      <c r="C193" s="185" t="s">
        <v>202</v>
      </c>
      <c r="D193" s="202"/>
      <c r="E193" s="203" t="s">
        <v>138</v>
      </c>
      <c r="F193" s="182">
        <f>[26]人員・時間計画!C20</f>
        <v>1445</v>
      </c>
      <c r="G193" s="182">
        <f>[26]人員・時間計画!D20</f>
        <v>1534.25</v>
      </c>
      <c r="H193" s="182">
        <f>[26]人員・時間計画!E20</f>
        <v>1700</v>
      </c>
      <c r="I193" s="182">
        <f>[26]人員・時間計画!F20</f>
        <v>1865.75</v>
      </c>
      <c r="J193" s="182">
        <f>[26]人員・時間計画!G20</f>
        <v>1602.25</v>
      </c>
      <c r="K193" s="182">
        <f>[26]人員・時間計画!H20</f>
        <v>1521.5</v>
      </c>
      <c r="L193" s="182">
        <f>[26]人員・時間計画!I20</f>
        <v>1861.5</v>
      </c>
      <c r="M193" s="182">
        <f>[26]人員・時間計画!J20</f>
        <v>1606.5</v>
      </c>
      <c r="N193" s="182">
        <f>[26]人員・時間計画!K20</f>
        <v>1776.5</v>
      </c>
      <c r="O193" s="182">
        <f>[26]人員・時間計画!L20</f>
        <v>1615</v>
      </c>
      <c r="P193" s="182">
        <f>[26]人員・時間計画!M20</f>
        <v>1190</v>
      </c>
      <c r="Q193" s="182">
        <f>[26]人員・時間計画!N20</f>
        <v>1615</v>
      </c>
    </row>
    <row r="194" spans="1:17" ht="14.5" hidden="1" thickBot="1">
      <c r="A194">
        <f>[26]人員・時間計画!$A$5</f>
        <v>1412000008</v>
      </c>
      <c r="B194" t="str">
        <f>[26]人員・時間計画!$B$5</f>
        <v>生産管理課</v>
      </c>
      <c r="C194" s="185" t="s">
        <v>202</v>
      </c>
      <c r="D194" s="204" t="s">
        <v>215</v>
      </c>
      <c r="E194" s="205"/>
      <c r="F194" s="182">
        <f>[26]人員・時間計画!C21</f>
        <v>1615</v>
      </c>
      <c r="G194" s="182">
        <f>[26]人員・時間計画!D21</f>
        <v>1695.75</v>
      </c>
      <c r="H194" s="182">
        <f>[26]人員・時間計画!E21</f>
        <v>1836</v>
      </c>
      <c r="I194" s="182">
        <f>[26]人員・時間計画!F21</f>
        <v>2061.25</v>
      </c>
      <c r="J194" s="182">
        <f>[26]人員・時間計画!G21</f>
        <v>1772.25</v>
      </c>
      <c r="K194" s="182">
        <f>[26]人員・時間計画!H21</f>
        <v>1683</v>
      </c>
      <c r="L194" s="182">
        <f>[26]人員・時間計画!I21</f>
        <v>2057</v>
      </c>
      <c r="M194" s="182">
        <f>[26]人員・時間計画!J21</f>
        <v>1776.5</v>
      </c>
      <c r="N194" s="182">
        <f>[26]人員・時間計画!K21</f>
        <v>1921</v>
      </c>
      <c r="O194" s="182">
        <f>[26]人員・時間計画!L21</f>
        <v>1785</v>
      </c>
      <c r="P194" s="182">
        <f>[26]人員・時間計画!M21</f>
        <v>1317.5</v>
      </c>
      <c r="Q194" s="182">
        <f>[26]人員・時間計画!N21</f>
        <v>1785</v>
      </c>
    </row>
    <row r="195" spans="1:17" ht="14.5" hidden="1" thickBot="1">
      <c r="A195">
        <f>[26]人員・時間計画!$A$5</f>
        <v>1412000008</v>
      </c>
      <c r="B195" t="str">
        <f>[26]人員・時間計画!$B$5</f>
        <v>生産管理課</v>
      </c>
      <c r="D195" s="197"/>
      <c r="E195" s="197"/>
    </row>
    <row r="196" spans="1:17" ht="14.5" hidden="1" thickBot="1">
      <c r="A196">
        <f>[26]人員・時間計画!$A$5</f>
        <v>1412000008</v>
      </c>
      <c r="B196" t="str">
        <f>[26]人員・時間計画!$B$5</f>
        <v>生産管理課</v>
      </c>
      <c r="C196" s="185" t="s">
        <v>71</v>
      </c>
      <c r="D196" s="185" t="s">
        <v>71</v>
      </c>
      <c r="E196" s="186"/>
    </row>
    <row r="197" spans="1:17" ht="14.5" hidden="1" thickBot="1">
      <c r="A197">
        <f>[26]人員・時間計画!$A$5</f>
        <v>1412000008</v>
      </c>
      <c r="B197" t="str">
        <f>[26]人員・時間計画!$B$5</f>
        <v>生産管理課</v>
      </c>
      <c r="C197" s="185" t="s">
        <v>71</v>
      </c>
      <c r="D197" s="198" t="s">
        <v>194</v>
      </c>
      <c r="E197" s="199"/>
      <c r="F197" s="182">
        <f>[26]人員・時間計画!C24</f>
        <v>40</v>
      </c>
      <c r="G197" s="182">
        <f>[26]人員・時間計画!D24</f>
        <v>38</v>
      </c>
      <c r="H197" s="182">
        <f>[26]人員・時間計画!E24</f>
        <v>32</v>
      </c>
      <c r="I197" s="182">
        <f>[26]人員・時間計画!F24</f>
        <v>46</v>
      </c>
      <c r="J197" s="182">
        <f>[26]人員・時間計画!G24</f>
        <v>40</v>
      </c>
      <c r="K197" s="182">
        <f>[26]人員・時間計画!H24</f>
        <v>38</v>
      </c>
      <c r="L197" s="182">
        <f>[26]人員・時間計画!I24</f>
        <v>46</v>
      </c>
      <c r="M197" s="182">
        <f>[26]人員・時間計画!J24</f>
        <v>40</v>
      </c>
      <c r="N197" s="182">
        <f>[26]人員・時間計画!K24</f>
        <v>34</v>
      </c>
      <c r="O197" s="182">
        <f>[26]人員・時間計画!L24</f>
        <v>40</v>
      </c>
      <c r="P197" s="182">
        <f>[26]人員・時間計画!M24</f>
        <v>30</v>
      </c>
      <c r="Q197" s="182">
        <f>[26]人員・時間計画!N24</f>
        <v>40</v>
      </c>
    </row>
    <row r="198" spans="1:17" ht="14.5" hidden="1" thickBot="1">
      <c r="A198">
        <f>[26]人員・時間計画!$A$5</f>
        <v>1412000008</v>
      </c>
      <c r="B198" t="str">
        <f>[26]人員・時間計画!$B$5</f>
        <v>生産管理課</v>
      </c>
      <c r="C198" s="185" t="s">
        <v>71</v>
      </c>
      <c r="D198" s="200"/>
      <c r="E198" s="206" t="s">
        <v>139</v>
      </c>
      <c r="F198" s="182">
        <f>[26]人員・時間計画!C25</f>
        <v>112</v>
      </c>
      <c r="G198" s="182">
        <f>[26]人員・時間計画!D25</f>
        <v>108</v>
      </c>
      <c r="H198" s="182">
        <f>[26]人員・時間計画!E25</f>
        <v>120</v>
      </c>
      <c r="I198" s="182">
        <f>[26]人員・時間計画!F25</f>
        <v>132</v>
      </c>
      <c r="J198" s="182">
        <f>[26]人員・時間計画!G25</f>
        <v>124</v>
      </c>
      <c r="K198" s="182">
        <f>[26]人員・時間計画!H25</f>
        <v>108</v>
      </c>
      <c r="L198" s="182">
        <f>[26]人員・時間計画!I25</f>
        <v>132</v>
      </c>
      <c r="M198" s="182">
        <f>[26]人員・時間計画!J25</f>
        <v>112</v>
      </c>
      <c r="N198" s="182">
        <f>[26]人員・時間計画!K25</f>
        <v>124</v>
      </c>
      <c r="O198" s="182">
        <f>[26]人員・時間計画!L25</f>
        <v>114</v>
      </c>
      <c r="P198" s="182">
        <f>[26]人員・時間計画!M25</f>
        <v>94</v>
      </c>
      <c r="Q198" s="182">
        <f>[26]人員・時間計画!N25</f>
        <v>114</v>
      </c>
    </row>
    <row r="199" spans="1:17" ht="14.5" thickBot="1">
      <c r="A199">
        <f>[26]人員・時間計画!$A$5</f>
        <v>1412000008</v>
      </c>
      <c r="B199" t="str">
        <f>[26]人員・時間計画!$B$5</f>
        <v>生産管理課</v>
      </c>
      <c r="C199" s="185" t="s">
        <v>71</v>
      </c>
      <c r="D199" s="201" t="s">
        <v>195</v>
      </c>
      <c r="E199" s="207" t="s">
        <v>140</v>
      </c>
      <c r="F199" s="182">
        <f>[26]人員・時間計画!C26</f>
        <v>0</v>
      </c>
      <c r="G199" s="182">
        <f>[26]人員・時間計画!D26</f>
        <v>0</v>
      </c>
      <c r="H199" s="182">
        <f>[26]人員・時間計画!E26</f>
        <v>0</v>
      </c>
      <c r="I199" s="182">
        <f>[26]人員・時間計画!F26</f>
        <v>0</v>
      </c>
      <c r="J199" s="182">
        <f>[26]人員・時間計画!G26</f>
        <v>0</v>
      </c>
      <c r="K199" s="182">
        <f>[26]人員・時間計画!H26</f>
        <v>0</v>
      </c>
      <c r="L199" s="182">
        <f>[26]人員・時間計画!I26</f>
        <v>0</v>
      </c>
      <c r="M199" s="182">
        <f>[26]人員・時間計画!J26</f>
        <v>0</v>
      </c>
      <c r="N199" s="182">
        <f>[26]人員・時間計画!K26</f>
        <v>0</v>
      </c>
      <c r="O199" s="182">
        <f>[26]人員・時間計画!L26</f>
        <v>0</v>
      </c>
      <c r="P199" s="182">
        <f>[26]人員・時間計画!M26</f>
        <v>0</v>
      </c>
      <c r="Q199" s="182">
        <f>[26]人員・時間計画!N26</f>
        <v>0</v>
      </c>
    </row>
    <row r="200" spans="1:17" ht="14.5" hidden="1" thickBot="1">
      <c r="A200">
        <f>[26]人員・時間計画!$A$5</f>
        <v>1412000008</v>
      </c>
      <c r="B200" t="str">
        <f>[26]人員・時間計画!$B$5</f>
        <v>生産管理課</v>
      </c>
      <c r="C200" s="185" t="s">
        <v>71</v>
      </c>
      <c r="D200" s="202"/>
      <c r="E200" s="203" t="s">
        <v>138</v>
      </c>
      <c r="F200" s="182">
        <f>[26]人員・時間計画!C27</f>
        <v>112</v>
      </c>
      <c r="G200" s="182">
        <f>[26]人員・時間計画!D27</f>
        <v>108</v>
      </c>
      <c r="H200" s="182">
        <f>[26]人員・時間計画!E27</f>
        <v>120</v>
      </c>
      <c r="I200" s="182">
        <f>[26]人員・時間計画!F27</f>
        <v>132</v>
      </c>
      <c r="J200" s="182">
        <f>[26]人員・時間計画!G27</f>
        <v>124</v>
      </c>
      <c r="K200" s="182">
        <f>[26]人員・時間計画!H27</f>
        <v>108</v>
      </c>
      <c r="L200" s="182">
        <f>[26]人員・時間計画!I27</f>
        <v>132</v>
      </c>
      <c r="M200" s="182">
        <f>[26]人員・時間計画!J27</f>
        <v>112</v>
      </c>
      <c r="N200" s="182">
        <f>[26]人員・時間計画!K27</f>
        <v>124</v>
      </c>
      <c r="O200" s="182">
        <f>[26]人員・時間計画!L27</f>
        <v>114</v>
      </c>
      <c r="P200" s="182">
        <f>[26]人員・時間計画!M27</f>
        <v>94</v>
      </c>
      <c r="Q200" s="182">
        <f>[26]人員・時間計画!N27</f>
        <v>114</v>
      </c>
    </row>
    <row r="201" spans="1:17" ht="14.5" hidden="1" thickBot="1">
      <c r="A201">
        <f>[26]人員・時間計画!$A$5</f>
        <v>1412000008</v>
      </c>
      <c r="B201" t="str">
        <f>[26]人員・時間計画!$B$5</f>
        <v>生産管理課</v>
      </c>
      <c r="C201" s="185" t="s">
        <v>71</v>
      </c>
      <c r="D201" s="204" t="s">
        <v>216</v>
      </c>
      <c r="E201" s="205"/>
      <c r="F201" s="182">
        <f>[26]人員・時間計画!C28</f>
        <v>152</v>
      </c>
      <c r="G201" s="182">
        <f>[26]人員・時間計画!D28</f>
        <v>146</v>
      </c>
      <c r="H201" s="182">
        <f>[26]人員・時間計画!E28</f>
        <v>152</v>
      </c>
      <c r="I201" s="182">
        <f>[26]人員・時間計画!F28</f>
        <v>178</v>
      </c>
      <c r="J201" s="182">
        <f>[26]人員・時間計画!G28</f>
        <v>164</v>
      </c>
      <c r="K201" s="182">
        <f>[26]人員・時間計画!H28</f>
        <v>146</v>
      </c>
      <c r="L201" s="182">
        <f>[26]人員・時間計画!I28</f>
        <v>178</v>
      </c>
      <c r="M201" s="182">
        <f>[26]人員・時間計画!J28</f>
        <v>152</v>
      </c>
      <c r="N201" s="182">
        <f>[26]人員・時間計画!K28</f>
        <v>158</v>
      </c>
      <c r="O201" s="182">
        <f>[26]人員・時間計画!L28</f>
        <v>154</v>
      </c>
      <c r="P201" s="182">
        <f>[26]人員・時間計画!M28</f>
        <v>124</v>
      </c>
      <c r="Q201" s="182">
        <f>[26]人員・時間計画!N28</f>
        <v>154</v>
      </c>
    </row>
    <row r="202" spans="1:17" ht="14.5" hidden="1" thickBot="1">
      <c r="A202">
        <f>[27]人員・時間計画!$A$5</f>
        <v>1412000010</v>
      </c>
      <c r="B202" t="str">
        <f>[27]人員・時間計画!$B$5</f>
        <v>採算管理課</v>
      </c>
      <c r="C202" s="185" t="s">
        <v>3</v>
      </c>
      <c r="D202" s="185" t="s">
        <v>3</v>
      </c>
      <c r="E202" s="186"/>
    </row>
    <row r="203" spans="1:17" ht="14.5" hidden="1" thickBot="1">
      <c r="A203">
        <f>[27]人員・時間計画!$A$5</f>
        <v>1412000010</v>
      </c>
      <c r="B203" t="str">
        <f>[27]人員・時間計画!$B$5</f>
        <v>採算管理課</v>
      </c>
      <c r="C203" s="185" t="s">
        <v>3</v>
      </c>
      <c r="D203" s="187" t="s">
        <v>194</v>
      </c>
      <c r="E203" s="188"/>
      <c r="F203" s="214">
        <f>[27]人員・時間計画!C10</f>
        <v>0</v>
      </c>
      <c r="G203" s="214">
        <f>[27]人員・時間計画!D10</f>
        <v>0</v>
      </c>
      <c r="H203" s="214">
        <f>[27]人員・時間計画!E10</f>
        <v>0</v>
      </c>
      <c r="I203" s="214">
        <f>[27]人員・時間計画!F10</f>
        <v>0</v>
      </c>
      <c r="J203" s="214">
        <f>[27]人員・時間計画!G10</f>
        <v>0</v>
      </c>
      <c r="K203" s="214">
        <f>[27]人員・時間計画!H10</f>
        <v>0</v>
      </c>
      <c r="L203" s="214">
        <f>[27]人員・時間計画!I10</f>
        <v>0</v>
      </c>
      <c r="M203" s="214">
        <f>[27]人員・時間計画!J10</f>
        <v>0</v>
      </c>
      <c r="N203" s="214">
        <f>[27]人員・時間計画!K10</f>
        <v>0</v>
      </c>
      <c r="O203" s="214">
        <f>[27]人員・時間計画!L10</f>
        <v>0</v>
      </c>
      <c r="P203" s="214">
        <f>[27]人員・時間計画!M10</f>
        <v>0</v>
      </c>
      <c r="Q203" s="214">
        <f>[27]人員・時間計画!N10</f>
        <v>0</v>
      </c>
    </row>
    <row r="204" spans="1:17" ht="14.5" hidden="1" thickBot="1">
      <c r="A204">
        <f>[27]人員・時間計画!$A$5</f>
        <v>1412000010</v>
      </c>
      <c r="B204" t="str">
        <f>[27]人員・時間計画!$B$5</f>
        <v>採算管理課</v>
      </c>
      <c r="C204" s="185" t="s">
        <v>3</v>
      </c>
      <c r="D204" s="189"/>
      <c r="E204" s="190" t="s">
        <v>139</v>
      </c>
      <c r="F204" s="214">
        <f>[27]人員・時間計画!C11</f>
        <v>6</v>
      </c>
      <c r="G204" s="214">
        <f>[27]人員・時間計画!D11</f>
        <v>6</v>
      </c>
      <c r="H204" s="214">
        <f>[27]人員・時間計画!E11</f>
        <v>6</v>
      </c>
      <c r="I204" s="214">
        <f>[27]人員・時間計画!F11</f>
        <v>6</v>
      </c>
      <c r="J204" s="214">
        <f>[27]人員・時間計画!G11</f>
        <v>6</v>
      </c>
      <c r="K204" s="214">
        <f>[27]人員・時間計画!H11</f>
        <v>6</v>
      </c>
      <c r="L204" s="214">
        <f>[27]人員・時間計画!I11</f>
        <v>6</v>
      </c>
      <c r="M204" s="214">
        <f>[27]人員・時間計画!J11</f>
        <v>6</v>
      </c>
      <c r="N204" s="214">
        <f>[27]人員・時間計画!K11</f>
        <v>6</v>
      </c>
      <c r="O204" s="214">
        <f>[27]人員・時間計画!L11</f>
        <v>6</v>
      </c>
      <c r="P204" s="214">
        <f>[27]人員・時間計画!M11</f>
        <v>6</v>
      </c>
      <c r="Q204" s="214">
        <f>[27]人員・時間計画!N11</f>
        <v>6</v>
      </c>
    </row>
    <row r="205" spans="1:17" ht="14.5" thickBot="1">
      <c r="A205">
        <f>[27]人員・時間計画!$A$5</f>
        <v>1412000010</v>
      </c>
      <c r="B205" t="str">
        <f>[27]人員・時間計画!$B$5</f>
        <v>採算管理課</v>
      </c>
      <c r="C205" s="185" t="s">
        <v>3</v>
      </c>
      <c r="D205" s="191" t="s">
        <v>195</v>
      </c>
      <c r="E205" s="192" t="s">
        <v>140</v>
      </c>
      <c r="F205" s="214">
        <f>[27]人員・時間計画!C12</f>
        <v>0</v>
      </c>
      <c r="G205" s="214">
        <f>[27]人員・時間計画!D12</f>
        <v>0</v>
      </c>
      <c r="H205" s="214">
        <f>[27]人員・時間計画!E12</f>
        <v>0</v>
      </c>
      <c r="I205" s="214">
        <f>[27]人員・時間計画!F12</f>
        <v>0</v>
      </c>
      <c r="J205" s="214">
        <f>[27]人員・時間計画!G12</f>
        <v>0</v>
      </c>
      <c r="K205" s="214">
        <f>[27]人員・時間計画!H12</f>
        <v>0</v>
      </c>
      <c r="L205" s="214">
        <f>[27]人員・時間計画!I12</f>
        <v>0</v>
      </c>
      <c r="M205" s="214">
        <f>[27]人員・時間計画!J12</f>
        <v>0</v>
      </c>
      <c r="N205" s="214">
        <f>[27]人員・時間計画!K12</f>
        <v>0</v>
      </c>
      <c r="O205" s="214">
        <f>[27]人員・時間計画!L12</f>
        <v>0</v>
      </c>
      <c r="P205" s="214">
        <f>[27]人員・時間計画!M12</f>
        <v>0</v>
      </c>
      <c r="Q205" s="214">
        <f>[27]人員・時間計画!N12</f>
        <v>0</v>
      </c>
    </row>
    <row r="206" spans="1:17" ht="14.5" hidden="1" thickBot="1">
      <c r="A206">
        <f>[27]人員・時間計画!$A$5</f>
        <v>1412000010</v>
      </c>
      <c r="B206" t="str">
        <f>[27]人員・時間計画!$B$5</f>
        <v>採算管理課</v>
      </c>
      <c r="C206" s="185" t="s">
        <v>3</v>
      </c>
      <c r="D206" s="193"/>
      <c r="E206" s="194" t="s">
        <v>138</v>
      </c>
      <c r="F206" s="214">
        <f>[27]人員・時間計画!C13</f>
        <v>6</v>
      </c>
      <c r="G206" s="214">
        <f>[27]人員・時間計画!D13</f>
        <v>6</v>
      </c>
      <c r="H206" s="214">
        <f>[27]人員・時間計画!E13</f>
        <v>6</v>
      </c>
      <c r="I206" s="214">
        <f>[27]人員・時間計画!F13</f>
        <v>6</v>
      </c>
      <c r="J206" s="214">
        <f>[27]人員・時間計画!G13</f>
        <v>6</v>
      </c>
      <c r="K206" s="214">
        <f>[27]人員・時間計画!H13</f>
        <v>6</v>
      </c>
      <c r="L206" s="214">
        <f>[27]人員・時間計画!I13</f>
        <v>6</v>
      </c>
      <c r="M206" s="214">
        <f>[27]人員・時間計画!J13</f>
        <v>6</v>
      </c>
      <c r="N206" s="214">
        <f>[27]人員・時間計画!K13</f>
        <v>6</v>
      </c>
      <c r="O206" s="214">
        <f>[27]人員・時間計画!L13</f>
        <v>6</v>
      </c>
      <c r="P206" s="214">
        <f>[27]人員・時間計画!M13</f>
        <v>6</v>
      </c>
      <c r="Q206" s="214">
        <f>[27]人員・時間計画!N13</f>
        <v>6</v>
      </c>
    </row>
    <row r="207" spans="1:17" ht="14.5" hidden="1" thickBot="1">
      <c r="A207">
        <f>[27]人員・時間計画!$A$5</f>
        <v>1412000010</v>
      </c>
      <c r="B207" t="str">
        <f>[27]人員・時間計画!$B$5</f>
        <v>採算管理課</v>
      </c>
      <c r="C207" s="185" t="s">
        <v>3</v>
      </c>
      <c r="D207" s="195" t="s">
        <v>196</v>
      </c>
      <c r="E207" s="196"/>
      <c r="F207" s="214">
        <f>[27]人員・時間計画!C14</f>
        <v>6</v>
      </c>
      <c r="G207" s="214">
        <f>[27]人員・時間計画!D14</f>
        <v>6</v>
      </c>
      <c r="H207" s="214">
        <f>[27]人員・時間計画!E14</f>
        <v>6</v>
      </c>
      <c r="I207" s="214">
        <f>[27]人員・時間計画!F14</f>
        <v>6</v>
      </c>
      <c r="J207" s="214">
        <f>[27]人員・時間計画!G14</f>
        <v>6</v>
      </c>
      <c r="K207" s="214">
        <f>[27]人員・時間計画!H14</f>
        <v>6</v>
      </c>
      <c r="L207" s="214">
        <f>[27]人員・時間計画!I14</f>
        <v>6</v>
      </c>
      <c r="M207" s="214">
        <f>[27]人員・時間計画!J14</f>
        <v>6</v>
      </c>
      <c r="N207" s="214">
        <f>[27]人員・時間計画!K14</f>
        <v>6</v>
      </c>
      <c r="O207" s="214">
        <f>[27]人員・時間計画!L14</f>
        <v>6</v>
      </c>
      <c r="P207" s="214">
        <f>[27]人員・時間計画!M14</f>
        <v>6</v>
      </c>
      <c r="Q207" s="214">
        <f>[27]人員・時間計画!N14</f>
        <v>6</v>
      </c>
    </row>
    <row r="208" spans="1:17" ht="14.5" hidden="1" thickBot="1">
      <c r="A208">
        <f>[27]人員・時間計画!$A$5</f>
        <v>1412000010</v>
      </c>
      <c r="B208" t="str">
        <f>[27]人員・時間計画!$B$5</f>
        <v>採算管理課</v>
      </c>
      <c r="D208" s="197"/>
      <c r="E208" s="197"/>
    </row>
    <row r="209" spans="1:17" ht="14.5" hidden="1" thickBot="1">
      <c r="A209">
        <f>[27]人員・時間計画!$A$5</f>
        <v>1412000010</v>
      </c>
      <c r="B209" t="str">
        <f>[27]人員・時間計画!$B$5</f>
        <v>採算管理課</v>
      </c>
      <c r="C209" s="185" t="s">
        <v>202</v>
      </c>
      <c r="D209" s="185" t="s">
        <v>202</v>
      </c>
      <c r="E209" s="186"/>
    </row>
    <row r="210" spans="1:17" ht="14.5" hidden="1" thickBot="1">
      <c r="A210">
        <f>[27]人員・時間計画!$A$5</f>
        <v>1412000010</v>
      </c>
      <c r="B210" t="str">
        <f>[27]人員・時間計画!$B$5</f>
        <v>採算管理課</v>
      </c>
      <c r="C210" s="185" t="s">
        <v>202</v>
      </c>
      <c r="D210" s="198" t="s">
        <v>194</v>
      </c>
      <c r="E210" s="199"/>
      <c r="F210" s="182">
        <f>[27]人員・時間計画!C17</f>
        <v>0</v>
      </c>
      <c r="G210" s="182">
        <f>[27]人員・時間計画!D17</f>
        <v>0</v>
      </c>
      <c r="H210" s="182">
        <f>[27]人員・時間計画!E17</f>
        <v>0</v>
      </c>
      <c r="I210" s="182">
        <f>[27]人員・時間計画!F17</f>
        <v>0</v>
      </c>
      <c r="J210" s="182">
        <f>[27]人員・時間計画!G17</f>
        <v>0</v>
      </c>
      <c r="K210" s="182">
        <f>[27]人員・時間計画!H17</f>
        <v>0</v>
      </c>
      <c r="L210" s="182">
        <f>[27]人員・時間計画!I17</f>
        <v>0</v>
      </c>
      <c r="M210" s="182">
        <f>[27]人員・時間計画!J17</f>
        <v>0</v>
      </c>
      <c r="N210" s="182">
        <f>[27]人員・時間計画!K17</f>
        <v>0</v>
      </c>
      <c r="O210" s="182">
        <f>[27]人員・時間計画!L17</f>
        <v>0</v>
      </c>
      <c r="P210" s="182">
        <f>[27]人員・時間計画!M17</f>
        <v>0</v>
      </c>
      <c r="Q210" s="182">
        <f>[27]人員・時間計画!N17</f>
        <v>0</v>
      </c>
    </row>
    <row r="211" spans="1:17" ht="14.5" hidden="1" thickBot="1">
      <c r="A211">
        <f>[27]人員・時間計画!$A$5</f>
        <v>1412000010</v>
      </c>
      <c r="B211" t="str">
        <f>[27]人員・時間計画!$B$5</f>
        <v>採算管理課</v>
      </c>
      <c r="C211" s="185" t="s">
        <v>202</v>
      </c>
      <c r="D211" s="200"/>
      <c r="E211" s="190" t="s">
        <v>139</v>
      </c>
      <c r="F211" s="182">
        <f>[27]人員・時間計画!C18</f>
        <v>969</v>
      </c>
      <c r="G211" s="182">
        <f>[27]人員・時間計画!D18</f>
        <v>918</v>
      </c>
      <c r="H211" s="182">
        <f>[27]人員・時間計画!E18</f>
        <v>1020</v>
      </c>
      <c r="I211" s="182">
        <f>[27]人員・時間計画!F18</f>
        <v>1122</v>
      </c>
      <c r="J211" s="182">
        <f>[27]人員・時間計画!G18</f>
        <v>969</v>
      </c>
      <c r="K211" s="182">
        <f>[27]人員・時間計画!H18</f>
        <v>918</v>
      </c>
      <c r="L211" s="182">
        <f>[27]人員・時間計画!I18</f>
        <v>1122</v>
      </c>
      <c r="M211" s="182">
        <f>[27]人員・時間計画!J18</f>
        <v>969</v>
      </c>
      <c r="N211" s="182">
        <f>[27]人員・時間計画!K18</f>
        <v>1071</v>
      </c>
      <c r="O211" s="182">
        <f>[27]人員・時間計画!L18</f>
        <v>969</v>
      </c>
      <c r="P211" s="182">
        <f>[27]人員・時間計画!M18</f>
        <v>765</v>
      </c>
      <c r="Q211" s="182">
        <f>[27]人員・時間計画!N18</f>
        <v>969</v>
      </c>
    </row>
    <row r="212" spans="1:17" ht="14.5" thickBot="1">
      <c r="A212">
        <f>[27]人員・時間計画!$A$5</f>
        <v>1412000010</v>
      </c>
      <c r="B212" t="str">
        <f>[27]人員・時間計画!$B$5</f>
        <v>採算管理課</v>
      </c>
      <c r="C212" s="185" t="s">
        <v>202</v>
      </c>
      <c r="D212" s="201" t="s">
        <v>195</v>
      </c>
      <c r="E212" s="192" t="s">
        <v>140</v>
      </c>
      <c r="F212" s="182">
        <f>[27]人員・時間計画!C19</f>
        <v>0</v>
      </c>
      <c r="G212" s="182">
        <f>[27]人員・時間計画!D19</f>
        <v>0</v>
      </c>
      <c r="H212" s="182">
        <f>[27]人員・時間計画!E19</f>
        <v>0</v>
      </c>
      <c r="I212" s="182">
        <f>[27]人員・時間計画!F19</f>
        <v>0</v>
      </c>
      <c r="J212" s="182">
        <f>[27]人員・時間計画!G19</f>
        <v>0</v>
      </c>
      <c r="K212" s="182">
        <f>[27]人員・時間計画!H19</f>
        <v>0</v>
      </c>
      <c r="L212" s="182">
        <f>[27]人員・時間計画!I19</f>
        <v>0</v>
      </c>
      <c r="M212" s="182">
        <f>[27]人員・時間計画!J19</f>
        <v>0</v>
      </c>
      <c r="N212" s="182">
        <f>[27]人員・時間計画!K19</f>
        <v>0</v>
      </c>
      <c r="O212" s="182">
        <f>[27]人員・時間計画!L19</f>
        <v>0</v>
      </c>
      <c r="P212" s="182">
        <f>[27]人員・時間計画!M19</f>
        <v>0</v>
      </c>
      <c r="Q212" s="182">
        <f>[27]人員・時間計画!N19</f>
        <v>0</v>
      </c>
    </row>
    <row r="213" spans="1:17" ht="14.5" hidden="1" thickBot="1">
      <c r="A213">
        <f>[27]人員・時間計画!$A$5</f>
        <v>1412000010</v>
      </c>
      <c r="B213" t="str">
        <f>[27]人員・時間計画!$B$5</f>
        <v>採算管理課</v>
      </c>
      <c r="C213" s="185" t="s">
        <v>202</v>
      </c>
      <c r="D213" s="202"/>
      <c r="E213" s="203" t="s">
        <v>138</v>
      </c>
      <c r="F213" s="182">
        <f>[27]人員・時間計画!C20</f>
        <v>969</v>
      </c>
      <c r="G213" s="182">
        <f>[27]人員・時間計画!D20</f>
        <v>918</v>
      </c>
      <c r="H213" s="182">
        <f>[27]人員・時間計画!E20</f>
        <v>1020</v>
      </c>
      <c r="I213" s="182">
        <f>[27]人員・時間計画!F20</f>
        <v>1122</v>
      </c>
      <c r="J213" s="182">
        <f>[27]人員・時間計画!G20</f>
        <v>969</v>
      </c>
      <c r="K213" s="182">
        <f>[27]人員・時間計画!H20</f>
        <v>918</v>
      </c>
      <c r="L213" s="182">
        <f>[27]人員・時間計画!I20</f>
        <v>1122</v>
      </c>
      <c r="M213" s="182">
        <f>[27]人員・時間計画!J20</f>
        <v>969</v>
      </c>
      <c r="N213" s="182">
        <f>[27]人員・時間計画!K20</f>
        <v>1071</v>
      </c>
      <c r="O213" s="182">
        <f>[27]人員・時間計画!L20</f>
        <v>969</v>
      </c>
      <c r="P213" s="182">
        <f>[27]人員・時間計画!M20</f>
        <v>765</v>
      </c>
      <c r="Q213" s="182">
        <f>[27]人員・時間計画!N20</f>
        <v>969</v>
      </c>
    </row>
    <row r="214" spans="1:17" ht="14.5" hidden="1" thickBot="1">
      <c r="A214">
        <f>[27]人員・時間計画!$A$5</f>
        <v>1412000010</v>
      </c>
      <c r="B214" t="str">
        <f>[27]人員・時間計画!$B$5</f>
        <v>採算管理課</v>
      </c>
      <c r="C214" s="185" t="s">
        <v>202</v>
      </c>
      <c r="D214" s="204" t="s">
        <v>215</v>
      </c>
      <c r="E214" s="205"/>
      <c r="F214" s="182">
        <f>[27]人員・時間計画!C21</f>
        <v>969</v>
      </c>
      <c r="G214" s="182">
        <f>[27]人員・時間計画!D21</f>
        <v>918</v>
      </c>
      <c r="H214" s="182">
        <f>[27]人員・時間計画!E21</f>
        <v>1020</v>
      </c>
      <c r="I214" s="182">
        <f>[27]人員・時間計画!F21</f>
        <v>1122</v>
      </c>
      <c r="J214" s="182">
        <f>[27]人員・時間計画!G21</f>
        <v>969</v>
      </c>
      <c r="K214" s="182">
        <f>[27]人員・時間計画!H21</f>
        <v>918</v>
      </c>
      <c r="L214" s="182">
        <f>[27]人員・時間計画!I21</f>
        <v>1122</v>
      </c>
      <c r="M214" s="182">
        <f>[27]人員・時間計画!J21</f>
        <v>969</v>
      </c>
      <c r="N214" s="182">
        <f>[27]人員・時間計画!K21</f>
        <v>1071</v>
      </c>
      <c r="O214" s="182">
        <f>[27]人員・時間計画!L21</f>
        <v>969</v>
      </c>
      <c r="P214" s="182">
        <f>[27]人員・時間計画!M21</f>
        <v>765</v>
      </c>
      <c r="Q214" s="182">
        <f>[27]人員・時間計画!N21</f>
        <v>969</v>
      </c>
    </row>
    <row r="215" spans="1:17" ht="14.5" hidden="1" thickBot="1">
      <c r="A215">
        <f>[27]人員・時間計画!$A$5</f>
        <v>1412000010</v>
      </c>
      <c r="B215" t="str">
        <f>[27]人員・時間計画!$B$5</f>
        <v>採算管理課</v>
      </c>
      <c r="D215" s="197"/>
      <c r="E215" s="197"/>
    </row>
    <row r="216" spans="1:17" ht="14.5" hidden="1" thickBot="1">
      <c r="A216">
        <f>[27]人員・時間計画!$A$5</f>
        <v>1412000010</v>
      </c>
      <c r="B216" t="str">
        <f>[27]人員・時間計画!$B$5</f>
        <v>採算管理課</v>
      </c>
      <c r="C216" s="185" t="s">
        <v>71</v>
      </c>
      <c r="D216" s="185" t="s">
        <v>71</v>
      </c>
      <c r="E216" s="186"/>
    </row>
    <row r="217" spans="1:17" ht="14.5" hidden="1" thickBot="1">
      <c r="A217">
        <f>[27]人員・時間計画!$A$5</f>
        <v>1412000010</v>
      </c>
      <c r="B217" t="str">
        <f>[27]人員・時間計画!$B$5</f>
        <v>採算管理課</v>
      </c>
      <c r="C217" s="185" t="s">
        <v>71</v>
      </c>
      <c r="D217" s="198" t="s">
        <v>194</v>
      </c>
      <c r="E217" s="199"/>
      <c r="F217" s="182">
        <f>[27]人員・時間計画!C24</f>
        <v>0</v>
      </c>
      <c r="G217" s="182">
        <f>[27]人員・時間計画!D24</f>
        <v>0</v>
      </c>
      <c r="H217" s="182">
        <f>[27]人員・時間計画!E24</f>
        <v>0</v>
      </c>
      <c r="I217" s="182">
        <f>[27]人員・時間計画!F24</f>
        <v>0</v>
      </c>
      <c r="J217" s="182">
        <f>[27]人員・時間計画!G24</f>
        <v>0</v>
      </c>
      <c r="K217" s="182">
        <f>[27]人員・時間計画!H24</f>
        <v>0</v>
      </c>
      <c r="L217" s="182">
        <f>[27]人員・時間計画!I24</f>
        <v>0</v>
      </c>
      <c r="M217" s="182">
        <f>[27]人員・時間計画!J24</f>
        <v>0</v>
      </c>
      <c r="N217" s="182">
        <f>[27]人員・時間計画!K24</f>
        <v>0</v>
      </c>
      <c r="O217" s="182">
        <f>[27]人員・時間計画!L24</f>
        <v>0</v>
      </c>
      <c r="P217" s="182">
        <f>[27]人員・時間計画!M24</f>
        <v>0</v>
      </c>
      <c r="Q217" s="182">
        <f>[27]人員・時間計画!N24</f>
        <v>0</v>
      </c>
    </row>
    <row r="218" spans="1:17" ht="14.5" hidden="1" thickBot="1">
      <c r="A218">
        <f>[27]人員・時間計画!$A$5</f>
        <v>1412000010</v>
      </c>
      <c r="B218" t="str">
        <f>[27]人員・時間計画!$B$5</f>
        <v>採算管理課</v>
      </c>
      <c r="C218" s="185" t="s">
        <v>71</v>
      </c>
      <c r="D218" s="200"/>
      <c r="E218" s="206" t="s">
        <v>139</v>
      </c>
      <c r="F218" s="182">
        <f>[27]人員・時間計画!C25</f>
        <v>76</v>
      </c>
      <c r="G218" s="182">
        <f>[27]人員・時間計画!D25</f>
        <v>72</v>
      </c>
      <c r="H218" s="182">
        <f>[27]人員・時間計画!E25</f>
        <v>80</v>
      </c>
      <c r="I218" s="182">
        <f>[27]人員・時間計画!F25</f>
        <v>88</v>
      </c>
      <c r="J218" s="182">
        <f>[27]人員・時間計画!G25</f>
        <v>76</v>
      </c>
      <c r="K218" s="182">
        <f>[27]人員・時間計画!H25</f>
        <v>84.75</v>
      </c>
      <c r="L218" s="182">
        <f>[27]人員・時間計画!I25</f>
        <v>88</v>
      </c>
      <c r="M218" s="182">
        <f>[27]人員・時間計画!J25</f>
        <v>76</v>
      </c>
      <c r="N218" s="182">
        <f>[27]人員・時間計画!K25</f>
        <v>84</v>
      </c>
      <c r="O218" s="182">
        <f>[27]人員・時間計画!L25</f>
        <v>76</v>
      </c>
      <c r="P218" s="182">
        <f>[27]人員・時間計画!M25</f>
        <v>60</v>
      </c>
      <c r="Q218" s="182">
        <f>[27]人員・時間計画!N25</f>
        <v>88.75</v>
      </c>
    </row>
    <row r="219" spans="1:17" ht="14.5" thickBot="1">
      <c r="A219">
        <f>[27]人員・時間計画!$A$5</f>
        <v>1412000010</v>
      </c>
      <c r="B219" t="str">
        <f>[27]人員・時間計画!$B$5</f>
        <v>採算管理課</v>
      </c>
      <c r="C219" s="185" t="s">
        <v>71</v>
      </c>
      <c r="D219" s="201" t="s">
        <v>195</v>
      </c>
      <c r="E219" s="207" t="s">
        <v>140</v>
      </c>
      <c r="F219" s="182">
        <f>[27]人員・時間計画!C26</f>
        <v>0</v>
      </c>
      <c r="G219" s="182">
        <f>[27]人員・時間計画!D26</f>
        <v>0</v>
      </c>
      <c r="H219" s="182">
        <f>[27]人員・時間計画!E26</f>
        <v>0</v>
      </c>
      <c r="I219" s="182">
        <f>[27]人員・時間計画!F26</f>
        <v>0</v>
      </c>
      <c r="J219" s="182">
        <f>[27]人員・時間計画!G26</f>
        <v>0</v>
      </c>
      <c r="K219" s="182">
        <f>[27]人員・時間計画!H26</f>
        <v>0</v>
      </c>
      <c r="L219" s="182">
        <f>[27]人員・時間計画!I26</f>
        <v>0</v>
      </c>
      <c r="M219" s="182">
        <f>[27]人員・時間計画!J26</f>
        <v>0</v>
      </c>
      <c r="N219" s="182">
        <f>[27]人員・時間計画!K26</f>
        <v>0</v>
      </c>
      <c r="O219" s="182">
        <f>[27]人員・時間計画!L26</f>
        <v>0</v>
      </c>
      <c r="P219" s="182">
        <f>[27]人員・時間計画!M26</f>
        <v>0</v>
      </c>
      <c r="Q219" s="182">
        <f>[27]人員・時間計画!N26</f>
        <v>0</v>
      </c>
    </row>
    <row r="220" spans="1:17" ht="14.5" hidden="1" thickBot="1">
      <c r="A220">
        <f>[27]人員・時間計画!$A$5</f>
        <v>1412000010</v>
      </c>
      <c r="B220" t="str">
        <f>[27]人員・時間計画!$B$5</f>
        <v>採算管理課</v>
      </c>
      <c r="C220" s="185" t="s">
        <v>71</v>
      </c>
      <c r="D220" s="202"/>
      <c r="E220" s="203" t="s">
        <v>138</v>
      </c>
      <c r="F220" s="182">
        <f>[27]人員・時間計画!C27</f>
        <v>76</v>
      </c>
      <c r="G220" s="182">
        <f>[27]人員・時間計画!D27</f>
        <v>72</v>
      </c>
      <c r="H220" s="182">
        <f>[27]人員・時間計画!E27</f>
        <v>80</v>
      </c>
      <c r="I220" s="182">
        <f>[27]人員・時間計画!F27</f>
        <v>88</v>
      </c>
      <c r="J220" s="182">
        <f>[27]人員・時間計画!G27</f>
        <v>76</v>
      </c>
      <c r="K220" s="182">
        <f>[27]人員・時間計画!H27</f>
        <v>84.75</v>
      </c>
      <c r="L220" s="182">
        <f>[27]人員・時間計画!I27</f>
        <v>88</v>
      </c>
      <c r="M220" s="182">
        <f>[27]人員・時間計画!J27</f>
        <v>76</v>
      </c>
      <c r="N220" s="182">
        <f>[27]人員・時間計画!K27</f>
        <v>84</v>
      </c>
      <c r="O220" s="182">
        <f>[27]人員・時間計画!L27</f>
        <v>76</v>
      </c>
      <c r="P220" s="182">
        <f>[27]人員・時間計画!M27</f>
        <v>60</v>
      </c>
      <c r="Q220" s="182">
        <f>[27]人員・時間計画!N27</f>
        <v>88.75</v>
      </c>
    </row>
    <row r="221" spans="1:17" ht="14.5" hidden="1" thickBot="1">
      <c r="A221">
        <f>[27]人員・時間計画!$A$5</f>
        <v>1412000010</v>
      </c>
      <c r="B221" t="str">
        <f>[27]人員・時間計画!$B$5</f>
        <v>採算管理課</v>
      </c>
      <c r="C221" s="185" t="s">
        <v>71</v>
      </c>
      <c r="D221" s="204" t="s">
        <v>216</v>
      </c>
      <c r="E221" s="205"/>
      <c r="F221" s="182">
        <f>[27]人員・時間計画!C28</f>
        <v>76</v>
      </c>
      <c r="G221" s="182">
        <f>[27]人員・時間計画!D28</f>
        <v>72</v>
      </c>
      <c r="H221" s="182">
        <f>[27]人員・時間計画!E28</f>
        <v>80</v>
      </c>
      <c r="I221" s="182">
        <f>[27]人員・時間計画!F28</f>
        <v>88</v>
      </c>
      <c r="J221" s="182">
        <f>[27]人員・時間計画!G28</f>
        <v>76</v>
      </c>
      <c r="K221" s="182">
        <f>[27]人員・時間計画!H28</f>
        <v>84.75</v>
      </c>
      <c r="L221" s="182">
        <f>[27]人員・時間計画!I28</f>
        <v>88</v>
      </c>
      <c r="M221" s="182">
        <f>[27]人員・時間計画!J28</f>
        <v>76</v>
      </c>
      <c r="N221" s="182">
        <f>[27]人員・時間計画!K28</f>
        <v>84</v>
      </c>
      <c r="O221" s="182">
        <f>[27]人員・時間計画!L28</f>
        <v>76</v>
      </c>
      <c r="P221" s="182">
        <f>[27]人員・時間計画!M28</f>
        <v>60</v>
      </c>
      <c r="Q221" s="182">
        <f>[27]人員・時間計画!N28</f>
        <v>88.75</v>
      </c>
    </row>
    <row r="222" spans="1:17" ht="14.5" hidden="1" thickBot="1">
      <c r="A222">
        <f>[28]人員・時間計画!$A$5</f>
        <v>1412000054</v>
      </c>
      <c r="B222" t="str">
        <f>[28]人員・時間計画!$B$5</f>
        <v>マスター管理課</v>
      </c>
      <c r="C222" s="185" t="s">
        <v>3</v>
      </c>
      <c r="D222" s="185" t="s">
        <v>3</v>
      </c>
      <c r="E222" s="186"/>
    </row>
    <row r="223" spans="1:17" ht="14.5" hidden="1" thickBot="1">
      <c r="A223">
        <f>[28]人員・時間計画!$A$5</f>
        <v>1412000054</v>
      </c>
      <c r="B223" t="str">
        <f>[28]人員・時間計画!$B$5</f>
        <v>マスター管理課</v>
      </c>
      <c r="C223" s="185" t="s">
        <v>3</v>
      </c>
      <c r="D223" s="187" t="s">
        <v>194</v>
      </c>
      <c r="E223" s="188"/>
      <c r="F223" s="214">
        <f>[28]人員・時間計画!C10</f>
        <v>0</v>
      </c>
      <c r="G223" s="214">
        <f>[28]人員・時間計画!D10</f>
        <v>0</v>
      </c>
      <c r="H223" s="214">
        <f>[28]人員・時間計画!E10</f>
        <v>0</v>
      </c>
      <c r="I223" s="214">
        <f>[28]人員・時間計画!F10</f>
        <v>0</v>
      </c>
      <c r="J223" s="214">
        <f>[28]人員・時間計画!G10</f>
        <v>0</v>
      </c>
      <c r="K223" s="214">
        <f>[28]人員・時間計画!H10</f>
        <v>0</v>
      </c>
      <c r="L223" s="214">
        <f>[28]人員・時間計画!I10</f>
        <v>0</v>
      </c>
      <c r="M223" s="214">
        <f>[28]人員・時間計画!J10</f>
        <v>0</v>
      </c>
      <c r="N223" s="214">
        <f>[28]人員・時間計画!K10</f>
        <v>0</v>
      </c>
      <c r="O223" s="214">
        <f>[28]人員・時間計画!L10</f>
        <v>0</v>
      </c>
      <c r="P223" s="214">
        <f>[28]人員・時間計画!M10</f>
        <v>0</v>
      </c>
      <c r="Q223" s="214">
        <f>[28]人員・時間計画!N10</f>
        <v>0</v>
      </c>
    </row>
    <row r="224" spans="1:17" ht="14.5" hidden="1" thickBot="1">
      <c r="A224">
        <f>[28]人員・時間計画!$A$5</f>
        <v>1412000054</v>
      </c>
      <c r="B224" t="str">
        <f>[28]人員・時間計画!$B$5</f>
        <v>マスター管理課</v>
      </c>
      <c r="C224" s="185" t="s">
        <v>3</v>
      </c>
      <c r="D224" s="189"/>
      <c r="E224" s="190" t="s">
        <v>139</v>
      </c>
      <c r="F224" s="214">
        <f>[28]人員・時間計画!C11</f>
        <v>15</v>
      </c>
      <c r="G224" s="214">
        <f>[28]人員・時間計画!D11</f>
        <v>16</v>
      </c>
      <c r="H224" s="214">
        <f>[28]人員・時間計画!E11</f>
        <v>16</v>
      </c>
      <c r="I224" s="214">
        <f>[28]人員・時間計画!F11</f>
        <v>16</v>
      </c>
      <c r="J224" s="214">
        <f>[28]人員・時間計画!G11</f>
        <v>16</v>
      </c>
      <c r="K224" s="214">
        <f>[28]人員・時間計画!H11</f>
        <v>16</v>
      </c>
      <c r="L224" s="214">
        <f>[28]人員・時間計画!I11</f>
        <v>16</v>
      </c>
      <c r="M224" s="214">
        <f>[28]人員・時間計画!J11</f>
        <v>16</v>
      </c>
      <c r="N224" s="214">
        <f>[28]人員・時間計画!K11</f>
        <v>16</v>
      </c>
      <c r="O224" s="214">
        <f>[28]人員・時間計画!L11</f>
        <v>16</v>
      </c>
      <c r="P224" s="214">
        <f>[28]人員・時間計画!M11</f>
        <v>16</v>
      </c>
      <c r="Q224" s="214">
        <f>[28]人員・時間計画!N11</f>
        <v>16</v>
      </c>
    </row>
    <row r="225" spans="1:17" ht="14.5" thickBot="1">
      <c r="A225">
        <f>[28]人員・時間計画!$A$5</f>
        <v>1412000054</v>
      </c>
      <c r="B225" t="str">
        <f>[28]人員・時間計画!$B$5</f>
        <v>マスター管理課</v>
      </c>
      <c r="C225" s="185" t="s">
        <v>3</v>
      </c>
      <c r="D225" s="191" t="s">
        <v>195</v>
      </c>
      <c r="E225" s="192" t="s">
        <v>140</v>
      </c>
      <c r="F225" s="214">
        <f>[28]人員・時間計画!C12</f>
        <v>1</v>
      </c>
      <c r="G225" s="214">
        <f>[28]人員・時間計画!D12</f>
        <v>1</v>
      </c>
      <c r="H225" s="214">
        <f>[28]人員・時間計画!E12</f>
        <v>1</v>
      </c>
      <c r="I225" s="214">
        <f>[28]人員・時間計画!F12</f>
        <v>1</v>
      </c>
      <c r="J225" s="214">
        <f>[28]人員・時間計画!G12</f>
        <v>1</v>
      </c>
      <c r="K225" s="214">
        <f>[28]人員・時間計画!H12</f>
        <v>1</v>
      </c>
      <c r="L225" s="214">
        <f>[28]人員・時間計画!I12</f>
        <v>1</v>
      </c>
      <c r="M225" s="214">
        <f>[28]人員・時間計画!J12</f>
        <v>1</v>
      </c>
      <c r="N225" s="214">
        <f>[28]人員・時間計画!K12</f>
        <v>1</v>
      </c>
      <c r="O225" s="214">
        <f>[28]人員・時間計画!L12</f>
        <v>1</v>
      </c>
      <c r="P225" s="214">
        <f>[28]人員・時間計画!M12</f>
        <v>1</v>
      </c>
      <c r="Q225" s="214">
        <f>[28]人員・時間計画!N12</f>
        <v>1</v>
      </c>
    </row>
    <row r="226" spans="1:17" ht="14.5" hidden="1" thickBot="1">
      <c r="A226">
        <f>[28]人員・時間計画!$A$5</f>
        <v>1412000054</v>
      </c>
      <c r="B226" t="str">
        <f>[28]人員・時間計画!$B$5</f>
        <v>マスター管理課</v>
      </c>
      <c r="C226" s="185" t="s">
        <v>3</v>
      </c>
      <c r="D226" s="193"/>
      <c r="E226" s="194" t="s">
        <v>138</v>
      </c>
      <c r="F226" s="214">
        <f>[28]人員・時間計画!C13</f>
        <v>16</v>
      </c>
      <c r="G226" s="214">
        <f>[28]人員・時間計画!D13</f>
        <v>17</v>
      </c>
      <c r="H226" s="214">
        <f>[28]人員・時間計画!E13</f>
        <v>17</v>
      </c>
      <c r="I226" s="214">
        <f>[28]人員・時間計画!F13</f>
        <v>17</v>
      </c>
      <c r="J226" s="214">
        <f>[28]人員・時間計画!G13</f>
        <v>17</v>
      </c>
      <c r="K226" s="214">
        <f>[28]人員・時間計画!H13</f>
        <v>17</v>
      </c>
      <c r="L226" s="214">
        <f>[28]人員・時間計画!I13</f>
        <v>17</v>
      </c>
      <c r="M226" s="214">
        <f>[28]人員・時間計画!J13</f>
        <v>17</v>
      </c>
      <c r="N226" s="214">
        <f>[28]人員・時間計画!K13</f>
        <v>17</v>
      </c>
      <c r="O226" s="214">
        <f>[28]人員・時間計画!L13</f>
        <v>17</v>
      </c>
      <c r="P226" s="214">
        <f>[28]人員・時間計画!M13</f>
        <v>17</v>
      </c>
      <c r="Q226" s="214">
        <f>[28]人員・時間計画!N13</f>
        <v>17</v>
      </c>
    </row>
    <row r="227" spans="1:17" ht="14.5" hidden="1" thickBot="1">
      <c r="A227">
        <f>[28]人員・時間計画!$A$5</f>
        <v>1412000054</v>
      </c>
      <c r="B227" t="str">
        <f>[28]人員・時間計画!$B$5</f>
        <v>マスター管理課</v>
      </c>
      <c r="C227" s="185" t="s">
        <v>3</v>
      </c>
      <c r="D227" s="195" t="s">
        <v>196</v>
      </c>
      <c r="E227" s="196"/>
      <c r="F227" s="214">
        <f>[28]人員・時間計画!C14</f>
        <v>16</v>
      </c>
      <c r="G227" s="214">
        <f>[28]人員・時間計画!D14</f>
        <v>17</v>
      </c>
      <c r="H227" s="214">
        <f>[28]人員・時間計画!E14</f>
        <v>17</v>
      </c>
      <c r="I227" s="214">
        <f>[28]人員・時間計画!F14</f>
        <v>17</v>
      </c>
      <c r="J227" s="214">
        <f>[28]人員・時間計画!G14</f>
        <v>17</v>
      </c>
      <c r="K227" s="214">
        <f>[28]人員・時間計画!H14</f>
        <v>17</v>
      </c>
      <c r="L227" s="214">
        <f>[28]人員・時間計画!I14</f>
        <v>17</v>
      </c>
      <c r="M227" s="214">
        <f>[28]人員・時間計画!J14</f>
        <v>17</v>
      </c>
      <c r="N227" s="214">
        <f>[28]人員・時間計画!K14</f>
        <v>17</v>
      </c>
      <c r="O227" s="214">
        <f>[28]人員・時間計画!L14</f>
        <v>17</v>
      </c>
      <c r="P227" s="214">
        <f>[28]人員・時間計画!M14</f>
        <v>17</v>
      </c>
      <c r="Q227" s="214">
        <f>[28]人員・時間計画!N14</f>
        <v>17</v>
      </c>
    </row>
    <row r="228" spans="1:17" ht="14.5" hidden="1" thickBot="1">
      <c r="A228">
        <f>[28]人員・時間計画!$A$5</f>
        <v>1412000054</v>
      </c>
      <c r="B228" t="str">
        <f>[28]人員・時間計画!$B$5</f>
        <v>マスター管理課</v>
      </c>
      <c r="D228" s="197"/>
      <c r="E228" s="197"/>
    </row>
    <row r="229" spans="1:17" ht="14.5" hidden="1" thickBot="1">
      <c r="A229">
        <f>[28]人員・時間計画!$A$5</f>
        <v>1412000054</v>
      </c>
      <c r="B229" t="str">
        <f>[28]人員・時間計画!$B$5</f>
        <v>マスター管理課</v>
      </c>
      <c r="C229" s="185" t="s">
        <v>202</v>
      </c>
      <c r="D229" s="185" t="s">
        <v>202</v>
      </c>
      <c r="E229" s="186"/>
    </row>
    <row r="230" spans="1:17" ht="14.5" hidden="1" thickBot="1">
      <c r="A230">
        <f>[28]人員・時間計画!$A$5</f>
        <v>1412000054</v>
      </c>
      <c r="B230" t="str">
        <f>[28]人員・時間計画!$B$5</f>
        <v>マスター管理課</v>
      </c>
      <c r="C230" s="185" t="s">
        <v>202</v>
      </c>
      <c r="D230" s="198" t="s">
        <v>194</v>
      </c>
      <c r="E230" s="199"/>
      <c r="F230" s="182">
        <f>[28]人員・時間計画!C17</f>
        <v>0</v>
      </c>
      <c r="G230" s="182">
        <f>[28]人員・時間計画!D17</f>
        <v>0</v>
      </c>
      <c r="H230" s="182">
        <f>[28]人員・時間計画!E17</f>
        <v>0</v>
      </c>
      <c r="I230" s="182">
        <f>[28]人員・時間計画!F17</f>
        <v>0</v>
      </c>
      <c r="J230" s="182">
        <f>[28]人員・時間計画!G17</f>
        <v>0</v>
      </c>
      <c r="K230" s="182">
        <f>[28]人員・時間計画!H17</f>
        <v>0</v>
      </c>
      <c r="L230" s="182">
        <f>[28]人員・時間計画!I17</f>
        <v>0</v>
      </c>
      <c r="M230" s="182">
        <f>[28]人員・時間計画!J17</f>
        <v>0</v>
      </c>
      <c r="N230" s="182">
        <f>[28]人員・時間計画!K17</f>
        <v>0</v>
      </c>
      <c r="O230" s="182">
        <f>[28]人員・時間計画!L17</f>
        <v>0</v>
      </c>
      <c r="P230" s="182">
        <f>[28]人員・時間計画!M17</f>
        <v>0</v>
      </c>
      <c r="Q230" s="182">
        <f>[28]人員・時間計画!N17</f>
        <v>0</v>
      </c>
    </row>
    <row r="231" spans="1:17" ht="14.5" hidden="1" thickBot="1">
      <c r="A231">
        <f>[28]人員・時間計画!$A$5</f>
        <v>1412000054</v>
      </c>
      <c r="B231" t="str">
        <f>[28]人員・時間計画!$B$5</f>
        <v>マスター管理課</v>
      </c>
      <c r="C231" s="185" t="s">
        <v>202</v>
      </c>
      <c r="D231" s="200"/>
      <c r="E231" s="190" t="s">
        <v>139</v>
      </c>
      <c r="F231" s="182">
        <f>[28]人員・時間計画!C18</f>
        <v>2246</v>
      </c>
      <c r="G231" s="182">
        <f>[28]人員・時間計画!D18</f>
        <v>2415</v>
      </c>
      <c r="H231" s="182">
        <f>[28]人員・時間計画!E18</f>
        <v>2685</v>
      </c>
      <c r="I231" s="182">
        <f>[28]人員・時間計画!F18</f>
        <v>2768</v>
      </c>
      <c r="J231" s="182">
        <f>[28]人員・時間計画!G18</f>
        <v>2388.5</v>
      </c>
      <c r="K231" s="182">
        <f>[28]人員・時間計画!H18</f>
        <v>2262</v>
      </c>
      <c r="L231" s="182">
        <f>[28]人員・時間計画!I18</f>
        <v>2783</v>
      </c>
      <c r="M231" s="182">
        <f>[28]人員・時間計画!J18</f>
        <v>2422.5</v>
      </c>
      <c r="N231" s="182">
        <f>[28]人員・時間計画!K18</f>
        <v>2677.5</v>
      </c>
      <c r="O231" s="182">
        <f>[28]人員・時間計画!L18</f>
        <v>2569</v>
      </c>
      <c r="P231" s="182">
        <f>[28]人員・時間計画!M18</f>
        <v>1889</v>
      </c>
      <c r="Q231" s="182">
        <f>[28]人員・時間計画!N18</f>
        <v>2569</v>
      </c>
    </row>
    <row r="232" spans="1:17" ht="14.5" thickBot="1">
      <c r="A232">
        <f>[28]人員・時間計画!$A$5</f>
        <v>1412000054</v>
      </c>
      <c r="B232" t="str">
        <f>[28]人員・時間計画!$B$5</f>
        <v>マスター管理課</v>
      </c>
      <c r="C232" s="185" t="s">
        <v>202</v>
      </c>
      <c r="D232" s="201" t="s">
        <v>195</v>
      </c>
      <c r="E232" s="192" t="s">
        <v>140</v>
      </c>
      <c r="F232" s="182">
        <f>[28]人員・時間計画!C19</f>
        <v>161.5</v>
      </c>
      <c r="G232" s="182">
        <f>[28]人員・時間計画!D19</f>
        <v>153</v>
      </c>
      <c r="H232" s="182">
        <f>[28]人員・時間計画!E19</f>
        <v>170</v>
      </c>
      <c r="I232" s="182">
        <f>[28]人員・時間計画!F19</f>
        <v>187</v>
      </c>
      <c r="J232" s="182">
        <f>[28]人員・時間計画!G19</f>
        <v>161.5</v>
      </c>
      <c r="K232" s="182">
        <f>[28]人員・時間計画!H19</f>
        <v>153</v>
      </c>
      <c r="L232" s="182">
        <f>[28]人員・時間計画!I19</f>
        <v>187</v>
      </c>
      <c r="M232" s="182">
        <f>[28]人員・時間計画!J19</f>
        <v>161.5</v>
      </c>
      <c r="N232" s="182">
        <f>[28]人員・時間計画!K19</f>
        <v>178.5</v>
      </c>
      <c r="O232" s="182">
        <f>[28]人員・時間計画!L19</f>
        <v>161.5</v>
      </c>
      <c r="P232" s="182">
        <f>[28]人員・時間計画!M19</f>
        <v>119</v>
      </c>
      <c r="Q232" s="182">
        <f>[28]人員・時間計画!N19</f>
        <v>161.5</v>
      </c>
    </row>
    <row r="233" spans="1:17" ht="14.5" hidden="1" thickBot="1">
      <c r="A233">
        <f>[28]人員・時間計画!$A$5</f>
        <v>1412000054</v>
      </c>
      <c r="B233" t="str">
        <f>[28]人員・時間計画!$B$5</f>
        <v>マスター管理課</v>
      </c>
      <c r="C233" s="185" t="s">
        <v>202</v>
      </c>
      <c r="D233" s="202"/>
      <c r="E233" s="203" t="s">
        <v>138</v>
      </c>
      <c r="F233" s="182">
        <f>[28]人員・時間計画!C20</f>
        <v>2407.5</v>
      </c>
      <c r="G233" s="182">
        <f>[28]人員・時間計画!D20</f>
        <v>2568</v>
      </c>
      <c r="H233" s="182">
        <f>[28]人員・時間計画!E20</f>
        <v>2855</v>
      </c>
      <c r="I233" s="182">
        <f>[28]人員・時間計画!F20</f>
        <v>2955</v>
      </c>
      <c r="J233" s="182">
        <f>[28]人員・時間計画!G20</f>
        <v>2550</v>
      </c>
      <c r="K233" s="182">
        <f>[28]人員・時間計画!H20</f>
        <v>2415</v>
      </c>
      <c r="L233" s="182">
        <f>[28]人員・時間計画!I20</f>
        <v>2970</v>
      </c>
      <c r="M233" s="182">
        <f>[28]人員・時間計画!J20</f>
        <v>2584</v>
      </c>
      <c r="N233" s="182">
        <f>[28]人員・時間計画!K20</f>
        <v>2856</v>
      </c>
      <c r="O233" s="182">
        <f>[28]人員・時間計画!L20</f>
        <v>2730.5</v>
      </c>
      <c r="P233" s="182">
        <f>[28]人員・時間計画!M20</f>
        <v>2008</v>
      </c>
      <c r="Q233" s="182">
        <f>[28]人員・時間計画!N20</f>
        <v>2730.5</v>
      </c>
    </row>
    <row r="234" spans="1:17" ht="14.5" hidden="1" thickBot="1">
      <c r="A234">
        <f>[28]人員・時間計画!$A$5</f>
        <v>1412000054</v>
      </c>
      <c r="B234" t="str">
        <f>[28]人員・時間計画!$B$5</f>
        <v>マスター管理課</v>
      </c>
      <c r="C234" s="185" t="s">
        <v>202</v>
      </c>
      <c r="D234" s="204" t="s">
        <v>215</v>
      </c>
      <c r="E234" s="205"/>
      <c r="F234" s="182">
        <f>[28]人員・時間計画!C21</f>
        <v>2407.5</v>
      </c>
      <c r="G234" s="182">
        <f>[28]人員・時間計画!D21</f>
        <v>2568</v>
      </c>
      <c r="H234" s="182">
        <f>[28]人員・時間計画!E21</f>
        <v>2855</v>
      </c>
      <c r="I234" s="182">
        <f>[28]人員・時間計画!F21</f>
        <v>2955</v>
      </c>
      <c r="J234" s="182">
        <f>[28]人員・時間計画!G21</f>
        <v>2550</v>
      </c>
      <c r="K234" s="182">
        <f>[28]人員・時間計画!H21</f>
        <v>2415</v>
      </c>
      <c r="L234" s="182">
        <f>[28]人員・時間計画!I21</f>
        <v>2970</v>
      </c>
      <c r="M234" s="182">
        <f>[28]人員・時間計画!J21</f>
        <v>2584</v>
      </c>
      <c r="N234" s="182">
        <f>[28]人員・時間計画!K21</f>
        <v>2856</v>
      </c>
      <c r="O234" s="182">
        <f>[28]人員・時間計画!L21</f>
        <v>2730.5</v>
      </c>
      <c r="P234" s="182">
        <f>[28]人員・時間計画!M21</f>
        <v>2008</v>
      </c>
      <c r="Q234" s="182">
        <f>[28]人員・時間計画!N21</f>
        <v>2730.5</v>
      </c>
    </row>
    <row r="235" spans="1:17" ht="14.5" hidden="1" thickBot="1">
      <c r="A235">
        <f>[28]人員・時間計画!$A$5</f>
        <v>1412000054</v>
      </c>
      <c r="B235" t="str">
        <f>[28]人員・時間計画!$B$5</f>
        <v>マスター管理課</v>
      </c>
      <c r="D235" s="197"/>
      <c r="E235" s="197"/>
    </row>
    <row r="236" spans="1:17" ht="14.5" hidden="1" thickBot="1">
      <c r="A236">
        <f>[28]人員・時間計画!$A$5</f>
        <v>1412000054</v>
      </c>
      <c r="B236" t="str">
        <f>[28]人員・時間計画!$B$5</f>
        <v>マスター管理課</v>
      </c>
      <c r="C236" s="185" t="s">
        <v>71</v>
      </c>
      <c r="D236" s="185" t="s">
        <v>71</v>
      </c>
      <c r="E236" s="186"/>
    </row>
    <row r="237" spans="1:17" ht="14.5" hidden="1" thickBot="1">
      <c r="A237">
        <f>[28]人員・時間計画!$A$5</f>
        <v>1412000054</v>
      </c>
      <c r="B237" t="str">
        <f>[28]人員・時間計画!$B$5</f>
        <v>マスター管理課</v>
      </c>
      <c r="C237" s="185" t="s">
        <v>71</v>
      </c>
      <c r="D237" s="198" t="s">
        <v>194</v>
      </c>
      <c r="E237" s="199"/>
      <c r="F237" s="182">
        <f>[28]人員・時間計画!C24</f>
        <v>0</v>
      </c>
      <c r="G237" s="182">
        <f>[28]人員・時間計画!D24</f>
        <v>0</v>
      </c>
      <c r="H237" s="182">
        <f>[28]人員・時間計画!E24</f>
        <v>0</v>
      </c>
      <c r="I237" s="182">
        <f>[28]人員・時間計画!F24</f>
        <v>0</v>
      </c>
      <c r="J237" s="182">
        <f>[28]人員・時間計画!G24</f>
        <v>0</v>
      </c>
      <c r="K237" s="182">
        <f>[28]人員・時間計画!H24</f>
        <v>0</v>
      </c>
      <c r="L237" s="182">
        <f>[28]人員・時間計画!I24</f>
        <v>0</v>
      </c>
      <c r="M237" s="182">
        <f>[28]人員・時間計画!J24</f>
        <v>0</v>
      </c>
      <c r="N237" s="182">
        <f>[28]人員・時間計画!K24</f>
        <v>0</v>
      </c>
      <c r="O237" s="182">
        <f>[28]人員・時間計画!L24</f>
        <v>0</v>
      </c>
      <c r="P237" s="182">
        <f>[28]人員・時間計画!M24</f>
        <v>0</v>
      </c>
      <c r="Q237" s="182">
        <f>[28]人員・時間計画!N24</f>
        <v>0</v>
      </c>
    </row>
    <row r="238" spans="1:17" ht="14.5" hidden="1" thickBot="1">
      <c r="A238">
        <f>[28]人員・時間計画!$A$5</f>
        <v>1412000054</v>
      </c>
      <c r="B238" t="str">
        <f>[28]人員・時間計画!$B$5</f>
        <v>マスター管理課</v>
      </c>
      <c r="C238" s="185" t="s">
        <v>71</v>
      </c>
      <c r="D238" s="200"/>
      <c r="E238" s="206" t="s">
        <v>139</v>
      </c>
      <c r="F238" s="182">
        <f>[28]人員・時間計画!C25</f>
        <v>152</v>
      </c>
      <c r="G238" s="182">
        <f>[28]人員・時間計画!D25</f>
        <v>144</v>
      </c>
      <c r="H238" s="182">
        <f>[28]人員・時間計画!E25</f>
        <v>160</v>
      </c>
      <c r="I238" s="182">
        <f>[28]人員・時間計画!F25</f>
        <v>176</v>
      </c>
      <c r="J238" s="182">
        <f>[28]人員・時間計画!G25</f>
        <v>177.5</v>
      </c>
      <c r="K238" s="182">
        <f>[28]人員・時間計画!H25</f>
        <v>144</v>
      </c>
      <c r="L238" s="182">
        <f>[28]人員・時間計画!I25</f>
        <v>176</v>
      </c>
      <c r="M238" s="182">
        <f>[28]人員・時間計画!J25</f>
        <v>152</v>
      </c>
      <c r="N238" s="182">
        <f>[28]人員・時間計画!K25</f>
        <v>168</v>
      </c>
      <c r="O238" s="182">
        <f>[28]人員・時間計画!L25</f>
        <v>152</v>
      </c>
      <c r="P238" s="182">
        <f>[28]人員・時間計画!M25</f>
        <v>137.5</v>
      </c>
      <c r="Q238" s="182">
        <f>[28]人員・時間計画!N25</f>
        <v>152</v>
      </c>
    </row>
    <row r="239" spans="1:17" ht="14.5" thickBot="1">
      <c r="A239">
        <f>[28]人員・時間計画!$A$5</f>
        <v>1412000054</v>
      </c>
      <c r="B239" t="str">
        <f>[28]人員・時間計画!$B$5</f>
        <v>マスター管理課</v>
      </c>
      <c r="C239" s="185" t="s">
        <v>71</v>
      </c>
      <c r="D239" s="201" t="s">
        <v>195</v>
      </c>
      <c r="E239" s="207" t="s">
        <v>140</v>
      </c>
      <c r="F239" s="182">
        <f>[28]人員・時間計画!C26</f>
        <v>0</v>
      </c>
      <c r="G239" s="182">
        <f>[28]人員・時間計画!D26</f>
        <v>0</v>
      </c>
      <c r="H239" s="182">
        <f>[28]人員・時間計画!E26</f>
        <v>0</v>
      </c>
      <c r="I239" s="182">
        <f>[28]人員・時間計画!F26</f>
        <v>0</v>
      </c>
      <c r="J239" s="182">
        <f>[28]人員・時間計画!G26</f>
        <v>0</v>
      </c>
      <c r="K239" s="182">
        <f>[28]人員・時間計画!H26</f>
        <v>0</v>
      </c>
      <c r="L239" s="182">
        <f>[28]人員・時間計画!I26</f>
        <v>0</v>
      </c>
      <c r="M239" s="182">
        <f>[28]人員・時間計画!J26</f>
        <v>0</v>
      </c>
      <c r="N239" s="182">
        <f>[28]人員・時間計画!K26</f>
        <v>0</v>
      </c>
      <c r="O239" s="182">
        <f>[28]人員・時間計画!L26</f>
        <v>0</v>
      </c>
      <c r="P239" s="182">
        <f>[28]人員・時間計画!M26</f>
        <v>0</v>
      </c>
      <c r="Q239" s="182">
        <f>[28]人員・時間計画!N26</f>
        <v>0</v>
      </c>
    </row>
    <row r="240" spans="1:17" ht="14.5" hidden="1" thickBot="1">
      <c r="A240">
        <f>[28]人員・時間計画!$A$5</f>
        <v>1412000054</v>
      </c>
      <c r="B240" t="str">
        <f>[28]人員・時間計画!$B$5</f>
        <v>マスター管理課</v>
      </c>
      <c r="C240" s="185" t="s">
        <v>71</v>
      </c>
      <c r="D240" s="202"/>
      <c r="E240" s="203" t="s">
        <v>138</v>
      </c>
      <c r="F240" s="182">
        <f>[28]人員・時間計画!C27</f>
        <v>152</v>
      </c>
      <c r="G240" s="182">
        <f>[28]人員・時間計画!D27</f>
        <v>144</v>
      </c>
      <c r="H240" s="182">
        <f>[28]人員・時間計画!E27</f>
        <v>160</v>
      </c>
      <c r="I240" s="182">
        <f>[28]人員・時間計画!F27</f>
        <v>176</v>
      </c>
      <c r="J240" s="182">
        <f>[28]人員・時間計画!G27</f>
        <v>177.5</v>
      </c>
      <c r="K240" s="182">
        <f>[28]人員・時間計画!H27</f>
        <v>144</v>
      </c>
      <c r="L240" s="182">
        <f>[28]人員・時間計画!I27</f>
        <v>176</v>
      </c>
      <c r="M240" s="182">
        <f>[28]人員・時間計画!J27</f>
        <v>152</v>
      </c>
      <c r="N240" s="182">
        <f>[28]人員・時間計画!K27</f>
        <v>168</v>
      </c>
      <c r="O240" s="182">
        <f>[28]人員・時間計画!L27</f>
        <v>152</v>
      </c>
      <c r="P240" s="182">
        <f>[28]人員・時間計画!M27</f>
        <v>137.5</v>
      </c>
      <c r="Q240" s="182">
        <f>[28]人員・時間計画!N27</f>
        <v>152</v>
      </c>
    </row>
    <row r="241" spans="1:17" ht="14.5" hidden="1" thickBot="1">
      <c r="A241">
        <f>[28]人員・時間計画!$A$5</f>
        <v>1412000054</v>
      </c>
      <c r="B241" t="str">
        <f>[28]人員・時間計画!$B$5</f>
        <v>マスター管理課</v>
      </c>
      <c r="C241" s="185" t="s">
        <v>71</v>
      </c>
      <c r="D241" s="204" t="s">
        <v>216</v>
      </c>
      <c r="E241" s="205"/>
      <c r="F241" s="182">
        <f>[28]人員・時間計画!C28</f>
        <v>152</v>
      </c>
      <c r="G241" s="182">
        <f>[28]人員・時間計画!D28</f>
        <v>144</v>
      </c>
      <c r="H241" s="182">
        <f>[28]人員・時間計画!E28</f>
        <v>160</v>
      </c>
      <c r="I241" s="182">
        <f>[28]人員・時間計画!F28</f>
        <v>176</v>
      </c>
      <c r="J241" s="182">
        <f>[28]人員・時間計画!G28</f>
        <v>177.5</v>
      </c>
      <c r="K241" s="182">
        <f>[28]人員・時間計画!H28</f>
        <v>144</v>
      </c>
      <c r="L241" s="182">
        <f>[28]人員・時間計画!I28</f>
        <v>176</v>
      </c>
      <c r="M241" s="182">
        <f>[28]人員・時間計画!J28</f>
        <v>152</v>
      </c>
      <c r="N241" s="182">
        <f>[28]人員・時間計画!K28</f>
        <v>168</v>
      </c>
      <c r="O241" s="182">
        <f>[28]人員・時間計画!L28</f>
        <v>152</v>
      </c>
      <c r="P241" s="182">
        <f>[28]人員・時間計画!M28</f>
        <v>137.5</v>
      </c>
      <c r="Q241" s="182">
        <f>[28]人員・時間計画!N28</f>
        <v>152</v>
      </c>
    </row>
    <row r="242" spans="1:17" ht="14.5" hidden="1" thickBot="1">
      <c r="A242">
        <f>[30]人員・時間計画!$A$5</f>
        <v>1412000036</v>
      </c>
      <c r="B242" t="str">
        <f>[30]人員・時間計画!$B$5</f>
        <v>部品管理課</v>
      </c>
      <c r="C242" s="185" t="s">
        <v>3</v>
      </c>
      <c r="D242" s="185" t="s">
        <v>3</v>
      </c>
      <c r="E242" s="186"/>
    </row>
    <row r="243" spans="1:17" ht="14.5" hidden="1" thickBot="1">
      <c r="A243">
        <f>[30]人員・時間計画!$A$5</f>
        <v>1412000036</v>
      </c>
      <c r="B243" t="str">
        <f>[30]人員・時間計画!$B$5</f>
        <v>部品管理課</v>
      </c>
      <c r="C243" s="185" t="s">
        <v>3</v>
      </c>
      <c r="D243" s="187" t="s">
        <v>194</v>
      </c>
      <c r="E243" s="188"/>
      <c r="F243" s="214">
        <f>[30]人員・時間計画!C10</f>
        <v>0</v>
      </c>
      <c r="G243" s="214">
        <f>[30]人員・時間計画!D10</f>
        <v>0</v>
      </c>
      <c r="H243" s="214">
        <f>[30]人員・時間計画!E10</f>
        <v>0</v>
      </c>
      <c r="I243" s="214">
        <f>[30]人員・時間計画!F10</f>
        <v>0</v>
      </c>
      <c r="J243" s="214">
        <f>[30]人員・時間計画!G10</f>
        <v>0</v>
      </c>
      <c r="K243" s="214">
        <f>[30]人員・時間計画!H10</f>
        <v>0</v>
      </c>
      <c r="L243" s="214">
        <f>[30]人員・時間計画!I10</f>
        <v>0</v>
      </c>
      <c r="M243" s="214">
        <f>[30]人員・時間計画!J10</f>
        <v>0</v>
      </c>
      <c r="N243" s="214">
        <f>[30]人員・時間計画!K10</f>
        <v>0</v>
      </c>
      <c r="O243" s="214">
        <f>[30]人員・時間計画!L10</f>
        <v>0</v>
      </c>
      <c r="P243" s="214">
        <f>[30]人員・時間計画!M10</f>
        <v>0</v>
      </c>
      <c r="Q243" s="214">
        <f>[30]人員・時間計画!N10</f>
        <v>0</v>
      </c>
    </row>
    <row r="244" spans="1:17" ht="14.5" hidden="1" thickBot="1">
      <c r="A244">
        <f>[30]人員・時間計画!$A$5</f>
        <v>1412000036</v>
      </c>
      <c r="B244" t="str">
        <f>[30]人員・時間計画!$B$5</f>
        <v>部品管理課</v>
      </c>
      <c r="C244" s="185" t="s">
        <v>3</v>
      </c>
      <c r="D244" s="189"/>
      <c r="E244" s="190" t="s">
        <v>139</v>
      </c>
      <c r="F244" s="214">
        <f>[30]人員・時間計画!C11</f>
        <v>35</v>
      </c>
      <c r="G244" s="214">
        <f>[30]人員・時間計画!D11</f>
        <v>35</v>
      </c>
      <c r="H244" s="214">
        <f>[30]人員・時間計画!E11</f>
        <v>35</v>
      </c>
      <c r="I244" s="214">
        <f>[30]人員・時間計画!F11</f>
        <v>38</v>
      </c>
      <c r="J244" s="214">
        <f>[30]人員・時間計画!G11</f>
        <v>38</v>
      </c>
      <c r="K244" s="214">
        <f>[30]人員・時間計画!H11</f>
        <v>38</v>
      </c>
      <c r="L244" s="214">
        <f>[30]人員・時間計画!I11</f>
        <v>38</v>
      </c>
      <c r="M244" s="214">
        <f>[30]人員・時間計画!J11</f>
        <v>38</v>
      </c>
      <c r="N244" s="214">
        <f>[30]人員・時間計画!K11</f>
        <v>38</v>
      </c>
      <c r="O244" s="214">
        <f>[30]人員・時間計画!L11</f>
        <v>38</v>
      </c>
      <c r="P244" s="214">
        <f>[30]人員・時間計画!M11</f>
        <v>38</v>
      </c>
      <c r="Q244" s="214">
        <f>[30]人員・時間計画!N11</f>
        <v>38</v>
      </c>
    </row>
    <row r="245" spans="1:17" ht="14.5" thickBot="1">
      <c r="A245">
        <f>[30]人員・時間計画!$A$5</f>
        <v>1412000036</v>
      </c>
      <c r="B245" t="str">
        <f>[30]人員・時間計画!$B$5</f>
        <v>部品管理課</v>
      </c>
      <c r="C245" s="185" t="s">
        <v>3</v>
      </c>
      <c r="D245" s="191" t="s">
        <v>195</v>
      </c>
      <c r="E245" s="192" t="s">
        <v>140</v>
      </c>
      <c r="F245" s="214">
        <f>[30]人員・時間計画!C12</f>
        <v>348</v>
      </c>
      <c r="G245" s="214">
        <f>[30]人員・時間計画!D12</f>
        <v>344</v>
      </c>
      <c r="H245" s="214">
        <f>[30]人員・時間計画!E12</f>
        <v>342</v>
      </c>
      <c r="I245" s="214">
        <f>[30]人員・時間計画!F12</f>
        <v>337</v>
      </c>
      <c r="J245" s="214">
        <f>[30]人員・時間計画!G12</f>
        <v>337</v>
      </c>
      <c r="K245" s="214">
        <f>[30]人員・時間計画!H12</f>
        <v>336</v>
      </c>
      <c r="L245" s="214">
        <f>[30]人員・時間計画!I12</f>
        <v>334</v>
      </c>
      <c r="M245" s="214">
        <f>[30]人員・時間計画!J12</f>
        <v>332</v>
      </c>
      <c r="N245" s="214">
        <f>[30]人員・時間計画!K12</f>
        <v>330</v>
      </c>
      <c r="O245" s="214">
        <f>[30]人員・時間計画!L12</f>
        <v>346</v>
      </c>
      <c r="P245" s="214">
        <f>[30]人員・時間計画!M12</f>
        <v>361</v>
      </c>
      <c r="Q245" s="214">
        <f>[30]人員・時間計画!N12</f>
        <v>359</v>
      </c>
    </row>
    <row r="246" spans="1:17" ht="14.5" hidden="1" thickBot="1">
      <c r="A246">
        <f>[30]人員・時間計画!$A$5</f>
        <v>1412000036</v>
      </c>
      <c r="B246" t="str">
        <f>[30]人員・時間計画!$B$5</f>
        <v>部品管理課</v>
      </c>
      <c r="C246" s="185" t="s">
        <v>3</v>
      </c>
      <c r="D246" s="193"/>
      <c r="E246" s="194" t="s">
        <v>138</v>
      </c>
      <c r="F246" s="214">
        <f>[30]人員・時間計画!C13</f>
        <v>383</v>
      </c>
      <c r="G246" s="214">
        <f>[30]人員・時間計画!D13</f>
        <v>379</v>
      </c>
      <c r="H246" s="214">
        <f>[30]人員・時間計画!E13</f>
        <v>377</v>
      </c>
      <c r="I246" s="214">
        <f>[30]人員・時間計画!F13</f>
        <v>375</v>
      </c>
      <c r="J246" s="214">
        <f>[30]人員・時間計画!G13</f>
        <v>375</v>
      </c>
      <c r="K246" s="214">
        <f>[30]人員・時間計画!H13</f>
        <v>374</v>
      </c>
      <c r="L246" s="214">
        <f>[30]人員・時間計画!I13</f>
        <v>372</v>
      </c>
      <c r="M246" s="214">
        <f>[30]人員・時間計画!J13</f>
        <v>370</v>
      </c>
      <c r="N246" s="214">
        <f>[30]人員・時間計画!K13</f>
        <v>368</v>
      </c>
      <c r="O246" s="214">
        <f>[30]人員・時間計画!L13</f>
        <v>384</v>
      </c>
      <c r="P246" s="214">
        <f>[30]人員・時間計画!M13</f>
        <v>399</v>
      </c>
      <c r="Q246" s="214">
        <f>[30]人員・時間計画!N13</f>
        <v>397</v>
      </c>
    </row>
    <row r="247" spans="1:17" ht="14.5" hidden="1" thickBot="1">
      <c r="A247">
        <f>[30]人員・時間計画!$A$5</f>
        <v>1412000036</v>
      </c>
      <c r="B247" t="str">
        <f>[30]人員・時間計画!$B$5</f>
        <v>部品管理課</v>
      </c>
      <c r="C247" s="185" t="s">
        <v>3</v>
      </c>
      <c r="D247" s="195" t="s">
        <v>196</v>
      </c>
      <c r="E247" s="196"/>
      <c r="F247" s="214">
        <f>[30]人員・時間計画!C14</f>
        <v>383</v>
      </c>
      <c r="G247" s="214">
        <f>[30]人員・時間計画!D14</f>
        <v>379</v>
      </c>
      <c r="H247" s="214">
        <f>[30]人員・時間計画!E14</f>
        <v>377</v>
      </c>
      <c r="I247" s="214">
        <f>[30]人員・時間計画!F14</f>
        <v>375</v>
      </c>
      <c r="J247" s="214">
        <f>[30]人員・時間計画!G14</f>
        <v>375</v>
      </c>
      <c r="K247" s="214">
        <f>[30]人員・時間計画!H14</f>
        <v>374</v>
      </c>
      <c r="L247" s="214">
        <f>[30]人員・時間計画!I14</f>
        <v>372</v>
      </c>
      <c r="M247" s="214">
        <f>[30]人員・時間計画!J14</f>
        <v>370</v>
      </c>
      <c r="N247" s="214">
        <f>[30]人員・時間計画!K14</f>
        <v>368</v>
      </c>
      <c r="O247" s="214">
        <f>[30]人員・時間計画!L14</f>
        <v>384</v>
      </c>
      <c r="P247" s="214">
        <f>[30]人員・時間計画!M14</f>
        <v>399</v>
      </c>
      <c r="Q247" s="214">
        <f>[30]人員・時間計画!N14</f>
        <v>397</v>
      </c>
    </row>
    <row r="248" spans="1:17" ht="14.5" hidden="1" thickBot="1">
      <c r="A248">
        <f>[30]人員・時間計画!$A$5</f>
        <v>1412000036</v>
      </c>
      <c r="B248" t="str">
        <f>[30]人員・時間計画!$B$5</f>
        <v>部品管理課</v>
      </c>
      <c r="D248" s="197"/>
      <c r="E248" s="197"/>
    </row>
    <row r="249" spans="1:17" ht="14.5" hidden="1" thickBot="1">
      <c r="A249">
        <f>[30]人員・時間計画!$A$5</f>
        <v>1412000036</v>
      </c>
      <c r="B249" t="str">
        <f>[30]人員・時間計画!$B$5</f>
        <v>部品管理課</v>
      </c>
      <c r="C249" s="185" t="s">
        <v>202</v>
      </c>
      <c r="D249" s="185" t="s">
        <v>202</v>
      </c>
      <c r="E249" s="186"/>
    </row>
    <row r="250" spans="1:17" ht="14.5" hidden="1" thickBot="1">
      <c r="A250">
        <f>[30]人員・時間計画!$A$5</f>
        <v>1412000036</v>
      </c>
      <c r="B250" t="str">
        <f>[30]人員・時間計画!$B$5</f>
        <v>部品管理課</v>
      </c>
      <c r="C250" s="185" t="s">
        <v>202</v>
      </c>
      <c r="D250" s="198" t="s">
        <v>194</v>
      </c>
      <c r="E250" s="199"/>
      <c r="F250" s="182">
        <f>[30]人員・時間計画!C17</f>
        <v>0</v>
      </c>
      <c r="G250" s="182">
        <f>[30]人員・時間計画!D17</f>
        <v>0</v>
      </c>
      <c r="H250" s="182">
        <f>[30]人員・時間計画!E17</f>
        <v>0</v>
      </c>
      <c r="I250" s="182">
        <f>[30]人員・時間計画!F17</f>
        <v>0</v>
      </c>
      <c r="J250" s="182">
        <f>[30]人員・時間計画!G17</f>
        <v>0</v>
      </c>
      <c r="K250" s="182">
        <f>[30]人員・時間計画!H17</f>
        <v>0</v>
      </c>
      <c r="L250" s="182">
        <f>[30]人員・時間計画!I17</f>
        <v>0</v>
      </c>
      <c r="M250" s="182">
        <f>[30]人員・時間計画!J17</f>
        <v>0</v>
      </c>
      <c r="N250" s="182">
        <f>[30]人員・時間計画!K17</f>
        <v>0</v>
      </c>
      <c r="O250" s="182">
        <f>[30]人員・時間計画!L17</f>
        <v>0</v>
      </c>
      <c r="P250" s="182">
        <f>[30]人員・時間計画!M17</f>
        <v>0</v>
      </c>
      <c r="Q250" s="182">
        <f>[30]人員・時間計画!N17</f>
        <v>0</v>
      </c>
    </row>
    <row r="251" spans="1:17" ht="14.5" hidden="1" thickBot="1">
      <c r="A251">
        <f>[30]人員・時間計画!$A$5</f>
        <v>1412000036</v>
      </c>
      <c r="B251" t="str">
        <f>[30]人員・時間計画!$B$5</f>
        <v>部品管理課</v>
      </c>
      <c r="C251" s="185" t="s">
        <v>202</v>
      </c>
      <c r="D251" s="200"/>
      <c r="E251" s="190" t="s">
        <v>139</v>
      </c>
      <c r="F251" s="182">
        <f>[30]人員・時間計画!C18</f>
        <v>5780</v>
      </c>
      <c r="G251" s="182">
        <f>[30]人員・時間計画!D18</f>
        <v>5491</v>
      </c>
      <c r="H251" s="182">
        <f>[30]人員・時間計画!E18</f>
        <v>6069</v>
      </c>
      <c r="I251" s="182">
        <f>[30]人員・時間計画!F18</f>
        <v>7233.5</v>
      </c>
      <c r="J251" s="182">
        <f>[30]人員・時間計画!G18</f>
        <v>6290</v>
      </c>
      <c r="K251" s="182">
        <f>[30]人員・時間計画!H18</f>
        <v>5975.5</v>
      </c>
      <c r="L251" s="182">
        <f>[30]人員・時間計画!I18</f>
        <v>7233.5</v>
      </c>
      <c r="M251" s="182">
        <f>[30]人員・時間計画!J18</f>
        <v>6290</v>
      </c>
      <c r="N251" s="182">
        <f>[30]人員・時間計画!K18</f>
        <v>6919</v>
      </c>
      <c r="O251" s="182">
        <f>[30]人員・時間計画!L18</f>
        <v>6290</v>
      </c>
      <c r="P251" s="182">
        <f>[30]人員・時間計画!M18</f>
        <v>4717.5</v>
      </c>
      <c r="Q251" s="182">
        <f>[30]人員・時間計画!N18</f>
        <v>6290</v>
      </c>
    </row>
    <row r="252" spans="1:17" ht="14.5" thickBot="1">
      <c r="A252">
        <f>[30]人員・時間計画!$A$5</f>
        <v>1412000036</v>
      </c>
      <c r="B252" t="str">
        <f>[30]人員・時間計画!$B$5</f>
        <v>部品管理課</v>
      </c>
      <c r="C252" s="185" t="s">
        <v>202</v>
      </c>
      <c r="D252" s="201" t="s">
        <v>195</v>
      </c>
      <c r="E252" s="192" t="s">
        <v>140</v>
      </c>
      <c r="F252" s="182">
        <f>[30]人員・時間計画!C19</f>
        <v>54060</v>
      </c>
      <c r="G252" s="182">
        <f>[30]人員・時間計画!D19</f>
        <v>50711</v>
      </c>
      <c r="H252" s="182">
        <f>[30]人員・時間計画!E19</f>
        <v>55692</v>
      </c>
      <c r="I252" s="182">
        <f>[30]人員・時間計画!F19</f>
        <v>58981.5</v>
      </c>
      <c r="J252" s="182">
        <f>[30]人員・時間計画!G19</f>
        <v>50464.5</v>
      </c>
      <c r="K252" s="182">
        <f>[30]人員・時間計画!H19</f>
        <v>50923.5</v>
      </c>
      <c r="L252" s="182">
        <f>[30]人員・時間計画!I19</f>
        <v>60681.5</v>
      </c>
      <c r="M252" s="182">
        <f>[30]人員・時間計画!J19</f>
        <v>51340</v>
      </c>
      <c r="N252" s="182">
        <f>[30]人員・時間計画!K19</f>
        <v>56100</v>
      </c>
      <c r="O252" s="182">
        <f>[30]人員・時間計画!L19</f>
        <v>52691.5</v>
      </c>
      <c r="P252" s="182">
        <f>[30]人員・時間計画!M19</f>
        <v>43979</v>
      </c>
      <c r="Q252" s="182">
        <f>[30]人員・時間計画!N19</f>
        <v>56202</v>
      </c>
    </row>
    <row r="253" spans="1:17" ht="14.5" hidden="1" thickBot="1">
      <c r="A253">
        <f>[30]人員・時間計画!$A$5</f>
        <v>1412000036</v>
      </c>
      <c r="B253" t="str">
        <f>[30]人員・時間計画!$B$5</f>
        <v>部品管理課</v>
      </c>
      <c r="C253" s="185" t="s">
        <v>202</v>
      </c>
      <c r="D253" s="202"/>
      <c r="E253" s="203" t="s">
        <v>138</v>
      </c>
      <c r="F253" s="182">
        <f>[30]人員・時間計画!C20</f>
        <v>59840</v>
      </c>
      <c r="G253" s="182">
        <f>[30]人員・時間計画!D20</f>
        <v>56202</v>
      </c>
      <c r="H253" s="182">
        <f>[30]人員・時間計画!E20</f>
        <v>61761</v>
      </c>
      <c r="I253" s="182">
        <f>[30]人員・時間計画!F20</f>
        <v>66215</v>
      </c>
      <c r="J253" s="182">
        <f>[30]人員・時間計画!G20</f>
        <v>56754.5</v>
      </c>
      <c r="K253" s="182">
        <f>[30]人員・時間計画!H20</f>
        <v>56899</v>
      </c>
      <c r="L253" s="182">
        <f>[30]人員・時間計画!I20</f>
        <v>67915</v>
      </c>
      <c r="M253" s="182">
        <f>[30]人員・時間計画!J20</f>
        <v>57630</v>
      </c>
      <c r="N253" s="182">
        <f>[30]人員・時間計画!K20</f>
        <v>63019</v>
      </c>
      <c r="O253" s="182">
        <f>[30]人員・時間計画!L20</f>
        <v>58981.5</v>
      </c>
      <c r="P253" s="182">
        <f>[30]人員・時間計画!M20</f>
        <v>48696.5</v>
      </c>
      <c r="Q253" s="182">
        <f>[30]人員・時間計画!N20</f>
        <v>62492</v>
      </c>
    </row>
    <row r="254" spans="1:17" ht="14.5" hidden="1" thickBot="1">
      <c r="A254">
        <f>[30]人員・時間計画!$A$5</f>
        <v>1412000036</v>
      </c>
      <c r="B254" t="str">
        <f>[30]人員・時間計画!$B$5</f>
        <v>部品管理課</v>
      </c>
      <c r="C254" s="185" t="s">
        <v>202</v>
      </c>
      <c r="D254" s="204" t="s">
        <v>215</v>
      </c>
      <c r="E254" s="205"/>
      <c r="F254" s="182">
        <f>[30]人員・時間計画!C21</f>
        <v>59840</v>
      </c>
      <c r="G254" s="182">
        <f>[30]人員・時間計画!D21</f>
        <v>56202</v>
      </c>
      <c r="H254" s="182">
        <f>[30]人員・時間計画!E21</f>
        <v>61761</v>
      </c>
      <c r="I254" s="182">
        <f>[30]人員・時間計画!F21</f>
        <v>66215</v>
      </c>
      <c r="J254" s="182">
        <f>[30]人員・時間計画!G21</f>
        <v>56754.5</v>
      </c>
      <c r="K254" s="182">
        <f>[30]人員・時間計画!H21</f>
        <v>56899</v>
      </c>
      <c r="L254" s="182">
        <f>[30]人員・時間計画!I21</f>
        <v>67915</v>
      </c>
      <c r="M254" s="182">
        <f>[30]人員・時間計画!J21</f>
        <v>57630</v>
      </c>
      <c r="N254" s="182">
        <f>[30]人員・時間計画!K21</f>
        <v>63019</v>
      </c>
      <c r="O254" s="182">
        <f>[30]人員・時間計画!L21</f>
        <v>58981.5</v>
      </c>
      <c r="P254" s="182">
        <f>[30]人員・時間計画!M21</f>
        <v>48696.5</v>
      </c>
      <c r="Q254" s="182">
        <f>[30]人員・時間計画!N21</f>
        <v>62492</v>
      </c>
    </row>
    <row r="255" spans="1:17" ht="14.5" hidden="1" thickBot="1">
      <c r="A255">
        <f>[30]人員・時間計画!$A$5</f>
        <v>1412000036</v>
      </c>
      <c r="B255" t="str">
        <f>[30]人員・時間計画!$B$5</f>
        <v>部品管理課</v>
      </c>
      <c r="D255" s="197"/>
      <c r="E255" s="197"/>
    </row>
    <row r="256" spans="1:17" ht="14.5" hidden="1" thickBot="1">
      <c r="A256">
        <f>[30]人員・時間計画!$A$5</f>
        <v>1412000036</v>
      </c>
      <c r="B256" t="str">
        <f>[30]人員・時間計画!$B$5</f>
        <v>部品管理課</v>
      </c>
      <c r="C256" s="185" t="s">
        <v>71</v>
      </c>
      <c r="D256" s="185" t="s">
        <v>71</v>
      </c>
      <c r="E256" s="186"/>
    </row>
    <row r="257" spans="1:17" ht="14.5" hidden="1" thickBot="1">
      <c r="A257">
        <f>[30]人員・時間計画!$A$5</f>
        <v>1412000036</v>
      </c>
      <c r="B257" t="str">
        <f>[30]人員・時間計画!$B$5</f>
        <v>部品管理課</v>
      </c>
      <c r="C257" s="185" t="s">
        <v>71</v>
      </c>
      <c r="D257" s="198" t="s">
        <v>194</v>
      </c>
      <c r="E257" s="199"/>
      <c r="F257" s="182">
        <f>[30]人員・時間計画!C24</f>
        <v>0</v>
      </c>
      <c r="G257" s="182">
        <f>[30]人員・時間計画!D24</f>
        <v>0</v>
      </c>
      <c r="H257" s="182">
        <f>[30]人員・時間計画!E24</f>
        <v>0</v>
      </c>
      <c r="I257" s="182">
        <f>[30]人員・時間計画!F24</f>
        <v>0</v>
      </c>
      <c r="J257" s="182">
        <f>[30]人員・時間計画!G24</f>
        <v>0</v>
      </c>
      <c r="K257" s="182">
        <f>[30]人員・時間計画!H24</f>
        <v>0</v>
      </c>
      <c r="L257" s="182">
        <f>[30]人員・時間計画!I24</f>
        <v>0</v>
      </c>
      <c r="M257" s="182">
        <f>[30]人員・時間計画!J24</f>
        <v>0</v>
      </c>
      <c r="N257" s="182">
        <f>[30]人員・時間計画!K24</f>
        <v>0</v>
      </c>
      <c r="O257" s="182">
        <f>[30]人員・時間計画!L24</f>
        <v>0</v>
      </c>
      <c r="P257" s="182">
        <f>[30]人員・時間計画!M24</f>
        <v>0</v>
      </c>
      <c r="Q257" s="182">
        <f>[30]人員・時間計画!N24</f>
        <v>0</v>
      </c>
    </row>
    <row r="258" spans="1:17" ht="14.5" hidden="1" thickBot="1">
      <c r="A258">
        <f>[30]人員・時間計画!$A$5</f>
        <v>1412000036</v>
      </c>
      <c r="B258" t="str">
        <f>[30]人員・時間計画!$B$5</f>
        <v>部品管理課</v>
      </c>
      <c r="C258" s="185" t="s">
        <v>71</v>
      </c>
      <c r="D258" s="200"/>
      <c r="E258" s="206" t="s">
        <v>139</v>
      </c>
      <c r="F258" s="182">
        <f>[30]人員・時間計画!C25</f>
        <v>120</v>
      </c>
      <c r="G258" s="182">
        <f>[30]人員・時間計画!D25</f>
        <v>114</v>
      </c>
      <c r="H258" s="182">
        <f>[30]人員・時間計画!E25</f>
        <v>126</v>
      </c>
      <c r="I258" s="182">
        <f>[30]人員・時間計画!F25</f>
        <v>138</v>
      </c>
      <c r="J258" s="182">
        <f>[30]人員・時間計画!G25</f>
        <v>443</v>
      </c>
      <c r="K258" s="182">
        <f>[30]人員・時間計画!H25</f>
        <v>199</v>
      </c>
      <c r="L258" s="182">
        <f>[30]人員・時間計画!I25</f>
        <v>223</v>
      </c>
      <c r="M258" s="182">
        <f>[30]人員・時間計画!J25</f>
        <v>205</v>
      </c>
      <c r="N258" s="182">
        <f>[30]人員・時間計画!K25</f>
        <v>217</v>
      </c>
      <c r="O258" s="182">
        <f>[30]人員・時間計画!L25</f>
        <v>205</v>
      </c>
      <c r="P258" s="182">
        <f>[30]人員・時間計画!M25</f>
        <v>413</v>
      </c>
      <c r="Q258" s="182">
        <f>[30]人員・時間計画!N25</f>
        <v>205</v>
      </c>
    </row>
    <row r="259" spans="1:17" ht="14.5" thickBot="1">
      <c r="A259">
        <f>[30]人員・時間計画!$A$5</f>
        <v>1412000036</v>
      </c>
      <c r="B259" t="str">
        <f>[30]人員・時間計画!$B$5</f>
        <v>部品管理課</v>
      </c>
      <c r="C259" s="185" t="s">
        <v>71</v>
      </c>
      <c r="D259" s="201" t="s">
        <v>195</v>
      </c>
      <c r="E259" s="207" t="s">
        <v>140</v>
      </c>
      <c r="F259" s="182">
        <f>[30]人員・時間計画!C26</f>
        <v>0</v>
      </c>
      <c r="G259" s="182">
        <f>[30]人員・時間計画!D26</f>
        <v>0</v>
      </c>
      <c r="H259" s="182">
        <f>[30]人員・時間計画!E26</f>
        <v>0</v>
      </c>
      <c r="I259" s="182">
        <f>[30]人員・時間計画!F26</f>
        <v>0</v>
      </c>
      <c r="J259" s="182">
        <f>[30]人員・時間計画!G26</f>
        <v>1922</v>
      </c>
      <c r="K259" s="182">
        <f>[30]人員・時間計画!H26</f>
        <v>2593</v>
      </c>
      <c r="L259" s="182">
        <f>[30]人員・時間計画!I26</f>
        <v>2619</v>
      </c>
      <c r="M259" s="182">
        <f>[30]人員・時間計画!J26</f>
        <v>1249</v>
      </c>
      <c r="N259" s="182">
        <f>[30]人員・時間計画!K26</f>
        <v>2988</v>
      </c>
      <c r="O259" s="182">
        <f>[30]人員・時間計画!L26</f>
        <v>3852</v>
      </c>
      <c r="P259" s="182">
        <f>[30]人員・時間計画!M26</f>
        <v>3456</v>
      </c>
      <c r="Q259" s="182">
        <f>[30]人員・時間計画!N26</f>
        <v>3951</v>
      </c>
    </row>
    <row r="260" spans="1:17" ht="14.5" hidden="1" thickBot="1">
      <c r="A260">
        <f>[30]人員・時間計画!$A$5</f>
        <v>1412000036</v>
      </c>
      <c r="B260" t="str">
        <f>[30]人員・時間計画!$B$5</f>
        <v>部品管理課</v>
      </c>
      <c r="C260" s="185" t="s">
        <v>71</v>
      </c>
      <c r="D260" s="202"/>
      <c r="E260" s="203" t="s">
        <v>138</v>
      </c>
      <c r="F260" s="182">
        <f>[30]人員・時間計画!C27</f>
        <v>120</v>
      </c>
      <c r="G260" s="182">
        <f>[30]人員・時間計画!D27</f>
        <v>114</v>
      </c>
      <c r="H260" s="182">
        <f>[30]人員・時間計画!E27</f>
        <v>126</v>
      </c>
      <c r="I260" s="182">
        <f>[30]人員・時間計画!F27</f>
        <v>138</v>
      </c>
      <c r="J260" s="182">
        <f>[30]人員・時間計画!G27</f>
        <v>2365</v>
      </c>
      <c r="K260" s="182">
        <f>[30]人員・時間計画!H27</f>
        <v>2792</v>
      </c>
      <c r="L260" s="182">
        <f>[30]人員・時間計画!I27</f>
        <v>2842</v>
      </c>
      <c r="M260" s="182">
        <f>[30]人員・時間計画!J27</f>
        <v>1454</v>
      </c>
      <c r="N260" s="182">
        <f>[30]人員・時間計画!K27</f>
        <v>3205</v>
      </c>
      <c r="O260" s="182">
        <f>[30]人員・時間計画!L27</f>
        <v>4057</v>
      </c>
      <c r="P260" s="182">
        <f>[30]人員・時間計画!M27</f>
        <v>3869</v>
      </c>
      <c r="Q260" s="182">
        <f>[30]人員・時間計画!N27</f>
        <v>4156</v>
      </c>
    </row>
    <row r="261" spans="1:17" ht="14.5" hidden="1" thickBot="1">
      <c r="A261">
        <f>[30]人員・時間計画!$A$5</f>
        <v>1412000036</v>
      </c>
      <c r="B261" t="str">
        <f>[30]人員・時間計画!$B$5</f>
        <v>部品管理課</v>
      </c>
      <c r="C261" s="185" t="s">
        <v>71</v>
      </c>
      <c r="D261" s="204" t="s">
        <v>216</v>
      </c>
      <c r="E261" s="205"/>
      <c r="F261" s="182">
        <f>[30]人員・時間計画!C28</f>
        <v>120</v>
      </c>
      <c r="G261" s="182">
        <f>[30]人員・時間計画!D28</f>
        <v>114</v>
      </c>
      <c r="H261" s="182">
        <f>[30]人員・時間計画!E28</f>
        <v>126</v>
      </c>
      <c r="I261" s="182">
        <f>[30]人員・時間計画!F28</f>
        <v>138</v>
      </c>
      <c r="J261" s="182">
        <f>[30]人員・時間計画!G28</f>
        <v>2365</v>
      </c>
      <c r="K261" s="182">
        <f>[30]人員・時間計画!H28</f>
        <v>2792</v>
      </c>
      <c r="L261" s="182">
        <f>[30]人員・時間計画!I28</f>
        <v>2842</v>
      </c>
      <c r="M261" s="182">
        <f>[30]人員・時間計画!J28</f>
        <v>1454</v>
      </c>
      <c r="N261" s="182">
        <f>[30]人員・時間計画!K28</f>
        <v>3205</v>
      </c>
      <c r="O261" s="182">
        <f>[30]人員・時間計画!L28</f>
        <v>4057</v>
      </c>
      <c r="P261" s="182">
        <f>[30]人員・時間計画!M28</f>
        <v>3869</v>
      </c>
      <c r="Q261" s="182">
        <f>[30]人員・時間計画!N28</f>
        <v>4156</v>
      </c>
    </row>
    <row r="262" spans="1:17" ht="14.5" hidden="1" thickBot="1">
      <c r="A262">
        <f>[32]人員・時間計画!$A$5</f>
        <v>1412000006</v>
      </c>
      <c r="B262" t="str">
        <f>[32]人員・時間計画!$B$5</f>
        <v>メカ製造技術1課</v>
      </c>
      <c r="C262" s="185" t="s">
        <v>3</v>
      </c>
      <c r="D262" s="185" t="s">
        <v>3</v>
      </c>
      <c r="E262" s="186"/>
    </row>
    <row r="263" spans="1:17" ht="14.5" hidden="1" thickBot="1">
      <c r="A263">
        <f>[32]人員・時間計画!$A$5</f>
        <v>1412000006</v>
      </c>
      <c r="B263" t="str">
        <f>[32]人員・時間計画!$B$5</f>
        <v>メカ製造技術1課</v>
      </c>
      <c r="C263" s="185" t="s">
        <v>3</v>
      </c>
      <c r="D263" s="187" t="s">
        <v>194</v>
      </c>
      <c r="E263" s="188"/>
      <c r="F263" s="214">
        <f>[32]人員・時間計画!C10</f>
        <v>0</v>
      </c>
      <c r="G263" s="214">
        <f>[32]人員・時間計画!D10</f>
        <v>0</v>
      </c>
      <c r="H263" s="214">
        <f>[32]人員・時間計画!E10</f>
        <v>0</v>
      </c>
      <c r="I263" s="214">
        <f>[32]人員・時間計画!F10</f>
        <v>0</v>
      </c>
      <c r="J263" s="214">
        <f>[32]人員・時間計画!G10</f>
        <v>0</v>
      </c>
      <c r="K263" s="214">
        <f>[32]人員・時間計画!H10</f>
        <v>0</v>
      </c>
      <c r="L263" s="214">
        <f>[32]人員・時間計画!I10</f>
        <v>0</v>
      </c>
      <c r="M263" s="214">
        <f>[32]人員・時間計画!J10</f>
        <v>0</v>
      </c>
      <c r="N263" s="214">
        <f>[32]人員・時間計画!K10</f>
        <v>0</v>
      </c>
      <c r="O263" s="214">
        <f>[32]人員・時間計画!L10</f>
        <v>0</v>
      </c>
      <c r="P263" s="214">
        <f>[32]人員・時間計画!M10</f>
        <v>0</v>
      </c>
      <c r="Q263" s="214">
        <f>[32]人員・時間計画!N10</f>
        <v>0</v>
      </c>
    </row>
    <row r="264" spans="1:17" ht="14.5" hidden="1" thickBot="1">
      <c r="A264">
        <f>[32]人員・時間計画!$A$5</f>
        <v>1412000006</v>
      </c>
      <c r="B264" t="str">
        <f>[32]人員・時間計画!$B$5</f>
        <v>メカ製造技術1課</v>
      </c>
      <c r="C264" s="185" t="s">
        <v>3</v>
      </c>
      <c r="D264" s="189"/>
      <c r="E264" s="190" t="s">
        <v>139</v>
      </c>
      <c r="F264" s="214">
        <f>[32]人員・時間計画!C11</f>
        <v>14</v>
      </c>
      <c r="G264" s="214">
        <f>[32]人員・時間計画!D11</f>
        <v>14</v>
      </c>
      <c r="H264" s="214">
        <f>[32]人員・時間計画!E11</f>
        <v>14</v>
      </c>
      <c r="I264" s="214">
        <f>[32]人員・時間計画!F11</f>
        <v>14</v>
      </c>
      <c r="J264" s="214">
        <f>[32]人員・時間計画!G11</f>
        <v>15</v>
      </c>
      <c r="K264" s="214">
        <f>[32]人員・時間計画!H11</f>
        <v>15</v>
      </c>
      <c r="L264" s="214">
        <f>[32]人員・時間計画!I11</f>
        <v>15</v>
      </c>
      <c r="M264" s="214">
        <f>[32]人員・時間計画!J11</f>
        <v>15</v>
      </c>
      <c r="N264" s="214">
        <f>[32]人員・時間計画!K11</f>
        <v>15</v>
      </c>
      <c r="O264" s="214">
        <f>[32]人員・時間計画!L11</f>
        <v>15</v>
      </c>
      <c r="P264" s="214">
        <f>[32]人員・時間計画!M11</f>
        <v>15</v>
      </c>
      <c r="Q264" s="214">
        <f>[32]人員・時間計画!N11</f>
        <v>15</v>
      </c>
    </row>
    <row r="265" spans="1:17" ht="14.5" thickBot="1">
      <c r="A265">
        <f>[32]人員・時間計画!$A$5</f>
        <v>1412000006</v>
      </c>
      <c r="B265" t="str">
        <f>[32]人員・時間計画!$B$5</f>
        <v>メカ製造技術1課</v>
      </c>
      <c r="C265" s="185" t="s">
        <v>3</v>
      </c>
      <c r="D265" s="191" t="s">
        <v>195</v>
      </c>
      <c r="E265" s="192" t="s">
        <v>140</v>
      </c>
      <c r="F265" s="214">
        <f>[32]人員・時間計画!C12</f>
        <v>0</v>
      </c>
      <c r="G265" s="214">
        <f>[32]人員・時間計画!D12</f>
        <v>0</v>
      </c>
      <c r="H265" s="214">
        <f>[32]人員・時間計画!E12</f>
        <v>0</v>
      </c>
      <c r="I265" s="214">
        <f>[32]人員・時間計画!F12</f>
        <v>0</v>
      </c>
      <c r="J265" s="214">
        <f>[32]人員・時間計画!G12</f>
        <v>0</v>
      </c>
      <c r="K265" s="214">
        <f>[32]人員・時間計画!H12</f>
        <v>0</v>
      </c>
      <c r="L265" s="214">
        <f>[32]人員・時間計画!I12</f>
        <v>0</v>
      </c>
      <c r="M265" s="214">
        <f>[32]人員・時間計画!J12</f>
        <v>0</v>
      </c>
      <c r="N265" s="214">
        <f>[32]人員・時間計画!K12</f>
        <v>0</v>
      </c>
      <c r="O265" s="214">
        <f>[32]人員・時間計画!L12</f>
        <v>0</v>
      </c>
      <c r="P265" s="214">
        <f>[32]人員・時間計画!M12</f>
        <v>0</v>
      </c>
      <c r="Q265" s="214">
        <f>[32]人員・時間計画!N12</f>
        <v>0</v>
      </c>
    </row>
    <row r="266" spans="1:17" ht="14.5" hidden="1" thickBot="1">
      <c r="A266">
        <f>[32]人員・時間計画!$A$5</f>
        <v>1412000006</v>
      </c>
      <c r="B266" t="str">
        <f>[32]人員・時間計画!$B$5</f>
        <v>メカ製造技術1課</v>
      </c>
      <c r="C266" s="185" t="s">
        <v>3</v>
      </c>
      <c r="D266" s="193"/>
      <c r="E266" s="194" t="s">
        <v>138</v>
      </c>
      <c r="F266" s="214">
        <f>[32]人員・時間計画!C13</f>
        <v>14</v>
      </c>
      <c r="G266" s="214">
        <f>[32]人員・時間計画!D13</f>
        <v>14</v>
      </c>
      <c r="H266" s="214">
        <f>[32]人員・時間計画!E13</f>
        <v>14</v>
      </c>
      <c r="I266" s="214">
        <f>[32]人員・時間計画!F13</f>
        <v>14</v>
      </c>
      <c r="J266" s="214">
        <f>[32]人員・時間計画!G13</f>
        <v>15</v>
      </c>
      <c r="K266" s="214">
        <f>[32]人員・時間計画!H13</f>
        <v>15</v>
      </c>
      <c r="L266" s="214">
        <f>[32]人員・時間計画!I13</f>
        <v>15</v>
      </c>
      <c r="M266" s="214">
        <f>[32]人員・時間計画!J13</f>
        <v>15</v>
      </c>
      <c r="N266" s="214">
        <f>[32]人員・時間計画!K13</f>
        <v>15</v>
      </c>
      <c r="O266" s="214">
        <f>[32]人員・時間計画!L13</f>
        <v>15</v>
      </c>
      <c r="P266" s="214">
        <f>[32]人員・時間計画!M13</f>
        <v>15</v>
      </c>
      <c r="Q266" s="214">
        <f>[32]人員・時間計画!N13</f>
        <v>15</v>
      </c>
    </row>
    <row r="267" spans="1:17" ht="14.5" hidden="1" thickBot="1">
      <c r="A267">
        <f>[32]人員・時間計画!$A$5</f>
        <v>1412000006</v>
      </c>
      <c r="B267" t="str">
        <f>[32]人員・時間計画!$B$5</f>
        <v>メカ製造技術1課</v>
      </c>
      <c r="C267" s="185" t="s">
        <v>3</v>
      </c>
      <c r="D267" s="195" t="s">
        <v>196</v>
      </c>
      <c r="E267" s="196"/>
      <c r="F267" s="214">
        <f>[32]人員・時間計画!C14</f>
        <v>14</v>
      </c>
      <c r="G267" s="214">
        <f>[32]人員・時間計画!D14</f>
        <v>14</v>
      </c>
      <c r="H267" s="214">
        <f>[32]人員・時間計画!E14</f>
        <v>14</v>
      </c>
      <c r="I267" s="214">
        <f>[32]人員・時間計画!F14</f>
        <v>14</v>
      </c>
      <c r="J267" s="214">
        <f>[32]人員・時間計画!G14</f>
        <v>15</v>
      </c>
      <c r="K267" s="214">
        <f>[32]人員・時間計画!H14</f>
        <v>15</v>
      </c>
      <c r="L267" s="214">
        <f>[32]人員・時間計画!I14</f>
        <v>15</v>
      </c>
      <c r="M267" s="214">
        <f>[32]人員・時間計画!J14</f>
        <v>15</v>
      </c>
      <c r="N267" s="214">
        <f>[32]人員・時間計画!K14</f>
        <v>15</v>
      </c>
      <c r="O267" s="214">
        <f>[32]人員・時間計画!L14</f>
        <v>15</v>
      </c>
      <c r="P267" s="214">
        <f>[32]人員・時間計画!M14</f>
        <v>15</v>
      </c>
      <c r="Q267" s="214">
        <f>[32]人員・時間計画!N14</f>
        <v>15</v>
      </c>
    </row>
    <row r="268" spans="1:17" ht="14.5" hidden="1" thickBot="1">
      <c r="A268">
        <f>[32]人員・時間計画!$A$5</f>
        <v>1412000006</v>
      </c>
      <c r="B268" t="str">
        <f>[32]人員・時間計画!$B$5</f>
        <v>メカ製造技術1課</v>
      </c>
      <c r="D268" s="197"/>
      <c r="E268" s="197"/>
    </row>
    <row r="269" spans="1:17" ht="14.5" hidden="1" thickBot="1">
      <c r="A269">
        <f>[32]人員・時間計画!$A$5</f>
        <v>1412000006</v>
      </c>
      <c r="B269" t="str">
        <f>[32]人員・時間計画!$B$5</f>
        <v>メカ製造技術1課</v>
      </c>
      <c r="C269" s="185" t="s">
        <v>202</v>
      </c>
      <c r="D269" s="185" t="s">
        <v>202</v>
      </c>
      <c r="E269" s="186"/>
    </row>
    <row r="270" spans="1:17" ht="14.5" hidden="1" thickBot="1">
      <c r="A270">
        <f>[32]人員・時間計画!$A$5</f>
        <v>1412000006</v>
      </c>
      <c r="B270" t="str">
        <f>[32]人員・時間計画!$B$5</f>
        <v>メカ製造技術1課</v>
      </c>
      <c r="C270" s="185" t="s">
        <v>202</v>
      </c>
      <c r="D270" s="198" t="s">
        <v>194</v>
      </c>
      <c r="E270" s="199"/>
      <c r="F270" s="182">
        <f>[32]人員・時間計画!C17</f>
        <v>0</v>
      </c>
      <c r="G270" s="182">
        <f>[32]人員・時間計画!D17</f>
        <v>0</v>
      </c>
      <c r="H270" s="182">
        <f>[32]人員・時間計画!E17</f>
        <v>0</v>
      </c>
      <c r="I270" s="182">
        <f>[32]人員・時間計画!F17</f>
        <v>0</v>
      </c>
      <c r="J270" s="182">
        <f>[32]人員・時間計画!G17</f>
        <v>0</v>
      </c>
      <c r="K270" s="182">
        <f>[32]人員・時間計画!H17</f>
        <v>0</v>
      </c>
      <c r="L270" s="182">
        <f>[32]人員・時間計画!I17</f>
        <v>0</v>
      </c>
      <c r="M270" s="182">
        <f>[32]人員・時間計画!J17</f>
        <v>0</v>
      </c>
      <c r="N270" s="182">
        <f>[32]人員・時間計画!K17</f>
        <v>0</v>
      </c>
      <c r="O270" s="182">
        <f>[32]人員・時間計画!L17</f>
        <v>0</v>
      </c>
      <c r="P270" s="182">
        <f>[32]人員・時間計画!M17</f>
        <v>0</v>
      </c>
      <c r="Q270" s="182">
        <f>[32]人員・時間計画!N17</f>
        <v>0</v>
      </c>
    </row>
    <row r="271" spans="1:17" ht="14.5" hidden="1" thickBot="1">
      <c r="A271">
        <f>[32]人員・時間計画!$A$5</f>
        <v>1412000006</v>
      </c>
      <c r="B271" t="str">
        <f>[32]人員・時間計画!$B$5</f>
        <v>メカ製造技術1課</v>
      </c>
      <c r="C271" s="185" t="s">
        <v>202</v>
      </c>
      <c r="D271" s="200"/>
      <c r="E271" s="190" t="s">
        <v>139</v>
      </c>
      <c r="F271" s="182">
        <f>[32]人員・時間計画!C18</f>
        <v>2303.5</v>
      </c>
      <c r="G271" s="182">
        <f>[32]人員・時間計画!D18</f>
        <v>2184.5</v>
      </c>
      <c r="H271" s="182">
        <f>[32]人員・時間計画!E18</f>
        <v>2422.5</v>
      </c>
      <c r="I271" s="182">
        <f>[32]人員・時間計画!F18</f>
        <v>2660.5</v>
      </c>
      <c r="J271" s="182">
        <f>[32]人員・時間計画!G18</f>
        <v>2465</v>
      </c>
      <c r="K271" s="182">
        <f>[32]人員・時間計画!H18</f>
        <v>2337.5</v>
      </c>
      <c r="L271" s="182">
        <f>[32]人員・時間計画!I18</f>
        <v>2847.5</v>
      </c>
      <c r="M271" s="182">
        <f>[32]人員・時間計画!J18</f>
        <v>2465</v>
      </c>
      <c r="N271" s="182">
        <f>[32]人員・時間計画!K18</f>
        <v>2720</v>
      </c>
      <c r="O271" s="182">
        <f>[32]人員・時間計画!L18</f>
        <v>2465</v>
      </c>
      <c r="P271" s="182">
        <f>[32]人員・時間計画!M18</f>
        <v>1827.5</v>
      </c>
      <c r="Q271" s="182">
        <f>[32]人員・時間計画!N18</f>
        <v>2465</v>
      </c>
    </row>
    <row r="272" spans="1:17" ht="14.5" thickBot="1">
      <c r="A272">
        <f>[32]人員・時間計画!$A$5</f>
        <v>1412000006</v>
      </c>
      <c r="B272" t="str">
        <f>[32]人員・時間計画!$B$5</f>
        <v>メカ製造技術1課</v>
      </c>
      <c r="C272" s="185" t="s">
        <v>202</v>
      </c>
      <c r="D272" s="201" t="s">
        <v>195</v>
      </c>
      <c r="E272" s="192" t="s">
        <v>140</v>
      </c>
      <c r="F272" s="182">
        <f>[32]人員・時間計画!C19</f>
        <v>0</v>
      </c>
      <c r="G272" s="182">
        <f>[32]人員・時間計画!D19</f>
        <v>0</v>
      </c>
      <c r="H272" s="182">
        <f>[32]人員・時間計画!E19</f>
        <v>0</v>
      </c>
      <c r="I272" s="182">
        <f>[32]人員・時間計画!F19</f>
        <v>0</v>
      </c>
      <c r="J272" s="182">
        <f>[32]人員・時間計画!G19</f>
        <v>0</v>
      </c>
      <c r="K272" s="182">
        <f>[32]人員・時間計画!H19</f>
        <v>0</v>
      </c>
      <c r="L272" s="182">
        <f>[32]人員・時間計画!I19</f>
        <v>0</v>
      </c>
      <c r="M272" s="182">
        <f>[32]人員・時間計画!J19</f>
        <v>0</v>
      </c>
      <c r="N272" s="182">
        <f>[32]人員・時間計画!K19</f>
        <v>0</v>
      </c>
      <c r="O272" s="182">
        <f>[32]人員・時間計画!L19</f>
        <v>0</v>
      </c>
      <c r="P272" s="182">
        <f>[32]人員・時間計画!M19</f>
        <v>0</v>
      </c>
      <c r="Q272" s="182">
        <f>[32]人員・時間計画!N19</f>
        <v>0</v>
      </c>
    </row>
    <row r="273" spans="1:17" ht="14.5" hidden="1" thickBot="1">
      <c r="A273">
        <f>[32]人員・時間計画!$A$5</f>
        <v>1412000006</v>
      </c>
      <c r="B273" t="str">
        <f>[32]人員・時間計画!$B$5</f>
        <v>メカ製造技術1課</v>
      </c>
      <c r="C273" s="185" t="s">
        <v>202</v>
      </c>
      <c r="D273" s="202"/>
      <c r="E273" s="203" t="s">
        <v>138</v>
      </c>
      <c r="F273" s="182">
        <f>[32]人員・時間計画!C20</f>
        <v>2303.5</v>
      </c>
      <c r="G273" s="182">
        <f>[32]人員・時間計画!D20</f>
        <v>2184.5</v>
      </c>
      <c r="H273" s="182">
        <f>[32]人員・時間計画!E20</f>
        <v>2422.5</v>
      </c>
      <c r="I273" s="182">
        <f>[32]人員・時間計画!F20</f>
        <v>2660.5</v>
      </c>
      <c r="J273" s="182">
        <f>[32]人員・時間計画!G20</f>
        <v>2465</v>
      </c>
      <c r="K273" s="182">
        <f>[32]人員・時間計画!H20</f>
        <v>2337.5</v>
      </c>
      <c r="L273" s="182">
        <f>[32]人員・時間計画!I20</f>
        <v>2847.5</v>
      </c>
      <c r="M273" s="182">
        <f>[32]人員・時間計画!J20</f>
        <v>2465</v>
      </c>
      <c r="N273" s="182">
        <f>[32]人員・時間計画!K20</f>
        <v>2720</v>
      </c>
      <c r="O273" s="182">
        <f>[32]人員・時間計画!L20</f>
        <v>2465</v>
      </c>
      <c r="P273" s="182">
        <f>[32]人員・時間計画!M20</f>
        <v>1827.5</v>
      </c>
      <c r="Q273" s="182">
        <f>[32]人員・時間計画!N20</f>
        <v>2465</v>
      </c>
    </row>
    <row r="274" spans="1:17" ht="14.5" hidden="1" thickBot="1">
      <c r="A274">
        <f>[32]人員・時間計画!$A$5</f>
        <v>1412000006</v>
      </c>
      <c r="B274" t="str">
        <f>[32]人員・時間計画!$B$5</f>
        <v>メカ製造技術1課</v>
      </c>
      <c r="C274" s="185" t="s">
        <v>202</v>
      </c>
      <c r="D274" s="204" t="s">
        <v>215</v>
      </c>
      <c r="E274" s="205"/>
      <c r="F274" s="182">
        <f>[32]人員・時間計画!C21</f>
        <v>2303.5</v>
      </c>
      <c r="G274" s="182">
        <f>[32]人員・時間計画!D21</f>
        <v>2184.5</v>
      </c>
      <c r="H274" s="182">
        <f>[32]人員・時間計画!E21</f>
        <v>2422.5</v>
      </c>
      <c r="I274" s="182">
        <f>[32]人員・時間計画!F21</f>
        <v>2660.5</v>
      </c>
      <c r="J274" s="182">
        <f>[32]人員・時間計画!G21</f>
        <v>2465</v>
      </c>
      <c r="K274" s="182">
        <f>[32]人員・時間計画!H21</f>
        <v>2337.5</v>
      </c>
      <c r="L274" s="182">
        <f>[32]人員・時間計画!I21</f>
        <v>2847.5</v>
      </c>
      <c r="M274" s="182">
        <f>[32]人員・時間計画!J21</f>
        <v>2465</v>
      </c>
      <c r="N274" s="182">
        <f>[32]人員・時間計画!K21</f>
        <v>2720</v>
      </c>
      <c r="O274" s="182">
        <f>[32]人員・時間計画!L21</f>
        <v>2465</v>
      </c>
      <c r="P274" s="182">
        <f>[32]人員・時間計画!M21</f>
        <v>1827.5</v>
      </c>
      <c r="Q274" s="182">
        <f>[32]人員・時間計画!N21</f>
        <v>2465</v>
      </c>
    </row>
    <row r="275" spans="1:17" ht="14.5" hidden="1" thickBot="1">
      <c r="A275">
        <f>[32]人員・時間計画!$A$5</f>
        <v>1412000006</v>
      </c>
      <c r="B275" t="str">
        <f>[32]人員・時間計画!$B$5</f>
        <v>メカ製造技術1課</v>
      </c>
      <c r="D275" s="197"/>
      <c r="E275" s="197"/>
    </row>
    <row r="276" spans="1:17" ht="14.5" hidden="1" thickBot="1">
      <c r="A276">
        <f>[32]人員・時間計画!$A$5</f>
        <v>1412000006</v>
      </c>
      <c r="B276" t="str">
        <f>[32]人員・時間計画!$B$5</f>
        <v>メカ製造技術1課</v>
      </c>
      <c r="C276" s="185" t="s">
        <v>71</v>
      </c>
      <c r="D276" s="185" t="s">
        <v>71</v>
      </c>
      <c r="E276" s="186"/>
    </row>
    <row r="277" spans="1:17" ht="14.5" hidden="1" thickBot="1">
      <c r="A277">
        <f>[32]人員・時間計画!$A$5</f>
        <v>1412000006</v>
      </c>
      <c r="B277" t="str">
        <f>[32]人員・時間計画!$B$5</f>
        <v>メカ製造技術1課</v>
      </c>
      <c r="C277" s="185" t="s">
        <v>71</v>
      </c>
      <c r="D277" s="198" t="s">
        <v>194</v>
      </c>
      <c r="E277" s="199"/>
      <c r="F277" s="182">
        <f>[32]人員・時間計画!C24</f>
        <v>0</v>
      </c>
      <c r="G277" s="182">
        <f>[32]人員・時間計画!D24</f>
        <v>0</v>
      </c>
      <c r="H277" s="182">
        <f>[32]人員・時間計画!E24</f>
        <v>0</v>
      </c>
      <c r="I277" s="182">
        <f>[32]人員・時間計画!F24</f>
        <v>0</v>
      </c>
      <c r="J277" s="182">
        <f>[32]人員・時間計画!G24</f>
        <v>0</v>
      </c>
      <c r="K277" s="182">
        <f>[32]人員・時間計画!H24</f>
        <v>0</v>
      </c>
      <c r="L277" s="182">
        <f>[32]人員・時間計画!I24</f>
        <v>0</v>
      </c>
      <c r="M277" s="182">
        <f>[32]人員・時間計画!J24</f>
        <v>0</v>
      </c>
      <c r="N277" s="182">
        <f>[32]人員・時間計画!K24</f>
        <v>0</v>
      </c>
      <c r="O277" s="182">
        <f>[32]人員・時間計画!L24</f>
        <v>0</v>
      </c>
      <c r="P277" s="182">
        <f>[32]人員・時間計画!M24</f>
        <v>0</v>
      </c>
      <c r="Q277" s="182">
        <f>[32]人員・時間計画!N24</f>
        <v>0</v>
      </c>
    </row>
    <row r="278" spans="1:17" ht="14.5" hidden="1" thickBot="1">
      <c r="A278">
        <f>[32]人員・時間計画!$A$5</f>
        <v>1412000006</v>
      </c>
      <c r="B278" t="str">
        <f>[32]人員・時間計画!$B$5</f>
        <v>メカ製造技術1課</v>
      </c>
      <c r="C278" s="185" t="s">
        <v>71</v>
      </c>
      <c r="D278" s="200"/>
      <c r="E278" s="206" t="s">
        <v>139</v>
      </c>
      <c r="F278" s="182">
        <f>[32]人員・時間計画!C25</f>
        <v>130</v>
      </c>
      <c r="G278" s="182">
        <f>[32]人員・時間計画!D25</f>
        <v>128</v>
      </c>
      <c r="H278" s="182">
        <f>[32]人員・時間計画!E25</f>
        <v>82</v>
      </c>
      <c r="I278" s="182">
        <f>[32]人員・時間計画!F25</f>
        <v>144</v>
      </c>
      <c r="J278" s="182">
        <f>[32]人員・時間計画!G25</f>
        <v>132</v>
      </c>
      <c r="K278" s="182">
        <f>[32]人員・時間計画!H25</f>
        <v>126</v>
      </c>
      <c r="L278" s="182">
        <f>[32]人員・時間計画!I25</f>
        <v>198</v>
      </c>
      <c r="M278" s="182">
        <f>[32]人員・時間計画!J25</f>
        <v>78</v>
      </c>
      <c r="N278" s="182">
        <f>[32]人員・時間計画!K25</f>
        <v>84</v>
      </c>
      <c r="O278" s="182">
        <f>[32]人員・時間計画!L25</f>
        <v>76</v>
      </c>
      <c r="P278" s="182">
        <f>[32]人員・時間計画!M25</f>
        <v>164</v>
      </c>
      <c r="Q278" s="182">
        <f>[32]人員・時間計画!N25</f>
        <v>78</v>
      </c>
    </row>
    <row r="279" spans="1:17" ht="14.5" thickBot="1">
      <c r="A279">
        <f>[32]人員・時間計画!$A$5</f>
        <v>1412000006</v>
      </c>
      <c r="B279" t="str">
        <f>[32]人員・時間計画!$B$5</f>
        <v>メカ製造技術1課</v>
      </c>
      <c r="C279" s="185" t="s">
        <v>71</v>
      </c>
      <c r="D279" s="201" t="s">
        <v>195</v>
      </c>
      <c r="E279" s="207" t="s">
        <v>140</v>
      </c>
      <c r="F279" s="182">
        <f>[32]人員・時間計画!C26</f>
        <v>0</v>
      </c>
      <c r="G279" s="182">
        <f>[32]人員・時間計画!D26</f>
        <v>0</v>
      </c>
      <c r="H279" s="182">
        <f>[32]人員・時間計画!E26</f>
        <v>0</v>
      </c>
      <c r="I279" s="182">
        <f>[32]人員・時間計画!F26</f>
        <v>0</v>
      </c>
      <c r="J279" s="182">
        <f>[32]人員・時間計画!G26</f>
        <v>0</v>
      </c>
      <c r="K279" s="182">
        <f>[32]人員・時間計画!H26</f>
        <v>0</v>
      </c>
      <c r="L279" s="182">
        <f>[32]人員・時間計画!I26</f>
        <v>0</v>
      </c>
      <c r="M279" s="182">
        <f>[32]人員・時間計画!J26</f>
        <v>0</v>
      </c>
      <c r="N279" s="182">
        <f>[32]人員・時間計画!K26</f>
        <v>0</v>
      </c>
      <c r="O279" s="182">
        <f>[32]人員・時間計画!L26</f>
        <v>0</v>
      </c>
      <c r="P279" s="182">
        <f>[32]人員・時間計画!M26</f>
        <v>0</v>
      </c>
      <c r="Q279" s="182">
        <f>[32]人員・時間計画!N26</f>
        <v>0</v>
      </c>
    </row>
    <row r="280" spans="1:17" ht="14.5" hidden="1" thickBot="1">
      <c r="A280">
        <f>[32]人員・時間計画!$A$5</f>
        <v>1412000006</v>
      </c>
      <c r="B280" t="str">
        <f>[32]人員・時間計画!$B$5</f>
        <v>メカ製造技術1課</v>
      </c>
      <c r="C280" s="185" t="s">
        <v>71</v>
      </c>
      <c r="D280" s="202"/>
      <c r="E280" s="203" t="s">
        <v>138</v>
      </c>
      <c r="F280" s="182">
        <f>[32]人員・時間計画!C27</f>
        <v>130</v>
      </c>
      <c r="G280" s="182">
        <f>[32]人員・時間計画!D27</f>
        <v>128</v>
      </c>
      <c r="H280" s="182">
        <f>[32]人員・時間計画!E27</f>
        <v>82</v>
      </c>
      <c r="I280" s="182">
        <f>[32]人員・時間計画!F27</f>
        <v>144</v>
      </c>
      <c r="J280" s="182">
        <f>[32]人員・時間計画!G27</f>
        <v>132</v>
      </c>
      <c r="K280" s="182">
        <f>[32]人員・時間計画!H27</f>
        <v>126</v>
      </c>
      <c r="L280" s="182">
        <f>[32]人員・時間計画!I27</f>
        <v>198</v>
      </c>
      <c r="M280" s="182">
        <f>[32]人員・時間計画!J27</f>
        <v>78</v>
      </c>
      <c r="N280" s="182">
        <f>[32]人員・時間計画!K27</f>
        <v>84</v>
      </c>
      <c r="O280" s="182">
        <f>[32]人員・時間計画!L27</f>
        <v>76</v>
      </c>
      <c r="P280" s="182">
        <f>[32]人員・時間計画!M27</f>
        <v>164</v>
      </c>
      <c r="Q280" s="182">
        <f>[32]人員・時間計画!N27</f>
        <v>78</v>
      </c>
    </row>
    <row r="281" spans="1:17" ht="14.5" hidden="1" thickBot="1">
      <c r="A281">
        <f>[32]人員・時間計画!$A$5</f>
        <v>1412000006</v>
      </c>
      <c r="B281" t="str">
        <f>[32]人員・時間計画!$B$5</f>
        <v>メカ製造技術1課</v>
      </c>
      <c r="C281" s="185" t="s">
        <v>71</v>
      </c>
      <c r="D281" s="204" t="s">
        <v>216</v>
      </c>
      <c r="E281" s="205"/>
      <c r="F281" s="182">
        <f>[32]人員・時間計画!C28</f>
        <v>130</v>
      </c>
      <c r="G281" s="182">
        <f>[32]人員・時間計画!D28</f>
        <v>128</v>
      </c>
      <c r="H281" s="182">
        <f>[32]人員・時間計画!E28</f>
        <v>82</v>
      </c>
      <c r="I281" s="182">
        <f>[32]人員・時間計画!F28</f>
        <v>144</v>
      </c>
      <c r="J281" s="182">
        <f>[32]人員・時間計画!G28</f>
        <v>132</v>
      </c>
      <c r="K281" s="182">
        <f>[32]人員・時間計画!H28</f>
        <v>126</v>
      </c>
      <c r="L281" s="182">
        <f>[32]人員・時間計画!I28</f>
        <v>198</v>
      </c>
      <c r="M281" s="182">
        <f>[32]人員・時間計画!J28</f>
        <v>78</v>
      </c>
      <c r="N281" s="182">
        <f>[32]人員・時間計画!K28</f>
        <v>84</v>
      </c>
      <c r="O281" s="182">
        <f>[32]人員・時間計画!L28</f>
        <v>76</v>
      </c>
      <c r="P281" s="182">
        <f>[32]人員・時間計画!M28</f>
        <v>164</v>
      </c>
      <c r="Q281" s="182">
        <f>[32]人員・時間計画!N28</f>
        <v>78</v>
      </c>
    </row>
    <row r="282" spans="1:17" ht="14.5" hidden="1" thickBot="1">
      <c r="A282">
        <f>[33]人員・時間計画!$A$5</f>
        <v>1412000039</v>
      </c>
      <c r="B282" t="str">
        <f>[33]人員・時間計画!$B$5</f>
        <v>メカ製造技術2課</v>
      </c>
      <c r="C282" s="185" t="s">
        <v>3</v>
      </c>
      <c r="D282" s="185" t="s">
        <v>3</v>
      </c>
      <c r="E282" s="186"/>
    </row>
    <row r="283" spans="1:17" ht="14.5" hidden="1" thickBot="1">
      <c r="A283">
        <f>[33]人員・時間計画!$A$5</f>
        <v>1412000039</v>
      </c>
      <c r="B283" t="str">
        <f>[33]人員・時間計画!$B$5</f>
        <v>メカ製造技術2課</v>
      </c>
      <c r="C283" s="185" t="s">
        <v>3</v>
      </c>
      <c r="D283" s="187" t="s">
        <v>194</v>
      </c>
      <c r="E283" s="188"/>
      <c r="F283" s="214">
        <f>[33]人員・時間計画!C10</f>
        <v>2</v>
      </c>
      <c r="G283" s="214">
        <f>[33]人員・時間計画!D10</f>
        <v>2</v>
      </c>
      <c r="H283" s="214">
        <f>[33]人員・時間計画!E10</f>
        <v>2</v>
      </c>
      <c r="I283" s="214">
        <f>[33]人員・時間計画!F10</f>
        <v>2</v>
      </c>
      <c r="J283" s="214">
        <f>[33]人員・時間計画!G10</f>
        <v>2</v>
      </c>
      <c r="K283" s="214">
        <f>[33]人員・時間計画!H10</f>
        <v>2</v>
      </c>
      <c r="L283" s="214">
        <f>[33]人員・時間計画!I10</f>
        <v>2</v>
      </c>
      <c r="M283" s="214">
        <f>[33]人員・時間計画!J10</f>
        <v>2</v>
      </c>
      <c r="N283" s="214">
        <f>[33]人員・時間計画!K10</f>
        <v>2</v>
      </c>
      <c r="O283" s="214">
        <f>[33]人員・時間計画!L10</f>
        <v>2</v>
      </c>
      <c r="P283" s="214">
        <f>[33]人員・時間計画!M10</f>
        <v>2</v>
      </c>
      <c r="Q283" s="214">
        <f>[33]人員・時間計画!N10</f>
        <v>2</v>
      </c>
    </row>
    <row r="284" spans="1:17" ht="14.5" hidden="1" thickBot="1">
      <c r="A284">
        <f>[33]人員・時間計画!$A$5</f>
        <v>1412000039</v>
      </c>
      <c r="B284" t="str">
        <f>[33]人員・時間計画!$B$5</f>
        <v>メカ製造技術2課</v>
      </c>
      <c r="C284" s="185" t="s">
        <v>3</v>
      </c>
      <c r="D284" s="189"/>
      <c r="E284" s="190" t="s">
        <v>139</v>
      </c>
      <c r="F284" s="214">
        <f>[33]人員・時間計画!C11</f>
        <v>19</v>
      </c>
      <c r="G284" s="214">
        <f>[33]人員・時間計画!D11</f>
        <v>21</v>
      </c>
      <c r="H284" s="214">
        <f>[33]人員・時間計画!E11</f>
        <v>21</v>
      </c>
      <c r="I284" s="214">
        <f>[33]人員・時間計画!F11</f>
        <v>21</v>
      </c>
      <c r="J284" s="214">
        <f>[33]人員・時間計画!G11</f>
        <v>21</v>
      </c>
      <c r="K284" s="214">
        <f>[33]人員・時間計画!H11</f>
        <v>21</v>
      </c>
      <c r="L284" s="214">
        <f>[33]人員・時間計画!I11</f>
        <v>21</v>
      </c>
      <c r="M284" s="214">
        <f>[33]人員・時間計画!J11</f>
        <v>21</v>
      </c>
      <c r="N284" s="214">
        <f>[33]人員・時間計画!K11</f>
        <v>21</v>
      </c>
      <c r="O284" s="214">
        <f>[33]人員・時間計画!L11</f>
        <v>21</v>
      </c>
      <c r="P284" s="214">
        <f>[33]人員・時間計画!M11</f>
        <v>21</v>
      </c>
      <c r="Q284" s="214">
        <f>[33]人員・時間計画!N11</f>
        <v>21</v>
      </c>
    </row>
    <row r="285" spans="1:17" ht="14.5" thickBot="1">
      <c r="A285">
        <f>[33]人員・時間計画!$A$5</f>
        <v>1412000039</v>
      </c>
      <c r="B285" t="str">
        <f>[33]人員・時間計画!$B$5</f>
        <v>メカ製造技術2課</v>
      </c>
      <c r="C285" s="185" t="s">
        <v>3</v>
      </c>
      <c r="D285" s="191" t="s">
        <v>195</v>
      </c>
      <c r="E285" s="192" t="s">
        <v>140</v>
      </c>
      <c r="F285" s="214">
        <f>[33]人員・時間計画!C12</f>
        <v>0</v>
      </c>
      <c r="G285" s="214">
        <f>[33]人員・時間計画!D12</f>
        <v>0</v>
      </c>
      <c r="H285" s="214">
        <f>[33]人員・時間計画!E12</f>
        <v>0</v>
      </c>
      <c r="I285" s="214">
        <f>[33]人員・時間計画!F12</f>
        <v>0</v>
      </c>
      <c r="J285" s="214">
        <f>[33]人員・時間計画!G12</f>
        <v>0</v>
      </c>
      <c r="K285" s="214">
        <f>[33]人員・時間計画!H12</f>
        <v>0</v>
      </c>
      <c r="L285" s="214">
        <f>[33]人員・時間計画!I12</f>
        <v>0</v>
      </c>
      <c r="M285" s="214">
        <f>[33]人員・時間計画!J12</f>
        <v>0</v>
      </c>
      <c r="N285" s="214">
        <f>[33]人員・時間計画!K12</f>
        <v>0</v>
      </c>
      <c r="O285" s="214">
        <f>[33]人員・時間計画!L12</f>
        <v>0</v>
      </c>
      <c r="P285" s="214">
        <f>[33]人員・時間計画!M12</f>
        <v>0</v>
      </c>
      <c r="Q285" s="214">
        <f>[33]人員・時間計画!N12</f>
        <v>0</v>
      </c>
    </row>
    <row r="286" spans="1:17" ht="14.5" hidden="1" thickBot="1">
      <c r="A286">
        <f>[33]人員・時間計画!$A$5</f>
        <v>1412000039</v>
      </c>
      <c r="B286" t="str">
        <f>[33]人員・時間計画!$B$5</f>
        <v>メカ製造技術2課</v>
      </c>
      <c r="C286" s="185" t="s">
        <v>3</v>
      </c>
      <c r="D286" s="193"/>
      <c r="E286" s="194" t="s">
        <v>138</v>
      </c>
      <c r="F286" s="214">
        <f>[33]人員・時間計画!C13</f>
        <v>19</v>
      </c>
      <c r="G286" s="214">
        <f>[33]人員・時間計画!D13</f>
        <v>21</v>
      </c>
      <c r="H286" s="214">
        <f>[33]人員・時間計画!E13</f>
        <v>21</v>
      </c>
      <c r="I286" s="214">
        <f>[33]人員・時間計画!F13</f>
        <v>21</v>
      </c>
      <c r="J286" s="214">
        <f>[33]人員・時間計画!G13</f>
        <v>21</v>
      </c>
      <c r="K286" s="214">
        <f>[33]人員・時間計画!H13</f>
        <v>21</v>
      </c>
      <c r="L286" s="214">
        <f>[33]人員・時間計画!I13</f>
        <v>21</v>
      </c>
      <c r="M286" s="214">
        <f>[33]人員・時間計画!J13</f>
        <v>21</v>
      </c>
      <c r="N286" s="214">
        <f>[33]人員・時間計画!K13</f>
        <v>21</v>
      </c>
      <c r="O286" s="214">
        <f>[33]人員・時間計画!L13</f>
        <v>21</v>
      </c>
      <c r="P286" s="214">
        <f>[33]人員・時間計画!M13</f>
        <v>21</v>
      </c>
      <c r="Q286" s="214">
        <f>[33]人員・時間計画!N13</f>
        <v>21</v>
      </c>
    </row>
    <row r="287" spans="1:17" ht="14.5" hidden="1" thickBot="1">
      <c r="A287">
        <f>[33]人員・時間計画!$A$5</f>
        <v>1412000039</v>
      </c>
      <c r="B287" t="str">
        <f>[33]人員・時間計画!$B$5</f>
        <v>メカ製造技術2課</v>
      </c>
      <c r="C287" s="185" t="s">
        <v>3</v>
      </c>
      <c r="D287" s="195" t="s">
        <v>196</v>
      </c>
      <c r="E287" s="196"/>
      <c r="F287" s="214">
        <f>[33]人員・時間計画!C14</f>
        <v>21</v>
      </c>
      <c r="G287" s="214">
        <f>[33]人員・時間計画!D14</f>
        <v>23</v>
      </c>
      <c r="H287" s="214">
        <f>[33]人員・時間計画!E14</f>
        <v>23</v>
      </c>
      <c r="I287" s="214">
        <f>[33]人員・時間計画!F14</f>
        <v>23</v>
      </c>
      <c r="J287" s="214">
        <f>[33]人員・時間計画!G14</f>
        <v>23</v>
      </c>
      <c r="K287" s="214">
        <f>[33]人員・時間計画!H14</f>
        <v>23</v>
      </c>
      <c r="L287" s="214">
        <f>[33]人員・時間計画!I14</f>
        <v>23</v>
      </c>
      <c r="M287" s="214">
        <f>[33]人員・時間計画!J14</f>
        <v>23</v>
      </c>
      <c r="N287" s="214">
        <f>[33]人員・時間計画!K14</f>
        <v>23</v>
      </c>
      <c r="O287" s="214">
        <f>[33]人員・時間計画!L14</f>
        <v>23</v>
      </c>
      <c r="P287" s="214">
        <f>[33]人員・時間計画!M14</f>
        <v>23</v>
      </c>
      <c r="Q287" s="214">
        <f>[33]人員・時間計画!N14</f>
        <v>23</v>
      </c>
    </row>
    <row r="288" spans="1:17" ht="14.5" hidden="1" thickBot="1">
      <c r="A288">
        <f>[33]人員・時間計画!$A$5</f>
        <v>1412000039</v>
      </c>
      <c r="B288" t="str">
        <f>[33]人員・時間計画!$B$5</f>
        <v>メカ製造技術2課</v>
      </c>
      <c r="D288" s="197"/>
      <c r="E288" s="197"/>
    </row>
    <row r="289" spans="1:17" ht="14.5" hidden="1" thickBot="1">
      <c r="A289">
        <f>[33]人員・時間計画!$A$5</f>
        <v>1412000039</v>
      </c>
      <c r="B289" t="str">
        <f>[33]人員・時間計画!$B$5</f>
        <v>メカ製造技術2課</v>
      </c>
      <c r="C289" s="185" t="s">
        <v>202</v>
      </c>
      <c r="D289" s="185" t="s">
        <v>202</v>
      </c>
      <c r="E289" s="186"/>
    </row>
    <row r="290" spans="1:17" ht="14.5" hidden="1" thickBot="1">
      <c r="A290">
        <f>[33]人員・時間計画!$A$5</f>
        <v>1412000039</v>
      </c>
      <c r="B290" t="str">
        <f>[33]人員・時間計画!$B$5</f>
        <v>メカ製造技術2課</v>
      </c>
      <c r="C290" s="185" t="s">
        <v>202</v>
      </c>
      <c r="D290" s="198" t="s">
        <v>194</v>
      </c>
      <c r="E290" s="199"/>
      <c r="F290" s="182">
        <f>[33]人員・時間計画!C17</f>
        <v>340</v>
      </c>
      <c r="G290" s="182">
        <f>[33]人員・時間計画!D17</f>
        <v>323</v>
      </c>
      <c r="H290" s="182">
        <f>[33]人員・時間計画!E17</f>
        <v>357</v>
      </c>
      <c r="I290" s="182">
        <f>[33]人員・時間計画!F17</f>
        <v>391</v>
      </c>
      <c r="J290" s="182">
        <f>[33]人員・時間計画!G17</f>
        <v>297.5</v>
      </c>
      <c r="K290" s="182">
        <f>[33]人員・時間計画!H17</f>
        <v>323</v>
      </c>
      <c r="L290" s="182">
        <f>[33]人員・時間計画!I17</f>
        <v>331.5</v>
      </c>
      <c r="M290" s="182">
        <f>[33]人員・時間計画!J17</f>
        <v>340</v>
      </c>
      <c r="N290" s="182">
        <f>[33]人員・時間計画!K17</f>
        <v>374</v>
      </c>
      <c r="O290" s="182">
        <f>[33]人員・時間計画!L17</f>
        <v>297.5</v>
      </c>
      <c r="P290" s="182">
        <f>[33]人員・時間計画!M17</f>
        <v>255</v>
      </c>
      <c r="Q290" s="182">
        <f>[33]人員・時間計画!N17</f>
        <v>280.5</v>
      </c>
    </row>
    <row r="291" spans="1:17" ht="14.5" hidden="1" thickBot="1">
      <c r="A291">
        <f>[33]人員・時間計画!$A$5</f>
        <v>1412000039</v>
      </c>
      <c r="B291" t="str">
        <f>[33]人員・時間計画!$B$5</f>
        <v>メカ製造技術2課</v>
      </c>
      <c r="C291" s="185" t="s">
        <v>202</v>
      </c>
      <c r="D291" s="200"/>
      <c r="E291" s="190" t="s">
        <v>139</v>
      </c>
      <c r="F291" s="182">
        <f>[33]人員・時間計画!C18</f>
        <v>2955</v>
      </c>
      <c r="G291" s="182">
        <f>[33]人員・時間計画!D18</f>
        <v>3049.5</v>
      </c>
      <c r="H291" s="182">
        <f>[33]人員・時間計画!E18</f>
        <v>3397</v>
      </c>
      <c r="I291" s="182">
        <f>[33]人員・時間計画!F18</f>
        <v>3762</v>
      </c>
      <c r="J291" s="182">
        <f>[33]人員・時間計画!G18</f>
        <v>3275</v>
      </c>
      <c r="K291" s="182">
        <f>[33]人員・時間計画!H18</f>
        <v>3107</v>
      </c>
      <c r="L291" s="182">
        <f>[33]人員・時間計画!I18</f>
        <v>3785</v>
      </c>
      <c r="M291" s="182">
        <f>[33]人員・時間計画!J18</f>
        <v>3347.5</v>
      </c>
      <c r="N291" s="182">
        <f>[33]人員・時間計画!K18</f>
        <v>3805.5</v>
      </c>
      <c r="O291" s="182">
        <f>[33]人員・時間計画!L18</f>
        <v>3465</v>
      </c>
      <c r="P291" s="182">
        <f>[33]人員・時間計画!M18</f>
        <v>2620</v>
      </c>
      <c r="Q291" s="182">
        <f>[33]人員・時間計画!N18</f>
        <v>3465</v>
      </c>
    </row>
    <row r="292" spans="1:17" ht="14.5" thickBot="1">
      <c r="A292">
        <f>[33]人員・時間計画!$A$5</f>
        <v>1412000039</v>
      </c>
      <c r="B292" t="str">
        <f>[33]人員・時間計画!$B$5</f>
        <v>メカ製造技術2課</v>
      </c>
      <c r="C292" s="185" t="s">
        <v>202</v>
      </c>
      <c r="D292" s="201" t="s">
        <v>195</v>
      </c>
      <c r="E292" s="192" t="s">
        <v>140</v>
      </c>
      <c r="F292" s="182">
        <f>[33]人員・時間計画!C19</f>
        <v>0</v>
      </c>
      <c r="G292" s="182">
        <f>[33]人員・時間計画!D19</f>
        <v>0</v>
      </c>
      <c r="H292" s="182">
        <f>[33]人員・時間計画!E19</f>
        <v>0</v>
      </c>
      <c r="I292" s="182">
        <f>[33]人員・時間計画!F19</f>
        <v>0</v>
      </c>
      <c r="J292" s="182">
        <f>[33]人員・時間計画!G19</f>
        <v>0</v>
      </c>
      <c r="K292" s="182">
        <f>[33]人員・時間計画!H19</f>
        <v>0</v>
      </c>
      <c r="L292" s="182">
        <f>[33]人員・時間計画!I19</f>
        <v>0</v>
      </c>
      <c r="M292" s="182">
        <f>[33]人員・時間計画!J19</f>
        <v>0</v>
      </c>
      <c r="N292" s="182">
        <f>[33]人員・時間計画!K19</f>
        <v>0</v>
      </c>
      <c r="O292" s="182">
        <f>[33]人員・時間計画!L19</f>
        <v>0</v>
      </c>
      <c r="P292" s="182">
        <f>[33]人員・時間計画!M19</f>
        <v>0</v>
      </c>
      <c r="Q292" s="182">
        <f>[33]人員・時間計画!N19</f>
        <v>0</v>
      </c>
    </row>
    <row r="293" spans="1:17" ht="14.5" hidden="1" thickBot="1">
      <c r="A293">
        <f>[33]人員・時間計画!$A$5</f>
        <v>1412000039</v>
      </c>
      <c r="B293" t="str">
        <f>[33]人員・時間計画!$B$5</f>
        <v>メカ製造技術2課</v>
      </c>
      <c r="C293" s="185" t="s">
        <v>202</v>
      </c>
      <c r="D293" s="202"/>
      <c r="E293" s="203" t="s">
        <v>138</v>
      </c>
      <c r="F293" s="182">
        <f>[33]人員・時間計画!C20</f>
        <v>2955</v>
      </c>
      <c r="G293" s="182">
        <f>[33]人員・時間計画!D20</f>
        <v>3049.5</v>
      </c>
      <c r="H293" s="182">
        <f>[33]人員・時間計画!E20</f>
        <v>3397</v>
      </c>
      <c r="I293" s="182">
        <f>[33]人員・時間計画!F20</f>
        <v>3762</v>
      </c>
      <c r="J293" s="182">
        <f>[33]人員・時間計画!G20</f>
        <v>3275</v>
      </c>
      <c r="K293" s="182">
        <f>[33]人員・時間計画!H20</f>
        <v>3107</v>
      </c>
      <c r="L293" s="182">
        <f>[33]人員・時間計画!I20</f>
        <v>3785</v>
      </c>
      <c r="M293" s="182">
        <f>[33]人員・時間計画!J20</f>
        <v>3347.5</v>
      </c>
      <c r="N293" s="182">
        <f>[33]人員・時間計画!K20</f>
        <v>3805.5</v>
      </c>
      <c r="O293" s="182">
        <f>[33]人員・時間計画!L20</f>
        <v>3465</v>
      </c>
      <c r="P293" s="182">
        <f>[33]人員・時間計画!M20</f>
        <v>2620</v>
      </c>
      <c r="Q293" s="182">
        <f>[33]人員・時間計画!N20</f>
        <v>3465</v>
      </c>
    </row>
    <row r="294" spans="1:17" ht="14.5" hidden="1" thickBot="1">
      <c r="A294">
        <f>[33]人員・時間計画!$A$5</f>
        <v>1412000039</v>
      </c>
      <c r="B294" t="str">
        <f>[33]人員・時間計画!$B$5</f>
        <v>メカ製造技術2課</v>
      </c>
      <c r="C294" s="185" t="s">
        <v>202</v>
      </c>
      <c r="D294" s="204" t="s">
        <v>215</v>
      </c>
      <c r="E294" s="205"/>
      <c r="F294" s="182">
        <f>[33]人員・時間計画!C21</f>
        <v>3295</v>
      </c>
      <c r="G294" s="182">
        <f>[33]人員・時間計画!D21</f>
        <v>3372.5</v>
      </c>
      <c r="H294" s="182">
        <f>[33]人員・時間計画!E21</f>
        <v>3754</v>
      </c>
      <c r="I294" s="182">
        <f>[33]人員・時間計画!F21</f>
        <v>4153</v>
      </c>
      <c r="J294" s="182">
        <f>[33]人員・時間計画!G21</f>
        <v>3572.5</v>
      </c>
      <c r="K294" s="182">
        <f>[33]人員・時間計画!H21</f>
        <v>3430</v>
      </c>
      <c r="L294" s="182">
        <f>[33]人員・時間計画!I21</f>
        <v>4116.5</v>
      </c>
      <c r="M294" s="182">
        <f>[33]人員・時間計画!J21</f>
        <v>3687.5</v>
      </c>
      <c r="N294" s="182">
        <f>[33]人員・時間計画!K21</f>
        <v>4179.5</v>
      </c>
      <c r="O294" s="182">
        <f>[33]人員・時間計画!L21</f>
        <v>3762.5</v>
      </c>
      <c r="P294" s="182">
        <f>[33]人員・時間計画!M21</f>
        <v>2875</v>
      </c>
      <c r="Q294" s="182">
        <f>[33]人員・時間計画!N21</f>
        <v>3745.5</v>
      </c>
    </row>
    <row r="295" spans="1:17" ht="14.5" hidden="1" thickBot="1">
      <c r="A295">
        <f>[33]人員・時間計画!$A$5</f>
        <v>1412000039</v>
      </c>
      <c r="B295" t="str">
        <f>[33]人員・時間計画!$B$5</f>
        <v>メカ製造技術2課</v>
      </c>
      <c r="D295" s="197"/>
      <c r="E295" s="197"/>
    </row>
    <row r="296" spans="1:17" ht="14.5" hidden="1" thickBot="1">
      <c r="A296">
        <f>[33]人員・時間計画!$A$5</f>
        <v>1412000039</v>
      </c>
      <c r="B296" t="str">
        <f>[33]人員・時間計画!$B$5</f>
        <v>メカ製造技術2課</v>
      </c>
      <c r="C296" s="185" t="s">
        <v>71</v>
      </c>
      <c r="D296" s="185" t="s">
        <v>71</v>
      </c>
      <c r="E296" s="186"/>
    </row>
    <row r="297" spans="1:17" ht="14.5" hidden="1" thickBot="1">
      <c r="A297">
        <f>[33]人員・時間計画!$A$5</f>
        <v>1412000039</v>
      </c>
      <c r="B297" t="str">
        <f>[33]人員・時間計画!$B$5</f>
        <v>メカ製造技術2課</v>
      </c>
      <c r="C297" s="185" t="s">
        <v>71</v>
      </c>
      <c r="D297" s="198" t="s">
        <v>194</v>
      </c>
      <c r="E297" s="199"/>
      <c r="F297" s="182">
        <f>[33]人員・時間計画!C24</f>
        <v>80</v>
      </c>
      <c r="G297" s="182">
        <f>[33]人員・時間計画!D24</f>
        <v>76</v>
      </c>
      <c r="H297" s="182">
        <f>[33]人員・時間計画!E24</f>
        <v>84</v>
      </c>
      <c r="I297" s="182">
        <f>[33]人員・時間計画!F24</f>
        <v>92</v>
      </c>
      <c r="J297" s="182">
        <f>[33]人員・時間計画!G24</f>
        <v>70</v>
      </c>
      <c r="K297" s="182">
        <f>[33]人員・時間計画!H24</f>
        <v>76</v>
      </c>
      <c r="L297" s="182">
        <f>[33]人員・時間計画!I24</f>
        <v>78</v>
      </c>
      <c r="M297" s="182">
        <f>[33]人員・時間計画!J24</f>
        <v>80</v>
      </c>
      <c r="N297" s="182">
        <f>[33]人員・時間計画!K24</f>
        <v>88</v>
      </c>
      <c r="O297" s="182">
        <f>[33]人員・時間計画!L24</f>
        <v>70</v>
      </c>
      <c r="P297" s="182">
        <f>[33]人員・時間計画!M24</f>
        <v>60</v>
      </c>
      <c r="Q297" s="182">
        <f>[33]人員・時間計画!N24</f>
        <v>66</v>
      </c>
    </row>
    <row r="298" spans="1:17" ht="14.5" hidden="1" thickBot="1">
      <c r="A298">
        <f>[33]人員・時間計画!$A$5</f>
        <v>1412000039</v>
      </c>
      <c r="B298" t="str">
        <f>[33]人員・時間計画!$B$5</f>
        <v>メカ製造技術2課</v>
      </c>
      <c r="C298" s="185" t="s">
        <v>71</v>
      </c>
      <c r="D298" s="200"/>
      <c r="E298" s="206" t="s">
        <v>139</v>
      </c>
      <c r="F298" s="182">
        <f>[33]人員・時間計画!C25</f>
        <v>118</v>
      </c>
      <c r="G298" s="182">
        <f>[33]人員・時間計画!D25</f>
        <v>114</v>
      </c>
      <c r="H298" s="182">
        <f>[33]人員・時間計画!E25</f>
        <v>171</v>
      </c>
      <c r="I298" s="182">
        <f>[33]人員・時間計画!F25</f>
        <v>188</v>
      </c>
      <c r="J298" s="182">
        <f>[33]人員・時間計画!G25</f>
        <v>120</v>
      </c>
      <c r="K298" s="182">
        <f>[33]人員・時間計画!H25</f>
        <v>112</v>
      </c>
      <c r="L298" s="182">
        <f>[33]人員・時間計画!I25</f>
        <v>138</v>
      </c>
      <c r="M298" s="182">
        <f>[33]人員・時間計画!J25</f>
        <v>120</v>
      </c>
      <c r="N298" s="182">
        <f>[33]人員・時間計画!K25</f>
        <v>130</v>
      </c>
      <c r="O298" s="182">
        <f>[33]人員・時間計画!L25</f>
        <v>120</v>
      </c>
      <c r="P298" s="182">
        <f>[33]人員・時間計画!M25</f>
        <v>90</v>
      </c>
      <c r="Q298" s="182">
        <f>[33]人員・時間計画!N25</f>
        <v>341</v>
      </c>
    </row>
    <row r="299" spans="1:17" ht="14.5" thickBot="1">
      <c r="A299">
        <f>[33]人員・時間計画!$A$5</f>
        <v>1412000039</v>
      </c>
      <c r="B299" t="str">
        <f>[33]人員・時間計画!$B$5</f>
        <v>メカ製造技術2課</v>
      </c>
      <c r="C299" s="185" t="s">
        <v>71</v>
      </c>
      <c r="D299" s="201" t="s">
        <v>195</v>
      </c>
      <c r="E299" s="207" t="s">
        <v>140</v>
      </c>
      <c r="F299" s="182">
        <f>[33]人員・時間計画!C26</f>
        <v>0</v>
      </c>
      <c r="G299" s="182">
        <f>[33]人員・時間計画!D26</f>
        <v>0</v>
      </c>
      <c r="H299" s="182">
        <f>[33]人員・時間計画!E26</f>
        <v>0</v>
      </c>
      <c r="I299" s="182">
        <f>[33]人員・時間計画!F26</f>
        <v>0</v>
      </c>
      <c r="J299" s="182">
        <f>[33]人員・時間計画!G26</f>
        <v>0</v>
      </c>
      <c r="K299" s="182">
        <f>[33]人員・時間計画!H26</f>
        <v>0</v>
      </c>
      <c r="L299" s="182">
        <f>[33]人員・時間計画!I26</f>
        <v>0</v>
      </c>
      <c r="M299" s="182">
        <f>[33]人員・時間計画!J26</f>
        <v>0</v>
      </c>
      <c r="N299" s="182">
        <f>[33]人員・時間計画!K26</f>
        <v>0</v>
      </c>
      <c r="O299" s="182">
        <f>[33]人員・時間計画!L26</f>
        <v>0</v>
      </c>
      <c r="P299" s="182">
        <f>[33]人員・時間計画!M26</f>
        <v>0</v>
      </c>
      <c r="Q299" s="182">
        <f>[33]人員・時間計画!N26</f>
        <v>0</v>
      </c>
    </row>
    <row r="300" spans="1:17" ht="14.5" hidden="1" thickBot="1">
      <c r="A300">
        <f>[33]人員・時間計画!$A$5</f>
        <v>1412000039</v>
      </c>
      <c r="B300" t="str">
        <f>[33]人員・時間計画!$B$5</f>
        <v>メカ製造技術2課</v>
      </c>
      <c r="C300" s="185" t="s">
        <v>71</v>
      </c>
      <c r="D300" s="202"/>
      <c r="E300" s="203" t="s">
        <v>138</v>
      </c>
      <c r="F300" s="182">
        <f>[33]人員・時間計画!C27</f>
        <v>118</v>
      </c>
      <c r="G300" s="182">
        <f>[33]人員・時間計画!D27</f>
        <v>114</v>
      </c>
      <c r="H300" s="182">
        <f>[33]人員・時間計画!E27</f>
        <v>171</v>
      </c>
      <c r="I300" s="182">
        <f>[33]人員・時間計画!F27</f>
        <v>188</v>
      </c>
      <c r="J300" s="182">
        <f>[33]人員・時間計画!G27</f>
        <v>120</v>
      </c>
      <c r="K300" s="182">
        <f>[33]人員・時間計画!H27</f>
        <v>112</v>
      </c>
      <c r="L300" s="182">
        <f>[33]人員・時間計画!I27</f>
        <v>138</v>
      </c>
      <c r="M300" s="182">
        <f>[33]人員・時間計画!J27</f>
        <v>120</v>
      </c>
      <c r="N300" s="182">
        <f>[33]人員・時間計画!K27</f>
        <v>130</v>
      </c>
      <c r="O300" s="182">
        <f>[33]人員・時間計画!L27</f>
        <v>120</v>
      </c>
      <c r="P300" s="182">
        <f>[33]人員・時間計画!M27</f>
        <v>90</v>
      </c>
      <c r="Q300" s="182">
        <f>[33]人員・時間計画!N27</f>
        <v>341</v>
      </c>
    </row>
    <row r="301" spans="1:17" ht="14.5" hidden="1" thickBot="1">
      <c r="A301">
        <f>[33]人員・時間計画!$A$5</f>
        <v>1412000039</v>
      </c>
      <c r="B301" t="str">
        <f>[33]人員・時間計画!$B$5</f>
        <v>メカ製造技術2課</v>
      </c>
      <c r="C301" s="185" t="s">
        <v>71</v>
      </c>
      <c r="D301" s="204" t="s">
        <v>216</v>
      </c>
      <c r="E301" s="205"/>
      <c r="F301" s="182">
        <f>[33]人員・時間計画!C28</f>
        <v>198</v>
      </c>
      <c r="G301" s="182">
        <f>[33]人員・時間計画!D28</f>
        <v>190</v>
      </c>
      <c r="H301" s="182">
        <f>[33]人員・時間計画!E28</f>
        <v>255</v>
      </c>
      <c r="I301" s="182">
        <f>[33]人員・時間計画!F28</f>
        <v>280</v>
      </c>
      <c r="J301" s="182">
        <f>[33]人員・時間計画!G28</f>
        <v>190</v>
      </c>
      <c r="K301" s="182">
        <f>[33]人員・時間計画!H28</f>
        <v>188</v>
      </c>
      <c r="L301" s="182">
        <f>[33]人員・時間計画!I28</f>
        <v>216</v>
      </c>
      <c r="M301" s="182">
        <f>[33]人員・時間計画!J28</f>
        <v>200</v>
      </c>
      <c r="N301" s="182">
        <f>[33]人員・時間計画!K28</f>
        <v>218</v>
      </c>
      <c r="O301" s="182">
        <f>[33]人員・時間計画!L28</f>
        <v>190</v>
      </c>
      <c r="P301" s="182">
        <f>[33]人員・時間計画!M28</f>
        <v>150</v>
      </c>
      <c r="Q301" s="182">
        <f>[33]人員・時間計画!N28</f>
        <v>407</v>
      </c>
    </row>
    <row r="302" spans="1:17" ht="14.5" hidden="1" thickBot="1">
      <c r="A302">
        <f>[36]人員・時間計画!$A$5</f>
        <v>1412000040</v>
      </c>
      <c r="B302" t="str">
        <f>[36]人員・時間計画!$B$5</f>
        <v>電気製造技術課</v>
      </c>
      <c r="C302" s="185" t="s">
        <v>3</v>
      </c>
      <c r="D302" s="185" t="s">
        <v>3</v>
      </c>
      <c r="E302" s="186"/>
    </row>
    <row r="303" spans="1:17" ht="14.5" hidden="1" thickBot="1">
      <c r="A303">
        <f>[36]人員・時間計画!$A$5</f>
        <v>1412000040</v>
      </c>
      <c r="B303" t="str">
        <f>[36]人員・時間計画!$B$5</f>
        <v>電気製造技術課</v>
      </c>
      <c r="C303" s="185" t="s">
        <v>3</v>
      </c>
      <c r="D303" s="187" t="s">
        <v>194</v>
      </c>
      <c r="E303" s="188"/>
      <c r="F303" s="214">
        <f>[36]人員・時間計画!C10</f>
        <v>1</v>
      </c>
      <c r="G303" s="214">
        <f>[36]人員・時間計画!D10</f>
        <v>1</v>
      </c>
      <c r="H303" s="214">
        <f>[36]人員・時間計画!E10</f>
        <v>1</v>
      </c>
      <c r="I303" s="214">
        <f>[36]人員・時間計画!F10</f>
        <v>1</v>
      </c>
      <c r="J303" s="214">
        <f>[36]人員・時間計画!G10</f>
        <v>1</v>
      </c>
      <c r="K303" s="214">
        <f>[36]人員・時間計画!H10</f>
        <v>1</v>
      </c>
      <c r="L303" s="214">
        <f>[36]人員・時間計画!I10</f>
        <v>1</v>
      </c>
      <c r="M303" s="214">
        <f>[36]人員・時間計画!J10</f>
        <v>1</v>
      </c>
      <c r="N303" s="214">
        <f>[36]人員・時間計画!K10</f>
        <v>1</v>
      </c>
      <c r="O303" s="214">
        <f>[36]人員・時間計画!L10</f>
        <v>1</v>
      </c>
      <c r="P303" s="214">
        <f>[36]人員・時間計画!M10</f>
        <v>1</v>
      </c>
      <c r="Q303" s="214">
        <f>[36]人員・時間計画!N10</f>
        <v>1</v>
      </c>
    </row>
    <row r="304" spans="1:17" ht="14.5" hidden="1" thickBot="1">
      <c r="A304">
        <f>[36]人員・時間計画!$A$5</f>
        <v>1412000040</v>
      </c>
      <c r="B304" t="str">
        <f>[36]人員・時間計画!$B$5</f>
        <v>電気製造技術課</v>
      </c>
      <c r="C304" s="185" t="s">
        <v>3</v>
      </c>
      <c r="D304" s="189"/>
      <c r="E304" s="190" t="s">
        <v>139</v>
      </c>
      <c r="F304" s="214">
        <f>[36]人員・時間計画!C11</f>
        <v>18</v>
      </c>
      <c r="G304" s="214">
        <f>[36]人員・時間計画!D11</f>
        <v>18</v>
      </c>
      <c r="H304" s="214">
        <f>[36]人員・時間計画!E11</f>
        <v>18</v>
      </c>
      <c r="I304" s="214">
        <f>[36]人員・時間計画!F11</f>
        <v>18</v>
      </c>
      <c r="J304" s="214">
        <f>[36]人員・時間計画!G11</f>
        <v>18</v>
      </c>
      <c r="K304" s="214">
        <f>[36]人員・時間計画!H11</f>
        <v>18</v>
      </c>
      <c r="L304" s="214">
        <f>[36]人員・時間計画!I11</f>
        <v>18</v>
      </c>
      <c r="M304" s="214">
        <f>[36]人員・時間計画!J11</f>
        <v>18</v>
      </c>
      <c r="N304" s="214">
        <f>[36]人員・時間計画!K11</f>
        <v>18</v>
      </c>
      <c r="O304" s="214">
        <f>[36]人員・時間計画!L11</f>
        <v>18</v>
      </c>
      <c r="P304" s="214">
        <f>[36]人員・時間計画!M11</f>
        <v>18</v>
      </c>
      <c r="Q304" s="214">
        <f>[36]人員・時間計画!N11</f>
        <v>18</v>
      </c>
    </row>
    <row r="305" spans="1:17" ht="14.5" thickBot="1">
      <c r="A305">
        <f>[36]人員・時間計画!$A$5</f>
        <v>1412000040</v>
      </c>
      <c r="B305" t="str">
        <f>[36]人員・時間計画!$B$5</f>
        <v>電気製造技術課</v>
      </c>
      <c r="C305" s="185" t="s">
        <v>3</v>
      </c>
      <c r="D305" s="191" t="s">
        <v>195</v>
      </c>
      <c r="E305" s="192" t="s">
        <v>140</v>
      </c>
      <c r="F305" s="214">
        <f>[36]人員・時間計画!C12</f>
        <v>0</v>
      </c>
      <c r="G305" s="214">
        <f>[36]人員・時間計画!D12</f>
        <v>0</v>
      </c>
      <c r="H305" s="214">
        <f>[36]人員・時間計画!E12</f>
        <v>0</v>
      </c>
      <c r="I305" s="214">
        <f>[36]人員・時間計画!F12</f>
        <v>0</v>
      </c>
      <c r="J305" s="214">
        <f>[36]人員・時間計画!G12</f>
        <v>0</v>
      </c>
      <c r="K305" s="214">
        <f>[36]人員・時間計画!H12</f>
        <v>0</v>
      </c>
      <c r="L305" s="214">
        <f>[36]人員・時間計画!I12</f>
        <v>0</v>
      </c>
      <c r="M305" s="214">
        <f>[36]人員・時間計画!J12</f>
        <v>0</v>
      </c>
      <c r="N305" s="214">
        <f>[36]人員・時間計画!K12</f>
        <v>0</v>
      </c>
      <c r="O305" s="214">
        <f>[36]人員・時間計画!L12</f>
        <v>0</v>
      </c>
      <c r="P305" s="214">
        <f>[36]人員・時間計画!M12</f>
        <v>0</v>
      </c>
      <c r="Q305" s="214">
        <f>[36]人員・時間計画!N12</f>
        <v>0</v>
      </c>
    </row>
    <row r="306" spans="1:17" ht="14.5" hidden="1" thickBot="1">
      <c r="A306">
        <f>[36]人員・時間計画!$A$5</f>
        <v>1412000040</v>
      </c>
      <c r="B306" t="str">
        <f>[36]人員・時間計画!$B$5</f>
        <v>電気製造技術課</v>
      </c>
      <c r="C306" s="185" t="s">
        <v>3</v>
      </c>
      <c r="D306" s="193"/>
      <c r="E306" s="194" t="s">
        <v>138</v>
      </c>
      <c r="F306" s="214">
        <f>[36]人員・時間計画!C13</f>
        <v>18</v>
      </c>
      <c r="G306" s="214">
        <f>[36]人員・時間計画!D13</f>
        <v>18</v>
      </c>
      <c r="H306" s="214">
        <f>[36]人員・時間計画!E13</f>
        <v>18</v>
      </c>
      <c r="I306" s="214">
        <f>[36]人員・時間計画!F13</f>
        <v>18</v>
      </c>
      <c r="J306" s="214">
        <f>[36]人員・時間計画!G13</f>
        <v>18</v>
      </c>
      <c r="K306" s="214">
        <f>[36]人員・時間計画!H13</f>
        <v>18</v>
      </c>
      <c r="L306" s="214">
        <f>[36]人員・時間計画!I13</f>
        <v>18</v>
      </c>
      <c r="M306" s="214">
        <f>[36]人員・時間計画!J13</f>
        <v>18</v>
      </c>
      <c r="N306" s="214">
        <f>[36]人員・時間計画!K13</f>
        <v>18</v>
      </c>
      <c r="O306" s="214">
        <f>[36]人員・時間計画!L13</f>
        <v>18</v>
      </c>
      <c r="P306" s="214">
        <f>[36]人員・時間計画!M13</f>
        <v>18</v>
      </c>
      <c r="Q306" s="214">
        <f>[36]人員・時間計画!N13</f>
        <v>18</v>
      </c>
    </row>
    <row r="307" spans="1:17" ht="14.5" hidden="1" thickBot="1">
      <c r="A307">
        <f>[36]人員・時間計画!$A$5</f>
        <v>1412000040</v>
      </c>
      <c r="B307" t="str">
        <f>[36]人員・時間計画!$B$5</f>
        <v>電気製造技術課</v>
      </c>
      <c r="C307" s="185" t="s">
        <v>3</v>
      </c>
      <c r="D307" s="195" t="s">
        <v>196</v>
      </c>
      <c r="E307" s="196"/>
      <c r="F307" s="214">
        <f>[36]人員・時間計画!C14</f>
        <v>19</v>
      </c>
      <c r="G307" s="214">
        <f>[36]人員・時間計画!D14</f>
        <v>19</v>
      </c>
      <c r="H307" s="214">
        <f>[36]人員・時間計画!E14</f>
        <v>19</v>
      </c>
      <c r="I307" s="214">
        <f>[36]人員・時間計画!F14</f>
        <v>19</v>
      </c>
      <c r="J307" s="214">
        <f>[36]人員・時間計画!G14</f>
        <v>19</v>
      </c>
      <c r="K307" s="214">
        <f>[36]人員・時間計画!H14</f>
        <v>19</v>
      </c>
      <c r="L307" s="214">
        <f>[36]人員・時間計画!I14</f>
        <v>19</v>
      </c>
      <c r="M307" s="214">
        <f>[36]人員・時間計画!J14</f>
        <v>19</v>
      </c>
      <c r="N307" s="214">
        <f>[36]人員・時間計画!K14</f>
        <v>19</v>
      </c>
      <c r="O307" s="214">
        <f>[36]人員・時間計画!L14</f>
        <v>19</v>
      </c>
      <c r="P307" s="214">
        <f>[36]人員・時間計画!M14</f>
        <v>19</v>
      </c>
      <c r="Q307" s="214">
        <f>[36]人員・時間計画!N14</f>
        <v>19</v>
      </c>
    </row>
    <row r="308" spans="1:17" ht="14.5" hidden="1" thickBot="1">
      <c r="A308">
        <f>[36]人員・時間計画!$A$5</f>
        <v>1412000040</v>
      </c>
      <c r="B308" t="str">
        <f>[36]人員・時間計画!$B$5</f>
        <v>電気製造技術課</v>
      </c>
      <c r="D308" s="197"/>
      <c r="E308" s="197"/>
    </row>
    <row r="309" spans="1:17" ht="14.5" hidden="1" thickBot="1">
      <c r="A309">
        <f>[36]人員・時間計画!$A$5</f>
        <v>1412000040</v>
      </c>
      <c r="B309" t="str">
        <f>[36]人員・時間計画!$B$5</f>
        <v>電気製造技術課</v>
      </c>
      <c r="C309" s="185" t="s">
        <v>202</v>
      </c>
      <c r="D309" s="185" t="s">
        <v>202</v>
      </c>
      <c r="E309" s="186"/>
    </row>
    <row r="310" spans="1:17" ht="14.5" hidden="1" thickBot="1">
      <c r="A310">
        <f>[36]人員・時間計画!$A$5</f>
        <v>1412000040</v>
      </c>
      <c r="B310" t="str">
        <f>[36]人員・時間計画!$B$5</f>
        <v>電気製造技術課</v>
      </c>
      <c r="C310" s="185" t="s">
        <v>202</v>
      </c>
      <c r="D310" s="198" t="s">
        <v>194</v>
      </c>
      <c r="E310" s="199"/>
      <c r="F310" s="182">
        <f>[36]人員・時間計画!C17</f>
        <v>170</v>
      </c>
      <c r="G310" s="182">
        <f>[36]人員・時間計画!D17</f>
        <v>153</v>
      </c>
      <c r="H310" s="182">
        <f>[36]人員・時間計画!E17</f>
        <v>170</v>
      </c>
      <c r="I310" s="182">
        <f>[36]人員・時間計画!F17</f>
        <v>136</v>
      </c>
      <c r="J310" s="182">
        <f>[36]人員・時間計画!G17</f>
        <v>161.5</v>
      </c>
      <c r="K310" s="182">
        <f>[36]人員・時間計画!H17</f>
        <v>153</v>
      </c>
      <c r="L310" s="182">
        <f>[36]人員・時間計画!I17</f>
        <v>187</v>
      </c>
      <c r="M310" s="182">
        <f>[36]人員・時間計画!J17</f>
        <v>110.5</v>
      </c>
      <c r="N310" s="182">
        <f>[36]人員・時間計画!K17</f>
        <v>178.5</v>
      </c>
      <c r="O310" s="182">
        <f>[36]人員・時間計画!L17</f>
        <v>161.5</v>
      </c>
      <c r="P310" s="182">
        <f>[36]人員・時間計画!M17</f>
        <v>127.5</v>
      </c>
      <c r="Q310" s="182">
        <f>[36]人員・時間計画!N17</f>
        <v>161.5</v>
      </c>
    </row>
    <row r="311" spans="1:17" ht="14.5" hidden="1" thickBot="1">
      <c r="A311">
        <f>[36]人員・時間計画!$A$5</f>
        <v>1412000040</v>
      </c>
      <c r="B311" t="str">
        <f>[36]人員・時間計画!$B$5</f>
        <v>電気製造技術課</v>
      </c>
      <c r="C311" s="185" t="s">
        <v>202</v>
      </c>
      <c r="D311" s="200"/>
      <c r="E311" s="190" t="s">
        <v>139</v>
      </c>
      <c r="F311" s="182">
        <f>[36]人員・時間計画!C18</f>
        <v>2924</v>
      </c>
      <c r="G311" s="182">
        <f>[36]人員・時間計画!D18</f>
        <v>2694.5</v>
      </c>
      <c r="H311" s="182">
        <f>[36]人員・時間計画!E18</f>
        <v>2898.5</v>
      </c>
      <c r="I311" s="182">
        <f>[36]人員・時間計画!F18</f>
        <v>3204.5</v>
      </c>
      <c r="J311" s="182">
        <f>[36]人員・時間計画!G18</f>
        <v>2754</v>
      </c>
      <c r="K311" s="182">
        <f>[36]人員・時間計画!H18</f>
        <v>2618</v>
      </c>
      <c r="L311" s="182">
        <f>[36]人員・時間計画!I18</f>
        <v>3187.5</v>
      </c>
      <c r="M311" s="182">
        <f>[36]人員・時間計画!J18</f>
        <v>2823.5</v>
      </c>
      <c r="N311" s="182">
        <f>[36]人員・時間計画!K18</f>
        <v>3200.5</v>
      </c>
      <c r="O311" s="182">
        <f>[36]人員・時間計画!L18</f>
        <v>2905</v>
      </c>
      <c r="P311" s="182">
        <f>[36]人員・時間計画!M18</f>
        <v>2145</v>
      </c>
      <c r="Q311" s="182">
        <f>[36]人員・時間計画!N18</f>
        <v>2905</v>
      </c>
    </row>
    <row r="312" spans="1:17" ht="14.5" thickBot="1">
      <c r="A312">
        <f>[36]人員・時間計画!$A$5</f>
        <v>1412000040</v>
      </c>
      <c r="B312" t="str">
        <f>[36]人員・時間計画!$B$5</f>
        <v>電気製造技術課</v>
      </c>
      <c r="C312" s="185" t="s">
        <v>202</v>
      </c>
      <c r="D312" s="201" t="s">
        <v>195</v>
      </c>
      <c r="E312" s="192" t="s">
        <v>140</v>
      </c>
      <c r="F312" s="182">
        <f>[36]人員・時間計画!C19</f>
        <v>0</v>
      </c>
      <c r="G312" s="182">
        <f>[36]人員・時間計画!D19</f>
        <v>0</v>
      </c>
      <c r="H312" s="182">
        <f>[36]人員・時間計画!E19</f>
        <v>0</v>
      </c>
      <c r="I312" s="182">
        <f>[36]人員・時間計画!F19</f>
        <v>0</v>
      </c>
      <c r="J312" s="182">
        <f>[36]人員・時間計画!G19</f>
        <v>0</v>
      </c>
      <c r="K312" s="182">
        <f>[36]人員・時間計画!H19</f>
        <v>0</v>
      </c>
      <c r="L312" s="182">
        <f>[36]人員・時間計画!I19</f>
        <v>0</v>
      </c>
      <c r="M312" s="182">
        <f>[36]人員・時間計画!J19</f>
        <v>0</v>
      </c>
      <c r="N312" s="182">
        <f>[36]人員・時間計画!K19</f>
        <v>0</v>
      </c>
      <c r="O312" s="182">
        <f>[36]人員・時間計画!L19</f>
        <v>0</v>
      </c>
      <c r="P312" s="182">
        <f>[36]人員・時間計画!M19</f>
        <v>0</v>
      </c>
      <c r="Q312" s="182">
        <f>[36]人員・時間計画!N19</f>
        <v>0</v>
      </c>
    </row>
    <row r="313" spans="1:17" ht="14.5" hidden="1" thickBot="1">
      <c r="A313">
        <f>[36]人員・時間計画!$A$5</f>
        <v>1412000040</v>
      </c>
      <c r="B313" t="str">
        <f>[36]人員・時間計画!$B$5</f>
        <v>電気製造技術課</v>
      </c>
      <c r="C313" s="185" t="s">
        <v>202</v>
      </c>
      <c r="D313" s="202"/>
      <c r="E313" s="203" t="s">
        <v>138</v>
      </c>
      <c r="F313" s="182">
        <f>[36]人員・時間計画!C20</f>
        <v>2924</v>
      </c>
      <c r="G313" s="182">
        <f>[36]人員・時間計画!D20</f>
        <v>2694.5</v>
      </c>
      <c r="H313" s="182">
        <f>[36]人員・時間計画!E20</f>
        <v>2898.5</v>
      </c>
      <c r="I313" s="182">
        <f>[36]人員・時間計画!F20</f>
        <v>3204.5</v>
      </c>
      <c r="J313" s="182">
        <f>[36]人員・時間計画!G20</f>
        <v>2754</v>
      </c>
      <c r="K313" s="182">
        <f>[36]人員・時間計画!H20</f>
        <v>2618</v>
      </c>
      <c r="L313" s="182">
        <f>[36]人員・時間計画!I20</f>
        <v>3187.5</v>
      </c>
      <c r="M313" s="182">
        <f>[36]人員・時間計画!J20</f>
        <v>2823.5</v>
      </c>
      <c r="N313" s="182">
        <f>[36]人員・時間計画!K20</f>
        <v>3200.5</v>
      </c>
      <c r="O313" s="182">
        <f>[36]人員・時間計画!L20</f>
        <v>2905</v>
      </c>
      <c r="P313" s="182">
        <f>[36]人員・時間計画!M20</f>
        <v>2145</v>
      </c>
      <c r="Q313" s="182">
        <f>[36]人員・時間計画!N20</f>
        <v>2905</v>
      </c>
    </row>
    <row r="314" spans="1:17" ht="14.5" hidden="1" thickBot="1">
      <c r="A314">
        <f>[36]人員・時間計画!$A$5</f>
        <v>1412000040</v>
      </c>
      <c r="B314" t="str">
        <f>[36]人員・時間計画!$B$5</f>
        <v>電気製造技術課</v>
      </c>
      <c r="C314" s="185" t="s">
        <v>202</v>
      </c>
      <c r="D314" s="204" t="s">
        <v>215</v>
      </c>
      <c r="E314" s="205"/>
      <c r="F314" s="182">
        <f>[36]人員・時間計画!C21</f>
        <v>3094</v>
      </c>
      <c r="G314" s="182">
        <f>[36]人員・時間計画!D21</f>
        <v>2847.5</v>
      </c>
      <c r="H314" s="182">
        <f>[36]人員・時間計画!E21</f>
        <v>3068.5</v>
      </c>
      <c r="I314" s="182">
        <f>[36]人員・時間計画!F21</f>
        <v>3340.5</v>
      </c>
      <c r="J314" s="182">
        <f>[36]人員・時間計画!G21</f>
        <v>2915.5</v>
      </c>
      <c r="K314" s="182">
        <f>[36]人員・時間計画!H21</f>
        <v>2771</v>
      </c>
      <c r="L314" s="182">
        <f>[36]人員・時間計画!I21</f>
        <v>3374.5</v>
      </c>
      <c r="M314" s="182">
        <f>[36]人員・時間計画!J21</f>
        <v>2934</v>
      </c>
      <c r="N314" s="182">
        <f>[36]人員・時間計画!K21</f>
        <v>3379</v>
      </c>
      <c r="O314" s="182">
        <f>[36]人員・時間計画!L21</f>
        <v>3066.5</v>
      </c>
      <c r="P314" s="182">
        <f>[36]人員・時間計画!M21</f>
        <v>2272.5</v>
      </c>
      <c r="Q314" s="182">
        <f>[36]人員・時間計画!N21</f>
        <v>3066.5</v>
      </c>
    </row>
    <row r="315" spans="1:17" ht="14.5" hidden="1" thickBot="1">
      <c r="A315">
        <f>[36]人員・時間計画!$A$5</f>
        <v>1412000040</v>
      </c>
      <c r="B315" t="str">
        <f>[36]人員・時間計画!$B$5</f>
        <v>電気製造技術課</v>
      </c>
      <c r="D315" s="197"/>
      <c r="E315" s="197"/>
    </row>
    <row r="316" spans="1:17" ht="14.5" hidden="1" thickBot="1">
      <c r="A316">
        <f>[36]人員・時間計画!$A$5</f>
        <v>1412000040</v>
      </c>
      <c r="B316" t="str">
        <f>[36]人員・時間計画!$B$5</f>
        <v>電気製造技術課</v>
      </c>
      <c r="C316" s="185" t="s">
        <v>71</v>
      </c>
      <c r="D316" s="185" t="s">
        <v>71</v>
      </c>
      <c r="E316" s="186"/>
    </row>
    <row r="317" spans="1:17" ht="14.5" hidden="1" thickBot="1">
      <c r="A317">
        <f>[36]人員・時間計画!$A$5</f>
        <v>1412000040</v>
      </c>
      <c r="B317" t="str">
        <f>[36]人員・時間計画!$B$5</f>
        <v>電気製造技術課</v>
      </c>
      <c r="C317" s="185" t="s">
        <v>71</v>
      </c>
      <c r="D317" s="198" t="s">
        <v>194</v>
      </c>
      <c r="E317" s="199"/>
      <c r="F317" s="182">
        <f>[36]人員・時間計画!C24</f>
        <v>40</v>
      </c>
      <c r="G317" s="182">
        <f>[36]人員・時間計画!D24</f>
        <v>36</v>
      </c>
      <c r="H317" s="182">
        <f>[36]人員・時間計画!E24</f>
        <v>40</v>
      </c>
      <c r="I317" s="182">
        <f>[36]人員・時間計画!F24</f>
        <v>32</v>
      </c>
      <c r="J317" s="182">
        <f>[36]人員・時間計画!G24</f>
        <v>38</v>
      </c>
      <c r="K317" s="182">
        <f>[36]人員・時間計画!H24</f>
        <v>36</v>
      </c>
      <c r="L317" s="182">
        <f>[36]人員・時間計画!I24</f>
        <v>44</v>
      </c>
      <c r="M317" s="182">
        <f>[36]人員・時間計画!J24</f>
        <v>26</v>
      </c>
      <c r="N317" s="182">
        <f>[36]人員・時間計画!K24</f>
        <v>42</v>
      </c>
      <c r="O317" s="182">
        <f>[36]人員・時間計画!L24</f>
        <v>38</v>
      </c>
      <c r="P317" s="182">
        <f>[36]人員・時間計画!M24</f>
        <v>30</v>
      </c>
      <c r="Q317" s="182">
        <f>[36]人員・時間計画!N24</f>
        <v>38</v>
      </c>
    </row>
    <row r="318" spans="1:17" ht="14.5" hidden="1" thickBot="1">
      <c r="A318">
        <f>[36]人員・時間計画!$A$5</f>
        <v>1412000040</v>
      </c>
      <c r="B318" t="str">
        <f>[36]人員・時間計画!$B$5</f>
        <v>電気製造技術課</v>
      </c>
      <c r="C318" s="185" t="s">
        <v>71</v>
      </c>
      <c r="D318" s="200"/>
      <c r="E318" s="206" t="s">
        <v>139</v>
      </c>
      <c r="F318" s="182">
        <f>[36]人員・時間計画!C25</f>
        <v>167</v>
      </c>
      <c r="G318" s="182">
        <f>[36]人員・時間計画!D25</f>
        <v>171</v>
      </c>
      <c r="H318" s="182">
        <f>[36]人員・時間計画!E25</f>
        <v>201</v>
      </c>
      <c r="I318" s="182">
        <f>[36]人員・時間計画!F25</f>
        <v>191</v>
      </c>
      <c r="J318" s="182">
        <f>[36]人員・時間計画!G25</f>
        <v>177</v>
      </c>
      <c r="K318" s="182">
        <f>[36]人員・時間計画!H25</f>
        <v>191</v>
      </c>
      <c r="L318" s="182">
        <f>[36]人員・時間計画!I25</f>
        <v>215</v>
      </c>
      <c r="M318" s="182">
        <f>[36]人員・時間計画!J25</f>
        <v>167</v>
      </c>
      <c r="N318" s="182">
        <f>[36]人員・時間計画!K25</f>
        <v>189</v>
      </c>
      <c r="O318" s="182">
        <f>[36]人員・時間計画!L25</f>
        <v>214</v>
      </c>
      <c r="P318" s="182">
        <f>[36]人員・時間計画!M25</f>
        <v>176</v>
      </c>
      <c r="Q318" s="182">
        <f>[36]人員・時間計画!N25</f>
        <v>167</v>
      </c>
    </row>
    <row r="319" spans="1:17" ht="14.5" thickBot="1">
      <c r="A319">
        <f>[36]人員・時間計画!$A$5</f>
        <v>1412000040</v>
      </c>
      <c r="B319" t="str">
        <f>[36]人員・時間計画!$B$5</f>
        <v>電気製造技術課</v>
      </c>
      <c r="C319" s="185" t="s">
        <v>71</v>
      </c>
      <c r="D319" s="201" t="s">
        <v>195</v>
      </c>
      <c r="E319" s="207" t="s">
        <v>140</v>
      </c>
      <c r="F319" s="182">
        <f>[36]人員・時間計画!C26</f>
        <v>0</v>
      </c>
      <c r="G319" s="182">
        <f>[36]人員・時間計画!D26</f>
        <v>0</v>
      </c>
      <c r="H319" s="182">
        <f>[36]人員・時間計画!E26</f>
        <v>0</v>
      </c>
      <c r="I319" s="182">
        <f>[36]人員・時間計画!F26</f>
        <v>0</v>
      </c>
      <c r="J319" s="182">
        <f>[36]人員・時間計画!G26</f>
        <v>0</v>
      </c>
      <c r="K319" s="182">
        <f>[36]人員・時間計画!H26</f>
        <v>0</v>
      </c>
      <c r="L319" s="182">
        <f>[36]人員・時間計画!I26</f>
        <v>0</v>
      </c>
      <c r="M319" s="182">
        <f>[36]人員・時間計画!J26</f>
        <v>0</v>
      </c>
      <c r="N319" s="182">
        <f>[36]人員・時間計画!K26</f>
        <v>0</v>
      </c>
      <c r="O319" s="182">
        <f>[36]人員・時間計画!L26</f>
        <v>0</v>
      </c>
      <c r="P319" s="182">
        <f>[36]人員・時間計画!M26</f>
        <v>0</v>
      </c>
      <c r="Q319" s="182">
        <f>[36]人員・時間計画!N26</f>
        <v>0</v>
      </c>
    </row>
    <row r="320" spans="1:17" ht="14.5" hidden="1" thickBot="1">
      <c r="A320">
        <f>[36]人員・時間計画!$A$5</f>
        <v>1412000040</v>
      </c>
      <c r="B320" t="str">
        <f>[36]人員・時間計画!$B$5</f>
        <v>電気製造技術課</v>
      </c>
      <c r="C320" s="185" t="s">
        <v>71</v>
      </c>
      <c r="D320" s="202"/>
      <c r="E320" s="203" t="s">
        <v>138</v>
      </c>
      <c r="F320" s="182">
        <f>[36]人員・時間計画!C27</f>
        <v>167</v>
      </c>
      <c r="G320" s="182">
        <f>[36]人員・時間計画!D27</f>
        <v>171</v>
      </c>
      <c r="H320" s="182">
        <f>[36]人員・時間計画!E27</f>
        <v>201</v>
      </c>
      <c r="I320" s="182">
        <f>[36]人員・時間計画!F27</f>
        <v>191</v>
      </c>
      <c r="J320" s="182">
        <f>[36]人員・時間計画!G27</f>
        <v>177</v>
      </c>
      <c r="K320" s="182">
        <f>[36]人員・時間計画!H27</f>
        <v>191</v>
      </c>
      <c r="L320" s="182">
        <f>[36]人員・時間計画!I27</f>
        <v>215</v>
      </c>
      <c r="M320" s="182">
        <f>[36]人員・時間計画!J27</f>
        <v>167</v>
      </c>
      <c r="N320" s="182">
        <f>[36]人員・時間計画!K27</f>
        <v>189</v>
      </c>
      <c r="O320" s="182">
        <f>[36]人員・時間計画!L27</f>
        <v>214</v>
      </c>
      <c r="P320" s="182">
        <f>[36]人員・時間計画!M27</f>
        <v>176</v>
      </c>
      <c r="Q320" s="182">
        <f>[36]人員・時間計画!N27</f>
        <v>167</v>
      </c>
    </row>
    <row r="321" spans="1:17" ht="14.5" hidden="1" thickBot="1">
      <c r="A321">
        <f>[36]人員・時間計画!$A$5</f>
        <v>1412000040</v>
      </c>
      <c r="B321" t="str">
        <f>[36]人員・時間計画!$B$5</f>
        <v>電気製造技術課</v>
      </c>
      <c r="C321" s="185" t="s">
        <v>71</v>
      </c>
      <c r="D321" s="204" t="s">
        <v>216</v>
      </c>
      <c r="E321" s="205"/>
      <c r="F321" s="182">
        <f>[36]人員・時間計画!C28</f>
        <v>207</v>
      </c>
      <c r="G321" s="182">
        <f>[36]人員・時間計画!D28</f>
        <v>207</v>
      </c>
      <c r="H321" s="182">
        <f>[36]人員・時間計画!E28</f>
        <v>241</v>
      </c>
      <c r="I321" s="182">
        <f>[36]人員・時間計画!F28</f>
        <v>223</v>
      </c>
      <c r="J321" s="182">
        <f>[36]人員・時間計画!G28</f>
        <v>215</v>
      </c>
      <c r="K321" s="182">
        <f>[36]人員・時間計画!H28</f>
        <v>227</v>
      </c>
      <c r="L321" s="182">
        <f>[36]人員・時間計画!I28</f>
        <v>259</v>
      </c>
      <c r="M321" s="182">
        <f>[36]人員・時間計画!J28</f>
        <v>193</v>
      </c>
      <c r="N321" s="182">
        <f>[36]人員・時間計画!K28</f>
        <v>231</v>
      </c>
      <c r="O321" s="182">
        <f>[36]人員・時間計画!L28</f>
        <v>252</v>
      </c>
      <c r="P321" s="182">
        <f>[36]人員・時間計画!M28</f>
        <v>206</v>
      </c>
      <c r="Q321" s="182">
        <f>[36]人員・時間計画!N28</f>
        <v>205</v>
      </c>
    </row>
    <row r="322" spans="1:17" ht="14.5" hidden="1" thickBot="1">
      <c r="A322">
        <f>[37]人員・時間計画!$A$5</f>
        <v>1412000013</v>
      </c>
      <c r="B322" t="str">
        <f>[37]人員・時間計画!$B$5</f>
        <v>部品検査1課</v>
      </c>
      <c r="C322" s="185" t="s">
        <v>3</v>
      </c>
      <c r="D322" s="185" t="s">
        <v>3</v>
      </c>
      <c r="E322" s="186"/>
    </row>
    <row r="323" spans="1:17" ht="14.5" hidden="1" thickBot="1">
      <c r="A323">
        <f>[37]人員・時間計画!$A$5</f>
        <v>1412000013</v>
      </c>
      <c r="B323" t="str">
        <f>[37]人員・時間計画!$B$5</f>
        <v>部品検査1課</v>
      </c>
      <c r="C323" s="185" t="s">
        <v>3</v>
      </c>
      <c r="D323" s="187" t="s">
        <v>194</v>
      </c>
      <c r="E323" s="188"/>
      <c r="F323" s="214">
        <f>[37]人員・時間計画!C10</f>
        <v>0</v>
      </c>
      <c r="G323" s="214">
        <f>[37]人員・時間計画!D10</f>
        <v>0</v>
      </c>
      <c r="H323" s="214">
        <f>[37]人員・時間計画!E10</f>
        <v>0</v>
      </c>
      <c r="I323" s="214">
        <f>[37]人員・時間計画!F10</f>
        <v>0</v>
      </c>
      <c r="J323" s="214">
        <f>[37]人員・時間計画!G10</f>
        <v>0</v>
      </c>
      <c r="K323" s="214">
        <f>[37]人員・時間計画!H10</f>
        <v>0</v>
      </c>
      <c r="L323" s="214">
        <f>[37]人員・時間計画!I10</f>
        <v>0</v>
      </c>
      <c r="M323" s="214">
        <f>[37]人員・時間計画!J10</f>
        <v>0</v>
      </c>
      <c r="N323" s="214">
        <f>[37]人員・時間計画!K10</f>
        <v>0</v>
      </c>
      <c r="O323" s="214">
        <f>[37]人員・時間計画!L10</f>
        <v>0</v>
      </c>
      <c r="P323" s="214">
        <f>[37]人員・時間計画!M10</f>
        <v>0</v>
      </c>
      <c r="Q323" s="214">
        <f>[37]人員・時間計画!N10</f>
        <v>0</v>
      </c>
    </row>
    <row r="324" spans="1:17" ht="14.5" hidden="1" thickBot="1">
      <c r="A324">
        <f>[37]人員・時間計画!$A$5</f>
        <v>1412000013</v>
      </c>
      <c r="B324" t="str">
        <f>[37]人員・時間計画!$B$5</f>
        <v>部品検査1課</v>
      </c>
      <c r="C324" s="185" t="s">
        <v>3</v>
      </c>
      <c r="D324" s="189"/>
      <c r="E324" s="190" t="s">
        <v>139</v>
      </c>
      <c r="F324" s="214">
        <f>[37]人員・時間計画!C11</f>
        <v>25</v>
      </c>
      <c r="G324" s="214">
        <f>[37]人員・時間計画!D11</f>
        <v>25</v>
      </c>
      <c r="H324" s="214">
        <f>[37]人員・時間計画!E11</f>
        <v>25</v>
      </c>
      <c r="I324" s="214">
        <f>[37]人員・時間計画!F11</f>
        <v>25</v>
      </c>
      <c r="J324" s="214">
        <f>[37]人員・時間計画!G11</f>
        <v>25</v>
      </c>
      <c r="K324" s="214">
        <f>[37]人員・時間計画!H11</f>
        <v>25</v>
      </c>
      <c r="L324" s="214">
        <f>[37]人員・時間計画!I11</f>
        <v>25</v>
      </c>
      <c r="M324" s="214">
        <f>[37]人員・時間計画!J11</f>
        <v>25</v>
      </c>
      <c r="N324" s="214">
        <f>[37]人員・時間計画!K11</f>
        <v>25</v>
      </c>
      <c r="O324" s="214">
        <f>[37]人員・時間計画!L11</f>
        <v>25</v>
      </c>
      <c r="P324" s="214">
        <f>[37]人員・時間計画!M11</f>
        <v>25</v>
      </c>
      <c r="Q324" s="214">
        <f>[37]人員・時間計画!N11</f>
        <v>25</v>
      </c>
    </row>
    <row r="325" spans="1:17" ht="14.5" thickBot="1">
      <c r="A325">
        <f>[37]人員・時間計画!$A$5</f>
        <v>1412000013</v>
      </c>
      <c r="B325" t="str">
        <f>[37]人員・時間計画!$B$5</f>
        <v>部品検査1課</v>
      </c>
      <c r="C325" s="185" t="s">
        <v>3</v>
      </c>
      <c r="D325" s="191" t="s">
        <v>195</v>
      </c>
      <c r="E325" s="192" t="s">
        <v>140</v>
      </c>
      <c r="F325" s="214">
        <f>[37]人員・時間計画!C12</f>
        <v>79</v>
      </c>
      <c r="G325" s="214">
        <f>[37]人員・時間計画!D12</f>
        <v>79</v>
      </c>
      <c r="H325" s="214">
        <f>[37]人員・時間計画!E12</f>
        <v>79</v>
      </c>
      <c r="I325" s="214">
        <f>[37]人員・時間計画!F12</f>
        <v>79</v>
      </c>
      <c r="J325" s="214">
        <f>[37]人員・時間計画!G12</f>
        <v>79</v>
      </c>
      <c r="K325" s="214">
        <f>[37]人員・時間計画!H12</f>
        <v>79</v>
      </c>
      <c r="L325" s="214">
        <f>[37]人員・時間計画!I12</f>
        <v>79</v>
      </c>
      <c r="M325" s="214">
        <f>[37]人員・時間計画!J12</f>
        <v>79</v>
      </c>
      <c r="N325" s="214">
        <f>[37]人員・時間計画!K12</f>
        <v>79</v>
      </c>
      <c r="O325" s="214">
        <f>[37]人員・時間計画!L12</f>
        <v>79</v>
      </c>
      <c r="P325" s="214">
        <f>[37]人員・時間計画!M12</f>
        <v>79</v>
      </c>
      <c r="Q325" s="214">
        <f>[37]人員・時間計画!N12</f>
        <v>79</v>
      </c>
    </row>
    <row r="326" spans="1:17" ht="14.5" hidden="1" thickBot="1">
      <c r="A326">
        <f>[37]人員・時間計画!$A$5</f>
        <v>1412000013</v>
      </c>
      <c r="B326" t="str">
        <f>[37]人員・時間計画!$B$5</f>
        <v>部品検査1課</v>
      </c>
      <c r="C326" s="185" t="s">
        <v>3</v>
      </c>
      <c r="D326" s="193"/>
      <c r="E326" s="194" t="s">
        <v>138</v>
      </c>
      <c r="F326" s="214">
        <f>[37]人員・時間計画!C13</f>
        <v>104</v>
      </c>
      <c r="G326" s="214">
        <f>[37]人員・時間計画!D13</f>
        <v>104</v>
      </c>
      <c r="H326" s="214">
        <f>[37]人員・時間計画!E13</f>
        <v>104</v>
      </c>
      <c r="I326" s="214">
        <f>[37]人員・時間計画!F13</f>
        <v>104</v>
      </c>
      <c r="J326" s="214">
        <f>[37]人員・時間計画!G13</f>
        <v>104</v>
      </c>
      <c r="K326" s="214">
        <f>[37]人員・時間計画!H13</f>
        <v>104</v>
      </c>
      <c r="L326" s="214">
        <f>[37]人員・時間計画!I13</f>
        <v>104</v>
      </c>
      <c r="M326" s="214">
        <f>[37]人員・時間計画!J13</f>
        <v>104</v>
      </c>
      <c r="N326" s="214">
        <f>[37]人員・時間計画!K13</f>
        <v>104</v>
      </c>
      <c r="O326" s="214">
        <f>[37]人員・時間計画!L13</f>
        <v>104</v>
      </c>
      <c r="P326" s="214">
        <f>[37]人員・時間計画!M13</f>
        <v>104</v>
      </c>
      <c r="Q326" s="214">
        <f>[37]人員・時間計画!N13</f>
        <v>104</v>
      </c>
    </row>
    <row r="327" spans="1:17" ht="14.5" hidden="1" thickBot="1">
      <c r="A327">
        <f>[37]人員・時間計画!$A$5</f>
        <v>1412000013</v>
      </c>
      <c r="B327" t="str">
        <f>[37]人員・時間計画!$B$5</f>
        <v>部品検査1課</v>
      </c>
      <c r="C327" s="185" t="s">
        <v>3</v>
      </c>
      <c r="D327" s="195" t="s">
        <v>196</v>
      </c>
      <c r="E327" s="196"/>
      <c r="F327" s="214">
        <f>[37]人員・時間計画!C14</f>
        <v>104</v>
      </c>
      <c r="G327" s="214">
        <f>[37]人員・時間計画!D14</f>
        <v>104</v>
      </c>
      <c r="H327" s="214">
        <f>[37]人員・時間計画!E14</f>
        <v>104</v>
      </c>
      <c r="I327" s="214">
        <f>[37]人員・時間計画!F14</f>
        <v>104</v>
      </c>
      <c r="J327" s="214">
        <f>[37]人員・時間計画!G14</f>
        <v>104</v>
      </c>
      <c r="K327" s="214">
        <f>[37]人員・時間計画!H14</f>
        <v>104</v>
      </c>
      <c r="L327" s="214">
        <f>[37]人員・時間計画!I14</f>
        <v>104</v>
      </c>
      <c r="M327" s="214">
        <f>[37]人員・時間計画!J14</f>
        <v>104</v>
      </c>
      <c r="N327" s="214">
        <f>[37]人員・時間計画!K14</f>
        <v>104</v>
      </c>
      <c r="O327" s="214">
        <f>[37]人員・時間計画!L14</f>
        <v>104</v>
      </c>
      <c r="P327" s="214">
        <f>[37]人員・時間計画!M14</f>
        <v>104</v>
      </c>
      <c r="Q327" s="214">
        <f>[37]人員・時間計画!N14</f>
        <v>104</v>
      </c>
    </row>
    <row r="328" spans="1:17" ht="14.5" hidden="1" thickBot="1">
      <c r="A328">
        <f>[37]人員・時間計画!$A$5</f>
        <v>1412000013</v>
      </c>
      <c r="B328" t="str">
        <f>[37]人員・時間計画!$B$5</f>
        <v>部品検査1課</v>
      </c>
      <c r="D328" s="197"/>
      <c r="E328" s="197"/>
    </row>
    <row r="329" spans="1:17" ht="14.5" hidden="1" thickBot="1">
      <c r="A329">
        <f>[37]人員・時間計画!$A$5</f>
        <v>1412000013</v>
      </c>
      <c r="B329" t="str">
        <f>[37]人員・時間計画!$B$5</f>
        <v>部品検査1課</v>
      </c>
      <c r="C329" s="185" t="s">
        <v>202</v>
      </c>
      <c r="D329" s="185" t="s">
        <v>202</v>
      </c>
      <c r="E329" s="186"/>
    </row>
    <row r="330" spans="1:17" ht="14.5" hidden="1" thickBot="1">
      <c r="A330">
        <f>[37]人員・時間計画!$A$5</f>
        <v>1412000013</v>
      </c>
      <c r="B330" t="str">
        <f>[37]人員・時間計画!$B$5</f>
        <v>部品検査1課</v>
      </c>
      <c r="C330" s="185" t="s">
        <v>202</v>
      </c>
      <c r="D330" s="198" t="s">
        <v>194</v>
      </c>
      <c r="E330" s="199"/>
      <c r="F330" s="182">
        <f>[37]人員・時間計画!C17</f>
        <v>0</v>
      </c>
      <c r="G330" s="182">
        <f>[37]人員・時間計画!D17</f>
        <v>0</v>
      </c>
      <c r="H330" s="182">
        <f>[37]人員・時間計画!E17</f>
        <v>0</v>
      </c>
      <c r="I330" s="182">
        <f>[37]人員・時間計画!F17</f>
        <v>0</v>
      </c>
      <c r="J330" s="182">
        <f>[37]人員・時間計画!G17</f>
        <v>0</v>
      </c>
      <c r="K330" s="182">
        <f>[37]人員・時間計画!H17</f>
        <v>0</v>
      </c>
      <c r="L330" s="182">
        <f>[37]人員・時間計画!I17</f>
        <v>0</v>
      </c>
      <c r="M330" s="182">
        <f>[37]人員・時間計画!J17</f>
        <v>0</v>
      </c>
      <c r="N330" s="182">
        <f>[37]人員・時間計画!K17</f>
        <v>0</v>
      </c>
      <c r="O330" s="182">
        <f>[37]人員・時間計画!L17</f>
        <v>0</v>
      </c>
      <c r="P330" s="182">
        <f>[37]人員・時間計画!M17</f>
        <v>0</v>
      </c>
      <c r="Q330" s="182">
        <f>[37]人員・時間計画!N17</f>
        <v>0</v>
      </c>
    </row>
    <row r="331" spans="1:17" ht="14.5" hidden="1" thickBot="1">
      <c r="A331">
        <f>[37]人員・時間計画!$A$5</f>
        <v>1412000013</v>
      </c>
      <c r="B331" t="str">
        <f>[37]人員・時間計画!$B$5</f>
        <v>部品検査1課</v>
      </c>
      <c r="C331" s="185" t="s">
        <v>202</v>
      </c>
      <c r="D331" s="200"/>
      <c r="E331" s="190" t="s">
        <v>139</v>
      </c>
      <c r="F331" s="182">
        <f>[37]人員・時間計画!C18</f>
        <v>4037.5</v>
      </c>
      <c r="G331" s="182">
        <f>[37]人員・時間計画!D18</f>
        <v>3825</v>
      </c>
      <c r="H331" s="182">
        <f>[37]人員・時間計画!E18</f>
        <v>4250</v>
      </c>
      <c r="I331" s="182">
        <f>[37]人員・時間計画!F18</f>
        <v>4675</v>
      </c>
      <c r="J331" s="182">
        <f>[37]人員・時間計画!G18</f>
        <v>4037.5</v>
      </c>
      <c r="K331" s="182">
        <f>[37]人員・時間計画!H18</f>
        <v>3825</v>
      </c>
      <c r="L331" s="182">
        <f>[37]人員・時間計画!I18</f>
        <v>4675</v>
      </c>
      <c r="M331" s="182">
        <f>[37]人員・時間計画!J18</f>
        <v>4037.5</v>
      </c>
      <c r="N331" s="182">
        <f>[37]人員・時間計画!K18</f>
        <v>4462.5</v>
      </c>
      <c r="O331" s="182">
        <f>[37]人員・時間計画!L18</f>
        <v>4037.5</v>
      </c>
      <c r="P331" s="182">
        <f>[37]人員・時間計画!M18</f>
        <v>2975</v>
      </c>
      <c r="Q331" s="182">
        <f>[37]人員・時間計画!N18</f>
        <v>4037.5</v>
      </c>
    </row>
    <row r="332" spans="1:17" ht="14.5" thickBot="1">
      <c r="A332">
        <f>[37]人員・時間計画!$A$5</f>
        <v>1412000013</v>
      </c>
      <c r="B332" t="str">
        <f>[37]人員・時間計画!$B$5</f>
        <v>部品検査1課</v>
      </c>
      <c r="C332" s="185" t="s">
        <v>202</v>
      </c>
      <c r="D332" s="201" t="s">
        <v>195</v>
      </c>
      <c r="E332" s="192" t="s">
        <v>140</v>
      </c>
      <c r="F332" s="182">
        <f>[37]人員・時間計画!C19</f>
        <v>12408.5</v>
      </c>
      <c r="G332" s="182">
        <f>[37]人員・時間計画!D19</f>
        <v>11737</v>
      </c>
      <c r="H332" s="182">
        <f>[37]人員・時間計画!E19</f>
        <v>13080</v>
      </c>
      <c r="I332" s="182">
        <f>[37]人員・時間計画!F19</f>
        <v>14423</v>
      </c>
      <c r="J332" s="182">
        <f>[37]人員・時間計画!G19</f>
        <v>12408.5</v>
      </c>
      <c r="K332" s="182">
        <f>[37]人員・時間計画!H19</f>
        <v>11737</v>
      </c>
      <c r="L332" s="182">
        <f>[37]人員・時間計画!I19</f>
        <v>14423</v>
      </c>
      <c r="M332" s="182">
        <f>[37]人員・時間計画!J19</f>
        <v>12408.5</v>
      </c>
      <c r="N332" s="182">
        <f>[37]人員・時間計画!K19</f>
        <v>13751.5</v>
      </c>
      <c r="O332" s="182">
        <f>[37]人員・時間計画!L19</f>
        <v>12408.5</v>
      </c>
      <c r="P332" s="182">
        <f>[37]人員・時間計画!M19</f>
        <v>9051</v>
      </c>
      <c r="Q332" s="182">
        <f>[37]人員・時間計画!N19</f>
        <v>12408.5</v>
      </c>
    </row>
    <row r="333" spans="1:17" ht="14.5" hidden="1" thickBot="1">
      <c r="A333">
        <f>[37]人員・時間計画!$A$5</f>
        <v>1412000013</v>
      </c>
      <c r="B333" t="str">
        <f>[37]人員・時間計画!$B$5</f>
        <v>部品検査1課</v>
      </c>
      <c r="C333" s="185" t="s">
        <v>202</v>
      </c>
      <c r="D333" s="202"/>
      <c r="E333" s="203" t="s">
        <v>138</v>
      </c>
      <c r="F333" s="182">
        <f>[37]人員・時間計画!C20</f>
        <v>16446</v>
      </c>
      <c r="G333" s="182">
        <f>[37]人員・時間計画!D20</f>
        <v>15562</v>
      </c>
      <c r="H333" s="182">
        <f>[37]人員・時間計画!E20</f>
        <v>17330</v>
      </c>
      <c r="I333" s="182">
        <f>[37]人員・時間計画!F20</f>
        <v>19098</v>
      </c>
      <c r="J333" s="182">
        <f>[37]人員・時間計画!G20</f>
        <v>16446</v>
      </c>
      <c r="K333" s="182">
        <f>[37]人員・時間計画!H20</f>
        <v>15562</v>
      </c>
      <c r="L333" s="182">
        <f>[37]人員・時間計画!I20</f>
        <v>19098</v>
      </c>
      <c r="M333" s="182">
        <f>[37]人員・時間計画!J20</f>
        <v>16446</v>
      </c>
      <c r="N333" s="182">
        <f>[37]人員・時間計画!K20</f>
        <v>18214</v>
      </c>
      <c r="O333" s="182">
        <f>[37]人員・時間計画!L20</f>
        <v>16446</v>
      </c>
      <c r="P333" s="182">
        <f>[37]人員・時間計画!M20</f>
        <v>12026</v>
      </c>
      <c r="Q333" s="182">
        <f>[37]人員・時間計画!N20</f>
        <v>16446</v>
      </c>
    </row>
    <row r="334" spans="1:17" ht="14.5" hidden="1" thickBot="1">
      <c r="A334">
        <f>[37]人員・時間計画!$A$5</f>
        <v>1412000013</v>
      </c>
      <c r="B334" t="str">
        <f>[37]人員・時間計画!$B$5</f>
        <v>部品検査1課</v>
      </c>
      <c r="C334" s="185" t="s">
        <v>202</v>
      </c>
      <c r="D334" s="204" t="s">
        <v>215</v>
      </c>
      <c r="E334" s="205"/>
      <c r="F334" s="182">
        <f>[37]人員・時間計画!C21</f>
        <v>16446</v>
      </c>
      <c r="G334" s="182">
        <f>[37]人員・時間計画!D21</f>
        <v>15562</v>
      </c>
      <c r="H334" s="182">
        <f>[37]人員・時間計画!E21</f>
        <v>17330</v>
      </c>
      <c r="I334" s="182">
        <f>[37]人員・時間計画!F21</f>
        <v>19098</v>
      </c>
      <c r="J334" s="182">
        <f>[37]人員・時間計画!G21</f>
        <v>16446</v>
      </c>
      <c r="K334" s="182">
        <f>[37]人員・時間計画!H21</f>
        <v>15562</v>
      </c>
      <c r="L334" s="182">
        <f>[37]人員・時間計画!I21</f>
        <v>19098</v>
      </c>
      <c r="M334" s="182">
        <f>[37]人員・時間計画!J21</f>
        <v>16446</v>
      </c>
      <c r="N334" s="182">
        <f>[37]人員・時間計画!K21</f>
        <v>18214</v>
      </c>
      <c r="O334" s="182">
        <f>[37]人員・時間計画!L21</f>
        <v>16446</v>
      </c>
      <c r="P334" s="182">
        <f>[37]人員・時間計画!M21</f>
        <v>12026</v>
      </c>
      <c r="Q334" s="182">
        <f>[37]人員・時間計画!N21</f>
        <v>16446</v>
      </c>
    </row>
    <row r="335" spans="1:17" ht="14.5" hidden="1" thickBot="1">
      <c r="A335">
        <f>[37]人員・時間計画!$A$5</f>
        <v>1412000013</v>
      </c>
      <c r="B335" t="str">
        <f>[37]人員・時間計画!$B$5</f>
        <v>部品検査1課</v>
      </c>
      <c r="D335" s="197"/>
      <c r="E335" s="197"/>
    </row>
    <row r="336" spans="1:17" ht="14.5" hidden="1" thickBot="1">
      <c r="A336">
        <f>[37]人員・時間計画!$A$5</f>
        <v>1412000013</v>
      </c>
      <c r="B336" t="str">
        <f>[37]人員・時間計画!$B$5</f>
        <v>部品検査1課</v>
      </c>
      <c r="C336" s="185" t="s">
        <v>71</v>
      </c>
      <c r="D336" s="185" t="s">
        <v>71</v>
      </c>
      <c r="E336" s="186"/>
    </row>
    <row r="337" spans="1:17" ht="14.5" hidden="1" thickBot="1">
      <c r="A337">
        <f>[37]人員・時間計画!$A$5</f>
        <v>1412000013</v>
      </c>
      <c r="B337" t="str">
        <f>[37]人員・時間計画!$B$5</f>
        <v>部品検査1課</v>
      </c>
      <c r="C337" s="185" t="s">
        <v>71</v>
      </c>
      <c r="D337" s="198" t="s">
        <v>194</v>
      </c>
      <c r="E337" s="199"/>
      <c r="F337" s="182">
        <f>[37]人員・時間計画!C24</f>
        <v>0</v>
      </c>
      <c r="G337" s="182">
        <f>[37]人員・時間計画!D24</f>
        <v>0</v>
      </c>
      <c r="H337" s="182">
        <f>[37]人員・時間計画!E24</f>
        <v>0</v>
      </c>
      <c r="I337" s="182">
        <f>[37]人員・時間計画!F24</f>
        <v>0</v>
      </c>
      <c r="J337" s="182">
        <f>[37]人員・時間計画!G24</f>
        <v>0</v>
      </c>
      <c r="K337" s="182">
        <f>[37]人員・時間計画!H24</f>
        <v>0</v>
      </c>
      <c r="L337" s="182">
        <f>[37]人員・時間計画!I24</f>
        <v>0</v>
      </c>
      <c r="M337" s="182">
        <f>[37]人員・時間計画!J24</f>
        <v>0</v>
      </c>
      <c r="N337" s="182">
        <f>[37]人員・時間計画!K24</f>
        <v>0</v>
      </c>
      <c r="O337" s="182">
        <f>[37]人員・時間計画!L24</f>
        <v>0</v>
      </c>
      <c r="P337" s="182">
        <f>[37]人員・時間計画!M24</f>
        <v>0</v>
      </c>
      <c r="Q337" s="182">
        <f>[37]人員・時間計画!N24</f>
        <v>0</v>
      </c>
    </row>
    <row r="338" spans="1:17" ht="14.5" hidden="1" thickBot="1">
      <c r="A338">
        <f>[37]人員・時間計画!$A$5</f>
        <v>1412000013</v>
      </c>
      <c r="B338" t="str">
        <f>[37]人員・時間計画!$B$5</f>
        <v>部品検査1課</v>
      </c>
      <c r="C338" s="185" t="s">
        <v>71</v>
      </c>
      <c r="D338" s="200"/>
      <c r="E338" s="206" t="s">
        <v>139</v>
      </c>
      <c r="F338" s="182">
        <f>[37]人員・時間計画!C25</f>
        <v>425</v>
      </c>
      <c r="G338" s="182">
        <f>[37]人員・時間計画!D25</f>
        <v>421</v>
      </c>
      <c r="H338" s="182">
        <f>[37]人員・時間計画!E25</f>
        <v>429</v>
      </c>
      <c r="I338" s="182">
        <f>[37]人員・時間計画!F25</f>
        <v>437</v>
      </c>
      <c r="J338" s="182">
        <f>[37]人員・時間計画!G25</f>
        <v>425</v>
      </c>
      <c r="K338" s="182">
        <f>[37]人員・時間計画!H25</f>
        <v>421</v>
      </c>
      <c r="L338" s="182">
        <f>[37]人員・時間計画!I25</f>
        <v>437</v>
      </c>
      <c r="M338" s="182">
        <f>[37]人員・時間計画!J25</f>
        <v>425</v>
      </c>
      <c r="N338" s="182">
        <f>[37]人員・時間計画!K25</f>
        <v>433</v>
      </c>
      <c r="O338" s="182">
        <f>[37]人員・時間計画!L25</f>
        <v>425</v>
      </c>
      <c r="P338" s="182">
        <f>[37]人員・時間計画!M25</f>
        <v>405</v>
      </c>
      <c r="Q338" s="182">
        <f>[37]人員・時間計画!N25</f>
        <v>425</v>
      </c>
    </row>
    <row r="339" spans="1:17" ht="14.5" thickBot="1">
      <c r="A339">
        <f>[37]人員・時間計画!$A$5</f>
        <v>1412000013</v>
      </c>
      <c r="B339" t="str">
        <f>[37]人員・時間計画!$B$5</f>
        <v>部品検査1課</v>
      </c>
      <c r="C339" s="185" t="s">
        <v>71</v>
      </c>
      <c r="D339" s="201" t="s">
        <v>195</v>
      </c>
      <c r="E339" s="207" t="s">
        <v>140</v>
      </c>
      <c r="F339" s="182">
        <f>[37]人員・時間計画!C26</f>
        <v>2370</v>
      </c>
      <c r="G339" s="182">
        <f>[37]人員・時間計画!D26</f>
        <v>2370</v>
      </c>
      <c r="H339" s="182">
        <f>[37]人員・時間計画!E26</f>
        <v>2370</v>
      </c>
      <c r="I339" s="182">
        <f>[37]人員・時間計画!F26</f>
        <v>2370</v>
      </c>
      <c r="J339" s="182">
        <f>[37]人員・時間計画!G26</f>
        <v>2370</v>
      </c>
      <c r="K339" s="182">
        <f>[37]人員・時間計画!H26</f>
        <v>2370</v>
      </c>
      <c r="L339" s="182">
        <f>[37]人員・時間計画!I26</f>
        <v>2370</v>
      </c>
      <c r="M339" s="182">
        <f>[37]人員・時間計画!J26</f>
        <v>2370</v>
      </c>
      <c r="N339" s="182">
        <f>[37]人員・時間計画!K26</f>
        <v>2370</v>
      </c>
      <c r="O339" s="182">
        <f>[37]人員・時間計画!L26</f>
        <v>2370</v>
      </c>
      <c r="P339" s="182">
        <f>[37]人員・時間計画!M26</f>
        <v>2370</v>
      </c>
      <c r="Q339" s="182">
        <f>[37]人員・時間計画!N26</f>
        <v>2370</v>
      </c>
    </row>
    <row r="340" spans="1:17" ht="14.5" hidden="1" thickBot="1">
      <c r="A340">
        <f>[37]人員・時間計画!$A$5</f>
        <v>1412000013</v>
      </c>
      <c r="B340" t="str">
        <f>[37]人員・時間計画!$B$5</f>
        <v>部品検査1課</v>
      </c>
      <c r="C340" s="185" t="s">
        <v>71</v>
      </c>
      <c r="D340" s="202"/>
      <c r="E340" s="203" t="s">
        <v>138</v>
      </c>
      <c r="F340" s="182">
        <f>[37]人員・時間計画!C27</f>
        <v>2795</v>
      </c>
      <c r="G340" s="182">
        <f>[37]人員・時間計画!D27</f>
        <v>2791</v>
      </c>
      <c r="H340" s="182">
        <f>[37]人員・時間計画!E27</f>
        <v>2799</v>
      </c>
      <c r="I340" s="182">
        <f>[37]人員・時間計画!F27</f>
        <v>2807</v>
      </c>
      <c r="J340" s="182">
        <f>[37]人員・時間計画!G27</f>
        <v>2795</v>
      </c>
      <c r="K340" s="182">
        <f>[37]人員・時間計画!H27</f>
        <v>2791</v>
      </c>
      <c r="L340" s="182">
        <f>[37]人員・時間計画!I27</f>
        <v>2807</v>
      </c>
      <c r="M340" s="182">
        <f>[37]人員・時間計画!J27</f>
        <v>2795</v>
      </c>
      <c r="N340" s="182">
        <f>[37]人員・時間計画!K27</f>
        <v>2803</v>
      </c>
      <c r="O340" s="182">
        <f>[37]人員・時間計画!L27</f>
        <v>2795</v>
      </c>
      <c r="P340" s="182">
        <f>[37]人員・時間計画!M27</f>
        <v>2775</v>
      </c>
      <c r="Q340" s="182">
        <f>[37]人員・時間計画!N27</f>
        <v>2795</v>
      </c>
    </row>
    <row r="341" spans="1:17" ht="14.5" hidden="1" thickBot="1">
      <c r="A341">
        <f>[37]人員・時間計画!$A$5</f>
        <v>1412000013</v>
      </c>
      <c r="B341" t="str">
        <f>[37]人員・時間計画!$B$5</f>
        <v>部品検査1課</v>
      </c>
      <c r="C341" s="185" t="s">
        <v>71</v>
      </c>
      <c r="D341" s="204" t="s">
        <v>216</v>
      </c>
      <c r="E341" s="205"/>
      <c r="F341" s="182">
        <f>[37]人員・時間計画!C28</f>
        <v>2795</v>
      </c>
      <c r="G341" s="182">
        <f>[37]人員・時間計画!D28</f>
        <v>2791</v>
      </c>
      <c r="H341" s="182">
        <f>[37]人員・時間計画!E28</f>
        <v>2799</v>
      </c>
      <c r="I341" s="182">
        <f>[37]人員・時間計画!F28</f>
        <v>2807</v>
      </c>
      <c r="J341" s="182">
        <f>[37]人員・時間計画!G28</f>
        <v>2795</v>
      </c>
      <c r="K341" s="182">
        <f>[37]人員・時間計画!H28</f>
        <v>2791</v>
      </c>
      <c r="L341" s="182">
        <f>[37]人員・時間計画!I28</f>
        <v>2807</v>
      </c>
      <c r="M341" s="182">
        <f>[37]人員・時間計画!J28</f>
        <v>2795</v>
      </c>
      <c r="N341" s="182">
        <f>[37]人員・時間計画!K28</f>
        <v>2803</v>
      </c>
      <c r="O341" s="182">
        <f>[37]人員・時間計画!L28</f>
        <v>2795</v>
      </c>
      <c r="P341" s="182">
        <f>[37]人員・時間計画!M28</f>
        <v>2775</v>
      </c>
      <c r="Q341" s="182">
        <f>[37]人員・時間計画!N28</f>
        <v>2795</v>
      </c>
    </row>
    <row r="342" spans="1:17" ht="14.5" hidden="1" thickBot="1">
      <c r="A342">
        <f>[40]人員・時間計画!$A$5</f>
        <v>1412000080</v>
      </c>
      <c r="B342" t="str">
        <f>[40]人員・時間計画!$B$5</f>
        <v>部品技術課</v>
      </c>
      <c r="C342" s="185" t="s">
        <v>3</v>
      </c>
      <c r="D342" s="185" t="s">
        <v>3</v>
      </c>
      <c r="E342" s="186"/>
    </row>
    <row r="343" spans="1:17" ht="14.5" hidden="1" thickBot="1">
      <c r="A343">
        <f>[40]人員・時間計画!$A$5</f>
        <v>1412000080</v>
      </c>
      <c r="B343" t="str">
        <f>[40]人員・時間計画!$B$5</f>
        <v>部品技術課</v>
      </c>
      <c r="C343" s="185" t="s">
        <v>3</v>
      </c>
      <c r="D343" s="187" t="s">
        <v>194</v>
      </c>
      <c r="E343" s="188"/>
      <c r="F343" s="214">
        <f>[40]人員・時間計画!C10</f>
        <v>2</v>
      </c>
      <c r="G343" s="214">
        <f>[40]人員・時間計画!D10</f>
        <v>2</v>
      </c>
      <c r="H343" s="214">
        <f>[40]人員・時間計画!E10</f>
        <v>2</v>
      </c>
      <c r="I343" s="214">
        <f>[40]人員・時間計画!F10</f>
        <v>2</v>
      </c>
      <c r="J343" s="214">
        <f>[40]人員・時間計画!G10</f>
        <v>2</v>
      </c>
      <c r="K343" s="214">
        <f>[40]人員・時間計画!H10</f>
        <v>2</v>
      </c>
      <c r="L343" s="214">
        <f>[40]人員・時間計画!I10</f>
        <v>2</v>
      </c>
      <c r="M343" s="214">
        <f>[40]人員・時間計画!J10</f>
        <v>2</v>
      </c>
      <c r="N343" s="214">
        <f>[40]人員・時間計画!K10</f>
        <v>2</v>
      </c>
      <c r="O343" s="214">
        <f>[40]人員・時間計画!L10</f>
        <v>2</v>
      </c>
      <c r="P343" s="214">
        <f>[40]人員・時間計画!M10</f>
        <v>2</v>
      </c>
      <c r="Q343" s="214">
        <f>[40]人員・時間計画!N10</f>
        <v>2</v>
      </c>
    </row>
    <row r="344" spans="1:17" ht="14.5" hidden="1" thickBot="1">
      <c r="A344">
        <f>[40]人員・時間計画!$A$5</f>
        <v>1412000080</v>
      </c>
      <c r="B344" t="str">
        <f>[40]人員・時間計画!$B$5</f>
        <v>部品技術課</v>
      </c>
      <c r="C344" s="185" t="s">
        <v>3</v>
      </c>
      <c r="D344" s="189"/>
      <c r="E344" s="190" t="s">
        <v>139</v>
      </c>
      <c r="F344" s="214">
        <f>[40]人員・時間計画!C11</f>
        <v>21</v>
      </c>
      <c r="G344" s="214">
        <f>[40]人員・時間計画!D11</f>
        <v>21</v>
      </c>
      <c r="H344" s="214">
        <f>[40]人員・時間計画!E11</f>
        <v>21</v>
      </c>
      <c r="I344" s="214">
        <f>[40]人員・時間計画!F11</f>
        <v>21</v>
      </c>
      <c r="J344" s="214">
        <f>[40]人員・時間計画!G11</f>
        <v>23</v>
      </c>
      <c r="K344" s="214">
        <f>[40]人員・時間計画!H11</f>
        <v>23</v>
      </c>
      <c r="L344" s="214">
        <f>[40]人員・時間計画!I11</f>
        <v>23</v>
      </c>
      <c r="M344" s="214">
        <f>[40]人員・時間計画!J11</f>
        <v>23</v>
      </c>
      <c r="N344" s="214">
        <f>[40]人員・時間計画!K11</f>
        <v>23</v>
      </c>
      <c r="O344" s="214">
        <f>[40]人員・時間計画!L11</f>
        <v>23</v>
      </c>
      <c r="P344" s="214">
        <f>[40]人員・時間計画!M11</f>
        <v>23</v>
      </c>
      <c r="Q344" s="214">
        <f>[40]人員・時間計画!N11</f>
        <v>23</v>
      </c>
    </row>
    <row r="345" spans="1:17" ht="14.5" thickBot="1">
      <c r="A345">
        <f>[40]人員・時間計画!$A$5</f>
        <v>1412000080</v>
      </c>
      <c r="B345" t="str">
        <f>[40]人員・時間計画!$B$5</f>
        <v>部品技術課</v>
      </c>
      <c r="C345" s="185" t="s">
        <v>3</v>
      </c>
      <c r="D345" s="191" t="s">
        <v>195</v>
      </c>
      <c r="E345" s="192" t="s">
        <v>140</v>
      </c>
      <c r="F345" s="214">
        <f>[40]人員・時間計画!C12</f>
        <v>0</v>
      </c>
      <c r="G345" s="214">
        <f>[40]人員・時間計画!D12</f>
        <v>0</v>
      </c>
      <c r="H345" s="214">
        <f>[40]人員・時間計画!E12</f>
        <v>0</v>
      </c>
      <c r="I345" s="214">
        <f>[40]人員・時間計画!F12</f>
        <v>0</v>
      </c>
      <c r="J345" s="214">
        <f>[40]人員・時間計画!G12</f>
        <v>0</v>
      </c>
      <c r="K345" s="214">
        <f>[40]人員・時間計画!H12</f>
        <v>0</v>
      </c>
      <c r="L345" s="214">
        <f>[40]人員・時間計画!I12</f>
        <v>0</v>
      </c>
      <c r="M345" s="214">
        <f>[40]人員・時間計画!J12</f>
        <v>0</v>
      </c>
      <c r="N345" s="214">
        <f>[40]人員・時間計画!K12</f>
        <v>0</v>
      </c>
      <c r="O345" s="214">
        <f>[40]人員・時間計画!L12</f>
        <v>0</v>
      </c>
      <c r="P345" s="214">
        <f>[40]人員・時間計画!M12</f>
        <v>0</v>
      </c>
      <c r="Q345" s="214">
        <f>[40]人員・時間計画!N12</f>
        <v>0</v>
      </c>
    </row>
    <row r="346" spans="1:17" ht="14.5" hidden="1" thickBot="1">
      <c r="A346">
        <f>[40]人員・時間計画!$A$5</f>
        <v>1412000080</v>
      </c>
      <c r="B346" t="str">
        <f>[40]人員・時間計画!$B$5</f>
        <v>部品技術課</v>
      </c>
      <c r="C346" s="185" t="s">
        <v>3</v>
      </c>
      <c r="D346" s="193"/>
      <c r="E346" s="194" t="s">
        <v>138</v>
      </c>
      <c r="F346" s="214">
        <f>[40]人員・時間計画!C13</f>
        <v>21</v>
      </c>
      <c r="G346" s="214">
        <f>[40]人員・時間計画!D13</f>
        <v>21</v>
      </c>
      <c r="H346" s="214">
        <f>[40]人員・時間計画!E13</f>
        <v>21</v>
      </c>
      <c r="I346" s="214">
        <f>[40]人員・時間計画!F13</f>
        <v>21</v>
      </c>
      <c r="J346" s="214">
        <f>[40]人員・時間計画!G13</f>
        <v>23</v>
      </c>
      <c r="K346" s="214">
        <f>[40]人員・時間計画!H13</f>
        <v>23</v>
      </c>
      <c r="L346" s="214">
        <f>[40]人員・時間計画!I13</f>
        <v>23</v>
      </c>
      <c r="M346" s="214">
        <f>[40]人員・時間計画!J13</f>
        <v>23</v>
      </c>
      <c r="N346" s="214">
        <f>[40]人員・時間計画!K13</f>
        <v>23</v>
      </c>
      <c r="O346" s="214">
        <f>[40]人員・時間計画!L13</f>
        <v>23</v>
      </c>
      <c r="P346" s="214">
        <f>[40]人員・時間計画!M13</f>
        <v>23</v>
      </c>
      <c r="Q346" s="214">
        <f>[40]人員・時間計画!N13</f>
        <v>23</v>
      </c>
    </row>
    <row r="347" spans="1:17" ht="14.5" hidden="1" thickBot="1">
      <c r="A347">
        <f>[40]人員・時間計画!$A$5</f>
        <v>1412000080</v>
      </c>
      <c r="B347" t="str">
        <f>[40]人員・時間計画!$B$5</f>
        <v>部品技術課</v>
      </c>
      <c r="C347" s="185" t="s">
        <v>3</v>
      </c>
      <c r="D347" s="195" t="s">
        <v>196</v>
      </c>
      <c r="E347" s="196"/>
      <c r="F347" s="214">
        <f>[40]人員・時間計画!C14</f>
        <v>23</v>
      </c>
      <c r="G347" s="214">
        <f>[40]人員・時間計画!D14</f>
        <v>23</v>
      </c>
      <c r="H347" s="214">
        <f>[40]人員・時間計画!E14</f>
        <v>23</v>
      </c>
      <c r="I347" s="214">
        <f>[40]人員・時間計画!F14</f>
        <v>23</v>
      </c>
      <c r="J347" s="214">
        <f>[40]人員・時間計画!G14</f>
        <v>25</v>
      </c>
      <c r="K347" s="214">
        <f>[40]人員・時間計画!H14</f>
        <v>25</v>
      </c>
      <c r="L347" s="214">
        <f>[40]人員・時間計画!I14</f>
        <v>25</v>
      </c>
      <c r="M347" s="214">
        <f>[40]人員・時間計画!J14</f>
        <v>25</v>
      </c>
      <c r="N347" s="214">
        <f>[40]人員・時間計画!K14</f>
        <v>25</v>
      </c>
      <c r="O347" s="214">
        <f>[40]人員・時間計画!L14</f>
        <v>25</v>
      </c>
      <c r="P347" s="214">
        <f>[40]人員・時間計画!M14</f>
        <v>25</v>
      </c>
      <c r="Q347" s="214">
        <f>[40]人員・時間計画!N14</f>
        <v>25</v>
      </c>
    </row>
    <row r="348" spans="1:17" ht="14.5" hidden="1" thickBot="1">
      <c r="A348">
        <f>[40]人員・時間計画!$A$5</f>
        <v>1412000080</v>
      </c>
      <c r="B348" t="str">
        <f>[40]人員・時間計画!$B$5</f>
        <v>部品技術課</v>
      </c>
      <c r="D348" s="197"/>
      <c r="E348" s="197"/>
    </row>
    <row r="349" spans="1:17" ht="14.5" hidden="1" thickBot="1">
      <c r="A349">
        <f>[40]人員・時間計画!$A$5</f>
        <v>1412000080</v>
      </c>
      <c r="B349" t="str">
        <f>[40]人員・時間計画!$B$5</f>
        <v>部品技術課</v>
      </c>
      <c r="C349" s="185" t="s">
        <v>202</v>
      </c>
      <c r="D349" s="185" t="s">
        <v>202</v>
      </c>
      <c r="E349" s="186"/>
    </row>
    <row r="350" spans="1:17" ht="14.5" hidden="1" thickBot="1">
      <c r="A350">
        <f>[40]人員・時間計画!$A$5</f>
        <v>1412000080</v>
      </c>
      <c r="B350" t="str">
        <f>[40]人員・時間計画!$B$5</f>
        <v>部品技術課</v>
      </c>
      <c r="C350" s="185" t="s">
        <v>202</v>
      </c>
      <c r="D350" s="198" t="s">
        <v>194</v>
      </c>
      <c r="E350" s="199"/>
      <c r="F350" s="182">
        <f>[40]人員・時間計画!C17</f>
        <v>272</v>
      </c>
      <c r="G350" s="182">
        <f>[40]人員・時間計画!D17</f>
        <v>323</v>
      </c>
      <c r="H350" s="182">
        <f>[40]人員・時間計画!E17</f>
        <v>348.5</v>
      </c>
      <c r="I350" s="182">
        <f>[40]人員・時間計画!F17</f>
        <v>391</v>
      </c>
      <c r="J350" s="182">
        <f>[40]人員・時間計画!G17</f>
        <v>272</v>
      </c>
      <c r="K350" s="182">
        <f>[40]人員・時間計画!H17</f>
        <v>314.5</v>
      </c>
      <c r="L350" s="182">
        <f>[40]人員・時間計画!I17</f>
        <v>391</v>
      </c>
      <c r="M350" s="182">
        <f>[40]人員・時間計画!J17</f>
        <v>331.5</v>
      </c>
      <c r="N350" s="182">
        <f>[40]人員・時間計画!K17</f>
        <v>365.5</v>
      </c>
      <c r="O350" s="182">
        <f>[40]人員・時間計画!L17</f>
        <v>340</v>
      </c>
      <c r="P350" s="182">
        <f>[40]人員・時間計画!M17</f>
        <v>204</v>
      </c>
      <c r="Q350" s="182">
        <f>[40]人員・時間計画!N17</f>
        <v>340</v>
      </c>
    </row>
    <row r="351" spans="1:17" ht="14.5" hidden="1" thickBot="1">
      <c r="A351">
        <f>[40]人員・時間計画!$A$5</f>
        <v>1412000080</v>
      </c>
      <c r="B351" t="str">
        <f>[40]人員・時間計画!$B$5</f>
        <v>部品技術課</v>
      </c>
      <c r="C351" s="185" t="s">
        <v>202</v>
      </c>
      <c r="D351" s="200"/>
      <c r="E351" s="190" t="s">
        <v>139</v>
      </c>
      <c r="F351" s="182">
        <f>[40]人員・時間計画!C18</f>
        <v>3391.5</v>
      </c>
      <c r="G351" s="182">
        <f>[40]人員・時間計画!D18</f>
        <v>3213</v>
      </c>
      <c r="H351" s="182">
        <f>[40]人員・時間計画!E18</f>
        <v>3570</v>
      </c>
      <c r="I351" s="182">
        <f>[40]人員・時間計画!F18</f>
        <v>3927</v>
      </c>
      <c r="J351" s="182">
        <f>[40]人員・時間計画!G18</f>
        <v>3731.5</v>
      </c>
      <c r="K351" s="182">
        <f>[40]人員・時間計画!H18</f>
        <v>3536</v>
      </c>
      <c r="L351" s="182">
        <f>[40]人員・時間計画!I18</f>
        <v>4318</v>
      </c>
      <c r="M351" s="182">
        <f>[40]人員・時間計画!J18</f>
        <v>3731.5</v>
      </c>
      <c r="N351" s="182">
        <f>[40]人員・時間計画!K18</f>
        <v>4122.5</v>
      </c>
      <c r="O351" s="182">
        <f>[40]人員・時間計画!L18</f>
        <v>3731.5</v>
      </c>
      <c r="P351" s="182">
        <f>[40]人員・時間計画!M18</f>
        <v>2754</v>
      </c>
      <c r="Q351" s="182">
        <f>[40]人員・時間計画!N18</f>
        <v>3731.5</v>
      </c>
    </row>
    <row r="352" spans="1:17" ht="14.5" thickBot="1">
      <c r="A352">
        <f>[40]人員・時間計画!$A$5</f>
        <v>1412000080</v>
      </c>
      <c r="B352" t="str">
        <f>[40]人員・時間計画!$B$5</f>
        <v>部品技術課</v>
      </c>
      <c r="C352" s="185" t="s">
        <v>202</v>
      </c>
      <c r="D352" s="201" t="s">
        <v>195</v>
      </c>
      <c r="E352" s="192" t="s">
        <v>140</v>
      </c>
      <c r="F352" s="182">
        <f>[40]人員・時間計画!C19</f>
        <v>0</v>
      </c>
      <c r="G352" s="182">
        <f>[40]人員・時間計画!D19</f>
        <v>0</v>
      </c>
      <c r="H352" s="182">
        <f>[40]人員・時間計画!E19</f>
        <v>0</v>
      </c>
      <c r="I352" s="182">
        <f>[40]人員・時間計画!F19</f>
        <v>0</v>
      </c>
      <c r="J352" s="182">
        <f>[40]人員・時間計画!G19</f>
        <v>0</v>
      </c>
      <c r="K352" s="182">
        <f>[40]人員・時間計画!H19</f>
        <v>0</v>
      </c>
      <c r="L352" s="182">
        <f>[40]人員・時間計画!I19</f>
        <v>0</v>
      </c>
      <c r="M352" s="182">
        <f>[40]人員・時間計画!J19</f>
        <v>0</v>
      </c>
      <c r="N352" s="182">
        <f>[40]人員・時間計画!K19</f>
        <v>0</v>
      </c>
      <c r="O352" s="182">
        <f>[40]人員・時間計画!L19</f>
        <v>0</v>
      </c>
      <c r="P352" s="182">
        <f>[40]人員・時間計画!M19</f>
        <v>0</v>
      </c>
      <c r="Q352" s="182">
        <f>[40]人員・時間計画!N19</f>
        <v>0</v>
      </c>
    </row>
    <row r="353" spans="1:17" ht="14.5" hidden="1" thickBot="1">
      <c r="A353">
        <f>[40]人員・時間計画!$A$5</f>
        <v>1412000080</v>
      </c>
      <c r="B353" t="str">
        <f>[40]人員・時間計画!$B$5</f>
        <v>部品技術課</v>
      </c>
      <c r="C353" s="185" t="s">
        <v>202</v>
      </c>
      <c r="D353" s="202"/>
      <c r="E353" s="203" t="s">
        <v>138</v>
      </c>
      <c r="F353" s="182">
        <f>[40]人員・時間計画!C20</f>
        <v>3391.5</v>
      </c>
      <c r="G353" s="182">
        <f>[40]人員・時間計画!D20</f>
        <v>3213</v>
      </c>
      <c r="H353" s="182">
        <f>[40]人員・時間計画!E20</f>
        <v>3570</v>
      </c>
      <c r="I353" s="182">
        <f>[40]人員・時間計画!F20</f>
        <v>3927</v>
      </c>
      <c r="J353" s="182">
        <f>[40]人員・時間計画!G20</f>
        <v>3731.5</v>
      </c>
      <c r="K353" s="182">
        <f>[40]人員・時間計画!H20</f>
        <v>3536</v>
      </c>
      <c r="L353" s="182">
        <f>[40]人員・時間計画!I20</f>
        <v>4318</v>
      </c>
      <c r="M353" s="182">
        <f>[40]人員・時間計画!J20</f>
        <v>3731.5</v>
      </c>
      <c r="N353" s="182">
        <f>[40]人員・時間計画!K20</f>
        <v>4122.5</v>
      </c>
      <c r="O353" s="182">
        <f>[40]人員・時間計画!L20</f>
        <v>3731.5</v>
      </c>
      <c r="P353" s="182">
        <f>[40]人員・時間計画!M20</f>
        <v>2754</v>
      </c>
      <c r="Q353" s="182">
        <f>[40]人員・時間計画!N20</f>
        <v>3731.5</v>
      </c>
    </row>
    <row r="354" spans="1:17" ht="14.5" hidden="1" thickBot="1">
      <c r="A354">
        <f>[40]人員・時間計画!$A$5</f>
        <v>1412000080</v>
      </c>
      <c r="B354" t="str">
        <f>[40]人員・時間計画!$B$5</f>
        <v>部品技術課</v>
      </c>
      <c r="C354" s="185" t="s">
        <v>202</v>
      </c>
      <c r="D354" s="204" t="s">
        <v>215</v>
      </c>
      <c r="E354" s="205"/>
      <c r="F354" s="182">
        <f>[40]人員・時間計画!C21</f>
        <v>3663.5</v>
      </c>
      <c r="G354" s="182">
        <f>[40]人員・時間計画!D21</f>
        <v>3536</v>
      </c>
      <c r="H354" s="182">
        <f>[40]人員・時間計画!E21</f>
        <v>3918.5</v>
      </c>
      <c r="I354" s="182">
        <f>[40]人員・時間計画!F21</f>
        <v>4318</v>
      </c>
      <c r="J354" s="182">
        <f>[40]人員・時間計画!G21</f>
        <v>4003.5</v>
      </c>
      <c r="K354" s="182">
        <f>[40]人員・時間計画!H21</f>
        <v>3850.5</v>
      </c>
      <c r="L354" s="182">
        <f>[40]人員・時間計画!I21</f>
        <v>4709</v>
      </c>
      <c r="M354" s="182">
        <f>[40]人員・時間計画!J21</f>
        <v>4063</v>
      </c>
      <c r="N354" s="182">
        <f>[40]人員・時間計画!K21</f>
        <v>4488</v>
      </c>
      <c r="O354" s="182">
        <f>[40]人員・時間計画!L21</f>
        <v>4071.5</v>
      </c>
      <c r="P354" s="182">
        <f>[40]人員・時間計画!M21</f>
        <v>2958</v>
      </c>
      <c r="Q354" s="182">
        <f>[40]人員・時間計画!N21</f>
        <v>4071.5</v>
      </c>
    </row>
    <row r="355" spans="1:17" ht="14.5" hidden="1" thickBot="1">
      <c r="A355">
        <f>[40]人員・時間計画!$A$5</f>
        <v>1412000080</v>
      </c>
      <c r="B355" t="str">
        <f>[40]人員・時間計画!$B$5</f>
        <v>部品技術課</v>
      </c>
      <c r="D355" s="197"/>
      <c r="E355" s="197"/>
    </row>
    <row r="356" spans="1:17" ht="14.5" hidden="1" thickBot="1">
      <c r="A356">
        <f>[40]人員・時間計画!$A$5</f>
        <v>1412000080</v>
      </c>
      <c r="B356" t="str">
        <f>[40]人員・時間計画!$B$5</f>
        <v>部品技術課</v>
      </c>
      <c r="C356" s="185" t="s">
        <v>71</v>
      </c>
      <c r="D356" s="185" t="s">
        <v>71</v>
      </c>
      <c r="E356" s="186"/>
    </row>
    <row r="357" spans="1:17" ht="14.5" hidden="1" thickBot="1">
      <c r="A357">
        <f>[40]人員・時間計画!$A$5</f>
        <v>1412000080</v>
      </c>
      <c r="B357" t="str">
        <f>[40]人員・時間計画!$B$5</f>
        <v>部品技術課</v>
      </c>
      <c r="C357" s="185" t="s">
        <v>71</v>
      </c>
      <c r="D357" s="198" t="s">
        <v>194</v>
      </c>
      <c r="E357" s="199"/>
      <c r="F357" s="182">
        <f>[40]人員・時間計画!C24</f>
        <v>64</v>
      </c>
      <c r="G357" s="182">
        <f>[40]人員・時間計画!D24</f>
        <v>76</v>
      </c>
      <c r="H357" s="182">
        <f>[40]人員・時間計画!E24</f>
        <v>82</v>
      </c>
      <c r="I357" s="182">
        <f>[40]人員・時間計画!F24</f>
        <v>92</v>
      </c>
      <c r="J357" s="182">
        <f>[40]人員・時間計画!G24</f>
        <v>64</v>
      </c>
      <c r="K357" s="182">
        <f>[40]人員・時間計画!H24</f>
        <v>74</v>
      </c>
      <c r="L357" s="182">
        <f>[40]人員・時間計画!I24</f>
        <v>92</v>
      </c>
      <c r="M357" s="182">
        <f>[40]人員・時間計画!J24</f>
        <v>78</v>
      </c>
      <c r="N357" s="182">
        <f>[40]人員・時間計画!K24</f>
        <v>86</v>
      </c>
      <c r="O357" s="182">
        <f>[40]人員・時間計画!L24</f>
        <v>80</v>
      </c>
      <c r="P357" s="182">
        <f>[40]人員・時間計画!M24</f>
        <v>48</v>
      </c>
      <c r="Q357" s="182">
        <f>[40]人員・時間計画!N24</f>
        <v>80</v>
      </c>
    </row>
    <row r="358" spans="1:17" ht="14.5" hidden="1" thickBot="1">
      <c r="A358">
        <f>[40]人員・時間計画!$A$5</f>
        <v>1412000080</v>
      </c>
      <c r="B358" t="str">
        <f>[40]人員・時間計画!$B$5</f>
        <v>部品技術課</v>
      </c>
      <c r="C358" s="185" t="s">
        <v>71</v>
      </c>
      <c r="D358" s="200"/>
      <c r="E358" s="206" t="s">
        <v>139</v>
      </c>
      <c r="F358" s="182">
        <f>[40]人員・時間計画!C25</f>
        <v>40</v>
      </c>
      <c r="G358" s="182">
        <f>[40]人員・時間計画!D25</f>
        <v>38</v>
      </c>
      <c r="H358" s="182">
        <f>[40]人員・時間計画!E25</f>
        <v>52</v>
      </c>
      <c r="I358" s="182">
        <f>[40]人員・時間計画!F25</f>
        <v>56</v>
      </c>
      <c r="J358" s="182">
        <f>[40]人員・時間計画!G25</f>
        <v>40</v>
      </c>
      <c r="K358" s="182">
        <f>[40]人員・時間計画!H25</f>
        <v>38</v>
      </c>
      <c r="L358" s="182">
        <f>[40]人員・時間計画!I25</f>
        <v>56</v>
      </c>
      <c r="M358" s="182">
        <f>[40]人員・時間計画!J25</f>
        <v>50</v>
      </c>
      <c r="N358" s="182">
        <f>[40]人員・時間計画!K25</f>
        <v>44</v>
      </c>
      <c r="O358" s="182">
        <f>[40]人員・時間計画!L25</f>
        <v>40</v>
      </c>
      <c r="P358" s="182">
        <f>[40]人員・時間計画!M25</f>
        <v>30</v>
      </c>
      <c r="Q358" s="182">
        <f>[40]人員・時間計画!N25</f>
        <v>40</v>
      </c>
    </row>
    <row r="359" spans="1:17" ht="14.5" thickBot="1">
      <c r="A359">
        <f>[40]人員・時間計画!$A$5</f>
        <v>1412000080</v>
      </c>
      <c r="B359" t="str">
        <f>[40]人員・時間計画!$B$5</f>
        <v>部品技術課</v>
      </c>
      <c r="C359" s="185" t="s">
        <v>71</v>
      </c>
      <c r="D359" s="201" t="s">
        <v>195</v>
      </c>
      <c r="E359" s="207" t="s">
        <v>140</v>
      </c>
      <c r="F359" s="182">
        <f>[40]人員・時間計画!C26</f>
        <v>0</v>
      </c>
      <c r="G359" s="182">
        <f>[40]人員・時間計画!D26</f>
        <v>0</v>
      </c>
      <c r="H359" s="182">
        <f>[40]人員・時間計画!E26</f>
        <v>0</v>
      </c>
      <c r="I359" s="182">
        <f>[40]人員・時間計画!F26</f>
        <v>0</v>
      </c>
      <c r="J359" s="182">
        <f>[40]人員・時間計画!G26</f>
        <v>0</v>
      </c>
      <c r="K359" s="182">
        <f>[40]人員・時間計画!H26</f>
        <v>0</v>
      </c>
      <c r="L359" s="182">
        <f>[40]人員・時間計画!I26</f>
        <v>0</v>
      </c>
      <c r="M359" s="182">
        <f>[40]人員・時間計画!J26</f>
        <v>0</v>
      </c>
      <c r="N359" s="182">
        <f>[40]人員・時間計画!K26</f>
        <v>0</v>
      </c>
      <c r="O359" s="182">
        <f>[40]人員・時間計画!L26</f>
        <v>0</v>
      </c>
      <c r="P359" s="182">
        <f>[40]人員・時間計画!M26</f>
        <v>0</v>
      </c>
      <c r="Q359" s="182">
        <f>[40]人員・時間計画!N26</f>
        <v>0</v>
      </c>
    </row>
    <row r="360" spans="1:17" ht="14.5" hidden="1" thickBot="1">
      <c r="A360">
        <f>[40]人員・時間計画!$A$5</f>
        <v>1412000080</v>
      </c>
      <c r="B360" t="str">
        <f>[40]人員・時間計画!$B$5</f>
        <v>部品技術課</v>
      </c>
      <c r="C360" s="185" t="s">
        <v>71</v>
      </c>
      <c r="D360" s="202"/>
      <c r="E360" s="203" t="s">
        <v>138</v>
      </c>
      <c r="F360" s="182">
        <f>[40]人員・時間計画!C27</f>
        <v>40</v>
      </c>
      <c r="G360" s="182">
        <f>[40]人員・時間計画!D27</f>
        <v>38</v>
      </c>
      <c r="H360" s="182">
        <f>[40]人員・時間計画!E27</f>
        <v>52</v>
      </c>
      <c r="I360" s="182">
        <f>[40]人員・時間計画!F27</f>
        <v>56</v>
      </c>
      <c r="J360" s="182">
        <f>[40]人員・時間計画!G27</f>
        <v>40</v>
      </c>
      <c r="K360" s="182">
        <f>[40]人員・時間計画!H27</f>
        <v>38</v>
      </c>
      <c r="L360" s="182">
        <f>[40]人員・時間計画!I27</f>
        <v>56</v>
      </c>
      <c r="M360" s="182">
        <f>[40]人員・時間計画!J27</f>
        <v>50</v>
      </c>
      <c r="N360" s="182">
        <f>[40]人員・時間計画!K27</f>
        <v>44</v>
      </c>
      <c r="O360" s="182">
        <f>[40]人員・時間計画!L27</f>
        <v>40</v>
      </c>
      <c r="P360" s="182">
        <f>[40]人員・時間計画!M27</f>
        <v>30</v>
      </c>
      <c r="Q360" s="182">
        <f>[40]人員・時間計画!N27</f>
        <v>40</v>
      </c>
    </row>
    <row r="361" spans="1:17" ht="14.5" hidden="1" thickBot="1">
      <c r="A361">
        <f>[40]人員・時間計画!$A$5</f>
        <v>1412000080</v>
      </c>
      <c r="B361" t="str">
        <f>[40]人員・時間計画!$B$5</f>
        <v>部品技術課</v>
      </c>
      <c r="C361" s="185" t="s">
        <v>71</v>
      </c>
      <c r="D361" s="204" t="s">
        <v>216</v>
      </c>
      <c r="E361" s="205"/>
      <c r="F361" s="182">
        <f>[40]人員・時間計画!C28</f>
        <v>104</v>
      </c>
      <c r="G361" s="182">
        <f>[40]人員・時間計画!D28</f>
        <v>114</v>
      </c>
      <c r="H361" s="182">
        <f>[40]人員・時間計画!E28</f>
        <v>134</v>
      </c>
      <c r="I361" s="182">
        <f>[40]人員・時間計画!F28</f>
        <v>148</v>
      </c>
      <c r="J361" s="182">
        <f>[40]人員・時間計画!G28</f>
        <v>104</v>
      </c>
      <c r="K361" s="182">
        <f>[40]人員・時間計画!H28</f>
        <v>112</v>
      </c>
      <c r="L361" s="182">
        <f>[40]人員・時間計画!I28</f>
        <v>148</v>
      </c>
      <c r="M361" s="182">
        <f>[40]人員・時間計画!J28</f>
        <v>128</v>
      </c>
      <c r="N361" s="182">
        <f>[40]人員・時間計画!K28</f>
        <v>130</v>
      </c>
      <c r="O361" s="182">
        <f>[40]人員・時間計画!L28</f>
        <v>120</v>
      </c>
      <c r="P361" s="182">
        <f>[40]人員・時間計画!M28</f>
        <v>78</v>
      </c>
      <c r="Q361" s="182">
        <f>[40]人員・時間計画!N28</f>
        <v>120</v>
      </c>
    </row>
    <row r="362" spans="1:17" ht="14.5" hidden="1" thickBot="1">
      <c r="A362">
        <f>'[21]Kế hoạch số người - thời gian'!$A$5</f>
        <v>1412000044</v>
      </c>
      <c r="B362" t="str">
        <f>'[21]Kế hoạch số người - thời gian'!$B$5</f>
        <v>Phòng kỹ thuật khuôn</v>
      </c>
      <c r="C362" s="185" t="s">
        <v>3</v>
      </c>
      <c r="D362" s="185" t="s">
        <v>3</v>
      </c>
      <c r="E362" s="186"/>
    </row>
    <row r="363" spans="1:17" ht="14.5" hidden="1" thickBot="1">
      <c r="A363">
        <f>'[21]Kế hoạch số người - thời gian'!$A$5</f>
        <v>1412000044</v>
      </c>
      <c r="B363" t="str">
        <f>'[21]Kế hoạch số người - thời gian'!$B$5</f>
        <v>Phòng kỹ thuật khuôn</v>
      </c>
      <c r="C363" s="185" t="s">
        <v>3</v>
      </c>
      <c r="D363" s="187" t="s">
        <v>194</v>
      </c>
      <c r="E363" s="188"/>
      <c r="F363" s="214">
        <f>'[21]Kế hoạch số người - thời gian'!C10</f>
        <v>2</v>
      </c>
      <c r="G363" s="214">
        <f>'[21]Kế hoạch số người - thời gian'!D10</f>
        <v>2</v>
      </c>
      <c r="H363" s="214">
        <f>'[21]Kế hoạch số người - thời gian'!E10</f>
        <v>2</v>
      </c>
      <c r="I363" s="214">
        <f>'[21]Kế hoạch số người - thời gian'!F10</f>
        <v>2</v>
      </c>
      <c r="J363" s="214">
        <f>'[21]Kế hoạch số người - thời gian'!G10</f>
        <v>2</v>
      </c>
      <c r="K363" s="214">
        <f>'[21]Kế hoạch số người - thời gian'!H10</f>
        <v>2</v>
      </c>
      <c r="L363" s="214">
        <f>'[21]Kế hoạch số người - thời gian'!I10</f>
        <v>2</v>
      </c>
      <c r="M363" s="214">
        <f>'[21]Kế hoạch số người - thời gian'!J10</f>
        <v>2</v>
      </c>
      <c r="N363" s="214">
        <f>'[21]Kế hoạch số người - thời gian'!K10</f>
        <v>2</v>
      </c>
      <c r="O363" s="214">
        <f>'[21]Kế hoạch số người - thời gian'!L10</f>
        <v>2</v>
      </c>
      <c r="P363" s="214">
        <f>'[21]Kế hoạch số người - thời gian'!M10</f>
        <v>2</v>
      </c>
      <c r="Q363" s="214">
        <f>'[21]Kế hoạch số người - thời gian'!N10</f>
        <v>2</v>
      </c>
    </row>
    <row r="364" spans="1:17" ht="14.5" hidden="1" thickBot="1">
      <c r="A364">
        <f>'[21]Kế hoạch số người - thời gian'!$A$5</f>
        <v>1412000044</v>
      </c>
      <c r="B364" t="str">
        <f>'[21]Kế hoạch số người - thời gian'!$B$5</f>
        <v>Phòng kỹ thuật khuôn</v>
      </c>
      <c r="C364" s="185" t="s">
        <v>3</v>
      </c>
      <c r="D364" s="189"/>
      <c r="E364" s="190" t="s">
        <v>139</v>
      </c>
      <c r="F364" s="214">
        <f>'[21]Kế hoạch số người - thời gian'!C11</f>
        <v>23</v>
      </c>
      <c r="G364" s="214">
        <f>'[21]Kế hoạch số người - thời gian'!D11</f>
        <v>23</v>
      </c>
      <c r="H364" s="214">
        <f>'[21]Kế hoạch số người - thời gian'!E11</f>
        <v>23</v>
      </c>
      <c r="I364" s="214">
        <f>'[21]Kế hoạch số người - thời gian'!F11</f>
        <v>23</v>
      </c>
      <c r="J364" s="214">
        <f>'[21]Kế hoạch số người - thời gian'!G11</f>
        <v>23</v>
      </c>
      <c r="K364" s="214">
        <f>'[21]Kế hoạch số người - thời gian'!H11</f>
        <v>23</v>
      </c>
      <c r="L364" s="214">
        <f>'[21]Kế hoạch số người - thời gian'!I11</f>
        <v>23</v>
      </c>
      <c r="M364" s="214">
        <f>'[21]Kế hoạch số người - thời gian'!J11</f>
        <v>23</v>
      </c>
      <c r="N364" s="214">
        <f>'[21]Kế hoạch số người - thời gian'!K11</f>
        <v>23</v>
      </c>
      <c r="O364" s="214">
        <f>'[21]Kế hoạch số người - thời gian'!L11</f>
        <v>23</v>
      </c>
      <c r="P364" s="214">
        <f>'[21]Kế hoạch số người - thời gian'!M11</f>
        <v>23</v>
      </c>
      <c r="Q364" s="214">
        <f>'[21]Kế hoạch số người - thời gian'!N11</f>
        <v>23</v>
      </c>
    </row>
    <row r="365" spans="1:17" ht="14.5" thickBot="1">
      <c r="A365">
        <f>'[21]Kế hoạch số người - thời gian'!$A$5</f>
        <v>1412000044</v>
      </c>
      <c r="B365" t="str">
        <f>'[21]Kế hoạch số người - thời gian'!$B$5</f>
        <v>Phòng kỹ thuật khuôn</v>
      </c>
      <c r="C365" s="185" t="s">
        <v>3</v>
      </c>
      <c r="D365" s="191" t="s">
        <v>195</v>
      </c>
      <c r="E365" s="192" t="s">
        <v>140</v>
      </c>
      <c r="F365" s="214">
        <f>'[21]Kế hoạch số người - thời gian'!C12</f>
        <v>9</v>
      </c>
      <c r="G365" s="214">
        <f>'[21]Kế hoạch số người - thời gian'!D12</f>
        <v>9</v>
      </c>
      <c r="H365" s="214">
        <f>'[21]Kế hoạch số người - thời gian'!E12</f>
        <v>9</v>
      </c>
      <c r="I365" s="214">
        <f>'[21]Kế hoạch số người - thời gian'!F12</f>
        <v>9</v>
      </c>
      <c r="J365" s="214">
        <f>'[21]Kế hoạch số người - thời gian'!G12</f>
        <v>9</v>
      </c>
      <c r="K365" s="214">
        <f>'[21]Kế hoạch số người - thời gian'!H12</f>
        <v>9</v>
      </c>
      <c r="L365" s="214">
        <f>'[21]Kế hoạch số người - thời gian'!I12</f>
        <v>9</v>
      </c>
      <c r="M365" s="214">
        <f>'[21]Kế hoạch số người - thời gian'!J12</f>
        <v>9</v>
      </c>
      <c r="N365" s="214">
        <f>'[21]Kế hoạch số người - thời gian'!K12</f>
        <v>9</v>
      </c>
      <c r="O365" s="214">
        <f>'[21]Kế hoạch số người - thời gian'!L12</f>
        <v>9</v>
      </c>
      <c r="P365" s="214">
        <f>'[21]Kế hoạch số người - thời gian'!M12</f>
        <v>9</v>
      </c>
      <c r="Q365" s="214">
        <f>'[21]Kế hoạch số người - thời gian'!N12</f>
        <v>9</v>
      </c>
    </row>
    <row r="366" spans="1:17" ht="14.5" hidden="1" thickBot="1">
      <c r="A366">
        <f>'[21]Kế hoạch số người - thời gian'!$A$5</f>
        <v>1412000044</v>
      </c>
      <c r="B366" t="str">
        <f>'[21]Kế hoạch số người - thời gian'!$B$5</f>
        <v>Phòng kỹ thuật khuôn</v>
      </c>
      <c r="C366" s="185" t="s">
        <v>3</v>
      </c>
      <c r="D366" s="193"/>
      <c r="E366" s="194" t="s">
        <v>138</v>
      </c>
      <c r="F366" s="214">
        <f>'[21]Kế hoạch số người - thời gian'!C13</f>
        <v>32</v>
      </c>
      <c r="G366" s="214">
        <f>'[21]Kế hoạch số người - thời gian'!D13</f>
        <v>32</v>
      </c>
      <c r="H366" s="214">
        <f>'[21]Kế hoạch số người - thời gian'!E13</f>
        <v>32</v>
      </c>
      <c r="I366" s="214">
        <f>'[21]Kế hoạch số người - thời gian'!F13</f>
        <v>32</v>
      </c>
      <c r="J366" s="214">
        <f>'[21]Kế hoạch số người - thời gian'!G13</f>
        <v>32</v>
      </c>
      <c r="K366" s="214">
        <f>'[21]Kế hoạch số người - thời gian'!H13</f>
        <v>32</v>
      </c>
      <c r="L366" s="214">
        <f>'[21]Kế hoạch số người - thời gian'!I13</f>
        <v>32</v>
      </c>
      <c r="M366" s="214">
        <f>'[21]Kế hoạch số người - thời gian'!J13</f>
        <v>32</v>
      </c>
      <c r="N366" s="214">
        <f>'[21]Kế hoạch số người - thời gian'!K13</f>
        <v>32</v>
      </c>
      <c r="O366" s="214">
        <f>'[21]Kế hoạch số người - thời gian'!L13</f>
        <v>32</v>
      </c>
      <c r="P366" s="214">
        <f>'[21]Kế hoạch số người - thời gian'!M13</f>
        <v>32</v>
      </c>
      <c r="Q366" s="214">
        <f>'[21]Kế hoạch số người - thời gian'!N13</f>
        <v>32</v>
      </c>
    </row>
    <row r="367" spans="1:17" ht="14.5" hidden="1" thickBot="1">
      <c r="A367">
        <f>'[21]Kế hoạch số người - thời gian'!$A$5</f>
        <v>1412000044</v>
      </c>
      <c r="B367" t="str">
        <f>'[21]Kế hoạch số người - thời gian'!$B$5</f>
        <v>Phòng kỹ thuật khuôn</v>
      </c>
      <c r="C367" s="185" t="s">
        <v>3</v>
      </c>
      <c r="D367" s="195" t="s">
        <v>196</v>
      </c>
      <c r="E367" s="196"/>
      <c r="F367" s="214">
        <f>'[21]Kế hoạch số người - thời gian'!C14</f>
        <v>34</v>
      </c>
      <c r="G367" s="214">
        <f>'[21]Kế hoạch số người - thời gian'!D14</f>
        <v>34</v>
      </c>
      <c r="H367" s="214">
        <f>'[21]Kế hoạch số người - thời gian'!E14</f>
        <v>34</v>
      </c>
      <c r="I367" s="214">
        <f>'[21]Kế hoạch số người - thời gian'!F14</f>
        <v>34</v>
      </c>
      <c r="J367" s="214">
        <f>'[21]Kế hoạch số người - thời gian'!G14</f>
        <v>34</v>
      </c>
      <c r="K367" s="214">
        <f>'[21]Kế hoạch số người - thời gian'!H14</f>
        <v>34</v>
      </c>
      <c r="L367" s="214">
        <f>'[21]Kế hoạch số người - thời gian'!I14</f>
        <v>34</v>
      </c>
      <c r="M367" s="214">
        <f>'[21]Kế hoạch số người - thời gian'!J14</f>
        <v>34</v>
      </c>
      <c r="N367" s="214">
        <f>'[21]Kế hoạch số người - thời gian'!K14</f>
        <v>34</v>
      </c>
      <c r="O367" s="214">
        <f>'[21]Kế hoạch số người - thời gian'!L14</f>
        <v>34</v>
      </c>
      <c r="P367" s="214">
        <f>'[21]Kế hoạch số người - thời gian'!M14</f>
        <v>34</v>
      </c>
      <c r="Q367" s="214">
        <f>'[21]Kế hoạch số người - thời gian'!N14</f>
        <v>34</v>
      </c>
    </row>
    <row r="368" spans="1:17" ht="14.5" hidden="1" thickBot="1">
      <c r="A368">
        <f>'[21]Kế hoạch số người - thời gian'!$A$5</f>
        <v>1412000044</v>
      </c>
      <c r="B368" t="str">
        <f>'[21]Kế hoạch số người - thời gian'!$B$5</f>
        <v>Phòng kỹ thuật khuôn</v>
      </c>
      <c r="D368" s="197"/>
      <c r="E368" s="197"/>
    </row>
    <row r="369" spans="1:17" ht="14.5" hidden="1" thickBot="1">
      <c r="A369">
        <f>'[21]Kế hoạch số người - thời gian'!$A$5</f>
        <v>1412000044</v>
      </c>
      <c r="B369" t="str">
        <f>'[21]Kế hoạch số người - thời gian'!$B$5</f>
        <v>Phòng kỹ thuật khuôn</v>
      </c>
      <c r="C369" s="185" t="s">
        <v>202</v>
      </c>
      <c r="D369" s="185" t="s">
        <v>202</v>
      </c>
      <c r="E369" s="186"/>
    </row>
    <row r="370" spans="1:17" ht="14.5" hidden="1" thickBot="1">
      <c r="A370">
        <f>'[21]Kế hoạch số người - thời gian'!$A$5</f>
        <v>1412000044</v>
      </c>
      <c r="B370" t="str">
        <f>'[21]Kế hoạch số người - thời gian'!$B$5</f>
        <v>Phòng kỹ thuật khuôn</v>
      </c>
      <c r="C370" s="185" t="s">
        <v>202</v>
      </c>
      <c r="D370" s="198" t="s">
        <v>194</v>
      </c>
      <c r="E370" s="199"/>
      <c r="F370" s="182">
        <f>'[21]Kế hoạch số người - thời gian'!C17</f>
        <v>340</v>
      </c>
      <c r="G370" s="182">
        <f>'[21]Kế hoạch số người - thời gian'!D17</f>
        <v>323</v>
      </c>
      <c r="H370" s="182">
        <f>'[21]Kế hoạch số người - thời gian'!E17</f>
        <v>357</v>
      </c>
      <c r="I370" s="182">
        <f>'[21]Kế hoạch số người - thời gian'!F17</f>
        <v>391</v>
      </c>
      <c r="J370" s="182">
        <f>'[21]Kế hoạch số người - thời gian'!G17</f>
        <v>255</v>
      </c>
      <c r="K370" s="182">
        <f>'[21]Kế hoạch số người - thời gian'!H17</f>
        <v>323</v>
      </c>
      <c r="L370" s="182">
        <f>'[21]Kế hoạch số người - thời gian'!I17</f>
        <v>391</v>
      </c>
      <c r="M370" s="182">
        <f>'[21]Kế hoạch số người - thời gian'!J17</f>
        <v>340</v>
      </c>
      <c r="N370" s="182">
        <f>'[21]Kế hoạch số người - thời gian'!K17</f>
        <v>374</v>
      </c>
      <c r="O370" s="182">
        <f>'[21]Kế hoạch số người - thời gian'!L17</f>
        <v>340</v>
      </c>
      <c r="P370" s="182">
        <f>'[21]Kế hoạch số người - thời gian'!M17</f>
        <v>170</v>
      </c>
      <c r="Q370" s="182">
        <f>'[21]Kế hoạch số người - thời gian'!N17</f>
        <v>340</v>
      </c>
    </row>
    <row r="371" spans="1:17" ht="14.5" hidden="1" thickBot="1">
      <c r="A371">
        <f>'[21]Kế hoạch số người - thời gian'!$A$5</f>
        <v>1412000044</v>
      </c>
      <c r="B371" t="str">
        <f>'[21]Kế hoạch số người - thời gian'!$B$5</f>
        <v>Phòng kỹ thuật khuôn</v>
      </c>
      <c r="C371" s="185" t="s">
        <v>202</v>
      </c>
      <c r="D371" s="200"/>
      <c r="E371" s="190" t="s">
        <v>139</v>
      </c>
      <c r="F371" s="182">
        <f>'[21]Kế hoạch số người - thời gian'!C18</f>
        <v>3658</v>
      </c>
      <c r="G371" s="182">
        <f>'[21]Kế hoạch số người - thời gian'!D18</f>
        <v>3393</v>
      </c>
      <c r="H371" s="182">
        <f>'[21]Kế hoạch số người - thời gian'!E18</f>
        <v>3760</v>
      </c>
      <c r="I371" s="182">
        <f>'[21]Kế hoạch số người - thời gian'!F18</f>
        <v>4127</v>
      </c>
      <c r="J371" s="182">
        <f>'[21]Kế hoạch số người - thời gian'!G18</f>
        <v>3666.5</v>
      </c>
      <c r="K371" s="182">
        <f>'[21]Kế hoạch số người - thời gian'!H18</f>
        <v>3376</v>
      </c>
      <c r="L371" s="182">
        <f>'[21]Kế hoạch số người - thời gian'!I18</f>
        <v>4127</v>
      </c>
      <c r="M371" s="182">
        <f>'[21]Kế hoạch số người - thời gian'!J18</f>
        <v>3666.5</v>
      </c>
      <c r="N371" s="182">
        <f>'[21]Kế hoạch số người - thời gian'!K18</f>
        <v>3943.5</v>
      </c>
      <c r="O371" s="182">
        <f>'[21]Kế hoạch số người - thời gian'!L18</f>
        <v>3576.5</v>
      </c>
      <c r="P371" s="182">
        <f>'[21]Kế hoạch số người - thời gian'!M18</f>
        <v>2642</v>
      </c>
      <c r="Q371" s="182">
        <f>'[21]Kế hoạch số người - thời gian'!N18</f>
        <v>3568</v>
      </c>
    </row>
    <row r="372" spans="1:17" ht="14.5" thickBot="1">
      <c r="A372">
        <f>'[21]Kế hoạch số người - thời gian'!$A$5</f>
        <v>1412000044</v>
      </c>
      <c r="B372" t="str">
        <f>'[21]Kế hoạch số người - thời gian'!$B$5</f>
        <v>Phòng kỹ thuật khuôn</v>
      </c>
      <c r="C372" s="185" t="s">
        <v>202</v>
      </c>
      <c r="D372" s="201" t="s">
        <v>195</v>
      </c>
      <c r="E372" s="192" t="s">
        <v>140</v>
      </c>
      <c r="F372" s="182">
        <f>'[21]Kế hoạch số người - thời gian'!C19</f>
        <v>1425.5</v>
      </c>
      <c r="G372" s="182">
        <f>'[21]Kế hoạch số người - thời gian'!D19</f>
        <v>1303.5</v>
      </c>
      <c r="H372" s="182">
        <f>'[21]Kế hoạch số người - thời gian'!E19</f>
        <v>1442.5</v>
      </c>
      <c r="I372" s="182">
        <f>'[21]Kế hoạch số người - thời gian'!F19</f>
        <v>1581.5</v>
      </c>
      <c r="J372" s="182">
        <f>'[21]Kế hoạch số người - thời gian'!G19</f>
        <v>1425.5</v>
      </c>
      <c r="K372" s="182">
        <f>'[21]Kế hoạch số người - thời gian'!H19</f>
        <v>1303.5</v>
      </c>
      <c r="L372" s="182">
        <f>'[21]Kế hoạch số người - thời gian'!I19</f>
        <v>1581.5</v>
      </c>
      <c r="M372" s="182">
        <f>'[21]Kế hoạch số người - thời gian'!J19</f>
        <v>1425.5</v>
      </c>
      <c r="N372" s="182">
        <f>'[21]Kế hoạch số người - thời gian'!K19</f>
        <v>1512</v>
      </c>
      <c r="O372" s="182">
        <f>'[21]Kế hoạch số người - thời gian'!L19</f>
        <v>1373</v>
      </c>
      <c r="P372" s="182">
        <f>'[21]Kế hoạch số người - thời gian'!M19</f>
        <v>1025.5</v>
      </c>
      <c r="Q372" s="182">
        <f>'[21]Kế hoạch số người - thời gian'!N19</f>
        <v>1373</v>
      </c>
    </row>
    <row r="373" spans="1:17" ht="14.5" hidden="1" thickBot="1">
      <c r="A373">
        <f>'[21]Kế hoạch số người - thời gian'!$A$5</f>
        <v>1412000044</v>
      </c>
      <c r="B373" t="str">
        <f>'[21]Kế hoạch số người - thời gian'!$B$5</f>
        <v>Phòng kỹ thuật khuôn</v>
      </c>
      <c r="C373" s="185" t="s">
        <v>202</v>
      </c>
      <c r="D373" s="202"/>
      <c r="E373" s="203" t="s">
        <v>138</v>
      </c>
      <c r="F373" s="182">
        <f>'[21]Kế hoạch số người - thời gian'!C20</f>
        <v>5083.5</v>
      </c>
      <c r="G373" s="182">
        <f>'[21]Kế hoạch số người - thời gian'!D20</f>
        <v>4696.5</v>
      </c>
      <c r="H373" s="182">
        <f>'[21]Kế hoạch số người - thời gian'!E20</f>
        <v>5202.5</v>
      </c>
      <c r="I373" s="182">
        <f>'[21]Kế hoạch số người - thời gian'!F20</f>
        <v>5708.5</v>
      </c>
      <c r="J373" s="182">
        <f>'[21]Kế hoạch số người - thời gian'!G20</f>
        <v>5092</v>
      </c>
      <c r="K373" s="182">
        <f>'[21]Kế hoạch số người - thời gian'!H20</f>
        <v>4679.5</v>
      </c>
      <c r="L373" s="182">
        <f>'[21]Kế hoạch số người - thời gian'!I20</f>
        <v>5708.5</v>
      </c>
      <c r="M373" s="182">
        <f>'[21]Kế hoạch số người - thời gian'!J20</f>
        <v>5092</v>
      </c>
      <c r="N373" s="182">
        <f>'[21]Kế hoạch số người - thời gian'!K20</f>
        <v>5455.5</v>
      </c>
      <c r="O373" s="182">
        <f>'[21]Kế hoạch số người - thời gian'!L20</f>
        <v>4949.5</v>
      </c>
      <c r="P373" s="182">
        <f>'[21]Kế hoạch số người - thời gian'!M20</f>
        <v>3667.5</v>
      </c>
      <c r="Q373" s="182">
        <f>'[21]Kế hoạch số người - thời gian'!N20</f>
        <v>4941</v>
      </c>
    </row>
    <row r="374" spans="1:17" ht="14.5" hidden="1" thickBot="1">
      <c r="A374">
        <f>'[21]Kế hoạch số người - thời gian'!$A$5</f>
        <v>1412000044</v>
      </c>
      <c r="B374" t="str">
        <f>'[21]Kế hoạch số người - thời gian'!$B$5</f>
        <v>Phòng kỹ thuật khuôn</v>
      </c>
      <c r="C374" s="185" t="s">
        <v>202</v>
      </c>
      <c r="D374" s="204" t="s">
        <v>215</v>
      </c>
      <c r="E374" s="205"/>
      <c r="F374" s="182">
        <f>'[21]Kế hoạch số người - thời gian'!C21</f>
        <v>5423.5</v>
      </c>
      <c r="G374" s="182">
        <f>'[21]Kế hoạch số người - thời gian'!D21</f>
        <v>5019.5</v>
      </c>
      <c r="H374" s="182">
        <f>'[21]Kế hoạch số người - thời gian'!E21</f>
        <v>5559.5</v>
      </c>
      <c r="I374" s="182">
        <f>'[21]Kế hoạch số người - thời gian'!F21</f>
        <v>6099.5</v>
      </c>
      <c r="J374" s="182">
        <f>'[21]Kế hoạch số người - thời gian'!G21</f>
        <v>5347</v>
      </c>
      <c r="K374" s="182">
        <f>'[21]Kế hoạch số người - thời gian'!H21</f>
        <v>5002.5</v>
      </c>
      <c r="L374" s="182">
        <f>'[21]Kế hoạch số người - thời gian'!I21</f>
        <v>6099.5</v>
      </c>
      <c r="M374" s="182">
        <f>'[21]Kế hoạch số người - thời gian'!J21</f>
        <v>5432</v>
      </c>
      <c r="N374" s="182">
        <f>'[21]Kế hoạch số người - thời gian'!K21</f>
        <v>5829.5</v>
      </c>
      <c r="O374" s="182">
        <f>'[21]Kế hoạch số người - thời gian'!L21</f>
        <v>5289.5</v>
      </c>
      <c r="P374" s="182">
        <f>'[21]Kế hoạch số người - thời gian'!M21</f>
        <v>3837.5</v>
      </c>
      <c r="Q374" s="182">
        <f>'[21]Kế hoạch số người - thời gian'!N21</f>
        <v>5281</v>
      </c>
    </row>
    <row r="375" spans="1:17" ht="14.5" hidden="1" thickBot="1">
      <c r="A375">
        <f>'[21]Kế hoạch số người - thời gian'!$A$5</f>
        <v>1412000044</v>
      </c>
      <c r="B375" t="str">
        <f>'[21]Kế hoạch số người - thời gian'!$B$5</f>
        <v>Phòng kỹ thuật khuôn</v>
      </c>
      <c r="D375" s="197"/>
      <c r="E375" s="197"/>
    </row>
    <row r="376" spans="1:17" ht="14.5" hidden="1" thickBot="1">
      <c r="A376">
        <f>'[21]Kế hoạch số người - thời gian'!$A$5</f>
        <v>1412000044</v>
      </c>
      <c r="B376" t="str">
        <f>'[21]Kế hoạch số người - thời gian'!$B$5</f>
        <v>Phòng kỹ thuật khuôn</v>
      </c>
      <c r="C376" s="185" t="s">
        <v>71</v>
      </c>
      <c r="D376" s="185" t="s">
        <v>71</v>
      </c>
      <c r="E376" s="186"/>
    </row>
    <row r="377" spans="1:17" ht="14.5" hidden="1" thickBot="1">
      <c r="A377">
        <f>'[21]Kế hoạch số người - thời gian'!$A$5</f>
        <v>1412000044</v>
      </c>
      <c r="B377" t="str">
        <f>'[21]Kế hoạch số người - thời gian'!$B$5</f>
        <v>Phòng kỹ thuật khuôn</v>
      </c>
      <c r="C377" s="185" t="s">
        <v>71</v>
      </c>
      <c r="D377" s="198" t="s">
        <v>194</v>
      </c>
      <c r="E377" s="199"/>
      <c r="F377" s="182">
        <f>'[21]Kế hoạch số người - thời gian'!C24</f>
        <v>80</v>
      </c>
      <c r="G377" s="182">
        <f>'[21]Kế hoạch số người - thời gian'!D24</f>
        <v>76</v>
      </c>
      <c r="H377" s="182">
        <f>'[21]Kế hoạch số người - thời gian'!E24</f>
        <v>84</v>
      </c>
      <c r="I377" s="182">
        <f>'[21]Kế hoạch số người - thời gian'!F24</f>
        <v>92</v>
      </c>
      <c r="J377" s="182">
        <f>'[21]Kế hoạch số người - thời gian'!G24</f>
        <v>60</v>
      </c>
      <c r="K377" s="182">
        <f>'[21]Kế hoạch số người - thời gian'!H24</f>
        <v>76</v>
      </c>
      <c r="L377" s="182">
        <f>'[21]Kế hoạch số người - thời gian'!I24</f>
        <v>92</v>
      </c>
      <c r="M377" s="182">
        <f>'[21]Kế hoạch số người - thời gian'!J24</f>
        <v>80</v>
      </c>
      <c r="N377" s="182">
        <f>'[21]Kế hoạch số người - thời gian'!K24</f>
        <v>88</v>
      </c>
      <c r="O377" s="182">
        <f>'[21]Kế hoạch số người - thời gian'!L24</f>
        <v>80</v>
      </c>
      <c r="P377" s="182">
        <f>'[21]Kế hoạch số người - thời gian'!M24</f>
        <v>40</v>
      </c>
      <c r="Q377" s="182">
        <f>'[21]Kế hoạch số người - thời gian'!N24</f>
        <v>80</v>
      </c>
    </row>
    <row r="378" spans="1:17" ht="14.5" hidden="1" thickBot="1">
      <c r="A378">
        <f>'[21]Kế hoạch số người - thời gian'!$A$5</f>
        <v>1412000044</v>
      </c>
      <c r="B378" t="str">
        <f>'[21]Kế hoạch số người - thời gian'!$B$5</f>
        <v>Phòng kỹ thuật khuôn</v>
      </c>
      <c r="C378" s="185" t="s">
        <v>71</v>
      </c>
      <c r="D378" s="200"/>
      <c r="E378" s="206" t="s">
        <v>139</v>
      </c>
      <c r="F378" s="182">
        <f>'[21]Kế hoạch số người - thời gian'!C25</f>
        <v>230</v>
      </c>
      <c r="G378" s="182">
        <f>'[21]Kế hoạch số người - thời gian'!D25</f>
        <v>226</v>
      </c>
      <c r="H378" s="182">
        <f>'[21]Kế hoạch số người - thời gian'!E25</f>
        <v>234</v>
      </c>
      <c r="I378" s="182">
        <f>'[21]Kế hoạch số người - thời gian'!F25</f>
        <v>392</v>
      </c>
      <c r="J378" s="182">
        <f>'[21]Kế hoạch số người - thời gian'!G25</f>
        <v>230</v>
      </c>
      <c r="K378" s="182">
        <f>'[21]Kế hoạch số người - thời gian'!H25</f>
        <v>226</v>
      </c>
      <c r="L378" s="182">
        <f>'[21]Kế hoạch số người - thời gian'!I25</f>
        <v>392</v>
      </c>
      <c r="M378" s="182">
        <f>'[21]Kế hoạch số người - thời gian'!J25</f>
        <v>404</v>
      </c>
      <c r="N378" s="182">
        <f>'[21]Kế hoạch số người - thời gian'!K25</f>
        <v>238</v>
      </c>
      <c r="O378" s="182">
        <f>'[21]Kế hoạch số người - thời gian'!L25</f>
        <v>230</v>
      </c>
      <c r="P378" s="182">
        <f>'[21]Kế hoạch số người - thời gian'!M25</f>
        <v>360</v>
      </c>
      <c r="Q378" s="182">
        <f>'[21]Kế hoạch số người - thời gian'!N25</f>
        <v>380</v>
      </c>
    </row>
    <row r="379" spans="1:17" ht="14.5" thickBot="1">
      <c r="A379">
        <f>'[21]Kế hoạch số người - thời gian'!$A$5</f>
        <v>1412000044</v>
      </c>
      <c r="B379" t="str">
        <f>'[21]Kế hoạch số người - thời gian'!$B$5</f>
        <v>Phòng kỹ thuật khuôn</v>
      </c>
      <c r="C379" s="185" t="s">
        <v>71</v>
      </c>
      <c r="D379" s="201" t="s">
        <v>195</v>
      </c>
      <c r="E379" s="207" t="s">
        <v>140</v>
      </c>
      <c r="F379" s="182">
        <f>'[21]Kế hoạch số người - thời gian'!C26</f>
        <v>100</v>
      </c>
      <c r="G379" s="182">
        <f>'[21]Kế hoạch số người - thời gian'!D26</f>
        <v>100</v>
      </c>
      <c r="H379" s="182">
        <f>'[21]Kế hoạch số người - thời gian'!E26</f>
        <v>100</v>
      </c>
      <c r="I379" s="182">
        <f>'[21]Kế hoạch số người - thời gian'!F26</f>
        <v>100</v>
      </c>
      <c r="J379" s="182">
        <f>'[21]Kế hoạch số người - thời gian'!G26</f>
        <v>100</v>
      </c>
      <c r="K379" s="182">
        <f>'[21]Kế hoạch số người - thời gian'!H26</f>
        <v>100</v>
      </c>
      <c r="L379" s="182">
        <f>'[21]Kế hoạch số người - thời gian'!I26</f>
        <v>100</v>
      </c>
      <c r="M379" s="182">
        <f>'[21]Kế hoạch số người - thời gian'!J26</f>
        <v>114</v>
      </c>
      <c r="N379" s="182">
        <f>'[21]Kế hoạch số người - thời gian'!K26</f>
        <v>106</v>
      </c>
      <c r="O379" s="182">
        <f>'[21]Kế hoạch số người - thời gian'!L26</f>
        <v>100</v>
      </c>
      <c r="P379" s="182">
        <f>'[21]Kế hoạch số người - thời gian'!M26</f>
        <v>100</v>
      </c>
      <c r="Q379" s="182">
        <f>'[21]Kế hoạch số người - thời gian'!N26</f>
        <v>100</v>
      </c>
    </row>
    <row r="380" spans="1:17" ht="14.5" hidden="1" thickBot="1">
      <c r="A380">
        <f>'[21]Kế hoạch số người - thời gian'!$A$5</f>
        <v>1412000044</v>
      </c>
      <c r="B380" t="str">
        <f>'[21]Kế hoạch số người - thời gian'!$B$5</f>
        <v>Phòng kỹ thuật khuôn</v>
      </c>
      <c r="C380" s="185" t="s">
        <v>71</v>
      </c>
      <c r="D380" s="202"/>
      <c r="E380" s="203" t="s">
        <v>138</v>
      </c>
      <c r="F380" s="182">
        <f>'[21]Kế hoạch số người - thời gian'!C27</f>
        <v>330</v>
      </c>
      <c r="G380" s="182">
        <f>'[21]Kế hoạch số người - thời gian'!D27</f>
        <v>326</v>
      </c>
      <c r="H380" s="182">
        <f>'[21]Kế hoạch số người - thời gian'!E27</f>
        <v>334</v>
      </c>
      <c r="I380" s="182">
        <f>'[21]Kế hoạch số người - thời gian'!F27</f>
        <v>492</v>
      </c>
      <c r="J380" s="182">
        <f>'[21]Kế hoạch số người - thời gian'!G27</f>
        <v>330</v>
      </c>
      <c r="K380" s="182">
        <f>'[21]Kế hoạch số người - thời gian'!H27</f>
        <v>326</v>
      </c>
      <c r="L380" s="182">
        <f>'[21]Kế hoạch số người - thời gian'!I27</f>
        <v>492</v>
      </c>
      <c r="M380" s="182">
        <f>'[21]Kế hoạch số người - thời gian'!J27</f>
        <v>518</v>
      </c>
      <c r="N380" s="182">
        <f>'[21]Kế hoạch số người - thời gian'!K27</f>
        <v>344</v>
      </c>
      <c r="O380" s="182">
        <f>'[21]Kế hoạch số người - thời gian'!L27</f>
        <v>330</v>
      </c>
      <c r="P380" s="182">
        <f>'[21]Kế hoạch số người - thời gian'!M27</f>
        <v>460</v>
      </c>
      <c r="Q380" s="182">
        <f>'[21]Kế hoạch số người - thời gian'!N27</f>
        <v>480</v>
      </c>
    </row>
    <row r="381" spans="1:17" ht="14.5" hidden="1" thickBot="1">
      <c r="A381">
        <f>'[21]Kế hoạch số người - thời gian'!$A$5</f>
        <v>1412000044</v>
      </c>
      <c r="B381" t="str">
        <f>'[21]Kế hoạch số người - thời gian'!$B$5</f>
        <v>Phòng kỹ thuật khuôn</v>
      </c>
      <c r="C381" s="185" t="s">
        <v>71</v>
      </c>
      <c r="D381" s="204" t="s">
        <v>216</v>
      </c>
      <c r="E381" s="205"/>
      <c r="F381" s="182">
        <f>'[21]Kế hoạch số người - thời gian'!C28</f>
        <v>410</v>
      </c>
      <c r="G381" s="182">
        <f>'[21]Kế hoạch số người - thời gian'!D28</f>
        <v>402</v>
      </c>
      <c r="H381" s="182">
        <f>'[21]Kế hoạch số người - thời gian'!E28</f>
        <v>418</v>
      </c>
      <c r="I381" s="182">
        <f>'[21]Kế hoạch số người - thời gian'!F28</f>
        <v>584</v>
      </c>
      <c r="J381" s="182">
        <f>'[21]Kế hoạch số người - thời gian'!G28</f>
        <v>390</v>
      </c>
      <c r="K381" s="182">
        <f>'[21]Kế hoạch số người - thời gian'!H28</f>
        <v>402</v>
      </c>
      <c r="L381" s="182">
        <f>'[21]Kế hoạch số người - thời gian'!I28</f>
        <v>584</v>
      </c>
      <c r="M381" s="182">
        <f>'[21]Kế hoạch số người - thời gian'!J28</f>
        <v>598</v>
      </c>
      <c r="N381" s="182">
        <f>'[21]Kế hoạch số người - thời gian'!K28</f>
        <v>432</v>
      </c>
      <c r="O381" s="182">
        <f>'[21]Kế hoạch số người - thời gian'!L28</f>
        <v>410</v>
      </c>
      <c r="P381" s="182">
        <f>'[21]Kế hoạch số người - thời gian'!M28</f>
        <v>500</v>
      </c>
      <c r="Q381" s="182">
        <f>'[21]Kế hoạch số người - thời gian'!N28</f>
        <v>560</v>
      </c>
    </row>
    <row r="382" spans="1:17" ht="14.5" hidden="1" thickBot="1">
      <c r="A382">
        <f>[6]人員・時間計画!$A$5</f>
        <v>1412000056</v>
      </c>
      <c r="B382" t="str">
        <f>[6]人員・時間計画!$B$5</f>
        <v>部品製造課</v>
      </c>
      <c r="C382" s="185" t="s">
        <v>3</v>
      </c>
      <c r="D382" s="185" t="s">
        <v>3</v>
      </c>
      <c r="E382" s="186"/>
    </row>
    <row r="383" spans="1:17" ht="14.5" hidden="1" thickBot="1">
      <c r="A383">
        <f>[6]人員・時間計画!$A$5</f>
        <v>1412000056</v>
      </c>
      <c r="B383" t="str">
        <f>[6]人員・時間計画!$B$5</f>
        <v>部品製造課</v>
      </c>
      <c r="C383" s="185" t="s">
        <v>3</v>
      </c>
      <c r="D383" s="187" t="s">
        <v>194</v>
      </c>
      <c r="E383" s="188"/>
      <c r="F383" s="214">
        <f>[6]人員・時間計画!C10</f>
        <v>1</v>
      </c>
      <c r="G383" s="214">
        <f>[6]人員・時間計画!D10</f>
        <v>1</v>
      </c>
      <c r="H383" s="214">
        <f>[6]人員・時間計画!E10</f>
        <v>1</v>
      </c>
      <c r="I383" s="214">
        <f>[6]人員・時間計画!F10</f>
        <v>1</v>
      </c>
      <c r="J383" s="214">
        <f>[6]人員・時間計画!G10</f>
        <v>1</v>
      </c>
      <c r="K383" s="214">
        <f>[6]人員・時間計画!H10</f>
        <v>1</v>
      </c>
      <c r="L383" s="214">
        <f>[6]人員・時間計画!I10</f>
        <v>1</v>
      </c>
      <c r="M383" s="214">
        <f>[6]人員・時間計画!J10</f>
        <v>1</v>
      </c>
      <c r="N383" s="214">
        <f>[6]人員・時間計画!K10</f>
        <v>1</v>
      </c>
      <c r="O383" s="214">
        <f>[6]人員・時間計画!L10</f>
        <v>1</v>
      </c>
      <c r="P383" s="214">
        <f>[6]人員・時間計画!M10</f>
        <v>1</v>
      </c>
      <c r="Q383" s="214">
        <f>[6]人員・時間計画!N10</f>
        <v>1</v>
      </c>
    </row>
    <row r="384" spans="1:17" ht="14.5" hidden="1" thickBot="1">
      <c r="A384">
        <f>[6]人員・時間計画!$A$5</f>
        <v>1412000056</v>
      </c>
      <c r="B384" t="str">
        <f>[6]人員・時間計画!$B$5</f>
        <v>部品製造課</v>
      </c>
      <c r="C384" s="185" t="s">
        <v>3</v>
      </c>
      <c r="D384" s="189"/>
      <c r="E384" s="190" t="s">
        <v>139</v>
      </c>
      <c r="F384" s="214">
        <f>[6]人員・時間計画!C11</f>
        <v>16</v>
      </c>
      <c r="G384" s="214">
        <f>[6]人員・時間計画!D11</f>
        <v>16</v>
      </c>
      <c r="H384" s="214">
        <f>[6]人員・時間計画!E11</f>
        <v>16</v>
      </c>
      <c r="I384" s="214">
        <f>[6]人員・時間計画!F11</f>
        <v>16</v>
      </c>
      <c r="J384" s="214">
        <f>[6]人員・時間計画!G11</f>
        <v>16</v>
      </c>
      <c r="K384" s="214">
        <f>[6]人員・時間計画!H11</f>
        <v>16</v>
      </c>
      <c r="L384" s="214">
        <f>[6]人員・時間計画!I11</f>
        <v>16</v>
      </c>
      <c r="M384" s="214">
        <f>[6]人員・時間計画!J11</f>
        <v>16</v>
      </c>
      <c r="N384" s="214">
        <f>[6]人員・時間計画!K11</f>
        <v>16</v>
      </c>
      <c r="O384" s="214">
        <f>[6]人員・時間計画!L11</f>
        <v>16</v>
      </c>
      <c r="P384" s="214">
        <f>[6]人員・時間計画!M11</f>
        <v>16</v>
      </c>
      <c r="Q384" s="214">
        <f>[6]人員・時間計画!N11</f>
        <v>16</v>
      </c>
    </row>
    <row r="385" spans="1:17" ht="14.5" thickBot="1">
      <c r="A385">
        <f>[6]人員・時間計画!$A$5</f>
        <v>1412000056</v>
      </c>
      <c r="B385" t="str">
        <f>[6]人員・時間計画!$B$5</f>
        <v>部品製造課</v>
      </c>
      <c r="C385" s="185" t="s">
        <v>3</v>
      </c>
      <c r="D385" s="191" t="s">
        <v>195</v>
      </c>
      <c r="E385" s="192" t="s">
        <v>140</v>
      </c>
      <c r="F385" s="214">
        <f>[6]人員・時間計画!C12</f>
        <v>125</v>
      </c>
      <c r="G385" s="214">
        <f>[6]人員・時間計画!D12</f>
        <v>125</v>
      </c>
      <c r="H385" s="214">
        <f>[6]人員・時間計画!E12</f>
        <v>125</v>
      </c>
      <c r="I385" s="214">
        <f>[6]人員・時間計画!F12</f>
        <v>125</v>
      </c>
      <c r="J385" s="214">
        <f>[6]人員・時間計画!G12</f>
        <v>125</v>
      </c>
      <c r="K385" s="214">
        <f>[6]人員・時間計画!H12</f>
        <v>125</v>
      </c>
      <c r="L385" s="214">
        <f>[6]人員・時間計画!I12</f>
        <v>125</v>
      </c>
      <c r="M385" s="214">
        <f>[6]人員・時間計画!J12</f>
        <v>125</v>
      </c>
      <c r="N385" s="214">
        <f>[6]人員・時間計画!K12</f>
        <v>125</v>
      </c>
      <c r="O385" s="214">
        <f>[6]人員・時間計画!L12</f>
        <v>125</v>
      </c>
      <c r="P385" s="214">
        <f>[6]人員・時間計画!M12</f>
        <v>125</v>
      </c>
      <c r="Q385" s="214">
        <f>[6]人員・時間計画!N12</f>
        <v>125</v>
      </c>
    </row>
    <row r="386" spans="1:17" ht="14.5" hidden="1" thickBot="1">
      <c r="A386">
        <f>[6]人員・時間計画!$A$5</f>
        <v>1412000056</v>
      </c>
      <c r="B386" t="str">
        <f>[6]人員・時間計画!$B$5</f>
        <v>部品製造課</v>
      </c>
      <c r="C386" s="185" t="s">
        <v>3</v>
      </c>
      <c r="D386" s="193"/>
      <c r="E386" s="194" t="s">
        <v>138</v>
      </c>
      <c r="F386" s="214">
        <f>[6]人員・時間計画!C13</f>
        <v>141</v>
      </c>
      <c r="G386" s="214">
        <f>[6]人員・時間計画!D13</f>
        <v>141</v>
      </c>
      <c r="H386" s="214">
        <f>[6]人員・時間計画!E13</f>
        <v>141</v>
      </c>
      <c r="I386" s="214">
        <f>[6]人員・時間計画!F13</f>
        <v>141</v>
      </c>
      <c r="J386" s="214">
        <f>[6]人員・時間計画!G13</f>
        <v>141</v>
      </c>
      <c r="K386" s="214">
        <f>[6]人員・時間計画!H13</f>
        <v>141</v>
      </c>
      <c r="L386" s="214">
        <f>[6]人員・時間計画!I13</f>
        <v>141</v>
      </c>
      <c r="M386" s="214">
        <f>[6]人員・時間計画!J13</f>
        <v>141</v>
      </c>
      <c r="N386" s="214">
        <f>[6]人員・時間計画!K13</f>
        <v>141</v>
      </c>
      <c r="O386" s="214">
        <f>[6]人員・時間計画!L13</f>
        <v>141</v>
      </c>
      <c r="P386" s="214">
        <f>[6]人員・時間計画!M13</f>
        <v>141</v>
      </c>
      <c r="Q386" s="214">
        <f>[6]人員・時間計画!N13</f>
        <v>141</v>
      </c>
    </row>
    <row r="387" spans="1:17" ht="14.5" hidden="1" thickBot="1">
      <c r="A387">
        <f>[6]人員・時間計画!$A$5</f>
        <v>1412000056</v>
      </c>
      <c r="B387" t="str">
        <f>[6]人員・時間計画!$B$5</f>
        <v>部品製造課</v>
      </c>
      <c r="C387" s="185" t="s">
        <v>3</v>
      </c>
      <c r="D387" s="195" t="s">
        <v>196</v>
      </c>
      <c r="E387" s="196"/>
      <c r="F387" s="214">
        <f>[6]人員・時間計画!C14</f>
        <v>142</v>
      </c>
      <c r="G387" s="214">
        <f>[6]人員・時間計画!D14</f>
        <v>142</v>
      </c>
      <c r="H387" s="214">
        <f>[6]人員・時間計画!E14</f>
        <v>142</v>
      </c>
      <c r="I387" s="214">
        <f>[6]人員・時間計画!F14</f>
        <v>142</v>
      </c>
      <c r="J387" s="214">
        <f>[6]人員・時間計画!G14</f>
        <v>142</v>
      </c>
      <c r="K387" s="214">
        <f>[6]人員・時間計画!H14</f>
        <v>142</v>
      </c>
      <c r="L387" s="214">
        <f>[6]人員・時間計画!I14</f>
        <v>142</v>
      </c>
      <c r="M387" s="214">
        <f>[6]人員・時間計画!J14</f>
        <v>142</v>
      </c>
      <c r="N387" s="214">
        <f>[6]人員・時間計画!K14</f>
        <v>142</v>
      </c>
      <c r="O387" s="214">
        <f>[6]人員・時間計画!L14</f>
        <v>142</v>
      </c>
      <c r="P387" s="214">
        <f>[6]人員・時間計画!M14</f>
        <v>142</v>
      </c>
      <c r="Q387" s="214">
        <f>[6]人員・時間計画!N14</f>
        <v>142</v>
      </c>
    </row>
    <row r="388" spans="1:17" ht="14.5" hidden="1" thickBot="1">
      <c r="A388">
        <f>[6]人員・時間計画!$A$5</f>
        <v>1412000056</v>
      </c>
      <c r="B388" t="str">
        <f>[6]人員・時間計画!$B$5</f>
        <v>部品製造課</v>
      </c>
      <c r="D388" s="197"/>
      <c r="E388" s="197"/>
    </row>
    <row r="389" spans="1:17" ht="14.5" hidden="1" thickBot="1">
      <c r="A389">
        <f>[6]人員・時間計画!$A$5</f>
        <v>1412000056</v>
      </c>
      <c r="B389" t="str">
        <f>[6]人員・時間計画!$B$5</f>
        <v>部品製造課</v>
      </c>
      <c r="C389" s="185" t="s">
        <v>202</v>
      </c>
      <c r="D389" s="185" t="s">
        <v>202</v>
      </c>
      <c r="E389" s="186"/>
    </row>
    <row r="390" spans="1:17" ht="14.5" hidden="1" thickBot="1">
      <c r="A390">
        <f>[6]人員・時間計画!$A$5</f>
        <v>1412000056</v>
      </c>
      <c r="B390" t="str">
        <f>[6]人員・時間計画!$B$5</f>
        <v>部品製造課</v>
      </c>
      <c r="C390" s="185" t="s">
        <v>202</v>
      </c>
      <c r="D390" s="198" t="s">
        <v>194</v>
      </c>
      <c r="E390" s="199"/>
      <c r="F390" s="215">
        <f>[6]人員・時間計画!C17</f>
        <v>161.5</v>
      </c>
      <c r="G390" s="215">
        <f>[6]人員・時間計画!D17</f>
        <v>161.5</v>
      </c>
      <c r="H390" s="215">
        <f>[6]人員・時間計画!E17</f>
        <v>170</v>
      </c>
      <c r="I390" s="215">
        <f>[6]人員・時間計画!F17</f>
        <v>153</v>
      </c>
      <c r="J390" s="215">
        <f>[6]人員・時間計画!G17</f>
        <v>170</v>
      </c>
      <c r="K390" s="215">
        <f>[6]人員・時間計画!H17</f>
        <v>153</v>
      </c>
      <c r="L390" s="215">
        <f>[6]人員・時間計画!I17</f>
        <v>195.5</v>
      </c>
      <c r="M390" s="215">
        <f>[6]人員・時間計画!J17</f>
        <v>161.5</v>
      </c>
      <c r="N390" s="215">
        <f>[6]人員・時間計画!K17</f>
        <v>187</v>
      </c>
      <c r="O390" s="215">
        <f>[6]人員・時間計画!L17</f>
        <v>161.5</v>
      </c>
      <c r="P390" s="215">
        <f>[6]人員・時間計画!M17</f>
        <v>127.5</v>
      </c>
      <c r="Q390" s="215">
        <f>[6]人員・時間計画!N17</f>
        <v>161.5</v>
      </c>
    </row>
    <row r="391" spans="1:17" ht="14.5" hidden="1" thickBot="1">
      <c r="A391">
        <f>[6]人員・時間計画!$A$5</f>
        <v>1412000056</v>
      </c>
      <c r="B391" t="str">
        <f>[6]人員・時間計画!$B$5</f>
        <v>部品製造課</v>
      </c>
      <c r="C391" s="185" t="s">
        <v>202</v>
      </c>
      <c r="D391" s="200"/>
      <c r="E391" s="190" t="s">
        <v>139</v>
      </c>
      <c r="F391" s="215">
        <f>[6]人員・時間計画!C18</f>
        <v>2556</v>
      </c>
      <c r="G391" s="215">
        <f>[6]人員・時間計画!D18</f>
        <v>2451</v>
      </c>
      <c r="H391" s="215">
        <f>[6]人員・時間計画!E18</f>
        <v>2556</v>
      </c>
      <c r="I391" s="215">
        <f>[6]人員・時間計画!F18</f>
        <v>2661</v>
      </c>
      <c r="J391" s="215">
        <f>[6]人員・時間計画!G18</f>
        <v>2556</v>
      </c>
      <c r="K391" s="215">
        <f>[6]人員・時間計画!H18</f>
        <v>2451</v>
      </c>
      <c r="L391" s="215">
        <f>[6]人員・時間計画!I18</f>
        <v>2661</v>
      </c>
      <c r="M391" s="215">
        <f>[6]人員・時間計画!J18</f>
        <v>2556</v>
      </c>
      <c r="N391" s="215">
        <f>[6]人員・時間計画!K18</f>
        <v>2609</v>
      </c>
      <c r="O391" s="215">
        <f>[6]人員・時間計画!L18</f>
        <v>2504</v>
      </c>
      <c r="P391" s="215">
        <f>[6]人員・時間計画!M18</f>
        <v>2241</v>
      </c>
      <c r="Q391" s="215">
        <f>[6]人員・時間計画!N18</f>
        <v>2504</v>
      </c>
    </row>
    <row r="392" spans="1:17" ht="14.5" thickBot="1">
      <c r="A392">
        <f>[6]人員・時間計画!$A$5</f>
        <v>1412000056</v>
      </c>
      <c r="B392" t="str">
        <f>[6]人員・時間計画!$B$5</f>
        <v>部品製造課</v>
      </c>
      <c r="C392" s="185" t="s">
        <v>202</v>
      </c>
      <c r="D392" s="201" t="s">
        <v>195</v>
      </c>
      <c r="E392" s="192" t="s">
        <v>140</v>
      </c>
      <c r="F392" s="215">
        <f>[6]人員・時間計画!C19</f>
        <v>19274</v>
      </c>
      <c r="G392" s="215">
        <f>[6]人員・時間計画!D19</f>
        <v>17784</v>
      </c>
      <c r="H392" s="215">
        <f>[6]人員・時間計画!E19</f>
        <v>19209.5</v>
      </c>
      <c r="I392" s="215">
        <f>[6]人員・時間計画!F19</f>
        <v>20956.5</v>
      </c>
      <c r="J392" s="215">
        <f>[6]人員・時間計画!G19</f>
        <v>19411.5</v>
      </c>
      <c r="K392" s="215">
        <f>[6]人員・時間計画!H19</f>
        <v>17926.5</v>
      </c>
      <c r="L392" s="215">
        <f>[6]人員・時間計画!I19</f>
        <v>21039</v>
      </c>
      <c r="M392" s="215">
        <f>[6]人員・時間計画!J19</f>
        <v>19634</v>
      </c>
      <c r="N392" s="215">
        <f>[6]人員・時間計画!K19</f>
        <v>20297</v>
      </c>
      <c r="O392" s="215">
        <f>[6]人員・時間計画!L19</f>
        <v>18992.5</v>
      </c>
      <c r="P392" s="215">
        <f>[6]人員・時間計画!M19</f>
        <v>15298.5</v>
      </c>
      <c r="Q392" s="215">
        <f>[6]人員・時間計画!N19</f>
        <v>19011.5</v>
      </c>
    </row>
    <row r="393" spans="1:17" ht="14.5" hidden="1" thickBot="1">
      <c r="A393">
        <f>[6]人員・時間計画!$A$5</f>
        <v>1412000056</v>
      </c>
      <c r="B393" t="str">
        <f>[6]人員・時間計画!$B$5</f>
        <v>部品製造課</v>
      </c>
      <c r="C393" s="185" t="s">
        <v>202</v>
      </c>
      <c r="D393" s="202"/>
      <c r="E393" s="203" t="s">
        <v>138</v>
      </c>
      <c r="F393" s="215">
        <f>[6]人員・時間計画!C20</f>
        <v>21830</v>
      </c>
      <c r="G393" s="215">
        <f>[6]人員・時間計画!D20</f>
        <v>20235</v>
      </c>
      <c r="H393" s="215">
        <f>[6]人員・時間計画!E20</f>
        <v>21765.5</v>
      </c>
      <c r="I393" s="215">
        <f>[6]人員・時間計画!F20</f>
        <v>23617.5</v>
      </c>
      <c r="J393" s="215">
        <f>[6]人員・時間計画!G20</f>
        <v>21967.5</v>
      </c>
      <c r="K393" s="215">
        <f>[6]人員・時間計画!H20</f>
        <v>20377.5</v>
      </c>
      <c r="L393" s="215">
        <f>[6]人員・時間計画!I20</f>
        <v>23700</v>
      </c>
      <c r="M393" s="215">
        <f>[6]人員・時間計画!J20</f>
        <v>22190</v>
      </c>
      <c r="N393" s="215">
        <f>[6]人員・時間計画!K20</f>
        <v>22906</v>
      </c>
      <c r="O393" s="215">
        <f>[6]人員・時間計画!L20</f>
        <v>21496.5</v>
      </c>
      <c r="P393" s="215">
        <f>[6]人員・時間計画!M20</f>
        <v>17539.5</v>
      </c>
      <c r="Q393" s="215">
        <f>[6]人員・時間計画!N20</f>
        <v>21515.5</v>
      </c>
    </row>
    <row r="394" spans="1:17" ht="14.5" hidden="1" thickBot="1">
      <c r="A394">
        <f>[6]人員・時間計画!$A$5</f>
        <v>1412000056</v>
      </c>
      <c r="B394" t="str">
        <f>[6]人員・時間計画!$B$5</f>
        <v>部品製造課</v>
      </c>
      <c r="C394" s="185" t="s">
        <v>202</v>
      </c>
      <c r="D394" s="204" t="s">
        <v>215</v>
      </c>
      <c r="E394" s="205"/>
      <c r="F394" s="215">
        <f>[6]人員・時間計画!C21</f>
        <v>21991.5</v>
      </c>
      <c r="G394" s="215">
        <f>[6]人員・時間計画!D21</f>
        <v>20396.5</v>
      </c>
      <c r="H394" s="215">
        <f>[6]人員・時間計画!E21</f>
        <v>21935.5</v>
      </c>
      <c r="I394" s="215">
        <f>[6]人員・時間計画!F21</f>
        <v>23770.5</v>
      </c>
      <c r="J394" s="215">
        <f>[6]人員・時間計画!G21</f>
        <v>22137.5</v>
      </c>
      <c r="K394" s="215">
        <f>[6]人員・時間計画!H21</f>
        <v>20530.5</v>
      </c>
      <c r="L394" s="215">
        <f>[6]人員・時間計画!I21</f>
        <v>23895.5</v>
      </c>
      <c r="M394" s="215">
        <f>[6]人員・時間計画!J21</f>
        <v>22351.5</v>
      </c>
      <c r="N394" s="215">
        <f>[6]人員・時間計画!K21</f>
        <v>23093</v>
      </c>
      <c r="O394" s="215">
        <f>[6]人員・時間計画!L21</f>
        <v>21658</v>
      </c>
      <c r="P394" s="215">
        <f>[6]人員・時間計画!M21</f>
        <v>17667</v>
      </c>
      <c r="Q394" s="215">
        <f>[6]人員・時間計画!N21</f>
        <v>21677</v>
      </c>
    </row>
    <row r="395" spans="1:17" ht="14.5" hidden="1" thickBot="1">
      <c r="A395">
        <f>[6]人員・時間計画!$A$5</f>
        <v>1412000056</v>
      </c>
      <c r="B395" t="str">
        <f>[6]人員・時間計画!$B$5</f>
        <v>部品製造課</v>
      </c>
      <c r="D395" s="197"/>
      <c r="E395" s="197"/>
    </row>
    <row r="396" spans="1:17" ht="14.5" hidden="1" thickBot="1">
      <c r="A396">
        <f>[6]人員・時間計画!$A$5</f>
        <v>1412000056</v>
      </c>
      <c r="B396" t="str">
        <f>[6]人員・時間計画!$B$5</f>
        <v>部品製造課</v>
      </c>
      <c r="C396" s="185" t="s">
        <v>71</v>
      </c>
      <c r="D396" s="185" t="s">
        <v>71</v>
      </c>
      <c r="E396" s="186"/>
    </row>
    <row r="397" spans="1:17" ht="14.5" hidden="1" thickBot="1">
      <c r="A397">
        <f>[6]人員・時間計画!$A$5</f>
        <v>1412000056</v>
      </c>
      <c r="B397" t="str">
        <f>[6]人員・時間計画!$B$5</f>
        <v>部品製造課</v>
      </c>
      <c r="C397" s="185" t="s">
        <v>71</v>
      </c>
      <c r="D397" s="198" t="s">
        <v>194</v>
      </c>
      <c r="E397" s="199"/>
      <c r="F397" s="215">
        <f>[6]人員・時間計画!C24</f>
        <v>38</v>
      </c>
      <c r="G397" s="215">
        <f>[6]人員・時間計画!D24</f>
        <v>38</v>
      </c>
      <c r="H397" s="215">
        <f>[6]人員・時間計画!E24</f>
        <v>40</v>
      </c>
      <c r="I397" s="215">
        <f>[6]人員・時間計画!F24</f>
        <v>36</v>
      </c>
      <c r="J397" s="215">
        <f>[6]人員・時間計画!G24</f>
        <v>40</v>
      </c>
      <c r="K397" s="215">
        <f>[6]人員・時間計画!H24</f>
        <v>36</v>
      </c>
      <c r="L397" s="215">
        <f>[6]人員・時間計画!I24</f>
        <v>46</v>
      </c>
      <c r="M397" s="215">
        <f>[6]人員・時間計画!J24</f>
        <v>38</v>
      </c>
      <c r="N397" s="215">
        <f>[6]人員・時間計画!K24</f>
        <v>44</v>
      </c>
      <c r="O397" s="215">
        <f>[6]人員・時間計画!L24</f>
        <v>38</v>
      </c>
      <c r="P397" s="215">
        <f>[6]人員・時間計画!M24</f>
        <v>30</v>
      </c>
      <c r="Q397" s="215">
        <f>[6]人員・時間計画!N24</f>
        <v>38</v>
      </c>
    </row>
    <row r="398" spans="1:17" ht="14.5" hidden="1" thickBot="1">
      <c r="A398">
        <f>[6]人員・時間計画!$A$5</f>
        <v>1412000056</v>
      </c>
      <c r="B398" t="str">
        <f>[6]人員・時間計画!$B$5</f>
        <v>部品製造課</v>
      </c>
      <c r="C398" s="185" t="s">
        <v>71</v>
      </c>
      <c r="D398" s="200"/>
      <c r="E398" s="206" t="s">
        <v>139</v>
      </c>
      <c r="F398" s="215">
        <f>[6]人員・時間計画!C25</f>
        <v>56</v>
      </c>
      <c r="G398" s="215">
        <f>[6]人員・時間計画!D25</f>
        <v>56</v>
      </c>
      <c r="H398" s="215">
        <f>[6]人員・時間計画!E25</f>
        <v>56</v>
      </c>
      <c r="I398" s="215">
        <f>[6]人員・時間計画!F25</f>
        <v>172</v>
      </c>
      <c r="J398" s="215">
        <f>[6]人員・時間計画!G25</f>
        <v>112</v>
      </c>
      <c r="K398" s="215">
        <f>[6]人員・時間計画!H25</f>
        <v>112</v>
      </c>
      <c r="L398" s="215">
        <f>[6]人員・時間計画!I25</f>
        <v>116</v>
      </c>
      <c r="M398" s="215">
        <f>[6]人員・時間計画!J25</f>
        <v>116</v>
      </c>
      <c r="N398" s="215">
        <f>[6]人員・時間計画!K25</f>
        <v>112</v>
      </c>
      <c r="O398" s="215">
        <f>[6]人員・時間計画!L25</f>
        <v>56</v>
      </c>
      <c r="P398" s="215">
        <f>[6]人員・時間計画!M25</f>
        <v>172</v>
      </c>
      <c r="Q398" s="215">
        <f>[6]人員・時間計画!N25</f>
        <v>172</v>
      </c>
    </row>
    <row r="399" spans="1:17" ht="14.5" thickBot="1">
      <c r="A399">
        <f>[6]人員・時間計画!$A$5</f>
        <v>1412000056</v>
      </c>
      <c r="B399" t="str">
        <f>[6]人員・時間計画!$B$5</f>
        <v>部品製造課</v>
      </c>
      <c r="C399" s="185" t="s">
        <v>71</v>
      </c>
      <c r="D399" s="201" t="s">
        <v>195</v>
      </c>
      <c r="E399" s="207" t="s">
        <v>140</v>
      </c>
      <c r="F399" s="215">
        <f>[6]人員・時間計画!C26</f>
        <v>1300</v>
      </c>
      <c r="G399" s="215">
        <f>[6]人員・時間計画!D26</f>
        <v>1300</v>
      </c>
      <c r="H399" s="215">
        <f>[6]人員・時間計画!E26</f>
        <v>1300</v>
      </c>
      <c r="I399" s="215">
        <f>[6]人員・時間計画!F26</f>
        <v>1300</v>
      </c>
      <c r="J399" s="215">
        <f>[6]人員・時間計画!G26</f>
        <v>1400</v>
      </c>
      <c r="K399" s="215">
        <f>[6]人員・時間計画!H26</f>
        <v>1400</v>
      </c>
      <c r="L399" s="215">
        <f>[6]人員・時間計画!I26</f>
        <v>1300</v>
      </c>
      <c r="M399" s="215">
        <f>[6]人員・時間計画!J26</f>
        <v>1400</v>
      </c>
      <c r="N399" s="215">
        <f>[6]人員・時間計画!K26</f>
        <v>1300</v>
      </c>
      <c r="O399" s="215">
        <f>[6]人員・時間計画!L26</f>
        <v>1300</v>
      </c>
      <c r="P399" s="215">
        <f>[6]人員・時間計画!M26</f>
        <v>1400</v>
      </c>
      <c r="Q399" s="215">
        <f>[6]人員・時間計画!N26</f>
        <v>1400</v>
      </c>
    </row>
    <row r="400" spans="1:17" ht="14.5" hidden="1" thickBot="1">
      <c r="A400">
        <f>[6]人員・時間計画!$A$5</f>
        <v>1412000056</v>
      </c>
      <c r="B400" t="str">
        <f>[6]人員・時間計画!$B$5</f>
        <v>部品製造課</v>
      </c>
      <c r="C400" s="185" t="s">
        <v>71</v>
      </c>
      <c r="D400" s="202"/>
      <c r="E400" s="203" t="s">
        <v>138</v>
      </c>
      <c r="F400" s="215">
        <f>[6]人員・時間計画!C27</f>
        <v>1356</v>
      </c>
      <c r="G400" s="215">
        <f>[6]人員・時間計画!D27</f>
        <v>1356</v>
      </c>
      <c r="H400" s="215">
        <f>[6]人員・時間計画!E27</f>
        <v>1356</v>
      </c>
      <c r="I400" s="215">
        <f>[6]人員・時間計画!F27</f>
        <v>1472</v>
      </c>
      <c r="J400" s="215">
        <f>[6]人員・時間計画!G27</f>
        <v>1512</v>
      </c>
      <c r="K400" s="215">
        <f>[6]人員・時間計画!H27</f>
        <v>1512</v>
      </c>
      <c r="L400" s="215">
        <f>[6]人員・時間計画!I27</f>
        <v>1416</v>
      </c>
      <c r="M400" s="215">
        <f>[6]人員・時間計画!J27</f>
        <v>1516</v>
      </c>
      <c r="N400" s="215">
        <f>[6]人員・時間計画!K27</f>
        <v>1412</v>
      </c>
      <c r="O400" s="215">
        <f>[6]人員・時間計画!L27</f>
        <v>1356</v>
      </c>
      <c r="P400" s="215">
        <f>[6]人員・時間計画!M27</f>
        <v>1572</v>
      </c>
      <c r="Q400" s="215">
        <f>[6]人員・時間計画!N27</f>
        <v>1572</v>
      </c>
    </row>
    <row r="401" spans="1:17" ht="14.5" hidden="1" thickBot="1">
      <c r="A401">
        <f>[6]人員・時間計画!$A$5</f>
        <v>1412000056</v>
      </c>
      <c r="B401" t="str">
        <f>[6]人員・時間計画!$B$5</f>
        <v>部品製造課</v>
      </c>
      <c r="C401" s="185" t="s">
        <v>71</v>
      </c>
      <c r="D401" s="204" t="s">
        <v>216</v>
      </c>
      <c r="E401" s="205"/>
      <c r="F401" s="215">
        <f>[6]人員・時間計画!C28</f>
        <v>1394</v>
      </c>
      <c r="G401" s="215">
        <f>[6]人員・時間計画!D28</f>
        <v>1394</v>
      </c>
      <c r="H401" s="215">
        <f>[6]人員・時間計画!E28</f>
        <v>1396</v>
      </c>
      <c r="I401" s="215">
        <f>[6]人員・時間計画!F28</f>
        <v>1508</v>
      </c>
      <c r="J401" s="215">
        <f>[6]人員・時間計画!G28</f>
        <v>1552</v>
      </c>
      <c r="K401" s="215">
        <f>[6]人員・時間計画!H28</f>
        <v>1548</v>
      </c>
      <c r="L401" s="215">
        <f>[6]人員・時間計画!I28</f>
        <v>1462</v>
      </c>
      <c r="M401" s="215">
        <f>[6]人員・時間計画!J28</f>
        <v>1554</v>
      </c>
      <c r="N401" s="215">
        <f>[6]人員・時間計画!K28</f>
        <v>1456</v>
      </c>
      <c r="O401" s="215">
        <f>[6]人員・時間計画!L28</f>
        <v>1394</v>
      </c>
      <c r="P401" s="215">
        <f>[6]人員・時間計画!M28</f>
        <v>1602</v>
      </c>
      <c r="Q401" s="215">
        <f>[6]人員・時間計画!N28</f>
        <v>1610</v>
      </c>
    </row>
    <row r="402" spans="1:17" ht="14.5" hidden="1" thickBot="1">
      <c r="A402">
        <f>[44]人員・時間計画!$A$5</f>
        <v>1412000018</v>
      </c>
      <c r="B402" t="str">
        <f>[44]人員・時間計画!$B$5</f>
        <v>品質保証課</v>
      </c>
      <c r="C402" s="185" t="s">
        <v>3</v>
      </c>
      <c r="D402" s="185" t="s">
        <v>3</v>
      </c>
      <c r="E402" s="186"/>
    </row>
    <row r="403" spans="1:17" ht="14.5" hidden="1" thickBot="1">
      <c r="A403">
        <f>[44]人員・時間計画!$A$5</f>
        <v>1412000018</v>
      </c>
      <c r="B403" t="str">
        <f>[44]人員・時間計画!$B$5</f>
        <v>品質保証課</v>
      </c>
      <c r="C403" s="185" t="s">
        <v>3</v>
      </c>
      <c r="D403" s="187" t="s">
        <v>194</v>
      </c>
      <c r="E403" s="188"/>
      <c r="F403" s="214">
        <f>[44]人員・時間計画!C10</f>
        <v>2</v>
      </c>
      <c r="G403" s="214">
        <f>[44]人員・時間計画!D10</f>
        <v>2</v>
      </c>
      <c r="H403" s="214">
        <f>[44]人員・時間計画!E10</f>
        <v>2</v>
      </c>
      <c r="I403" s="214">
        <f>[44]人員・時間計画!F10</f>
        <v>2</v>
      </c>
      <c r="J403" s="214">
        <f>[44]人員・時間計画!G10</f>
        <v>2</v>
      </c>
      <c r="K403" s="214">
        <f>[44]人員・時間計画!H10</f>
        <v>2</v>
      </c>
      <c r="L403" s="214">
        <f>[44]人員・時間計画!I10</f>
        <v>2</v>
      </c>
      <c r="M403" s="214">
        <f>[44]人員・時間計画!J10</f>
        <v>2</v>
      </c>
      <c r="N403" s="214">
        <f>[44]人員・時間計画!K10</f>
        <v>2</v>
      </c>
      <c r="O403" s="214">
        <f>[44]人員・時間計画!L10</f>
        <v>2</v>
      </c>
      <c r="P403" s="214">
        <f>[44]人員・時間計画!M10</f>
        <v>2</v>
      </c>
      <c r="Q403" s="214">
        <f>[44]人員・時間計画!N10</f>
        <v>2</v>
      </c>
    </row>
    <row r="404" spans="1:17" ht="14.5" hidden="1" thickBot="1">
      <c r="A404">
        <f>[44]人員・時間計画!$A$5</f>
        <v>1412000018</v>
      </c>
      <c r="B404" t="str">
        <f>[44]人員・時間計画!$B$5</f>
        <v>品質保証課</v>
      </c>
      <c r="C404" s="185" t="s">
        <v>3</v>
      </c>
      <c r="D404" s="189"/>
      <c r="E404" s="190" t="s">
        <v>139</v>
      </c>
      <c r="F404" s="214">
        <f>[44]人員・時間計画!C11</f>
        <v>11</v>
      </c>
      <c r="G404" s="214">
        <f>[44]人員・時間計画!D11</f>
        <v>11</v>
      </c>
      <c r="H404" s="214">
        <f>[44]人員・時間計画!E11</f>
        <v>11</v>
      </c>
      <c r="I404" s="214">
        <f>[44]人員・時間計画!F11</f>
        <v>11</v>
      </c>
      <c r="J404" s="214">
        <f>[44]人員・時間計画!G11</f>
        <v>11</v>
      </c>
      <c r="K404" s="214">
        <f>[44]人員・時間計画!H11</f>
        <v>11</v>
      </c>
      <c r="L404" s="214">
        <f>[44]人員・時間計画!I11</f>
        <v>11</v>
      </c>
      <c r="M404" s="214">
        <f>[44]人員・時間計画!J11</f>
        <v>11</v>
      </c>
      <c r="N404" s="214">
        <f>[44]人員・時間計画!K11</f>
        <v>11</v>
      </c>
      <c r="O404" s="214">
        <f>[44]人員・時間計画!L11</f>
        <v>11</v>
      </c>
      <c r="P404" s="214">
        <f>[44]人員・時間計画!M11</f>
        <v>11</v>
      </c>
      <c r="Q404" s="214">
        <f>[44]人員・時間計画!N11</f>
        <v>11</v>
      </c>
    </row>
    <row r="405" spans="1:17" ht="14.5" thickBot="1">
      <c r="A405">
        <f>[44]人員・時間計画!$A$5</f>
        <v>1412000018</v>
      </c>
      <c r="B405" t="str">
        <f>[44]人員・時間計画!$B$5</f>
        <v>品質保証課</v>
      </c>
      <c r="C405" s="185" t="s">
        <v>3</v>
      </c>
      <c r="D405" s="191" t="s">
        <v>195</v>
      </c>
      <c r="E405" s="192" t="s">
        <v>140</v>
      </c>
      <c r="F405" s="214">
        <f>[44]人員・時間計画!C12</f>
        <v>1</v>
      </c>
      <c r="G405" s="214">
        <f>[44]人員・時間計画!D12</f>
        <v>1</v>
      </c>
      <c r="H405" s="214">
        <f>[44]人員・時間計画!E12</f>
        <v>1</v>
      </c>
      <c r="I405" s="214">
        <f>[44]人員・時間計画!F12</f>
        <v>1</v>
      </c>
      <c r="J405" s="214">
        <f>[44]人員・時間計画!G12</f>
        <v>1</v>
      </c>
      <c r="K405" s="214">
        <f>[44]人員・時間計画!H12</f>
        <v>1</v>
      </c>
      <c r="L405" s="214">
        <f>[44]人員・時間計画!I12</f>
        <v>1</v>
      </c>
      <c r="M405" s="214">
        <f>[44]人員・時間計画!J12</f>
        <v>1</v>
      </c>
      <c r="N405" s="214">
        <f>[44]人員・時間計画!K12</f>
        <v>1</v>
      </c>
      <c r="O405" s="214">
        <f>[44]人員・時間計画!L12</f>
        <v>1</v>
      </c>
      <c r="P405" s="214">
        <f>[44]人員・時間計画!M12</f>
        <v>1</v>
      </c>
      <c r="Q405" s="214">
        <f>[44]人員・時間計画!N12</f>
        <v>1</v>
      </c>
    </row>
    <row r="406" spans="1:17" ht="14.5" hidden="1" thickBot="1">
      <c r="A406">
        <f>[44]人員・時間計画!$A$5</f>
        <v>1412000018</v>
      </c>
      <c r="B406" t="str">
        <f>[44]人員・時間計画!$B$5</f>
        <v>品質保証課</v>
      </c>
      <c r="C406" s="185" t="s">
        <v>3</v>
      </c>
      <c r="D406" s="193"/>
      <c r="E406" s="194" t="s">
        <v>138</v>
      </c>
      <c r="F406" s="214">
        <f>[44]人員・時間計画!C13</f>
        <v>12</v>
      </c>
      <c r="G406" s="214">
        <f>[44]人員・時間計画!D13</f>
        <v>12</v>
      </c>
      <c r="H406" s="214">
        <f>[44]人員・時間計画!E13</f>
        <v>12</v>
      </c>
      <c r="I406" s="214">
        <f>[44]人員・時間計画!F13</f>
        <v>12</v>
      </c>
      <c r="J406" s="214">
        <f>[44]人員・時間計画!G13</f>
        <v>12</v>
      </c>
      <c r="K406" s="214">
        <f>[44]人員・時間計画!H13</f>
        <v>12</v>
      </c>
      <c r="L406" s="214">
        <f>[44]人員・時間計画!I13</f>
        <v>12</v>
      </c>
      <c r="M406" s="214">
        <f>[44]人員・時間計画!J13</f>
        <v>12</v>
      </c>
      <c r="N406" s="214">
        <f>[44]人員・時間計画!K13</f>
        <v>12</v>
      </c>
      <c r="O406" s="214">
        <f>[44]人員・時間計画!L13</f>
        <v>12</v>
      </c>
      <c r="P406" s="214">
        <f>[44]人員・時間計画!M13</f>
        <v>12</v>
      </c>
      <c r="Q406" s="214">
        <f>[44]人員・時間計画!N13</f>
        <v>12</v>
      </c>
    </row>
    <row r="407" spans="1:17" ht="14.5" hidden="1" thickBot="1">
      <c r="A407">
        <f>[44]人員・時間計画!$A$5</f>
        <v>1412000018</v>
      </c>
      <c r="B407" t="str">
        <f>[44]人員・時間計画!$B$5</f>
        <v>品質保証課</v>
      </c>
      <c r="C407" s="185" t="s">
        <v>3</v>
      </c>
      <c r="D407" s="195" t="s">
        <v>196</v>
      </c>
      <c r="E407" s="196"/>
      <c r="F407" s="214">
        <f>[44]人員・時間計画!C14</f>
        <v>14</v>
      </c>
      <c r="G407" s="214">
        <f>[44]人員・時間計画!D14</f>
        <v>14</v>
      </c>
      <c r="H407" s="214">
        <f>[44]人員・時間計画!E14</f>
        <v>14</v>
      </c>
      <c r="I407" s="214">
        <f>[44]人員・時間計画!F14</f>
        <v>14</v>
      </c>
      <c r="J407" s="214">
        <f>[44]人員・時間計画!G14</f>
        <v>14</v>
      </c>
      <c r="K407" s="214">
        <f>[44]人員・時間計画!H14</f>
        <v>14</v>
      </c>
      <c r="L407" s="214">
        <f>[44]人員・時間計画!I14</f>
        <v>14</v>
      </c>
      <c r="M407" s="214">
        <f>[44]人員・時間計画!J14</f>
        <v>14</v>
      </c>
      <c r="N407" s="214">
        <f>[44]人員・時間計画!K14</f>
        <v>14</v>
      </c>
      <c r="O407" s="214">
        <f>[44]人員・時間計画!L14</f>
        <v>14</v>
      </c>
      <c r="P407" s="214">
        <f>[44]人員・時間計画!M14</f>
        <v>14</v>
      </c>
      <c r="Q407" s="214">
        <f>[44]人員・時間計画!N14</f>
        <v>14</v>
      </c>
    </row>
    <row r="408" spans="1:17" ht="14.5" hidden="1" thickBot="1">
      <c r="A408">
        <f>[44]人員・時間計画!$A$5</f>
        <v>1412000018</v>
      </c>
      <c r="B408" t="str">
        <f>[44]人員・時間計画!$B$5</f>
        <v>品質保証課</v>
      </c>
      <c r="D408" s="197"/>
      <c r="E408" s="197"/>
    </row>
    <row r="409" spans="1:17" ht="14.5" hidden="1" thickBot="1">
      <c r="A409">
        <f>[44]人員・時間計画!$A$5</f>
        <v>1412000018</v>
      </c>
      <c r="B409" t="str">
        <f>[44]人員・時間計画!$B$5</f>
        <v>品質保証課</v>
      </c>
      <c r="C409" s="185" t="s">
        <v>202</v>
      </c>
      <c r="D409" s="185" t="s">
        <v>202</v>
      </c>
      <c r="E409" s="186"/>
    </row>
    <row r="410" spans="1:17" ht="14.5" hidden="1" thickBot="1">
      <c r="A410">
        <f>[44]人員・時間計画!$A$5</f>
        <v>1412000018</v>
      </c>
      <c r="B410" t="str">
        <f>[44]人員・時間計画!$B$5</f>
        <v>品質保証課</v>
      </c>
      <c r="C410" s="185" t="s">
        <v>202</v>
      </c>
      <c r="D410" s="198" t="s">
        <v>194</v>
      </c>
      <c r="E410" s="199"/>
      <c r="F410" s="182">
        <f>[44]人員・時間計画!C17</f>
        <v>340</v>
      </c>
      <c r="G410" s="182">
        <f>[44]人員・時間計画!D17</f>
        <v>238</v>
      </c>
      <c r="H410" s="182">
        <f>[44]人員・時間計画!E17</f>
        <v>357</v>
      </c>
      <c r="I410" s="182">
        <f>[44]人員・時間計画!F17</f>
        <v>391</v>
      </c>
      <c r="J410" s="182">
        <f>[44]人員・時間計画!G17</f>
        <v>340</v>
      </c>
      <c r="K410" s="182">
        <f>[44]人員・時間計画!H17</f>
        <v>280.5</v>
      </c>
      <c r="L410" s="182">
        <f>[44]人員・時間計画!I17</f>
        <v>348.5</v>
      </c>
      <c r="M410" s="182">
        <f>[44]人員・時間計画!J17</f>
        <v>340</v>
      </c>
      <c r="N410" s="182">
        <f>[44]人員・時間計画!K17</f>
        <v>374</v>
      </c>
      <c r="O410" s="182">
        <f>[44]人員・時間計画!L17</f>
        <v>340</v>
      </c>
      <c r="P410" s="182">
        <f>[44]人員・時間計画!M17</f>
        <v>255</v>
      </c>
      <c r="Q410" s="182">
        <f>[44]人員・時間計画!N17</f>
        <v>340</v>
      </c>
    </row>
    <row r="411" spans="1:17" ht="14.5" hidden="1" thickBot="1">
      <c r="A411">
        <f>[44]人員・時間計画!$A$5</f>
        <v>1412000018</v>
      </c>
      <c r="B411" t="str">
        <f>[44]人員・時間計画!$B$5</f>
        <v>品質保証課</v>
      </c>
      <c r="C411" s="185" t="s">
        <v>202</v>
      </c>
      <c r="D411" s="200"/>
      <c r="E411" s="190" t="s">
        <v>139</v>
      </c>
      <c r="F411" s="182">
        <f>[44]人員・時間計画!C18</f>
        <v>1733.75</v>
      </c>
      <c r="G411" s="182">
        <f>[44]人員・時間計画!D18</f>
        <v>1702.25</v>
      </c>
      <c r="H411" s="182">
        <f>[44]人員・時間計画!E18</f>
        <v>1878.75</v>
      </c>
      <c r="I411" s="182">
        <f>[44]人員・時間計画!F18</f>
        <v>2068</v>
      </c>
      <c r="J411" s="182">
        <f>[44]人員・時間計画!G18</f>
        <v>1777.75</v>
      </c>
      <c r="K411" s="182">
        <f>[44]人員・時間計画!H18</f>
        <v>1681</v>
      </c>
      <c r="L411" s="182">
        <f>[44]人員・時間計画!I18</f>
        <v>2083</v>
      </c>
      <c r="M411" s="182">
        <f>[44]人員・時間計画!J18</f>
        <v>1797.75</v>
      </c>
      <c r="N411" s="182">
        <f>[44]人員・時間計画!K18</f>
        <v>1984.75</v>
      </c>
      <c r="O411" s="182">
        <f>[44]人員・時間計画!L18</f>
        <v>1802</v>
      </c>
      <c r="P411" s="182">
        <f>[44]人員・時間計画!M18</f>
        <v>1334.5</v>
      </c>
      <c r="Q411" s="182">
        <f>[44]人員・時間計画!N18</f>
        <v>1802</v>
      </c>
    </row>
    <row r="412" spans="1:17" ht="14.5" thickBot="1">
      <c r="A412">
        <f>[44]人員・時間計画!$A$5</f>
        <v>1412000018</v>
      </c>
      <c r="B412" t="str">
        <f>[44]人員・時間計画!$B$5</f>
        <v>品質保証課</v>
      </c>
      <c r="C412" s="185" t="s">
        <v>202</v>
      </c>
      <c r="D412" s="201" t="s">
        <v>195</v>
      </c>
      <c r="E412" s="192" t="s">
        <v>140</v>
      </c>
      <c r="F412" s="182">
        <f>[44]人員・時間計画!C19</f>
        <v>161.5</v>
      </c>
      <c r="G412" s="182">
        <f>[44]人員・時間計画!D19</f>
        <v>153</v>
      </c>
      <c r="H412" s="182">
        <f>[44]人員・時間計画!E19</f>
        <v>170</v>
      </c>
      <c r="I412" s="182">
        <f>[44]人員・時間計画!F19</f>
        <v>187</v>
      </c>
      <c r="J412" s="182">
        <f>[44]人員・時間計画!G19</f>
        <v>161.5</v>
      </c>
      <c r="K412" s="182">
        <f>[44]人員・時間計画!H19</f>
        <v>153</v>
      </c>
      <c r="L412" s="182">
        <f>[44]人員・時間計画!I19</f>
        <v>187</v>
      </c>
      <c r="M412" s="182">
        <f>[44]人員・時間計画!J19</f>
        <v>161.5</v>
      </c>
      <c r="N412" s="182">
        <f>[44]人員・時間計画!K19</f>
        <v>178.5</v>
      </c>
      <c r="O412" s="182">
        <f>[44]人員・時間計画!L19</f>
        <v>161.5</v>
      </c>
      <c r="P412" s="182">
        <f>[44]人員・時間計画!M19</f>
        <v>119</v>
      </c>
      <c r="Q412" s="182">
        <f>[44]人員・時間計画!N19</f>
        <v>161.5</v>
      </c>
    </row>
    <row r="413" spans="1:17" ht="14.5" hidden="1" thickBot="1">
      <c r="A413">
        <f>[44]人員・時間計画!$A$5</f>
        <v>1412000018</v>
      </c>
      <c r="B413" t="str">
        <f>[44]人員・時間計画!$B$5</f>
        <v>品質保証課</v>
      </c>
      <c r="C413" s="185" t="s">
        <v>202</v>
      </c>
      <c r="D413" s="202"/>
      <c r="E413" s="203" t="s">
        <v>138</v>
      </c>
      <c r="F413" s="182">
        <f>[44]人員・時間計画!C20</f>
        <v>1895.25</v>
      </c>
      <c r="G413" s="182">
        <f>[44]人員・時間計画!D20</f>
        <v>1855.25</v>
      </c>
      <c r="H413" s="182">
        <f>[44]人員・時間計画!E20</f>
        <v>2048.75</v>
      </c>
      <c r="I413" s="182">
        <f>[44]人員・時間計画!F20</f>
        <v>2255</v>
      </c>
      <c r="J413" s="182">
        <f>[44]人員・時間計画!G20</f>
        <v>1939.25</v>
      </c>
      <c r="K413" s="182">
        <f>[44]人員・時間計画!H20</f>
        <v>1834</v>
      </c>
      <c r="L413" s="182">
        <f>[44]人員・時間計画!I20</f>
        <v>2270</v>
      </c>
      <c r="M413" s="182">
        <f>[44]人員・時間計画!J20</f>
        <v>1959.25</v>
      </c>
      <c r="N413" s="182">
        <f>[44]人員・時間計画!K20</f>
        <v>2163.25</v>
      </c>
      <c r="O413" s="182">
        <f>[44]人員・時間計画!L20</f>
        <v>1963.5</v>
      </c>
      <c r="P413" s="182">
        <f>[44]人員・時間計画!M20</f>
        <v>1453.5</v>
      </c>
      <c r="Q413" s="182">
        <f>[44]人員・時間計画!N20</f>
        <v>1963.5</v>
      </c>
    </row>
    <row r="414" spans="1:17" ht="14.5" hidden="1" thickBot="1">
      <c r="A414">
        <f>[44]人員・時間計画!$A$5</f>
        <v>1412000018</v>
      </c>
      <c r="B414" t="str">
        <f>[44]人員・時間計画!$B$5</f>
        <v>品質保証課</v>
      </c>
      <c r="C414" s="185" t="s">
        <v>202</v>
      </c>
      <c r="D414" s="204" t="s">
        <v>215</v>
      </c>
      <c r="E414" s="205"/>
      <c r="F414" s="182">
        <f>[44]人員・時間計画!C21</f>
        <v>2235.25</v>
      </c>
      <c r="G414" s="182">
        <f>[44]人員・時間計画!D21</f>
        <v>2093.25</v>
      </c>
      <c r="H414" s="182">
        <f>[44]人員・時間計画!E21</f>
        <v>2405.75</v>
      </c>
      <c r="I414" s="182">
        <f>[44]人員・時間計画!F21</f>
        <v>2646</v>
      </c>
      <c r="J414" s="182">
        <f>[44]人員・時間計画!G21</f>
        <v>2279.25</v>
      </c>
      <c r="K414" s="182">
        <f>[44]人員・時間計画!H21</f>
        <v>2114.5</v>
      </c>
      <c r="L414" s="182">
        <f>[44]人員・時間計画!I21</f>
        <v>2618.5</v>
      </c>
      <c r="M414" s="182">
        <f>[44]人員・時間計画!J21</f>
        <v>2299.25</v>
      </c>
      <c r="N414" s="182">
        <f>[44]人員・時間計画!K21</f>
        <v>2537.25</v>
      </c>
      <c r="O414" s="182">
        <f>[44]人員・時間計画!L21</f>
        <v>2303.5</v>
      </c>
      <c r="P414" s="182">
        <f>[44]人員・時間計画!M21</f>
        <v>1708.5</v>
      </c>
      <c r="Q414" s="182">
        <f>[44]人員・時間計画!N21</f>
        <v>2303.5</v>
      </c>
    </row>
    <row r="415" spans="1:17" ht="14.5" hidden="1" thickBot="1">
      <c r="A415">
        <f>[44]人員・時間計画!$A$5</f>
        <v>1412000018</v>
      </c>
      <c r="B415" t="str">
        <f>[44]人員・時間計画!$B$5</f>
        <v>品質保証課</v>
      </c>
      <c r="D415" s="197"/>
      <c r="E415" s="197"/>
    </row>
    <row r="416" spans="1:17" ht="14.5" hidden="1" thickBot="1">
      <c r="A416">
        <f>[44]人員・時間計画!$A$5</f>
        <v>1412000018</v>
      </c>
      <c r="B416" t="str">
        <f>[44]人員・時間計画!$B$5</f>
        <v>品質保証課</v>
      </c>
      <c r="C416" s="185" t="s">
        <v>71</v>
      </c>
      <c r="D416" s="185" t="s">
        <v>71</v>
      </c>
      <c r="E416" s="186"/>
    </row>
    <row r="417" spans="1:17" ht="14.5" hidden="1" thickBot="1">
      <c r="A417">
        <f>[44]人員・時間計画!$A$5</f>
        <v>1412000018</v>
      </c>
      <c r="B417" t="str">
        <f>[44]人員・時間計画!$B$5</f>
        <v>品質保証課</v>
      </c>
      <c r="C417" s="185" t="s">
        <v>71</v>
      </c>
      <c r="D417" s="198" t="s">
        <v>194</v>
      </c>
      <c r="E417" s="199"/>
      <c r="F417" s="182">
        <f>[44]人員・時間計画!C24</f>
        <v>80</v>
      </c>
      <c r="G417" s="182">
        <f>[44]人員・時間計画!D24</f>
        <v>56</v>
      </c>
      <c r="H417" s="182">
        <f>[44]人員・時間計画!E24</f>
        <v>84</v>
      </c>
      <c r="I417" s="182">
        <f>[44]人員・時間計画!F24</f>
        <v>92</v>
      </c>
      <c r="J417" s="182">
        <f>[44]人員・時間計画!G24</f>
        <v>80</v>
      </c>
      <c r="K417" s="182">
        <f>[44]人員・時間計画!H24</f>
        <v>66</v>
      </c>
      <c r="L417" s="182">
        <f>[44]人員・時間計画!I24</f>
        <v>82</v>
      </c>
      <c r="M417" s="182">
        <f>[44]人員・時間計画!J24</f>
        <v>80</v>
      </c>
      <c r="N417" s="182">
        <f>[44]人員・時間計画!K24</f>
        <v>88</v>
      </c>
      <c r="O417" s="182">
        <f>[44]人員・時間計画!L24</f>
        <v>80</v>
      </c>
      <c r="P417" s="182">
        <f>[44]人員・時間計画!M24</f>
        <v>60</v>
      </c>
      <c r="Q417" s="182">
        <f>[44]人員・時間計画!N24</f>
        <v>80</v>
      </c>
    </row>
    <row r="418" spans="1:17" ht="14.5" hidden="1" thickBot="1">
      <c r="A418">
        <f>[44]人員・時間計画!$A$5</f>
        <v>1412000018</v>
      </c>
      <c r="B418" t="str">
        <f>[44]人員・時間計画!$B$5</f>
        <v>品質保証課</v>
      </c>
      <c r="C418" s="185" t="s">
        <v>71</v>
      </c>
      <c r="D418" s="200"/>
      <c r="E418" s="206" t="s">
        <v>139</v>
      </c>
      <c r="F418" s="182">
        <f>[44]人員・時間計画!C25</f>
        <v>90</v>
      </c>
      <c r="G418" s="182">
        <f>[44]人員・時間計画!D25</f>
        <v>83</v>
      </c>
      <c r="H418" s="182">
        <f>[44]人員・時間計画!E25</f>
        <v>99.5</v>
      </c>
      <c r="I418" s="182">
        <f>[44]人員・時間計画!F25</f>
        <v>96</v>
      </c>
      <c r="J418" s="182">
        <f>[44]人員・時間計画!G25</f>
        <v>107</v>
      </c>
      <c r="K418" s="182">
        <f>[44]人員・時間計画!H25</f>
        <v>71</v>
      </c>
      <c r="L418" s="182">
        <f>[44]人員・時間計画!I25</f>
        <v>103.5</v>
      </c>
      <c r="M418" s="182">
        <f>[44]人員・時間計画!J25</f>
        <v>85</v>
      </c>
      <c r="N418" s="182">
        <f>[44]人員・時間計画!K25</f>
        <v>89</v>
      </c>
      <c r="O418" s="182">
        <f>[44]人員・時間計画!L25</f>
        <v>75</v>
      </c>
      <c r="P418" s="182">
        <f>[44]人員・時間計画!M25</f>
        <v>97</v>
      </c>
      <c r="Q418" s="182">
        <f>[44]人員・時間計画!N25</f>
        <v>75</v>
      </c>
    </row>
    <row r="419" spans="1:17" ht="14.5" thickBot="1">
      <c r="A419">
        <f>[44]人員・時間計画!$A$5</f>
        <v>1412000018</v>
      </c>
      <c r="B419" t="str">
        <f>[44]人員・時間計画!$B$5</f>
        <v>品質保証課</v>
      </c>
      <c r="C419" s="185" t="s">
        <v>71</v>
      </c>
      <c r="D419" s="201" t="s">
        <v>195</v>
      </c>
      <c r="E419" s="207" t="s">
        <v>140</v>
      </c>
      <c r="F419" s="182">
        <f>[44]人員・時間計画!C26</f>
        <v>3</v>
      </c>
      <c r="G419" s="182">
        <f>[44]人員・時間計画!D26</f>
        <v>3</v>
      </c>
      <c r="H419" s="182">
        <f>[44]人員・時間計画!E26</f>
        <v>3</v>
      </c>
      <c r="I419" s="182">
        <f>[44]人員・時間計画!F26</f>
        <v>3</v>
      </c>
      <c r="J419" s="182">
        <f>[44]人員・時間計画!G26</f>
        <v>3</v>
      </c>
      <c r="K419" s="182">
        <f>[44]人員・時間計画!H26</f>
        <v>3</v>
      </c>
      <c r="L419" s="182">
        <f>[44]人員・時間計画!I26</f>
        <v>3</v>
      </c>
      <c r="M419" s="182">
        <f>[44]人員・時間計画!J26</f>
        <v>3</v>
      </c>
      <c r="N419" s="182">
        <f>[44]人員・時間計画!K26</f>
        <v>3</v>
      </c>
      <c r="O419" s="182">
        <f>[44]人員・時間計画!L26</f>
        <v>3</v>
      </c>
      <c r="P419" s="182">
        <f>[44]人員・時間計画!M26</f>
        <v>3</v>
      </c>
      <c r="Q419" s="182">
        <f>[44]人員・時間計画!N26</f>
        <v>3</v>
      </c>
    </row>
    <row r="420" spans="1:17" ht="14.5" hidden="1" thickBot="1">
      <c r="A420">
        <f>[44]人員・時間計画!$A$5</f>
        <v>1412000018</v>
      </c>
      <c r="B420" t="str">
        <f>[44]人員・時間計画!$B$5</f>
        <v>品質保証課</v>
      </c>
      <c r="C420" s="185" t="s">
        <v>71</v>
      </c>
      <c r="D420" s="202"/>
      <c r="E420" s="203" t="s">
        <v>138</v>
      </c>
      <c r="F420" s="182">
        <f>[44]人員・時間計画!C27</f>
        <v>93</v>
      </c>
      <c r="G420" s="182">
        <f>[44]人員・時間計画!D27</f>
        <v>86</v>
      </c>
      <c r="H420" s="182">
        <f>[44]人員・時間計画!E27</f>
        <v>102.5</v>
      </c>
      <c r="I420" s="182">
        <f>[44]人員・時間計画!F27</f>
        <v>99</v>
      </c>
      <c r="J420" s="182">
        <f>[44]人員・時間計画!G27</f>
        <v>110</v>
      </c>
      <c r="K420" s="182">
        <f>[44]人員・時間計画!H27</f>
        <v>74</v>
      </c>
      <c r="L420" s="182">
        <f>[44]人員・時間計画!I27</f>
        <v>106.5</v>
      </c>
      <c r="M420" s="182">
        <f>[44]人員・時間計画!J27</f>
        <v>88</v>
      </c>
      <c r="N420" s="182">
        <f>[44]人員・時間計画!K27</f>
        <v>92</v>
      </c>
      <c r="O420" s="182">
        <f>[44]人員・時間計画!L27</f>
        <v>78</v>
      </c>
      <c r="P420" s="182">
        <f>[44]人員・時間計画!M27</f>
        <v>100</v>
      </c>
      <c r="Q420" s="182">
        <f>[44]人員・時間計画!N27</f>
        <v>78</v>
      </c>
    </row>
    <row r="421" spans="1:17" ht="14.5" hidden="1" thickBot="1">
      <c r="A421">
        <f>[44]人員・時間計画!$A$5</f>
        <v>1412000018</v>
      </c>
      <c r="B421" t="str">
        <f>[44]人員・時間計画!$B$5</f>
        <v>品質保証課</v>
      </c>
      <c r="C421" s="185" t="s">
        <v>71</v>
      </c>
      <c r="D421" s="204" t="s">
        <v>216</v>
      </c>
      <c r="E421" s="205"/>
      <c r="F421" s="182">
        <f>[44]人員・時間計画!C28</f>
        <v>173</v>
      </c>
      <c r="G421" s="182">
        <f>[44]人員・時間計画!D28</f>
        <v>142</v>
      </c>
      <c r="H421" s="182">
        <f>[44]人員・時間計画!E28</f>
        <v>186.5</v>
      </c>
      <c r="I421" s="182">
        <f>[44]人員・時間計画!F28</f>
        <v>191</v>
      </c>
      <c r="J421" s="182">
        <f>[44]人員・時間計画!G28</f>
        <v>190</v>
      </c>
      <c r="K421" s="182">
        <f>[44]人員・時間計画!H28</f>
        <v>140</v>
      </c>
      <c r="L421" s="182">
        <f>[44]人員・時間計画!I28</f>
        <v>188.5</v>
      </c>
      <c r="M421" s="182">
        <f>[44]人員・時間計画!J28</f>
        <v>168</v>
      </c>
      <c r="N421" s="182">
        <f>[44]人員・時間計画!K28</f>
        <v>180</v>
      </c>
      <c r="O421" s="182">
        <f>[44]人員・時間計画!L28</f>
        <v>158</v>
      </c>
      <c r="P421" s="182">
        <f>[44]人員・時間計画!M28</f>
        <v>160</v>
      </c>
      <c r="Q421" s="182">
        <f>[44]人員・時間計画!N28</f>
        <v>158</v>
      </c>
    </row>
    <row r="422" spans="1:17" ht="14.5" hidden="1" thickBot="1">
      <c r="A422">
        <f>[45]人員・時間計画!$A$5</f>
        <v>1412000019</v>
      </c>
      <c r="B422" t="str">
        <f>[45]人員・時間計画!$B$5</f>
        <v>製品保証課</v>
      </c>
      <c r="C422" s="185" t="s">
        <v>3</v>
      </c>
      <c r="D422" s="185" t="s">
        <v>3</v>
      </c>
      <c r="E422" s="186"/>
    </row>
    <row r="423" spans="1:17" ht="14.5" hidden="1" thickBot="1">
      <c r="A423">
        <f>[45]人員・時間計画!$A$5</f>
        <v>1412000019</v>
      </c>
      <c r="B423" t="str">
        <f>[45]人員・時間計画!$B$5</f>
        <v>製品保証課</v>
      </c>
      <c r="C423" s="185" t="s">
        <v>3</v>
      </c>
      <c r="D423" s="187" t="s">
        <v>194</v>
      </c>
      <c r="E423" s="188"/>
      <c r="F423" s="214">
        <f>[45]人員・時間計画!C10</f>
        <v>0</v>
      </c>
      <c r="G423" s="214">
        <f>[45]人員・時間計画!D10</f>
        <v>0</v>
      </c>
      <c r="H423" s="214">
        <f>[45]人員・時間計画!E10</f>
        <v>0</v>
      </c>
      <c r="I423" s="214">
        <f>[45]人員・時間計画!F10</f>
        <v>0</v>
      </c>
      <c r="J423" s="214">
        <f>[45]人員・時間計画!G10</f>
        <v>0</v>
      </c>
      <c r="K423" s="214">
        <f>[45]人員・時間計画!H10</f>
        <v>0</v>
      </c>
      <c r="L423" s="214">
        <f>[45]人員・時間計画!I10</f>
        <v>0</v>
      </c>
      <c r="M423" s="214">
        <f>[45]人員・時間計画!J10</f>
        <v>0</v>
      </c>
      <c r="N423" s="214">
        <f>[45]人員・時間計画!K10</f>
        <v>0</v>
      </c>
      <c r="O423" s="214">
        <f>[45]人員・時間計画!L10</f>
        <v>0</v>
      </c>
      <c r="P423" s="214">
        <f>[45]人員・時間計画!M10</f>
        <v>0</v>
      </c>
      <c r="Q423" s="214">
        <f>[45]人員・時間計画!N10</f>
        <v>0</v>
      </c>
    </row>
    <row r="424" spans="1:17" ht="14.5" hidden="1" thickBot="1">
      <c r="A424">
        <f>[45]人員・時間計画!$A$5</f>
        <v>1412000019</v>
      </c>
      <c r="B424" t="str">
        <f>[45]人員・時間計画!$B$5</f>
        <v>製品保証課</v>
      </c>
      <c r="C424" s="185" t="s">
        <v>3</v>
      </c>
      <c r="D424" s="189"/>
      <c r="E424" s="190" t="s">
        <v>139</v>
      </c>
      <c r="F424" s="214">
        <f>[45]人員・時間計画!C11</f>
        <v>13</v>
      </c>
      <c r="G424" s="214">
        <f>[45]人員・時間計画!D11</f>
        <v>13</v>
      </c>
      <c r="H424" s="214">
        <f>[45]人員・時間計画!E11</f>
        <v>13</v>
      </c>
      <c r="I424" s="214">
        <f>[45]人員・時間計画!F11</f>
        <v>13</v>
      </c>
      <c r="J424" s="214">
        <f>[45]人員・時間計画!G11</f>
        <v>14</v>
      </c>
      <c r="K424" s="214">
        <f>[45]人員・時間計画!H11</f>
        <v>14</v>
      </c>
      <c r="L424" s="214">
        <f>[45]人員・時間計画!I11</f>
        <v>14</v>
      </c>
      <c r="M424" s="214">
        <f>[45]人員・時間計画!J11</f>
        <v>14</v>
      </c>
      <c r="N424" s="214">
        <f>[45]人員・時間計画!K11</f>
        <v>14</v>
      </c>
      <c r="O424" s="214">
        <f>[45]人員・時間計画!L11</f>
        <v>14</v>
      </c>
      <c r="P424" s="214">
        <f>[45]人員・時間計画!M11</f>
        <v>14</v>
      </c>
      <c r="Q424" s="214">
        <f>[45]人員・時間計画!N11</f>
        <v>14</v>
      </c>
    </row>
    <row r="425" spans="1:17" ht="14.5" thickBot="1">
      <c r="A425">
        <f>[45]人員・時間計画!$A$5</f>
        <v>1412000019</v>
      </c>
      <c r="B425" t="str">
        <f>[45]人員・時間計画!$B$5</f>
        <v>製品保証課</v>
      </c>
      <c r="C425" s="185" t="s">
        <v>3</v>
      </c>
      <c r="D425" s="191" t="s">
        <v>195</v>
      </c>
      <c r="E425" s="192" t="s">
        <v>140</v>
      </c>
      <c r="F425" s="214">
        <f>[45]人員・時間計画!C12</f>
        <v>32</v>
      </c>
      <c r="G425" s="214">
        <f>[45]人員・時間計画!D12</f>
        <v>32</v>
      </c>
      <c r="H425" s="214">
        <f>[45]人員・時間計画!E12</f>
        <v>32</v>
      </c>
      <c r="I425" s="214">
        <f>[45]人員・時間計画!F12</f>
        <v>32</v>
      </c>
      <c r="J425" s="214">
        <f>[45]人員・時間計画!G12</f>
        <v>33</v>
      </c>
      <c r="K425" s="214">
        <f>[45]人員・時間計画!H12</f>
        <v>33</v>
      </c>
      <c r="L425" s="214">
        <f>[45]人員・時間計画!I12</f>
        <v>33</v>
      </c>
      <c r="M425" s="214">
        <f>[45]人員・時間計画!J12</f>
        <v>33</v>
      </c>
      <c r="N425" s="214">
        <f>[45]人員・時間計画!K12</f>
        <v>33</v>
      </c>
      <c r="O425" s="214">
        <f>[45]人員・時間計画!L12</f>
        <v>33</v>
      </c>
      <c r="P425" s="214">
        <f>[45]人員・時間計画!M12</f>
        <v>33</v>
      </c>
      <c r="Q425" s="214">
        <f>[45]人員・時間計画!N12</f>
        <v>33</v>
      </c>
    </row>
    <row r="426" spans="1:17" ht="14.5" hidden="1" thickBot="1">
      <c r="A426">
        <f>[45]人員・時間計画!$A$5</f>
        <v>1412000019</v>
      </c>
      <c r="B426" t="str">
        <f>[45]人員・時間計画!$B$5</f>
        <v>製品保証課</v>
      </c>
      <c r="C426" s="185" t="s">
        <v>3</v>
      </c>
      <c r="D426" s="193"/>
      <c r="E426" s="194" t="s">
        <v>138</v>
      </c>
      <c r="F426" s="214">
        <f>[45]人員・時間計画!C13</f>
        <v>45</v>
      </c>
      <c r="G426" s="214">
        <f>[45]人員・時間計画!D13</f>
        <v>45</v>
      </c>
      <c r="H426" s="214">
        <f>[45]人員・時間計画!E13</f>
        <v>45</v>
      </c>
      <c r="I426" s="214">
        <f>[45]人員・時間計画!F13</f>
        <v>45</v>
      </c>
      <c r="J426" s="214">
        <f>[45]人員・時間計画!G13</f>
        <v>47</v>
      </c>
      <c r="K426" s="214">
        <f>[45]人員・時間計画!H13</f>
        <v>47</v>
      </c>
      <c r="L426" s="214">
        <f>[45]人員・時間計画!I13</f>
        <v>47</v>
      </c>
      <c r="M426" s="214">
        <f>[45]人員・時間計画!J13</f>
        <v>47</v>
      </c>
      <c r="N426" s="214">
        <f>[45]人員・時間計画!K13</f>
        <v>47</v>
      </c>
      <c r="O426" s="214">
        <f>[45]人員・時間計画!L13</f>
        <v>47</v>
      </c>
      <c r="P426" s="214">
        <f>[45]人員・時間計画!M13</f>
        <v>47</v>
      </c>
      <c r="Q426" s="214">
        <f>[45]人員・時間計画!N13</f>
        <v>47</v>
      </c>
    </row>
    <row r="427" spans="1:17" ht="14.5" hidden="1" thickBot="1">
      <c r="A427">
        <f>[45]人員・時間計画!$A$5</f>
        <v>1412000019</v>
      </c>
      <c r="B427" t="str">
        <f>[45]人員・時間計画!$B$5</f>
        <v>製品保証課</v>
      </c>
      <c r="C427" s="185" t="s">
        <v>3</v>
      </c>
      <c r="D427" s="195" t="s">
        <v>196</v>
      </c>
      <c r="E427" s="196"/>
      <c r="F427" s="214">
        <f>[45]人員・時間計画!C14</f>
        <v>45</v>
      </c>
      <c r="G427" s="214">
        <f>[45]人員・時間計画!D14</f>
        <v>45</v>
      </c>
      <c r="H427" s="214">
        <f>[45]人員・時間計画!E14</f>
        <v>45</v>
      </c>
      <c r="I427" s="214">
        <f>[45]人員・時間計画!F14</f>
        <v>45</v>
      </c>
      <c r="J427" s="214">
        <f>[45]人員・時間計画!G14</f>
        <v>47</v>
      </c>
      <c r="K427" s="214">
        <f>[45]人員・時間計画!H14</f>
        <v>47</v>
      </c>
      <c r="L427" s="214">
        <f>[45]人員・時間計画!I14</f>
        <v>47</v>
      </c>
      <c r="M427" s="214">
        <f>[45]人員・時間計画!J14</f>
        <v>47</v>
      </c>
      <c r="N427" s="214">
        <f>[45]人員・時間計画!K14</f>
        <v>47</v>
      </c>
      <c r="O427" s="214">
        <f>[45]人員・時間計画!L14</f>
        <v>47</v>
      </c>
      <c r="P427" s="214">
        <f>[45]人員・時間計画!M14</f>
        <v>47</v>
      </c>
      <c r="Q427" s="214">
        <f>[45]人員・時間計画!N14</f>
        <v>47</v>
      </c>
    </row>
    <row r="428" spans="1:17" ht="14.5" hidden="1" thickBot="1">
      <c r="A428">
        <f>[45]人員・時間計画!$A$5</f>
        <v>1412000019</v>
      </c>
      <c r="B428" t="str">
        <f>[45]人員・時間計画!$B$5</f>
        <v>製品保証課</v>
      </c>
      <c r="D428" s="197"/>
      <c r="E428" s="197"/>
    </row>
    <row r="429" spans="1:17" ht="14.5" hidden="1" thickBot="1">
      <c r="A429">
        <f>[45]人員・時間計画!$A$5</f>
        <v>1412000019</v>
      </c>
      <c r="B429" t="str">
        <f>[45]人員・時間計画!$B$5</f>
        <v>製品保証課</v>
      </c>
      <c r="C429" s="185" t="s">
        <v>202</v>
      </c>
      <c r="D429" s="185" t="s">
        <v>202</v>
      </c>
      <c r="E429" s="186"/>
    </row>
    <row r="430" spans="1:17" ht="14.5" hidden="1" thickBot="1">
      <c r="A430">
        <f>[45]人員・時間計画!$A$5</f>
        <v>1412000019</v>
      </c>
      <c r="B430" t="str">
        <f>[45]人員・時間計画!$B$5</f>
        <v>製品保証課</v>
      </c>
      <c r="C430" s="185" t="s">
        <v>202</v>
      </c>
      <c r="D430" s="198" t="s">
        <v>194</v>
      </c>
      <c r="E430" s="199"/>
      <c r="F430" s="214">
        <f>[45]人員・時間計画!C17</f>
        <v>0</v>
      </c>
      <c r="G430" s="214">
        <f>[45]人員・時間計画!D17</f>
        <v>0</v>
      </c>
      <c r="H430" s="214">
        <f>[45]人員・時間計画!E17</f>
        <v>0</v>
      </c>
      <c r="I430" s="214">
        <f>[45]人員・時間計画!F17</f>
        <v>0</v>
      </c>
      <c r="J430" s="214">
        <f>[45]人員・時間計画!G17</f>
        <v>0</v>
      </c>
      <c r="K430" s="214">
        <f>[45]人員・時間計画!H17</f>
        <v>0</v>
      </c>
      <c r="L430" s="214">
        <f>[45]人員・時間計画!I17</f>
        <v>0</v>
      </c>
      <c r="M430" s="214">
        <f>[45]人員・時間計画!J17</f>
        <v>0</v>
      </c>
      <c r="N430" s="214">
        <f>[45]人員・時間計画!K17</f>
        <v>0</v>
      </c>
      <c r="O430" s="214">
        <f>[45]人員・時間計画!L17</f>
        <v>0</v>
      </c>
      <c r="P430" s="214">
        <f>[45]人員・時間計画!M17</f>
        <v>0</v>
      </c>
      <c r="Q430" s="214">
        <f>[45]人員・時間計画!N17</f>
        <v>0</v>
      </c>
    </row>
    <row r="431" spans="1:17" ht="14.5" hidden="1" thickBot="1">
      <c r="A431">
        <f>[45]人員・時間計画!$A$5</f>
        <v>1412000019</v>
      </c>
      <c r="B431" t="str">
        <f>[45]人員・時間計画!$B$5</f>
        <v>製品保証課</v>
      </c>
      <c r="C431" s="185" t="s">
        <v>202</v>
      </c>
      <c r="D431" s="200"/>
      <c r="E431" s="190" t="s">
        <v>139</v>
      </c>
      <c r="F431" s="214">
        <f>[45]人員・時間計画!C18</f>
        <v>2099.5</v>
      </c>
      <c r="G431" s="214">
        <f>[45]人員・時間計画!D18</f>
        <v>1989</v>
      </c>
      <c r="H431" s="214">
        <f>[45]人員・時間計画!E18</f>
        <v>2210</v>
      </c>
      <c r="I431" s="214">
        <f>[45]人員・時間計画!F18</f>
        <v>2431</v>
      </c>
      <c r="J431" s="214">
        <f>[45]人員・時間計画!G18</f>
        <v>2244</v>
      </c>
      <c r="K431" s="214">
        <f>[45]人員・時間計画!H18</f>
        <v>2142</v>
      </c>
      <c r="L431" s="214">
        <f>[45]人員・時間計画!I18</f>
        <v>2618</v>
      </c>
      <c r="M431" s="214">
        <f>[45]人員・時間計画!J18</f>
        <v>2261</v>
      </c>
      <c r="N431" s="214">
        <f>[45]人員・時間計画!K18</f>
        <v>2499</v>
      </c>
      <c r="O431" s="214">
        <f>[45]人員・時間計画!L18</f>
        <v>2261</v>
      </c>
      <c r="P431" s="214">
        <f>[45]人員・時間計画!M18</f>
        <v>1666</v>
      </c>
      <c r="Q431" s="214">
        <f>[45]人員・時間計画!N18</f>
        <v>2261</v>
      </c>
    </row>
    <row r="432" spans="1:17" ht="14.5" thickBot="1">
      <c r="A432">
        <f>[45]人員・時間計画!$A$5</f>
        <v>1412000019</v>
      </c>
      <c r="B432" t="str">
        <f>[45]人員・時間計画!$B$5</f>
        <v>製品保証課</v>
      </c>
      <c r="C432" s="185" t="s">
        <v>202</v>
      </c>
      <c r="D432" s="201" t="s">
        <v>195</v>
      </c>
      <c r="E432" s="192" t="s">
        <v>140</v>
      </c>
      <c r="F432" s="214">
        <f>[45]人員・時間計画!C19</f>
        <v>4982</v>
      </c>
      <c r="G432" s="214">
        <f>[45]人員・時間計画!D19</f>
        <v>4692.5</v>
      </c>
      <c r="H432" s="214">
        <f>[45]人員・時間計画!E19</f>
        <v>5211.5</v>
      </c>
      <c r="I432" s="214">
        <f>[45]人員・時間計画!F19</f>
        <v>5820.5</v>
      </c>
      <c r="J432" s="214">
        <f>[45]人員・時間計画!G19</f>
        <v>5276.5</v>
      </c>
      <c r="K432" s="214">
        <f>[45]人員・時間計画!H19</f>
        <v>4988</v>
      </c>
      <c r="L432" s="214">
        <f>[45]人員・時間計画!I19</f>
        <v>6090</v>
      </c>
      <c r="M432" s="214">
        <f>[45]人員・時間計画!J19</f>
        <v>5293.5</v>
      </c>
      <c r="N432" s="214">
        <f>[45]人員・時間計画!K19</f>
        <v>5814.5</v>
      </c>
      <c r="O432" s="214">
        <f>[45]人員・時間計画!L19</f>
        <v>5304.5</v>
      </c>
      <c r="P432" s="214">
        <f>[45]人員・時間計画!M19</f>
        <v>3901</v>
      </c>
      <c r="Q432" s="214">
        <f>[45]人員・時間計画!N19</f>
        <v>5283.5</v>
      </c>
    </row>
    <row r="433" spans="1:17" ht="14.5" hidden="1" thickBot="1">
      <c r="A433">
        <f>[45]人員・時間計画!$A$5</f>
        <v>1412000019</v>
      </c>
      <c r="B433" t="str">
        <f>[45]人員・時間計画!$B$5</f>
        <v>製品保証課</v>
      </c>
      <c r="C433" s="185" t="s">
        <v>202</v>
      </c>
      <c r="D433" s="202"/>
      <c r="E433" s="203" t="s">
        <v>138</v>
      </c>
      <c r="F433" s="214">
        <f>[45]人員・時間計画!C20</f>
        <v>7081.5</v>
      </c>
      <c r="G433" s="214">
        <f>[45]人員・時間計画!D20</f>
        <v>6681.5</v>
      </c>
      <c r="H433" s="214">
        <f>[45]人員・時間計画!E20</f>
        <v>7421.5</v>
      </c>
      <c r="I433" s="214">
        <f>[45]人員・時間計画!F20</f>
        <v>8251.5</v>
      </c>
      <c r="J433" s="214">
        <f>[45]人員・時間計画!G20</f>
        <v>7520.5</v>
      </c>
      <c r="K433" s="214">
        <f>[45]人員・時間計画!H20</f>
        <v>7130</v>
      </c>
      <c r="L433" s="214">
        <f>[45]人員・時間計画!I20</f>
        <v>8708</v>
      </c>
      <c r="M433" s="214">
        <f>[45]人員・時間計画!J20</f>
        <v>7554.5</v>
      </c>
      <c r="N433" s="214">
        <f>[45]人員・時間計画!K20</f>
        <v>8313.5</v>
      </c>
      <c r="O433" s="214">
        <f>[45]人員・時間計画!L20</f>
        <v>7565.5</v>
      </c>
      <c r="P433" s="214">
        <f>[45]人員・時間計画!M20</f>
        <v>5567</v>
      </c>
      <c r="Q433" s="214">
        <f>[45]人員・時間計画!N20</f>
        <v>7544.5</v>
      </c>
    </row>
    <row r="434" spans="1:17" ht="14.5" hidden="1" thickBot="1">
      <c r="A434">
        <f>[45]人員・時間計画!$A$5</f>
        <v>1412000019</v>
      </c>
      <c r="B434" t="str">
        <f>[45]人員・時間計画!$B$5</f>
        <v>製品保証課</v>
      </c>
      <c r="C434" s="185" t="s">
        <v>202</v>
      </c>
      <c r="D434" s="204" t="s">
        <v>215</v>
      </c>
      <c r="E434" s="205"/>
      <c r="F434" s="214">
        <f>[45]人員・時間計画!C21</f>
        <v>7081.5</v>
      </c>
      <c r="G434" s="214">
        <f>[45]人員・時間計画!D21</f>
        <v>6681.5</v>
      </c>
      <c r="H434" s="214">
        <f>[45]人員・時間計画!E21</f>
        <v>7421.5</v>
      </c>
      <c r="I434" s="214">
        <f>[45]人員・時間計画!F21</f>
        <v>8251.5</v>
      </c>
      <c r="J434" s="214">
        <f>[45]人員・時間計画!G21</f>
        <v>7520.5</v>
      </c>
      <c r="K434" s="214">
        <f>[45]人員・時間計画!H21</f>
        <v>7130</v>
      </c>
      <c r="L434" s="214">
        <f>[45]人員・時間計画!I21</f>
        <v>8708</v>
      </c>
      <c r="M434" s="214">
        <f>[45]人員・時間計画!J21</f>
        <v>7554.5</v>
      </c>
      <c r="N434" s="214">
        <f>[45]人員・時間計画!K21</f>
        <v>8313.5</v>
      </c>
      <c r="O434" s="214">
        <f>[45]人員・時間計画!L21</f>
        <v>7565.5</v>
      </c>
      <c r="P434" s="214">
        <f>[45]人員・時間計画!M21</f>
        <v>5567</v>
      </c>
      <c r="Q434" s="214">
        <f>[45]人員・時間計画!N21</f>
        <v>7544.5</v>
      </c>
    </row>
    <row r="435" spans="1:17" ht="14.5" hidden="1" thickBot="1">
      <c r="A435">
        <f>[45]人員・時間計画!$A$5</f>
        <v>1412000019</v>
      </c>
      <c r="B435" t="str">
        <f>[45]人員・時間計画!$B$5</f>
        <v>製品保証課</v>
      </c>
      <c r="D435" s="197"/>
      <c r="E435" s="197"/>
    </row>
    <row r="436" spans="1:17" ht="14.5" hidden="1" thickBot="1">
      <c r="A436">
        <f>[45]人員・時間計画!$A$5</f>
        <v>1412000019</v>
      </c>
      <c r="B436" t="str">
        <f>[45]人員・時間計画!$B$5</f>
        <v>製品保証課</v>
      </c>
      <c r="C436" s="185" t="s">
        <v>71</v>
      </c>
      <c r="D436" s="185" t="s">
        <v>71</v>
      </c>
      <c r="E436" s="186"/>
    </row>
    <row r="437" spans="1:17" ht="14.5" hidden="1" thickBot="1">
      <c r="A437">
        <f>[45]人員・時間計画!$A$5</f>
        <v>1412000019</v>
      </c>
      <c r="B437" t="str">
        <f>[45]人員・時間計画!$B$5</f>
        <v>製品保証課</v>
      </c>
      <c r="C437" s="185" t="s">
        <v>71</v>
      </c>
      <c r="D437" s="198" t="s">
        <v>194</v>
      </c>
      <c r="E437" s="199"/>
      <c r="F437" s="214">
        <f>[45]人員・時間計画!C24</f>
        <v>0</v>
      </c>
      <c r="G437" s="214">
        <f>[45]人員・時間計画!D24</f>
        <v>0</v>
      </c>
      <c r="H437" s="214">
        <f>[45]人員・時間計画!E24</f>
        <v>0</v>
      </c>
      <c r="I437" s="214">
        <f>[45]人員・時間計画!F24</f>
        <v>0</v>
      </c>
      <c r="J437" s="214">
        <f>[45]人員・時間計画!G24</f>
        <v>0</v>
      </c>
      <c r="K437" s="214">
        <f>[45]人員・時間計画!H24</f>
        <v>0</v>
      </c>
      <c r="L437" s="214">
        <f>[45]人員・時間計画!I24</f>
        <v>0</v>
      </c>
      <c r="M437" s="214">
        <f>[45]人員・時間計画!J24</f>
        <v>0</v>
      </c>
      <c r="N437" s="214">
        <f>[45]人員・時間計画!K24</f>
        <v>0</v>
      </c>
      <c r="O437" s="214">
        <f>[45]人員・時間計画!L24</f>
        <v>0</v>
      </c>
      <c r="P437" s="214">
        <f>[45]人員・時間計画!M24</f>
        <v>0</v>
      </c>
      <c r="Q437" s="214">
        <f>[45]人員・時間計画!N24</f>
        <v>0</v>
      </c>
    </row>
    <row r="438" spans="1:17" ht="14.5" hidden="1" thickBot="1">
      <c r="A438">
        <f>[45]人員・時間計画!$A$5</f>
        <v>1412000019</v>
      </c>
      <c r="B438" t="str">
        <f>[45]人員・時間計画!$B$5</f>
        <v>製品保証課</v>
      </c>
      <c r="C438" s="185" t="s">
        <v>71</v>
      </c>
      <c r="D438" s="200"/>
      <c r="E438" s="206" t="s">
        <v>139</v>
      </c>
      <c r="F438" s="214">
        <f>[45]人員・時間計画!C25</f>
        <v>175</v>
      </c>
      <c r="G438" s="214">
        <f>[45]人員・時間計画!D25</f>
        <v>173</v>
      </c>
      <c r="H438" s="214">
        <f>[45]人員・時間計画!E25</f>
        <v>177</v>
      </c>
      <c r="I438" s="214">
        <f>[45]人員・時間計画!F25</f>
        <v>181</v>
      </c>
      <c r="J438" s="214">
        <f>[45]人員・時間計画!G25</f>
        <v>185</v>
      </c>
      <c r="K438" s="214">
        <f>[45]人員・時間計画!H25</f>
        <v>173</v>
      </c>
      <c r="L438" s="214">
        <f>[45]人員・時間計画!I25</f>
        <v>181</v>
      </c>
      <c r="M438" s="214">
        <f>[45]人員・時間計画!J25</f>
        <v>175</v>
      </c>
      <c r="N438" s="214">
        <f>[45]人員・時間計画!K25</f>
        <v>179</v>
      </c>
      <c r="O438" s="214">
        <f>[45]人員・時間計画!L25</f>
        <v>175</v>
      </c>
      <c r="P438" s="214">
        <f>[45]人員・時間計画!M25</f>
        <v>165</v>
      </c>
      <c r="Q438" s="214">
        <f>[45]人員・時間計画!N25</f>
        <v>189</v>
      </c>
    </row>
    <row r="439" spans="1:17" ht="14.5" thickBot="1">
      <c r="A439">
        <f>[45]人員・時間計画!$A$5</f>
        <v>1412000019</v>
      </c>
      <c r="B439" t="str">
        <f>[45]人員・時間計画!$B$5</f>
        <v>製品保証課</v>
      </c>
      <c r="C439" s="185" t="s">
        <v>71</v>
      </c>
      <c r="D439" s="201" t="s">
        <v>195</v>
      </c>
      <c r="E439" s="207" t="s">
        <v>140</v>
      </c>
      <c r="F439" s="214">
        <f>[45]人員・時間計画!C26</f>
        <v>405</v>
      </c>
      <c r="G439" s="214">
        <f>[45]人員・時間計画!D26</f>
        <v>405</v>
      </c>
      <c r="H439" s="214">
        <f>[45]人員・時間計画!E26</f>
        <v>405</v>
      </c>
      <c r="I439" s="214">
        <f>[45]人員・時間計画!F26</f>
        <v>405</v>
      </c>
      <c r="J439" s="214">
        <f>[45]人員・時間計画!G26</f>
        <v>425</v>
      </c>
      <c r="K439" s="214">
        <f>[45]人員・時間計画!H26</f>
        <v>355</v>
      </c>
      <c r="L439" s="214">
        <f>[45]人員・時間計画!I26</f>
        <v>355</v>
      </c>
      <c r="M439" s="214">
        <f>[45]人員・時間計画!J26</f>
        <v>355</v>
      </c>
      <c r="N439" s="214">
        <f>[45]人員・時間計画!K26</f>
        <v>355</v>
      </c>
      <c r="O439" s="214">
        <f>[45]人員・時間計画!L26</f>
        <v>355</v>
      </c>
      <c r="P439" s="214">
        <f>[45]人員・時間計画!M26</f>
        <v>355</v>
      </c>
      <c r="Q439" s="214">
        <f>[45]人員・時間計画!N26</f>
        <v>401</v>
      </c>
    </row>
    <row r="440" spans="1:17" ht="14.5" hidden="1" thickBot="1">
      <c r="A440">
        <f>[45]人員・時間計画!$A$5</f>
        <v>1412000019</v>
      </c>
      <c r="B440" t="str">
        <f>[45]人員・時間計画!$B$5</f>
        <v>製品保証課</v>
      </c>
      <c r="C440" s="185" t="s">
        <v>71</v>
      </c>
      <c r="D440" s="202"/>
      <c r="E440" s="203" t="s">
        <v>138</v>
      </c>
      <c r="F440" s="214">
        <f>[45]人員・時間計画!C27</f>
        <v>580</v>
      </c>
      <c r="G440" s="214">
        <f>[45]人員・時間計画!D27</f>
        <v>578</v>
      </c>
      <c r="H440" s="214">
        <f>[45]人員・時間計画!E27</f>
        <v>582</v>
      </c>
      <c r="I440" s="214">
        <f>[45]人員・時間計画!F27</f>
        <v>586</v>
      </c>
      <c r="J440" s="214">
        <f>[45]人員・時間計画!G27</f>
        <v>610</v>
      </c>
      <c r="K440" s="214">
        <f>[45]人員・時間計画!H27</f>
        <v>528</v>
      </c>
      <c r="L440" s="214">
        <f>[45]人員・時間計画!I27</f>
        <v>536</v>
      </c>
      <c r="M440" s="214">
        <f>[45]人員・時間計画!J27</f>
        <v>530</v>
      </c>
      <c r="N440" s="214">
        <f>[45]人員・時間計画!K27</f>
        <v>534</v>
      </c>
      <c r="O440" s="214">
        <f>[45]人員・時間計画!L27</f>
        <v>530</v>
      </c>
      <c r="P440" s="214">
        <f>[45]人員・時間計画!M27</f>
        <v>520</v>
      </c>
      <c r="Q440" s="214">
        <f>[45]人員・時間計画!N27</f>
        <v>590</v>
      </c>
    </row>
    <row r="441" spans="1:17" ht="14.5" hidden="1" thickBot="1">
      <c r="A441">
        <f>[45]人員・時間計画!$A$5</f>
        <v>1412000019</v>
      </c>
      <c r="B441" t="str">
        <f>[45]人員・時間計画!$B$5</f>
        <v>製品保証課</v>
      </c>
      <c r="C441" s="185" t="s">
        <v>71</v>
      </c>
      <c r="D441" s="204" t="s">
        <v>216</v>
      </c>
      <c r="E441" s="205"/>
      <c r="F441" s="214">
        <f>[45]人員・時間計画!C28</f>
        <v>580</v>
      </c>
      <c r="G441" s="214">
        <f>[45]人員・時間計画!D28</f>
        <v>578</v>
      </c>
      <c r="H441" s="214">
        <f>[45]人員・時間計画!E28</f>
        <v>582</v>
      </c>
      <c r="I441" s="214">
        <f>[45]人員・時間計画!F28</f>
        <v>586</v>
      </c>
      <c r="J441" s="214">
        <f>[45]人員・時間計画!G28</f>
        <v>610</v>
      </c>
      <c r="K441" s="214">
        <f>[45]人員・時間計画!H28</f>
        <v>528</v>
      </c>
      <c r="L441" s="214">
        <f>[45]人員・時間計画!I28</f>
        <v>536</v>
      </c>
      <c r="M441" s="214">
        <f>[45]人員・時間計画!J28</f>
        <v>530</v>
      </c>
      <c r="N441" s="214">
        <f>[45]人員・時間計画!K28</f>
        <v>534</v>
      </c>
      <c r="O441" s="214">
        <f>[45]人員・時間計画!L28</f>
        <v>530</v>
      </c>
      <c r="P441" s="214">
        <f>[45]人員・時間計画!M28</f>
        <v>520</v>
      </c>
      <c r="Q441" s="214">
        <f>[45]人員・時間計画!N28</f>
        <v>590</v>
      </c>
    </row>
    <row r="442" spans="1:17" ht="14.5" hidden="1" thickBot="1">
      <c r="A442">
        <f>[46]人員・時間計画!$A$5</f>
        <v>1412000058</v>
      </c>
      <c r="B442" t="str">
        <f>[46]人員・時間計画!$B$5</f>
        <v>第1資材課</v>
      </c>
      <c r="C442" s="185" t="s">
        <v>3</v>
      </c>
      <c r="D442" s="185" t="s">
        <v>3</v>
      </c>
      <c r="E442" s="186"/>
    </row>
    <row r="443" spans="1:17" ht="14.5" hidden="1" thickBot="1">
      <c r="A443">
        <f>[46]人員・時間計画!$A$5</f>
        <v>1412000058</v>
      </c>
      <c r="B443" t="str">
        <f>[46]人員・時間計画!$B$5</f>
        <v>第1資材課</v>
      </c>
      <c r="C443" s="185" t="s">
        <v>3</v>
      </c>
      <c r="D443" s="187" t="s">
        <v>194</v>
      </c>
      <c r="E443" s="188"/>
      <c r="F443" s="214">
        <f>[46]人員・時間計画!C10</f>
        <v>1</v>
      </c>
      <c r="G443" s="214">
        <f>[46]人員・時間計画!D10</f>
        <v>1</v>
      </c>
      <c r="H443" s="214">
        <f>[46]人員・時間計画!E10</f>
        <v>1</v>
      </c>
      <c r="I443" s="214">
        <f>[46]人員・時間計画!F10</f>
        <v>1</v>
      </c>
      <c r="J443" s="214">
        <f>[46]人員・時間計画!G10</f>
        <v>1</v>
      </c>
      <c r="K443" s="214">
        <f>[46]人員・時間計画!H10</f>
        <v>1</v>
      </c>
      <c r="L443" s="214">
        <f>[46]人員・時間計画!I10</f>
        <v>1</v>
      </c>
      <c r="M443" s="214">
        <f>[46]人員・時間計画!J10</f>
        <v>1</v>
      </c>
      <c r="N443" s="214">
        <f>[46]人員・時間計画!K10</f>
        <v>1</v>
      </c>
      <c r="O443" s="214">
        <f>[46]人員・時間計画!L10</f>
        <v>1</v>
      </c>
      <c r="P443" s="214">
        <f>[46]人員・時間計画!M10</f>
        <v>1</v>
      </c>
      <c r="Q443" s="214">
        <f>[46]人員・時間計画!N10</f>
        <v>1</v>
      </c>
    </row>
    <row r="444" spans="1:17" ht="14.5" hidden="1" thickBot="1">
      <c r="A444">
        <f>[46]人員・時間計画!$A$5</f>
        <v>1412000058</v>
      </c>
      <c r="B444" t="str">
        <f>[46]人員・時間計画!$B$5</f>
        <v>第1資材課</v>
      </c>
      <c r="C444" s="185" t="s">
        <v>3</v>
      </c>
      <c r="D444" s="189"/>
      <c r="E444" s="190" t="s">
        <v>139</v>
      </c>
      <c r="F444" s="214">
        <f>[46]人員・時間計画!C11</f>
        <v>17</v>
      </c>
      <c r="G444" s="214">
        <f>[46]人員・時間計画!D11</f>
        <v>17</v>
      </c>
      <c r="H444" s="214">
        <f>[46]人員・時間計画!E11</f>
        <v>17</v>
      </c>
      <c r="I444" s="214">
        <f>[46]人員・時間計画!F11</f>
        <v>17</v>
      </c>
      <c r="J444" s="214">
        <f>[46]人員・時間計画!G11</f>
        <v>17</v>
      </c>
      <c r="K444" s="214">
        <f>[46]人員・時間計画!H11</f>
        <v>17</v>
      </c>
      <c r="L444" s="214">
        <f>[46]人員・時間計画!I11</f>
        <v>17</v>
      </c>
      <c r="M444" s="214">
        <f>[46]人員・時間計画!J11</f>
        <v>17</v>
      </c>
      <c r="N444" s="214">
        <f>[46]人員・時間計画!K11</f>
        <v>17</v>
      </c>
      <c r="O444" s="214">
        <f>[46]人員・時間計画!L11</f>
        <v>17</v>
      </c>
      <c r="P444" s="214">
        <f>[46]人員・時間計画!M11</f>
        <v>17</v>
      </c>
      <c r="Q444" s="214">
        <f>[46]人員・時間計画!N11</f>
        <v>17</v>
      </c>
    </row>
    <row r="445" spans="1:17" ht="14.5" thickBot="1">
      <c r="A445">
        <f>[46]人員・時間計画!$A$5</f>
        <v>1412000058</v>
      </c>
      <c r="B445" t="str">
        <f>[46]人員・時間計画!$B$5</f>
        <v>第1資材課</v>
      </c>
      <c r="C445" s="185" t="s">
        <v>3</v>
      </c>
      <c r="D445" s="191" t="s">
        <v>195</v>
      </c>
      <c r="E445" s="192" t="s">
        <v>140</v>
      </c>
      <c r="F445" s="214">
        <f>[46]人員・時間計画!C12</f>
        <v>0</v>
      </c>
      <c r="G445" s="214">
        <f>[46]人員・時間計画!D12</f>
        <v>0</v>
      </c>
      <c r="H445" s="214">
        <f>[46]人員・時間計画!E12</f>
        <v>0</v>
      </c>
      <c r="I445" s="214">
        <f>[46]人員・時間計画!F12</f>
        <v>0</v>
      </c>
      <c r="J445" s="214">
        <f>[46]人員・時間計画!G12</f>
        <v>0</v>
      </c>
      <c r="K445" s="214">
        <f>[46]人員・時間計画!H12</f>
        <v>0</v>
      </c>
      <c r="L445" s="214">
        <f>[46]人員・時間計画!I12</f>
        <v>0</v>
      </c>
      <c r="M445" s="214">
        <f>[46]人員・時間計画!J12</f>
        <v>0</v>
      </c>
      <c r="N445" s="214">
        <f>[46]人員・時間計画!K12</f>
        <v>0</v>
      </c>
      <c r="O445" s="214">
        <f>[46]人員・時間計画!L12</f>
        <v>0</v>
      </c>
      <c r="P445" s="214">
        <f>[46]人員・時間計画!M12</f>
        <v>0</v>
      </c>
      <c r="Q445" s="214">
        <f>[46]人員・時間計画!N12</f>
        <v>0</v>
      </c>
    </row>
    <row r="446" spans="1:17" ht="14.5" hidden="1" thickBot="1">
      <c r="A446">
        <f>[46]人員・時間計画!$A$5</f>
        <v>1412000058</v>
      </c>
      <c r="B446" t="str">
        <f>[46]人員・時間計画!$B$5</f>
        <v>第1資材課</v>
      </c>
      <c r="C446" s="185" t="s">
        <v>3</v>
      </c>
      <c r="D446" s="193"/>
      <c r="E446" s="194" t="s">
        <v>138</v>
      </c>
      <c r="F446" s="214">
        <f>[46]人員・時間計画!C13</f>
        <v>17</v>
      </c>
      <c r="G446" s="214">
        <f>[46]人員・時間計画!D13</f>
        <v>17</v>
      </c>
      <c r="H446" s="214">
        <f>[46]人員・時間計画!E13</f>
        <v>17</v>
      </c>
      <c r="I446" s="214">
        <f>[46]人員・時間計画!F13</f>
        <v>17</v>
      </c>
      <c r="J446" s="214">
        <f>[46]人員・時間計画!G13</f>
        <v>17</v>
      </c>
      <c r="K446" s="214">
        <f>[46]人員・時間計画!H13</f>
        <v>17</v>
      </c>
      <c r="L446" s="214">
        <f>[46]人員・時間計画!I13</f>
        <v>17</v>
      </c>
      <c r="M446" s="214">
        <f>[46]人員・時間計画!J13</f>
        <v>17</v>
      </c>
      <c r="N446" s="214">
        <f>[46]人員・時間計画!K13</f>
        <v>17</v>
      </c>
      <c r="O446" s="214">
        <f>[46]人員・時間計画!L13</f>
        <v>17</v>
      </c>
      <c r="P446" s="214">
        <f>[46]人員・時間計画!M13</f>
        <v>17</v>
      </c>
      <c r="Q446" s="214">
        <f>[46]人員・時間計画!N13</f>
        <v>17</v>
      </c>
    </row>
    <row r="447" spans="1:17" ht="14.5" hidden="1" thickBot="1">
      <c r="A447">
        <f>[46]人員・時間計画!$A$5</f>
        <v>1412000058</v>
      </c>
      <c r="B447" t="str">
        <f>[46]人員・時間計画!$B$5</f>
        <v>第1資材課</v>
      </c>
      <c r="C447" s="185" t="s">
        <v>3</v>
      </c>
      <c r="D447" s="195" t="s">
        <v>196</v>
      </c>
      <c r="E447" s="196"/>
      <c r="F447" s="214">
        <f>[46]人員・時間計画!C14</f>
        <v>18</v>
      </c>
      <c r="G447" s="214">
        <f>[46]人員・時間計画!D14</f>
        <v>18</v>
      </c>
      <c r="H447" s="214">
        <f>[46]人員・時間計画!E14</f>
        <v>18</v>
      </c>
      <c r="I447" s="214">
        <f>[46]人員・時間計画!F14</f>
        <v>18</v>
      </c>
      <c r="J447" s="214">
        <f>[46]人員・時間計画!G14</f>
        <v>18</v>
      </c>
      <c r="K447" s="214">
        <f>[46]人員・時間計画!H14</f>
        <v>18</v>
      </c>
      <c r="L447" s="214">
        <f>[46]人員・時間計画!I14</f>
        <v>18</v>
      </c>
      <c r="M447" s="214">
        <f>[46]人員・時間計画!J14</f>
        <v>18</v>
      </c>
      <c r="N447" s="214">
        <f>[46]人員・時間計画!K14</f>
        <v>18</v>
      </c>
      <c r="O447" s="214">
        <f>[46]人員・時間計画!L14</f>
        <v>18</v>
      </c>
      <c r="P447" s="214">
        <f>[46]人員・時間計画!M14</f>
        <v>18</v>
      </c>
      <c r="Q447" s="214">
        <f>[46]人員・時間計画!N14</f>
        <v>18</v>
      </c>
    </row>
    <row r="448" spans="1:17" ht="14.5" hidden="1" thickBot="1">
      <c r="A448">
        <f>[46]人員・時間計画!$A$5</f>
        <v>1412000058</v>
      </c>
      <c r="B448" t="str">
        <f>[46]人員・時間計画!$B$5</f>
        <v>第1資材課</v>
      </c>
      <c r="D448" s="197"/>
      <c r="E448" s="197"/>
    </row>
    <row r="449" spans="1:17" ht="14.5" hidden="1" thickBot="1">
      <c r="A449">
        <f>[46]人員・時間計画!$A$5</f>
        <v>1412000058</v>
      </c>
      <c r="B449" t="str">
        <f>[46]人員・時間計画!$B$5</f>
        <v>第1資材課</v>
      </c>
      <c r="C449" s="185" t="s">
        <v>202</v>
      </c>
      <c r="D449" s="185" t="s">
        <v>202</v>
      </c>
      <c r="E449" s="186"/>
    </row>
    <row r="450" spans="1:17" ht="14.5" hidden="1" thickBot="1">
      <c r="A450">
        <f>[46]人員・時間計画!$A$5</f>
        <v>1412000058</v>
      </c>
      <c r="B450" t="str">
        <f>[46]人員・時間計画!$B$5</f>
        <v>第1資材課</v>
      </c>
      <c r="C450" s="185" t="s">
        <v>202</v>
      </c>
      <c r="D450" s="198" t="s">
        <v>194</v>
      </c>
      <c r="E450" s="199"/>
      <c r="F450" s="182">
        <f>[46]人員・時間計画!C17</f>
        <v>170</v>
      </c>
      <c r="G450" s="182">
        <f>[46]人員・時間計画!D17</f>
        <v>161.5</v>
      </c>
      <c r="H450" s="182">
        <f>[46]人員・時間計画!E17</f>
        <v>178.5</v>
      </c>
      <c r="I450" s="182">
        <f>[46]人員・時間計画!F17</f>
        <v>153</v>
      </c>
      <c r="J450" s="182">
        <f>[46]人員・時間計画!G17</f>
        <v>161.5</v>
      </c>
      <c r="K450" s="182">
        <f>[46]人員・時間計画!H17</f>
        <v>161.5</v>
      </c>
      <c r="L450" s="182">
        <f>[46]人員・時間計画!I17</f>
        <v>195.5</v>
      </c>
      <c r="M450" s="182">
        <f>[46]人員・時間計画!J17</f>
        <v>170</v>
      </c>
      <c r="N450" s="182">
        <f>[46]人員・時間計画!K17</f>
        <v>187</v>
      </c>
      <c r="O450" s="182">
        <f>[46]人員・時間計画!L17</f>
        <v>170</v>
      </c>
      <c r="P450" s="182">
        <f>[46]人員・時間計画!M17</f>
        <v>127.5</v>
      </c>
      <c r="Q450" s="182">
        <f>[46]人員・時間計画!N17</f>
        <v>170</v>
      </c>
    </row>
    <row r="451" spans="1:17" ht="14.5" hidden="1" thickBot="1">
      <c r="A451">
        <f>[46]人員・時間計画!$A$5</f>
        <v>1412000058</v>
      </c>
      <c r="B451" t="str">
        <f>[46]人員・時間計画!$B$5</f>
        <v>第1資材課</v>
      </c>
      <c r="C451" s="185" t="s">
        <v>202</v>
      </c>
      <c r="D451" s="200"/>
      <c r="E451" s="190" t="s">
        <v>139</v>
      </c>
      <c r="F451" s="182">
        <f>[46]人員・時間計画!C18</f>
        <v>2507.5</v>
      </c>
      <c r="G451" s="182">
        <f>[46]人員・時間計画!D18</f>
        <v>2354.5</v>
      </c>
      <c r="H451" s="182">
        <f>[46]人員・時間計画!E18</f>
        <v>2703</v>
      </c>
      <c r="I451" s="182">
        <f>[46]人員・時間計画!F18</f>
        <v>2975</v>
      </c>
      <c r="J451" s="182">
        <f>[46]人員・時間計画!G18</f>
        <v>2567</v>
      </c>
      <c r="K451" s="182">
        <f>[46]人員・時間計画!H18</f>
        <v>2431</v>
      </c>
      <c r="L451" s="182">
        <f>[46]人員・時間計画!I18</f>
        <v>3060</v>
      </c>
      <c r="M451" s="182">
        <f>[46]人員・時間計画!J18</f>
        <v>2711.5</v>
      </c>
      <c r="N451" s="182">
        <f>[46]人員・時間計画!K18</f>
        <v>3017.5</v>
      </c>
      <c r="O451" s="182">
        <f>[46]人員・時間計画!L18</f>
        <v>2728.5</v>
      </c>
      <c r="P451" s="182">
        <f>[46]人員・時間計画!M18</f>
        <v>2006</v>
      </c>
      <c r="Q451" s="182">
        <f>[46]人員・時間計画!N18</f>
        <v>2728.5</v>
      </c>
    </row>
    <row r="452" spans="1:17" ht="14.5" thickBot="1">
      <c r="A452">
        <f>[46]人員・時間計画!$A$5</f>
        <v>1412000058</v>
      </c>
      <c r="B452" t="str">
        <f>[46]人員・時間計画!$B$5</f>
        <v>第1資材課</v>
      </c>
      <c r="C452" s="185" t="s">
        <v>202</v>
      </c>
      <c r="D452" s="201" t="s">
        <v>195</v>
      </c>
      <c r="E452" s="192" t="s">
        <v>140</v>
      </c>
      <c r="F452" s="182">
        <f>[46]人員・時間計画!C19</f>
        <v>0</v>
      </c>
      <c r="G452" s="182">
        <f>[46]人員・時間計画!D19</f>
        <v>0</v>
      </c>
      <c r="H452" s="182">
        <f>[46]人員・時間計画!E19</f>
        <v>0</v>
      </c>
      <c r="I452" s="182">
        <f>[46]人員・時間計画!F19</f>
        <v>0</v>
      </c>
      <c r="J452" s="182">
        <f>[46]人員・時間計画!G19</f>
        <v>0</v>
      </c>
      <c r="K452" s="182">
        <f>[46]人員・時間計画!H19</f>
        <v>0</v>
      </c>
      <c r="L452" s="182">
        <f>[46]人員・時間計画!I19</f>
        <v>0</v>
      </c>
      <c r="M452" s="182">
        <f>[46]人員・時間計画!J19</f>
        <v>0</v>
      </c>
      <c r="N452" s="182">
        <f>[46]人員・時間計画!K19</f>
        <v>0</v>
      </c>
      <c r="O452" s="182">
        <f>[46]人員・時間計画!L19</f>
        <v>0</v>
      </c>
      <c r="P452" s="182">
        <f>[46]人員・時間計画!M19</f>
        <v>0</v>
      </c>
      <c r="Q452" s="182">
        <f>[46]人員・時間計画!N19</f>
        <v>0</v>
      </c>
    </row>
    <row r="453" spans="1:17" ht="14.5" hidden="1" thickBot="1">
      <c r="A453">
        <f>[46]人員・時間計画!$A$5</f>
        <v>1412000058</v>
      </c>
      <c r="B453" t="str">
        <f>[46]人員・時間計画!$B$5</f>
        <v>第1資材課</v>
      </c>
      <c r="C453" s="185" t="s">
        <v>202</v>
      </c>
      <c r="D453" s="202"/>
      <c r="E453" s="203" t="s">
        <v>138</v>
      </c>
      <c r="F453" s="182">
        <f>[46]人員・時間計画!C20</f>
        <v>2507.5</v>
      </c>
      <c r="G453" s="182">
        <f>[46]人員・時間計画!D20</f>
        <v>2354.5</v>
      </c>
      <c r="H453" s="182">
        <f>[46]人員・時間計画!E20</f>
        <v>2703</v>
      </c>
      <c r="I453" s="182">
        <f>[46]人員・時間計画!F20</f>
        <v>2975</v>
      </c>
      <c r="J453" s="182">
        <f>[46]人員・時間計画!G20</f>
        <v>2567</v>
      </c>
      <c r="K453" s="182">
        <f>[46]人員・時間計画!H20</f>
        <v>2431</v>
      </c>
      <c r="L453" s="182">
        <f>[46]人員・時間計画!I20</f>
        <v>3060</v>
      </c>
      <c r="M453" s="182">
        <f>[46]人員・時間計画!J20</f>
        <v>2711.5</v>
      </c>
      <c r="N453" s="182">
        <f>[46]人員・時間計画!K20</f>
        <v>3017.5</v>
      </c>
      <c r="O453" s="182">
        <f>[46]人員・時間計画!L20</f>
        <v>2728.5</v>
      </c>
      <c r="P453" s="182">
        <f>[46]人員・時間計画!M20</f>
        <v>2006</v>
      </c>
      <c r="Q453" s="182">
        <f>[46]人員・時間計画!N20</f>
        <v>2728.5</v>
      </c>
    </row>
    <row r="454" spans="1:17" ht="14.5" hidden="1" thickBot="1">
      <c r="A454">
        <f>[46]人員・時間計画!$A$5</f>
        <v>1412000058</v>
      </c>
      <c r="B454" t="str">
        <f>[46]人員・時間計画!$B$5</f>
        <v>第1資材課</v>
      </c>
      <c r="C454" s="185" t="s">
        <v>202</v>
      </c>
      <c r="D454" s="204" t="s">
        <v>215</v>
      </c>
      <c r="E454" s="205"/>
      <c r="F454" s="182">
        <f>[46]人員・時間計画!C21</f>
        <v>2677.5</v>
      </c>
      <c r="G454" s="182">
        <f>[46]人員・時間計画!D21</f>
        <v>2516</v>
      </c>
      <c r="H454" s="182">
        <f>[46]人員・時間計画!E21</f>
        <v>2881.5</v>
      </c>
      <c r="I454" s="182">
        <f>[46]人員・時間計画!F21</f>
        <v>3128</v>
      </c>
      <c r="J454" s="182">
        <f>[46]人員・時間計画!G21</f>
        <v>2728.5</v>
      </c>
      <c r="K454" s="182">
        <f>[46]人員・時間計画!H21</f>
        <v>2592.5</v>
      </c>
      <c r="L454" s="182">
        <f>[46]人員・時間計画!I21</f>
        <v>3255.5</v>
      </c>
      <c r="M454" s="182">
        <f>[46]人員・時間計画!J21</f>
        <v>2881.5</v>
      </c>
      <c r="N454" s="182">
        <f>[46]人員・時間計画!K21</f>
        <v>3204.5</v>
      </c>
      <c r="O454" s="182">
        <f>[46]人員・時間計画!L21</f>
        <v>2898.5</v>
      </c>
      <c r="P454" s="182">
        <f>[46]人員・時間計画!M21</f>
        <v>2133.5</v>
      </c>
      <c r="Q454" s="182">
        <f>[46]人員・時間計画!N21</f>
        <v>2898.5</v>
      </c>
    </row>
    <row r="455" spans="1:17" ht="14.5" hidden="1" thickBot="1">
      <c r="A455">
        <f>[46]人員・時間計画!$A$5</f>
        <v>1412000058</v>
      </c>
      <c r="B455" t="str">
        <f>[46]人員・時間計画!$B$5</f>
        <v>第1資材課</v>
      </c>
      <c r="D455" s="197"/>
      <c r="E455" s="197"/>
    </row>
    <row r="456" spans="1:17" ht="14.5" hidden="1" thickBot="1">
      <c r="A456">
        <f>[46]人員・時間計画!$A$5</f>
        <v>1412000058</v>
      </c>
      <c r="B456" t="str">
        <f>[46]人員・時間計画!$B$5</f>
        <v>第1資材課</v>
      </c>
      <c r="C456" s="185" t="s">
        <v>71</v>
      </c>
      <c r="D456" s="185" t="s">
        <v>71</v>
      </c>
      <c r="E456" s="186"/>
    </row>
    <row r="457" spans="1:17" ht="14.5" hidden="1" thickBot="1">
      <c r="A457">
        <f>[46]人員・時間計画!$A$5</f>
        <v>1412000058</v>
      </c>
      <c r="B457" t="str">
        <f>[46]人員・時間計画!$B$5</f>
        <v>第1資材課</v>
      </c>
      <c r="C457" s="185" t="s">
        <v>71</v>
      </c>
      <c r="D457" s="198" t="s">
        <v>194</v>
      </c>
      <c r="E457" s="199"/>
      <c r="F457" s="182">
        <f>[46]人員・時間計画!C24</f>
        <v>40</v>
      </c>
      <c r="G457" s="182">
        <f>[46]人員・時間計画!D24</f>
        <v>38</v>
      </c>
      <c r="H457" s="182">
        <f>[46]人員・時間計画!E24</f>
        <v>42</v>
      </c>
      <c r="I457" s="182">
        <f>[46]人員・時間計画!F24</f>
        <v>36</v>
      </c>
      <c r="J457" s="182">
        <f>[46]人員・時間計画!G24</f>
        <v>38</v>
      </c>
      <c r="K457" s="182">
        <f>[46]人員・時間計画!H24</f>
        <v>38</v>
      </c>
      <c r="L457" s="182">
        <f>[46]人員・時間計画!I24</f>
        <v>46</v>
      </c>
      <c r="M457" s="182">
        <f>[46]人員・時間計画!J24</f>
        <v>40</v>
      </c>
      <c r="N457" s="182">
        <f>[46]人員・時間計画!K24</f>
        <v>44</v>
      </c>
      <c r="O457" s="182">
        <f>[46]人員・時間計画!L24</f>
        <v>40</v>
      </c>
      <c r="P457" s="182">
        <f>[46]人員・時間計画!M24</f>
        <v>30</v>
      </c>
      <c r="Q457" s="182">
        <f>[46]人員・時間計画!N24</f>
        <v>40</v>
      </c>
    </row>
    <row r="458" spans="1:17" ht="14.5" hidden="1" thickBot="1">
      <c r="A458">
        <f>[46]人員・時間計画!$A$5</f>
        <v>1412000058</v>
      </c>
      <c r="B458" t="str">
        <f>[46]人員・時間計画!$B$5</f>
        <v>第1資材課</v>
      </c>
      <c r="C458" s="185" t="s">
        <v>71</v>
      </c>
      <c r="D458" s="200"/>
      <c r="E458" s="206" t="s">
        <v>139</v>
      </c>
      <c r="F458" s="182">
        <f>[46]人員・時間計画!C25</f>
        <v>154</v>
      </c>
      <c r="G458" s="182">
        <f>[46]人員・時間計画!D25</f>
        <v>146</v>
      </c>
      <c r="H458" s="182">
        <f>[46]人員・時間計画!E25</f>
        <v>162</v>
      </c>
      <c r="I458" s="182">
        <f>[46]人員・時間計画!F25</f>
        <v>178</v>
      </c>
      <c r="J458" s="182">
        <f>[46]人員・時間計画!G25</f>
        <v>154</v>
      </c>
      <c r="K458" s="182">
        <f>[46]人員・時間計画!H25</f>
        <v>146</v>
      </c>
      <c r="L458" s="182">
        <f>[46]人員・時間計画!I25</f>
        <v>178</v>
      </c>
      <c r="M458" s="182">
        <f>[46]人員・時間計画!J25</f>
        <v>154</v>
      </c>
      <c r="N458" s="182">
        <f>[46]人員・時間計画!K25</f>
        <v>170</v>
      </c>
      <c r="O458" s="182">
        <f>[46]人員・時間計画!L25</f>
        <v>194</v>
      </c>
      <c r="P458" s="182">
        <f>[46]人員・時間計画!M25</f>
        <v>144</v>
      </c>
      <c r="Q458" s="182">
        <f>[46]人員・時間計画!N25</f>
        <v>194</v>
      </c>
    </row>
    <row r="459" spans="1:17" ht="14.5" thickBot="1">
      <c r="A459">
        <f>[46]人員・時間計画!$A$5</f>
        <v>1412000058</v>
      </c>
      <c r="B459" t="str">
        <f>[46]人員・時間計画!$B$5</f>
        <v>第1資材課</v>
      </c>
      <c r="C459" s="185" t="s">
        <v>71</v>
      </c>
      <c r="D459" s="201" t="s">
        <v>195</v>
      </c>
      <c r="E459" s="207" t="s">
        <v>140</v>
      </c>
      <c r="F459" s="182">
        <f>[46]人員・時間計画!C26</f>
        <v>0</v>
      </c>
      <c r="G459" s="182">
        <f>[46]人員・時間計画!D26</f>
        <v>0</v>
      </c>
      <c r="H459" s="182">
        <f>[46]人員・時間計画!E26</f>
        <v>0</v>
      </c>
      <c r="I459" s="182">
        <f>[46]人員・時間計画!F26</f>
        <v>0</v>
      </c>
      <c r="J459" s="182">
        <f>[46]人員・時間計画!G26</f>
        <v>0</v>
      </c>
      <c r="K459" s="182">
        <f>[46]人員・時間計画!H26</f>
        <v>0</v>
      </c>
      <c r="L459" s="182">
        <f>[46]人員・時間計画!I26</f>
        <v>0</v>
      </c>
      <c r="M459" s="182">
        <f>[46]人員・時間計画!J26</f>
        <v>0</v>
      </c>
      <c r="N459" s="182">
        <f>[46]人員・時間計画!K26</f>
        <v>0</v>
      </c>
      <c r="O459" s="182">
        <f>[46]人員・時間計画!L26</f>
        <v>0</v>
      </c>
      <c r="P459" s="182">
        <f>[46]人員・時間計画!M26</f>
        <v>0</v>
      </c>
      <c r="Q459" s="182">
        <f>[46]人員・時間計画!N26</f>
        <v>0</v>
      </c>
    </row>
    <row r="460" spans="1:17" ht="14.5" hidden="1" thickBot="1">
      <c r="A460">
        <f>[46]人員・時間計画!$A$5</f>
        <v>1412000058</v>
      </c>
      <c r="B460" t="str">
        <f>[46]人員・時間計画!$B$5</f>
        <v>第1資材課</v>
      </c>
      <c r="C460" s="185" t="s">
        <v>71</v>
      </c>
      <c r="D460" s="202"/>
      <c r="E460" s="203" t="s">
        <v>138</v>
      </c>
      <c r="F460" s="182">
        <f>[46]人員・時間計画!C27</f>
        <v>154</v>
      </c>
      <c r="G460" s="182">
        <f>[46]人員・時間計画!D27</f>
        <v>146</v>
      </c>
      <c r="H460" s="182">
        <f>[46]人員・時間計画!E27</f>
        <v>162</v>
      </c>
      <c r="I460" s="182">
        <f>[46]人員・時間計画!F27</f>
        <v>178</v>
      </c>
      <c r="J460" s="182">
        <f>[46]人員・時間計画!G27</f>
        <v>154</v>
      </c>
      <c r="K460" s="182">
        <f>[46]人員・時間計画!H27</f>
        <v>146</v>
      </c>
      <c r="L460" s="182">
        <f>[46]人員・時間計画!I27</f>
        <v>178</v>
      </c>
      <c r="M460" s="182">
        <f>[46]人員・時間計画!J27</f>
        <v>154</v>
      </c>
      <c r="N460" s="182">
        <f>[46]人員・時間計画!K27</f>
        <v>170</v>
      </c>
      <c r="O460" s="182">
        <f>[46]人員・時間計画!L27</f>
        <v>194</v>
      </c>
      <c r="P460" s="182">
        <f>[46]人員・時間計画!M27</f>
        <v>144</v>
      </c>
      <c r="Q460" s="182">
        <f>[46]人員・時間計画!N27</f>
        <v>194</v>
      </c>
    </row>
    <row r="461" spans="1:17" ht="14.5" hidden="1" thickBot="1">
      <c r="A461">
        <f>[46]人員・時間計画!$A$5</f>
        <v>1412000058</v>
      </c>
      <c r="B461" t="str">
        <f>[46]人員・時間計画!$B$5</f>
        <v>第1資材課</v>
      </c>
      <c r="C461" s="185" t="s">
        <v>71</v>
      </c>
      <c r="D461" s="204" t="s">
        <v>216</v>
      </c>
      <c r="E461" s="205"/>
      <c r="F461" s="182">
        <f>[46]人員・時間計画!C28</f>
        <v>194</v>
      </c>
      <c r="G461" s="182">
        <f>[46]人員・時間計画!D28</f>
        <v>184</v>
      </c>
      <c r="H461" s="182">
        <f>[46]人員・時間計画!E28</f>
        <v>204</v>
      </c>
      <c r="I461" s="182">
        <f>[46]人員・時間計画!F28</f>
        <v>214</v>
      </c>
      <c r="J461" s="182">
        <f>[46]人員・時間計画!G28</f>
        <v>192</v>
      </c>
      <c r="K461" s="182">
        <f>[46]人員・時間計画!H28</f>
        <v>184</v>
      </c>
      <c r="L461" s="182">
        <f>[46]人員・時間計画!I28</f>
        <v>224</v>
      </c>
      <c r="M461" s="182">
        <f>[46]人員・時間計画!J28</f>
        <v>194</v>
      </c>
      <c r="N461" s="182">
        <f>[46]人員・時間計画!K28</f>
        <v>214</v>
      </c>
      <c r="O461" s="182">
        <f>[46]人員・時間計画!L28</f>
        <v>234</v>
      </c>
      <c r="P461" s="182">
        <f>[46]人員・時間計画!M28</f>
        <v>174</v>
      </c>
      <c r="Q461" s="182">
        <f>[46]人員・時間計画!N28</f>
        <v>234</v>
      </c>
    </row>
    <row r="462" spans="1:17" ht="14.5" hidden="1" thickBot="1">
      <c r="A462">
        <f>[47]人員・時間計画!$A$5</f>
        <v>1412000042</v>
      </c>
      <c r="B462" t="str">
        <f>[47]人員・時間計画!$B$5</f>
        <v>第2資材課</v>
      </c>
      <c r="C462" s="185" t="s">
        <v>3</v>
      </c>
      <c r="D462" s="185" t="s">
        <v>3</v>
      </c>
      <c r="E462" s="186"/>
    </row>
    <row r="463" spans="1:17" ht="14.5" hidden="1" thickBot="1">
      <c r="A463">
        <f>[47]人員・時間計画!$A$5</f>
        <v>1412000042</v>
      </c>
      <c r="B463" t="str">
        <f>[47]人員・時間計画!$B$5</f>
        <v>第2資材課</v>
      </c>
      <c r="C463" s="185" t="s">
        <v>3</v>
      </c>
      <c r="D463" s="187" t="s">
        <v>194</v>
      </c>
      <c r="E463" s="188"/>
      <c r="F463" s="214">
        <f>[47]人員・時間計画!C10</f>
        <v>1</v>
      </c>
      <c r="G463" s="214">
        <f>[47]人員・時間計画!D10</f>
        <v>1</v>
      </c>
      <c r="H463" s="214">
        <f>[47]人員・時間計画!E10</f>
        <v>1</v>
      </c>
      <c r="I463" s="214">
        <f>[47]人員・時間計画!F10</f>
        <v>1</v>
      </c>
      <c r="J463" s="214">
        <f>[47]人員・時間計画!G10</f>
        <v>1</v>
      </c>
      <c r="K463" s="214">
        <f>[47]人員・時間計画!H10</f>
        <v>1</v>
      </c>
      <c r="L463" s="214">
        <f>[47]人員・時間計画!I10</f>
        <v>1</v>
      </c>
      <c r="M463" s="214">
        <f>[47]人員・時間計画!J10</f>
        <v>1</v>
      </c>
      <c r="N463" s="214">
        <f>[47]人員・時間計画!K10</f>
        <v>1</v>
      </c>
      <c r="O463" s="214">
        <f>[47]人員・時間計画!L10</f>
        <v>1</v>
      </c>
      <c r="P463" s="214">
        <f>[47]人員・時間計画!M10</f>
        <v>1</v>
      </c>
      <c r="Q463" s="214">
        <f>[47]人員・時間計画!N10</f>
        <v>1</v>
      </c>
    </row>
    <row r="464" spans="1:17" ht="14.5" hidden="1" thickBot="1">
      <c r="A464">
        <f>[47]人員・時間計画!$A$5</f>
        <v>1412000042</v>
      </c>
      <c r="B464" t="str">
        <f>[47]人員・時間計画!$B$5</f>
        <v>第2資材課</v>
      </c>
      <c r="C464" s="185" t="s">
        <v>3</v>
      </c>
      <c r="D464" s="189"/>
      <c r="E464" s="190" t="s">
        <v>139</v>
      </c>
      <c r="F464" s="214">
        <f>[47]人員・時間計画!C11</f>
        <v>4</v>
      </c>
      <c r="G464" s="214">
        <f>[47]人員・時間計画!D11</f>
        <v>4</v>
      </c>
      <c r="H464" s="214">
        <f>[47]人員・時間計画!E11</f>
        <v>4</v>
      </c>
      <c r="I464" s="214">
        <f>[47]人員・時間計画!F11</f>
        <v>4</v>
      </c>
      <c r="J464" s="214">
        <f>[47]人員・時間計画!G11</f>
        <v>4</v>
      </c>
      <c r="K464" s="214">
        <f>[47]人員・時間計画!H11</f>
        <v>4</v>
      </c>
      <c r="L464" s="214">
        <f>[47]人員・時間計画!I11</f>
        <v>4</v>
      </c>
      <c r="M464" s="214">
        <f>[47]人員・時間計画!J11</f>
        <v>4</v>
      </c>
      <c r="N464" s="214">
        <f>[47]人員・時間計画!K11</f>
        <v>4</v>
      </c>
      <c r="O464" s="214">
        <f>[47]人員・時間計画!L11</f>
        <v>4</v>
      </c>
      <c r="P464" s="214">
        <f>[47]人員・時間計画!M11</f>
        <v>4</v>
      </c>
      <c r="Q464" s="214">
        <f>[47]人員・時間計画!N11</f>
        <v>4</v>
      </c>
    </row>
    <row r="465" spans="1:17" ht="14.5" thickBot="1">
      <c r="A465">
        <f>[47]人員・時間計画!$A$5</f>
        <v>1412000042</v>
      </c>
      <c r="B465" t="str">
        <f>[47]人員・時間計画!$B$5</f>
        <v>第2資材課</v>
      </c>
      <c r="C465" s="185" t="s">
        <v>3</v>
      </c>
      <c r="D465" s="191" t="s">
        <v>195</v>
      </c>
      <c r="E465" s="192" t="s">
        <v>140</v>
      </c>
      <c r="F465" s="214">
        <f>[47]人員・時間計画!C12</f>
        <v>0</v>
      </c>
      <c r="G465" s="214">
        <f>[47]人員・時間計画!D12</f>
        <v>0</v>
      </c>
      <c r="H465" s="214">
        <f>[47]人員・時間計画!E12</f>
        <v>0</v>
      </c>
      <c r="I465" s="214">
        <f>[47]人員・時間計画!F12</f>
        <v>0</v>
      </c>
      <c r="J465" s="214">
        <f>[47]人員・時間計画!G12</f>
        <v>0</v>
      </c>
      <c r="K465" s="214">
        <f>[47]人員・時間計画!H12</f>
        <v>0</v>
      </c>
      <c r="L465" s="214">
        <f>[47]人員・時間計画!I12</f>
        <v>0</v>
      </c>
      <c r="M465" s="214">
        <f>[47]人員・時間計画!J12</f>
        <v>0</v>
      </c>
      <c r="N465" s="214">
        <f>[47]人員・時間計画!K12</f>
        <v>0</v>
      </c>
      <c r="O465" s="214">
        <f>[47]人員・時間計画!L12</f>
        <v>0</v>
      </c>
      <c r="P465" s="214">
        <f>[47]人員・時間計画!M12</f>
        <v>0</v>
      </c>
      <c r="Q465" s="214">
        <f>[47]人員・時間計画!N12</f>
        <v>0</v>
      </c>
    </row>
    <row r="466" spans="1:17" ht="14.5" hidden="1" thickBot="1">
      <c r="A466">
        <f>[47]人員・時間計画!$A$5</f>
        <v>1412000042</v>
      </c>
      <c r="B466" t="str">
        <f>[47]人員・時間計画!$B$5</f>
        <v>第2資材課</v>
      </c>
      <c r="C466" s="185" t="s">
        <v>3</v>
      </c>
      <c r="D466" s="193"/>
      <c r="E466" s="194" t="s">
        <v>138</v>
      </c>
      <c r="F466" s="214">
        <f>[47]人員・時間計画!C13</f>
        <v>4</v>
      </c>
      <c r="G466" s="214">
        <f>[47]人員・時間計画!D13</f>
        <v>4</v>
      </c>
      <c r="H466" s="214">
        <f>[47]人員・時間計画!E13</f>
        <v>4</v>
      </c>
      <c r="I466" s="214">
        <f>[47]人員・時間計画!F13</f>
        <v>4</v>
      </c>
      <c r="J466" s="214">
        <f>[47]人員・時間計画!G13</f>
        <v>4</v>
      </c>
      <c r="K466" s="214">
        <f>[47]人員・時間計画!H13</f>
        <v>4</v>
      </c>
      <c r="L466" s="214">
        <f>[47]人員・時間計画!I13</f>
        <v>4</v>
      </c>
      <c r="M466" s="214">
        <f>[47]人員・時間計画!J13</f>
        <v>4</v>
      </c>
      <c r="N466" s="214">
        <f>[47]人員・時間計画!K13</f>
        <v>4</v>
      </c>
      <c r="O466" s="214">
        <f>[47]人員・時間計画!L13</f>
        <v>4</v>
      </c>
      <c r="P466" s="214">
        <f>[47]人員・時間計画!M13</f>
        <v>4</v>
      </c>
      <c r="Q466" s="214">
        <f>[47]人員・時間計画!N13</f>
        <v>4</v>
      </c>
    </row>
    <row r="467" spans="1:17" ht="14.5" hidden="1" thickBot="1">
      <c r="A467">
        <f>[47]人員・時間計画!$A$5</f>
        <v>1412000042</v>
      </c>
      <c r="B467" t="str">
        <f>[47]人員・時間計画!$B$5</f>
        <v>第2資材課</v>
      </c>
      <c r="C467" s="185" t="s">
        <v>3</v>
      </c>
      <c r="D467" s="195" t="s">
        <v>196</v>
      </c>
      <c r="E467" s="196"/>
      <c r="F467" s="214">
        <f>[47]人員・時間計画!C14</f>
        <v>5</v>
      </c>
      <c r="G467" s="214">
        <f>[47]人員・時間計画!D14</f>
        <v>5</v>
      </c>
      <c r="H467" s="214">
        <f>[47]人員・時間計画!E14</f>
        <v>5</v>
      </c>
      <c r="I467" s="214">
        <f>[47]人員・時間計画!F14</f>
        <v>5</v>
      </c>
      <c r="J467" s="214">
        <f>[47]人員・時間計画!G14</f>
        <v>5</v>
      </c>
      <c r="K467" s="214">
        <f>[47]人員・時間計画!H14</f>
        <v>5</v>
      </c>
      <c r="L467" s="214">
        <f>[47]人員・時間計画!I14</f>
        <v>5</v>
      </c>
      <c r="M467" s="214">
        <f>[47]人員・時間計画!J14</f>
        <v>5</v>
      </c>
      <c r="N467" s="214">
        <f>[47]人員・時間計画!K14</f>
        <v>5</v>
      </c>
      <c r="O467" s="214">
        <f>[47]人員・時間計画!L14</f>
        <v>5</v>
      </c>
      <c r="P467" s="214">
        <f>[47]人員・時間計画!M14</f>
        <v>5</v>
      </c>
      <c r="Q467" s="214">
        <f>[47]人員・時間計画!N14</f>
        <v>5</v>
      </c>
    </row>
    <row r="468" spans="1:17" ht="14.5" hidden="1" thickBot="1">
      <c r="A468">
        <f>[47]人員・時間計画!$A$5</f>
        <v>1412000042</v>
      </c>
      <c r="B468" t="str">
        <f>[47]人員・時間計画!$B$5</f>
        <v>第2資材課</v>
      </c>
      <c r="D468" s="197"/>
      <c r="E468" s="197"/>
    </row>
    <row r="469" spans="1:17" ht="14.5" hidden="1" thickBot="1">
      <c r="A469">
        <f>[47]人員・時間計画!$A$5</f>
        <v>1412000042</v>
      </c>
      <c r="B469" t="str">
        <f>[47]人員・時間計画!$B$5</f>
        <v>第2資材課</v>
      </c>
      <c r="C469" s="185" t="s">
        <v>202</v>
      </c>
      <c r="D469" s="185" t="s">
        <v>202</v>
      </c>
      <c r="E469" s="186"/>
    </row>
    <row r="470" spans="1:17" ht="14.5" hidden="1" thickBot="1">
      <c r="A470">
        <f>[47]人員・時間計画!$A$5</f>
        <v>1412000042</v>
      </c>
      <c r="B470" t="str">
        <f>[47]人員・時間計画!$B$5</f>
        <v>第2資材課</v>
      </c>
      <c r="C470" s="185" t="s">
        <v>202</v>
      </c>
      <c r="D470" s="198" t="s">
        <v>194</v>
      </c>
      <c r="E470" s="199"/>
      <c r="F470" s="182">
        <f>[47]人員・時間計画!C17</f>
        <v>161.5</v>
      </c>
      <c r="G470" s="182">
        <f>[47]人員・時間計画!D17</f>
        <v>153</v>
      </c>
      <c r="H470" s="182">
        <f>[47]人員・時間計画!E17</f>
        <v>170</v>
      </c>
      <c r="I470" s="182">
        <f>[47]人員・時間計画!F17</f>
        <v>187</v>
      </c>
      <c r="J470" s="182">
        <f>[47]人員・時間計画!G17</f>
        <v>161.5</v>
      </c>
      <c r="K470" s="182">
        <f>[47]人員・時間計画!H17</f>
        <v>153</v>
      </c>
      <c r="L470" s="182">
        <f>[47]人員・時間計画!I17</f>
        <v>187</v>
      </c>
      <c r="M470" s="182">
        <f>[47]人員・時間計画!J17</f>
        <v>161.5</v>
      </c>
      <c r="N470" s="182">
        <f>[47]人員・時間計画!K17</f>
        <v>178.5</v>
      </c>
      <c r="O470" s="182">
        <f>[47]人員・時間計画!L17</f>
        <v>161.5</v>
      </c>
      <c r="P470" s="182">
        <f>[47]人員・時間計画!M17</f>
        <v>85</v>
      </c>
      <c r="Q470" s="182">
        <f>[47]人員・時間計画!N17</f>
        <v>161.5</v>
      </c>
    </row>
    <row r="471" spans="1:17" ht="14.5" hidden="1" thickBot="1">
      <c r="A471">
        <f>[47]人員・時間計画!$A$5</f>
        <v>1412000042</v>
      </c>
      <c r="B471" t="str">
        <f>[47]人員・時間計画!$B$5</f>
        <v>第2資材課</v>
      </c>
      <c r="C471" s="185" t="s">
        <v>202</v>
      </c>
      <c r="D471" s="200"/>
      <c r="E471" s="190" t="s">
        <v>139</v>
      </c>
      <c r="F471" s="182">
        <f>[47]人員・時間計画!C18</f>
        <v>643</v>
      </c>
      <c r="G471" s="182">
        <f>[47]人員・時間計画!D18</f>
        <v>610</v>
      </c>
      <c r="H471" s="182">
        <f>[47]人員・時間計画!E18</f>
        <v>664</v>
      </c>
      <c r="I471" s="182">
        <f>[47]人員・時間計画!F18</f>
        <v>748</v>
      </c>
      <c r="J471" s="182">
        <f>[47]人員・時間計画!G18</f>
        <v>646</v>
      </c>
      <c r="K471" s="182">
        <f>[47]人員・時間計画!H18</f>
        <v>646</v>
      </c>
      <c r="L471" s="182">
        <f>[47]人員・時間計画!I18</f>
        <v>765</v>
      </c>
      <c r="M471" s="182">
        <f>[47]人員・時間計画!J18</f>
        <v>663</v>
      </c>
      <c r="N471" s="182">
        <f>[47]人員・時間計画!K18</f>
        <v>748</v>
      </c>
      <c r="O471" s="182">
        <f>[47]人員・時間計画!L18</f>
        <v>663</v>
      </c>
      <c r="P471" s="182">
        <f>[47]人員・時間計画!M18</f>
        <v>493</v>
      </c>
      <c r="Q471" s="182">
        <f>[47]人員・時間計画!N18</f>
        <v>646</v>
      </c>
    </row>
    <row r="472" spans="1:17" ht="14.5" thickBot="1">
      <c r="A472">
        <f>[47]人員・時間計画!$A$5</f>
        <v>1412000042</v>
      </c>
      <c r="B472" t="str">
        <f>[47]人員・時間計画!$B$5</f>
        <v>第2資材課</v>
      </c>
      <c r="C472" s="185" t="s">
        <v>202</v>
      </c>
      <c r="D472" s="201" t="s">
        <v>195</v>
      </c>
      <c r="E472" s="192" t="s">
        <v>140</v>
      </c>
      <c r="F472" s="182">
        <f>[47]人員・時間計画!C19</f>
        <v>0</v>
      </c>
      <c r="G472" s="182">
        <f>[47]人員・時間計画!D19</f>
        <v>0</v>
      </c>
      <c r="H472" s="182">
        <f>[47]人員・時間計画!E19</f>
        <v>0</v>
      </c>
      <c r="I472" s="182">
        <f>[47]人員・時間計画!F19</f>
        <v>0</v>
      </c>
      <c r="J472" s="182">
        <f>[47]人員・時間計画!G19</f>
        <v>0</v>
      </c>
      <c r="K472" s="182">
        <f>[47]人員・時間計画!H19</f>
        <v>0</v>
      </c>
      <c r="L472" s="182">
        <f>[47]人員・時間計画!I19</f>
        <v>0</v>
      </c>
      <c r="M472" s="182">
        <f>[47]人員・時間計画!J19</f>
        <v>0</v>
      </c>
      <c r="N472" s="182">
        <f>[47]人員・時間計画!K19</f>
        <v>0</v>
      </c>
      <c r="O472" s="182">
        <f>[47]人員・時間計画!L19</f>
        <v>0</v>
      </c>
      <c r="P472" s="182">
        <f>[47]人員・時間計画!M19</f>
        <v>0</v>
      </c>
      <c r="Q472" s="182">
        <f>[47]人員・時間計画!N19</f>
        <v>0</v>
      </c>
    </row>
    <row r="473" spans="1:17" ht="14.5" hidden="1" thickBot="1">
      <c r="A473">
        <f>[47]人員・時間計画!$A$5</f>
        <v>1412000042</v>
      </c>
      <c r="B473" t="str">
        <f>[47]人員・時間計画!$B$5</f>
        <v>第2資材課</v>
      </c>
      <c r="C473" s="185" t="s">
        <v>202</v>
      </c>
      <c r="D473" s="202"/>
      <c r="E473" s="203" t="s">
        <v>138</v>
      </c>
      <c r="F473" s="182">
        <f>[47]人員・時間計画!C20</f>
        <v>643</v>
      </c>
      <c r="G473" s="182">
        <f>[47]人員・時間計画!D20</f>
        <v>610</v>
      </c>
      <c r="H473" s="182">
        <f>[47]人員・時間計画!E20</f>
        <v>664</v>
      </c>
      <c r="I473" s="182">
        <f>[47]人員・時間計画!F20</f>
        <v>748</v>
      </c>
      <c r="J473" s="182">
        <f>[47]人員・時間計画!G20</f>
        <v>646</v>
      </c>
      <c r="K473" s="182">
        <f>[47]人員・時間計画!H20</f>
        <v>646</v>
      </c>
      <c r="L473" s="182">
        <f>[47]人員・時間計画!I20</f>
        <v>765</v>
      </c>
      <c r="M473" s="182">
        <f>[47]人員・時間計画!J20</f>
        <v>663</v>
      </c>
      <c r="N473" s="182">
        <f>[47]人員・時間計画!K20</f>
        <v>748</v>
      </c>
      <c r="O473" s="182">
        <f>[47]人員・時間計画!L20</f>
        <v>663</v>
      </c>
      <c r="P473" s="182">
        <f>[47]人員・時間計画!M20</f>
        <v>493</v>
      </c>
      <c r="Q473" s="182">
        <f>[47]人員・時間計画!N20</f>
        <v>646</v>
      </c>
    </row>
    <row r="474" spans="1:17" ht="14.5" hidden="1" thickBot="1">
      <c r="A474">
        <f>[47]人員・時間計画!$A$5</f>
        <v>1412000042</v>
      </c>
      <c r="B474" t="str">
        <f>[47]人員・時間計画!$B$5</f>
        <v>第2資材課</v>
      </c>
      <c r="C474" s="185" t="s">
        <v>202</v>
      </c>
      <c r="D474" s="204" t="s">
        <v>215</v>
      </c>
      <c r="E474" s="205"/>
      <c r="F474" s="182">
        <f>[47]人員・時間計画!C21</f>
        <v>804.5</v>
      </c>
      <c r="G474" s="182">
        <f>[47]人員・時間計画!D21</f>
        <v>763</v>
      </c>
      <c r="H474" s="182">
        <f>[47]人員・時間計画!E21</f>
        <v>834</v>
      </c>
      <c r="I474" s="182">
        <f>[47]人員・時間計画!F21</f>
        <v>935</v>
      </c>
      <c r="J474" s="182">
        <f>[47]人員・時間計画!G21</f>
        <v>807.5</v>
      </c>
      <c r="K474" s="182">
        <f>[47]人員・時間計画!H21</f>
        <v>799</v>
      </c>
      <c r="L474" s="182">
        <f>[47]人員・時間計画!I21</f>
        <v>952</v>
      </c>
      <c r="M474" s="182">
        <f>[47]人員・時間計画!J21</f>
        <v>824.5</v>
      </c>
      <c r="N474" s="182">
        <f>[47]人員・時間計画!K21</f>
        <v>926.5</v>
      </c>
      <c r="O474" s="182">
        <f>[47]人員・時間計画!L21</f>
        <v>824.5</v>
      </c>
      <c r="P474" s="182">
        <f>[47]人員・時間計画!M21</f>
        <v>578</v>
      </c>
      <c r="Q474" s="182">
        <f>[47]人員・時間計画!N21</f>
        <v>807.5</v>
      </c>
    </row>
    <row r="475" spans="1:17" ht="14.5" hidden="1" thickBot="1">
      <c r="A475">
        <f>[47]人員・時間計画!$A$5</f>
        <v>1412000042</v>
      </c>
      <c r="B475" t="str">
        <f>[47]人員・時間計画!$B$5</f>
        <v>第2資材課</v>
      </c>
      <c r="D475" s="197"/>
      <c r="E475" s="197"/>
    </row>
    <row r="476" spans="1:17" ht="14.5" hidden="1" thickBot="1">
      <c r="A476">
        <f>[47]人員・時間計画!$A$5</f>
        <v>1412000042</v>
      </c>
      <c r="B476" t="str">
        <f>[47]人員・時間計画!$B$5</f>
        <v>第2資材課</v>
      </c>
      <c r="C476" s="185" t="s">
        <v>71</v>
      </c>
      <c r="D476" s="185" t="s">
        <v>71</v>
      </c>
      <c r="E476" s="186"/>
    </row>
    <row r="477" spans="1:17" ht="14.5" hidden="1" thickBot="1">
      <c r="A477">
        <f>[47]人員・時間計画!$A$5</f>
        <v>1412000042</v>
      </c>
      <c r="B477" t="str">
        <f>[47]人員・時間計画!$B$5</f>
        <v>第2資材課</v>
      </c>
      <c r="C477" s="185" t="s">
        <v>71</v>
      </c>
      <c r="D477" s="198" t="s">
        <v>194</v>
      </c>
      <c r="E477" s="199"/>
      <c r="F477" s="182">
        <f>[47]人員・時間計画!C24</f>
        <v>38</v>
      </c>
      <c r="G477" s="182">
        <f>[47]人員・時間計画!D24</f>
        <v>36</v>
      </c>
      <c r="H477" s="182">
        <f>[47]人員・時間計画!E24</f>
        <v>40</v>
      </c>
      <c r="I477" s="182">
        <f>[47]人員・時間計画!F24</f>
        <v>44</v>
      </c>
      <c r="J477" s="182">
        <f>[47]人員・時間計画!G24</f>
        <v>38</v>
      </c>
      <c r="K477" s="182">
        <f>[47]人員・時間計画!H24</f>
        <v>36</v>
      </c>
      <c r="L477" s="182">
        <f>[47]人員・時間計画!I24</f>
        <v>44</v>
      </c>
      <c r="M477" s="182">
        <f>[47]人員・時間計画!J24</f>
        <v>38</v>
      </c>
      <c r="N477" s="182">
        <f>[47]人員・時間計画!K24</f>
        <v>42</v>
      </c>
      <c r="O477" s="182">
        <f>[47]人員・時間計画!L24</f>
        <v>38</v>
      </c>
      <c r="P477" s="182">
        <f>[47]人員・時間計画!M24</f>
        <v>20</v>
      </c>
      <c r="Q477" s="182">
        <f>[47]人員・時間計画!N24</f>
        <v>38</v>
      </c>
    </row>
    <row r="478" spans="1:17" ht="14.5" hidden="1" thickBot="1">
      <c r="A478">
        <f>[47]人員・時間計画!$A$5</f>
        <v>1412000042</v>
      </c>
      <c r="B478" t="str">
        <f>[47]人員・時間計画!$B$5</f>
        <v>第2資材課</v>
      </c>
      <c r="C478" s="185" t="s">
        <v>71</v>
      </c>
      <c r="D478" s="200"/>
      <c r="E478" s="206" t="s">
        <v>139</v>
      </c>
      <c r="F478" s="182">
        <f>[47]人員・時間計画!C25</f>
        <v>38</v>
      </c>
      <c r="G478" s="182">
        <f>[47]人員・時間計画!D25</f>
        <v>36</v>
      </c>
      <c r="H478" s="182">
        <f>[47]人員・時間計画!E25</f>
        <v>38</v>
      </c>
      <c r="I478" s="182">
        <f>[47]人員・時間計画!F25</f>
        <v>42</v>
      </c>
      <c r="J478" s="182">
        <f>[47]人員・時間計画!G25</f>
        <v>36</v>
      </c>
      <c r="K478" s="182">
        <f>[47]人員・時間計画!H25</f>
        <v>38</v>
      </c>
      <c r="L478" s="182">
        <f>[47]人員・時間計画!I25</f>
        <v>44</v>
      </c>
      <c r="M478" s="182">
        <f>[47]人員・時間計画!J25</f>
        <v>38</v>
      </c>
      <c r="N478" s="182">
        <f>[47]人員・時間計画!K25</f>
        <v>44</v>
      </c>
      <c r="O478" s="182">
        <f>[47]人員・時間計画!L25</f>
        <v>38</v>
      </c>
      <c r="P478" s="182">
        <f>[47]人員・時間計画!M25</f>
        <v>28</v>
      </c>
      <c r="Q478" s="182">
        <f>[47]人員・時間計画!N25</f>
        <v>36</v>
      </c>
    </row>
    <row r="479" spans="1:17" ht="14.5" thickBot="1">
      <c r="A479">
        <f>[47]人員・時間計画!$A$5</f>
        <v>1412000042</v>
      </c>
      <c r="B479" t="str">
        <f>[47]人員・時間計画!$B$5</f>
        <v>第2資材課</v>
      </c>
      <c r="C479" s="185" t="s">
        <v>71</v>
      </c>
      <c r="D479" s="201" t="s">
        <v>195</v>
      </c>
      <c r="E479" s="207" t="s">
        <v>140</v>
      </c>
      <c r="F479" s="182">
        <f>[47]人員・時間計画!C26</f>
        <v>0</v>
      </c>
      <c r="G479" s="182">
        <f>[47]人員・時間計画!D26</f>
        <v>0</v>
      </c>
      <c r="H479" s="182">
        <f>[47]人員・時間計画!E26</f>
        <v>0</v>
      </c>
      <c r="I479" s="182">
        <f>[47]人員・時間計画!F26</f>
        <v>0</v>
      </c>
      <c r="J479" s="182">
        <f>[47]人員・時間計画!G26</f>
        <v>0</v>
      </c>
      <c r="K479" s="182">
        <f>[47]人員・時間計画!H26</f>
        <v>0</v>
      </c>
      <c r="L479" s="182">
        <f>[47]人員・時間計画!I26</f>
        <v>0</v>
      </c>
      <c r="M479" s="182">
        <f>[47]人員・時間計画!J26</f>
        <v>0</v>
      </c>
      <c r="N479" s="182">
        <f>[47]人員・時間計画!K26</f>
        <v>0</v>
      </c>
      <c r="O479" s="182">
        <f>[47]人員・時間計画!L26</f>
        <v>0</v>
      </c>
      <c r="P479" s="182">
        <f>[47]人員・時間計画!M26</f>
        <v>0</v>
      </c>
      <c r="Q479" s="182">
        <f>[47]人員・時間計画!N26</f>
        <v>0</v>
      </c>
    </row>
    <row r="480" spans="1:17" ht="14.5" hidden="1" thickBot="1">
      <c r="A480">
        <f>[47]人員・時間計画!$A$5</f>
        <v>1412000042</v>
      </c>
      <c r="B480" t="str">
        <f>[47]人員・時間計画!$B$5</f>
        <v>第2資材課</v>
      </c>
      <c r="C480" s="185" t="s">
        <v>71</v>
      </c>
      <c r="D480" s="202"/>
      <c r="E480" s="203" t="s">
        <v>138</v>
      </c>
      <c r="F480" s="182">
        <f>[47]人員・時間計画!C27</f>
        <v>38</v>
      </c>
      <c r="G480" s="182">
        <f>[47]人員・時間計画!D27</f>
        <v>36</v>
      </c>
      <c r="H480" s="182">
        <f>[47]人員・時間計画!E27</f>
        <v>38</v>
      </c>
      <c r="I480" s="182">
        <f>[47]人員・時間計画!F27</f>
        <v>42</v>
      </c>
      <c r="J480" s="182">
        <f>[47]人員・時間計画!G27</f>
        <v>36</v>
      </c>
      <c r="K480" s="182">
        <f>[47]人員・時間計画!H27</f>
        <v>38</v>
      </c>
      <c r="L480" s="182">
        <f>[47]人員・時間計画!I27</f>
        <v>44</v>
      </c>
      <c r="M480" s="182">
        <f>[47]人員・時間計画!J27</f>
        <v>38</v>
      </c>
      <c r="N480" s="182">
        <f>[47]人員・時間計画!K27</f>
        <v>44</v>
      </c>
      <c r="O480" s="182">
        <f>[47]人員・時間計画!L27</f>
        <v>38</v>
      </c>
      <c r="P480" s="182">
        <f>[47]人員・時間計画!M27</f>
        <v>28</v>
      </c>
      <c r="Q480" s="182">
        <f>[47]人員・時間計画!N27</f>
        <v>36</v>
      </c>
    </row>
    <row r="481" spans="1:17" ht="14.5" hidden="1" thickBot="1">
      <c r="A481">
        <f>[47]人員・時間計画!$A$5</f>
        <v>1412000042</v>
      </c>
      <c r="B481" t="str">
        <f>[47]人員・時間計画!$B$5</f>
        <v>第2資材課</v>
      </c>
      <c r="C481" s="185" t="s">
        <v>71</v>
      </c>
      <c r="D481" s="204" t="s">
        <v>216</v>
      </c>
      <c r="E481" s="205"/>
      <c r="F481" s="182">
        <f>[47]人員・時間計画!C28</f>
        <v>76</v>
      </c>
      <c r="G481" s="182">
        <f>[47]人員・時間計画!D28</f>
        <v>72</v>
      </c>
      <c r="H481" s="182">
        <f>[47]人員・時間計画!E28</f>
        <v>78</v>
      </c>
      <c r="I481" s="182">
        <f>[47]人員・時間計画!F28</f>
        <v>86</v>
      </c>
      <c r="J481" s="182">
        <f>[47]人員・時間計画!G28</f>
        <v>74</v>
      </c>
      <c r="K481" s="182">
        <f>[47]人員・時間計画!H28</f>
        <v>74</v>
      </c>
      <c r="L481" s="182">
        <f>[47]人員・時間計画!I28</f>
        <v>88</v>
      </c>
      <c r="M481" s="182">
        <f>[47]人員・時間計画!J28</f>
        <v>76</v>
      </c>
      <c r="N481" s="182">
        <f>[47]人員・時間計画!K28</f>
        <v>86</v>
      </c>
      <c r="O481" s="182">
        <f>[47]人員・時間計画!L28</f>
        <v>76</v>
      </c>
      <c r="P481" s="182">
        <f>[47]人員・時間計画!M28</f>
        <v>48</v>
      </c>
      <c r="Q481" s="182">
        <f>[47]人員・時間計画!N28</f>
        <v>74</v>
      </c>
    </row>
    <row r="482" spans="1:17" ht="14.5" hidden="1" thickBot="1">
      <c r="A482">
        <f>[48]人員・時間計画!$A$5</f>
        <v>1412000021</v>
      </c>
      <c r="B482" t="str">
        <f>[48]人員・時間計画!$B$5</f>
        <v>第3資材課</v>
      </c>
      <c r="C482" s="185" t="s">
        <v>3</v>
      </c>
      <c r="D482" s="185" t="s">
        <v>3</v>
      </c>
      <c r="E482" s="186"/>
    </row>
    <row r="483" spans="1:17" ht="14.5" hidden="1" thickBot="1">
      <c r="A483">
        <f>[48]人員・時間計画!$A$5</f>
        <v>1412000021</v>
      </c>
      <c r="B483" t="str">
        <f>[48]人員・時間計画!$B$5</f>
        <v>第3資材課</v>
      </c>
      <c r="C483" s="185" t="s">
        <v>3</v>
      </c>
      <c r="D483" s="187" t="s">
        <v>194</v>
      </c>
      <c r="E483" s="188"/>
      <c r="F483" s="214">
        <f>[48]人員・時間計画!C10</f>
        <v>1</v>
      </c>
      <c r="G483" s="214">
        <f>[48]人員・時間計画!D10</f>
        <v>1</v>
      </c>
      <c r="H483" s="214">
        <f>[48]人員・時間計画!E10</f>
        <v>1</v>
      </c>
      <c r="I483" s="214">
        <f>[48]人員・時間計画!F10</f>
        <v>1</v>
      </c>
      <c r="J483" s="214">
        <f>[48]人員・時間計画!G10</f>
        <v>1</v>
      </c>
      <c r="K483" s="214">
        <f>[48]人員・時間計画!H10</f>
        <v>1</v>
      </c>
      <c r="L483" s="214">
        <f>[48]人員・時間計画!I10</f>
        <v>1</v>
      </c>
      <c r="M483" s="214">
        <f>[48]人員・時間計画!J10</f>
        <v>1</v>
      </c>
      <c r="N483" s="214">
        <f>[48]人員・時間計画!K10</f>
        <v>1</v>
      </c>
      <c r="O483" s="214">
        <f>[48]人員・時間計画!L10</f>
        <v>1</v>
      </c>
      <c r="P483" s="214">
        <f>[48]人員・時間計画!M10</f>
        <v>1</v>
      </c>
      <c r="Q483" s="214">
        <f>[48]人員・時間計画!N10</f>
        <v>1</v>
      </c>
    </row>
    <row r="484" spans="1:17" ht="14.5" hidden="1" thickBot="1">
      <c r="A484">
        <f>[48]人員・時間計画!$A$5</f>
        <v>1412000021</v>
      </c>
      <c r="B484" t="str">
        <f>[48]人員・時間計画!$B$5</f>
        <v>第3資材課</v>
      </c>
      <c r="C484" s="185" t="s">
        <v>3</v>
      </c>
      <c r="D484" s="189"/>
      <c r="E484" s="190" t="s">
        <v>139</v>
      </c>
      <c r="F484" s="214">
        <f>[48]人員・時間計画!C11</f>
        <v>6</v>
      </c>
      <c r="G484" s="214">
        <f>[48]人員・時間計画!D11</f>
        <v>6</v>
      </c>
      <c r="H484" s="214">
        <f>[48]人員・時間計画!E11</f>
        <v>6</v>
      </c>
      <c r="I484" s="214">
        <f>[48]人員・時間計画!F11</f>
        <v>6</v>
      </c>
      <c r="J484" s="214">
        <f>[48]人員・時間計画!G11</f>
        <v>6</v>
      </c>
      <c r="K484" s="214">
        <f>[48]人員・時間計画!H11</f>
        <v>6</v>
      </c>
      <c r="L484" s="214">
        <f>[48]人員・時間計画!I11</f>
        <v>6</v>
      </c>
      <c r="M484" s="214">
        <f>[48]人員・時間計画!J11</f>
        <v>6</v>
      </c>
      <c r="N484" s="214">
        <f>[48]人員・時間計画!K11</f>
        <v>6</v>
      </c>
      <c r="O484" s="214">
        <f>[48]人員・時間計画!L11</f>
        <v>6</v>
      </c>
      <c r="P484" s="214">
        <f>[48]人員・時間計画!M11</f>
        <v>6</v>
      </c>
      <c r="Q484" s="214">
        <f>[48]人員・時間計画!N11</f>
        <v>6</v>
      </c>
    </row>
    <row r="485" spans="1:17" ht="14.5" thickBot="1">
      <c r="A485">
        <f>[48]人員・時間計画!$A$5</f>
        <v>1412000021</v>
      </c>
      <c r="B485" t="str">
        <f>[48]人員・時間計画!$B$5</f>
        <v>第3資材課</v>
      </c>
      <c r="C485" s="185" t="s">
        <v>3</v>
      </c>
      <c r="D485" s="191" t="s">
        <v>195</v>
      </c>
      <c r="E485" s="192" t="s">
        <v>140</v>
      </c>
      <c r="F485" s="214">
        <f>[48]人員・時間計画!C12</f>
        <v>0</v>
      </c>
      <c r="G485" s="214">
        <f>[48]人員・時間計画!D12</f>
        <v>0</v>
      </c>
      <c r="H485" s="214">
        <f>[48]人員・時間計画!E12</f>
        <v>0</v>
      </c>
      <c r="I485" s="214">
        <f>[48]人員・時間計画!F12</f>
        <v>0</v>
      </c>
      <c r="J485" s="214">
        <f>[48]人員・時間計画!G12</f>
        <v>0</v>
      </c>
      <c r="K485" s="214">
        <f>[48]人員・時間計画!H12</f>
        <v>0</v>
      </c>
      <c r="L485" s="214">
        <f>[48]人員・時間計画!I12</f>
        <v>0</v>
      </c>
      <c r="M485" s="214">
        <f>[48]人員・時間計画!J12</f>
        <v>0</v>
      </c>
      <c r="N485" s="214">
        <f>[48]人員・時間計画!K12</f>
        <v>0</v>
      </c>
      <c r="O485" s="214">
        <f>[48]人員・時間計画!L12</f>
        <v>0</v>
      </c>
      <c r="P485" s="214">
        <f>[48]人員・時間計画!M12</f>
        <v>0</v>
      </c>
      <c r="Q485" s="214">
        <f>[48]人員・時間計画!N12</f>
        <v>0</v>
      </c>
    </row>
    <row r="486" spans="1:17" ht="14.5" hidden="1" thickBot="1">
      <c r="A486">
        <f>[48]人員・時間計画!$A$5</f>
        <v>1412000021</v>
      </c>
      <c r="B486" t="str">
        <f>[48]人員・時間計画!$B$5</f>
        <v>第3資材課</v>
      </c>
      <c r="C486" s="185" t="s">
        <v>3</v>
      </c>
      <c r="D486" s="193"/>
      <c r="E486" s="194" t="s">
        <v>138</v>
      </c>
      <c r="F486" s="214">
        <f>[48]人員・時間計画!C13</f>
        <v>6</v>
      </c>
      <c r="G486" s="214">
        <f>[48]人員・時間計画!D13</f>
        <v>6</v>
      </c>
      <c r="H486" s="214">
        <f>[48]人員・時間計画!E13</f>
        <v>6</v>
      </c>
      <c r="I486" s="214">
        <f>[48]人員・時間計画!F13</f>
        <v>6</v>
      </c>
      <c r="J486" s="214">
        <f>[48]人員・時間計画!G13</f>
        <v>6</v>
      </c>
      <c r="K486" s="214">
        <f>[48]人員・時間計画!H13</f>
        <v>6</v>
      </c>
      <c r="L486" s="214">
        <f>[48]人員・時間計画!I13</f>
        <v>6</v>
      </c>
      <c r="M486" s="214">
        <f>[48]人員・時間計画!J13</f>
        <v>6</v>
      </c>
      <c r="N486" s="214">
        <f>[48]人員・時間計画!K13</f>
        <v>6</v>
      </c>
      <c r="O486" s="214">
        <f>[48]人員・時間計画!L13</f>
        <v>6</v>
      </c>
      <c r="P486" s="214">
        <f>[48]人員・時間計画!M13</f>
        <v>6</v>
      </c>
      <c r="Q486" s="214">
        <f>[48]人員・時間計画!N13</f>
        <v>6</v>
      </c>
    </row>
    <row r="487" spans="1:17" ht="14.5" hidden="1" thickBot="1">
      <c r="A487">
        <f>[48]人員・時間計画!$A$5</f>
        <v>1412000021</v>
      </c>
      <c r="B487" t="str">
        <f>[48]人員・時間計画!$B$5</f>
        <v>第3資材課</v>
      </c>
      <c r="C487" s="185" t="s">
        <v>3</v>
      </c>
      <c r="D487" s="195" t="s">
        <v>196</v>
      </c>
      <c r="E487" s="196"/>
      <c r="F487" s="214">
        <f>[48]人員・時間計画!C14</f>
        <v>7</v>
      </c>
      <c r="G487" s="214">
        <f>[48]人員・時間計画!D14</f>
        <v>7</v>
      </c>
      <c r="H487" s="214">
        <f>[48]人員・時間計画!E14</f>
        <v>7</v>
      </c>
      <c r="I487" s="214">
        <f>[48]人員・時間計画!F14</f>
        <v>7</v>
      </c>
      <c r="J487" s="214">
        <f>[48]人員・時間計画!G14</f>
        <v>7</v>
      </c>
      <c r="K487" s="214">
        <f>[48]人員・時間計画!H14</f>
        <v>7</v>
      </c>
      <c r="L487" s="214">
        <f>[48]人員・時間計画!I14</f>
        <v>7</v>
      </c>
      <c r="M487" s="214">
        <f>[48]人員・時間計画!J14</f>
        <v>7</v>
      </c>
      <c r="N487" s="214">
        <f>[48]人員・時間計画!K14</f>
        <v>7</v>
      </c>
      <c r="O487" s="214">
        <f>[48]人員・時間計画!L14</f>
        <v>7</v>
      </c>
      <c r="P487" s="214">
        <f>[48]人員・時間計画!M14</f>
        <v>7</v>
      </c>
      <c r="Q487" s="214">
        <f>[48]人員・時間計画!N14</f>
        <v>7</v>
      </c>
    </row>
    <row r="488" spans="1:17" ht="14.5" hidden="1" thickBot="1">
      <c r="A488">
        <f>[48]人員・時間計画!$A$5</f>
        <v>1412000021</v>
      </c>
      <c r="B488" t="str">
        <f>[48]人員・時間計画!$B$5</f>
        <v>第3資材課</v>
      </c>
      <c r="D488" s="197"/>
      <c r="E488" s="197"/>
    </row>
    <row r="489" spans="1:17" ht="14.5" hidden="1" thickBot="1">
      <c r="A489">
        <f>[48]人員・時間計画!$A$5</f>
        <v>1412000021</v>
      </c>
      <c r="B489" t="str">
        <f>[48]人員・時間計画!$B$5</f>
        <v>第3資材課</v>
      </c>
      <c r="C489" s="185" t="s">
        <v>202</v>
      </c>
      <c r="D489" s="185" t="s">
        <v>202</v>
      </c>
      <c r="E489" s="186"/>
    </row>
    <row r="490" spans="1:17" ht="14.5" hidden="1" thickBot="1">
      <c r="A490">
        <f>[48]人員・時間計画!$A$5</f>
        <v>1412000021</v>
      </c>
      <c r="B490" t="str">
        <f>[48]人員・時間計画!$B$5</f>
        <v>第3資材課</v>
      </c>
      <c r="C490" s="185" t="s">
        <v>202</v>
      </c>
      <c r="D490" s="198" t="s">
        <v>194</v>
      </c>
      <c r="E490" s="199"/>
      <c r="F490" s="182">
        <f>[48]人員・時間計画!C17</f>
        <v>170</v>
      </c>
      <c r="G490" s="182">
        <f>[48]人員・時間計画!D17</f>
        <v>161.5</v>
      </c>
      <c r="H490" s="182">
        <f>[48]人員・時間計画!E17</f>
        <v>178.5</v>
      </c>
      <c r="I490" s="182">
        <f>[48]人員・時間計画!F17</f>
        <v>195.5</v>
      </c>
      <c r="J490" s="182">
        <f>[48]人員・時間計画!G17</f>
        <v>127.5</v>
      </c>
      <c r="K490" s="182">
        <f>[48]人員・時間計画!H17</f>
        <v>161.5</v>
      </c>
      <c r="L490" s="182">
        <f>[48]人員・時間計画!I17</f>
        <v>153</v>
      </c>
      <c r="M490" s="182">
        <f>[48]人員・時間計画!J17</f>
        <v>170</v>
      </c>
      <c r="N490" s="182">
        <f>[48]人員・時間計画!K17</f>
        <v>187</v>
      </c>
      <c r="O490" s="182">
        <f>[48]人員・時間計画!L17</f>
        <v>170</v>
      </c>
      <c r="P490" s="182">
        <f>[48]人員・時間計画!M17</f>
        <v>127.5</v>
      </c>
      <c r="Q490" s="182">
        <f>[48]人員・時間計画!N17</f>
        <v>170</v>
      </c>
    </row>
    <row r="491" spans="1:17" ht="14.5" hidden="1" thickBot="1">
      <c r="A491">
        <f>[48]人員・時間計画!$A$5</f>
        <v>1412000021</v>
      </c>
      <c r="B491" t="str">
        <f>[48]人員・時間計画!$B$5</f>
        <v>第3資材課</v>
      </c>
      <c r="C491" s="185" t="s">
        <v>202</v>
      </c>
      <c r="D491" s="200"/>
      <c r="E491" s="190" t="s">
        <v>139</v>
      </c>
      <c r="F491" s="182">
        <f>[48]人員・時間計画!C18</f>
        <v>749</v>
      </c>
      <c r="G491" s="182">
        <f>[48]人員・時間計画!D18</f>
        <v>737.5</v>
      </c>
      <c r="H491" s="182">
        <f>[48]人員・時間計画!E18</f>
        <v>820.5</v>
      </c>
      <c r="I491" s="182">
        <f>[48]人員・時間計画!F18</f>
        <v>903.5</v>
      </c>
      <c r="J491" s="182">
        <f>[48]人員・時間計画!G18</f>
        <v>779</v>
      </c>
      <c r="K491" s="182">
        <f>[48]人員・時間計画!H18</f>
        <v>880</v>
      </c>
      <c r="L491" s="182">
        <f>[48]人員・時間計画!I18</f>
        <v>1095</v>
      </c>
      <c r="M491" s="182">
        <f>[48]人員・時間計画!J18</f>
        <v>949</v>
      </c>
      <c r="N491" s="182">
        <f>[48]人員・時間計画!K18</f>
        <v>1049</v>
      </c>
      <c r="O491" s="182">
        <f>[48]人員・時間計画!L18</f>
        <v>949</v>
      </c>
      <c r="P491" s="182">
        <f>[48]人員・時間計画!M18</f>
        <v>699</v>
      </c>
      <c r="Q491" s="182">
        <f>[48]人員・時間計画!N18</f>
        <v>969</v>
      </c>
    </row>
    <row r="492" spans="1:17" ht="14.5" thickBot="1">
      <c r="A492">
        <f>[48]人員・時間計画!$A$5</f>
        <v>1412000021</v>
      </c>
      <c r="B492" t="str">
        <f>[48]人員・時間計画!$B$5</f>
        <v>第3資材課</v>
      </c>
      <c r="C492" s="185" t="s">
        <v>202</v>
      </c>
      <c r="D492" s="201" t="s">
        <v>195</v>
      </c>
      <c r="E492" s="192" t="s">
        <v>140</v>
      </c>
      <c r="F492" s="182">
        <f>[48]人員・時間計画!C19</f>
        <v>0</v>
      </c>
      <c r="G492" s="182">
        <f>[48]人員・時間計画!D19</f>
        <v>0</v>
      </c>
      <c r="H492" s="182">
        <f>[48]人員・時間計画!E19</f>
        <v>0</v>
      </c>
      <c r="I492" s="182">
        <f>[48]人員・時間計画!F19</f>
        <v>0</v>
      </c>
      <c r="J492" s="182">
        <f>[48]人員・時間計画!G19</f>
        <v>0</v>
      </c>
      <c r="K492" s="182">
        <f>[48]人員・時間計画!H19</f>
        <v>0</v>
      </c>
      <c r="L492" s="182">
        <f>[48]人員・時間計画!I19</f>
        <v>0</v>
      </c>
      <c r="M492" s="182">
        <f>[48]人員・時間計画!J19</f>
        <v>0</v>
      </c>
      <c r="N492" s="182">
        <f>[48]人員・時間計画!K19</f>
        <v>0</v>
      </c>
      <c r="O492" s="182">
        <f>[48]人員・時間計画!L19</f>
        <v>0</v>
      </c>
      <c r="P492" s="182">
        <f>[48]人員・時間計画!M19</f>
        <v>0</v>
      </c>
      <c r="Q492" s="182">
        <f>[48]人員・時間計画!N19</f>
        <v>0</v>
      </c>
    </row>
    <row r="493" spans="1:17" ht="14.5" hidden="1" thickBot="1">
      <c r="A493">
        <f>[48]人員・時間計画!$A$5</f>
        <v>1412000021</v>
      </c>
      <c r="B493" t="str">
        <f>[48]人員・時間計画!$B$5</f>
        <v>第3資材課</v>
      </c>
      <c r="C493" s="185" t="s">
        <v>202</v>
      </c>
      <c r="D493" s="202"/>
      <c r="E493" s="203" t="s">
        <v>138</v>
      </c>
      <c r="F493" s="182">
        <f>[48]人員・時間計画!C20</f>
        <v>749</v>
      </c>
      <c r="G493" s="182">
        <f>[48]人員・時間計画!D20</f>
        <v>737.5</v>
      </c>
      <c r="H493" s="182">
        <f>[48]人員・時間計画!E20</f>
        <v>820.5</v>
      </c>
      <c r="I493" s="182">
        <f>[48]人員・時間計画!F20</f>
        <v>903.5</v>
      </c>
      <c r="J493" s="182">
        <f>[48]人員・時間計画!G20</f>
        <v>779</v>
      </c>
      <c r="K493" s="182">
        <f>[48]人員・時間計画!H20</f>
        <v>880</v>
      </c>
      <c r="L493" s="182">
        <f>[48]人員・時間計画!I20</f>
        <v>1095</v>
      </c>
      <c r="M493" s="182">
        <f>[48]人員・時間計画!J20</f>
        <v>949</v>
      </c>
      <c r="N493" s="182">
        <f>[48]人員・時間計画!K20</f>
        <v>1049</v>
      </c>
      <c r="O493" s="182">
        <f>[48]人員・時間計画!L20</f>
        <v>949</v>
      </c>
      <c r="P493" s="182">
        <f>[48]人員・時間計画!M20</f>
        <v>699</v>
      </c>
      <c r="Q493" s="182">
        <f>[48]人員・時間計画!N20</f>
        <v>969</v>
      </c>
    </row>
    <row r="494" spans="1:17" ht="14.5" hidden="1" thickBot="1">
      <c r="A494">
        <f>[48]人員・時間計画!$A$5</f>
        <v>1412000021</v>
      </c>
      <c r="B494" t="str">
        <f>[48]人員・時間計画!$B$5</f>
        <v>第3資材課</v>
      </c>
      <c r="C494" s="185" t="s">
        <v>202</v>
      </c>
      <c r="D494" s="204" t="s">
        <v>215</v>
      </c>
      <c r="E494" s="205"/>
      <c r="F494" s="182">
        <f>[48]人員・時間計画!C21</f>
        <v>919</v>
      </c>
      <c r="G494" s="182">
        <f>[48]人員・時間計画!D21</f>
        <v>899</v>
      </c>
      <c r="H494" s="182">
        <f>[48]人員・時間計画!E21</f>
        <v>999</v>
      </c>
      <c r="I494" s="182">
        <f>[48]人員・時間計画!F21</f>
        <v>1099</v>
      </c>
      <c r="J494" s="182">
        <f>[48]人員・時間計画!G21</f>
        <v>906.5</v>
      </c>
      <c r="K494" s="182">
        <f>[48]人員・時間計画!H21</f>
        <v>1041.5</v>
      </c>
      <c r="L494" s="182">
        <f>[48]人員・時間計画!I21</f>
        <v>1248</v>
      </c>
      <c r="M494" s="182">
        <f>[48]人員・時間計画!J21</f>
        <v>1119</v>
      </c>
      <c r="N494" s="182">
        <f>[48]人員・時間計画!K21</f>
        <v>1236</v>
      </c>
      <c r="O494" s="182">
        <f>[48]人員・時間計画!L21</f>
        <v>1119</v>
      </c>
      <c r="P494" s="182">
        <f>[48]人員・時間計画!M21</f>
        <v>826.5</v>
      </c>
      <c r="Q494" s="182">
        <f>[48]人員・時間計画!N21</f>
        <v>1139</v>
      </c>
    </row>
    <row r="495" spans="1:17" ht="14.5" hidden="1" thickBot="1">
      <c r="A495">
        <f>[48]人員・時間計画!$A$5</f>
        <v>1412000021</v>
      </c>
      <c r="B495" t="str">
        <f>[48]人員・時間計画!$B$5</f>
        <v>第3資材課</v>
      </c>
      <c r="D495" s="197"/>
      <c r="E495" s="197"/>
    </row>
    <row r="496" spans="1:17" ht="14.5" hidden="1" thickBot="1">
      <c r="A496">
        <f>[48]人員・時間計画!$A$5</f>
        <v>1412000021</v>
      </c>
      <c r="B496" t="str">
        <f>[48]人員・時間計画!$B$5</f>
        <v>第3資材課</v>
      </c>
      <c r="C496" s="185" t="s">
        <v>71</v>
      </c>
      <c r="D496" s="185" t="s">
        <v>71</v>
      </c>
      <c r="E496" s="186"/>
    </row>
    <row r="497" spans="1:17" ht="14.5" hidden="1" thickBot="1">
      <c r="A497">
        <f>[48]人員・時間計画!$A$5</f>
        <v>1412000021</v>
      </c>
      <c r="B497" t="str">
        <f>[48]人員・時間計画!$B$5</f>
        <v>第3資材課</v>
      </c>
      <c r="C497" s="185" t="s">
        <v>71</v>
      </c>
      <c r="D497" s="198" t="s">
        <v>194</v>
      </c>
      <c r="E497" s="199"/>
      <c r="F497" s="182">
        <f>[48]人員・時間計画!C24</f>
        <v>40</v>
      </c>
      <c r="G497" s="182">
        <f>[48]人員・時間計画!D24</f>
        <v>38</v>
      </c>
      <c r="H497" s="182">
        <f>[48]人員・時間計画!E24</f>
        <v>42</v>
      </c>
      <c r="I497" s="182">
        <f>[48]人員・時間計画!F24</f>
        <v>46</v>
      </c>
      <c r="J497" s="182">
        <f>[48]人員・時間計画!G24</f>
        <v>30</v>
      </c>
      <c r="K497" s="182">
        <f>[48]人員・時間計画!H24</f>
        <v>38</v>
      </c>
      <c r="L497" s="182">
        <f>[48]人員・時間計画!I24</f>
        <v>36</v>
      </c>
      <c r="M497" s="182">
        <f>[48]人員・時間計画!J24</f>
        <v>40</v>
      </c>
      <c r="N497" s="182">
        <f>[48]人員・時間計画!K24</f>
        <v>44</v>
      </c>
      <c r="O497" s="182">
        <f>[48]人員・時間計画!L24</f>
        <v>40</v>
      </c>
      <c r="P497" s="182">
        <f>[48]人員・時間計画!M24</f>
        <v>30</v>
      </c>
      <c r="Q497" s="182">
        <f>[48]人員・時間計画!N24</f>
        <v>40</v>
      </c>
    </row>
    <row r="498" spans="1:17" ht="14.5" hidden="1" thickBot="1">
      <c r="A498">
        <f>[48]人員・時間計画!$A$5</f>
        <v>1412000021</v>
      </c>
      <c r="B498" t="str">
        <f>[48]人員・時間計画!$B$5</f>
        <v>第3資材課</v>
      </c>
      <c r="C498" s="185" t="s">
        <v>71</v>
      </c>
      <c r="D498" s="200"/>
      <c r="E498" s="206" t="s">
        <v>139</v>
      </c>
      <c r="F498" s="182">
        <f>[48]人員・時間計画!C25</f>
        <v>38</v>
      </c>
      <c r="G498" s="182">
        <f>[48]人員・時間計画!D25</f>
        <v>36</v>
      </c>
      <c r="H498" s="182">
        <f>[48]人員・時間計画!E25</f>
        <v>40</v>
      </c>
      <c r="I498" s="182">
        <f>[48]人員・時間計画!F25</f>
        <v>44</v>
      </c>
      <c r="J498" s="182">
        <f>[48]人員・時間計画!G25</f>
        <v>38</v>
      </c>
      <c r="K498" s="182">
        <f>[48]人員・時間計画!H25</f>
        <v>36</v>
      </c>
      <c r="L498" s="182">
        <f>[48]人員・時間計画!I25</f>
        <v>44</v>
      </c>
      <c r="M498" s="182">
        <f>[48]人員・時間計画!J25</f>
        <v>38</v>
      </c>
      <c r="N498" s="182">
        <f>[48]人員・時間計画!K25</f>
        <v>42</v>
      </c>
      <c r="O498" s="182">
        <f>[48]人員・時間計画!L25</f>
        <v>38</v>
      </c>
      <c r="P498" s="182">
        <f>[48]人員・時間計画!M25</f>
        <v>28</v>
      </c>
      <c r="Q498" s="182">
        <f>[48]人員・時間計画!N25</f>
        <v>38</v>
      </c>
    </row>
    <row r="499" spans="1:17" ht="14.5" thickBot="1">
      <c r="A499">
        <f>[48]人員・時間計画!$A$5</f>
        <v>1412000021</v>
      </c>
      <c r="B499" t="str">
        <f>[48]人員・時間計画!$B$5</f>
        <v>第3資材課</v>
      </c>
      <c r="C499" s="185" t="s">
        <v>71</v>
      </c>
      <c r="D499" s="201" t="s">
        <v>195</v>
      </c>
      <c r="E499" s="207" t="s">
        <v>140</v>
      </c>
      <c r="F499" s="182">
        <f>[48]人員・時間計画!C26</f>
        <v>0</v>
      </c>
      <c r="G499" s="182">
        <f>[48]人員・時間計画!D26</f>
        <v>0</v>
      </c>
      <c r="H499" s="182">
        <f>[48]人員・時間計画!E26</f>
        <v>0</v>
      </c>
      <c r="I499" s="182">
        <f>[48]人員・時間計画!F26</f>
        <v>0</v>
      </c>
      <c r="J499" s="182">
        <f>[48]人員・時間計画!G26</f>
        <v>0</v>
      </c>
      <c r="K499" s="182">
        <f>[48]人員・時間計画!H26</f>
        <v>0</v>
      </c>
      <c r="L499" s="182">
        <f>[48]人員・時間計画!I26</f>
        <v>0</v>
      </c>
      <c r="M499" s="182">
        <f>[48]人員・時間計画!J26</f>
        <v>0</v>
      </c>
      <c r="N499" s="182">
        <f>[48]人員・時間計画!K26</f>
        <v>0</v>
      </c>
      <c r="O499" s="182">
        <f>[48]人員・時間計画!L26</f>
        <v>0</v>
      </c>
      <c r="P499" s="182">
        <f>[48]人員・時間計画!M26</f>
        <v>0</v>
      </c>
      <c r="Q499" s="182">
        <f>[48]人員・時間計画!N26</f>
        <v>0</v>
      </c>
    </row>
    <row r="500" spans="1:17" ht="14.5" hidden="1" thickBot="1">
      <c r="A500">
        <f>[48]人員・時間計画!$A$5</f>
        <v>1412000021</v>
      </c>
      <c r="B500" t="str">
        <f>[48]人員・時間計画!$B$5</f>
        <v>第3資材課</v>
      </c>
      <c r="C500" s="185" t="s">
        <v>71</v>
      </c>
      <c r="D500" s="202"/>
      <c r="E500" s="203" t="s">
        <v>138</v>
      </c>
      <c r="F500" s="182">
        <f>[48]人員・時間計画!C27</f>
        <v>38</v>
      </c>
      <c r="G500" s="182">
        <f>[48]人員・時間計画!D27</f>
        <v>36</v>
      </c>
      <c r="H500" s="182">
        <f>[48]人員・時間計画!E27</f>
        <v>40</v>
      </c>
      <c r="I500" s="182">
        <f>[48]人員・時間計画!F27</f>
        <v>44</v>
      </c>
      <c r="J500" s="182">
        <f>[48]人員・時間計画!G27</f>
        <v>38</v>
      </c>
      <c r="K500" s="182">
        <f>[48]人員・時間計画!H27</f>
        <v>36</v>
      </c>
      <c r="L500" s="182">
        <f>[48]人員・時間計画!I27</f>
        <v>44</v>
      </c>
      <c r="M500" s="182">
        <f>[48]人員・時間計画!J27</f>
        <v>38</v>
      </c>
      <c r="N500" s="182">
        <f>[48]人員・時間計画!K27</f>
        <v>42</v>
      </c>
      <c r="O500" s="182">
        <f>[48]人員・時間計画!L27</f>
        <v>38</v>
      </c>
      <c r="P500" s="182">
        <f>[48]人員・時間計画!M27</f>
        <v>28</v>
      </c>
      <c r="Q500" s="182">
        <f>[48]人員・時間計画!N27</f>
        <v>38</v>
      </c>
    </row>
    <row r="501" spans="1:17" ht="14.5" hidden="1" thickBot="1">
      <c r="A501">
        <f>[48]人員・時間計画!$A$5</f>
        <v>1412000021</v>
      </c>
      <c r="B501" t="str">
        <f>[48]人員・時間計画!$B$5</f>
        <v>第3資材課</v>
      </c>
      <c r="C501" s="185" t="s">
        <v>71</v>
      </c>
      <c r="D501" s="204" t="s">
        <v>216</v>
      </c>
      <c r="E501" s="205"/>
      <c r="F501" s="182">
        <f>[48]人員・時間計画!C28</f>
        <v>78</v>
      </c>
      <c r="G501" s="182">
        <f>[48]人員・時間計画!D28</f>
        <v>74</v>
      </c>
      <c r="H501" s="182">
        <f>[48]人員・時間計画!E28</f>
        <v>82</v>
      </c>
      <c r="I501" s="182">
        <f>[48]人員・時間計画!F28</f>
        <v>90</v>
      </c>
      <c r="J501" s="182">
        <f>[48]人員・時間計画!G28</f>
        <v>68</v>
      </c>
      <c r="K501" s="182">
        <f>[48]人員・時間計画!H28</f>
        <v>74</v>
      </c>
      <c r="L501" s="182">
        <f>[48]人員・時間計画!I28</f>
        <v>80</v>
      </c>
      <c r="M501" s="182">
        <f>[48]人員・時間計画!J28</f>
        <v>78</v>
      </c>
      <c r="N501" s="182">
        <f>[48]人員・時間計画!K28</f>
        <v>86</v>
      </c>
      <c r="O501" s="182">
        <f>[48]人員・時間計画!L28</f>
        <v>78</v>
      </c>
      <c r="P501" s="182">
        <f>[48]人員・時間計画!M28</f>
        <v>58</v>
      </c>
      <c r="Q501" s="182">
        <f>[48]人員・時間計画!N28</f>
        <v>78</v>
      </c>
    </row>
    <row r="502" spans="1:17" ht="14.5" hidden="1" thickBot="1">
      <c r="A502">
        <f>[50]人員・時間計画!$A$5</f>
        <v>1412000022</v>
      </c>
      <c r="B502" t="str">
        <f>[50]人員・時間計画!$B$5</f>
        <v>資材管理課</v>
      </c>
      <c r="C502" s="185" t="s">
        <v>3</v>
      </c>
      <c r="D502" s="185" t="s">
        <v>3</v>
      </c>
      <c r="E502" s="186"/>
    </row>
    <row r="503" spans="1:17" ht="14.5" hidden="1" thickBot="1">
      <c r="A503">
        <f>[50]人員・時間計画!$A$5</f>
        <v>1412000022</v>
      </c>
      <c r="B503" t="str">
        <f>[50]人員・時間計画!$B$5</f>
        <v>資材管理課</v>
      </c>
      <c r="C503" s="185" t="s">
        <v>3</v>
      </c>
      <c r="D503" s="187" t="s">
        <v>194</v>
      </c>
      <c r="E503" s="188"/>
      <c r="F503" s="214">
        <f>[50]人員・時間計画!C10</f>
        <v>2</v>
      </c>
      <c r="G503" s="214">
        <f>[50]人員・時間計画!D10</f>
        <v>2</v>
      </c>
      <c r="H503" s="214">
        <f>[50]人員・時間計画!E10</f>
        <v>2</v>
      </c>
      <c r="I503" s="214">
        <f>[50]人員・時間計画!F10</f>
        <v>2</v>
      </c>
      <c r="J503" s="214">
        <f>[50]人員・時間計画!G10</f>
        <v>2</v>
      </c>
      <c r="K503" s="214">
        <f>[50]人員・時間計画!H10</f>
        <v>2</v>
      </c>
      <c r="L503" s="214">
        <f>[50]人員・時間計画!I10</f>
        <v>2</v>
      </c>
      <c r="M503" s="214">
        <f>[50]人員・時間計画!J10</f>
        <v>2</v>
      </c>
      <c r="N503" s="214">
        <f>[50]人員・時間計画!K10</f>
        <v>2</v>
      </c>
      <c r="O503" s="214">
        <f>[50]人員・時間計画!L10</f>
        <v>2</v>
      </c>
      <c r="P503" s="214">
        <f>[50]人員・時間計画!M10</f>
        <v>2</v>
      </c>
      <c r="Q503" s="214">
        <f>[50]人員・時間計画!N10</f>
        <v>2</v>
      </c>
    </row>
    <row r="504" spans="1:17" ht="14.5" hidden="1" thickBot="1">
      <c r="A504">
        <f>[50]人員・時間計画!$A$5</f>
        <v>1412000022</v>
      </c>
      <c r="B504" t="str">
        <f>[50]人員・時間計画!$B$5</f>
        <v>資材管理課</v>
      </c>
      <c r="C504" s="185" t="s">
        <v>3</v>
      </c>
      <c r="D504" s="189"/>
      <c r="E504" s="190" t="s">
        <v>139</v>
      </c>
      <c r="F504" s="214">
        <f>[50]人員・時間計画!C11</f>
        <v>4</v>
      </c>
      <c r="G504" s="214">
        <f>[50]人員・時間計画!D11</f>
        <v>4</v>
      </c>
      <c r="H504" s="214">
        <f>[50]人員・時間計画!E11</f>
        <v>4</v>
      </c>
      <c r="I504" s="214">
        <f>[50]人員・時間計画!F11</f>
        <v>4</v>
      </c>
      <c r="J504" s="214">
        <f>[50]人員・時間計画!G11</f>
        <v>4</v>
      </c>
      <c r="K504" s="214">
        <f>[50]人員・時間計画!H11</f>
        <v>4</v>
      </c>
      <c r="L504" s="214">
        <f>[50]人員・時間計画!I11</f>
        <v>4</v>
      </c>
      <c r="M504" s="214">
        <f>[50]人員・時間計画!J11</f>
        <v>4</v>
      </c>
      <c r="N504" s="214">
        <f>[50]人員・時間計画!K11</f>
        <v>4</v>
      </c>
      <c r="O504" s="214">
        <f>[50]人員・時間計画!L11</f>
        <v>4</v>
      </c>
      <c r="P504" s="214">
        <f>[50]人員・時間計画!M11</f>
        <v>4</v>
      </c>
      <c r="Q504" s="214">
        <f>[50]人員・時間計画!N11</f>
        <v>4</v>
      </c>
    </row>
    <row r="505" spans="1:17" ht="14.5" thickBot="1">
      <c r="A505">
        <f>[50]人員・時間計画!$A$5</f>
        <v>1412000022</v>
      </c>
      <c r="B505" t="str">
        <f>[50]人員・時間計画!$B$5</f>
        <v>資材管理課</v>
      </c>
      <c r="C505" s="185" t="s">
        <v>3</v>
      </c>
      <c r="D505" s="191" t="s">
        <v>195</v>
      </c>
      <c r="E505" s="192" t="s">
        <v>140</v>
      </c>
      <c r="F505" s="214">
        <f>[50]人員・時間計画!C12</f>
        <v>0</v>
      </c>
      <c r="G505" s="214">
        <f>[50]人員・時間計画!D12</f>
        <v>0</v>
      </c>
      <c r="H505" s="214">
        <f>[50]人員・時間計画!E12</f>
        <v>0</v>
      </c>
      <c r="I505" s="214">
        <f>[50]人員・時間計画!F12</f>
        <v>0</v>
      </c>
      <c r="J505" s="214">
        <f>[50]人員・時間計画!G12</f>
        <v>0</v>
      </c>
      <c r="K505" s="214">
        <f>[50]人員・時間計画!H12</f>
        <v>0</v>
      </c>
      <c r="L505" s="214">
        <f>[50]人員・時間計画!I12</f>
        <v>0</v>
      </c>
      <c r="M505" s="214">
        <f>[50]人員・時間計画!J12</f>
        <v>0</v>
      </c>
      <c r="N505" s="214">
        <f>[50]人員・時間計画!K12</f>
        <v>0</v>
      </c>
      <c r="O505" s="214">
        <f>[50]人員・時間計画!L12</f>
        <v>0</v>
      </c>
      <c r="P505" s="214">
        <f>[50]人員・時間計画!M12</f>
        <v>0</v>
      </c>
      <c r="Q505" s="214">
        <f>[50]人員・時間計画!N12</f>
        <v>0</v>
      </c>
    </row>
    <row r="506" spans="1:17" ht="14.5" hidden="1" thickBot="1">
      <c r="A506">
        <f>[50]人員・時間計画!$A$5</f>
        <v>1412000022</v>
      </c>
      <c r="B506" t="str">
        <f>[50]人員・時間計画!$B$5</f>
        <v>資材管理課</v>
      </c>
      <c r="C506" s="185" t="s">
        <v>3</v>
      </c>
      <c r="D506" s="193"/>
      <c r="E506" s="194" t="s">
        <v>138</v>
      </c>
      <c r="F506" s="214">
        <f>[50]人員・時間計画!C13</f>
        <v>4</v>
      </c>
      <c r="G506" s="214">
        <f>[50]人員・時間計画!D13</f>
        <v>4</v>
      </c>
      <c r="H506" s="214">
        <f>[50]人員・時間計画!E13</f>
        <v>4</v>
      </c>
      <c r="I506" s="214">
        <f>[50]人員・時間計画!F13</f>
        <v>4</v>
      </c>
      <c r="J506" s="214">
        <f>[50]人員・時間計画!G13</f>
        <v>4</v>
      </c>
      <c r="K506" s="214">
        <f>[50]人員・時間計画!H13</f>
        <v>4</v>
      </c>
      <c r="L506" s="214">
        <f>[50]人員・時間計画!I13</f>
        <v>4</v>
      </c>
      <c r="M506" s="214">
        <f>[50]人員・時間計画!J13</f>
        <v>4</v>
      </c>
      <c r="N506" s="214">
        <f>[50]人員・時間計画!K13</f>
        <v>4</v>
      </c>
      <c r="O506" s="214">
        <f>[50]人員・時間計画!L13</f>
        <v>4</v>
      </c>
      <c r="P506" s="214">
        <f>[50]人員・時間計画!M13</f>
        <v>4</v>
      </c>
      <c r="Q506" s="214">
        <f>[50]人員・時間計画!N13</f>
        <v>4</v>
      </c>
    </row>
    <row r="507" spans="1:17" ht="14.5" hidden="1" thickBot="1">
      <c r="A507">
        <f>[50]人員・時間計画!$A$5</f>
        <v>1412000022</v>
      </c>
      <c r="B507" t="str">
        <f>[50]人員・時間計画!$B$5</f>
        <v>資材管理課</v>
      </c>
      <c r="C507" s="185" t="s">
        <v>3</v>
      </c>
      <c r="D507" s="195" t="s">
        <v>196</v>
      </c>
      <c r="E507" s="196"/>
      <c r="F507" s="214">
        <f>[50]人員・時間計画!C14</f>
        <v>6</v>
      </c>
      <c r="G507" s="214">
        <f>[50]人員・時間計画!D14</f>
        <v>6</v>
      </c>
      <c r="H507" s="214">
        <f>[50]人員・時間計画!E14</f>
        <v>6</v>
      </c>
      <c r="I507" s="214">
        <f>[50]人員・時間計画!F14</f>
        <v>6</v>
      </c>
      <c r="J507" s="214">
        <f>[50]人員・時間計画!G14</f>
        <v>6</v>
      </c>
      <c r="K507" s="214">
        <f>[50]人員・時間計画!H14</f>
        <v>6</v>
      </c>
      <c r="L507" s="214">
        <f>[50]人員・時間計画!I14</f>
        <v>6</v>
      </c>
      <c r="M507" s="214">
        <f>[50]人員・時間計画!J14</f>
        <v>6</v>
      </c>
      <c r="N507" s="214">
        <f>[50]人員・時間計画!K14</f>
        <v>6</v>
      </c>
      <c r="O507" s="214">
        <f>[50]人員・時間計画!L14</f>
        <v>6</v>
      </c>
      <c r="P507" s="214">
        <f>[50]人員・時間計画!M14</f>
        <v>6</v>
      </c>
      <c r="Q507" s="214">
        <f>[50]人員・時間計画!N14</f>
        <v>6</v>
      </c>
    </row>
    <row r="508" spans="1:17" ht="14.5" hidden="1" thickBot="1">
      <c r="A508">
        <f>[50]人員・時間計画!$A$5</f>
        <v>1412000022</v>
      </c>
      <c r="B508" t="str">
        <f>[50]人員・時間計画!$B$5</f>
        <v>資材管理課</v>
      </c>
      <c r="D508" s="197"/>
      <c r="E508" s="197"/>
    </row>
    <row r="509" spans="1:17" ht="14.5" hidden="1" thickBot="1">
      <c r="A509">
        <f>[50]人員・時間計画!$A$5</f>
        <v>1412000022</v>
      </c>
      <c r="B509" t="str">
        <f>[50]人員・時間計画!$B$5</f>
        <v>資材管理課</v>
      </c>
      <c r="C509" s="185" t="s">
        <v>202</v>
      </c>
      <c r="D509" s="185" t="s">
        <v>202</v>
      </c>
      <c r="E509" s="186"/>
    </row>
    <row r="510" spans="1:17" ht="14.5" hidden="1" thickBot="1">
      <c r="A510">
        <f>[50]人員・時間計画!$A$5</f>
        <v>1412000022</v>
      </c>
      <c r="B510" t="str">
        <f>[50]人員・時間計画!$B$5</f>
        <v>資材管理課</v>
      </c>
      <c r="C510" s="185" t="s">
        <v>202</v>
      </c>
      <c r="D510" s="198" t="s">
        <v>194</v>
      </c>
      <c r="E510" s="199"/>
      <c r="F510" s="182">
        <f>[50]人員・時間計画!C17</f>
        <v>331.5</v>
      </c>
      <c r="G510" s="182">
        <f>[50]人員・時間計画!D17</f>
        <v>280.5</v>
      </c>
      <c r="H510" s="182">
        <f>[50]人員・時間計画!E17</f>
        <v>348.5</v>
      </c>
      <c r="I510" s="182">
        <f>[50]人員・時間計画!F17</f>
        <v>382.5</v>
      </c>
      <c r="J510" s="182">
        <f>[50]人員・時間計画!G17</f>
        <v>297.5</v>
      </c>
      <c r="K510" s="182">
        <f>[50]人員・時間計画!H17</f>
        <v>314.5</v>
      </c>
      <c r="L510" s="182">
        <f>[50]人員・時間計画!I17</f>
        <v>382.5</v>
      </c>
      <c r="M510" s="182">
        <f>[50]人員・時間計画!J17</f>
        <v>297.5</v>
      </c>
      <c r="N510" s="182">
        <f>[50]人員・時間計画!K17</f>
        <v>365.5</v>
      </c>
      <c r="O510" s="182">
        <f>[50]人員・時間計画!L17</f>
        <v>331.5</v>
      </c>
      <c r="P510" s="182">
        <f>[50]人員・時間計画!M17</f>
        <v>246.5</v>
      </c>
      <c r="Q510" s="182">
        <f>[50]人員・時間計画!N17</f>
        <v>297.5</v>
      </c>
    </row>
    <row r="511" spans="1:17" ht="14.5" hidden="1" thickBot="1">
      <c r="A511">
        <f>[50]人員・時間計画!$A$5</f>
        <v>1412000022</v>
      </c>
      <c r="B511" t="str">
        <f>[50]人員・時間計画!$B$5</f>
        <v>資材管理課</v>
      </c>
      <c r="C511" s="185" t="s">
        <v>202</v>
      </c>
      <c r="D511" s="200"/>
      <c r="E511" s="190" t="s">
        <v>139</v>
      </c>
      <c r="F511" s="182">
        <f>[50]人員・時間計画!C18</f>
        <v>484.5</v>
      </c>
      <c r="G511" s="182">
        <f>[50]人員・時間計画!D18</f>
        <v>459</v>
      </c>
      <c r="H511" s="182">
        <f>[50]人員・時間計画!E18</f>
        <v>510</v>
      </c>
      <c r="I511" s="182">
        <f>[50]人員・時間計画!F18</f>
        <v>718.5</v>
      </c>
      <c r="J511" s="182">
        <f>[50]人員・時間計画!G18</f>
        <v>627</v>
      </c>
      <c r="K511" s="182">
        <f>[50]人員・時間計画!H18</f>
        <v>594</v>
      </c>
      <c r="L511" s="182">
        <f>[50]人員・時間計画!I18</f>
        <v>726</v>
      </c>
      <c r="M511" s="182">
        <f>[50]人員・時間計画!J18</f>
        <v>627</v>
      </c>
      <c r="N511" s="182">
        <f>[50]人員・時間計画!K18</f>
        <v>693</v>
      </c>
      <c r="O511" s="182">
        <f>[50]人員・時間計画!L18</f>
        <v>637</v>
      </c>
      <c r="P511" s="182">
        <f>[50]人員・時間計画!M18</f>
        <v>476</v>
      </c>
      <c r="Q511" s="182">
        <f>[50]人員・時間計画!N18</f>
        <v>646</v>
      </c>
    </row>
    <row r="512" spans="1:17" ht="14.5" thickBot="1">
      <c r="A512">
        <f>[50]人員・時間計画!$A$5</f>
        <v>1412000022</v>
      </c>
      <c r="B512" t="str">
        <f>[50]人員・時間計画!$B$5</f>
        <v>資材管理課</v>
      </c>
      <c r="C512" s="185" t="s">
        <v>202</v>
      </c>
      <c r="D512" s="201" t="s">
        <v>195</v>
      </c>
      <c r="E512" s="192" t="s">
        <v>140</v>
      </c>
      <c r="F512" s="182">
        <f>[50]人員・時間計画!C19</f>
        <v>0</v>
      </c>
      <c r="G512" s="182">
        <f>[50]人員・時間計画!D19</f>
        <v>0</v>
      </c>
      <c r="H512" s="182">
        <f>[50]人員・時間計画!E19</f>
        <v>0</v>
      </c>
      <c r="I512" s="182">
        <f>[50]人員・時間計画!F19</f>
        <v>0</v>
      </c>
      <c r="J512" s="182">
        <f>[50]人員・時間計画!G19</f>
        <v>0</v>
      </c>
      <c r="K512" s="182">
        <f>[50]人員・時間計画!H19</f>
        <v>0</v>
      </c>
      <c r="L512" s="182">
        <f>[50]人員・時間計画!I19</f>
        <v>0</v>
      </c>
      <c r="M512" s="182">
        <f>[50]人員・時間計画!J19</f>
        <v>0</v>
      </c>
      <c r="N512" s="182">
        <f>[50]人員・時間計画!K19</f>
        <v>0</v>
      </c>
      <c r="O512" s="182">
        <f>[50]人員・時間計画!L19</f>
        <v>0</v>
      </c>
      <c r="P512" s="182">
        <f>[50]人員・時間計画!M19</f>
        <v>0</v>
      </c>
      <c r="Q512" s="182">
        <f>[50]人員・時間計画!N19</f>
        <v>0</v>
      </c>
    </row>
    <row r="513" spans="1:17" ht="14.5" hidden="1" thickBot="1">
      <c r="A513">
        <f>[50]人員・時間計画!$A$5</f>
        <v>1412000022</v>
      </c>
      <c r="B513" t="str">
        <f>[50]人員・時間計画!$B$5</f>
        <v>資材管理課</v>
      </c>
      <c r="C513" s="185" t="s">
        <v>202</v>
      </c>
      <c r="D513" s="202"/>
      <c r="E513" s="203" t="s">
        <v>138</v>
      </c>
      <c r="F513" s="182">
        <f>[50]人員・時間計画!C20</f>
        <v>484.5</v>
      </c>
      <c r="G513" s="182">
        <f>[50]人員・時間計画!D20</f>
        <v>459</v>
      </c>
      <c r="H513" s="182">
        <f>[50]人員・時間計画!E20</f>
        <v>510</v>
      </c>
      <c r="I513" s="182">
        <f>[50]人員・時間計画!F20</f>
        <v>718.5</v>
      </c>
      <c r="J513" s="182">
        <f>[50]人員・時間計画!G20</f>
        <v>627</v>
      </c>
      <c r="K513" s="182">
        <f>[50]人員・時間計画!H20</f>
        <v>594</v>
      </c>
      <c r="L513" s="182">
        <f>[50]人員・時間計画!I20</f>
        <v>726</v>
      </c>
      <c r="M513" s="182">
        <f>[50]人員・時間計画!J20</f>
        <v>627</v>
      </c>
      <c r="N513" s="182">
        <f>[50]人員・時間計画!K20</f>
        <v>693</v>
      </c>
      <c r="O513" s="182">
        <f>[50]人員・時間計画!L20</f>
        <v>637</v>
      </c>
      <c r="P513" s="182">
        <f>[50]人員・時間計画!M20</f>
        <v>476</v>
      </c>
      <c r="Q513" s="182">
        <f>[50]人員・時間計画!N20</f>
        <v>646</v>
      </c>
    </row>
    <row r="514" spans="1:17" ht="14.5" hidden="1" thickBot="1">
      <c r="A514">
        <f>[50]人員・時間計画!$A$5</f>
        <v>1412000022</v>
      </c>
      <c r="B514" t="str">
        <f>[50]人員・時間計画!$B$5</f>
        <v>資材管理課</v>
      </c>
      <c r="C514" s="185" t="s">
        <v>202</v>
      </c>
      <c r="D514" s="204" t="s">
        <v>215</v>
      </c>
      <c r="E514" s="205"/>
      <c r="F514" s="182">
        <f>[50]人員・時間計画!C21</f>
        <v>816</v>
      </c>
      <c r="G514" s="182">
        <f>[50]人員・時間計画!D21</f>
        <v>739.5</v>
      </c>
      <c r="H514" s="182">
        <f>[50]人員・時間計画!E21</f>
        <v>858.5</v>
      </c>
      <c r="I514" s="182">
        <f>[50]人員・時間計画!F21</f>
        <v>1101</v>
      </c>
      <c r="J514" s="182">
        <f>[50]人員・時間計画!G21</f>
        <v>924.5</v>
      </c>
      <c r="K514" s="182">
        <f>[50]人員・時間計画!H21</f>
        <v>908.5</v>
      </c>
      <c r="L514" s="182">
        <f>[50]人員・時間計画!I21</f>
        <v>1108.5</v>
      </c>
      <c r="M514" s="182">
        <f>[50]人員・時間計画!J21</f>
        <v>924.5</v>
      </c>
      <c r="N514" s="182">
        <f>[50]人員・時間計画!K21</f>
        <v>1058.5</v>
      </c>
      <c r="O514" s="182">
        <f>[50]人員・時間計画!L21</f>
        <v>968.5</v>
      </c>
      <c r="P514" s="182">
        <f>[50]人員・時間計画!M21</f>
        <v>722.5</v>
      </c>
      <c r="Q514" s="182">
        <f>[50]人員・時間計画!N21</f>
        <v>943.5</v>
      </c>
    </row>
    <row r="515" spans="1:17" ht="14.5" hidden="1" thickBot="1">
      <c r="A515">
        <f>[50]人員・時間計画!$A$5</f>
        <v>1412000022</v>
      </c>
      <c r="B515" t="str">
        <f>[50]人員・時間計画!$B$5</f>
        <v>資材管理課</v>
      </c>
      <c r="D515" s="197"/>
      <c r="E515" s="197"/>
    </row>
    <row r="516" spans="1:17" ht="14.5" hidden="1" thickBot="1">
      <c r="A516">
        <f>[50]人員・時間計画!$A$5</f>
        <v>1412000022</v>
      </c>
      <c r="B516" t="str">
        <f>[50]人員・時間計画!$B$5</f>
        <v>資材管理課</v>
      </c>
      <c r="C516" s="185" t="s">
        <v>71</v>
      </c>
      <c r="D516" s="185" t="s">
        <v>71</v>
      </c>
      <c r="E516" s="186"/>
    </row>
    <row r="517" spans="1:17" ht="14.5" hidden="1" thickBot="1">
      <c r="A517">
        <f>[50]人員・時間計画!$A$5</f>
        <v>1412000022</v>
      </c>
      <c r="B517" t="str">
        <f>[50]人員・時間計画!$B$5</f>
        <v>資材管理課</v>
      </c>
      <c r="C517" s="185" t="s">
        <v>71</v>
      </c>
      <c r="D517" s="198" t="s">
        <v>194</v>
      </c>
      <c r="E517" s="199"/>
      <c r="F517" s="182">
        <f>[50]人員・時間計画!C24</f>
        <v>78</v>
      </c>
      <c r="G517" s="182">
        <f>[50]人員・時間計画!D24</f>
        <v>66</v>
      </c>
      <c r="H517" s="182">
        <f>[50]人員・時間計画!E24</f>
        <v>82</v>
      </c>
      <c r="I517" s="182">
        <f>[50]人員・時間計画!F24</f>
        <v>90</v>
      </c>
      <c r="J517" s="182">
        <f>[50]人員・時間計画!G24</f>
        <v>70</v>
      </c>
      <c r="K517" s="182">
        <f>[50]人員・時間計画!H24</f>
        <v>74</v>
      </c>
      <c r="L517" s="182">
        <f>[50]人員・時間計画!I24</f>
        <v>90</v>
      </c>
      <c r="M517" s="182">
        <f>[50]人員・時間計画!J24</f>
        <v>70</v>
      </c>
      <c r="N517" s="182">
        <f>[50]人員・時間計画!K24</f>
        <v>86</v>
      </c>
      <c r="O517" s="182">
        <f>[50]人員・時間計画!L24</f>
        <v>78</v>
      </c>
      <c r="P517" s="182">
        <f>[50]人員・時間計画!M24</f>
        <v>58</v>
      </c>
      <c r="Q517" s="182">
        <f>[50]人員・時間計画!N24</f>
        <v>70</v>
      </c>
    </row>
    <row r="518" spans="1:17" ht="14.5" hidden="1" thickBot="1">
      <c r="A518">
        <f>[50]人員・時間計画!$A$5</f>
        <v>1412000022</v>
      </c>
      <c r="B518" t="str">
        <f>[50]人員・時間計画!$B$5</f>
        <v>資材管理課</v>
      </c>
      <c r="C518" s="185" t="s">
        <v>71</v>
      </c>
      <c r="D518" s="200"/>
      <c r="E518" s="206" t="s">
        <v>139</v>
      </c>
      <c r="F518" s="182">
        <f>[50]人員・時間計画!C25</f>
        <v>38</v>
      </c>
      <c r="G518" s="182">
        <f>[50]人員・時間計画!D25</f>
        <v>36</v>
      </c>
      <c r="H518" s="182">
        <f>[50]人員・時間計画!E25</f>
        <v>40</v>
      </c>
      <c r="I518" s="182">
        <f>[50]人員・時間計画!F25</f>
        <v>44</v>
      </c>
      <c r="J518" s="182">
        <f>[50]人員・時間計画!G25</f>
        <v>38</v>
      </c>
      <c r="K518" s="182">
        <f>[50]人員・時間計画!H25</f>
        <v>36</v>
      </c>
      <c r="L518" s="182">
        <f>[50]人員・時間計画!I25</f>
        <v>44</v>
      </c>
      <c r="M518" s="182">
        <f>[50]人員・時間計画!J25</f>
        <v>38</v>
      </c>
      <c r="N518" s="182">
        <f>[50]人員・時間計画!K25</f>
        <v>42</v>
      </c>
      <c r="O518" s="182">
        <f>[50]人員・時間計画!L25</f>
        <v>38</v>
      </c>
      <c r="P518" s="182">
        <f>[50]人員・時間計画!M25</f>
        <v>28</v>
      </c>
      <c r="Q518" s="182">
        <f>[50]人員・時間計画!N25</f>
        <v>38</v>
      </c>
    </row>
    <row r="519" spans="1:17" ht="14.5" thickBot="1">
      <c r="A519">
        <f>[50]人員・時間計画!$A$5</f>
        <v>1412000022</v>
      </c>
      <c r="B519" t="str">
        <f>[50]人員・時間計画!$B$5</f>
        <v>資材管理課</v>
      </c>
      <c r="C519" s="185" t="s">
        <v>71</v>
      </c>
      <c r="D519" s="201" t="s">
        <v>195</v>
      </c>
      <c r="E519" s="207" t="s">
        <v>140</v>
      </c>
      <c r="F519" s="182">
        <f>[50]人員・時間計画!C26</f>
        <v>0</v>
      </c>
      <c r="G519" s="182">
        <f>[50]人員・時間計画!D26</f>
        <v>0</v>
      </c>
      <c r="H519" s="182">
        <f>[50]人員・時間計画!E26</f>
        <v>0</v>
      </c>
      <c r="I519" s="182">
        <f>[50]人員・時間計画!F26</f>
        <v>0</v>
      </c>
      <c r="J519" s="182">
        <f>[50]人員・時間計画!G26</f>
        <v>0</v>
      </c>
      <c r="K519" s="182">
        <f>[50]人員・時間計画!H26</f>
        <v>0</v>
      </c>
      <c r="L519" s="182">
        <f>[50]人員・時間計画!I26</f>
        <v>0</v>
      </c>
      <c r="M519" s="182">
        <f>[50]人員・時間計画!J26</f>
        <v>0</v>
      </c>
      <c r="N519" s="182">
        <f>[50]人員・時間計画!K26</f>
        <v>0</v>
      </c>
      <c r="O519" s="182">
        <f>[50]人員・時間計画!L26</f>
        <v>0</v>
      </c>
      <c r="P519" s="182">
        <f>[50]人員・時間計画!M26</f>
        <v>0</v>
      </c>
      <c r="Q519" s="182">
        <f>[50]人員・時間計画!N26</f>
        <v>0</v>
      </c>
    </row>
    <row r="520" spans="1:17" ht="14.5" hidden="1" thickBot="1">
      <c r="A520">
        <f>[50]人員・時間計画!$A$5</f>
        <v>1412000022</v>
      </c>
      <c r="B520" t="str">
        <f>[50]人員・時間計画!$B$5</f>
        <v>資材管理課</v>
      </c>
      <c r="C520" s="185" t="s">
        <v>71</v>
      </c>
      <c r="D520" s="202"/>
      <c r="E520" s="203" t="s">
        <v>138</v>
      </c>
      <c r="F520" s="182">
        <f>[50]人員・時間計画!C27</f>
        <v>38</v>
      </c>
      <c r="G520" s="182">
        <f>[50]人員・時間計画!D27</f>
        <v>36</v>
      </c>
      <c r="H520" s="182">
        <f>[50]人員・時間計画!E27</f>
        <v>40</v>
      </c>
      <c r="I520" s="182">
        <f>[50]人員・時間計画!F27</f>
        <v>44</v>
      </c>
      <c r="J520" s="182">
        <f>[50]人員・時間計画!G27</f>
        <v>38</v>
      </c>
      <c r="K520" s="182">
        <f>[50]人員・時間計画!H27</f>
        <v>36</v>
      </c>
      <c r="L520" s="182">
        <f>[50]人員・時間計画!I27</f>
        <v>44</v>
      </c>
      <c r="M520" s="182">
        <f>[50]人員・時間計画!J27</f>
        <v>38</v>
      </c>
      <c r="N520" s="182">
        <f>[50]人員・時間計画!K27</f>
        <v>42</v>
      </c>
      <c r="O520" s="182">
        <f>[50]人員・時間計画!L27</f>
        <v>38</v>
      </c>
      <c r="P520" s="182">
        <f>[50]人員・時間計画!M27</f>
        <v>28</v>
      </c>
      <c r="Q520" s="182">
        <f>[50]人員・時間計画!N27</f>
        <v>38</v>
      </c>
    </row>
    <row r="521" spans="1:17" ht="14.5" hidden="1" thickBot="1">
      <c r="A521">
        <f>[50]人員・時間計画!$A$5</f>
        <v>1412000022</v>
      </c>
      <c r="B521" t="str">
        <f>[50]人員・時間計画!$B$5</f>
        <v>資材管理課</v>
      </c>
      <c r="C521" s="185" t="s">
        <v>71</v>
      </c>
      <c r="D521" s="204" t="s">
        <v>216</v>
      </c>
      <c r="E521" s="205"/>
      <c r="F521" s="182">
        <f>[50]人員・時間計画!C28</f>
        <v>116</v>
      </c>
      <c r="G521" s="182">
        <f>[50]人員・時間計画!D28</f>
        <v>102</v>
      </c>
      <c r="H521" s="182">
        <f>[50]人員・時間計画!E28</f>
        <v>122</v>
      </c>
      <c r="I521" s="182">
        <f>[50]人員・時間計画!F28</f>
        <v>134</v>
      </c>
      <c r="J521" s="182">
        <f>[50]人員・時間計画!G28</f>
        <v>108</v>
      </c>
      <c r="K521" s="182">
        <f>[50]人員・時間計画!H28</f>
        <v>110</v>
      </c>
      <c r="L521" s="182">
        <f>[50]人員・時間計画!I28</f>
        <v>134</v>
      </c>
      <c r="M521" s="182">
        <f>[50]人員・時間計画!J28</f>
        <v>108</v>
      </c>
      <c r="N521" s="182">
        <f>[50]人員・時間計画!K28</f>
        <v>128</v>
      </c>
      <c r="O521" s="182">
        <f>[50]人員・時間計画!L28</f>
        <v>116</v>
      </c>
      <c r="P521" s="182">
        <f>[50]人員・時間計画!M28</f>
        <v>86</v>
      </c>
      <c r="Q521" s="182">
        <f>[50]人員・時間計画!N28</f>
        <v>108</v>
      </c>
    </row>
    <row r="522" spans="1:17" ht="14.5" hidden="1" thickBot="1">
      <c r="A522">
        <f>[51]人員・時間計画!$A$5</f>
        <v>1412000024</v>
      </c>
      <c r="B522" t="str">
        <f>[51]人員・時間計画!$B$5</f>
        <v>総務課</v>
      </c>
      <c r="C522" s="185" t="s">
        <v>3</v>
      </c>
      <c r="D522" s="185" t="s">
        <v>3</v>
      </c>
      <c r="E522" s="186"/>
    </row>
    <row r="523" spans="1:17" ht="14.5" hidden="1" thickBot="1">
      <c r="A523">
        <f>[51]人員・時間計画!$A$5</f>
        <v>1412000024</v>
      </c>
      <c r="B523" t="str">
        <f>[51]人員・時間計画!$B$5</f>
        <v>総務課</v>
      </c>
      <c r="C523" s="185" t="s">
        <v>3</v>
      </c>
      <c r="D523" s="187" t="s">
        <v>194</v>
      </c>
      <c r="E523" s="188"/>
      <c r="F523" s="214">
        <f>[51]人員・時間計画!C10</f>
        <v>1</v>
      </c>
      <c r="G523" s="214">
        <f>[51]人員・時間計画!D10</f>
        <v>1</v>
      </c>
      <c r="H523" s="214">
        <f>[51]人員・時間計画!E10</f>
        <v>1</v>
      </c>
      <c r="I523" s="214">
        <f>[51]人員・時間計画!F10</f>
        <v>1</v>
      </c>
      <c r="J523" s="214">
        <f>[51]人員・時間計画!G10</f>
        <v>1</v>
      </c>
      <c r="K523" s="214">
        <f>[51]人員・時間計画!H10</f>
        <v>1</v>
      </c>
      <c r="L523" s="214">
        <f>[51]人員・時間計画!I10</f>
        <v>1</v>
      </c>
      <c r="M523" s="214">
        <f>[51]人員・時間計画!J10</f>
        <v>1</v>
      </c>
      <c r="N523" s="214">
        <f>[51]人員・時間計画!K10</f>
        <v>1</v>
      </c>
      <c r="O523" s="214">
        <f>[51]人員・時間計画!L10</f>
        <v>1</v>
      </c>
      <c r="P523" s="214">
        <f>[51]人員・時間計画!M10</f>
        <v>1</v>
      </c>
      <c r="Q523" s="214">
        <f>[51]人員・時間計画!N10</f>
        <v>1</v>
      </c>
    </row>
    <row r="524" spans="1:17" ht="14.5" hidden="1" thickBot="1">
      <c r="A524">
        <f>[51]人員・時間計画!$A$5</f>
        <v>1412000024</v>
      </c>
      <c r="B524" t="str">
        <f>[51]人員・時間計画!$B$5</f>
        <v>総務課</v>
      </c>
      <c r="C524" s="185" t="s">
        <v>3</v>
      </c>
      <c r="D524" s="189"/>
      <c r="E524" s="190" t="s">
        <v>139</v>
      </c>
      <c r="F524" s="214">
        <f>[51]人員・時間計画!C11</f>
        <v>10</v>
      </c>
      <c r="G524" s="214">
        <f>[51]人員・時間計画!D11</f>
        <v>11</v>
      </c>
      <c r="H524" s="214">
        <f>[51]人員・時間計画!E11</f>
        <v>11</v>
      </c>
      <c r="I524" s="214">
        <f>[51]人員・時間計画!F11</f>
        <v>11</v>
      </c>
      <c r="J524" s="214">
        <f>[51]人員・時間計画!G11</f>
        <v>11</v>
      </c>
      <c r="K524" s="214">
        <f>[51]人員・時間計画!H11</f>
        <v>11</v>
      </c>
      <c r="L524" s="214">
        <f>[51]人員・時間計画!I11</f>
        <v>11</v>
      </c>
      <c r="M524" s="214">
        <f>[51]人員・時間計画!J11</f>
        <v>11</v>
      </c>
      <c r="N524" s="214">
        <f>[51]人員・時間計画!K11</f>
        <v>11</v>
      </c>
      <c r="O524" s="214">
        <f>[51]人員・時間計画!L11</f>
        <v>11</v>
      </c>
      <c r="P524" s="214">
        <f>[51]人員・時間計画!M11</f>
        <v>11</v>
      </c>
      <c r="Q524" s="214">
        <f>[51]人員・時間計画!N11</f>
        <v>11</v>
      </c>
    </row>
    <row r="525" spans="1:17" ht="14.5" thickBot="1">
      <c r="A525">
        <f>[51]人員・時間計画!$A$5</f>
        <v>1412000024</v>
      </c>
      <c r="B525" t="str">
        <f>[51]人員・時間計画!$B$5</f>
        <v>総務課</v>
      </c>
      <c r="C525" s="185" t="s">
        <v>3</v>
      </c>
      <c r="D525" s="191" t="s">
        <v>195</v>
      </c>
      <c r="E525" s="192" t="s">
        <v>140</v>
      </c>
      <c r="F525" s="214">
        <f>[51]人員・時間計画!C12</f>
        <v>6</v>
      </c>
      <c r="G525" s="214">
        <f>[51]人員・時間計画!D12</f>
        <v>6</v>
      </c>
      <c r="H525" s="214">
        <f>[51]人員・時間計画!E12</f>
        <v>6</v>
      </c>
      <c r="I525" s="214">
        <f>[51]人員・時間計画!F12</f>
        <v>6</v>
      </c>
      <c r="J525" s="214">
        <f>[51]人員・時間計画!G12</f>
        <v>6</v>
      </c>
      <c r="K525" s="214">
        <f>[51]人員・時間計画!H12</f>
        <v>6</v>
      </c>
      <c r="L525" s="214">
        <f>[51]人員・時間計画!I12</f>
        <v>6</v>
      </c>
      <c r="M525" s="214">
        <f>[51]人員・時間計画!J12</f>
        <v>6</v>
      </c>
      <c r="N525" s="214">
        <f>[51]人員・時間計画!K12</f>
        <v>6</v>
      </c>
      <c r="O525" s="214">
        <f>[51]人員・時間計画!L12</f>
        <v>6</v>
      </c>
      <c r="P525" s="214">
        <f>[51]人員・時間計画!M12</f>
        <v>6</v>
      </c>
      <c r="Q525" s="214">
        <f>[51]人員・時間計画!N12</f>
        <v>6</v>
      </c>
    </row>
    <row r="526" spans="1:17" ht="14.5" hidden="1" thickBot="1">
      <c r="A526">
        <f>[51]人員・時間計画!$A$5</f>
        <v>1412000024</v>
      </c>
      <c r="B526" t="str">
        <f>[51]人員・時間計画!$B$5</f>
        <v>総務課</v>
      </c>
      <c r="C526" s="185" t="s">
        <v>3</v>
      </c>
      <c r="D526" s="193"/>
      <c r="E526" s="194" t="s">
        <v>138</v>
      </c>
      <c r="F526" s="214">
        <f>[51]人員・時間計画!C13</f>
        <v>16</v>
      </c>
      <c r="G526" s="214">
        <f>[51]人員・時間計画!D13</f>
        <v>17</v>
      </c>
      <c r="H526" s="214">
        <f>[51]人員・時間計画!E13</f>
        <v>17</v>
      </c>
      <c r="I526" s="214">
        <f>[51]人員・時間計画!F13</f>
        <v>17</v>
      </c>
      <c r="J526" s="214">
        <f>[51]人員・時間計画!G13</f>
        <v>17</v>
      </c>
      <c r="K526" s="214">
        <f>[51]人員・時間計画!H13</f>
        <v>17</v>
      </c>
      <c r="L526" s="214">
        <f>[51]人員・時間計画!I13</f>
        <v>17</v>
      </c>
      <c r="M526" s="214">
        <f>[51]人員・時間計画!J13</f>
        <v>17</v>
      </c>
      <c r="N526" s="214">
        <f>[51]人員・時間計画!K13</f>
        <v>17</v>
      </c>
      <c r="O526" s="214">
        <f>[51]人員・時間計画!L13</f>
        <v>17</v>
      </c>
      <c r="P526" s="214">
        <f>[51]人員・時間計画!M13</f>
        <v>17</v>
      </c>
      <c r="Q526" s="214">
        <f>[51]人員・時間計画!N13</f>
        <v>17</v>
      </c>
    </row>
    <row r="527" spans="1:17" ht="14.5" hidden="1" thickBot="1">
      <c r="A527">
        <f>[51]人員・時間計画!$A$5</f>
        <v>1412000024</v>
      </c>
      <c r="B527" t="str">
        <f>[51]人員・時間計画!$B$5</f>
        <v>総務課</v>
      </c>
      <c r="C527" s="185" t="s">
        <v>3</v>
      </c>
      <c r="D527" s="195" t="s">
        <v>196</v>
      </c>
      <c r="E527" s="196"/>
      <c r="F527" s="214">
        <f>[51]人員・時間計画!C14</f>
        <v>17</v>
      </c>
      <c r="G527" s="214">
        <f>[51]人員・時間計画!D14</f>
        <v>18</v>
      </c>
      <c r="H527" s="214">
        <f>[51]人員・時間計画!E14</f>
        <v>18</v>
      </c>
      <c r="I527" s="214">
        <f>[51]人員・時間計画!F14</f>
        <v>18</v>
      </c>
      <c r="J527" s="214">
        <f>[51]人員・時間計画!G14</f>
        <v>18</v>
      </c>
      <c r="K527" s="214">
        <f>[51]人員・時間計画!H14</f>
        <v>18</v>
      </c>
      <c r="L527" s="214">
        <f>[51]人員・時間計画!I14</f>
        <v>18</v>
      </c>
      <c r="M527" s="214">
        <f>[51]人員・時間計画!J14</f>
        <v>18</v>
      </c>
      <c r="N527" s="214">
        <f>[51]人員・時間計画!K14</f>
        <v>18</v>
      </c>
      <c r="O527" s="214">
        <f>[51]人員・時間計画!L14</f>
        <v>18</v>
      </c>
      <c r="P527" s="214">
        <f>[51]人員・時間計画!M14</f>
        <v>18</v>
      </c>
      <c r="Q527" s="214">
        <f>[51]人員・時間計画!N14</f>
        <v>18</v>
      </c>
    </row>
    <row r="528" spans="1:17" ht="14.5" hidden="1" thickBot="1">
      <c r="A528">
        <f>[51]人員・時間計画!$A$5</f>
        <v>1412000024</v>
      </c>
      <c r="B528" t="str">
        <f>[51]人員・時間計画!$B$5</f>
        <v>総務課</v>
      </c>
      <c r="D528" s="197"/>
      <c r="E528" s="197"/>
    </row>
    <row r="529" spans="1:17" ht="14.5" hidden="1" thickBot="1">
      <c r="A529">
        <f>[51]人員・時間計画!$A$5</f>
        <v>1412000024</v>
      </c>
      <c r="B529" t="str">
        <f>[51]人員・時間計画!$B$5</f>
        <v>総務課</v>
      </c>
      <c r="C529" s="185" t="s">
        <v>202</v>
      </c>
      <c r="D529" s="185" t="s">
        <v>202</v>
      </c>
      <c r="E529" s="186"/>
    </row>
    <row r="530" spans="1:17" ht="14.5" hidden="1" thickBot="1">
      <c r="A530">
        <f>[51]人員・時間計画!$A$5</f>
        <v>1412000024</v>
      </c>
      <c r="B530" t="str">
        <f>[51]人員・時間計画!$B$5</f>
        <v>総務課</v>
      </c>
      <c r="C530" s="185" t="s">
        <v>202</v>
      </c>
      <c r="D530" s="198" t="s">
        <v>194</v>
      </c>
      <c r="E530" s="199"/>
      <c r="F530" s="214">
        <f>[51]人員・時間計画!C17</f>
        <v>170</v>
      </c>
      <c r="G530" s="214">
        <f>[51]人員・時間計画!D17</f>
        <v>161.5</v>
      </c>
      <c r="H530" s="214">
        <f>[51]人員・時間計画!E17</f>
        <v>178.5</v>
      </c>
      <c r="I530" s="214">
        <f>[51]人員・時間計画!F17</f>
        <v>195.5</v>
      </c>
      <c r="J530" s="214">
        <f>[51]人員・時間計画!G17</f>
        <v>170</v>
      </c>
      <c r="K530" s="214">
        <f>[51]人員・時間計画!H17</f>
        <v>161.5</v>
      </c>
      <c r="L530" s="214">
        <f>[51]人員・時間計画!I17</f>
        <v>195.5</v>
      </c>
      <c r="M530" s="214">
        <f>[51]人員・時間計画!J17</f>
        <v>170</v>
      </c>
      <c r="N530" s="214">
        <f>[51]人員・時間計画!K17</f>
        <v>187</v>
      </c>
      <c r="O530" s="214">
        <f>[51]人員・時間計画!L17</f>
        <v>170</v>
      </c>
      <c r="P530" s="214">
        <f>[51]人員・時間計画!M17</f>
        <v>127.5</v>
      </c>
      <c r="Q530" s="214">
        <f>[51]人員・時間計画!N17</f>
        <v>170</v>
      </c>
    </row>
    <row r="531" spans="1:17" ht="14.5" hidden="1" thickBot="1">
      <c r="A531">
        <f>[51]人員・時間計画!$A$5</f>
        <v>1412000024</v>
      </c>
      <c r="B531" t="str">
        <f>[51]人員・時間計画!$B$5</f>
        <v>総務課</v>
      </c>
      <c r="C531" s="185" t="s">
        <v>202</v>
      </c>
      <c r="D531" s="200"/>
      <c r="E531" s="190" t="s">
        <v>139</v>
      </c>
      <c r="F531" s="214">
        <f>[51]人員・時間計画!C18</f>
        <v>1632</v>
      </c>
      <c r="G531" s="214">
        <f>[51]人員・時間計画!D18</f>
        <v>1640.5</v>
      </c>
      <c r="H531" s="214">
        <f>[51]人員・時間計画!E18</f>
        <v>1887</v>
      </c>
      <c r="I531" s="214">
        <f>[51]人員・時間計画!F18</f>
        <v>2074</v>
      </c>
      <c r="J531" s="214">
        <f>[51]人員・時間計画!G18</f>
        <v>1793.5</v>
      </c>
      <c r="K531" s="214">
        <f>[51]人員・時間計画!H18</f>
        <v>1700</v>
      </c>
      <c r="L531" s="214">
        <f>[51]人員・時間計画!I18</f>
        <v>2074</v>
      </c>
      <c r="M531" s="214">
        <f>[51]人員・時間計画!J18</f>
        <v>1793.5</v>
      </c>
      <c r="N531" s="214">
        <f>[51]人員・時間計画!K18</f>
        <v>1980.5</v>
      </c>
      <c r="O531" s="214">
        <f>[51]人員・時間計画!L18</f>
        <v>1793.5</v>
      </c>
      <c r="P531" s="214">
        <f>[51]人員・時間計画!M18</f>
        <v>1326</v>
      </c>
      <c r="Q531" s="214">
        <f>[51]人員・時間計画!N18</f>
        <v>1793.5</v>
      </c>
    </row>
    <row r="532" spans="1:17" ht="14.5" thickBot="1">
      <c r="A532">
        <f>[51]人員・時間計画!$A$5</f>
        <v>1412000024</v>
      </c>
      <c r="B532" t="str">
        <f>[51]人員・時間計画!$B$5</f>
        <v>総務課</v>
      </c>
      <c r="C532" s="185" t="s">
        <v>202</v>
      </c>
      <c r="D532" s="201" t="s">
        <v>195</v>
      </c>
      <c r="E532" s="192" t="s">
        <v>140</v>
      </c>
      <c r="F532" s="214">
        <f>[51]人員・時間計画!C19</f>
        <v>965</v>
      </c>
      <c r="G532" s="214">
        <f>[51]人員・時間計画!D19</f>
        <v>907.5</v>
      </c>
      <c r="H532" s="214">
        <f>[51]人員・時間計画!E19</f>
        <v>914</v>
      </c>
      <c r="I532" s="214">
        <f>[51]人員・時間計画!F19</f>
        <v>920.5</v>
      </c>
      <c r="J532" s="214">
        <f>[51]人員・時間計画!G19</f>
        <v>803.5</v>
      </c>
      <c r="K532" s="214">
        <f>[51]人員・時間計画!H19</f>
        <v>754.5</v>
      </c>
      <c r="L532" s="214">
        <f>[51]人員・時間計画!I19</f>
        <v>920.5</v>
      </c>
      <c r="M532" s="214">
        <f>[51]人員・時間計画!J19</f>
        <v>803.5</v>
      </c>
      <c r="N532" s="214">
        <f>[51]人員・時間計画!K19</f>
        <v>954</v>
      </c>
      <c r="O532" s="214">
        <f>[51]人員・時間計画!L19</f>
        <v>946</v>
      </c>
      <c r="P532" s="214">
        <f>[51]人員・時間計画!M19</f>
        <v>693.5</v>
      </c>
      <c r="Q532" s="214">
        <f>[51]人員・時間計画!N19</f>
        <v>938.5</v>
      </c>
    </row>
    <row r="533" spans="1:17" ht="14.5" hidden="1" thickBot="1">
      <c r="A533">
        <f>[51]人員・時間計画!$A$5</f>
        <v>1412000024</v>
      </c>
      <c r="B533" t="str">
        <f>[51]人員・時間計画!$B$5</f>
        <v>総務課</v>
      </c>
      <c r="C533" s="185" t="s">
        <v>202</v>
      </c>
      <c r="D533" s="202"/>
      <c r="E533" s="203" t="s">
        <v>138</v>
      </c>
      <c r="F533" s="214">
        <f>[51]人員・時間計画!C20</f>
        <v>2597</v>
      </c>
      <c r="G533" s="214">
        <f>[51]人員・時間計画!D20</f>
        <v>2548</v>
      </c>
      <c r="H533" s="214">
        <f>[51]人員・時間計画!E20</f>
        <v>2801</v>
      </c>
      <c r="I533" s="214">
        <f>[51]人員・時間計画!F20</f>
        <v>2994.5</v>
      </c>
      <c r="J533" s="214">
        <f>[51]人員・時間計画!G20</f>
        <v>2597</v>
      </c>
      <c r="K533" s="214">
        <f>[51]人員・時間計画!H20</f>
        <v>2454.5</v>
      </c>
      <c r="L533" s="214">
        <f>[51]人員・時間計画!I20</f>
        <v>2994.5</v>
      </c>
      <c r="M533" s="214">
        <f>[51]人員・時間計画!J20</f>
        <v>2597</v>
      </c>
      <c r="N533" s="214">
        <f>[51]人員・時間計画!K20</f>
        <v>2934.5</v>
      </c>
      <c r="O533" s="214">
        <f>[51]人員・時間計画!L20</f>
        <v>2739.5</v>
      </c>
      <c r="P533" s="214">
        <f>[51]人員・時間計画!M20</f>
        <v>2019.5</v>
      </c>
      <c r="Q533" s="214">
        <f>[51]人員・時間計画!N20</f>
        <v>2732</v>
      </c>
    </row>
    <row r="534" spans="1:17" ht="14.5" hidden="1" thickBot="1">
      <c r="A534">
        <f>[51]人員・時間計画!$A$5</f>
        <v>1412000024</v>
      </c>
      <c r="B534" t="str">
        <f>[51]人員・時間計画!$B$5</f>
        <v>総務課</v>
      </c>
      <c r="C534" s="185" t="s">
        <v>202</v>
      </c>
      <c r="D534" s="204" t="s">
        <v>215</v>
      </c>
      <c r="E534" s="205"/>
      <c r="F534" s="214">
        <f>[51]人員・時間計画!C21</f>
        <v>2767</v>
      </c>
      <c r="G534" s="214">
        <f>[51]人員・時間計画!D21</f>
        <v>2709.5</v>
      </c>
      <c r="H534" s="214">
        <f>[51]人員・時間計画!E21</f>
        <v>2979.5</v>
      </c>
      <c r="I534" s="214">
        <f>[51]人員・時間計画!F21</f>
        <v>3190</v>
      </c>
      <c r="J534" s="214">
        <f>[51]人員・時間計画!G21</f>
        <v>2767</v>
      </c>
      <c r="K534" s="214">
        <f>[51]人員・時間計画!H21</f>
        <v>2616</v>
      </c>
      <c r="L534" s="214">
        <f>[51]人員・時間計画!I21</f>
        <v>3190</v>
      </c>
      <c r="M534" s="214">
        <f>[51]人員・時間計画!J21</f>
        <v>2767</v>
      </c>
      <c r="N534" s="214">
        <f>[51]人員・時間計画!K21</f>
        <v>3121.5</v>
      </c>
      <c r="O534" s="214">
        <f>[51]人員・時間計画!L21</f>
        <v>2909.5</v>
      </c>
      <c r="P534" s="214">
        <f>[51]人員・時間計画!M21</f>
        <v>2147</v>
      </c>
      <c r="Q534" s="214">
        <f>[51]人員・時間計画!N21</f>
        <v>2902</v>
      </c>
    </row>
    <row r="535" spans="1:17" ht="14.5" hidden="1" thickBot="1">
      <c r="A535">
        <f>[51]人員・時間計画!$A$5</f>
        <v>1412000024</v>
      </c>
      <c r="B535" t="str">
        <f>[51]人員・時間計画!$B$5</f>
        <v>総務課</v>
      </c>
      <c r="D535" s="197"/>
      <c r="E535" s="197"/>
    </row>
    <row r="536" spans="1:17" ht="14.5" hidden="1" thickBot="1">
      <c r="A536">
        <f>[51]人員・時間計画!$A$5</f>
        <v>1412000024</v>
      </c>
      <c r="B536" t="str">
        <f>[51]人員・時間計画!$B$5</f>
        <v>総務課</v>
      </c>
      <c r="C536" s="185" t="s">
        <v>71</v>
      </c>
      <c r="D536" s="185" t="s">
        <v>71</v>
      </c>
      <c r="E536" s="186"/>
    </row>
    <row r="537" spans="1:17" ht="14.5" hidden="1" thickBot="1">
      <c r="A537">
        <f>[51]人員・時間計画!$A$5</f>
        <v>1412000024</v>
      </c>
      <c r="B537" t="str">
        <f>[51]人員・時間計画!$B$5</f>
        <v>総務課</v>
      </c>
      <c r="C537" s="185" t="s">
        <v>71</v>
      </c>
      <c r="D537" s="198" t="s">
        <v>194</v>
      </c>
      <c r="E537" s="199"/>
      <c r="F537" s="214">
        <f>[51]人員・時間計画!C24</f>
        <v>40</v>
      </c>
      <c r="G537" s="214">
        <f>[51]人員・時間計画!D24</f>
        <v>38</v>
      </c>
      <c r="H537" s="214">
        <f>[51]人員・時間計画!E24</f>
        <v>42</v>
      </c>
      <c r="I537" s="214">
        <f>[51]人員・時間計画!F24</f>
        <v>46</v>
      </c>
      <c r="J537" s="214">
        <f>[51]人員・時間計画!G24</f>
        <v>40</v>
      </c>
      <c r="K537" s="214">
        <f>[51]人員・時間計画!H24</f>
        <v>38</v>
      </c>
      <c r="L537" s="214">
        <f>[51]人員・時間計画!I24</f>
        <v>46</v>
      </c>
      <c r="M537" s="214">
        <f>[51]人員・時間計画!J24</f>
        <v>40</v>
      </c>
      <c r="N537" s="214">
        <f>[51]人員・時間計画!K24</f>
        <v>44</v>
      </c>
      <c r="O537" s="214">
        <f>[51]人員・時間計画!L24</f>
        <v>40</v>
      </c>
      <c r="P537" s="214">
        <f>[51]人員・時間計画!M24</f>
        <v>30</v>
      </c>
      <c r="Q537" s="214">
        <f>[51]人員・時間計画!N24</f>
        <v>40</v>
      </c>
    </row>
    <row r="538" spans="1:17" ht="14.5" hidden="1" thickBot="1">
      <c r="A538">
        <f>[51]人員・時間計画!$A$5</f>
        <v>1412000024</v>
      </c>
      <c r="B538" t="str">
        <f>[51]人員・時間計画!$B$5</f>
        <v>総務課</v>
      </c>
      <c r="C538" s="185" t="s">
        <v>71</v>
      </c>
      <c r="D538" s="200"/>
      <c r="E538" s="206" t="s">
        <v>139</v>
      </c>
      <c r="F538" s="214">
        <f>[51]人員・時間計画!C25</f>
        <v>136.5</v>
      </c>
      <c r="G538" s="214">
        <f>[51]人員・時間計画!D25</f>
        <v>145.5</v>
      </c>
      <c r="H538" s="214">
        <f>[51]人員・時間計画!E25</f>
        <v>143.5</v>
      </c>
      <c r="I538" s="214">
        <f>[51]人員・時間計画!F25</f>
        <v>157.5</v>
      </c>
      <c r="J538" s="214">
        <f>[51]人員・時間計画!G25</f>
        <v>136.5</v>
      </c>
      <c r="K538" s="214">
        <f>[51]人員・時間計画!H25</f>
        <v>183.5</v>
      </c>
      <c r="L538" s="214">
        <f>[51]人員・時間計画!I25</f>
        <v>157.5</v>
      </c>
      <c r="M538" s="214">
        <f>[51]人員・時間計画!J25</f>
        <v>181.5</v>
      </c>
      <c r="N538" s="214">
        <f>[51]人員・時間計画!K25</f>
        <v>150.5</v>
      </c>
      <c r="O538" s="214">
        <f>[51]人員・時間計画!L25</f>
        <v>136.5</v>
      </c>
      <c r="P538" s="214">
        <f>[51]人員・時間計画!M25</f>
        <v>101.5</v>
      </c>
      <c r="Q538" s="214">
        <f>[51]人員・時間計画!N25</f>
        <v>136.5</v>
      </c>
    </row>
    <row r="539" spans="1:17" ht="14.5" thickBot="1">
      <c r="A539">
        <f>[51]人員・時間計画!$A$5</f>
        <v>1412000024</v>
      </c>
      <c r="B539" t="str">
        <f>[51]人員・時間計画!$B$5</f>
        <v>総務課</v>
      </c>
      <c r="C539" s="185" t="s">
        <v>71</v>
      </c>
      <c r="D539" s="201" t="s">
        <v>195</v>
      </c>
      <c r="E539" s="207" t="s">
        <v>140</v>
      </c>
      <c r="F539" s="214">
        <f>[51]人員・時間計画!C26</f>
        <v>0</v>
      </c>
      <c r="G539" s="214">
        <f>[51]人員・時間計画!D26</f>
        <v>10</v>
      </c>
      <c r="H539" s="214">
        <f>[51]人員・時間計画!E26</f>
        <v>0</v>
      </c>
      <c r="I539" s="214">
        <f>[51]人員・時間計画!F26</f>
        <v>0</v>
      </c>
      <c r="J539" s="214">
        <f>[51]人員・時間計画!G26</f>
        <v>0</v>
      </c>
      <c r="K539" s="214">
        <f>[51]人員・時間計画!H26</f>
        <v>30</v>
      </c>
      <c r="L539" s="214">
        <f>[51]人員・時間計画!I26</f>
        <v>0</v>
      </c>
      <c r="M539" s="214">
        <f>[51]人員・時間計画!J26</f>
        <v>25</v>
      </c>
      <c r="N539" s="214">
        <f>[51]人員・時間計画!K26</f>
        <v>0</v>
      </c>
      <c r="O539" s="214">
        <f>[51]人員・時間計画!L26</f>
        <v>0</v>
      </c>
      <c r="P539" s="214">
        <f>[51]人員・時間計画!M26</f>
        <v>0</v>
      </c>
      <c r="Q539" s="214">
        <f>[51]人員・時間計画!N26</f>
        <v>0</v>
      </c>
    </row>
    <row r="540" spans="1:17" ht="14.5" hidden="1" thickBot="1">
      <c r="A540">
        <f>[51]人員・時間計画!$A$5</f>
        <v>1412000024</v>
      </c>
      <c r="B540" t="str">
        <f>[51]人員・時間計画!$B$5</f>
        <v>総務課</v>
      </c>
      <c r="C540" s="185" t="s">
        <v>71</v>
      </c>
      <c r="D540" s="202"/>
      <c r="E540" s="203" t="s">
        <v>138</v>
      </c>
      <c r="F540" s="214">
        <f>[51]人員・時間計画!C27</f>
        <v>136.5</v>
      </c>
      <c r="G540" s="214">
        <f>[51]人員・時間計画!D27</f>
        <v>155.5</v>
      </c>
      <c r="H540" s="214">
        <f>[51]人員・時間計画!E27</f>
        <v>143.5</v>
      </c>
      <c r="I540" s="214">
        <f>[51]人員・時間計画!F27</f>
        <v>157.5</v>
      </c>
      <c r="J540" s="214">
        <f>[51]人員・時間計画!G27</f>
        <v>136.5</v>
      </c>
      <c r="K540" s="214">
        <f>[51]人員・時間計画!H27</f>
        <v>213.5</v>
      </c>
      <c r="L540" s="214">
        <f>[51]人員・時間計画!I27</f>
        <v>157.5</v>
      </c>
      <c r="M540" s="214">
        <f>[51]人員・時間計画!J27</f>
        <v>206.5</v>
      </c>
      <c r="N540" s="214">
        <f>[51]人員・時間計画!K27</f>
        <v>150.5</v>
      </c>
      <c r="O540" s="214">
        <f>[51]人員・時間計画!L27</f>
        <v>136.5</v>
      </c>
      <c r="P540" s="214">
        <f>[51]人員・時間計画!M27</f>
        <v>101.5</v>
      </c>
      <c r="Q540" s="214">
        <f>[51]人員・時間計画!N27</f>
        <v>136.5</v>
      </c>
    </row>
    <row r="541" spans="1:17" ht="14.5" hidden="1" thickBot="1">
      <c r="A541">
        <f>[51]人員・時間計画!$A$5</f>
        <v>1412000024</v>
      </c>
      <c r="B541" t="str">
        <f>[51]人員・時間計画!$B$5</f>
        <v>総務課</v>
      </c>
      <c r="C541" s="185" t="s">
        <v>71</v>
      </c>
      <c r="D541" s="204" t="s">
        <v>216</v>
      </c>
      <c r="E541" s="205"/>
      <c r="F541" s="214">
        <f>[51]人員・時間計画!C28</f>
        <v>176.5</v>
      </c>
      <c r="G541" s="214">
        <f>[51]人員・時間計画!D28</f>
        <v>193.5</v>
      </c>
      <c r="H541" s="214">
        <f>[51]人員・時間計画!E28</f>
        <v>185.5</v>
      </c>
      <c r="I541" s="214">
        <f>[51]人員・時間計画!F28</f>
        <v>203.5</v>
      </c>
      <c r="J541" s="214">
        <f>[51]人員・時間計画!G28</f>
        <v>176.5</v>
      </c>
      <c r="K541" s="214">
        <f>[51]人員・時間計画!H28</f>
        <v>251.5</v>
      </c>
      <c r="L541" s="214">
        <f>[51]人員・時間計画!I28</f>
        <v>203.5</v>
      </c>
      <c r="M541" s="214">
        <f>[51]人員・時間計画!J28</f>
        <v>246.5</v>
      </c>
      <c r="N541" s="214">
        <f>[51]人員・時間計画!K28</f>
        <v>194.5</v>
      </c>
      <c r="O541" s="214">
        <f>[51]人員・時間計画!L28</f>
        <v>176.5</v>
      </c>
      <c r="P541" s="214">
        <f>[51]人員・時間計画!M28</f>
        <v>131.5</v>
      </c>
      <c r="Q541" s="214">
        <f>[51]人員・時間計画!N28</f>
        <v>176.5</v>
      </c>
    </row>
    <row r="542" spans="1:17" ht="14.5" hidden="1" thickBot="1">
      <c r="A542">
        <f>[52]人員・時間計画!$A$5</f>
        <v>1412000025</v>
      </c>
      <c r="B542" t="str">
        <f>[52]人員・時間計画!$B$5</f>
        <v>人事課</v>
      </c>
      <c r="C542" s="185" t="s">
        <v>3</v>
      </c>
      <c r="D542" s="185" t="s">
        <v>3</v>
      </c>
      <c r="E542" s="186"/>
    </row>
    <row r="543" spans="1:17" ht="14.5" hidden="1" thickBot="1">
      <c r="A543">
        <f>[52]人員・時間計画!$A$5</f>
        <v>1412000025</v>
      </c>
      <c r="B543" t="str">
        <f>[52]人員・時間計画!$B$5</f>
        <v>人事課</v>
      </c>
      <c r="C543" s="185" t="s">
        <v>3</v>
      </c>
      <c r="D543" s="187" t="s">
        <v>194</v>
      </c>
      <c r="E543" s="188"/>
      <c r="F543" s="214">
        <f>[52]人員・時間計画!C10</f>
        <v>1</v>
      </c>
      <c r="G543" s="214">
        <f>[52]人員・時間計画!D10</f>
        <v>1</v>
      </c>
      <c r="H543" s="214">
        <f>[52]人員・時間計画!E10</f>
        <v>1</v>
      </c>
      <c r="I543" s="214">
        <f>[52]人員・時間計画!F10</f>
        <v>1</v>
      </c>
      <c r="J543" s="214">
        <f>[52]人員・時間計画!G10</f>
        <v>1</v>
      </c>
      <c r="K543" s="214">
        <f>[52]人員・時間計画!H10</f>
        <v>1</v>
      </c>
      <c r="L543" s="214">
        <f>[52]人員・時間計画!I10</f>
        <v>1</v>
      </c>
      <c r="M543" s="214">
        <f>[52]人員・時間計画!J10</f>
        <v>1</v>
      </c>
      <c r="N543" s="214">
        <f>[52]人員・時間計画!K10</f>
        <v>1</v>
      </c>
      <c r="O543" s="214">
        <f>[52]人員・時間計画!L10</f>
        <v>1</v>
      </c>
      <c r="P543" s="214">
        <f>[52]人員・時間計画!M10</f>
        <v>1</v>
      </c>
      <c r="Q543" s="214">
        <f>[52]人員・時間計画!N10</f>
        <v>1</v>
      </c>
    </row>
    <row r="544" spans="1:17" ht="14.5" hidden="1" thickBot="1">
      <c r="A544">
        <f>[52]人員・時間計画!$A$5</f>
        <v>1412000025</v>
      </c>
      <c r="B544" t="str">
        <f>[52]人員・時間計画!$B$5</f>
        <v>人事課</v>
      </c>
      <c r="C544" s="185" t="s">
        <v>3</v>
      </c>
      <c r="D544" s="189"/>
      <c r="E544" s="190" t="s">
        <v>139</v>
      </c>
      <c r="F544" s="214">
        <f>[52]人員・時間計画!C11</f>
        <v>17</v>
      </c>
      <c r="G544" s="214">
        <f>[52]人員・時間計画!D11</f>
        <v>16</v>
      </c>
      <c r="H544" s="214">
        <f>[52]人員・時間計画!E11</f>
        <v>16</v>
      </c>
      <c r="I544" s="214">
        <f>[52]人員・時間計画!F11</f>
        <v>16</v>
      </c>
      <c r="J544" s="214">
        <f>[52]人員・時間計画!G11</f>
        <v>16</v>
      </c>
      <c r="K544" s="214">
        <f>[52]人員・時間計画!H11</f>
        <v>16</v>
      </c>
      <c r="L544" s="214">
        <f>[52]人員・時間計画!I11</f>
        <v>16</v>
      </c>
      <c r="M544" s="214">
        <f>[52]人員・時間計画!J11</f>
        <v>16</v>
      </c>
      <c r="N544" s="214">
        <f>[52]人員・時間計画!K11</f>
        <v>16</v>
      </c>
      <c r="O544" s="214">
        <f>[52]人員・時間計画!L11</f>
        <v>16</v>
      </c>
      <c r="P544" s="214">
        <f>[52]人員・時間計画!M11</f>
        <v>16</v>
      </c>
      <c r="Q544" s="214">
        <f>[52]人員・時間計画!N11</f>
        <v>16</v>
      </c>
    </row>
    <row r="545" spans="1:17" ht="14.5" thickBot="1">
      <c r="A545">
        <f>[52]人員・時間計画!$A$5</f>
        <v>1412000025</v>
      </c>
      <c r="B545" t="str">
        <f>[52]人員・時間計画!$B$5</f>
        <v>人事課</v>
      </c>
      <c r="C545" s="185" t="s">
        <v>3</v>
      </c>
      <c r="D545" s="191" t="s">
        <v>195</v>
      </c>
      <c r="E545" s="192" t="s">
        <v>140</v>
      </c>
      <c r="F545" s="214">
        <f>[52]人員・時間計画!C12</f>
        <v>0</v>
      </c>
      <c r="G545" s="214">
        <f>[52]人員・時間計画!D12</f>
        <v>0</v>
      </c>
      <c r="H545" s="214">
        <f>[52]人員・時間計画!E12</f>
        <v>0</v>
      </c>
      <c r="I545" s="214">
        <f>[52]人員・時間計画!F12</f>
        <v>0</v>
      </c>
      <c r="J545" s="214">
        <f>[52]人員・時間計画!G12</f>
        <v>0</v>
      </c>
      <c r="K545" s="214">
        <f>[52]人員・時間計画!H12</f>
        <v>0</v>
      </c>
      <c r="L545" s="214">
        <f>[52]人員・時間計画!I12</f>
        <v>0</v>
      </c>
      <c r="M545" s="214">
        <f>[52]人員・時間計画!J12</f>
        <v>0</v>
      </c>
      <c r="N545" s="214">
        <f>[52]人員・時間計画!K12</f>
        <v>0</v>
      </c>
      <c r="O545" s="214">
        <f>[52]人員・時間計画!L12</f>
        <v>0</v>
      </c>
      <c r="P545" s="214">
        <f>[52]人員・時間計画!M12</f>
        <v>0</v>
      </c>
      <c r="Q545" s="214">
        <f>[52]人員・時間計画!N12</f>
        <v>0</v>
      </c>
    </row>
    <row r="546" spans="1:17" ht="14.5" hidden="1" thickBot="1">
      <c r="A546">
        <f>[52]人員・時間計画!$A$5</f>
        <v>1412000025</v>
      </c>
      <c r="B546" t="str">
        <f>[52]人員・時間計画!$B$5</f>
        <v>人事課</v>
      </c>
      <c r="C546" s="185" t="s">
        <v>3</v>
      </c>
      <c r="D546" s="193"/>
      <c r="E546" s="194" t="s">
        <v>138</v>
      </c>
      <c r="F546" s="214">
        <f>[52]人員・時間計画!C13</f>
        <v>17</v>
      </c>
      <c r="G546" s="214">
        <f>[52]人員・時間計画!D13</f>
        <v>16</v>
      </c>
      <c r="H546" s="214">
        <f>[52]人員・時間計画!E13</f>
        <v>16</v>
      </c>
      <c r="I546" s="214">
        <f>[52]人員・時間計画!F13</f>
        <v>16</v>
      </c>
      <c r="J546" s="214">
        <f>[52]人員・時間計画!G13</f>
        <v>16</v>
      </c>
      <c r="K546" s="214">
        <f>[52]人員・時間計画!H13</f>
        <v>16</v>
      </c>
      <c r="L546" s="214">
        <f>[52]人員・時間計画!I13</f>
        <v>16</v>
      </c>
      <c r="M546" s="214">
        <f>[52]人員・時間計画!J13</f>
        <v>16</v>
      </c>
      <c r="N546" s="214">
        <f>[52]人員・時間計画!K13</f>
        <v>16</v>
      </c>
      <c r="O546" s="214">
        <f>[52]人員・時間計画!L13</f>
        <v>16</v>
      </c>
      <c r="P546" s="214">
        <f>[52]人員・時間計画!M13</f>
        <v>16</v>
      </c>
      <c r="Q546" s="214">
        <f>[52]人員・時間計画!N13</f>
        <v>16</v>
      </c>
    </row>
    <row r="547" spans="1:17" ht="14.5" hidden="1" thickBot="1">
      <c r="A547">
        <f>[52]人員・時間計画!$A$5</f>
        <v>1412000025</v>
      </c>
      <c r="B547" t="str">
        <f>[52]人員・時間計画!$B$5</f>
        <v>人事課</v>
      </c>
      <c r="C547" s="185" t="s">
        <v>3</v>
      </c>
      <c r="D547" s="195" t="s">
        <v>196</v>
      </c>
      <c r="E547" s="196"/>
      <c r="F547" s="214">
        <f>[52]人員・時間計画!C14</f>
        <v>18</v>
      </c>
      <c r="G547" s="214">
        <f>[52]人員・時間計画!D14</f>
        <v>17</v>
      </c>
      <c r="H547" s="214">
        <f>[52]人員・時間計画!E14</f>
        <v>17</v>
      </c>
      <c r="I547" s="214">
        <f>[52]人員・時間計画!F14</f>
        <v>17</v>
      </c>
      <c r="J547" s="214">
        <f>[52]人員・時間計画!G14</f>
        <v>17</v>
      </c>
      <c r="K547" s="214">
        <f>[52]人員・時間計画!H14</f>
        <v>17</v>
      </c>
      <c r="L547" s="214">
        <f>[52]人員・時間計画!I14</f>
        <v>17</v>
      </c>
      <c r="M547" s="214">
        <f>[52]人員・時間計画!J14</f>
        <v>17</v>
      </c>
      <c r="N547" s="214">
        <f>[52]人員・時間計画!K14</f>
        <v>17</v>
      </c>
      <c r="O547" s="214">
        <f>[52]人員・時間計画!L14</f>
        <v>17</v>
      </c>
      <c r="P547" s="214">
        <f>[52]人員・時間計画!M14</f>
        <v>17</v>
      </c>
      <c r="Q547" s="214">
        <f>[52]人員・時間計画!N14</f>
        <v>17</v>
      </c>
    </row>
    <row r="548" spans="1:17" ht="14.5" hidden="1" thickBot="1">
      <c r="A548">
        <f>[52]人員・時間計画!$A$5</f>
        <v>1412000025</v>
      </c>
      <c r="B548" t="str">
        <f>[52]人員・時間計画!$B$5</f>
        <v>人事課</v>
      </c>
      <c r="D548" s="197"/>
      <c r="E548" s="197"/>
    </row>
    <row r="549" spans="1:17" ht="14.5" hidden="1" thickBot="1">
      <c r="A549">
        <f>[52]人員・時間計画!$A$5</f>
        <v>1412000025</v>
      </c>
      <c r="B549" t="str">
        <f>[52]人員・時間計画!$B$5</f>
        <v>人事課</v>
      </c>
      <c r="C549" s="185" t="s">
        <v>202</v>
      </c>
      <c r="D549" s="185" t="s">
        <v>202</v>
      </c>
      <c r="E549" s="186"/>
    </row>
    <row r="550" spans="1:17" ht="14.5" hidden="1" thickBot="1">
      <c r="A550">
        <f>[52]人員・時間計画!$A$5</f>
        <v>1412000025</v>
      </c>
      <c r="B550" t="str">
        <f>[52]人員・時間計画!$B$5</f>
        <v>人事課</v>
      </c>
      <c r="C550" s="185" t="s">
        <v>202</v>
      </c>
      <c r="D550" s="198" t="s">
        <v>194</v>
      </c>
      <c r="E550" s="199"/>
      <c r="F550" s="214">
        <f>[52]人員・時間計画!C17</f>
        <v>170</v>
      </c>
      <c r="G550" s="214">
        <f>[52]人員・時間計画!D17</f>
        <v>161.5</v>
      </c>
      <c r="H550" s="214">
        <f>[52]人員・時間計画!E17</f>
        <v>178.5</v>
      </c>
      <c r="I550" s="214">
        <f>[52]人員・時間計画!F17</f>
        <v>195.5</v>
      </c>
      <c r="J550" s="214">
        <f>[52]人員・時間計画!G17</f>
        <v>127.5</v>
      </c>
      <c r="K550" s="214">
        <f>[52]人員・時間計画!H17</f>
        <v>161.5</v>
      </c>
      <c r="L550" s="214">
        <f>[52]人員・時間計画!I17</f>
        <v>195.5</v>
      </c>
      <c r="M550" s="214">
        <f>[52]人員・時間計画!J17</f>
        <v>170</v>
      </c>
      <c r="N550" s="214">
        <f>[52]人員・時間計画!K17</f>
        <v>187</v>
      </c>
      <c r="O550" s="214">
        <f>[52]人員・時間計画!L17</f>
        <v>153</v>
      </c>
      <c r="P550" s="214">
        <f>[52]人員・時間計画!M17</f>
        <v>127.5</v>
      </c>
      <c r="Q550" s="214">
        <f>[52]人員・時間計画!N17</f>
        <v>170</v>
      </c>
    </row>
    <row r="551" spans="1:17" ht="14.5" hidden="1" thickBot="1">
      <c r="A551">
        <f>[52]人員・時間計画!$A$5</f>
        <v>1412000025</v>
      </c>
      <c r="B551" t="str">
        <f>[52]人員・時間計画!$B$5</f>
        <v>人事課</v>
      </c>
      <c r="C551" s="185" t="s">
        <v>202</v>
      </c>
      <c r="D551" s="200"/>
      <c r="E551" s="190" t="s">
        <v>139</v>
      </c>
      <c r="F551" s="214">
        <f>[52]人員・時間計画!C18</f>
        <v>2732</v>
      </c>
      <c r="G551" s="214">
        <f>[52]人員・時間計画!D18</f>
        <v>2391</v>
      </c>
      <c r="H551" s="214">
        <f>[52]人員・時間計画!E18</f>
        <v>2436</v>
      </c>
      <c r="I551" s="214">
        <f>[52]人員・時間計画!F18</f>
        <v>2673</v>
      </c>
      <c r="J551" s="214">
        <f>[52]人員・時間計画!G18</f>
        <v>2340</v>
      </c>
      <c r="K551" s="214">
        <f>[52]人員・時間計画!H18</f>
        <v>2242</v>
      </c>
      <c r="L551" s="214">
        <f>[52]人員・時間計画!I18</f>
        <v>2837</v>
      </c>
      <c r="M551" s="214">
        <f>[52]人員・時間計画!J18</f>
        <v>2567.5</v>
      </c>
      <c r="N551" s="214">
        <f>[52]人員・時間計画!K18</f>
        <v>2948</v>
      </c>
      <c r="O551" s="214">
        <f>[52]人員・時間計画!L18</f>
        <v>2680</v>
      </c>
      <c r="P551" s="214">
        <f>[52]人員・時間計画!M18</f>
        <v>2010</v>
      </c>
      <c r="Q551" s="214">
        <f>[52]人員・時間計画!N18</f>
        <v>2680</v>
      </c>
    </row>
    <row r="552" spans="1:17" ht="14.5" thickBot="1">
      <c r="A552">
        <f>[52]人員・時間計画!$A$5</f>
        <v>1412000025</v>
      </c>
      <c r="B552" t="str">
        <f>[52]人員・時間計画!$B$5</f>
        <v>人事課</v>
      </c>
      <c r="C552" s="185" t="s">
        <v>202</v>
      </c>
      <c r="D552" s="201" t="s">
        <v>195</v>
      </c>
      <c r="E552" s="192" t="s">
        <v>140</v>
      </c>
      <c r="F552" s="214">
        <f>[52]人員・時間計画!C19</f>
        <v>0</v>
      </c>
      <c r="G552" s="214">
        <f>[52]人員・時間計画!D19</f>
        <v>0</v>
      </c>
      <c r="H552" s="214">
        <f>[52]人員・時間計画!E19</f>
        <v>0</v>
      </c>
      <c r="I552" s="214">
        <f>[52]人員・時間計画!F19</f>
        <v>0</v>
      </c>
      <c r="J552" s="214">
        <f>[52]人員・時間計画!G19</f>
        <v>0</v>
      </c>
      <c r="K552" s="214">
        <f>[52]人員・時間計画!H19</f>
        <v>0</v>
      </c>
      <c r="L552" s="214">
        <f>[52]人員・時間計画!I19</f>
        <v>0</v>
      </c>
      <c r="M552" s="214">
        <f>[52]人員・時間計画!J19</f>
        <v>0</v>
      </c>
      <c r="N552" s="214">
        <f>[52]人員・時間計画!K19</f>
        <v>0</v>
      </c>
      <c r="O552" s="214">
        <f>[52]人員・時間計画!L19</f>
        <v>0</v>
      </c>
      <c r="P552" s="214">
        <f>[52]人員・時間計画!M19</f>
        <v>0</v>
      </c>
      <c r="Q552" s="214">
        <f>[52]人員・時間計画!N19</f>
        <v>0</v>
      </c>
    </row>
    <row r="553" spans="1:17" ht="14.5" hidden="1" thickBot="1">
      <c r="A553">
        <f>[52]人員・時間計画!$A$5</f>
        <v>1412000025</v>
      </c>
      <c r="B553" t="str">
        <f>[52]人員・時間計画!$B$5</f>
        <v>人事課</v>
      </c>
      <c r="C553" s="185" t="s">
        <v>202</v>
      </c>
      <c r="D553" s="202"/>
      <c r="E553" s="203" t="s">
        <v>138</v>
      </c>
      <c r="F553" s="214">
        <f>[52]人員・時間計画!C20</f>
        <v>2732</v>
      </c>
      <c r="G553" s="214">
        <f>[52]人員・時間計画!D20</f>
        <v>2391</v>
      </c>
      <c r="H553" s="214">
        <f>[52]人員・時間計画!E20</f>
        <v>2436</v>
      </c>
      <c r="I553" s="214">
        <f>[52]人員・時間計画!F20</f>
        <v>2673</v>
      </c>
      <c r="J553" s="214">
        <f>[52]人員・時間計画!G20</f>
        <v>2340</v>
      </c>
      <c r="K553" s="214">
        <f>[52]人員・時間計画!H20</f>
        <v>2242</v>
      </c>
      <c r="L553" s="214">
        <f>[52]人員・時間計画!I20</f>
        <v>2837</v>
      </c>
      <c r="M553" s="214">
        <f>[52]人員・時間計画!J20</f>
        <v>2567.5</v>
      </c>
      <c r="N553" s="214">
        <f>[52]人員・時間計画!K20</f>
        <v>2948</v>
      </c>
      <c r="O553" s="214">
        <f>[52]人員・時間計画!L20</f>
        <v>2680</v>
      </c>
      <c r="P553" s="214">
        <f>[52]人員・時間計画!M20</f>
        <v>2010</v>
      </c>
      <c r="Q553" s="214">
        <f>[52]人員・時間計画!N20</f>
        <v>2680</v>
      </c>
    </row>
    <row r="554" spans="1:17" ht="14.5" hidden="1" thickBot="1">
      <c r="A554">
        <f>[52]人員・時間計画!$A$5</f>
        <v>1412000025</v>
      </c>
      <c r="B554" t="str">
        <f>[52]人員・時間計画!$B$5</f>
        <v>人事課</v>
      </c>
      <c r="C554" s="185" t="s">
        <v>202</v>
      </c>
      <c r="D554" s="204" t="s">
        <v>215</v>
      </c>
      <c r="E554" s="205"/>
      <c r="F554" s="214">
        <f>[52]人員・時間計画!C21</f>
        <v>2902</v>
      </c>
      <c r="G554" s="214">
        <f>[52]人員・時間計画!D21</f>
        <v>2552.5</v>
      </c>
      <c r="H554" s="214">
        <f>[52]人員・時間計画!E21</f>
        <v>2614.5</v>
      </c>
      <c r="I554" s="214">
        <f>[52]人員・時間計画!F21</f>
        <v>2868.5</v>
      </c>
      <c r="J554" s="214">
        <f>[52]人員・時間計画!G21</f>
        <v>2467.5</v>
      </c>
      <c r="K554" s="214">
        <f>[52]人員・時間計画!H21</f>
        <v>2403.5</v>
      </c>
      <c r="L554" s="214">
        <f>[52]人員・時間計画!I21</f>
        <v>3032.5</v>
      </c>
      <c r="M554" s="214">
        <f>[52]人員・時間計画!J21</f>
        <v>2737.5</v>
      </c>
      <c r="N554" s="214">
        <f>[52]人員・時間計画!K21</f>
        <v>3135</v>
      </c>
      <c r="O554" s="214">
        <f>[52]人員・時間計画!L21</f>
        <v>2833</v>
      </c>
      <c r="P554" s="214">
        <f>[52]人員・時間計画!M21</f>
        <v>2137.5</v>
      </c>
      <c r="Q554" s="214">
        <f>[52]人員・時間計画!N21</f>
        <v>2850</v>
      </c>
    </row>
    <row r="555" spans="1:17" ht="14.5" hidden="1" thickBot="1">
      <c r="A555">
        <f>[52]人員・時間計画!$A$5</f>
        <v>1412000025</v>
      </c>
      <c r="B555" t="str">
        <f>[52]人員・時間計画!$B$5</f>
        <v>人事課</v>
      </c>
      <c r="D555" s="197"/>
      <c r="E555" s="197"/>
    </row>
    <row r="556" spans="1:17" ht="14.5" hidden="1" thickBot="1">
      <c r="A556">
        <f>[52]人員・時間計画!$A$5</f>
        <v>1412000025</v>
      </c>
      <c r="B556" t="str">
        <f>[52]人員・時間計画!$B$5</f>
        <v>人事課</v>
      </c>
      <c r="C556" s="185" t="s">
        <v>71</v>
      </c>
      <c r="D556" s="185" t="s">
        <v>71</v>
      </c>
      <c r="E556" s="186"/>
    </row>
    <row r="557" spans="1:17" ht="14.5" hidden="1" thickBot="1">
      <c r="A557">
        <f>[52]人員・時間計画!$A$5</f>
        <v>1412000025</v>
      </c>
      <c r="B557" t="str">
        <f>[52]人員・時間計画!$B$5</f>
        <v>人事課</v>
      </c>
      <c r="C557" s="185" t="s">
        <v>71</v>
      </c>
      <c r="D557" s="198" t="s">
        <v>194</v>
      </c>
      <c r="E557" s="199"/>
      <c r="F557" s="214">
        <f>[52]人員・時間計画!C24</f>
        <v>40</v>
      </c>
      <c r="G557" s="214">
        <f>[52]人員・時間計画!D24</f>
        <v>38</v>
      </c>
      <c r="H557" s="214">
        <f>[52]人員・時間計画!E24</f>
        <v>42</v>
      </c>
      <c r="I557" s="214">
        <f>[52]人員・時間計画!F24</f>
        <v>46</v>
      </c>
      <c r="J557" s="214">
        <f>[52]人員・時間計画!G24</f>
        <v>30</v>
      </c>
      <c r="K557" s="214">
        <f>[52]人員・時間計画!H24</f>
        <v>38</v>
      </c>
      <c r="L557" s="214">
        <f>[52]人員・時間計画!I24</f>
        <v>46</v>
      </c>
      <c r="M557" s="214">
        <f>[52]人員・時間計画!J24</f>
        <v>40</v>
      </c>
      <c r="N557" s="214">
        <f>[52]人員・時間計画!K24</f>
        <v>44</v>
      </c>
      <c r="O557" s="214">
        <f>[52]人員・時間計画!L24</f>
        <v>36</v>
      </c>
      <c r="P557" s="214">
        <f>[52]人員・時間計画!M24</f>
        <v>30</v>
      </c>
      <c r="Q557" s="214">
        <f>[52]人員・時間計画!N24</f>
        <v>40</v>
      </c>
    </row>
    <row r="558" spans="1:17" ht="14.5" hidden="1" thickBot="1">
      <c r="A558">
        <f>[52]人員・時間計画!$A$5</f>
        <v>1412000025</v>
      </c>
      <c r="B558" t="str">
        <f>[52]人員・時間計画!$B$5</f>
        <v>人事課</v>
      </c>
      <c r="C558" s="185" t="s">
        <v>71</v>
      </c>
      <c r="D558" s="200"/>
      <c r="E558" s="206" t="s">
        <v>139</v>
      </c>
      <c r="F558" s="214">
        <f>[52]人員・時間計画!C25</f>
        <v>83</v>
      </c>
      <c r="G558" s="214">
        <f>[52]人員・時間計画!D25</f>
        <v>79</v>
      </c>
      <c r="H558" s="214">
        <f>[52]人員・時間計画!E25</f>
        <v>87</v>
      </c>
      <c r="I558" s="214">
        <f>[52]人員・時間計画!F25</f>
        <v>95</v>
      </c>
      <c r="J558" s="214">
        <f>[52]人員・時間計画!G25</f>
        <v>83</v>
      </c>
      <c r="K558" s="214">
        <f>[52]人員・時間計画!H25</f>
        <v>79</v>
      </c>
      <c r="L558" s="214">
        <f>[52]人員・時間計画!I25</f>
        <v>95</v>
      </c>
      <c r="M558" s="214">
        <f>[52]人員・時間計画!J25</f>
        <v>83</v>
      </c>
      <c r="N558" s="214">
        <f>[52]人員・時間計画!K25</f>
        <v>91</v>
      </c>
      <c r="O558" s="214">
        <f>[52]人員・時間計画!L25</f>
        <v>83</v>
      </c>
      <c r="P558" s="214">
        <f>[52]人員・時間計画!M25</f>
        <v>63</v>
      </c>
      <c r="Q558" s="214">
        <f>[52]人員・時間計画!N25</f>
        <v>83</v>
      </c>
    </row>
    <row r="559" spans="1:17" ht="14.5" thickBot="1">
      <c r="A559">
        <f>[52]人員・時間計画!$A$5</f>
        <v>1412000025</v>
      </c>
      <c r="B559" t="str">
        <f>[52]人員・時間計画!$B$5</f>
        <v>人事課</v>
      </c>
      <c r="C559" s="185" t="s">
        <v>71</v>
      </c>
      <c r="D559" s="201" t="s">
        <v>195</v>
      </c>
      <c r="E559" s="207" t="s">
        <v>140</v>
      </c>
      <c r="F559" s="214">
        <f>[52]人員・時間計画!C26</f>
        <v>0</v>
      </c>
      <c r="G559" s="214">
        <f>[52]人員・時間計画!D26</f>
        <v>0</v>
      </c>
      <c r="H559" s="214">
        <f>[52]人員・時間計画!E26</f>
        <v>0</v>
      </c>
      <c r="I559" s="214">
        <f>[52]人員・時間計画!F26</f>
        <v>0</v>
      </c>
      <c r="J559" s="214">
        <f>[52]人員・時間計画!G26</f>
        <v>0</v>
      </c>
      <c r="K559" s="214">
        <f>[52]人員・時間計画!H26</f>
        <v>0</v>
      </c>
      <c r="L559" s="214">
        <f>[52]人員・時間計画!I26</f>
        <v>0</v>
      </c>
      <c r="M559" s="214">
        <f>[52]人員・時間計画!J26</f>
        <v>0</v>
      </c>
      <c r="N559" s="214">
        <f>[52]人員・時間計画!K26</f>
        <v>0</v>
      </c>
      <c r="O559" s="214">
        <f>[52]人員・時間計画!L26</f>
        <v>0</v>
      </c>
      <c r="P559" s="214">
        <f>[52]人員・時間計画!M26</f>
        <v>0</v>
      </c>
      <c r="Q559" s="214">
        <f>[52]人員・時間計画!N26</f>
        <v>0</v>
      </c>
    </row>
    <row r="560" spans="1:17" ht="14.5" hidden="1" thickBot="1">
      <c r="A560">
        <f>[52]人員・時間計画!$A$5</f>
        <v>1412000025</v>
      </c>
      <c r="B560" t="str">
        <f>[52]人員・時間計画!$B$5</f>
        <v>人事課</v>
      </c>
      <c r="C560" s="185" t="s">
        <v>71</v>
      </c>
      <c r="D560" s="202"/>
      <c r="E560" s="203" t="s">
        <v>138</v>
      </c>
      <c r="F560" s="214">
        <f>[52]人員・時間計画!C27</f>
        <v>83</v>
      </c>
      <c r="G560" s="214">
        <f>[52]人員・時間計画!D27</f>
        <v>79</v>
      </c>
      <c r="H560" s="214">
        <f>[52]人員・時間計画!E27</f>
        <v>87</v>
      </c>
      <c r="I560" s="214">
        <f>[52]人員・時間計画!F27</f>
        <v>95</v>
      </c>
      <c r="J560" s="214">
        <f>[52]人員・時間計画!G27</f>
        <v>83</v>
      </c>
      <c r="K560" s="214">
        <f>[52]人員・時間計画!H27</f>
        <v>79</v>
      </c>
      <c r="L560" s="214">
        <f>[52]人員・時間計画!I27</f>
        <v>95</v>
      </c>
      <c r="M560" s="214">
        <f>[52]人員・時間計画!J27</f>
        <v>83</v>
      </c>
      <c r="N560" s="214">
        <f>[52]人員・時間計画!K27</f>
        <v>91</v>
      </c>
      <c r="O560" s="214">
        <f>[52]人員・時間計画!L27</f>
        <v>83</v>
      </c>
      <c r="P560" s="214">
        <f>[52]人員・時間計画!M27</f>
        <v>63</v>
      </c>
      <c r="Q560" s="214">
        <f>[52]人員・時間計画!N27</f>
        <v>83</v>
      </c>
    </row>
    <row r="561" spans="1:17" ht="14.5" hidden="1" thickBot="1">
      <c r="A561">
        <f>[52]人員・時間計画!$A$5</f>
        <v>1412000025</v>
      </c>
      <c r="B561" t="str">
        <f>[52]人員・時間計画!$B$5</f>
        <v>人事課</v>
      </c>
      <c r="C561" s="185" t="s">
        <v>71</v>
      </c>
      <c r="D561" s="204" t="s">
        <v>216</v>
      </c>
      <c r="E561" s="205"/>
      <c r="F561" s="214">
        <f>[52]人員・時間計画!C28</f>
        <v>123</v>
      </c>
      <c r="G561" s="214">
        <f>[52]人員・時間計画!D28</f>
        <v>117</v>
      </c>
      <c r="H561" s="214">
        <f>[52]人員・時間計画!E28</f>
        <v>129</v>
      </c>
      <c r="I561" s="214">
        <f>[52]人員・時間計画!F28</f>
        <v>141</v>
      </c>
      <c r="J561" s="214">
        <f>[52]人員・時間計画!G28</f>
        <v>113</v>
      </c>
      <c r="K561" s="214">
        <f>[52]人員・時間計画!H28</f>
        <v>117</v>
      </c>
      <c r="L561" s="214">
        <f>[52]人員・時間計画!I28</f>
        <v>141</v>
      </c>
      <c r="M561" s="214">
        <f>[52]人員・時間計画!J28</f>
        <v>123</v>
      </c>
      <c r="N561" s="214">
        <f>[52]人員・時間計画!K28</f>
        <v>135</v>
      </c>
      <c r="O561" s="214">
        <f>[52]人員・時間計画!L28</f>
        <v>119</v>
      </c>
      <c r="P561" s="214">
        <f>[52]人員・時間計画!M28</f>
        <v>93</v>
      </c>
      <c r="Q561" s="214">
        <f>[52]人員・時間計画!N28</f>
        <v>123</v>
      </c>
    </row>
    <row r="562" spans="1:17" ht="14.5" hidden="1" thickBot="1">
      <c r="A562">
        <f>[53]人員・時間計画!$A$5</f>
        <v>1412000026</v>
      </c>
      <c r="B562" t="str">
        <f>[53]人員・時間計画!$B$5</f>
        <v>施設課</v>
      </c>
      <c r="C562" s="185" t="s">
        <v>3</v>
      </c>
      <c r="D562" s="185" t="s">
        <v>3</v>
      </c>
      <c r="E562" s="186"/>
    </row>
    <row r="563" spans="1:17" ht="14.5" hidden="1" thickBot="1">
      <c r="A563">
        <f>[53]人員・時間計画!$A$5</f>
        <v>1412000026</v>
      </c>
      <c r="B563" t="str">
        <f>[53]人員・時間計画!$B$5</f>
        <v>施設課</v>
      </c>
      <c r="C563" s="185" t="s">
        <v>3</v>
      </c>
      <c r="D563" s="187" t="s">
        <v>194</v>
      </c>
      <c r="E563" s="188"/>
      <c r="F563" s="214">
        <f>[53]人員・時間計画!C10</f>
        <v>0</v>
      </c>
      <c r="G563" s="214">
        <f>[53]人員・時間計画!D10</f>
        <v>0</v>
      </c>
      <c r="H563" s="214">
        <f>[53]人員・時間計画!E10</f>
        <v>0</v>
      </c>
      <c r="I563" s="214">
        <f>[53]人員・時間計画!F10</f>
        <v>0</v>
      </c>
      <c r="J563" s="214">
        <f>[53]人員・時間計画!G10</f>
        <v>0</v>
      </c>
      <c r="K563" s="214">
        <f>[53]人員・時間計画!H10</f>
        <v>0</v>
      </c>
      <c r="L563" s="214">
        <f>[53]人員・時間計画!I10</f>
        <v>0</v>
      </c>
      <c r="M563" s="214">
        <f>[53]人員・時間計画!J10</f>
        <v>0</v>
      </c>
      <c r="N563" s="214">
        <f>[53]人員・時間計画!K10</f>
        <v>0</v>
      </c>
      <c r="O563" s="214">
        <f>[53]人員・時間計画!L10</f>
        <v>0</v>
      </c>
      <c r="P563" s="214">
        <f>[53]人員・時間計画!M10</f>
        <v>0</v>
      </c>
      <c r="Q563" s="214">
        <f>[53]人員・時間計画!N10</f>
        <v>0</v>
      </c>
    </row>
    <row r="564" spans="1:17" ht="14.5" hidden="1" thickBot="1">
      <c r="A564">
        <f>[53]人員・時間計画!$A$5</f>
        <v>1412000026</v>
      </c>
      <c r="B564" t="str">
        <f>[53]人員・時間計画!$B$5</f>
        <v>施設課</v>
      </c>
      <c r="C564" s="185" t="s">
        <v>3</v>
      </c>
      <c r="D564" s="189"/>
      <c r="E564" s="190" t="s">
        <v>139</v>
      </c>
      <c r="F564" s="214">
        <f>[53]人員・時間計画!C11</f>
        <v>11</v>
      </c>
      <c r="G564" s="214">
        <f>[53]人員・時間計画!D11</f>
        <v>11</v>
      </c>
      <c r="H564" s="214">
        <f>[53]人員・時間計画!E11</f>
        <v>11</v>
      </c>
      <c r="I564" s="214">
        <f>[53]人員・時間計画!F11</f>
        <v>11</v>
      </c>
      <c r="J564" s="214">
        <f>[53]人員・時間計画!G11</f>
        <v>11</v>
      </c>
      <c r="K564" s="214">
        <f>[53]人員・時間計画!H11</f>
        <v>11</v>
      </c>
      <c r="L564" s="214">
        <f>[53]人員・時間計画!I11</f>
        <v>11</v>
      </c>
      <c r="M564" s="214">
        <f>[53]人員・時間計画!J11</f>
        <v>11</v>
      </c>
      <c r="N564" s="214">
        <f>[53]人員・時間計画!K11</f>
        <v>11</v>
      </c>
      <c r="O564" s="214">
        <f>[53]人員・時間計画!L11</f>
        <v>11</v>
      </c>
      <c r="P564" s="214">
        <f>[53]人員・時間計画!M11</f>
        <v>11</v>
      </c>
      <c r="Q564" s="214">
        <f>[53]人員・時間計画!N11</f>
        <v>11</v>
      </c>
    </row>
    <row r="565" spans="1:17" ht="14.5" thickBot="1">
      <c r="A565">
        <f>[53]人員・時間計画!$A$5</f>
        <v>1412000026</v>
      </c>
      <c r="B565" t="str">
        <f>[53]人員・時間計画!$B$5</f>
        <v>施設課</v>
      </c>
      <c r="C565" s="185" t="s">
        <v>3</v>
      </c>
      <c r="D565" s="191" t="s">
        <v>195</v>
      </c>
      <c r="E565" s="192" t="s">
        <v>140</v>
      </c>
      <c r="F565" s="214">
        <f>[53]人員・時間計画!C12</f>
        <v>3</v>
      </c>
      <c r="G565" s="214">
        <f>[53]人員・時間計画!D12</f>
        <v>3</v>
      </c>
      <c r="H565" s="214">
        <f>[53]人員・時間計画!E12</f>
        <v>3</v>
      </c>
      <c r="I565" s="214">
        <f>[53]人員・時間計画!F12</f>
        <v>3</v>
      </c>
      <c r="J565" s="214">
        <f>[53]人員・時間計画!G12</f>
        <v>3</v>
      </c>
      <c r="K565" s="214">
        <f>[53]人員・時間計画!H12</f>
        <v>3</v>
      </c>
      <c r="L565" s="214">
        <f>[53]人員・時間計画!I12</f>
        <v>3</v>
      </c>
      <c r="M565" s="214">
        <f>[53]人員・時間計画!J12</f>
        <v>3</v>
      </c>
      <c r="N565" s="214">
        <f>[53]人員・時間計画!K12</f>
        <v>3</v>
      </c>
      <c r="O565" s="214">
        <f>[53]人員・時間計画!L12</f>
        <v>3</v>
      </c>
      <c r="P565" s="214">
        <f>[53]人員・時間計画!M12</f>
        <v>3</v>
      </c>
      <c r="Q565" s="214">
        <f>[53]人員・時間計画!N12</f>
        <v>3</v>
      </c>
    </row>
    <row r="566" spans="1:17" ht="14.5" hidden="1" thickBot="1">
      <c r="A566">
        <f>[53]人員・時間計画!$A$5</f>
        <v>1412000026</v>
      </c>
      <c r="B566" t="str">
        <f>[53]人員・時間計画!$B$5</f>
        <v>施設課</v>
      </c>
      <c r="C566" s="185" t="s">
        <v>3</v>
      </c>
      <c r="D566" s="193"/>
      <c r="E566" s="194" t="s">
        <v>138</v>
      </c>
      <c r="F566" s="214">
        <f>[53]人員・時間計画!C13</f>
        <v>14</v>
      </c>
      <c r="G566" s="214">
        <f>[53]人員・時間計画!D13</f>
        <v>14</v>
      </c>
      <c r="H566" s="214">
        <f>[53]人員・時間計画!E13</f>
        <v>14</v>
      </c>
      <c r="I566" s="214">
        <f>[53]人員・時間計画!F13</f>
        <v>14</v>
      </c>
      <c r="J566" s="214">
        <f>[53]人員・時間計画!G13</f>
        <v>14</v>
      </c>
      <c r="K566" s="214">
        <f>[53]人員・時間計画!H13</f>
        <v>14</v>
      </c>
      <c r="L566" s="214">
        <f>[53]人員・時間計画!I13</f>
        <v>14</v>
      </c>
      <c r="M566" s="214">
        <f>[53]人員・時間計画!J13</f>
        <v>14</v>
      </c>
      <c r="N566" s="214">
        <f>[53]人員・時間計画!K13</f>
        <v>14</v>
      </c>
      <c r="O566" s="214">
        <f>[53]人員・時間計画!L13</f>
        <v>14</v>
      </c>
      <c r="P566" s="214">
        <f>[53]人員・時間計画!M13</f>
        <v>14</v>
      </c>
      <c r="Q566" s="214">
        <f>[53]人員・時間計画!N13</f>
        <v>14</v>
      </c>
    </row>
    <row r="567" spans="1:17" ht="14.5" hidden="1" thickBot="1">
      <c r="A567">
        <f>[53]人員・時間計画!$A$5</f>
        <v>1412000026</v>
      </c>
      <c r="B567" t="str">
        <f>[53]人員・時間計画!$B$5</f>
        <v>施設課</v>
      </c>
      <c r="C567" s="185" t="s">
        <v>3</v>
      </c>
      <c r="D567" s="195" t="s">
        <v>196</v>
      </c>
      <c r="E567" s="196"/>
      <c r="F567" s="214">
        <f>[53]人員・時間計画!C14</f>
        <v>14</v>
      </c>
      <c r="G567" s="214">
        <f>[53]人員・時間計画!D14</f>
        <v>14</v>
      </c>
      <c r="H567" s="214">
        <f>[53]人員・時間計画!E14</f>
        <v>14</v>
      </c>
      <c r="I567" s="214">
        <f>[53]人員・時間計画!F14</f>
        <v>14</v>
      </c>
      <c r="J567" s="214">
        <f>[53]人員・時間計画!G14</f>
        <v>14</v>
      </c>
      <c r="K567" s="214">
        <f>[53]人員・時間計画!H14</f>
        <v>14</v>
      </c>
      <c r="L567" s="214">
        <f>[53]人員・時間計画!I14</f>
        <v>14</v>
      </c>
      <c r="M567" s="214">
        <f>[53]人員・時間計画!J14</f>
        <v>14</v>
      </c>
      <c r="N567" s="214">
        <f>[53]人員・時間計画!K14</f>
        <v>14</v>
      </c>
      <c r="O567" s="214">
        <f>[53]人員・時間計画!L14</f>
        <v>14</v>
      </c>
      <c r="P567" s="214">
        <f>[53]人員・時間計画!M14</f>
        <v>14</v>
      </c>
      <c r="Q567" s="214">
        <f>[53]人員・時間計画!N14</f>
        <v>14</v>
      </c>
    </row>
    <row r="568" spans="1:17" ht="14.5" hidden="1" thickBot="1">
      <c r="A568">
        <f>[53]人員・時間計画!$A$5</f>
        <v>1412000026</v>
      </c>
      <c r="B568" t="str">
        <f>[53]人員・時間計画!$B$5</f>
        <v>施設課</v>
      </c>
      <c r="D568" s="197"/>
      <c r="E568" s="197"/>
    </row>
    <row r="569" spans="1:17" ht="14.5" hidden="1" thickBot="1">
      <c r="A569">
        <f>[53]人員・時間計画!$A$5</f>
        <v>1412000026</v>
      </c>
      <c r="B569" t="str">
        <f>[53]人員・時間計画!$B$5</f>
        <v>施設課</v>
      </c>
      <c r="C569" s="185" t="s">
        <v>202</v>
      </c>
      <c r="D569" s="185" t="s">
        <v>202</v>
      </c>
      <c r="E569" s="186"/>
    </row>
    <row r="570" spans="1:17" ht="14.5" hidden="1" thickBot="1">
      <c r="A570">
        <f>[53]人員・時間計画!$A$5</f>
        <v>1412000026</v>
      </c>
      <c r="B570" t="str">
        <f>[53]人員・時間計画!$B$5</f>
        <v>施設課</v>
      </c>
      <c r="C570" s="185" t="s">
        <v>202</v>
      </c>
      <c r="D570" s="198" t="s">
        <v>194</v>
      </c>
      <c r="E570" s="199"/>
      <c r="F570" s="214">
        <f>[53]人員・時間計画!C17</f>
        <v>0</v>
      </c>
      <c r="G570" s="214">
        <f>[53]人員・時間計画!D17</f>
        <v>0</v>
      </c>
      <c r="H570" s="214">
        <f>[53]人員・時間計画!E17</f>
        <v>0</v>
      </c>
      <c r="I570" s="214">
        <f>[53]人員・時間計画!F17</f>
        <v>0</v>
      </c>
      <c r="J570" s="214">
        <f>[53]人員・時間計画!G17</f>
        <v>0</v>
      </c>
      <c r="K570" s="214">
        <f>[53]人員・時間計画!H17</f>
        <v>0</v>
      </c>
      <c r="L570" s="214">
        <f>[53]人員・時間計画!I17</f>
        <v>0</v>
      </c>
      <c r="M570" s="214">
        <f>[53]人員・時間計画!J17</f>
        <v>0</v>
      </c>
      <c r="N570" s="214">
        <f>[53]人員・時間計画!K17</f>
        <v>0</v>
      </c>
      <c r="O570" s="214">
        <f>[53]人員・時間計画!L17</f>
        <v>0</v>
      </c>
      <c r="P570" s="214">
        <f>[53]人員・時間計画!M17</f>
        <v>0</v>
      </c>
      <c r="Q570" s="214">
        <f>[53]人員・時間計画!N17</f>
        <v>0</v>
      </c>
    </row>
    <row r="571" spans="1:17" ht="14.5" hidden="1" thickBot="1">
      <c r="A571">
        <f>[53]人員・時間計画!$A$5</f>
        <v>1412000026</v>
      </c>
      <c r="B571" t="str">
        <f>[53]人員・時間計画!$B$5</f>
        <v>施設課</v>
      </c>
      <c r="C571" s="185" t="s">
        <v>202</v>
      </c>
      <c r="D571" s="200"/>
      <c r="E571" s="190" t="s">
        <v>139</v>
      </c>
      <c r="F571" s="214">
        <f>[53]人員・時間計画!C18</f>
        <v>1823.25</v>
      </c>
      <c r="G571" s="214">
        <f>[53]人員・時間計画!D18</f>
        <v>1683</v>
      </c>
      <c r="H571" s="214">
        <f>[53]人員・時間計画!E18</f>
        <v>1870</v>
      </c>
      <c r="I571" s="214">
        <f>[53]人員・時間計画!F18</f>
        <v>2103.75</v>
      </c>
      <c r="J571" s="214">
        <f>[53]人員・時間計画!G18</f>
        <v>1776.5</v>
      </c>
      <c r="K571" s="214">
        <f>[53]人員・時間計画!H18</f>
        <v>1683</v>
      </c>
      <c r="L571" s="214">
        <f>[53]人員・時間計画!I18</f>
        <v>2103.75</v>
      </c>
      <c r="M571" s="214">
        <f>[53]人員・時間計画!J18</f>
        <v>1823.25</v>
      </c>
      <c r="N571" s="214">
        <f>[53]人員・時間計画!K18</f>
        <v>1963.5</v>
      </c>
      <c r="O571" s="214">
        <f>[53]人員・時間計画!L18</f>
        <v>1776.5</v>
      </c>
      <c r="P571" s="214">
        <f>[53]人員・時間計画!M18</f>
        <v>1355.75</v>
      </c>
      <c r="Q571" s="214">
        <f>[53]人員・時間計画!N18</f>
        <v>1776.5</v>
      </c>
    </row>
    <row r="572" spans="1:17" ht="14.5" thickBot="1">
      <c r="A572">
        <f>[53]人員・時間計画!$A$5</f>
        <v>1412000026</v>
      </c>
      <c r="B572" t="str">
        <f>[53]人員・時間計画!$B$5</f>
        <v>施設課</v>
      </c>
      <c r="C572" s="185" t="s">
        <v>202</v>
      </c>
      <c r="D572" s="201" t="s">
        <v>195</v>
      </c>
      <c r="E572" s="192" t="s">
        <v>140</v>
      </c>
      <c r="F572" s="214">
        <f>[53]人員・時間計画!C19</f>
        <v>454.75</v>
      </c>
      <c r="G572" s="214">
        <f>[53]人員・時間計画!D19</f>
        <v>459</v>
      </c>
      <c r="H572" s="214">
        <f>[53]人員・時間計画!E19</f>
        <v>522.75</v>
      </c>
      <c r="I572" s="214">
        <f>[53]人員・時間計画!F19</f>
        <v>561</v>
      </c>
      <c r="J572" s="214">
        <f>[53]人員・時間計画!G19</f>
        <v>484.5</v>
      </c>
      <c r="K572" s="214">
        <f>[53]人員・時間計画!H19</f>
        <v>471.75</v>
      </c>
      <c r="L572" s="214">
        <f>[53]人員・時間計画!I19</f>
        <v>561</v>
      </c>
      <c r="M572" s="214">
        <f>[53]人員・時間計画!J19</f>
        <v>484.5</v>
      </c>
      <c r="N572" s="214">
        <f>[53]人員・時間計画!K19</f>
        <v>535.5</v>
      </c>
      <c r="O572" s="214">
        <f>[53]人員・時間計画!L19</f>
        <v>459</v>
      </c>
      <c r="P572" s="214">
        <f>[53]人員・時間計画!M19</f>
        <v>357</v>
      </c>
      <c r="Q572" s="214">
        <f>[53]人員・時間計画!N19</f>
        <v>459</v>
      </c>
    </row>
    <row r="573" spans="1:17" ht="14.5" hidden="1" thickBot="1">
      <c r="A573">
        <f>[53]人員・時間計画!$A$5</f>
        <v>1412000026</v>
      </c>
      <c r="B573" t="str">
        <f>[53]人員・時間計画!$B$5</f>
        <v>施設課</v>
      </c>
      <c r="C573" s="185" t="s">
        <v>202</v>
      </c>
      <c r="D573" s="202"/>
      <c r="E573" s="203" t="s">
        <v>138</v>
      </c>
      <c r="F573" s="214">
        <f>[53]人員・時間計画!C20</f>
        <v>2278</v>
      </c>
      <c r="G573" s="214">
        <f>[53]人員・時間計画!D20</f>
        <v>2142</v>
      </c>
      <c r="H573" s="214">
        <f>[53]人員・時間計画!E20</f>
        <v>2392.75</v>
      </c>
      <c r="I573" s="214">
        <f>[53]人員・時間計画!F20</f>
        <v>2664.75</v>
      </c>
      <c r="J573" s="214">
        <f>[53]人員・時間計画!G20</f>
        <v>2261</v>
      </c>
      <c r="K573" s="214">
        <f>[53]人員・時間計画!H20</f>
        <v>2154.75</v>
      </c>
      <c r="L573" s="214">
        <f>[53]人員・時間計画!I20</f>
        <v>2664.75</v>
      </c>
      <c r="M573" s="214">
        <f>[53]人員・時間計画!J20</f>
        <v>2307.75</v>
      </c>
      <c r="N573" s="214">
        <f>[53]人員・時間計画!K20</f>
        <v>2499</v>
      </c>
      <c r="O573" s="214">
        <f>[53]人員・時間計画!L20</f>
        <v>2235.5</v>
      </c>
      <c r="P573" s="214">
        <f>[53]人員・時間計画!M20</f>
        <v>1712.75</v>
      </c>
      <c r="Q573" s="214">
        <f>[53]人員・時間計画!N20</f>
        <v>2235.5</v>
      </c>
    </row>
    <row r="574" spans="1:17" ht="14.5" hidden="1" thickBot="1">
      <c r="A574">
        <f>[53]人員・時間計画!$A$5</f>
        <v>1412000026</v>
      </c>
      <c r="B574" t="str">
        <f>[53]人員・時間計画!$B$5</f>
        <v>施設課</v>
      </c>
      <c r="C574" s="185" t="s">
        <v>202</v>
      </c>
      <c r="D574" s="204" t="s">
        <v>215</v>
      </c>
      <c r="E574" s="205"/>
      <c r="F574" s="214">
        <f>[53]人員・時間計画!C21</f>
        <v>2278</v>
      </c>
      <c r="G574" s="214">
        <f>[53]人員・時間計画!D21</f>
        <v>2142</v>
      </c>
      <c r="H574" s="214">
        <f>[53]人員・時間計画!E21</f>
        <v>2392.75</v>
      </c>
      <c r="I574" s="214">
        <f>[53]人員・時間計画!F21</f>
        <v>2664.75</v>
      </c>
      <c r="J574" s="214">
        <f>[53]人員・時間計画!G21</f>
        <v>2261</v>
      </c>
      <c r="K574" s="214">
        <f>[53]人員・時間計画!H21</f>
        <v>2154.75</v>
      </c>
      <c r="L574" s="214">
        <f>[53]人員・時間計画!I21</f>
        <v>2664.75</v>
      </c>
      <c r="M574" s="214">
        <f>[53]人員・時間計画!J21</f>
        <v>2307.75</v>
      </c>
      <c r="N574" s="214">
        <f>[53]人員・時間計画!K21</f>
        <v>2499</v>
      </c>
      <c r="O574" s="214">
        <f>[53]人員・時間計画!L21</f>
        <v>2235.5</v>
      </c>
      <c r="P574" s="214">
        <f>[53]人員・時間計画!M21</f>
        <v>1712.75</v>
      </c>
      <c r="Q574" s="214">
        <f>[53]人員・時間計画!N21</f>
        <v>2235.5</v>
      </c>
    </row>
    <row r="575" spans="1:17" ht="14.5" hidden="1" thickBot="1">
      <c r="A575">
        <f>[53]人員・時間計画!$A$5</f>
        <v>1412000026</v>
      </c>
      <c r="B575" t="str">
        <f>[53]人員・時間計画!$B$5</f>
        <v>施設課</v>
      </c>
      <c r="D575" s="197"/>
      <c r="E575" s="197"/>
    </row>
    <row r="576" spans="1:17" ht="14.5" hidden="1" thickBot="1">
      <c r="A576">
        <f>[53]人員・時間計画!$A$5</f>
        <v>1412000026</v>
      </c>
      <c r="B576" t="str">
        <f>[53]人員・時間計画!$B$5</f>
        <v>施設課</v>
      </c>
      <c r="C576" s="185" t="s">
        <v>71</v>
      </c>
      <c r="D576" s="185" t="s">
        <v>71</v>
      </c>
      <c r="E576" s="186"/>
    </row>
    <row r="577" spans="1:17" ht="14.5" hidden="1" thickBot="1">
      <c r="A577">
        <f>[53]人員・時間計画!$A$5</f>
        <v>1412000026</v>
      </c>
      <c r="B577" t="str">
        <f>[53]人員・時間計画!$B$5</f>
        <v>施設課</v>
      </c>
      <c r="C577" s="185" t="s">
        <v>71</v>
      </c>
      <c r="D577" s="198" t="s">
        <v>194</v>
      </c>
      <c r="E577" s="199"/>
      <c r="F577" s="214">
        <f>[53]人員・時間計画!C24</f>
        <v>0</v>
      </c>
      <c r="G577" s="214">
        <f>[53]人員・時間計画!D24</f>
        <v>0</v>
      </c>
      <c r="H577" s="214">
        <f>[53]人員・時間計画!E24</f>
        <v>0</v>
      </c>
      <c r="I577" s="214">
        <f>[53]人員・時間計画!F24</f>
        <v>0</v>
      </c>
      <c r="J577" s="214">
        <f>[53]人員・時間計画!G24</f>
        <v>0</v>
      </c>
      <c r="K577" s="214">
        <f>[53]人員・時間計画!H24</f>
        <v>0</v>
      </c>
      <c r="L577" s="214">
        <f>[53]人員・時間計画!I24</f>
        <v>0</v>
      </c>
      <c r="M577" s="214">
        <f>[53]人員・時間計画!J24</f>
        <v>0</v>
      </c>
      <c r="N577" s="214">
        <f>[53]人員・時間計画!K24</f>
        <v>0</v>
      </c>
      <c r="O577" s="214">
        <f>[53]人員・時間計画!L24</f>
        <v>0</v>
      </c>
      <c r="P577" s="214">
        <f>[53]人員・時間計画!M24</f>
        <v>0</v>
      </c>
      <c r="Q577" s="214">
        <f>[53]人員・時間計画!N24</f>
        <v>0</v>
      </c>
    </row>
    <row r="578" spans="1:17" ht="14.5" hidden="1" thickBot="1">
      <c r="A578">
        <f>[53]人員・時間計画!$A$5</f>
        <v>1412000026</v>
      </c>
      <c r="B578" t="str">
        <f>[53]人員・時間計画!$B$5</f>
        <v>施設課</v>
      </c>
      <c r="C578" s="185" t="s">
        <v>71</v>
      </c>
      <c r="D578" s="200"/>
      <c r="E578" s="206" t="s">
        <v>139</v>
      </c>
      <c r="F578" s="214">
        <f>[53]人員・時間計画!C25</f>
        <v>233</v>
      </c>
      <c r="G578" s="214">
        <f>[53]人員・時間計画!D25</f>
        <v>234</v>
      </c>
      <c r="H578" s="214">
        <f>[53]人員・時間計画!E25</f>
        <v>226</v>
      </c>
      <c r="I578" s="214">
        <f>[53]人員・時間計画!F25</f>
        <v>257</v>
      </c>
      <c r="J578" s="214">
        <f>[53]人員・時間計画!G25</f>
        <v>251</v>
      </c>
      <c r="K578" s="214">
        <f>[53]人員・時間計画!H25</f>
        <v>240</v>
      </c>
      <c r="L578" s="214">
        <f>[53]人員・時間計画!I25</f>
        <v>257</v>
      </c>
      <c r="M578" s="214">
        <f>[53]人員・時間計画!J25</f>
        <v>243</v>
      </c>
      <c r="N578" s="214">
        <f>[53]人員・時間計画!K25</f>
        <v>252</v>
      </c>
      <c r="O578" s="214">
        <f>[53]人員・時間計画!L25</f>
        <v>240</v>
      </c>
      <c r="P578" s="214">
        <f>[53]人員・時間計画!M25</f>
        <v>204</v>
      </c>
      <c r="Q578" s="214">
        <f>[53]人員・時間計画!N25</f>
        <v>258</v>
      </c>
    </row>
    <row r="579" spans="1:17" ht="14.5" thickBot="1">
      <c r="A579">
        <f>[53]人員・時間計画!$A$5</f>
        <v>1412000026</v>
      </c>
      <c r="B579" t="str">
        <f>[53]人員・時間計画!$B$5</f>
        <v>施設課</v>
      </c>
      <c r="C579" s="185" t="s">
        <v>71</v>
      </c>
      <c r="D579" s="201" t="s">
        <v>195</v>
      </c>
      <c r="E579" s="207" t="s">
        <v>140</v>
      </c>
      <c r="F579" s="214">
        <f>[53]人員・時間計画!C26</f>
        <v>34</v>
      </c>
      <c r="G579" s="214">
        <f>[53]人員・時間計画!D26</f>
        <v>38</v>
      </c>
      <c r="H579" s="214">
        <f>[53]人員・時間計画!E26</f>
        <v>37</v>
      </c>
      <c r="I579" s="214">
        <f>[53]人員・時間計画!F26</f>
        <v>39</v>
      </c>
      <c r="J579" s="214">
        <f>[53]人員・時間計画!G26</f>
        <v>35</v>
      </c>
      <c r="K579" s="214">
        <f>[53]人員・時間計画!H26</f>
        <v>37</v>
      </c>
      <c r="L579" s="214">
        <f>[53]人員・時間計画!I26</f>
        <v>34</v>
      </c>
      <c r="M579" s="214">
        <f>[53]人員・時間計画!J26</f>
        <v>34</v>
      </c>
      <c r="N579" s="214">
        <f>[53]人員・時間計画!K26</f>
        <v>34</v>
      </c>
      <c r="O579" s="214">
        <f>[53]人員・時間計画!L26</f>
        <v>34</v>
      </c>
      <c r="P579" s="214">
        <f>[53]人員・時間計画!M26</f>
        <v>34</v>
      </c>
      <c r="Q579" s="214">
        <f>[53]人員・時間計画!N26</f>
        <v>34</v>
      </c>
    </row>
    <row r="580" spans="1:17" ht="14.5" hidden="1" thickBot="1">
      <c r="A580">
        <f>[53]人員・時間計画!$A$5</f>
        <v>1412000026</v>
      </c>
      <c r="B580" t="str">
        <f>[53]人員・時間計画!$B$5</f>
        <v>施設課</v>
      </c>
      <c r="C580" s="185" t="s">
        <v>71</v>
      </c>
      <c r="D580" s="202"/>
      <c r="E580" s="203" t="s">
        <v>138</v>
      </c>
      <c r="F580" s="214">
        <f>[53]人員・時間計画!C27</f>
        <v>267</v>
      </c>
      <c r="G580" s="214">
        <f>[53]人員・時間計画!D27</f>
        <v>272</v>
      </c>
      <c r="H580" s="214">
        <f>[53]人員・時間計画!E27</f>
        <v>263</v>
      </c>
      <c r="I580" s="214">
        <f>[53]人員・時間計画!F27</f>
        <v>296</v>
      </c>
      <c r="J580" s="214">
        <f>[53]人員・時間計画!G27</f>
        <v>286</v>
      </c>
      <c r="K580" s="214">
        <f>[53]人員・時間計画!H27</f>
        <v>277</v>
      </c>
      <c r="L580" s="214">
        <f>[53]人員・時間計画!I27</f>
        <v>291</v>
      </c>
      <c r="M580" s="214">
        <f>[53]人員・時間計画!J27</f>
        <v>277</v>
      </c>
      <c r="N580" s="214">
        <f>[53]人員・時間計画!K27</f>
        <v>286</v>
      </c>
      <c r="O580" s="214">
        <f>[53]人員・時間計画!L27</f>
        <v>274</v>
      </c>
      <c r="P580" s="214">
        <f>[53]人員・時間計画!M27</f>
        <v>238</v>
      </c>
      <c r="Q580" s="214">
        <f>[53]人員・時間計画!N27</f>
        <v>292</v>
      </c>
    </row>
    <row r="581" spans="1:17" ht="14.5" hidden="1" thickBot="1">
      <c r="A581">
        <f>[53]人員・時間計画!$A$5</f>
        <v>1412000026</v>
      </c>
      <c r="B581" t="str">
        <f>[53]人員・時間計画!$B$5</f>
        <v>施設課</v>
      </c>
      <c r="C581" s="185" t="s">
        <v>71</v>
      </c>
      <c r="D581" s="204" t="s">
        <v>216</v>
      </c>
      <c r="E581" s="205"/>
      <c r="F581" s="214">
        <f>[53]人員・時間計画!C28</f>
        <v>267</v>
      </c>
      <c r="G581" s="214">
        <f>[53]人員・時間計画!D28</f>
        <v>272</v>
      </c>
      <c r="H581" s="214">
        <f>[53]人員・時間計画!E28</f>
        <v>263</v>
      </c>
      <c r="I581" s="214">
        <f>[53]人員・時間計画!F28</f>
        <v>296</v>
      </c>
      <c r="J581" s="214">
        <f>[53]人員・時間計画!G28</f>
        <v>286</v>
      </c>
      <c r="K581" s="214">
        <f>[53]人員・時間計画!H28</f>
        <v>277</v>
      </c>
      <c r="L581" s="214">
        <f>[53]人員・時間計画!I28</f>
        <v>291</v>
      </c>
      <c r="M581" s="214">
        <f>[53]人員・時間計画!J28</f>
        <v>277</v>
      </c>
      <c r="N581" s="214">
        <f>[53]人員・時間計画!K28</f>
        <v>286</v>
      </c>
      <c r="O581" s="214">
        <f>[53]人員・時間計画!L28</f>
        <v>274</v>
      </c>
      <c r="P581" s="214">
        <f>[53]人員・時間計画!M28</f>
        <v>238</v>
      </c>
      <c r="Q581" s="214">
        <f>[53]人員・時間計画!N28</f>
        <v>292</v>
      </c>
    </row>
    <row r="582" spans="1:17" ht="14.5" hidden="1" thickBot="1">
      <c r="A582">
        <f>[56]人員・時間計画!$A$5</f>
        <v>1412000028</v>
      </c>
      <c r="B582" t="str">
        <f>[56]人員・時間計画!$B$5</f>
        <v>会計課</v>
      </c>
      <c r="C582" s="185" t="s">
        <v>3</v>
      </c>
      <c r="D582" s="185" t="s">
        <v>3</v>
      </c>
      <c r="E582" s="186"/>
    </row>
    <row r="583" spans="1:17" ht="14.5" hidden="1" thickBot="1">
      <c r="A583">
        <f>[56]人員・時間計画!$A$5</f>
        <v>1412000028</v>
      </c>
      <c r="B583" t="str">
        <f>[56]人員・時間計画!$B$5</f>
        <v>会計課</v>
      </c>
      <c r="C583" s="185" t="s">
        <v>3</v>
      </c>
      <c r="D583" s="187" t="s">
        <v>194</v>
      </c>
      <c r="E583" s="188"/>
      <c r="F583" s="214">
        <f>[56]人員・時間計画!C10</f>
        <v>0</v>
      </c>
      <c r="G583" s="214">
        <f>[56]人員・時間計画!D10</f>
        <v>0</v>
      </c>
      <c r="H583" s="214">
        <f>[56]人員・時間計画!E10</f>
        <v>0</v>
      </c>
      <c r="I583" s="214">
        <f>[56]人員・時間計画!F10</f>
        <v>0</v>
      </c>
      <c r="J583" s="214">
        <f>[56]人員・時間計画!G10</f>
        <v>0</v>
      </c>
      <c r="K583" s="214">
        <f>[56]人員・時間計画!H10</f>
        <v>0</v>
      </c>
      <c r="L583" s="214">
        <f>[56]人員・時間計画!I10</f>
        <v>0</v>
      </c>
      <c r="M583" s="214">
        <f>[56]人員・時間計画!J10</f>
        <v>0</v>
      </c>
      <c r="N583" s="214">
        <f>[56]人員・時間計画!K10</f>
        <v>0</v>
      </c>
      <c r="O583" s="214">
        <f>[56]人員・時間計画!L10</f>
        <v>0</v>
      </c>
      <c r="P583" s="214">
        <f>[56]人員・時間計画!M10</f>
        <v>0</v>
      </c>
      <c r="Q583" s="214">
        <f>[56]人員・時間計画!N10</f>
        <v>0</v>
      </c>
    </row>
    <row r="584" spans="1:17" ht="14.5" hidden="1" thickBot="1">
      <c r="A584">
        <f>[56]人員・時間計画!$A$5</f>
        <v>1412000028</v>
      </c>
      <c r="B584" t="str">
        <f>[56]人員・時間計画!$B$5</f>
        <v>会計課</v>
      </c>
      <c r="C584" s="185" t="s">
        <v>3</v>
      </c>
      <c r="D584" s="189"/>
      <c r="E584" s="190" t="s">
        <v>139</v>
      </c>
      <c r="F584" s="214">
        <f>[56]人員・時間計画!C11</f>
        <v>12</v>
      </c>
      <c r="G584" s="214">
        <f>[56]人員・時間計画!D11</f>
        <v>12</v>
      </c>
      <c r="H584" s="214">
        <f>[56]人員・時間計画!E11</f>
        <v>12</v>
      </c>
      <c r="I584" s="214">
        <f>[56]人員・時間計画!F11</f>
        <v>12</v>
      </c>
      <c r="J584" s="214">
        <f>[56]人員・時間計画!G11</f>
        <v>12</v>
      </c>
      <c r="K584" s="214">
        <f>[56]人員・時間計画!H11</f>
        <v>12</v>
      </c>
      <c r="L584" s="214">
        <f>[56]人員・時間計画!I11</f>
        <v>12</v>
      </c>
      <c r="M584" s="214">
        <f>[56]人員・時間計画!J11</f>
        <v>12</v>
      </c>
      <c r="N584" s="214">
        <f>[56]人員・時間計画!K11</f>
        <v>12</v>
      </c>
      <c r="O584" s="214">
        <f>[56]人員・時間計画!L11</f>
        <v>12</v>
      </c>
      <c r="P584" s="214">
        <f>[56]人員・時間計画!M11</f>
        <v>12</v>
      </c>
      <c r="Q584" s="214">
        <f>[56]人員・時間計画!N11</f>
        <v>12</v>
      </c>
    </row>
    <row r="585" spans="1:17" ht="14.5" thickBot="1">
      <c r="A585">
        <f>[56]人員・時間計画!$A$5</f>
        <v>1412000028</v>
      </c>
      <c r="B585" t="str">
        <f>[56]人員・時間計画!$B$5</f>
        <v>会計課</v>
      </c>
      <c r="C585" s="185" t="s">
        <v>3</v>
      </c>
      <c r="D585" s="191" t="s">
        <v>195</v>
      </c>
      <c r="E585" s="192" t="s">
        <v>140</v>
      </c>
      <c r="F585" s="214">
        <f>[56]人員・時間計画!C12</f>
        <v>0</v>
      </c>
      <c r="G585" s="214">
        <f>[56]人員・時間計画!D12</f>
        <v>0</v>
      </c>
      <c r="H585" s="214">
        <f>[56]人員・時間計画!E12</f>
        <v>0</v>
      </c>
      <c r="I585" s="214">
        <f>[56]人員・時間計画!F12</f>
        <v>0</v>
      </c>
      <c r="J585" s="214">
        <f>[56]人員・時間計画!G12</f>
        <v>0</v>
      </c>
      <c r="K585" s="214">
        <f>[56]人員・時間計画!H12</f>
        <v>0</v>
      </c>
      <c r="L585" s="214">
        <f>[56]人員・時間計画!I12</f>
        <v>0</v>
      </c>
      <c r="M585" s="214">
        <f>[56]人員・時間計画!J12</f>
        <v>0</v>
      </c>
      <c r="N585" s="214">
        <f>[56]人員・時間計画!K12</f>
        <v>0</v>
      </c>
      <c r="O585" s="214">
        <f>[56]人員・時間計画!L12</f>
        <v>0</v>
      </c>
      <c r="P585" s="214">
        <f>[56]人員・時間計画!M12</f>
        <v>0</v>
      </c>
      <c r="Q585" s="214">
        <f>[56]人員・時間計画!N12</f>
        <v>0</v>
      </c>
    </row>
    <row r="586" spans="1:17" ht="14.5" hidden="1" thickBot="1">
      <c r="A586">
        <f>[56]人員・時間計画!$A$5</f>
        <v>1412000028</v>
      </c>
      <c r="B586" t="str">
        <f>[56]人員・時間計画!$B$5</f>
        <v>会計課</v>
      </c>
      <c r="C586" s="185" t="s">
        <v>3</v>
      </c>
      <c r="D586" s="193"/>
      <c r="E586" s="194" t="s">
        <v>138</v>
      </c>
      <c r="F586" s="214">
        <f>[56]人員・時間計画!C13</f>
        <v>12</v>
      </c>
      <c r="G586" s="214">
        <f>[56]人員・時間計画!D13</f>
        <v>12</v>
      </c>
      <c r="H586" s="214">
        <f>[56]人員・時間計画!E13</f>
        <v>12</v>
      </c>
      <c r="I586" s="214">
        <f>[56]人員・時間計画!F13</f>
        <v>12</v>
      </c>
      <c r="J586" s="214">
        <f>[56]人員・時間計画!G13</f>
        <v>12</v>
      </c>
      <c r="K586" s="214">
        <f>[56]人員・時間計画!H13</f>
        <v>12</v>
      </c>
      <c r="L586" s="214">
        <f>[56]人員・時間計画!I13</f>
        <v>12</v>
      </c>
      <c r="M586" s="214">
        <f>[56]人員・時間計画!J13</f>
        <v>12</v>
      </c>
      <c r="N586" s="214">
        <f>[56]人員・時間計画!K13</f>
        <v>12</v>
      </c>
      <c r="O586" s="214">
        <f>[56]人員・時間計画!L13</f>
        <v>12</v>
      </c>
      <c r="P586" s="214">
        <f>[56]人員・時間計画!M13</f>
        <v>12</v>
      </c>
      <c r="Q586" s="214">
        <f>[56]人員・時間計画!N13</f>
        <v>12</v>
      </c>
    </row>
    <row r="587" spans="1:17" ht="14.5" hidden="1" thickBot="1">
      <c r="A587">
        <f>[56]人員・時間計画!$A$5</f>
        <v>1412000028</v>
      </c>
      <c r="B587" t="str">
        <f>[56]人員・時間計画!$B$5</f>
        <v>会計課</v>
      </c>
      <c r="C587" s="185" t="s">
        <v>3</v>
      </c>
      <c r="D587" s="195" t="s">
        <v>196</v>
      </c>
      <c r="E587" s="196"/>
      <c r="F587" s="214">
        <f>[56]人員・時間計画!C14</f>
        <v>12</v>
      </c>
      <c r="G587" s="214">
        <f>[56]人員・時間計画!D14</f>
        <v>12</v>
      </c>
      <c r="H587" s="214">
        <f>[56]人員・時間計画!E14</f>
        <v>12</v>
      </c>
      <c r="I587" s="214">
        <f>[56]人員・時間計画!F14</f>
        <v>12</v>
      </c>
      <c r="J587" s="214">
        <f>[56]人員・時間計画!G14</f>
        <v>12</v>
      </c>
      <c r="K587" s="214">
        <f>[56]人員・時間計画!H14</f>
        <v>12</v>
      </c>
      <c r="L587" s="214">
        <f>[56]人員・時間計画!I14</f>
        <v>12</v>
      </c>
      <c r="M587" s="214">
        <f>[56]人員・時間計画!J14</f>
        <v>12</v>
      </c>
      <c r="N587" s="214">
        <f>[56]人員・時間計画!K14</f>
        <v>12</v>
      </c>
      <c r="O587" s="214">
        <f>[56]人員・時間計画!L14</f>
        <v>12</v>
      </c>
      <c r="P587" s="214">
        <f>[56]人員・時間計画!M14</f>
        <v>12</v>
      </c>
      <c r="Q587" s="214">
        <f>[56]人員・時間計画!N14</f>
        <v>12</v>
      </c>
    </row>
    <row r="588" spans="1:17" ht="14.5" hidden="1" thickBot="1">
      <c r="A588">
        <f>[56]人員・時間計画!$A$5</f>
        <v>1412000028</v>
      </c>
      <c r="B588" t="str">
        <f>[56]人員・時間計画!$B$5</f>
        <v>会計課</v>
      </c>
      <c r="D588" s="197"/>
      <c r="E588" s="197"/>
    </row>
    <row r="589" spans="1:17" ht="14.5" hidden="1" thickBot="1">
      <c r="A589">
        <f>[56]人員・時間計画!$A$5</f>
        <v>1412000028</v>
      </c>
      <c r="B589" t="str">
        <f>[56]人員・時間計画!$B$5</f>
        <v>会計課</v>
      </c>
      <c r="C589" s="185" t="s">
        <v>202</v>
      </c>
      <c r="D589" s="185" t="s">
        <v>202</v>
      </c>
      <c r="E589" s="186"/>
    </row>
    <row r="590" spans="1:17" ht="14.5" hidden="1" thickBot="1">
      <c r="A590">
        <f>[56]人員・時間計画!$A$5</f>
        <v>1412000028</v>
      </c>
      <c r="B590" t="str">
        <f>[56]人員・時間計画!$B$5</f>
        <v>会計課</v>
      </c>
      <c r="C590" s="185" t="s">
        <v>202</v>
      </c>
      <c r="D590" s="198" t="s">
        <v>194</v>
      </c>
      <c r="E590" s="199"/>
      <c r="F590" s="214">
        <f>[56]人員・時間計画!C17</f>
        <v>0</v>
      </c>
      <c r="G590" s="214">
        <f>[56]人員・時間計画!D17</f>
        <v>0</v>
      </c>
      <c r="H590" s="214">
        <f>[56]人員・時間計画!E17</f>
        <v>0</v>
      </c>
      <c r="I590" s="214">
        <f>[56]人員・時間計画!F17</f>
        <v>0</v>
      </c>
      <c r="J590" s="214">
        <f>[56]人員・時間計画!G17</f>
        <v>0</v>
      </c>
      <c r="K590" s="214">
        <f>[56]人員・時間計画!H17</f>
        <v>0</v>
      </c>
      <c r="L590" s="214">
        <f>[56]人員・時間計画!I17</f>
        <v>0</v>
      </c>
      <c r="M590" s="214">
        <f>[56]人員・時間計画!J17</f>
        <v>0</v>
      </c>
      <c r="N590" s="214">
        <f>[56]人員・時間計画!K17</f>
        <v>0</v>
      </c>
      <c r="O590" s="214">
        <f>[56]人員・時間計画!L17</f>
        <v>0</v>
      </c>
      <c r="P590" s="214">
        <f>[56]人員・時間計画!M17</f>
        <v>0</v>
      </c>
      <c r="Q590" s="214">
        <f>[56]人員・時間計画!N17</f>
        <v>0</v>
      </c>
    </row>
    <row r="591" spans="1:17" ht="14.5" hidden="1" thickBot="1">
      <c r="A591">
        <f>[56]人員・時間計画!$A$5</f>
        <v>1412000028</v>
      </c>
      <c r="B591" t="str">
        <f>[56]人員・時間計画!$B$5</f>
        <v>会計課</v>
      </c>
      <c r="C591" s="185" t="s">
        <v>202</v>
      </c>
      <c r="D591" s="200"/>
      <c r="E591" s="190" t="s">
        <v>139</v>
      </c>
      <c r="F591" s="214">
        <f>[56]人員・時間計画!C18</f>
        <v>1785</v>
      </c>
      <c r="G591" s="214">
        <f>[56]人員・時間計画!D18</f>
        <v>1810.5</v>
      </c>
      <c r="H591" s="214">
        <f>[56]人員・時間計画!E18</f>
        <v>2040</v>
      </c>
      <c r="I591" s="214">
        <f>[56]人員・時間計画!F18</f>
        <v>2244</v>
      </c>
      <c r="J591" s="214">
        <f>[56]人員・時間計画!G18</f>
        <v>1997.5</v>
      </c>
      <c r="K591" s="214">
        <f>[56]人員・時間計画!H18</f>
        <v>1776.5</v>
      </c>
      <c r="L591" s="214">
        <f>[56]人員・時間計画!I18</f>
        <v>2244</v>
      </c>
      <c r="M591" s="214">
        <f>[56]人員・時間計画!J18</f>
        <v>1938</v>
      </c>
      <c r="N591" s="214">
        <f>[56]人員・時間計画!K18</f>
        <v>2142</v>
      </c>
      <c r="O591" s="214">
        <f>[56]人員・時間計画!L18</f>
        <v>1921</v>
      </c>
      <c r="P591" s="214">
        <f>[56]人員・時間計画!M18</f>
        <v>1487.5</v>
      </c>
      <c r="Q591" s="214">
        <f>[56]人員・時間計画!N18</f>
        <v>1997.5</v>
      </c>
    </row>
    <row r="592" spans="1:17" ht="14.5" thickBot="1">
      <c r="A592">
        <f>[56]人員・時間計画!$A$5</f>
        <v>1412000028</v>
      </c>
      <c r="B592" t="str">
        <f>[56]人員・時間計画!$B$5</f>
        <v>会計課</v>
      </c>
      <c r="C592" s="185" t="s">
        <v>202</v>
      </c>
      <c r="D592" s="201" t="s">
        <v>195</v>
      </c>
      <c r="E592" s="192" t="s">
        <v>140</v>
      </c>
      <c r="F592" s="214">
        <f>[56]人員・時間計画!C19</f>
        <v>0</v>
      </c>
      <c r="G592" s="214">
        <f>[56]人員・時間計画!D19</f>
        <v>0</v>
      </c>
      <c r="H592" s="214">
        <f>[56]人員・時間計画!E19</f>
        <v>0</v>
      </c>
      <c r="I592" s="214">
        <f>[56]人員・時間計画!F19</f>
        <v>0</v>
      </c>
      <c r="J592" s="214">
        <f>[56]人員・時間計画!G19</f>
        <v>0</v>
      </c>
      <c r="K592" s="214">
        <f>[56]人員・時間計画!H19</f>
        <v>0</v>
      </c>
      <c r="L592" s="214">
        <f>[56]人員・時間計画!I19</f>
        <v>0</v>
      </c>
      <c r="M592" s="214">
        <f>[56]人員・時間計画!J19</f>
        <v>0</v>
      </c>
      <c r="N592" s="214">
        <f>[56]人員・時間計画!K19</f>
        <v>0</v>
      </c>
      <c r="O592" s="214">
        <f>[56]人員・時間計画!L19</f>
        <v>0</v>
      </c>
      <c r="P592" s="214">
        <f>[56]人員・時間計画!M19</f>
        <v>0</v>
      </c>
      <c r="Q592" s="214">
        <f>[56]人員・時間計画!N19</f>
        <v>0</v>
      </c>
    </row>
    <row r="593" spans="1:17" ht="14.5" hidden="1" thickBot="1">
      <c r="A593">
        <f>[56]人員・時間計画!$A$5</f>
        <v>1412000028</v>
      </c>
      <c r="B593" t="str">
        <f>[56]人員・時間計画!$B$5</f>
        <v>会計課</v>
      </c>
      <c r="C593" s="185" t="s">
        <v>202</v>
      </c>
      <c r="D593" s="202"/>
      <c r="E593" s="203" t="s">
        <v>138</v>
      </c>
      <c r="F593" s="214">
        <f>[56]人員・時間計画!C20</f>
        <v>1785</v>
      </c>
      <c r="G593" s="214">
        <f>[56]人員・時間計画!D20</f>
        <v>1810.5</v>
      </c>
      <c r="H593" s="214">
        <f>[56]人員・時間計画!E20</f>
        <v>2040</v>
      </c>
      <c r="I593" s="214">
        <f>[56]人員・時間計画!F20</f>
        <v>2244</v>
      </c>
      <c r="J593" s="214">
        <f>[56]人員・時間計画!G20</f>
        <v>1997.5</v>
      </c>
      <c r="K593" s="214">
        <f>[56]人員・時間計画!H20</f>
        <v>1776.5</v>
      </c>
      <c r="L593" s="214">
        <f>[56]人員・時間計画!I20</f>
        <v>2244</v>
      </c>
      <c r="M593" s="214">
        <f>[56]人員・時間計画!J20</f>
        <v>1938</v>
      </c>
      <c r="N593" s="214">
        <f>[56]人員・時間計画!K20</f>
        <v>2142</v>
      </c>
      <c r="O593" s="214">
        <f>[56]人員・時間計画!L20</f>
        <v>1921</v>
      </c>
      <c r="P593" s="214">
        <f>[56]人員・時間計画!M20</f>
        <v>1487.5</v>
      </c>
      <c r="Q593" s="214">
        <f>[56]人員・時間計画!N20</f>
        <v>1997.5</v>
      </c>
    </row>
    <row r="594" spans="1:17" ht="14.5" hidden="1" thickBot="1">
      <c r="A594">
        <f>[56]人員・時間計画!$A$5</f>
        <v>1412000028</v>
      </c>
      <c r="B594" t="str">
        <f>[56]人員・時間計画!$B$5</f>
        <v>会計課</v>
      </c>
      <c r="C594" s="185" t="s">
        <v>202</v>
      </c>
      <c r="D594" s="204" t="s">
        <v>215</v>
      </c>
      <c r="E594" s="205"/>
      <c r="F594" s="214">
        <f>[56]人員・時間計画!C21</f>
        <v>1785</v>
      </c>
      <c r="G594" s="214">
        <f>[56]人員・時間計画!D21</f>
        <v>1810.5</v>
      </c>
      <c r="H594" s="214">
        <f>[56]人員・時間計画!E21</f>
        <v>2040</v>
      </c>
      <c r="I594" s="214">
        <f>[56]人員・時間計画!F21</f>
        <v>2244</v>
      </c>
      <c r="J594" s="214">
        <f>[56]人員・時間計画!G21</f>
        <v>1997.5</v>
      </c>
      <c r="K594" s="214">
        <f>[56]人員・時間計画!H21</f>
        <v>1776.5</v>
      </c>
      <c r="L594" s="214">
        <f>[56]人員・時間計画!I21</f>
        <v>2244</v>
      </c>
      <c r="M594" s="214">
        <f>[56]人員・時間計画!J21</f>
        <v>1938</v>
      </c>
      <c r="N594" s="214">
        <f>[56]人員・時間計画!K21</f>
        <v>2142</v>
      </c>
      <c r="O594" s="214">
        <f>[56]人員・時間計画!L21</f>
        <v>1921</v>
      </c>
      <c r="P594" s="214">
        <f>[56]人員・時間計画!M21</f>
        <v>1487.5</v>
      </c>
      <c r="Q594" s="214">
        <f>[56]人員・時間計画!N21</f>
        <v>1997.5</v>
      </c>
    </row>
    <row r="595" spans="1:17" ht="14.5" hidden="1" thickBot="1">
      <c r="A595">
        <f>[56]人員・時間計画!$A$5</f>
        <v>1412000028</v>
      </c>
      <c r="B595" t="str">
        <f>[56]人員・時間計画!$B$5</f>
        <v>会計課</v>
      </c>
      <c r="D595" s="197"/>
      <c r="E595" s="197"/>
    </row>
    <row r="596" spans="1:17" ht="14.5" hidden="1" thickBot="1">
      <c r="A596">
        <f>[56]人員・時間計画!$A$5</f>
        <v>1412000028</v>
      </c>
      <c r="B596" t="str">
        <f>[56]人員・時間計画!$B$5</f>
        <v>会計課</v>
      </c>
      <c r="C596" s="185" t="s">
        <v>71</v>
      </c>
      <c r="D596" s="185" t="s">
        <v>71</v>
      </c>
      <c r="E596" s="186"/>
    </row>
    <row r="597" spans="1:17" ht="14.5" hidden="1" thickBot="1">
      <c r="A597">
        <f>[56]人員・時間計画!$A$5</f>
        <v>1412000028</v>
      </c>
      <c r="B597" t="str">
        <f>[56]人員・時間計画!$B$5</f>
        <v>会計課</v>
      </c>
      <c r="C597" s="185" t="s">
        <v>71</v>
      </c>
      <c r="D597" s="198" t="s">
        <v>194</v>
      </c>
      <c r="E597" s="199"/>
      <c r="F597" s="214">
        <f>[56]人員・時間計画!C24</f>
        <v>0</v>
      </c>
      <c r="G597" s="214">
        <f>[56]人員・時間計画!D24</f>
        <v>0</v>
      </c>
      <c r="H597" s="214">
        <f>[56]人員・時間計画!E24</f>
        <v>0</v>
      </c>
      <c r="I597" s="214">
        <f>[56]人員・時間計画!F24</f>
        <v>0</v>
      </c>
      <c r="J597" s="214">
        <f>[56]人員・時間計画!G24</f>
        <v>0</v>
      </c>
      <c r="K597" s="214">
        <f>[56]人員・時間計画!H24</f>
        <v>0</v>
      </c>
      <c r="L597" s="214">
        <f>[56]人員・時間計画!I24</f>
        <v>0</v>
      </c>
      <c r="M597" s="214">
        <f>[56]人員・時間計画!J24</f>
        <v>0</v>
      </c>
      <c r="N597" s="214">
        <f>[56]人員・時間計画!K24</f>
        <v>0</v>
      </c>
      <c r="O597" s="214">
        <f>[56]人員・時間計画!L24</f>
        <v>0</v>
      </c>
      <c r="P597" s="214">
        <f>[56]人員・時間計画!M24</f>
        <v>0</v>
      </c>
      <c r="Q597" s="214">
        <f>[56]人員・時間計画!N24</f>
        <v>0</v>
      </c>
    </row>
    <row r="598" spans="1:17" ht="14.5" hidden="1" thickBot="1">
      <c r="A598">
        <f>[56]人員・時間計画!$A$5</f>
        <v>1412000028</v>
      </c>
      <c r="B598" t="str">
        <f>[56]人員・時間計画!$B$5</f>
        <v>会計課</v>
      </c>
      <c r="C598" s="185" t="s">
        <v>71</v>
      </c>
      <c r="D598" s="200"/>
      <c r="E598" s="206" t="s">
        <v>139</v>
      </c>
      <c r="F598" s="214">
        <f>[56]人員・時間計画!C25</f>
        <v>46</v>
      </c>
      <c r="G598" s="214">
        <f>[56]人員・時間計画!D25</f>
        <v>66</v>
      </c>
      <c r="H598" s="214">
        <f>[56]人員・時間計画!E25</f>
        <v>80</v>
      </c>
      <c r="I598" s="214">
        <f>[56]人員・時間計画!F25</f>
        <v>88</v>
      </c>
      <c r="J598" s="214">
        <f>[56]人員・時間計画!G25</f>
        <v>122.5</v>
      </c>
      <c r="K598" s="214">
        <f>[56]人員・時間計画!H25</f>
        <v>68</v>
      </c>
      <c r="L598" s="214">
        <f>[56]人員・時間計画!I25</f>
        <v>88</v>
      </c>
      <c r="M598" s="214">
        <f>[56]人員・時間計画!J25</f>
        <v>76</v>
      </c>
      <c r="N598" s="214">
        <f>[56]人員・時間計画!K25</f>
        <v>84</v>
      </c>
      <c r="O598" s="214">
        <f>[56]人員・時間計画!L25</f>
        <v>72</v>
      </c>
      <c r="P598" s="214">
        <f>[56]人員・時間計画!M25</f>
        <v>60</v>
      </c>
      <c r="Q598" s="214">
        <f>[56]人員・時間計画!N25</f>
        <v>122.5</v>
      </c>
    </row>
    <row r="599" spans="1:17" ht="14.5" thickBot="1">
      <c r="A599">
        <f>[56]人員・時間計画!$A$5</f>
        <v>1412000028</v>
      </c>
      <c r="B599" t="str">
        <f>[56]人員・時間計画!$B$5</f>
        <v>会計課</v>
      </c>
      <c r="C599" s="185" t="s">
        <v>71</v>
      </c>
      <c r="D599" s="201" t="s">
        <v>195</v>
      </c>
      <c r="E599" s="207" t="s">
        <v>140</v>
      </c>
      <c r="F599" s="214">
        <f>[56]人員・時間計画!C26</f>
        <v>0</v>
      </c>
      <c r="G599" s="214">
        <f>[56]人員・時間計画!D26</f>
        <v>0</v>
      </c>
      <c r="H599" s="214">
        <f>[56]人員・時間計画!E26</f>
        <v>0</v>
      </c>
      <c r="I599" s="214">
        <f>[56]人員・時間計画!F26</f>
        <v>0</v>
      </c>
      <c r="J599" s="214">
        <f>[56]人員・時間計画!G26</f>
        <v>0</v>
      </c>
      <c r="K599" s="214">
        <f>[56]人員・時間計画!H26</f>
        <v>0</v>
      </c>
      <c r="L599" s="214">
        <f>[56]人員・時間計画!I26</f>
        <v>0</v>
      </c>
      <c r="M599" s="214">
        <f>[56]人員・時間計画!J26</f>
        <v>0</v>
      </c>
      <c r="N599" s="214">
        <f>[56]人員・時間計画!K26</f>
        <v>0</v>
      </c>
      <c r="O599" s="214">
        <f>[56]人員・時間計画!L26</f>
        <v>0</v>
      </c>
      <c r="P599" s="214">
        <f>[56]人員・時間計画!M26</f>
        <v>0</v>
      </c>
      <c r="Q599" s="214">
        <f>[56]人員・時間計画!N26</f>
        <v>0</v>
      </c>
    </row>
    <row r="600" spans="1:17" ht="14.5" hidden="1" thickBot="1">
      <c r="A600">
        <f>[56]人員・時間計画!$A$5</f>
        <v>1412000028</v>
      </c>
      <c r="B600" t="str">
        <f>[56]人員・時間計画!$B$5</f>
        <v>会計課</v>
      </c>
      <c r="C600" s="185" t="s">
        <v>71</v>
      </c>
      <c r="D600" s="202"/>
      <c r="E600" s="203" t="s">
        <v>138</v>
      </c>
      <c r="F600" s="214">
        <f>[56]人員・時間計画!C27</f>
        <v>46</v>
      </c>
      <c r="G600" s="214">
        <f>[56]人員・時間計画!D27</f>
        <v>66</v>
      </c>
      <c r="H600" s="214">
        <f>[56]人員・時間計画!E27</f>
        <v>80</v>
      </c>
      <c r="I600" s="214">
        <f>[56]人員・時間計画!F27</f>
        <v>88</v>
      </c>
      <c r="J600" s="214">
        <f>[56]人員・時間計画!G27</f>
        <v>122.5</v>
      </c>
      <c r="K600" s="214">
        <f>[56]人員・時間計画!H27</f>
        <v>68</v>
      </c>
      <c r="L600" s="214">
        <f>[56]人員・時間計画!I27</f>
        <v>88</v>
      </c>
      <c r="M600" s="214">
        <f>[56]人員・時間計画!J27</f>
        <v>76</v>
      </c>
      <c r="N600" s="214">
        <f>[56]人員・時間計画!K27</f>
        <v>84</v>
      </c>
      <c r="O600" s="214">
        <f>[56]人員・時間計画!L27</f>
        <v>72</v>
      </c>
      <c r="P600" s="214">
        <f>[56]人員・時間計画!M27</f>
        <v>60</v>
      </c>
      <c r="Q600" s="214">
        <f>[56]人員・時間計画!N27</f>
        <v>122.5</v>
      </c>
    </row>
    <row r="601" spans="1:17" ht="14.5" hidden="1" thickBot="1">
      <c r="A601">
        <f>[56]人員・時間計画!$A$5</f>
        <v>1412000028</v>
      </c>
      <c r="B601" t="str">
        <f>[56]人員・時間計画!$B$5</f>
        <v>会計課</v>
      </c>
      <c r="C601" s="185" t="s">
        <v>71</v>
      </c>
      <c r="D601" s="204" t="s">
        <v>216</v>
      </c>
      <c r="E601" s="205"/>
      <c r="F601" s="214">
        <f>[56]人員・時間計画!C28</f>
        <v>46</v>
      </c>
      <c r="G601" s="214">
        <f>[56]人員・時間計画!D28</f>
        <v>66</v>
      </c>
      <c r="H601" s="214">
        <f>[56]人員・時間計画!E28</f>
        <v>80</v>
      </c>
      <c r="I601" s="214">
        <f>[56]人員・時間計画!F28</f>
        <v>88</v>
      </c>
      <c r="J601" s="214">
        <f>[56]人員・時間計画!G28</f>
        <v>122.5</v>
      </c>
      <c r="K601" s="214">
        <f>[56]人員・時間計画!H28</f>
        <v>68</v>
      </c>
      <c r="L601" s="214">
        <f>[56]人員・時間計画!I28</f>
        <v>88</v>
      </c>
      <c r="M601" s="214">
        <f>[56]人員・時間計画!J28</f>
        <v>76</v>
      </c>
      <c r="N601" s="214">
        <f>[56]人員・時間計画!K28</f>
        <v>84</v>
      </c>
      <c r="O601" s="214">
        <f>[56]人員・時間計画!L28</f>
        <v>72</v>
      </c>
      <c r="P601" s="214">
        <f>[56]人員・時間計画!M28</f>
        <v>60</v>
      </c>
      <c r="Q601" s="214">
        <f>[56]人員・時間計画!N28</f>
        <v>122.5</v>
      </c>
    </row>
    <row r="602" spans="1:17" ht="14.5" hidden="1" thickBot="1">
      <c r="A602">
        <f>[57]人員・時間計画!$A$5</f>
        <v>1412000029</v>
      </c>
      <c r="B602" t="str">
        <f>[57]人員・時間計画!$B$5</f>
        <v>経営管理課</v>
      </c>
      <c r="C602" s="185" t="s">
        <v>3</v>
      </c>
      <c r="D602" s="185" t="s">
        <v>3</v>
      </c>
      <c r="E602" s="186"/>
    </row>
    <row r="603" spans="1:17" ht="14.5" hidden="1" thickBot="1">
      <c r="A603">
        <f>[57]人員・時間計画!$A$5</f>
        <v>1412000029</v>
      </c>
      <c r="B603" t="str">
        <f>[57]人員・時間計画!$B$5</f>
        <v>経営管理課</v>
      </c>
      <c r="C603" s="185" t="s">
        <v>3</v>
      </c>
      <c r="D603" s="187" t="s">
        <v>194</v>
      </c>
      <c r="E603" s="188"/>
      <c r="F603" s="214">
        <f>[57]人員・時間計画!C10</f>
        <v>1</v>
      </c>
      <c r="G603" s="214">
        <f>[57]人員・時間計画!D10</f>
        <v>1</v>
      </c>
      <c r="H603" s="214">
        <f>[57]人員・時間計画!E10</f>
        <v>1</v>
      </c>
      <c r="I603" s="214">
        <f>[57]人員・時間計画!F10</f>
        <v>1</v>
      </c>
      <c r="J603" s="214">
        <f>[57]人員・時間計画!G10</f>
        <v>1</v>
      </c>
      <c r="K603" s="214">
        <f>[57]人員・時間計画!H10</f>
        <v>1</v>
      </c>
      <c r="L603" s="214">
        <f>[57]人員・時間計画!I10</f>
        <v>1</v>
      </c>
      <c r="M603" s="214">
        <f>[57]人員・時間計画!J10</f>
        <v>1</v>
      </c>
      <c r="N603" s="214">
        <f>[57]人員・時間計画!K10</f>
        <v>1</v>
      </c>
      <c r="O603" s="214">
        <f>[57]人員・時間計画!L10</f>
        <v>1</v>
      </c>
      <c r="P603" s="214">
        <f>[57]人員・時間計画!M10</f>
        <v>1</v>
      </c>
      <c r="Q603" s="214">
        <f>[57]人員・時間計画!N10</f>
        <v>1</v>
      </c>
    </row>
    <row r="604" spans="1:17" ht="14.5" hidden="1" thickBot="1">
      <c r="A604">
        <f>[57]人員・時間計画!$A$5</f>
        <v>1412000029</v>
      </c>
      <c r="B604" t="str">
        <f>[57]人員・時間計画!$B$5</f>
        <v>経営管理課</v>
      </c>
      <c r="C604" s="185" t="s">
        <v>3</v>
      </c>
      <c r="D604" s="189"/>
      <c r="E604" s="190" t="s">
        <v>139</v>
      </c>
      <c r="F604" s="214">
        <f>[57]人員・時間計画!C11</f>
        <v>8</v>
      </c>
      <c r="G604" s="214">
        <f>[57]人員・時間計画!D11</f>
        <v>8</v>
      </c>
      <c r="H604" s="214">
        <f>[57]人員・時間計画!E11</f>
        <v>8</v>
      </c>
      <c r="I604" s="214">
        <f>[57]人員・時間計画!F11</f>
        <v>8</v>
      </c>
      <c r="J604" s="214">
        <f>[57]人員・時間計画!G11</f>
        <v>8</v>
      </c>
      <c r="K604" s="214">
        <f>[57]人員・時間計画!H11</f>
        <v>8</v>
      </c>
      <c r="L604" s="214">
        <f>[57]人員・時間計画!I11</f>
        <v>8</v>
      </c>
      <c r="M604" s="214">
        <f>[57]人員・時間計画!J11</f>
        <v>8</v>
      </c>
      <c r="N604" s="214">
        <f>[57]人員・時間計画!K11</f>
        <v>8</v>
      </c>
      <c r="O604" s="214">
        <f>[57]人員・時間計画!L11</f>
        <v>8</v>
      </c>
      <c r="P604" s="214">
        <f>[57]人員・時間計画!M11</f>
        <v>8</v>
      </c>
      <c r="Q604" s="214">
        <f>[57]人員・時間計画!N11</f>
        <v>8</v>
      </c>
    </row>
    <row r="605" spans="1:17" ht="14.5" thickBot="1">
      <c r="A605">
        <f>[57]人員・時間計画!$A$5</f>
        <v>1412000029</v>
      </c>
      <c r="B605" t="str">
        <f>[57]人員・時間計画!$B$5</f>
        <v>経営管理課</v>
      </c>
      <c r="C605" s="185" t="s">
        <v>3</v>
      </c>
      <c r="D605" s="191" t="s">
        <v>195</v>
      </c>
      <c r="E605" s="192" t="s">
        <v>140</v>
      </c>
      <c r="F605" s="214">
        <f>[57]人員・時間計画!C12</f>
        <v>0</v>
      </c>
      <c r="G605" s="214">
        <f>[57]人員・時間計画!D12</f>
        <v>0</v>
      </c>
      <c r="H605" s="214">
        <f>[57]人員・時間計画!E12</f>
        <v>0</v>
      </c>
      <c r="I605" s="214">
        <f>[57]人員・時間計画!F12</f>
        <v>0</v>
      </c>
      <c r="J605" s="214">
        <f>[57]人員・時間計画!G12</f>
        <v>0</v>
      </c>
      <c r="K605" s="214">
        <f>[57]人員・時間計画!H12</f>
        <v>0</v>
      </c>
      <c r="L605" s="214">
        <f>[57]人員・時間計画!I12</f>
        <v>0</v>
      </c>
      <c r="M605" s="214">
        <f>[57]人員・時間計画!J12</f>
        <v>0</v>
      </c>
      <c r="N605" s="214">
        <f>[57]人員・時間計画!K12</f>
        <v>0</v>
      </c>
      <c r="O605" s="214">
        <f>[57]人員・時間計画!L12</f>
        <v>0</v>
      </c>
      <c r="P605" s="214">
        <f>[57]人員・時間計画!M12</f>
        <v>0</v>
      </c>
      <c r="Q605" s="214">
        <f>[57]人員・時間計画!N12</f>
        <v>0</v>
      </c>
    </row>
    <row r="606" spans="1:17" ht="14.5" hidden="1" thickBot="1">
      <c r="A606">
        <f>[57]人員・時間計画!$A$5</f>
        <v>1412000029</v>
      </c>
      <c r="B606" t="str">
        <f>[57]人員・時間計画!$B$5</f>
        <v>経営管理課</v>
      </c>
      <c r="C606" s="185" t="s">
        <v>3</v>
      </c>
      <c r="D606" s="193"/>
      <c r="E606" s="194" t="s">
        <v>138</v>
      </c>
      <c r="F606" s="214">
        <f>[57]人員・時間計画!C13</f>
        <v>8</v>
      </c>
      <c r="G606" s="214">
        <f>[57]人員・時間計画!D13</f>
        <v>8</v>
      </c>
      <c r="H606" s="214">
        <f>[57]人員・時間計画!E13</f>
        <v>8</v>
      </c>
      <c r="I606" s="214">
        <f>[57]人員・時間計画!F13</f>
        <v>8</v>
      </c>
      <c r="J606" s="214">
        <f>[57]人員・時間計画!G13</f>
        <v>8</v>
      </c>
      <c r="K606" s="214">
        <f>[57]人員・時間計画!H13</f>
        <v>8</v>
      </c>
      <c r="L606" s="214">
        <f>[57]人員・時間計画!I13</f>
        <v>8</v>
      </c>
      <c r="M606" s="214">
        <f>[57]人員・時間計画!J13</f>
        <v>8</v>
      </c>
      <c r="N606" s="214">
        <f>[57]人員・時間計画!K13</f>
        <v>8</v>
      </c>
      <c r="O606" s="214">
        <f>[57]人員・時間計画!L13</f>
        <v>8</v>
      </c>
      <c r="P606" s="214">
        <f>[57]人員・時間計画!M13</f>
        <v>8</v>
      </c>
      <c r="Q606" s="214">
        <f>[57]人員・時間計画!N13</f>
        <v>8</v>
      </c>
    </row>
    <row r="607" spans="1:17" ht="14.5" hidden="1" thickBot="1">
      <c r="A607">
        <f>[57]人員・時間計画!$A$5</f>
        <v>1412000029</v>
      </c>
      <c r="B607" t="str">
        <f>[57]人員・時間計画!$B$5</f>
        <v>経営管理課</v>
      </c>
      <c r="C607" s="185" t="s">
        <v>3</v>
      </c>
      <c r="D607" s="195" t="s">
        <v>196</v>
      </c>
      <c r="E607" s="196"/>
      <c r="F607" s="214">
        <f>[57]人員・時間計画!C14</f>
        <v>9</v>
      </c>
      <c r="G607" s="214">
        <f>[57]人員・時間計画!D14</f>
        <v>9</v>
      </c>
      <c r="H607" s="214">
        <f>[57]人員・時間計画!E14</f>
        <v>9</v>
      </c>
      <c r="I607" s="214">
        <f>[57]人員・時間計画!F14</f>
        <v>9</v>
      </c>
      <c r="J607" s="214">
        <f>[57]人員・時間計画!G14</f>
        <v>9</v>
      </c>
      <c r="K607" s="214">
        <f>[57]人員・時間計画!H14</f>
        <v>9</v>
      </c>
      <c r="L607" s="214">
        <f>[57]人員・時間計画!I14</f>
        <v>9</v>
      </c>
      <c r="M607" s="214">
        <f>[57]人員・時間計画!J14</f>
        <v>9</v>
      </c>
      <c r="N607" s="214">
        <f>[57]人員・時間計画!K14</f>
        <v>9</v>
      </c>
      <c r="O607" s="214">
        <f>[57]人員・時間計画!L14</f>
        <v>9</v>
      </c>
      <c r="P607" s="214">
        <f>[57]人員・時間計画!M14</f>
        <v>9</v>
      </c>
      <c r="Q607" s="214">
        <f>[57]人員・時間計画!N14</f>
        <v>9</v>
      </c>
    </row>
    <row r="608" spans="1:17" ht="14.5" hidden="1" thickBot="1">
      <c r="A608">
        <f>[57]人員・時間計画!$A$5</f>
        <v>1412000029</v>
      </c>
      <c r="B608" t="str">
        <f>[57]人員・時間計画!$B$5</f>
        <v>経営管理課</v>
      </c>
      <c r="D608" s="197"/>
      <c r="E608" s="197"/>
    </row>
    <row r="609" spans="1:17" ht="14.5" hidden="1" thickBot="1">
      <c r="A609">
        <f>[57]人員・時間計画!$A$5</f>
        <v>1412000029</v>
      </c>
      <c r="B609" t="str">
        <f>[57]人員・時間計画!$B$5</f>
        <v>経営管理課</v>
      </c>
      <c r="C609" s="185" t="s">
        <v>202</v>
      </c>
      <c r="D609" s="185" t="s">
        <v>202</v>
      </c>
      <c r="E609" s="186"/>
    </row>
    <row r="610" spans="1:17" ht="14.5" hidden="1" thickBot="1">
      <c r="A610">
        <f>[57]人員・時間計画!$A$5</f>
        <v>1412000029</v>
      </c>
      <c r="B610" t="str">
        <f>[57]人員・時間計画!$B$5</f>
        <v>経営管理課</v>
      </c>
      <c r="C610" s="185" t="s">
        <v>202</v>
      </c>
      <c r="D610" s="198" t="s">
        <v>194</v>
      </c>
      <c r="E610" s="199"/>
      <c r="F610" s="214">
        <f>[57]人員・時間計画!C17</f>
        <v>170</v>
      </c>
      <c r="G610" s="214">
        <f>[57]人員・時間計画!D17</f>
        <v>161.5</v>
      </c>
      <c r="H610" s="214">
        <f>[57]人員・時間計画!E17</f>
        <v>178.5</v>
      </c>
      <c r="I610" s="214">
        <f>[57]人員・時間計画!F17</f>
        <v>195.5</v>
      </c>
      <c r="J610" s="214">
        <f>[57]人員・時間計画!G17</f>
        <v>127.5</v>
      </c>
      <c r="K610" s="214">
        <f>[57]人員・時間計画!H17</f>
        <v>161.5</v>
      </c>
      <c r="L610" s="214">
        <f>[57]人員・時間計画!I17</f>
        <v>195.5</v>
      </c>
      <c r="M610" s="214">
        <f>[57]人員・時間計画!J17</f>
        <v>170</v>
      </c>
      <c r="N610" s="214">
        <f>[57]人員・時間計画!K17</f>
        <v>187</v>
      </c>
      <c r="O610" s="214">
        <f>[57]人員・時間計画!L17</f>
        <v>170</v>
      </c>
      <c r="P610" s="214">
        <f>[57]人員・時間計画!M17</f>
        <v>110.5</v>
      </c>
      <c r="Q610" s="214">
        <f>[57]人員・時間計画!N17</f>
        <v>170</v>
      </c>
    </row>
    <row r="611" spans="1:17" ht="14.5" hidden="1" thickBot="1">
      <c r="A611">
        <f>[57]人員・時間計画!$A$5</f>
        <v>1412000029</v>
      </c>
      <c r="B611" t="str">
        <f>[57]人員・時間計画!$B$5</f>
        <v>経営管理課</v>
      </c>
      <c r="C611" s="185" t="s">
        <v>202</v>
      </c>
      <c r="D611" s="200"/>
      <c r="E611" s="190" t="s">
        <v>139</v>
      </c>
      <c r="F611" s="214">
        <f>[57]人員・時間計画!C18</f>
        <v>1287.75</v>
      </c>
      <c r="G611" s="214">
        <f>[57]人員・時間計画!D18</f>
        <v>1224</v>
      </c>
      <c r="H611" s="214">
        <f>[57]人員・時間計画!E18</f>
        <v>1347.25</v>
      </c>
      <c r="I611" s="214">
        <f>[57]人員・時間計画!F18</f>
        <v>1496</v>
      </c>
      <c r="J611" s="214">
        <f>[57]人員・時間計画!G18</f>
        <v>1351.5</v>
      </c>
      <c r="K611" s="214">
        <f>[57]人員・時間計画!H18</f>
        <v>1224</v>
      </c>
      <c r="L611" s="214">
        <f>[57]人員・時間計画!I18</f>
        <v>1483.25</v>
      </c>
      <c r="M611" s="214">
        <f>[57]人員・時間計画!J18</f>
        <v>1292</v>
      </c>
      <c r="N611" s="214">
        <f>[57]人員・時間計画!K18</f>
        <v>1428</v>
      </c>
      <c r="O611" s="214">
        <f>[57]人員・時間計画!L18</f>
        <v>1292</v>
      </c>
      <c r="P611" s="214">
        <f>[57]人員・時間計画!M18</f>
        <v>1020</v>
      </c>
      <c r="Q611" s="214">
        <f>[57]人員・時間計画!N18</f>
        <v>1360</v>
      </c>
    </row>
    <row r="612" spans="1:17" ht="14.5" thickBot="1">
      <c r="A612">
        <f>[57]人員・時間計画!$A$5</f>
        <v>1412000029</v>
      </c>
      <c r="B612" t="str">
        <f>[57]人員・時間計画!$B$5</f>
        <v>経営管理課</v>
      </c>
      <c r="C612" s="185" t="s">
        <v>202</v>
      </c>
      <c r="D612" s="201" t="s">
        <v>195</v>
      </c>
      <c r="E612" s="192" t="s">
        <v>140</v>
      </c>
      <c r="F612" s="214">
        <f>[57]人員・時間計画!C19</f>
        <v>0</v>
      </c>
      <c r="G612" s="214">
        <f>[57]人員・時間計画!D19</f>
        <v>0</v>
      </c>
      <c r="H612" s="214">
        <f>[57]人員・時間計画!E19</f>
        <v>0</v>
      </c>
      <c r="I612" s="214">
        <f>[57]人員・時間計画!F19</f>
        <v>0</v>
      </c>
      <c r="J612" s="214">
        <f>[57]人員・時間計画!G19</f>
        <v>0</v>
      </c>
      <c r="K612" s="214">
        <f>[57]人員・時間計画!H19</f>
        <v>0</v>
      </c>
      <c r="L612" s="214">
        <f>[57]人員・時間計画!I19</f>
        <v>0</v>
      </c>
      <c r="M612" s="214">
        <f>[57]人員・時間計画!J19</f>
        <v>0</v>
      </c>
      <c r="N612" s="214">
        <f>[57]人員・時間計画!K19</f>
        <v>0</v>
      </c>
      <c r="O612" s="214">
        <f>[57]人員・時間計画!L19</f>
        <v>0</v>
      </c>
      <c r="P612" s="214">
        <f>[57]人員・時間計画!M19</f>
        <v>0</v>
      </c>
      <c r="Q612" s="214">
        <f>[57]人員・時間計画!N19</f>
        <v>0</v>
      </c>
    </row>
    <row r="613" spans="1:17" ht="14.5" hidden="1" thickBot="1">
      <c r="A613">
        <f>[57]人員・時間計画!$A$5</f>
        <v>1412000029</v>
      </c>
      <c r="B613" t="str">
        <f>[57]人員・時間計画!$B$5</f>
        <v>経営管理課</v>
      </c>
      <c r="C613" s="185" t="s">
        <v>202</v>
      </c>
      <c r="D613" s="202"/>
      <c r="E613" s="203" t="s">
        <v>138</v>
      </c>
      <c r="F613" s="214">
        <f>[57]人員・時間計画!C20</f>
        <v>1287.75</v>
      </c>
      <c r="G613" s="214">
        <f>[57]人員・時間計画!D20</f>
        <v>1224</v>
      </c>
      <c r="H613" s="214">
        <f>[57]人員・時間計画!E20</f>
        <v>1347.25</v>
      </c>
      <c r="I613" s="214">
        <f>[57]人員・時間計画!F20</f>
        <v>1496</v>
      </c>
      <c r="J613" s="214">
        <f>[57]人員・時間計画!G20</f>
        <v>1351.5</v>
      </c>
      <c r="K613" s="214">
        <f>[57]人員・時間計画!H20</f>
        <v>1224</v>
      </c>
      <c r="L613" s="214">
        <f>[57]人員・時間計画!I20</f>
        <v>1483.25</v>
      </c>
      <c r="M613" s="214">
        <f>[57]人員・時間計画!J20</f>
        <v>1292</v>
      </c>
      <c r="N613" s="214">
        <f>[57]人員・時間計画!K20</f>
        <v>1428</v>
      </c>
      <c r="O613" s="214">
        <f>[57]人員・時間計画!L20</f>
        <v>1292</v>
      </c>
      <c r="P613" s="214">
        <f>[57]人員・時間計画!M20</f>
        <v>1020</v>
      </c>
      <c r="Q613" s="214">
        <f>[57]人員・時間計画!N20</f>
        <v>1360</v>
      </c>
    </row>
    <row r="614" spans="1:17" ht="14.5" hidden="1" thickBot="1">
      <c r="A614">
        <f>[57]人員・時間計画!$A$5</f>
        <v>1412000029</v>
      </c>
      <c r="B614" t="str">
        <f>[57]人員・時間計画!$B$5</f>
        <v>経営管理課</v>
      </c>
      <c r="C614" s="185" t="s">
        <v>202</v>
      </c>
      <c r="D614" s="204" t="s">
        <v>215</v>
      </c>
      <c r="E614" s="205"/>
      <c r="F614" s="214">
        <f>[57]人員・時間計画!C21</f>
        <v>1457.75</v>
      </c>
      <c r="G614" s="214">
        <f>[57]人員・時間計画!D21</f>
        <v>1385.5</v>
      </c>
      <c r="H614" s="214">
        <f>[57]人員・時間計画!E21</f>
        <v>1525.75</v>
      </c>
      <c r="I614" s="214">
        <f>[57]人員・時間計画!F21</f>
        <v>1691.5</v>
      </c>
      <c r="J614" s="214">
        <f>[57]人員・時間計画!G21</f>
        <v>1479</v>
      </c>
      <c r="K614" s="214">
        <f>[57]人員・時間計画!H21</f>
        <v>1385.5</v>
      </c>
      <c r="L614" s="214">
        <f>[57]人員・時間計画!I21</f>
        <v>1678.75</v>
      </c>
      <c r="M614" s="214">
        <f>[57]人員・時間計画!J21</f>
        <v>1462</v>
      </c>
      <c r="N614" s="214">
        <f>[57]人員・時間計画!K21</f>
        <v>1615</v>
      </c>
      <c r="O614" s="214">
        <f>[57]人員・時間計画!L21</f>
        <v>1462</v>
      </c>
      <c r="P614" s="214">
        <f>[57]人員・時間計画!M21</f>
        <v>1130.5</v>
      </c>
      <c r="Q614" s="214">
        <f>[57]人員・時間計画!N21</f>
        <v>1530</v>
      </c>
    </row>
    <row r="615" spans="1:17" ht="14.5" hidden="1" thickBot="1">
      <c r="A615">
        <f>[57]人員・時間計画!$A$5</f>
        <v>1412000029</v>
      </c>
      <c r="B615" t="str">
        <f>[57]人員・時間計画!$B$5</f>
        <v>経営管理課</v>
      </c>
      <c r="D615" s="197"/>
      <c r="E615" s="197"/>
    </row>
    <row r="616" spans="1:17" ht="14.5" hidden="1" thickBot="1">
      <c r="A616">
        <f>[57]人員・時間計画!$A$5</f>
        <v>1412000029</v>
      </c>
      <c r="B616" t="str">
        <f>[57]人員・時間計画!$B$5</f>
        <v>経営管理課</v>
      </c>
      <c r="C616" s="185" t="s">
        <v>71</v>
      </c>
      <c r="D616" s="185" t="s">
        <v>71</v>
      </c>
      <c r="E616" s="186"/>
    </row>
    <row r="617" spans="1:17" ht="14.5" hidden="1" thickBot="1">
      <c r="A617">
        <f>[57]人員・時間計画!$A$5</f>
        <v>1412000029</v>
      </c>
      <c r="B617" t="str">
        <f>[57]人員・時間計画!$B$5</f>
        <v>経営管理課</v>
      </c>
      <c r="C617" s="185" t="s">
        <v>71</v>
      </c>
      <c r="D617" s="198" t="s">
        <v>194</v>
      </c>
      <c r="E617" s="199"/>
      <c r="F617" s="214">
        <f>[57]人員・時間計画!C24</f>
        <v>40</v>
      </c>
      <c r="G617" s="214">
        <f>[57]人員・時間計画!D24</f>
        <v>38</v>
      </c>
      <c r="H617" s="214">
        <f>[57]人員・時間計画!E24</f>
        <v>42</v>
      </c>
      <c r="I617" s="214">
        <f>[57]人員・時間計画!F24</f>
        <v>46</v>
      </c>
      <c r="J617" s="214">
        <f>[57]人員・時間計画!G24</f>
        <v>30</v>
      </c>
      <c r="K617" s="214">
        <f>[57]人員・時間計画!H24</f>
        <v>38</v>
      </c>
      <c r="L617" s="214">
        <f>[57]人員・時間計画!I24</f>
        <v>46</v>
      </c>
      <c r="M617" s="214">
        <f>[57]人員・時間計画!J24</f>
        <v>40</v>
      </c>
      <c r="N617" s="214">
        <f>[57]人員・時間計画!K24</f>
        <v>44</v>
      </c>
      <c r="O617" s="214">
        <f>[57]人員・時間計画!L24</f>
        <v>40</v>
      </c>
      <c r="P617" s="214">
        <f>[57]人員・時間計画!M24</f>
        <v>26</v>
      </c>
      <c r="Q617" s="214">
        <f>[57]人員・時間計画!N24</f>
        <v>40</v>
      </c>
    </row>
    <row r="618" spans="1:17" ht="14.5" hidden="1" thickBot="1">
      <c r="A618">
        <f>[57]人員・時間計画!$A$5</f>
        <v>1412000029</v>
      </c>
      <c r="B618" t="str">
        <f>[57]人員・時間計画!$B$5</f>
        <v>経営管理課</v>
      </c>
      <c r="C618" s="185" t="s">
        <v>71</v>
      </c>
      <c r="D618" s="200"/>
      <c r="E618" s="206" t="s">
        <v>139</v>
      </c>
      <c r="F618" s="214">
        <f>[57]人員・時間計画!C25</f>
        <v>38</v>
      </c>
      <c r="G618" s="214">
        <f>[57]人員・時間計画!D25</f>
        <v>36</v>
      </c>
      <c r="H618" s="214">
        <f>[57]人員・時間計画!E25</f>
        <v>38</v>
      </c>
      <c r="I618" s="214">
        <f>[57]人員・時間計画!F25</f>
        <v>44</v>
      </c>
      <c r="J618" s="214">
        <f>[57]人員・時間計画!G25</f>
        <v>75</v>
      </c>
      <c r="K618" s="214">
        <f>[57]人員・時間計画!H25</f>
        <v>36</v>
      </c>
      <c r="L618" s="214">
        <f>[57]人員・時間計画!I25</f>
        <v>42</v>
      </c>
      <c r="M618" s="214">
        <f>[57]人員・時間計画!J25</f>
        <v>38</v>
      </c>
      <c r="N618" s="214">
        <f>[57]人員・時間計画!K25</f>
        <v>42</v>
      </c>
      <c r="O618" s="214">
        <f>[57]人員・時間計画!L25</f>
        <v>38</v>
      </c>
      <c r="P618" s="214">
        <f>[57]人員・時間計画!M25</f>
        <v>30</v>
      </c>
      <c r="Q618" s="214">
        <f>[57]人員・時間計画!N25</f>
        <v>75</v>
      </c>
    </row>
    <row r="619" spans="1:17" ht="14.5" thickBot="1">
      <c r="A619">
        <f>[57]人員・時間計画!$A$5</f>
        <v>1412000029</v>
      </c>
      <c r="B619" t="str">
        <f>[57]人員・時間計画!$B$5</f>
        <v>経営管理課</v>
      </c>
      <c r="C619" s="185" t="s">
        <v>71</v>
      </c>
      <c r="D619" s="201" t="s">
        <v>195</v>
      </c>
      <c r="E619" s="207" t="s">
        <v>140</v>
      </c>
      <c r="F619" s="214">
        <f>[57]人員・時間計画!C26</f>
        <v>0</v>
      </c>
      <c r="G619" s="214">
        <f>[57]人員・時間計画!D26</f>
        <v>0</v>
      </c>
      <c r="H619" s="214">
        <f>[57]人員・時間計画!E26</f>
        <v>0</v>
      </c>
      <c r="I619" s="214">
        <f>[57]人員・時間計画!F26</f>
        <v>0</v>
      </c>
      <c r="J619" s="214">
        <f>[57]人員・時間計画!G26</f>
        <v>0</v>
      </c>
      <c r="K619" s="214">
        <f>[57]人員・時間計画!H26</f>
        <v>0</v>
      </c>
      <c r="L619" s="214">
        <f>[57]人員・時間計画!I26</f>
        <v>0</v>
      </c>
      <c r="M619" s="214">
        <f>[57]人員・時間計画!J26</f>
        <v>0</v>
      </c>
      <c r="N619" s="214">
        <f>[57]人員・時間計画!K26</f>
        <v>0</v>
      </c>
      <c r="O619" s="214">
        <f>[57]人員・時間計画!L26</f>
        <v>0</v>
      </c>
      <c r="P619" s="214">
        <f>[57]人員・時間計画!M26</f>
        <v>0</v>
      </c>
      <c r="Q619" s="214">
        <f>[57]人員・時間計画!N26</f>
        <v>0</v>
      </c>
    </row>
    <row r="620" spans="1:17" ht="14.5" hidden="1" thickBot="1">
      <c r="A620">
        <f>[57]人員・時間計画!$A$5</f>
        <v>1412000029</v>
      </c>
      <c r="B620" t="str">
        <f>[57]人員・時間計画!$B$5</f>
        <v>経営管理課</v>
      </c>
      <c r="C620" s="185" t="s">
        <v>71</v>
      </c>
      <c r="D620" s="202"/>
      <c r="E620" s="203" t="s">
        <v>138</v>
      </c>
      <c r="F620" s="214">
        <f>[57]人員・時間計画!C27</f>
        <v>38</v>
      </c>
      <c r="G620" s="214">
        <f>[57]人員・時間計画!D27</f>
        <v>36</v>
      </c>
      <c r="H620" s="214">
        <f>[57]人員・時間計画!E27</f>
        <v>38</v>
      </c>
      <c r="I620" s="214">
        <f>[57]人員・時間計画!F27</f>
        <v>44</v>
      </c>
      <c r="J620" s="214">
        <f>[57]人員・時間計画!G27</f>
        <v>75</v>
      </c>
      <c r="K620" s="214">
        <f>[57]人員・時間計画!H27</f>
        <v>36</v>
      </c>
      <c r="L620" s="214">
        <f>[57]人員・時間計画!I27</f>
        <v>42</v>
      </c>
      <c r="M620" s="214">
        <f>[57]人員・時間計画!J27</f>
        <v>38</v>
      </c>
      <c r="N620" s="214">
        <f>[57]人員・時間計画!K27</f>
        <v>42</v>
      </c>
      <c r="O620" s="214">
        <f>[57]人員・時間計画!L27</f>
        <v>38</v>
      </c>
      <c r="P620" s="214">
        <f>[57]人員・時間計画!M27</f>
        <v>30</v>
      </c>
      <c r="Q620" s="214">
        <f>[57]人員・時間計画!N27</f>
        <v>75</v>
      </c>
    </row>
    <row r="621" spans="1:17" ht="14.5" hidden="1" thickBot="1">
      <c r="A621">
        <f>[57]人員・時間計画!$A$5</f>
        <v>1412000029</v>
      </c>
      <c r="B621" t="str">
        <f>[57]人員・時間計画!$B$5</f>
        <v>経営管理課</v>
      </c>
      <c r="C621" s="185" t="s">
        <v>71</v>
      </c>
      <c r="D621" s="204" t="s">
        <v>216</v>
      </c>
      <c r="E621" s="205"/>
      <c r="F621" s="214">
        <f>[57]人員・時間計画!C28</f>
        <v>78</v>
      </c>
      <c r="G621" s="214">
        <f>[57]人員・時間計画!D28</f>
        <v>74</v>
      </c>
      <c r="H621" s="214">
        <f>[57]人員・時間計画!E28</f>
        <v>80</v>
      </c>
      <c r="I621" s="214">
        <f>[57]人員・時間計画!F28</f>
        <v>90</v>
      </c>
      <c r="J621" s="214">
        <f>[57]人員・時間計画!G28</f>
        <v>105</v>
      </c>
      <c r="K621" s="214">
        <f>[57]人員・時間計画!H28</f>
        <v>74</v>
      </c>
      <c r="L621" s="214">
        <f>[57]人員・時間計画!I28</f>
        <v>88</v>
      </c>
      <c r="M621" s="214">
        <f>[57]人員・時間計画!J28</f>
        <v>78</v>
      </c>
      <c r="N621" s="214">
        <f>[57]人員・時間計画!K28</f>
        <v>86</v>
      </c>
      <c r="O621" s="214">
        <f>[57]人員・時間計画!L28</f>
        <v>78</v>
      </c>
      <c r="P621" s="214">
        <f>[57]人員・時間計画!M28</f>
        <v>56</v>
      </c>
      <c r="Q621" s="214">
        <f>[57]人員・時間計画!N28</f>
        <v>115</v>
      </c>
    </row>
    <row r="622" spans="1:17" ht="14.5" hidden="1" thickBot="1">
      <c r="A622">
        <f>[59]人員・時間計画!$A$5</f>
        <v>1412000030</v>
      </c>
      <c r="B622" t="str">
        <f>[59]人員・時間計画!$B$5</f>
        <v>貿易管理課</v>
      </c>
      <c r="C622" s="185" t="s">
        <v>3</v>
      </c>
      <c r="D622" s="185" t="s">
        <v>3</v>
      </c>
      <c r="E622" s="186"/>
    </row>
    <row r="623" spans="1:17" ht="14.5" hidden="1" thickBot="1">
      <c r="A623">
        <f>[59]人員・時間計画!$A$5</f>
        <v>1412000030</v>
      </c>
      <c r="B623" t="str">
        <f>[59]人員・時間計画!$B$5</f>
        <v>貿易管理課</v>
      </c>
      <c r="C623" s="185" t="s">
        <v>3</v>
      </c>
      <c r="D623" s="187" t="s">
        <v>194</v>
      </c>
      <c r="E623" s="188"/>
      <c r="F623" s="214">
        <f>[59]人員・時間計画!C10</f>
        <v>1</v>
      </c>
      <c r="G623" s="214">
        <f>[59]人員・時間計画!D10</f>
        <v>1</v>
      </c>
      <c r="H623" s="214">
        <f>[59]人員・時間計画!E10</f>
        <v>1</v>
      </c>
      <c r="I623" s="214">
        <f>[59]人員・時間計画!F10</f>
        <v>1</v>
      </c>
      <c r="J623" s="214">
        <f>[59]人員・時間計画!G10</f>
        <v>1</v>
      </c>
      <c r="K623" s="214">
        <f>[59]人員・時間計画!H10</f>
        <v>1</v>
      </c>
      <c r="L623" s="214">
        <f>[59]人員・時間計画!I10</f>
        <v>1</v>
      </c>
      <c r="M623" s="214">
        <f>[59]人員・時間計画!J10</f>
        <v>1</v>
      </c>
      <c r="N623" s="214">
        <f>[59]人員・時間計画!K10</f>
        <v>1</v>
      </c>
      <c r="O623" s="214">
        <f>[59]人員・時間計画!L10</f>
        <v>1</v>
      </c>
      <c r="P623" s="214">
        <f>[59]人員・時間計画!M10</f>
        <v>1</v>
      </c>
      <c r="Q623" s="214">
        <f>[59]人員・時間計画!N10</f>
        <v>1</v>
      </c>
    </row>
    <row r="624" spans="1:17" ht="14.5" hidden="1" thickBot="1">
      <c r="A624">
        <f>[59]人員・時間計画!$A$5</f>
        <v>1412000030</v>
      </c>
      <c r="B624" t="str">
        <f>[59]人員・時間計画!$B$5</f>
        <v>貿易管理課</v>
      </c>
      <c r="C624" s="185" t="s">
        <v>3</v>
      </c>
      <c r="D624" s="189"/>
      <c r="E624" s="190" t="s">
        <v>139</v>
      </c>
      <c r="F624" s="214">
        <f>[59]人員・時間計画!C11</f>
        <v>17</v>
      </c>
      <c r="G624" s="214">
        <f>[59]人員・時間計画!D11</f>
        <v>17</v>
      </c>
      <c r="H624" s="214">
        <f>[59]人員・時間計画!E11</f>
        <v>17</v>
      </c>
      <c r="I624" s="214">
        <f>[59]人員・時間計画!F11</f>
        <v>17</v>
      </c>
      <c r="J624" s="214">
        <f>[59]人員・時間計画!G11</f>
        <v>17</v>
      </c>
      <c r="K624" s="214">
        <f>[59]人員・時間計画!H11</f>
        <v>17</v>
      </c>
      <c r="L624" s="214">
        <f>[59]人員・時間計画!I11</f>
        <v>17</v>
      </c>
      <c r="M624" s="214">
        <f>[59]人員・時間計画!J11</f>
        <v>17</v>
      </c>
      <c r="N624" s="214">
        <f>[59]人員・時間計画!K11</f>
        <v>17</v>
      </c>
      <c r="O624" s="214">
        <f>[59]人員・時間計画!L11</f>
        <v>17</v>
      </c>
      <c r="P624" s="214">
        <f>[59]人員・時間計画!M11</f>
        <v>17</v>
      </c>
      <c r="Q624" s="214">
        <f>[59]人員・時間計画!N11</f>
        <v>17</v>
      </c>
    </row>
    <row r="625" spans="1:17" ht="14.5" thickBot="1">
      <c r="A625">
        <f>[59]人員・時間計画!$A$5</f>
        <v>1412000030</v>
      </c>
      <c r="B625" t="str">
        <f>[59]人員・時間計画!$B$5</f>
        <v>貿易管理課</v>
      </c>
      <c r="C625" s="185" t="s">
        <v>3</v>
      </c>
      <c r="D625" s="191" t="s">
        <v>195</v>
      </c>
      <c r="E625" s="192" t="s">
        <v>140</v>
      </c>
      <c r="F625" s="214">
        <f>[59]人員・時間計画!C12</f>
        <v>0</v>
      </c>
      <c r="G625" s="214">
        <f>[59]人員・時間計画!D12</f>
        <v>0</v>
      </c>
      <c r="H625" s="214">
        <f>[59]人員・時間計画!E12</f>
        <v>0</v>
      </c>
      <c r="I625" s="214">
        <f>[59]人員・時間計画!F12</f>
        <v>0</v>
      </c>
      <c r="J625" s="214">
        <f>[59]人員・時間計画!G12</f>
        <v>0</v>
      </c>
      <c r="K625" s="214">
        <f>[59]人員・時間計画!H12</f>
        <v>0</v>
      </c>
      <c r="L625" s="214">
        <f>[59]人員・時間計画!I12</f>
        <v>0</v>
      </c>
      <c r="M625" s="214">
        <f>[59]人員・時間計画!J12</f>
        <v>0</v>
      </c>
      <c r="N625" s="214">
        <f>[59]人員・時間計画!K12</f>
        <v>0</v>
      </c>
      <c r="O625" s="214">
        <f>[59]人員・時間計画!L12</f>
        <v>0</v>
      </c>
      <c r="P625" s="214">
        <f>[59]人員・時間計画!M12</f>
        <v>0</v>
      </c>
      <c r="Q625" s="214">
        <f>[59]人員・時間計画!N12</f>
        <v>0</v>
      </c>
    </row>
    <row r="626" spans="1:17" ht="14.5" hidden="1" thickBot="1">
      <c r="A626">
        <f>[59]人員・時間計画!$A$5</f>
        <v>1412000030</v>
      </c>
      <c r="B626" t="str">
        <f>[59]人員・時間計画!$B$5</f>
        <v>貿易管理課</v>
      </c>
      <c r="C626" s="185" t="s">
        <v>3</v>
      </c>
      <c r="D626" s="193"/>
      <c r="E626" s="194" t="s">
        <v>138</v>
      </c>
      <c r="F626" s="214">
        <f>[59]人員・時間計画!C13</f>
        <v>17</v>
      </c>
      <c r="G626" s="214">
        <f>[59]人員・時間計画!D13</f>
        <v>17</v>
      </c>
      <c r="H626" s="214">
        <f>[59]人員・時間計画!E13</f>
        <v>17</v>
      </c>
      <c r="I626" s="214">
        <f>[59]人員・時間計画!F13</f>
        <v>17</v>
      </c>
      <c r="J626" s="214">
        <f>[59]人員・時間計画!G13</f>
        <v>17</v>
      </c>
      <c r="K626" s="214">
        <f>[59]人員・時間計画!H13</f>
        <v>17</v>
      </c>
      <c r="L626" s="214">
        <f>[59]人員・時間計画!I13</f>
        <v>17</v>
      </c>
      <c r="M626" s="214">
        <f>[59]人員・時間計画!J13</f>
        <v>17</v>
      </c>
      <c r="N626" s="214">
        <f>[59]人員・時間計画!K13</f>
        <v>17</v>
      </c>
      <c r="O626" s="214">
        <f>[59]人員・時間計画!L13</f>
        <v>17</v>
      </c>
      <c r="P626" s="214">
        <f>[59]人員・時間計画!M13</f>
        <v>17</v>
      </c>
      <c r="Q626" s="214">
        <f>[59]人員・時間計画!N13</f>
        <v>17</v>
      </c>
    </row>
    <row r="627" spans="1:17" ht="14.5" hidden="1" thickBot="1">
      <c r="A627">
        <f>[59]人員・時間計画!$A$5</f>
        <v>1412000030</v>
      </c>
      <c r="B627" t="str">
        <f>[59]人員・時間計画!$B$5</f>
        <v>貿易管理課</v>
      </c>
      <c r="C627" s="185" t="s">
        <v>3</v>
      </c>
      <c r="D627" s="195" t="s">
        <v>196</v>
      </c>
      <c r="E627" s="196"/>
      <c r="F627" s="214">
        <f>[59]人員・時間計画!C14</f>
        <v>18</v>
      </c>
      <c r="G627" s="214">
        <f>[59]人員・時間計画!D14</f>
        <v>18</v>
      </c>
      <c r="H627" s="214">
        <f>[59]人員・時間計画!E14</f>
        <v>18</v>
      </c>
      <c r="I627" s="214">
        <f>[59]人員・時間計画!F14</f>
        <v>18</v>
      </c>
      <c r="J627" s="214">
        <f>[59]人員・時間計画!G14</f>
        <v>18</v>
      </c>
      <c r="K627" s="214">
        <f>[59]人員・時間計画!H14</f>
        <v>18</v>
      </c>
      <c r="L627" s="214">
        <f>[59]人員・時間計画!I14</f>
        <v>18</v>
      </c>
      <c r="M627" s="214">
        <f>[59]人員・時間計画!J14</f>
        <v>18</v>
      </c>
      <c r="N627" s="214">
        <f>[59]人員・時間計画!K14</f>
        <v>18</v>
      </c>
      <c r="O627" s="214">
        <f>[59]人員・時間計画!L14</f>
        <v>18</v>
      </c>
      <c r="P627" s="214">
        <f>[59]人員・時間計画!M14</f>
        <v>18</v>
      </c>
      <c r="Q627" s="214">
        <f>[59]人員・時間計画!N14</f>
        <v>18</v>
      </c>
    </row>
    <row r="628" spans="1:17" ht="14.5" hidden="1" thickBot="1">
      <c r="A628">
        <f>[59]人員・時間計画!$A$5</f>
        <v>1412000030</v>
      </c>
      <c r="B628" t="str">
        <f>[59]人員・時間計画!$B$5</f>
        <v>貿易管理課</v>
      </c>
      <c r="D628" s="197"/>
      <c r="E628" s="197"/>
    </row>
    <row r="629" spans="1:17" ht="14.5" hidden="1" thickBot="1">
      <c r="A629">
        <f>[59]人員・時間計画!$A$5</f>
        <v>1412000030</v>
      </c>
      <c r="B629" t="str">
        <f>[59]人員・時間計画!$B$5</f>
        <v>貿易管理課</v>
      </c>
      <c r="C629" s="185" t="s">
        <v>202</v>
      </c>
      <c r="D629" s="185" t="s">
        <v>202</v>
      </c>
      <c r="E629" s="186"/>
    </row>
    <row r="630" spans="1:17" ht="14.5" hidden="1" thickBot="1">
      <c r="A630">
        <f>[59]人員・時間計画!$A$5</f>
        <v>1412000030</v>
      </c>
      <c r="B630" t="str">
        <f>[59]人員・時間計画!$B$5</f>
        <v>貿易管理課</v>
      </c>
      <c r="C630" s="185" t="s">
        <v>202</v>
      </c>
      <c r="D630" s="198" t="s">
        <v>194</v>
      </c>
      <c r="E630" s="199"/>
      <c r="F630" s="214">
        <f>[59]人員・時間計画!C17</f>
        <v>170</v>
      </c>
      <c r="G630" s="214">
        <f>[59]人員・時間計画!D17</f>
        <v>161.5</v>
      </c>
      <c r="H630" s="214">
        <f>[59]人員・時間計画!E17</f>
        <v>178.5</v>
      </c>
      <c r="I630" s="214">
        <f>[59]人員・時間計画!F17</f>
        <v>195.5</v>
      </c>
      <c r="J630" s="214">
        <f>[59]人員・時間計画!G17</f>
        <v>170</v>
      </c>
      <c r="K630" s="214">
        <f>[59]人員・時間計画!H17</f>
        <v>161.5</v>
      </c>
      <c r="L630" s="214">
        <f>[59]人員・時間計画!I17</f>
        <v>195.5</v>
      </c>
      <c r="M630" s="214">
        <f>[59]人員・時間計画!J17</f>
        <v>170</v>
      </c>
      <c r="N630" s="214">
        <f>[59]人員・時間計画!K17</f>
        <v>187</v>
      </c>
      <c r="O630" s="214">
        <f>[59]人員・時間計画!L17</f>
        <v>153</v>
      </c>
      <c r="P630" s="214">
        <f>[59]人員・時間計画!M17</f>
        <v>127.5</v>
      </c>
      <c r="Q630" s="214">
        <f>[59]人員・時間計画!N17</f>
        <v>170</v>
      </c>
    </row>
    <row r="631" spans="1:17" ht="14.5" hidden="1" thickBot="1">
      <c r="A631">
        <f>[59]人員・時間計画!$A$5</f>
        <v>1412000030</v>
      </c>
      <c r="B631" t="str">
        <f>[59]人員・時間計画!$B$5</f>
        <v>貿易管理課</v>
      </c>
      <c r="C631" s="185" t="s">
        <v>202</v>
      </c>
      <c r="D631" s="200"/>
      <c r="E631" s="190" t="s">
        <v>139</v>
      </c>
      <c r="F631" s="214">
        <f>[59]人員・時間計画!C18</f>
        <v>2805</v>
      </c>
      <c r="G631" s="214">
        <f>[59]人員・時間計画!D18</f>
        <v>2507.5</v>
      </c>
      <c r="H631" s="214">
        <f>[59]人員・時間計画!E18</f>
        <v>2779.5</v>
      </c>
      <c r="I631" s="214">
        <f>[59]人員・時間計画!F18</f>
        <v>3051.5</v>
      </c>
      <c r="J631" s="214">
        <f>[59]人員・時間計画!G18</f>
        <v>2643.5</v>
      </c>
      <c r="K631" s="214">
        <f>[59]人員・時間計画!H18</f>
        <v>2507.5</v>
      </c>
      <c r="L631" s="214">
        <f>[59]人員・時間計画!I18</f>
        <v>3051.5</v>
      </c>
      <c r="M631" s="214">
        <f>[59]人員・時間計画!J18</f>
        <v>2870</v>
      </c>
      <c r="N631" s="214">
        <f>[59]人員・時間計画!K18</f>
        <v>3046.5</v>
      </c>
      <c r="O631" s="214">
        <f>[59]人員・時間計画!L18</f>
        <v>2827.5</v>
      </c>
      <c r="P631" s="214">
        <f>[59]人員・時間計画!M18</f>
        <v>2110</v>
      </c>
      <c r="Q631" s="214">
        <f>[59]人員・時間計画!N18</f>
        <v>2827.5</v>
      </c>
    </row>
    <row r="632" spans="1:17" ht="14.5" thickBot="1">
      <c r="A632">
        <f>[59]人員・時間計画!$A$5</f>
        <v>1412000030</v>
      </c>
      <c r="B632" t="str">
        <f>[59]人員・時間計画!$B$5</f>
        <v>貿易管理課</v>
      </c>
      <c r="C632" s="185" t="s">
        <v>202</v>
      </c>
      <c r="D632" s="201" t="s">
        <v>195</v>
      </c>
      <c r="E632" s="192" t="s">
        <v>140</v>
      </c>
      <c r="F632" s="214">
        <f>[59]人員・時間計画!C19</f>
        <v>0</v>
      </c>
      <c r="G632" s="214">
        <f>[59]人員・時間計画!D19</f>
        <v>0</v>
      </c>
      <c r="H632" s="214">
        <f>[59]人員・時間計画!E19</f>
        <v>0</v>
      </c>
      <c r="I632" s="214">
        <f>[59]人員・時間計画!F19</f>
        <v>0</v>
      </c>
      <c r="J632" s="214">
        <f>[59]人員・時間計画!G19</f>
        <v>0</v>
      </c>
      <c r="K632" s="214">
        <f>[59]人員・時間計画!H19</f>
        <v>0</v>
      </c>
      <c r="L632" s="214">
        <f>[59]人員・時間計画!I19</f>
        <v>0</v>
      </c>
      <c r="M632" s="214">
        <f>[59]人員・時間計画!J19</f>
        <v>0</v>
      </c>
      <c r="N632" s="214">
        <f>[59]人員・時間計画!K19</f>
        <v>0</v>
      </c>
      <c r="O632" s="214">
        <f>[59]人員・時間計画!L19</f>
        <v>0</v>
      </c>
      <c r="P632" s="214">
        <f>[59]人員・時間計画!M19</f>
        <v>0</v>
      </c>
      <c r="Q632" s="214">
        <f>[59]人員・時間計画!N19</f>
        <v>0</v>
      </c>
    </row>
    <row r="633" spans="1:17" ht="14.5" hidden="1" thickBot="1">
      <c r="A633">
        <f>[59]人員・時間計画!$A$5</f>
        <v>1412000030</v>
      </c>
      <c r="B633" t="str">
        <f>[59]人員・時間計画!$B$5</f>
        <v>貿易管理課</v>
      </c>
      <c r="C633" s="185" t="s">
        <v>202</v>
      </c>
      <c r="D633" s="202"/>
      <c r="E633" s="203" t="s">
        <v>138</v>
      </c>
      <c r="F633" s="214">
        <f>[59]人員・時間計画!C20</f>
        <v>2805</v>
      </c>
      <c r="G633" s="214">
        <f>[59]人員・時間計画!D20</f>
        <v>2507.5</v>
      </c>
      <c r="H633" s="214">
        <f>[59]人員・時間計画!E20</f>
        <v>2779.5</v>
      </c>
      <c r="I633" s="214">
        <f>[59]人員・時間計画!F20</f>
        <v>3051.5</v>
      </c>
      <c r="J633" s="214">
        <f>[59]人員・時間計画!G20</f>
        <v>2643.5</v>
      </c>
      <c r="K633" s="214">
        <f>[59]人員・時間計画!H20</f>
        <v>2507.5</v>
      </c>
      <c r="L633" s="214">
        <f>[59]人員・時間計画!I20</f>
        <v>3051.5</v>
      </c>
      <c r="M633" s="214">
        <f>[59]人員・時間計画!J20</f>
        <v>2870</v>
      </c>
      <c r="N633" s="214">
        <f>[59]人員・時間計画!K20</f>
        <v>3046.5</v>
      </c>
      <c r="O633" s="214">
        <f>[59]人員・時間計画!L20</f>
        <v>2827.5</v>
      </c>
      <c r="P633" s="214">
        <f>[59]人員・時間計画!M20</f>
        <v>2110</v>
      </c>
      <c r="Q633" s="214">
        <f>[59]人員・時間計画!N20</f>
        <v>2827.5</v>
      </c>
    </row>
    <row r="634" spans="1:17" ht="14.5" hidden="1" thickBot="1">
      <c r="A634">
        <f>[59]人員・時間計画!$A$5</f>
        <v>1412000030</v>
      </c>
      <c r="B634" t="str">
        <f>[59]人員・時間計画!$B$5</f>
        <v>貿易管理課</v>
      </c>
      <c r="C634" s="185" t="s">
        <v>202</v>
      </c>
      <c r="D634" s="204" t="s">
        <v>215</v>
      </c>
      <c r="E634" s="205"/>
      <c r="F634" s="214">
        <f>[59]人員・時間計画!C21</f>
        <v>2975</v>
      </c>
      <c r="G634" s="214">
        <f>[59]人員・時間計画!D21</f>
        <v>2669</v>
      </c>
      <c r="H634" s="214">
        <f>[59]人員・時間計画!E21</f>
        <v>2958</v>
      </c>
      <c r="I634" s="214">
        <f>[59]人員・時間計画!F21</f>
        <v>3247</v>
      </c>
      <c r="J634" s="214">
        <f>[59]人員・時間計画!G21</f>
        <v>2813.5</v>
      </c>
      <c r="K634" s="214">
        <f>[59]人員・時間計画!H21</f>
        <v>2669</v>
      </c>
      <c r="L634" s="214">
        <f>[59]人員・時間計画!I21</f>
        <v>3247</v>
      </c>
      <c r="M634" s="214">
        <f>[59]人員・時間計画!J21</f>
        <v>3040</v>
      </c>
      <c r="N634" s="214">
        <f>[59]人員・時間計画!K21</f>
        <v>3233.5</v>
      </c>
      <c r="O634" s="214">
        <f>[59]人員・時間計画!L21</f>
        <v>2980.5</v>
      </c>
      <c r="P634" s="214">
        <f>[59]人員・時間計画!M21</f>
        <v>2237.5</v>
      </c>
      <c r="Q634" s="214">
        <f>[59]人員・時間計画!N21</f>
        <v>2997.5</v>
      </c>
    </row>
    <row r="635" spans="1:17" ht="14.5" hidden="1" thickBot="1">
      <c r="A635">
        <f>[59]人員・時間計画!$A$5</f>
        <v>1412000030</v>
      </c>
      <c r="B635" t="str">
        <f>[59]人員・時間計画!$B$5</f>
        <v>貿易管理課</v>
      </c>
      <c r="D635" s="197"/>
      <c r="E635" s="197"/>
    </row>
    <row r="636" spans="1:17" ht="14.5" hidden="1" thickBot="1">
      <c r="A636">
        <f>[59]人員・時間計画!$A$5</f>
        <v>1412000030</v>
      </c>
      <c r="B636" t="str">
        <f>[59]人員・時間計画!$B$5</f>
        <v>貿易管理課</v>
      </c>
      <c r="C636" s="185" t="s">
        <v>71</v>
      </c>
      <c r="D636" s="185" t="s">
        <v>71</v>
      </c>
      <c r="E636" s="186"/>
    </row>
    <row r="637" spans="1:17" ht="14.5" hidden="1" thickBot="1">
      <c r="A637">
        <f>[59]人員・時間計画!$A$5</f>
        <v>1412000030</v>
      </c>
      <c r="B637" t="str">
        <f>[59]人員・時間計画!$B$5</f>
        <v>貿易管理課</v>
      </c>
      <c r="C637" s="185" t="s">
        <v>71</v>
      </c>
      <c r="D637" s="198" t="s">
        <v>194</v>
      </c>
      <c r="E637" s="199"/>
      <c r="F637" s="214">
        <f>[59]人員・時間計画!C24</f>
        <v>40</v>
      </c>
      <c r="G637" s="214">
        <f>[59]人員・時間計画!D24</f>
        <v>38</v>
      </c>
      <c r="H637" s="214">
        <f>[59]人員・時間計画!E24</f>
        <v>42</v>
      </c>
      <c r="I637" s="214">
        <f>[59]人員・時間計画!F24</f>
        <v>46</v>
      </c>
      <c r="J637" s="214">
        <f>[59]人員・時間計画!G24</f>
        <v>40</v>
      </c>
      <c r="K637" s="214">
        <f>[59]人員・時間計画!H24</f>
        <v>38</v>
      </c>
      <c r="L637" s="214">
        <f>[59]人員・時間計画!I24</f>
        <v>46</v>
      </c>
      <c r="M637" s="214">
        <f>[59]人員・時間計画!J24</f>
        <v>40</v>
      </c>
      <c r="N637" s="214">
        <f>[59]人員・時間計画!K24</f>
        <v>44</v>
      </c>
      <c r="O637" s="214">
        <f>[59]人員・時間計画!L24</f>
        <v>36</v>
      </c>
      <c r="P637" s="214">
        <f>[59]人員・時間計画!M24</f>
        <v>30</v>
      </c>
      <c r="Q637" s="214">
        <f>[59]人員・時間計画!N24</f>
        <v>40</v>
      </c>
    </row>
    <row r="638" spans="1:17" ht="14.5" hidden="1" thickBot="1">
      <c r="A638">
        <f>[59]人員・時間計画!$A$5</f>
        <v>1412000030</v>
      </c>
      <c r="B638" t="str">
        <f>[59]人員・時間計画!$B$5</f>
        <v>貿易管理課</v>
      </c>
      <c r="C638" s="185" t="s">
        <v>71</v>
      </c>
      <c r="D638" s="200"/>
      <c r="E638" s="206" t="s">
        <v>139</v>
      </c>
      <c r="F638" s="214">
        <f>[59]人員・時間計画!C25</f>
        <v>80</v>
      </c>
      <c r="G638" s="214">
        <f>[59]人員・時間計画!D25</f>
        <v>76</v>
      </c>
      <c r="H638" s="214">
        <f>[59]人員・時間計画!E25</f>
        <v>84</v>
      </c>
      <c r="I638" s="214">
        <f>[59]人員・時間計画!F25</f>
        <v>92</v>
      </c>
      <c r="J638" s="214">
        <f>[59]人員・時間計画!G25</f>
        <v>80</v>
      </c>
      <c r="K638" s="214">
        <f>[59]人員・時間計画!H25</f>
        <v>76</v>
      </c>
      <c r="L638" s="214">
        <f>[59]人員・時間計画!I25</f>
        <v>92</v>
      </c>
      <c r="M638" s="214">
        <f>[59]人員・時間計画!J25</f>
        <v>80</v>
      </c>
      <c r="N638" s="214">
        <f>[59]人員・時間計画!K25</f>
        <v>88</v>
      </c>
      <c r="O638" s="214">
        <f>[59]人員・時間計画!L25</f>
        <v>80</v>
      </c>
      <c r="P638" s="214">
        <f>[59]人員・時間計画!M25</f>
        <v>60</v>
      </c>
      <c r="Q638" s="214">
        <f>[59]人員・時間計画!N25</f>
        <v>80</v>
      </c>
    </row>
    <row r="639" spans="1:17" ht="14.5" thickBot="1">
      <c r="A639">
        <f>[59]人員・時間計画!$A$5</f>
        <v>1412000030</v>
      </c>
      <c r="B639" t="str">
        <f>[59]人員・時間計画!$B$5</f>
        <v>貿易管理課</v>
      </c>
      <c r="C639" s="185" t="s">
        <v>71</v>
      </c>
      <c r="D639" s="201" t="s">
        <v>195</v>
      </c>
      <c r="E639" s="207" t="s">
        <v>140</v>
      </c>
      <c r="F639" s="214">
        <f>[59]人員・時間計画!C26</f>
        <v>0</v>
      </c>
      <c r="G639" s="214">
        <f>[59]人員・時間計画!D26</f>
        <v>0</v>
      </c>
      <c r="H639" s="214">
        <f>[59]人員・時間計画!E26</f>
        <v>0</v>
      </c>
      <c r="I639" s="214">
        <f>[59]人員・時間計画!F26</f>
        <v>0</v>
      </c>
      <c r="J639" s="214">
        <f>[59]人員・時間計画!G26</f>
        <v>0</v>
      </c>
      <c r="K639" s="214">
        <f>[59]人員・時間計画!H26</f>
        <v>0</v>
      </c>
      <c r="L639" s="214">
        <f>[59]人員・時間計画!I26</f>
        <v>0</v>
      </c>
      <c r="M639" s="214">
        <f>[59]人員・時間計画!J26</f>
        <v>0</v>
      </c>
      <c r="N639" s="214">
        <f>[59]人員・時間計画!K26</f>
        <v>0</v>
      </c>
      <c r="O639" s="214">
        <f>[59]人員・時間計画!L26</f>
        <v>0</v>
      </c>
      <c r="P639" s="214">
        <f>[59]人員・時間計画!M26</f>
        <v>0</v>
      </c>
      <c r="Q639" s="214">
        <f>[59]人員・時間計画!N26</f>
        <v>0</v>
      </c>
    </row>
    <row r="640" spans="1:17" ht="14.5" hidden="1" thickBot="1">
      <c r="A640">
        <f>[59]人員・時間計画!$A$5</f>
        <v>1412000030</v>
      </c>
      <c r="B640" t="str">
        <f>[59]人員・時間計画!$B$5</f>
        <v>貿易管理課</v>
      </c>
      <c r="C640" s="185" t="s">
        <v>71</v>
      </c>
      <c r="D640" s="202"/>
      <c r="E640" s="203" t="s">
        <v>138</v>
      </c>
      <c r="F640" s="214">
        <f>[59]人員・時間計画!C27</f>
        <v>80</v>
      </c>
      <c r="G640" s="214">
        <f>[59]人員・時間計画!D27</f>
        <v>76</v>
      </c>
      <c r="H640" s="214">
        <f>[59]人員・時間計画!E27</f>
        <v>84</v>
      </c>
      <c r="I640" s="214">
        <f>[59]人員・時間計画!F27</f>
        <v>92</v>
      </c>
      <c r="J640" s="214">
        <f>[59]人員・時間計画!G27</f>
        <v>80</v>
      </c>
      <c r="K640" s="214">
        <f>[59]人員・時間計画!H27</f>
        <v>76</v>
      </c>
      <c r="L640" s="214">
        <f>[59]人員・時間計画!I27</f>
        <v>92</v>
      </c>
      <c r="M640" s="214">
        <f>[59]人員・時間計画!J27</f>
        <v>80</v>
      </c>
      <c r="N640" s="214">
        <f>[59]人員・時間計画!K27</f>
        <v>88</v>
      </c>
      <c r="O640" s="214">
        <f>[59]人員・時間計画!L27</f>
        <v>80</v>
      </c>
      <c r="P640" s="214">
        <f>[59]人員・時間計画!M27</f>
        <v>60</v>
      </c>
      <c r="Q640" s="214">
        <f>[59]人員・時間計画!N27</f>
        <v>80</v>
      </c>
    </row>
    <row r="641" spans="1:17" ht="14.5" hidden="1" thickBot="1">
      <c r="A641">
        <f>[59]人員・時間計画!$A$5</f>
        <v>1412000030</v>
      </c>
      <c r="B641" t="str">
        <f>[59]人員・時間計画!$B$5</f>
        <v>貿易管理課</v>
      </c>
      <c r="C641" s="185" t="s">
        <v>71</v>
      </c>
      <c r="D641" s="204" t="s">
        <v>216</v>
      </c>
      <c r="E641" s="205"/>
      <c r="F641" s="214">
        <f>[59]人員・時間計画!C28</f>
        <v>120</v>
      </c>
      <c r="G641" s="214">
        <f>[59]人員・時間計画!D28</f>
        <v>114</v>
      </c>
      <c r="H641" s="214">
        <f>[59]人員・時間計画!E28</f>
        <v>126</v>
      </c>
      <c r="I641" s="214">
        <f>[59]人員・時間計画!F28</f>
        <v>138</v>
      </c>
      <c r="J641" s="214">
        <f>[59]人員・時間計画!G28</f>
        <v>120</v>
      </c>
      <c r="K641" s="214">
        <f>[59]人員・時間計画!H28</f>
        <v>114</v>
      </c>
      <c r="L641" s="214">
        <f>[59]人員・時間計画!I28</f>
        <v>138</v>
      </c>
      <c r="M641" s="214">
        <f>[59]人員・時間計画!J28</f>
        <v>120</v>
      </c>
      <c r="N641" s="214">
        <f>[59]人員・時間計画!K28</f>
        <v>132</v>
      </c>
      <c r="O641" s="214">
        <f>[59]人員・時間計画!L28</f>
        <v>116</v>
      </c>
      <c r="P641" s="214">
        <f>[59]人員・時間計画!M28</f>
        <v>90</v>
      </c>
      <c r="Q641" s="214">
        <f>[59]人員・時間計画!N28</f>
        <v>120</v>
      </c>
    </row>
    <row r="642" spans="1:17" ht="14.5" hidden="1" thickBot="1">
      <c r="A642">
        <f>[58]人員・時間計画!$A$5</f>
        <v>1412000086</v>
      </c>
      <c r="B642" t="str">
        <f>[58]人員・時間計画!$B$5</f>
        <v>情報システム課</v>
      </c>
      <c r="C642" s="185" t="s">
        <v>3</v>
      </c>
      <c r="D642" s="185" t="s">
        <v>3</v>
      </c>
      <c r="E642" s="186"/>
    </row>
    <row r="643" spans="1:17" ht="14.5" hidden="1" thickBot="1">
      <c r="A643">
        <f>[58]人員・時間計画!$A$5</f>
        <v>1412000086</v>
      </c>
      <c r="B643" t="str">
        <f>[58]人員・時間計画!$B$5</f>
        <v>情報システム課</v>
      </c>
      <c r="C643" s="185" t="s">
        <v>3</v>
      </c>
      <c r="D643" s="187" t="s">
        <v>194</v>
      </c>
      <c r="E643" s="188"/>
      <c r="F643" s="214">
        <f>[58]人員・時間計画!C10</f>
        <v>1</v>
      </c>
      <c r="G643" s="214">
        <f>[58]人員・時間計画!D10</f>
        <v>1</v>
      </c>
      <c r="H643" s="214">
        <f>[58]人員・時間計画!E10</f>
        <v>1</v>
      </c>
      <c r="I643" s="214">
        <f>[58]人員・時間計画!F10</f>
        <v>1</v>
      </c>
      <c r="J643" s="214">
        <f>[58]人員・時間計画!G10</f>
        <v>1</v>
      </c>
      <c r="K643" s="214">
        <f>[58]人員・時間計画!H10</f>
        <v>1</v>
      </c>
      <c r="L643" s="214">
        <f>[58]人員・時間計画!I10</f>
        <v>1</v>
      </c>
      <c r="M643" s="214">
        <f>[58]人員・時間計画!J10</f>
        <v>1</v>
      </c>
      <c r="N643" s="214">
        <f>[58]人員・時間計画!K10</f>
        <v>1</v>
      </c>
      <c r="O643" s="214">
        <f>[58]人員・時間計画!L10</f>
        <v>1</v>
      </c>
      <c r="P643" s="214">
        <f>[58]人員・時間計画!M10</f>
        <v>1</v>
      </c>
      <c r="Q643" s="214">
        <f>[58]人員・時間計画!N10</f>
        <v>1</v>
      </c>
    </row>
    <row r="644" spans="1:17" ht="14.5" hidden="1" thickBot="1">
      <c r="A644">
        <f>[58]人員・時間計画!$A$5</f>
        <v>1412000086</v>
      </c>
      <c r="B644" t="str">
        <f>[58]人員・時間計画!$B$5</f>
        <v>情報システム課</v>
      </c>
      <c r="C644" s="185" t="s">
        <v>3</v>
      </c>
      <c r="D644" s="189"/>
      <c r="E644" s="190" t="s">
        <v>139</v>
      </c>
      <c r="F644" s="214">
        <f>[58]人員・時間計画!C11</f>
        <v>13</v>
      </c>
      <c r="G644" s="214">
        <f>[58]人員・時間計画!D11</f>
        <v>13</v>
      </c>
      <c r="H644" s="214">
        <f>[58]人員・時間計画!E11</f>
        <v>13</v>
      </c>
      <c r="I644" s="214">
        <f>[58]人員・時間計画!F11</f>
        <v>13</v>
      </c>
      <c r="J644" s="214">
        <f>[58]人員・時間計画!G11</f>
        <v>13</v>
      </c>
      <c r="K644" s="214">
        <f>[58]人員・時間計画!H11</f>
        <v>14</v>
      </c>
      <c r="L644" s="214">
        <f>[58]人員・時間計画!I11</f>
        <v>14</v>
      </c>
      <c r="M644" s="214">
        <f>[58]人員・時間計画!J11</f>
        <v>14</v>
      </c>
      <c r="N644" s="214">
        <f>[58]人員・時間計画!K11</f>
        <v>14</v>
      </c>
      <c r="O644" s="214">
        <f>[58]人員・時間計画!L11</f>
        <v>14</v>
      </c>
      <c r="P644" s="214">
        <f>[58]人員・時間計画!M11</f>
        <v>14</v>
      </c>
      <c r="Q644" s="214">
        <f>[58]人員・時間計画!N11</f>
        <v>14</v>
      </c>
    </row>
    <row r="645" spans="1:17" ht="14.5" thickBot="1">
      <c r="A645">
        <f>[58]人員・時間計画!$A$5</f>
        <v>1412000086</v>
      </c>
      <c r="B645" t="str">
        <f>[58]人員・時間計画!$B$5</f>
        <v>情報システム課</v>
      </c>
      <c r="C645" s="185" t="s">
        <v>3</v>
      </c>
      <c r="D645" s="191" t="s">
        <v>195</v>
      </c>
      <c r="E645" s="192" t="s">
        <v>140</v>
      </c>
      <c r="F645" s="214">
        <f>[58]人員・時間計画!C12</f>
        <v>0</v>
      </c>
      <c r="G645" s="214">
        <f>[58]人員・時間計画!D12</f>
        <v>0</v>
      </c>
      <c r="H645" s="214">
        <f>[58]人員・時間計画!E12</f>
        <v>0</v>
      </c>
      <c r="I645" s="214">
        <f>[58]人員・時間計画!F12</f>
        <v>0</v>
      </c>
      <c r="J645" s="214">
        <f>[58]人員・時間計画!G12</f>
        <v>0</v>
      </c>
      <c r="K645" s="214">
        <f>[58]人員・時間計画!H12</f>
        <v>0</v>
      </c>
      <c r="L645" s="214">
        <f>[58]人員・時間計画!I12</f>
        <v>0</v>
      </c>
      <c r="M645" s="214">
        <f>[58]人員・時間計画!J12</f>
        <v>0</v>
      </c>
      <c r="N645" s="214">
        <f>[58]人員・時間計画!K12</f>
        <v>0</v>
      </c>
      <c r="O645" s="214">
        <f>[58]人員・時間計画!L12</f>
        <v>0</v>
      </c>
      <c r="P645" s="214">
        <f>[58]人員・時間計画!M12</f>
        <v>0</v>
      </c>
      <c r="Q645" s="214">
        <f>[58]人員・時間計画!N12</f>
        <v>0</v>
      </c>
    </row>
    <row r="646" spans="1:17" ht="14.5" hidden="1" thickBot="1">
      <c r="A646">
        <f>[58]人員・時間計画!$A$5</f>
        <v>1412000086</v>
      </c>
      <c r="B646" t="str">
        <f>[58]人員・時間計画!$B$5</f>
        <v>情報システム課</v>
      </c>
      <c r="C646" s="185" t="s">
        <v>3</v>
      </c>
      <c r="D646" s="193"/>
      <c r="E646" s="194" t="s">
        <v>138</v>
      </c>
      <c r="F646" s="214">
        <f>[58]人員・時間計画!C13</f>
        <v>13</v>
      </c>
      <c r="G646" s="214">
        <f>[58]人員・時間計画!D13</f>
        <v>13</v>
      </c>
      <c r="H646" s="214">
        <f>[58]人員・時間計画!E13</f>
        <v>13</v>
      </c>
      <c r="I646" s="214">
        <f>[58]人員・時間計画!F13</f>
        <v>13</v>
      </c>
      <c r="J646" s="214">
        <f>[58]人員・時間計画!G13</f>
        <v>13</v>
      </c>
      <c r="K646" s="214">
        <f>[58]人員・時間計画!H13</f>
        <v>14</v>
      </c>
      <c r="L646" s="214">
        <f>[58]人員・時間計画!I13</f>
        <v>14</v>
      </c>
      <c r="M646" s="214">
        <f>[58]人員・時間計画!J13</f>
        <v>14</v>
      </c>
      <c r="N646" s="214">
        <f>[58]人員・時間計画!K13</f>
        <v>14</v>
      </c>
      <c r="O646" s="214">
        <f>[58]人員・時間計画!L13</f>
        <v>14</v>
      </c>
      <c r="P646" s="214">
        <f>[58]人員・時間計画!M13</f>
        <v>14</v>
      </c>
      <c r="Q646" s="214">
        <f>[58]人員・時間計画!N13</f>
        <v>14</v>
      </c>
    </row>
    <row r="647" spans="1:17" ht="14.5" hidden="1" thickBot="1">
      <c r="A647">
        <f>[58]人員・時間計画!$A$5</f>
        <v>1412000086</v>
      </c>
      <c r="B647" t="str">
        <f>[58]人員・時間計画!$B$5</f>
        <v>情報システム課</v>
      </c>
      <c r="C647" s="185" t="s">
        <v>3</v>
      </c>
      <c r="D647" s="195" t="s">
        <v>196</v>
      </c>
      <c r="E647" s="196"/>
      <c r="F647" s="214">
        <f>[58]人員・時間計画!C14</f>
        <v>14</v>
      </c>
      <c r="G647" s="214">
        <f>[58]人員・時間計画!D14</f>
        <v>14</v>
      </c>
      <c r="H647" s="214">
        <f>[58]人員・時間計画!E14</f>
        <v>14</v>
      </c>
      <c r="I647" s="214">
        <f>[58]人員・時間計画!F14</f>
        <v>14</v>
      </c>
      <c r="J647" s="214">
        <f>[58]人員・時間計画!G14</f>
        <v>14</v>
      </c>
      <c r="K647" s="214">
        <f>[58]人員・時間計画!H14</f>
        <v>15</v>
      </c>
      <c r="L647" s="214">
        <f>[58]人員・時間計画!I14</f>
        <v>15</v>
      </c>
      <c r="M647" s="214">
        <f>[58]人員・時間計画!J14</f>
        <v>15</v>
      </c>
      <c r="N647" s="214">
        <f>[58]人員・時間計画!K14</f>
        <v>15</v>
      </c>
      <c r="O647" s="214">
        <f>[58]人員・時間計画!L14</f>
        <v>15</v>
      </c>
      <c r="P647" s="214">
        <f>[58]人員・時間計画!M14</f>
        <v>15</v>
      </c>
      <c r="Q647" s="214">
        <f>[58]人員・時間計画!N14</f>
        <v>15</v>
      </c>
    </row>
    <row r="648" spans="1:17" ht="14.5" hidden="1" thickBot="1">
      <c r="A648">
        <f>[58]人員・時間計画!$A$5</f>
        <v>1412000086</v>
      </c>
      <c r="B648" t="str">
        <f>[58]人員・時間計画!$B$5</f>
        <v>情報システム課</v>
      </c>
      <c r="D648" s="197"/>
      <c r="E648" s="197"/>
    </row>
    <row r="649" spans="1:17" ht="14.5" hidden="1" thickBot="1">
      <c r="A649">
        <f>[58]人員・時間計画!$A$5</f>
        <v>1412000086</v>
      </c>
      <c r="B649" t="str">
        <f>[58]人員・時間計画!$B$5</f>
        <v>情報システム課</v>
      </c>
      <c r="C649" s="185" t="s">
        <v>202</v>
      </c>
      <c r="D649" s="185" t="s">
        <v>202</v>
      </c>
      <c r="E649" s="186"/>
    </row>
    <row r="650" spans="1:17" ht="14.5" hidden="1" thickBot="1">
      <c r="A650">
        <f>[58]人員・時間計画!$A$5</f>
        <v>1412000086</v>
      </c>
      <c r="B650" t="str">
        <f>[58]人員・時間計画!$B$5</f>
        <v>情報システム課</v>
      </c>
      <c r="C650" s="185" t="s">
        <v>202</v>
      </c>
      <c r="D650" s="198" t="s">
        <v>194</v>
      </c>
      <c r="E650" s="199"/>
      <c r="F650" s="214">
        <f>[58]人員・時間計画!C17</f>
        <v>161.5</v>
      </c>
      <c r="G650" s="214">
        <f>[58]人員・時間計画!D17</f>
        <v>161.5</v>
      </c>
      <c r="H650" s="214">
        <f>[58]人員・時間計画!E17</f>
        <v>170</v>
      </c>
      <c r="I650" s="214">
        <f>[58]人員・時間計画!F17</f>
        <v>195.5</v>
      </c>
      <c r="J650" s="214">
        <f>[58]人員・時間計画!G17</f>
        <v>127.5</v>
      </c>
      <c r="K650" s="214">
        <f>[58]人員・時間計画!H17</f>
        <v>161.5</v>
      </c>
      <c r="L650" s="214">
        <f>[58]人員・時間計画!I17</f>
        <v>187</v>
      </c>
      <c r="M650" s="214">
        <f>[58]人員・時間計画!J17</f>
        <v>161.5</v>
      </c>
      <c r="N650" s="214">
        <f>[58]人員・時間計画!K17</f>
        <v>187</v>
      </c>
      <c r="O650" s="214">
        <f>[58]人員・時間計画!L17</f>
        <v>170</v>
      </c>
      <c r="P650" s="214">
        <f>[58]人員・時間計画!M17</f>
        <v>127.5</v>
      </c>
      <c r="Q650" s="214">
        <f>[58]人員・時間計画!N17</f>
        <v>161.5</v>
      </c>
    </row>
    <row r="651" spans="1:17" ht="14.5" hidden="1" thickBot="1">
      <c r="A651">
        <f>[58]人員・時間計画!$A$5</f>
        <v>1412000086</v>
      </c>
      <c r="B651" t="str">
        <f>[58]人員・時間計画!$B$5</f>
        <v>情報システム課</v>
      </c>
      <c r="C651" s="185" t="s">
        <v>202</v>
      </c>
      <c r="D651" s="200"/>
      <c r="E651" s="190" t="s">
        <v>139</v>
      </c>
      <c r="F651" s="214">
        <f>[58]人員・時間計画!C18</f>
        <v>2184.5</v>
      </c>
      <c r="G651" s="214">
        <f>[58]人員・時間計画!D18</f>
        <v>2091</v>
      </c>
      <c r="H651" s="214">
        <f>[58]人員・時間計画!E18</f>
        <v>2303.5</v>
      </c>
      <c r="I651" s="214">
        <f>[58]人員・時間計画!F18</f>
        <v>2499</v>
      </c>
      <c r="J651" s="214">
        <f>[58]人員・時間計画!G18</f>
        <v>2201.5</v>
      </c>
      <c r="K651" s="214">
        <f>[58]人員・時間計画!H18</f>
        <v>2252.5</v>
      </c>
      <c r="L651" s="214">
        <f>[58]人員・時間計画!I18</f>
        <v>2720</v>
      </c>
      <c r="M651" s="214">
        <f>[58]人員・時間計画!J18</f>
        <v>2354.5</v>
      </c>
      <c r="N651" s="214">
        <f>[58]人員・時間計画!K18</f>
        <v>2601</v>
      </c>
      <c r="O651" s="214">
        <f>[58]人員・時間計画!L18</f>
        <v>2380</v>
      </c>
      <c r="P651" s="214">
        <f>[58]人員・時間計画!M18</f>
        <v>1776.5</v>
      </c>
      <c r="Q651" s="214">
        <f>[58]人員・時間計画!N18</f>
        <v>2371.5</v>
      </c>
    </row>
    <row r="652" spans="1:17" ht="14.5" thickBot="1">
      <c r="A652">
        <f>[58]人員・時間計画!$A$5</f>
        <v>1412000086</v>
      </c>
      <c r="B652" t="str">
        <f>[58]人員・時間計画!$B$5</f>
        <v>情報システム課</v>
      </c>
      <c r="C652" s="185" t="s">
        <v>202</v>
      </c>
      <c r="D652" s="201" t="s">
        <v>195</v>
      </c>
      <c r="E652" s="192" t="s">
        <v>140</v>
      </c>
      <c r="F652" s="214">
        <f>[58]人員・時間計画!C19</f>
        <v>0</v>
      </c>
      <c r="G652" s="214">
        <f>[58]人員・時間計画!D19</f>
        <v>0</v>
      </c>
      <c r="H652" s="214">
        <f>[58]人員・時間計画!E19</f>
        <v>0</v>
      </c>
      <c r="I652" s="214">
        <f>[58]人員・時間計画!F19</f>
        <v>0</v>
      </c>
      <c r="J652" s="214">
        <f>[58]人員・時間計画!G19</f>
        <v>0</v>
      </c>
      <c r="K652" s="214">
        <f>[58]人員・時間計画!H19</f>
        <v>0</v>
      </c>
      <c r="L652" s="214">
        <f>[58]人員・時間計画!I19</f>
        <v>0</v>
      </c>
      <c r="M652" s="214">
        <f>[58]人員・時間計画!J19</f>
        <v>0</v>
      </c>
      <c r="N652" s="214">
        <f>[58]人員・時間計画!K19</f>
        <v>0</v>
      </c>
      <c r="O652" s="214">
        <f>[58]人員・時間計画!L19</f>
        <v>0</v>
      </c>
      <c r="P652" s="214">
        <f>[58]人員・時間計画!M19</f>
        <v>0</v>
      </c>
      <c r="Q652" s="214">
        <f>[58]人員・時間計画!N19</f>
        <v>0</v>
      </c>
    </row>
    <row r="653" spans="1:17" ht="14.5" hidden="1" thickBot="1">
      <c r="A653">
        <f>[58]人員・時間計画!$A$5</f>
        <v>1412000086</v>
      </c>
      <c r="B653" t="str">
        <f>[58]人員・時間計画!$B$5</f>
        <v>情報システム課</v>
      </c>
      <c r="C653" s="185" t="s">
        <v>202</v>
      </c>
      <c r="D653" s="202"/>
      <c r="E653" s="203" t="s">
        <v>138</v>
      </c>
      <c r="F653" s="214">
        <f>[58]人員・時間計画!C20</f>
        <v>2184.5</v>
      </c>
      <c r="G653" s="214">
        <f>[58]人員・時間計画!D20</f>
        <v>2091</v>
      </c>
      <c r="H653" s="214">
        <f>[58]人員・時間計画!E20</f>
        <v>2303.5</v>
      </c>
      <c r="I653" s="214">
        <f>[58]人員・時間計画!F20</f>
        <v>2499</v>
      </c>
      <c r="J653" s="214">
        <f>[58]人員・時間計画!G20</f>
        <v>2201.5</v>
      </c>
      <c r="K653" s="214">
        <f>[58]人員・時間計画!H20</f>
        <v>2252.5</v>
      </c>
      <c r="L653" s="214">
        <f>[58]人員・時間計画!I20</f>
        <v>2720</v>
      </c>
      <c r="M653" s="214">
        <f>[58]人員・時間計画!J20</f>
        <v>2354.5</v>
      </c>
      <c r="N653" s="214">
        <f>[58]人員・時間計画!K20</f>
        <v>2601</v>
      </c>
      <c r="O653" s="214">
        <f>[58]人員・時間計画!L20</f>
        <v>2380</v>
      </c>
      <c r="P653" s="214">
        <f>[58]人員・時間計画!M20</f>
        <v>1776.5</v>
      </c>
      <c r="Q653" s="214">
        <f>[58]人員・時間計画!N20</f>
        <v>2371.5</v>
      </c>
    </row>
    <row r="654" spans="1:17" ht="14.5" hidden="1" thickBot="1">
      <c r="A654">
        <f>[58]人員・時間計画!$A$5</f>
        <v>1412000086</v>
      </c>
      <c r="B654" t="str">
        <f>[58]人員・時間計画!$B$5</f>
        <v>情報システム課</v>
      </c>
      <c r="C654" s="185" t="s">
        <v>202</v>
      </c>
      <c r="D654" s="204" t="s">
        <v>215</v>
      </c>
      <c r="E654" s="205"/>
      <c r="F654" s="214">
        <f>[58]人員・時間計画!C21</f>
        <v>2346</v>
      </c>
      <c r="G654" s="214">
        <f>[58]人員・時間計画!D21</f>
        <v>2252.5</v>
      </c>
      <c r="H654" s="214">
        <f>[58]人員・時間計画!E21</f>
        <v>2473.5</v>
      </c>
      <c r="I654" s="214">
        <f>[58]人員・時間計画!F21</f>
        <v>2694.5</v>
      </c>
      <c r="J654" s="214">
        <f>[58]人員・時間計画!G21</f>
        <v>2329</v>
      </c>
      <c r="K654" s="214">
        <f>[58]人員・時間計画!H21</f>
        <v>2414</v>
      </c>
      <c r="L654" s="214">
        <f>[58]人員・時間計画!I21</f>
        <v>2907</v>
      </c>
      <c r="M654" s="214">
        <f>[58]人員・時間計画!J21</f>
        <v>2516</v>
      </c>
      <c r="N654" s="214">
        <f>[58]人員・時間計画!K21</f>
        <v>2788</v>
      </c>
      <c r="O654" s="214">
        <f>[58]人員・時間計画!L21</f>
        <v>2550</v>
      </c>
      <c r="P654" s="214">
        <f>[58]人員・時間計画!M21</f>
        <v>1904</v>
      </c>
      <c r="Q654" s="214">
        <f>[58]人員・時間計画!N21</f>
        <v>2533</v>
      </c>
    </row>
    <row r="655" spans="1:17" ht="14.5" hidden="1" thickBot="1">
      <c r="A655">
        <f>[58]人員・時間計画!$A$5</f>
        <v>1412000086</v>
      </c>
      <c r="B655" t="str">
        <f>[58]人員・時間計画!$B$5</f>
        <v>情報システム課</v>
      </c>
      <c r="D655" s="197"/>
      <c r="E655" s="197"/>
    </row>
    <row r="656" spans="1:17" ht="14.5" hidden="1" thickBot="1">
      <c r="A656">
        <f>[58]人員・時間計画!$A$5</f>
        <v>1412000086</v>
      </c>
      <c r="B656" t="str">
        <f>[58]人員・時間計画!$B$5</f>
        <v>情報システム課</v>
      </c>
      <c r="C656" s="185" t="s">
        <v>71</v>
      </c>
      <c r="D656" s="185" t="s">
        <v>71</v>
      </c>
      <c r="E656" s="186"/>
    </row>
    <row r="657" spans="1:17" ht="14.5" hidden="1" thickBot="1">
      <c r="A657">
        <f>[58]人員・時間計画!$A$5</f>
        <v>1412000086</v>
      </c>
      <c r="B657" t="str">
        <f>[58]人員・時間計画!$B$5</f>
        <v>情報システム課</v>
      </c>
      <c r="C657" s="185" t="s">
        <v>71</v>
      </c>
      <c r="D657" s="198" t="s">
        <v>194</v>
      </c>
      <c r="E657" s="199"/>
      <c r="F657" s="214">
        <f>[58]人員・時間計画!C24</f>
        <v>38</v>
      </c>
      <c r="G657" s="214">
        <f>[58]人員・時間計画!D24</f>
        <v>38</v>
      </c>
      <c r="H657" s="214">
        <f>[58]人員・時間計画!E24</f>
        <v>40</v>
      </c>
      <c r="I657" s="214">
        <f>[58]人員・時間計画!F24</f>
        <v>46</v>
      </c>
      <c r="J657" s="214">
        <f>[58]人員・時間計画!G24</f>
        <v>30</v>
      </c>
      <c r="K657" s="214">
        <f>[58]人員・時間計画!H24</f>
        <v>38</v>
      </c>
      <c r="L657" s="214">
        <f>[58]人員・時間計画!I24</f>
        <v>44</v>
      </c>
      <c r="M657" s="214">
        <f>[58]人員・時間計画!J24</f>
        <v>38</v>
      </c>
      <c r="N657" s="214">
        <f>[58]人員・時間計画!K24</f>
        <v>44</v>
      </c>
      <c r="O657" s="214">
        <f>[58]人員・時間計画!L24</f>
        <v>40</v>
      </c>
      <c r="P657" s="214">
        <f>[58]人員・時間計画!M24</f>
        <v>30</v>
      </c>
      <c r="Q657" s="214">
        <f>[58]人員・時間計画!N24</f>
        <v>38</v>
      </c>
    </row>
    <row r="658" spans="1:17" ht="14.5" hidden="1" thickBot="1">
      <c r="A658">
        <f>[58]人員・時間計画!$A$5</f>
        <v>1412000086</v>
      </c>
      <c r="B658" t="str">
        <f>[58]人員・時間計画!$B$5</f>
        <v>情報システム課</v>
      </c>
      <c r="C658" s="185" t="s">
        <v>71</v>
      </c>
      <c r="D658" s="200"/>
      <c r="E658" s="206" t="s">
        <v>139</v>
      </c>
      <c r="F658" s="214">
        <f>[58]人員・時間計画!C25</f>
        <v>40</v>
      </c>
      <c r="G658" s="214">
        <f>[58]人員・時間計画!D25</f>
        <v>38</v>
      </c>
      <c r="H658" s="214">
        <f>[58]人員・時間計画!E25</f>
        <v>42</v>
      </c>
      <c r="I658" s="214">
        <f>[58]人員・時間計画!F25</f>
        <v>40</v>
      </c>
      <c r="J658" s="214">
        <f>[58]人員・時間計画!G25</f>
        <v>40</v>
      </c>
      <c r="K658" s="214">
        <f>[58]人員・時間計画!H25</f>
        <v>38</v>
      </c>
      <c r="L658" s="214">
        <f>[58]人員・時間計画!I25</f>
        <v>46</v>
      </c>
      <c r="M658" s="214">
        <f>[58]人員・時間計画!J25</f>
        <v>40</v>
      </c>
      <c r="N658" s="214">
        <f>[58]人員・時間計画!K25</f>
        <v>42</v>
      </c>
      <c r="O658" s="214">
        <f>[58]人員・時間計画!L25</f>
        <v>40</v>
      </c>
      <c r="P658" s="214">
        <f>[58]人員・時間計画!M25</f>
        <v>30</v>
      </c>
      <c r="Q658" s="214">
        <f>[58]人員・時間計画!N25</f>
        <v>40</v>
      </c>
    </row>
    <row r="659" spans="1:17" ht="14.5" thickBot="1">
      <c r="A659">
        <f>[58]人員・時間計画!$A$5</f>
        <v>1412000086</v>
      </c>
      <c r="B659" t="str">
        <f>[58]人員・時間計画!$B$5</f>
        <v>情報システム課</v>
      </c>
      <c r="C659" s="185" t="s">
        <v>71</v>
      </c>
      <c r="D659" s="201" t="s">
        <v>195</v>
      </c>
      <c r="E659" s="207" t="s">
        <v>140</v>
      </c>
      <c r="F659" s="214">
        <f>[58]人員・時間計画!C26</f>
        <v>0</v>
      </c>
      <c r="G659" s="214">
        <f>[58]人員・時間計画!D26</f>
        <v>0</v>
      </c>
      <c r="H659" s="214">
        <f>[58]人員・時間計画!E26</f>
        <v>0</v>
      </c>
      <c r="I659" s="214">
        <f>[58]人員・時間計画!F26</f>
        <v>0</v>
      </c>
      <c r="J659" s="214">
        <f>[58]人員・時間計画!G26</f>
        <v>0</v>
      </c>
      <c r="K659" s="214">
        <f>[58]人員・時間計画!H26</f>
        <v>0</v>
      </c>
      <c r="L659" s="214">
        <f>[58]人員・時間計画!I26</f>
        <v>0</v>
      </c>
      <c r="M659" s="214">
        <f>[58]人員・時間計画!J26</f>
        <v>0</v>
      </c>
      <c r="N659" s="214">
        <f>[58]人員・時間計画!K26</f>
        <v>0</v>
      </c>
      <c r="O659" s="214">
        <f>[58]人員・時間計画!L26</f>
        <v>0</v>
      </c>
      <c r="P659" s="214">
        <f>[58]人員・時間計画!M26</f>
        <v>0</v>
      </c>
      <c r="Q659" s="214">
        <f>[58]人員・時間計画!N26</f>
        <v>0</v>
      </c>
    </row>
    <row r="660" spans="1:17" ht="14.5" hidden="1" thickBot="1">
      <c r="A660">
        <f>[58]人員・時間計画!$A$5</f>
        <v>1412000086</v>
      </c>
      <c r="B660" t="str">
        <f>[58]人員・時間計画!$B$5</f>
        <v>情報システム課</v>
      </c>
      <c r="C660" s="185" t="s">
        <v>71</v>
      </c>
      <c r="D660" s="202"/>
      <c r="E660" s="203" t="s">
        <v>138</v>
      </c>
      <c r="F660" s="214">
        <f>[58]人員・時間計画!C27</f>
        <v>40</v>
      </c>
      <c r="G660" s="214">
        <f>[58]人員・時間計画!D27</f>
        <v>38</v>
      </c>
      <c r="H660" s="214">
        <f>[58]人員・時間計画!E27</f>
        <v>42</v>
      </c>
      <c r="I660" s="214">
        <f>[58]人員・時間計画!F27</f>
        <v>40</v>
      </c>
      <c r="J660" s="214">
        <f>[58]人員・時間計画!G27</f>
        <v>40</v>
      </c>
      <c r="K660" s="214">
        <f>[58]人員・時間計画!H27</f>
        <v>38</v>
      </c>
      <c r="L660" s="214">
        <f>[58]人員・時間計画!I27</f>
        <v>46</v>
      </c>
      <c r="M660" s="214">
        <f>[58]人員・時間計画!J27</f>
        <v>40</v>
      </c>
      <c r="N660" s="214">
        <f>[58]人員・時間計画!K27</f>
        <v>42</v>
      </c>
      <c r="O660" s="214">
        <f>[58]人員・時間計画!L27</f>
        <v>40</v>
      </c>
      <c r="P660" s="214">
        <f>[58]人員・時間計画!M27</f>
        <v>30</v>
      </c>
      <c r="Q660" s="214">
        <f>[58]人員・時間計画!N27</f>
        <v>40</v>
      </c>
    </row>
    <row r="661" spans="1:17" ht="14.5" hidden="1" thickBot="1">
      <c r="A661">
        <f>[58]人員・時間計画!$A$5</f>
        <v>1412000086</v>
      </c>
      <c r="B661" t="str">
        <f>[58]人員・時間計画!$B$5</f>
        <v>情報システム課</v>
      </c>
      <c r="C661" s="185" t="s">
        <v>71</v>
      </c>
      <c r="D661" s="204" t="s">
        <v>216</v>
      </c>
      <c r="E661" s="205"/>
      <c r="F661" s="214">
        <f>[58]人員・時間計画!C28</f>
        <v>78</v>
      </c>
      <c r="G661" s="214">
        <f>[58]人員・時間計画!D28</f>
        <v>76</v>
      </c>
      <c r="H661" s="214">
        <f>[58]人員・時間計画!E28</f>
        <v>82</v>
      </c>
      <c r="I661" s="214">
        <f>[58]人員・時間計画!F28</f>
        <v>86</v>
      </c>
      <c r="J661" s="214">
        <f>[58]人員・時間計画!G28</f>
        <v>70</v>
      </c>
      <c r="K661" s="214">
        <f>[58]人員・時間計画!H28</f>
        <v>76</v>
      </c>
      <c r="L661" s="214">
        <f>[58]人員・時間計画!I28</f>
        <v>90</v>
      </c>
      <c r="M661" s="214">
        <f>[58]人員・時間計画!J28</f>
        <v>78</v>
      </c>
      <c r="N661" s="214">
        <f>[58]人員・時間計画!K28</f>
        <v>86</v>
      </c>
      <c r="O661" s="214">
        <f>[58]人員・時間計画!L28</f>
        <v>80</v>
      </c>
      <c r="P661" s="214">
        <f>[58]人員・時間計画!M28</f>
        <v>60</v>
      </c>
      <c r="Q661" s="214">
        <f>[58]人員・時間計画!N28</f>
        <v>78</v>
      </c>
    </row>
    <row r="662" spans="1:17" ht="14.5" hidden="1" thickBot="1">
      <c r="A662">
        <f>[19]人員・時間計画!$A$5</f>
        <v>1412000063</v>
      </c>
      <c r="B662" t="str">
        <f>[19]人員・時間計画!$B$5</f>
        <v>トナー製造管理課</v>
      </c>
      <c r="C662" s="185" t="s">
        <v>3</v>
      </c>
      <c r="D662" s="185" t="s">
        <v>3</v>
      </c>
      <c r="E662" s="186"/>
    </row>
    <row r="663" spans="1:17" ht="14.5" hidden="1" thickBot="1">
      <c r="A663">
        <f>[19]人員・時間計画!$A$5</f>
        <v>1412000063</v>
      </c>
      <c r="B663" t="str">
        <f>[19]人員・時間計画!$B$5</f>
        <v>トナー製造管理課</v>
      </c>
      <c r="C663" s="185" t="s">
        <v>3</v>
      </c>
      <c r="D663" s="187" t="s">
        <v>194</v>
      </c>
      <c r="E663" s="188"/>
      <c r="F663" s="214">
        <f>[19]人員・時間計画!C10</f>
        <v>0</v>
      </c>
      <c r="G663" s="214">
        <f>[19]人員・時間計画!D10</f>
        <v>0</v>
      </c>
      <c r="H663" s="214">
        <f>[19]人員・時間計画!E10</f>
        <v>0</v>
      </c>
      <c r="I663" s="214">
        <f>[19]人員・時間計画!F10</f>
        <v>0</v>
      </c>
      <c r="J663" s="214">
        <f>[19]人員・時間計画!G10</f>
        <v>0</v>
      </c>
      <c r="K663" s="214">
        <f>[19]人員・時間計画!H10</f>
        <v>0</v>
      </c>
      <c r="L663" s="214">
        <f>[19]人員・時間計画!I10</f>
        <v>0</v>
      </c>
      <c r="M663" s="214">
        <f>[19]人員・時間計画!J10</f>
        <v>0</v>
      </c>
      <c r="N663" s="214">
        <f>[19]人員・時間計画!K10</f>
        <v>0</v>
      </c>
      <c r="O663" s="214">
        <f>[19]人員・時間計画!L10</f>
        <v>0</v>
      </c>
      <c r="P663" s="214">
        <f>[19]人員・時間計画!M10</f>
        <v>0</v>
      </c>
      <c r="Q663" s="214">
        <f>[19]人員・時間計画!N10</f>
        <v>0</v>
      </c>
    </row>
    <row r="664" spans="1:17" ht="14.5" hidden="1" thickBot="1">
      <c r="A664">
        <f>[19]人員・時間計画!$A$5</f>
        <v>1412000063</v>
      </c>
      <c r="B664" t="str">
        <f>[19]人員・時間計画!$B$5</f>
        <v>トナー製造管理課</v>
      </c>
      <c r="C664" s="185" t="s">
        <v>3</v>
      </c>
      <c r="D664" s="189"/>
      <c r="E664" s="190" t="s">
        <v>139</v>
      </c>
      <c r="F664" s="214">
        <f>[19]人員・時間計画!C11</f>
        <v>7</v>
      </c>
      <c r="G664" s="214">
        <f>[19]人員・時間計画!D11</f>
        <v>6</v>
      </c>
      <c r="H664" s="214">
        <f>[19]人員・時間計画!E11</f>
        <v>5</v>
      </c>
      <c r="I664" s="214">
        <f>[19]人員・時間計画!F11</f>
        <v>6</v>
      </c>
      <c r="J664" s="214">
        <f>[19]人員・時間計画!G11</f>
        <v>6</v>
      </c>
      <c r="K664" s="214">
        <f>[19]人員・時間計画!H11</f>
        <v>6</v>
      </c>
      <c r="L664" s="214">
        <f>[19]人員・時間計画!I11</f>
        <v>6</v>
      </c>
      <c r="M664" s="214">
        <f>[19]人員・時間計画!J11</f>
        <v>6</v>
      </c>
      <c r="N664" s="214">
        <f>[19]人員・時間計画!K11</f>
        <v>5</v>
      </c>
      <c r="O664" s="214">
        <f>[19]人員・時間計画!L11</f>
        <v>5</v>
      </c>
      <c r="P664" s="214">
        <f>[19]人員・時間計画!M11</f>
        <v>5</v>
      </c>
      <c r="Q664" s="214">
        <f>[19]人員・時間計画!N11</f>
        <v>5</v>
      </c>
    </row>
    <row r="665" spans="1:17" ht="14.5" thickBot="1">
      <c r="A665">
        <f>[19]人員・時間計画!$A$5</f>
        <v>1412000063</v>
      </c>
      <c r="B665" t="str">
        <f>[19]人員・時間計画!$B$5</f>
        <v>トナー製造管理課</v>
      </c>
      <c r="C665" s="185" t="s">
        <v>3</v>
      </c>
      <c r="D665" s="191" t="s">
        <v>195</v>
      </c>
      <c r="E665" s="192" t="s">
        <v>140</v>
      </c>
      <c r="F665" s="214">
        <f>[19]人員・時間計画!C12</f>
        <v>6</v>
      </c>
      <c r="G665" s="214">
        <f>[19]人員・時間計画!D12</f>
        <v>6</v>
      </c>
      <c r="H665" s="214">
        <f>[19]人員・時間計画!E12</f>
        <v>4</v>
      </c>
      <c r="I665" s="214">
        <f>[19]人員・時間計画!F12</f>
        <v>3</v>
      </c>
      <c r="J665" s="214">
        <f>[19]人員・時間計画!G12</f>
        <v>3</v>
      </c>
      <c r="K665" s="214">
        <f>[19]人員・時間計画!H12</f>
        <v>3</v>
      </c>
      <c r="L665" s="214">
        <f>[19]人員・時間計画!I12</f>
        <v>3</v>
      </c>
      <c r="M665" s="214">
        <f>[19]人員・時間計画!J12</f>
        <v>3</v>
      </c>
      <c r="N665" s="214">
        <f>[19]人員・時間計画!K12</f>
        <v>3</v>
      </c>
      <c r="O665" s="214">
        <f>[19]人員・時間計画!L12</f>
        <v>3</v>
      </c>
      <c r="P665" s="214">
        <f>[19]人員・時間計画!M12</f>
        <v>3</v>
      </c>
      <c r="Q665" s="214">
        <f>[19]人員・時間計画!N12</f>
        <v>3</v>
      </c>
    </row>
    <row r="666" spans="1:17" ht="14.5" hidden="1" thickBot="1">
      <c r="A666">
        <f>[19]人員・時間計画!$A$5</f>
        <v>1412000063</v>
      </c>
      <c r="B666" t="str">
        <f>[19]人員・時間計画!$B$5</f>
        <v>トナー製造管理課</v>
      </c>
      <c r="C666" s="185" t="s">
        <v>3</v>
      </c>
      <c r="D666" s="193"/>
      <c r="E666" s="194" t="s">
        <v>138</v>
      </c>
      <c r="F666" s="214">
        <f>[19]人員・時間計画!C13</f>
        <v>13</v>
      </c>
      <c r="G666" s="214">
        <f>[19]人員・時間計画!D13</f>
        <v>12</v>
      </c>
      <c r="H666" s="214">
        <f>[19]人員・時間計画!E13</f>
        <v>9</v>
      </c>
      <c r="I666" s="214">
        <f>[19]人員・時間計画!F13</f>
        <v>9</v>
      </c>
      <c r="J666" s="214">
        <f>[19]人員・時間計画!G13</f>
        <v>9</v>
      </c>
      <c r="K666" s="214">
        <f>[19]人員・時間計画!H13</f>
        <v>9</v>
      </c>
      <c r="L666" s="214">
        <f>[19]人員・時間計画!I13</f>
        <v>9</v>
      </c>
      <c r="M666" s="214">
        <f>[19]人員・時間計画!J13</f>
        <v>9</v>
      </c>
      <c r="N666" s="214">
        <f>[19]人員・時間計画!K13</f>
        <v>8</v>
      </c>
      <c r="O666" s="214">
        <f>[19]人員・時間計画!L13</f>
        <v>8</v>
      </c>
      <c r="P666" s="214">
        <f>[19]人員・時間計画!M13</f>
        <v>8</v>
      </c>
      <c r="Q666" s="214">
        <f>[19]人員・時間計画!N13</f>
        <v>8</v>
      </c>
    </row>
    <row r="667" spans="1:17" ht="14.5" hidden="1" thickBot="1">
      <c r="A667">
        <f>[19]人員・時間計画!$A$5</f>
        <v>1412000063</v>
      </c>
      <c r="B667" t="str">
        <f>[19]人員・時間計画!$B$5</f>
        <v>トナー製造管理課</v>
      </c>
      <c r="C667" s="185" t="s">
        <v>3</v>
      </c>
      <c r="D667" s="195" t="s">
        <v>196</v>
      </c>
      <c r="E667" s="196"/>
      <c r="F667" s="214">
        <f>[19]人員・時間計画!C14</f>
        <v>13</v>
      </c>
      <c r="G667" s="214">
        <f>[19]人員・時間計画!D14</f>
        <v>12</v>
      </c>
      <c r="H667" s="214">
        <f>[19]人員・時間計画!E14</f>
        <v>9</v>
      </c>
      <c r="I667" s="214">
        <f>[19]人員・時間計画!F14</f>
        <v>9</v>
      </c>
      <c r="J667" s="214">
        <f>[19]人員・時間計画!G14</f>
        <v>9</v>
      </c>
      <c r="K667" s="214">
        <f>[19]人員・時間計画!H14</f>
        <v>9</v>
      </c>
      <c r="L667" s="214">
        <f>[19]人員・時間計画!I14</f>
        <v>9</v>
      </c>
      <c r="M667" s="214">
        <f>[19]人員・時間計画!J14</f>
        <v>9</v>
      </c>
      <c r="N667" s="214">
        <f>[19]人員・時間計画!K14</f>
        <v>8</v>
      </c>
      <c r="O667" s="214">
        <f>[19]人員・時間計画!L14</f>
        <v>8</v>
      </c>
      <c r="P667" s="214">
        <f>[19]人員・時間計画!M14</f>
        <v>8</v>
      </c>
      <c r="Q667" s="214">
        <f>[19]人員・時間計画!N14</f>
        <v>8</v>
      </c>
    </row>
    <row r="668" spans="1:17" ht="14.5" hidden="1" thickBot="1">
      <c r="A668">
        <f>[19]人員・時間計画!$A$5</f>
        <v>1412000063</v>
      </c>
      <c r="B668" t="str">
        <f>[19]人員・時間計画!$B$5</f>
        <v>トナー製造管理課</v>
      </c>
      <c r="D668" s="197"/>
      <c r="E668" s="197"/>
    </row>
    <row r="669" spans="1:17" ht="14.5" hidden="1" thickBot="1">
      <c r="A669">
        <f>[19]人員・時間計画!$A$5</f>
        <v>1412000063</v>
      </c>
      <c r="B669" t="str">
        <f>[19]人員・時間計画!$B$5</f>
        <v>トナー製造管理課</v>
      </c>
      <c r="C669" s="185" t="s">
        <v>202</v>
      </c>
      <c r="D669" s="185" t="s">
        <v>202</v>
      </c>
      <c r="E669" s="186"/>
    </row>
    <row r="670" spans="1:17" ht="14.5" hidden="1" thickBot="1">
      <c r="A670">
        <f>[19]人員・時間計画!$A$5</f>
        <v>1412000063</v>
      </c>
      <c r="B670" t="str">
        <f>[19]人員・時間計画!$B$5</f>
        <v>トナー製造管理課</v>
      </c>
      <c r="C670" s="185" t="s">
        <v>202</v>
      </c>
      <c r="D670" s="198" t="s">
        <v>194</v>
      </c>
      <c r="E670" s="199"/>
      <c r="F670" s="214">
        <f>[19]人員・時間計画!C17</f>
        <v>0</v>
      </c>
      <c r="G670" s="214">
        <f>[19]人員・時間計画!D17</f>
        <v>0</v>
      </c>
      <c r="H670" s="214">
        <f>[19]人員・時間計画!E17</f>
        <v>0</v>
      </c>
      <c r="I670" s="214">
        <f>[19]人員・時間計画!F17</f>
        <v>0</v>
      </c>
      <c r="J670" s="214">
        <f>[19]人員・時間計画!G17</f>
        <v>0</v>
      </c>
      <c r="K670" s="214">
        <f>[19]人員・時間計画!H17</f>
        <v>0</v>
      </c>
      <c r="L670" s="214">
        <f>[19]人員・時間計画!I17</f>
        <v>0</v>
      </c>
      <c r="M670" s="214">
        <f>[19]人員・時間計画!J17</f>
        <v>0</v>
      </c>
      <c r="N670" s="214">
        <f>[19]人員・時間計画!K17</f>
        <v>0</v>
      </c>
      <c r="O670" s="214">
        <f>[19]人員・時間計画!L17</f>
        <v>0</v>
      </c>
      <c r="P670" s="214">
        <f>[19]人員・時間計画!M17</f>
        <v>0</v>
      </c>
      <c r="Q670" s="214">
        <f>[19]人員・時間計画!N17</f>
        <v>0</v>
      </c>
    </row>
    <row r="671" spans="1:17" ht="14.5" hidden="1" thickBot="1">
      <c r="A671">
        <f>[19]人員・時間計画!$A$5</f>
        <v>1412000063</v>
      </c>
      <c r="B671" t="str">
        <f>[19]人員・時間計画!$B$5</f>
        <v>トナー製造管理課</v>
      </c>
      <c r="C671" s="185" t="s">
        <v>202</v>
      </c>
      <c r="D671" s="200"/>
      <c r="E671" s="190" t="s">
        <v>139</v>
      </c>
      <c r="F671" s="214">
        <f>[19]人員・時間計画!C18</f>
        <v>816</v>
      </c>
      <c r="G671" s="214">
        <f>[19]人員・時間計画!D18</f>
        <v>775</v>
      </c>
      <c r="H671" s="214">
        <f>[19]人員・時間計画!E18</f>
        <v>857</v>
      </c>
      <c r="I671" s="214">
        <f>[19]人員・時間計画!F18</f>
        <v>938</v>
      </c>
      <c r="J671" s="214">
        <f>[19]人員・時間計画!G18</f>
        <v>816</v>
      </c>
      <c r="K671" s="214">
        <f>[19]人員・時間計画!H18</f>
        <v>775</v>
      </c>
      <c r="L671" s="214">
        <f>[19]人員・時間計画!I18</f>
        <v>938</v>
      </c>
      <c r="M671" s="214">
        <f>[19]人員・時間計画!J18</f>
        <v>816</v>
      </c>
      <c r="N671" s="214">
        <f>[19]人員・時間計画!K18</f>
        <v>898</v>
      </c>
      <c r="O671" s="214">
        <f>[19]人員・時間計画!L18</f>
        <v>816</v>
      </c>
      <c r="P671" s="214">
        <f>[19]人員・時間計画!M18</f>
        <v>612</v>
      </c>
      <c r="Q671" s="214">
        <f>[19]人員・時間計画!N18</f>
        <v>816</v>
      </c>
    </row>
    <row r="672" spans="1:17" ht="14.5" thickBot="1">
      <c r="A672">
        <f>[19]人員・時間計画!$A$5</f>
        <v>1412000063</v>
      </c>
      <c r="B672" t="str">
        <f>[19]人員・時間計画!$B$5</f>
        <v>トナー製造管理課</v>
      </c>
      <c r="C672" s="185" t="s">
        <v>202</v>
      </c>
      <c r="D672" s="201" t="s">
        <v>195</v>
      </c>
      <c r="E672" s="192" t="s">
        <v>140</v>
      </c>
      <c r="F672" s="214">
        <f>[19]人員・時間計画!C19</f>
        <v>0</v>
      </c>
      <c r="G672" s="214">
        <f>[19]人員・時間計画!D19</f>
        <v>0</v>
      </c>
      <c r="H672" s="214">
        <f>[19]人員・時間計画!E19</f>
        <v>0</v>
      </c>
      <c r="I672" s="214">
        <f>[19]人員・時間計画!F19</f>
        <v>0</v>
      </c>
      <c r="J672" s="214">
        <f>[19]人員・時間計画!G19</f>
        <v>0</v>
      </c>
      <c r="K672" s="214">
        <f>[19]人員・時間計画!H19</f>
        <v>0</v>
      </c>
      <c r="L672" s="214">
        <f>[19]人員・時間計画!I19</f>
        <v>0</v>
      </c>
      <c r="M672" s="214">
        <f>[19]人員・時間計画!J19</f>
        <v>0</v>
      </c>
      <c r="N672" s="214">
        <f>[19]人員・時間計画!K19</f>
        <v>0</v>
      </c>
      <c r="O672" s="214">
        <f>[19]人員・時間計画!L19</f>
        <v>0</v>
      </c>
      <c r="P672" s="214">
        <f>[19]人員・時間計画!M19</f>
        <v>0</v>
      </c>
      <c r="Q672" s="214">
        <f>[19]人員・時間計画!N19</f>
        <v>0</v>
      </c>
    </row>
    <row r="673" spans="1:17" ht="14.5" hidden="1" thickBot="1">
      <c r="A673">
        <f>[19]人員・時間計画!$A$5</f>
        <v>1412000063</v>
      </c>
      <c r="B673" t="str">
        <f>[19]人員・時間計画!$B$5</f>
        <v>トナー製造管理課</v>
      </c>
      <c r="C673" s="185" t="s">
        <v>202</v>
      </c>
      <c r="D673" s="202"/>
      <c r="E673" s="203" t="s">
        <v>138</v>
      </c>
      <c r="F673" s="214">
        <f>[19]人員・時間計画!C20</f>
        <v>816</v>
      </c>
      <c r="G673" s="214">
        <f>[19]人員・時間計画!D20</f>
        <v>775</v>
      </c>
      <c r="H673" s="214">
        <f>[19]人員・時間計画!E20</f>
        <v>857</v>
      </c>
      <c r="I673" s="214">
        <f>[19]人員・時間計画!F20</f>
        <v>938</v>
      </c>
      <c r="J673" s="214">
        <f>[19]人員・時間計画!G20</f>
        <v>816</v>
      </c>
      <c r="K673" s="214">
        <f>[19]人員・時間計画!H20</f>
        <v>775</v>
      </c>
      <c r="L673" s="214">
        <f>[19]人員・時間計画!I20</f>
        <v>938</v>
      </c>
      <c r="M673" s="214">
        <f>[19]人員・時間計画!J20</f>
        <v>816</v>
      </c>
      <c r="N673" s="214">
        <f>[19]人員・時間計画!K20</f>
        <v>898</v>
      </c>
      <c r="O673" s="214">
        <f>[19]人員・時間計画!L20</f>
        <v>816</v>
      </c>
      <c r="P673" s="214">
        <f>[19]人員・時間計画!M20</f>
        <v>612</v>
      </c>
      <c r="Q673" s="214">
        <f>[19]人員・時間計画!N20</f>
        <v>816</v>
      </c>
    </row>
    <row r="674" spans="1:17" ht="14.5" hidden="1" thickBot="1">
      <c r="A674">
        <f>[19]人員・時間計画!$A$5</f>
        <v>1412000063</v>
      </c>
      <c r="B674" t="str">
        <f>[19]人員・時間計画!$B$5</f>
        <v>トナー製造管理課</v>
      </c>
      <c r="C674" s="185" t="s">
        <v>202</v>
      </c>
      <c r="D674" s="204" t="s">
        <v>215</v>
      </c>
      <c r="E674" s="205"/>
      <c r="F674" s="214">
        <f>[19]人員・時間計画!C21</f>
        <v>816</v>
      </c>
      <c r="G674" s="214">
        <f>[19]人員・時間計画!D21</f>
        <v>775</v>
      </c>
      <c r="H674" s="214">
        <f>[19]人員・時間計画!E21</f>
        <v>857</v>
      </c>
      <c r="I674" s="214">
        <f>[19]人員・時間計画!F21</f>
        <v>938</v>
      </c>
      <c r="J674" s="214">
        <f>[19]人員・時間計画!G21</f>
        <v>816</v>
      </c>
      <c r="K674" s="214">
        <f>[19]人員・時間計画!H21</f>
        <v>775</v>
      </c>
      <c r="L674" s="214">
        <f>[19]人員・時間計画!I21</f>
        <v>938</v>
      </c>
      <c r="M674" s="214">
        <f>[19]人員・時間計画!J21</f>
        <v>816</v>
      </c>
      <c r="N674" s="214">
        <f>[19]人員・時間計画!K21</f>
        <v>898</v>
      </c>
      <c r="O674" s="214">
        <f>[19]人員・時間計画!L21</f>
        <v>816</v>
      </c>
      <c r="P674" s="214">
        <f>[19]人員・時間計画!M21</f>
        <v>612</v>
      </c>
      <c r="Q674" s="214">
        <f>[19]人員・時間計画!N21</f>
        <v>816</v>
      </c>
    </row>
    <row r="675" spans="1:17" ht="14.5" hidden="1" thickBot="1">
      <c r="A675">
        <f>[19]人員・時間計画!$A$5</f>
        <v>1412000063</v>
      </c>
      <c r="B675" t="str">
        <f>[19]人員・時間計画!$B$5</f>
        <v>トナー製造管理課</v>
      </c>
      <c r="D675" s="197"/>
      <c r="E675" s="197"/>
    </row>
    <row r="676" spans="1:17" ht="14.5" hidden="1" thickBot="1">
      <c r="A676">
        <f>[19]人員・時間計画!$A$5</f>
        <v>1412000063</v>
      </c>
      <c r="B676" t="str">
        <f>[19]人員・時間計画!$B$5</f>
        <v>トナー製造管理課</v>
      </c>
      <c r="C676" s="185" t="s">
        <v>71</v>
      </c>
      <c r="D676" s="185" t="s">
        <v>71</v>
      </c>
      <c r="E676" s="186"/>
    </row>
    <row r="677" spans="1:17" ht="14.5" hidden="1" thickBot="1">
      <c r="A677">
        <f>[19]人員・時間計画!$A$5</f>
        <v>1412000063</v>
      </c>
      <c r="B677" t="str">
        <f>[19]人員・時間計画!$B$5</f>
        <v>トナー製造管理課</v>
      </c>
      <c r="C677" s="185" t="s">
        <v>71</v>
      </c>
      <c r="D677" s="198" t="s">
        <v>194</v>
      </c>
      <c r="E677" s="199"/>
      <c r="F677" s="214">
        <f>[19]人員・時間計画!C24</f>
        <v>0</v>
      </c>
      <c r="G677" s="214">
        <f>[19]人員・時間計画!D24</f>
        <v>0</v>
      </c>
      <c r="H677" s="214">
        <f>[19]人員・時間計画!E24</f>
        <v>0</v>
      </c>
      <c r="I677" s="214">
        <f>[19]人員・時間計画!F24</f>
        <v>0</v>
      </c>
      <c r="J677" s="214">
        <f>[19]人員・時間計画!G24</f>
        <v>0</v>
      </c>
      <c r="K677" s="214">
        <f>[19]人員・時間計画!H24</f>
        <v>0</v>
      </c>
      <c r="L677" s="214">
        <f>[19]人員・時間計画!I24</f>
        <v>0</v>
      </c>
      <c r="M677" s="214">
        <f>[19]人員・時間計画!J24</f>
        <v>0</v>
      </c>
      <c r="N677" s="214">
        <f>[19]人員・時間計画!K24</f>
        <v>0</v>
      </c>
      <c r="O677" s="214">
        <f>[19]人員・時間計画!L24</f>
        <v>0</v>
      </c>
      <c r="P677" s="214">
        <f>[19]人員・時間計画!M24</f>
        <v>0</v>
      </c>
      <c r="Q677" s="214">
        <f>[19]人員・時間計画!N24</f>
        <v>0</v>
      </c>
    </row>
    <row r="678" spans="1:17" ht="14.5" hidden="1" thickBot="1">
      <c r="A678">
        <f>[19]人員・時間計画!$A$5</f>
        <v>1412000063</v>
      </c>
      <c r="B678" t="str">
        <f>[19]人員・時間計画!$B$5</f>
        <v>トナー製造管理課</v>
      </c>
      <c r="C678" s="185" t="s">
        <v>71</v>
      </c>
      <c r="D678" s="200"/>
      <c r="E678" s="206" t="s">
        <v>139</v>
      </c>
      <c r="F678" s="214">
        <f>[19]人員・時間計画!C25</f>
        <v>0</v>
      </c>
      <c r="G678" s="214">
        <f>[19]人員・時間計画!D25</f>
        <v>0</v>
      </c>
      <c r="H678" s="214">
        <f>[19]人員・時間計画!E25</f>
        <v>0</v>
      </c>
      <c r="I678" s="214">
        <f>[19]人員・時間計画!F25</f>
        <v>0</v>
      </c>
      <c r="J678" s="214">
        <f>[19]人員・時間計画!G25</f>
        <v>0</v>
      </c>
      <c r="K678" s="214">
        <f>[19]人員・時間計画!H25</f>
        <v>0</v>
      </c>
      <c r="L678" s="214">
        <f>[19]人員・時間計画!I25</f>
        <v>0</v>
      </c>
      <c r="M678" s="214">
        <f>[19]人員・時間計画!J25</f>
        <v>0</v>
      </c>
      <c r="N678" s="214">
        <f>[19]人員・時間計画!K25</f>
        <v>0</v>
      </c>
      <c r="O678" s="214">
        <f>[19]人員・時間計画!L25</f>
        <v>0</v>
      </c>
      <c r="P678" s="214">
        <f>[19]人員・時間計画!M25</f>
        <v>0</v>
      </c>
      <c r="Q678" s="214">
        <f>[19]人員・時間計画!N25</f>
        <v>0</v>
      </c>
    </row>
    <row r="679" spans="1:17" ht="14.5" thickBot="1">
      <c r="A679">
        <f>[19]人員・時間計画!$A$5</f>
        <v>1412000063</v>
      </c>
      <c r="B679" t="str">
        <f>[19]人員・時間計画!$B$5</f>
        <v>トナー製造管理課</v>
      </c>
      <c r="C679" s="185" t="s">
        <v>71</v>
      </c>
      <c r="D679" s="201" t="s">
        <v>195</v>
      </c>
      <c r="E679" s="207" t="s">
        <v>140</v>
      </c>
      <c r="F679" s="214">
        <f>[19]人員・時間計画!C26</f>
        <v>0</v>
      </c>
      <c r="G679" s="214">
        <f>[19]人員・時間計画!D26</f>
        <v>0</v>
      </c>
      <c r="H679" s="214">
        <f>[19]人員・時間計画!E26</f>
        <v>0</v>
      </c>
      <c r="I679" s="214">
        <f>[19]人員・時間計画!F26</f>
        <v>0</v>
      </c>
      <c r="J679" s="214">
        <f>[19]人員・時間計画!G26</f>
        <v>0</v>
      </c>
      <c r="K679" s="214">
        <f>[19]人員・時間計画!H26</f>
        <v>0</v>
      </c>
      <c r="L679" s="214">
        <f>[19]人員・時間計画!I26</f>
        <v>0</v>
      </c>
      <c r="M679" s="214">
        <f>[19]人員・時間計画!J26</f>
        <v>0</v>
      </c>
      <c r="N679" s="214">
        <f>[19]人員・時間計画!K26</f>
        <v>0</v>
      </c>
      <c r="O679" s="214">
        <f>[19]人員・時間計画!L26</f>
        <v>0</v>
      </c>
      <c r="P679" s="214">
        <f>[19]人員・時間計画!M26</f>
        <v>0</v>
      </c>
      <c r="Q679" s="214">
        <f>[19]人員・時間計画!N26</f>
        <v>0</v>
      </c>
    </row>
    <row r="680" spans="1:17" ht="14.5" hidden="1" thickBot="1">
      <c r="A680">
        <f>[19]人員・時間計画!$A$5</f>
        <v>1412000063</v>
      </c>
      <c r="B680" t="str">
        <f>[19]人員・時間計画!$B$5</f>
        <v>トナー製造管理課</v>
      </c>
      <c r="C680" s="185" t="s">
        <v>71</v>
      </c>
      <c r="D680" s="202"/>
      <c r="E680" s="203" t="s">
        <v>138</v>
      </c>
      <c r="F680" s="214">
        <f>[19]人員・時間計画!C27</f>
        <v>0</v>
      </c>
      <c r="G680" s="214">
        <f>[19]人員・時間計画!D27</f>
        <v>0</v>
      </c>
      <c r="H680" s="214">
        <f>[19]人員・時間計画!E27</f>
        <v>0</v>
      </c>
      <c r="I680" s="214">
        <f>[19]人員・時間計画!F27</f>
        <v>0</v>
      </c>
      <c r="J680" s="214">
        <f>[19]人員・時間計画!G27</f>
        <v>0</v>
      </c>
      <c r="K680" s="214">
        <f>[19]人員・時間計画!H27</f>
        <v>0</v>
      </c>
      <c r="L680" s="214">
        <f>[19]人員・時間計画!I27</f>
        <v>0</v>
      </c>
      <c r="M680" s="214">
        <f>[19]人員・時間計画!J27</f>
        <v>0</v>
      </c>
      <c r="N680" s="214">
        <f>[19]人員・時間計画!K27</f>
        <v>0</v>
      </c>
      <c r="O680" s="214">
        <f>[19]人員・時間計画!L27</f>
        <v>0</v>
      </c>
      <c r="P680" s="214">
        <f>[19]人員・時間計画!M27</f>
        <v>0</v>
      </c>
      <c r="Q680" s="214">
        <f>[19]人員・時間計画!N27</f>
        <v>0</v>
      </c>
    </row>
    <row r="681" spans="1:17" ht="14.5" hidden="1" thickBot="1">
      <c r="A681">
        <f>[19]人員・時間計画!$A$5</f>
        <v>1412000063</v>
      </c>
      <c r="B681" t="str">
        <f>[19]人員・時間計画!$B$5</f>
        <v>トナー製造管理課</v>
      </c>
      <c r="C681" s="185" t="s">
        <v>71</v>
      </c>
      <c r="D681" s="204" t="s">
        <v>216</v>
      </c>
      <c r="E681" s="205"/>
      <c r="F681" s="214">
        <f>[19]人員・時間計画!C28</f>
        <v>0</v>
      </c>
      <c r="G681" s="214">
        <f>[19]人員・時間計画!D28</f>
        <v>0</v>
      </c>
      <c r="H681" s="214">
        <f>[19]人員・時間計画!E28</f>
        <v>0</v>
      </c>
      <c r="I681" s="214">
        <f>[19]人員・時間計画!F28</f>
        <v>0</v>
      </c>
      <c r="J681" s="214">
        <f>[19]人員・時間計画!G28</f>
        <v>0</v>
      </c>
      <c r="K681" s="214">
        <f>[19]人員・時間計画!H28</f>
        <v>0</v>
      </c>
      <c r="L681" s="214">
        <f>[19]人員・時間計画!I28</f>
        <v>0</v>
      </c>
      <c r="M681" s="214">
        <f>[19]人員・時間計画!J28</f>
        <v>0</v>
      </c>
      <c r="N681" s="214">
        <f>[19]人員・時間計画!K28</f>
        <v>0</v>
      </c>
      <c r="O681" s="214">
        <f>[19]人員・時間計画!L28</f>
        <v>0</v>
      </c>
      <c r="P681" s="214">
        <f>[19]人員・時間計画!M28</f>
        <v>0</v>
      </c>
      <c r="Q681" s="214">
        <f>[19]人員・時間計画!N28</f>
        <v>0</v>
      </c>
    </row>
    <row r="682" spans="1:17" ht="14.5" hidden="1" thickBot="1">
      <c r="A682">
        <f>[4]人員・時間計画!$A$5</f>
        <v>1412000066</v>
      </c>
      <c r="B682" t="str">
        <f>[4]人員・時間計画!$B$5</f>
        <v>RPS製造課</v>
      </c>
      <c r="C682" s="185" t="s">
        <v>3</v>
      </c>
      <c r="D682" s="185" t="s">
        <v>3</v>
      </c>
      <c r="E682" s="186"/>
    </row>
    <row r="683" spans="1:17" ht="14.5" hidden="1" thickBot="1">
      <c r="A683">
        <f>[4]人員・時間計画!$A$5</f>
        <v>1412000066</v>
      </c>
      <c r="B683" t="str">
        <f>[4]人員・時間計画!$B$5</f>
        <v>RPS製造課</v>
      </c>
      <c r="C683" s="185" t="s">
        <v>3</v>
      </c>
      <c r="D683" s="187" t="s">
        <v>194</v>
      </c>
      <c r="E683" s="188"/>
      <c r="F683" s="214">
        <f>[4]人員・時間計画!C10</f>
        <v>0</v>
      </c>
      <c r="G683" s="214">
        <f>[4]人員・時間計画!D10</f>
        <v>0</v>
      </c>
      <c r="H683" s="214">
        <f>[4]人員・時間計画!E10</f>
        <v>0</v>
      </c>
      <c r="I683" s="214">
        <f>[4]人員・時間計画!F10</f>
        <v>0</v>
      </c>
      <c r="J683" s="214">
        <f>[4]人員・時間計画!G10</f>
        <v>0</v>
      </c>
      <c r="K683" s="214">
        <f>[4]人員・時間計画!H10</f>
        <v>0</v>
      </c>
      <c r="L683" s="214">
        <f>[4]人員・時間計画!I10</f>
        <v>0</v>
      </c>
      <c r="M683" s="214">
        <f>[4]人員・時間計画!J10</f>
        <v>0</v>
      </c>
      <c r="N683" s="214">
        <f>[4]人員・時間計画!K10</f>
        <v>0</v>
      </c>
      <c r="O683" s="214">
        <f>[4]人員・時間計画!L10</f>
        <v>0</v>
      </c>
      <c r="P683" s="214">
        <f>[4]人員・時間計画!M10</f>
        <v>0</v>
      </c>
      <c r="Q683" s="214">
        <f>[4]人員・時間計画!N10</f>
        <v>0</v>
      </c>
    </row>
    <row r="684" spans="1:17" ht="14.5" hidden="1" thickBot="1">
      <c r="A684">
        <f>[4]人員・時間計画!$A$5</f>
        <v>1412000066</v>
      </c>
      <c r="B684" t="str">
        <f>[4]人員・時間計画!$B$5</f>
        <v>RPS製造課</v>
      </c>
      <c r="C684" s="185" t="s">
        <v>3</v>
      </c>
      <c r="D684" s="189"/>
      <c r="E684" s="190" t="s">
        <v>139</v>
      </c>
      <c r="F684" s="214">
        <f>[4]人員・時間計画!C11</f>
        <v>0</v>
      </c>
      <c r="G684" s="214">
        <f>[4]人員・時間計画!D11</f>
        <v>0</v>
      </c>
      <c r="H684" s="214">
        <f>[4]人員・時間計画!E11</f>
        <v>0</v>
      </c>
      <c r="I684" s="214">
        <f>[4]人員・時間計画!F11</f>
        <v>0</v>
      </c>
      <c r="J684" s="214">
        <f>[4]人員・時間計画!G11</f>
        <v>0</v>
      </c>
      <c r="K684" s="214">
        <f>[4]人員・時間計画!H11</f>
        <v>0</v>
      </c>
      <c r="L684" s="214">
        <f>[4]人員・時間計画!I11</f>
        <v>0</v>
      </c>
      <c r="M684" s="214">
        <f>[4]人員・時間計画!J11</f>
        <v>0</v>
      </c>
      <c r="N684" s="214">
        <f>[4]人員・時間計画!K11</f>
        <v>0</v>
      </c>
      <c r="O684" s="214">
        <f>[4]人員・時間計画!L11</f>
        <v>0</v>
      </c>
      <c r="P684" s="214">
        <f>[4]人員・時間計画!M11</f>
        <v>0</v>
      </c>
      <c r="Q684" s="214">
        <f>[4]人員・時間計画!N11</f>
        <v>0</v>
      </c>
    </row>
    <row r="685" spans="1:17" ht="14.5" thickBot="1">
      <c r="A685">
        <f>[4]人員・時間計画!$A$5</f>
        <v>1412000066</v>
      </c>
      <c r="B685" t="str">
        <f>[4]人員・時間計画!$B$5</f>
        <v>RPS製造課</v>
      </c>
      <c r="C685" s="185" t="s">
        <v>3</v>
      </c>
      <c r="D685" s="191" t="s">
        <v>195</v>
      </c>
      <c r="E685" s="192" t="s">
        <v>140</v>
      </c>
      <c r="F685" s="214">
        <f>[4]人員・時間計画!C12</f>
        <v>0</v>
      </c>
      <c r="G685" s="214">
        <f>[4]人員・時間計画!D12</f>
        <v>0</v>
      </c>
      <c r="H685" s="214">
        <f>[4]人員・時間計画!E12</f>
        <v>0</v>
      </c>
      <c r="I685" s="214">
        <f>[4]人員・時間計画!F12</f>
        <v>0</v>
      </c>
      <c r="J685" s="214">
        <f>[4]人員・時間計画!G12</f>
        <v>0</v>
      </c>
      <c r="K685" s="214">
        <f>[4]人員・時間計画!H12</f>
        <v>0</v>
      </c>
      <c r="L685" s="214">
        <f>[4]人員・時間計画!I12</f>
        <v>0</v>
      </c>
      <c r="M685" s="214">
        <f>[4]人員・時間計画!J12</f>
        <v>0</v>
      </c>
      <c r="N685" s="214">
        <f>[4]人員・時間計画!K12</f>
        <v>0</v>
      </c>
      <c r="O685" s="214">
        <f>[4]人員・時間計画!L12</f>
        <v>0</v>
      </c>
      <c r="P685" s="214">
        <f>[4]人員・時間計画!M12</f>
        <v>0</v>
      </c>
      <c r="Q685" s="214">
        <f>[4]人員・時間計画!N12</f>
        <v>0</v>
      </c>
    </row>
    <row r="686" spans="1:17" ht="14.5" hidden="1" thickBot="1">
      <c r="A686">
        <f>[4]人員・時間計画!$A$5</f>
        <v>1412000066</v>
      </c>
      <c r="B686" t="str">
        <f>[4]人員・時間計画!$B$5</f>
        <v>RPS製造課</v>
      </c>
      <c r="C686" s="185" t="s">
        <v>3</v>
      </c>
      <c r="D686" s="193"/>
      <c r="E686" s="194" t="s">
        <v>138</v>
      </c>
      <c r="F686" s="214">
        <f>[4]人員・時間計画!C13</f>
        <v>0</v>
      </c>
      <c r="G686" s="214">
        <f>[4]人員・時間計画!D13</f>
        <v>0</v>
      </c>
      <c r="H686" s="214">
        <f>[4]人員・時間計画!E13</f>
        <v>0</v>
      </c>
      <c r="I686" s="214">
        <f>[4]人員・時間計画!F13</f>
        <v>0</v>
      </c>
      <c r="J686" s="214">
        <f>[4]人員・時間計画!G13</f>
        <v>0</v>
      </c>
      <c r="K686" s="214">
        <f>[4]人員・時間計画!H13</f>
        <v>0</v>
      </c>
      <c r="L686" s="214">
        <f>[4]人員・時間計画!I13</f>
        <v>0</v>
      </c>
      <c r="M686" s="214">
        <f>[4]人員・時間計画!J13</f>
        <v>0</v>
      </c>
      <c r="N686" s="214">
        <f>[4]人員・時間計画!K13</f>
        <v>0</v>
      </c>
      <c r="O686" s="214">
        <f>[4]人員・時間計画!L13</f>
        <v>0</v>
      </c>
      <c r="P686" s="214">
        <f>[4]人員・時間計画!M13</f>
        <v>0</v>
      </c>
      <c r="Q686" s="214">
        <f>[4]人員・時間計画!N13</f>
        <v>0</v>
      </c>
    </row>
    <row r="687" spans="1:17" ht="14.5" hidden="1" thickBot="1">
      <c r="A687">
        <f>[4]人員・時間計画!$A$5</f>
        <v>1412000066</v>
      </c>
      <c r="B687" t="str">
        <f>[4]人員・時間計画!$B$5</f>
        <v>RPS製造課</v>
      </c>
      <c r="C687" s="185" t="s">
        <v>3</v>
      </c>
      <c r="D687" s="195" t="s">
        <v>196</v>
      </c>
      <c r="E687" s="196"/>
      <c r="F687" s="214">
        <f>[4]人員・時間計画!C14</f>
        <v>0</v>
      </c>
      <c r="G687" s="214">
        <f>[4]人員・時間計画!D14</f>
        <v>0</v>
      </c>
      <c r="H687" s="214">
        <f>[4]人員・時間計画!E14</f>
        <v>0</v>
      </c>
      <c r="I687" s="214">
        <f>[4]人員・時間計画!F14</f>
        <v>0</v>
      </c>
      <c r="J687" s="214">
        <f>[4]人員・時間計画!G14</f>
        <v>0</v>
      </c>
      <c r="K687" s="214">
        <f>[4]人員・時間計画!H14</f>
        <v>0</v>
      </c>
      <c r="L687" s="214">
        <f>[4]人員・時間計画!I14</f>
        <v>0</v>
      </c>
      <c r="M687" s="214">
        <f>[4]人員・時間計画!J14</f>
        <v>0</v>
      </c>
      <c r="N687" s="214">
        <f>[4]人員・時間計画!K14</f>
        <v>0</v>
      </c>
      <c r="O687" s="214">
        <f>[4]人員・時間計画!L14</f>
        <v>0</v>
      </c>
      <c r="P687" s="214">
        <f>[4]人員・時間計画!M14</f>
        <v>0</v>
      </c>
      <c r="Q687" s="214">
        <f>[4]人員・時間計画!N14</f>
        <v>0</v>
      </c>
    </row>
    <row r="688" spans="1:17" ht="14.5" hidden="1" thickBot="1">
      <c r="A688">
        <f>[4]人員・時間計画!$A$5</f>
        <v>1412000066</v>
      </c>
      <c r="B688" t="str">
        <f>[4]人員・時間計画!$B$5</f>
        <v>RPS製造課</v>
      </c>
      <c r="D688" s="197"/>
      <c r="E688" s="197"/>
    </row>
    <row r="689" spans="1:17" ht="14.5" hidden="1" thickBot="1">
      <c r="A689">
        <f>[4]人員・時間計画!$A$5</f>
        <v>1412000066</v>
      </c>
      <c r="B689" t="str">
        <f>[4]人員・時間計画!$B$5</f>
        <v>RPS製造課</v>
      </c>
      <c r="C689" s="185" t="s">
        <v>202</v>
      </c>
      <c r="D689" s="185" t="s">
        <v>202</v>
      </c>
      <c r="E689" s="186"/>
    </row>
    <row r="690" spans="1:17" ht="14.5" hidden="1" thickBot="1">
      <c r="A690">
        <f>[4]人員・時間計画!$A$5</f>
        <v>1412000066</v>
      </c>
      <c r="B690" t="str">
        <f>[4]人員・時間計画!$B$5</f>
        <v>RPS製造課</v>
      </c>
      <c r="C690" s="185" t="s">
        <v>202</v>
      </c>
      <c r="D690" s="198" t="s">
        <v>194</v>
      </c>
      <c r="E690" s="199"/>
      <c r="F690" s="214">
        <f>[4]人員・時間計画!C17</f>
        <v>0</v>
      </c>
      <c r="G690" s="214">
        <f>[4]人員・時間計画!D17</f>
        <v>0</v>
      </c>
      <c r="H690" s="214">
        <f>[4]人員・時間計画!E17</f>
        <v>0</v>
      </c>
      <c r="I690" s="214">
        <f>[4]人員・時間計画!F17</f>
        <v>0</v>
      </c>
      <c r="J690" s="214">
        <f>[4]人員・時間計画!G17</f>
        <v>0</v>
      </c>
      <c r="K690" s="214">
        <f>[4]人員・時間計画!H17</f>
        <v>0</v>
      </c>
      <c r="L690" s="214">
        <f>[4]人員・時間計画!I17</f>
        <v>0</v>
      </c>
      <c r="M690" s="214">
        <f>[4]人員・時間計画!J17</f>
        <v>0</v>
      </c>
      <c r="N690" s="214">
        <f>[4]人員・時間計画!K17</f>
        <v>0</v>
      </c>
      <c r="O690" s="214">
        <f>[4]人員・時間計画!L17</f>
        <v>0</v>
      </c>
      <c r="P690" s="214">
        <f>[4]人員・時間計画!M17</f>
        <v>0</v>
      </c>
      <c r="Q690" s="214">
        <f>[4]人員・時間計画!N17</f>
        <v>0</v>
      </c>
    </row>
    <row r="691" spans="1:17" ht="14.5" hidden="1" thickBot="1">
      <c r="A691">
        <f>[4]人員・時間計画!$A$5</f>
        <v>1412000066</v>
      </c>
      <c r="B691" t="str">
        <f>[4]人員・時間計画!$B$5</f>
        <v>RPS製造課</v>
      </c>
      <c r="C691" s="185" t="s">
        <v>202</v>
      </c>
      <c r="D691" s="200"/>
      <c r="E691" s="190" t="s">
        <v>139</v>
      </c>
      <c r="F691" s="214">
        <f>[4]人員・時間計画!C18</f>
        <v>80</v>
      </c>
      <c r="G691" s="214">
        <f>[4]人員・時間計画!D18</f>
        <v>76</v>
      </c>
      <c r="H691" s="214">
        <f>[4]人員・時間計画!E18</f>
        <v>84</v>
      </c>
      <c r="I691" s="214">
        <f>[4]人員・時間計画!F18</f>
        <v>92</v>
      </c>
      <c r="J691" s="214">
        <f>[4]人員・時間計画!G18</f>
        <v>80</v>
      </c>
      <c r="K691" s="214">
        <f>[4]人員・時間計画!H18</f>
        <v>76</v>
      </c>
      <c r="L691" s="214">
        <f>[4]人員・時間計画!I18</f>
        <v>92</v>
      </c>
      <c r="M691" s="214">
        <f>[4]人員・時間計画!J18</f>
        <v>80</v>
      </c>
      <c r="N691" s="214">
        <f>[4]人員・時間計画!K18</f>
        <v>88</v>
      </c>
      <c r="O691" s="214">
        <f>[4]人員・時間計画!L18</f>
        <v>80</v>
      </c>
      <c r="P691" s="214">
        <f>[4]人員・時間計画!M18</f>
        <v>60</v>
      </c>
      <c r="Q691" s="214">
        <f>[4]人員・時間計画!N18</f>
        <v>80</v>
      </c>
    </row>
    <row r="692" spans="1:17" ht="14.5" thickBot="1">
      <c r="A692">
        <f>[4]人員・時間計画!$A$5</f>
        <v>1412000066</v>
      </c>
      <c r="B692" t="str">
        <f>[4]人員・時間計画!$B$5</f>
        <v>RPS製造課</v>
      </c>
      <c r="C692" s="185" t="s">
        <v>202</v>
      </c>
      <c r="D692" s="201" t="s">
        <v>195</v>
      </c>
      <c r="E692" s="192" t="s">
        <v>140</v>
      </c>
      <c r="F692" s="214">
        <f>[4]人員・時間計画!C19</f>
        <v>850</v>
      </c>
      <c r="G692" s="214">
        <f>[4]人員・時間計画!D19</f>
        <v>807.5</v>
      </c>
      <c r="H692" s="214">
        <f>[4]人員・時間計画!E19</f>
        <v>892.5</v>
      </c>
      <c r="I692" s="214">
        <f>[4]人員・時間計画!F19</f>
        <v>977.5</v>
      </c>
      <c r="J692" s="214">
        <f>[4]人員・時間計画!G19</f>
        <v>850</v>
      </c>
      <c r="K692" s="214">
        <f>[4]人員・時間計画!H19</f>
        <v>807.5</v>
      </c>
      <c r="L692" s="214">
        <f>[4]人員・時間計画!I19</f>
        <v>977.5</v>
      </c>
      <c r="M692" s="214">
        <f>[4]人員・時間計画!J19</f>
        <v>850</v>
      </c>
      <c r="N692" s="214">
        <f>[4]人員・時間計画!K19</f>
        <v>935</v>
      </c>
      <c r="O692" s="214">
        <f>[4]人員・時間計画!L19</f>
        <v>850</v>
      </c>
      <c r="P692" s="214">
        <f>[4]人員・時間計画!M19</f>
        <v>637.5</v>
      </c>
      <c r="Q692" s="214">
        <f>[4]人員・時間計画!N19</f>
        <v>850</v>
      </c>
    </row>
    <row r="693" spans="1:17" ht="14.5" hidden="1" thickBot="1">
      <c r="A693">
        <f>[4]人員・時間計画!$A$5</f>
        <v>1412000066</v>
      </c>
      <c r="B693" t="str">
        <f>[4]人員・時間計画!$B$5</f>
        <v>RPS製造課</v>
      </c>
      <c r="C693" s="185" t="s">
        <v>202</v>
      </c>
      <c r="D693" s="202"/>
      <c r="E693" s="203" t="s">
        <v>138</v>
      </c>
      <c r="F693" s="214">
        <f>[4]人員・時間計画!C20</f>
        <v>930</v>
      </c>
      <c r="G693" s="214">
        <f>[4]人員・時間計画!D20</f>
        <v>883.5</v>
      </c>
      <c r="H693" s="214">
        <f>[4]人員・時間計画!E20</f>
        <v>976.5</v>
      </c>
      <c r="I693" s="214">
        <f>[4]人員・時間計画!F20</f>
        <v>1069.5</v>
      </c>
      <c r="J693" s="214">
        <f>[4]人員・時間計画!G20</f>
        <v>930</v>
      </c>
      <c r="K693" s="214">
        <f>[4]人員・時間計画!H20</f>
        <v>883.5</v>
      </c>
      <c r="L693" s="214">
        <f>[4]人員・時間計画!I20</f>
        <v>1069.5</v>
      </c>
      <c r="M693" s="214">
        <f>[4]人員・時間計画!J20</f>
        <v>930</v>
      </c>
      <c r="N693" s="214">
        <f>[4]人員・時間計画!K20</f>
        <v>1023</v>
      </c>
      <c r="O693" s="214">
        <f>[4]人員・時間計画!L20</f>
        <v>930</v>
      </c>
      <c r="P693" s="214">
        <f>[4]人員・時間計画!M20</f>
        <v>697.5</v>
      </c>
      <c r="Q693" s="214">
        <f>[4]人員・時間計画!N20</f>
        <v>930</v>
      </c>
    </row>
    <row r="694" spans="1:17" ht="14.5" hidden="1" thickBot="1">
      <c r="A694">
        <f>[4]人員・時間計画!$A$5</f>
        <v>1412000066</v>
      </c>
      <c r="B694" t="str">
        <f>[4]人員・時間計画!$B$5</f>
        <v>RPS製造課</v>
      </c>
      <c r="C694" s="185" t="s">
        <v>202</v>
      </c>
      <c r="D694" s="204" t="s">
        <v>215</v>
      </c>
      <c r="E694" s="205"/>
      <c r="F694" s="214">
        <f>[4]人員・時間計画!C21</f>
        <v>930</v>
      </c>
      <c r="G694" s="214">
        <f>[4]人員・時間計画!D21</f>
        <v>883.5</v>
      </c>
      <c r="H694" s="214">
        <f>[4]人員・時間計画!E21</f>
        <v>976.5</v>
      </c>
      <c r="I694" s="214">
        <f>[4]人員・時間計画!F21</f>
        <v>1069.5</v>
      </c>
      <c r="J694" s="214">
        <f>[4]人員・時間計画!G21</f>
        <v>930</v>
      </c>
      <c r="K694" s="214">
        <f>[4]人員・時間計画!H21</f>
        <v>883.5</v>
      </c>
      <c r="L694" s="214">
        <f>[4]人員・時間計画!I21</f>
        <v>1069.5</v>
      </c>
      <c r="M694" s="214">
        <f>[4]人員・時間計画!J21</f>
        <v>930</v>
      </c>
      <c r="N694" s="214">
        <f>[4]人員・時間計画!K21</f>
        <v>1023</v>
      </c>
      <c r="O694" s="214">
        <f>[4]人員・時間計画!L21</f>
        <v>930</v>
      </c>
      <c r="P694" s="214">
        <f>[4]人員・時間計画!M21</f>
        <v>697.5</v>
      </c>
      <c r="Q694" s="214">
        <f>[4]人員・時間計画!N21</f>
        <v>930</v>
      </c>
    </row>
    <row r="695" spans="1:17" ht="14.5" hidden="1" thickBot="1">
      <c r="A695">
        <f>[4]人員・時間計画!$A$5</f>
        <v>1412000066</v>
      </c>
      <c r="B695" t="str">
        <f>[4]人員・時間計画!$B$5</f>
        <v>RPS製造課</v>
      </c>
      <c r="D695" s="197"/>
      <c r="E695" s="197"/>
    </row>
    <row r="696" spans="1:17" ht="14.5" hidden="1" thickBot="1">
      <c r="A696">
        <f>[4]人員・時間計画!$A$5</f>
        <v>1412000066</v>
      </c>
      <c r="B696" t="str">
        <f>[4]人員・時間計画!$B$5</f>
        <v>RPS製造課</v>
      </c>
      <c r="C696" s="185" t="s">
        <v>71</v>
      </c>
      <c r="D696" s="185" t="s">
        <v>71</v>
      </c>
      <c r="E696" s="186"/>
    </row>
    <row r="697" spans="1:17" ht="14.5" hidden="1" thickBot="1">
      <c r="A697">
        <f>[4]人員・時間計画!$A$5</f>
        <v>1412000066</v>
      </c>
      <c r="B697" t="str">
        <f>[4]人員・時間計画!$B$5</f>
        <v>RPS製造課</v>
      </c>
      <c r="C697" s="185" t="s">
        <v>71</v>
      </c>
      <c r="D697" s="198" t="s">
        <v>194</v>
      </c>
      <c r="E697" s="199"/>
      <c r="F697" s="214">
        <f>[4]人員・時間計画!C24</f>
        <v>0</v>
      </c>
      <c r="G697" s="214">
        <f>[4]人員・時間計画!D24</f>
        <v>0</v>
      </c>
      <c r="H697" s="214">
        <f>[4]人員・時間計画!E24</f>
        <v>0</v>
      </c>
      <c r="I697" s="214">
        <f>[4]人員・時間計画!F24</f>
        <v>0</v>
      </c>
      <c r="J697" s="214">
        <f>[4]人員・時間計画!G24</f>
        <v>0</v>
      </c>
      <c r="K697" s="214">
        <f>[4]人員・時間計画!H24</f>
        <v>0</v>
      </c>
      <c r="L697" s="214">
        <f>[4]人員・時間計画!I24</f>
        <v>0</v>
      </c>
      <c r="M697" s="214">
        <f>[4]人員・時間計画!J24</f>
        <v>0</v>
      </c>
      <c r="N697" s="214">
        <f>[4]人員・時間計画!K24</f>
        <v>0</v>
      </c>
      <c r="O697" s="214">
        <f>[4]人員・時間計画!L24</f>
        <v>0</v>
      </c>
      <c r="P697" s="214">
        <f>[4]人員・時間計画!M24</f>
        <v>0</v>
      </c>
      <c r="Q697" s="214">
        <f>[4]人員・時間計画!N24</f>
        <v>0</v>
      </c>
    </row>
    <row r="698" spans="1:17" ht="14.5" hidden="1" thickBot="1">
      <c r="A698">
        <f>[4]人員・時間計画!$A$5</f>
        <v>1412000066</v>
      </c>
      <c r="B698" t="str">
        <f>[4]人員・時間計画!$B$5</f>
        <v>RPS製造課</v>
      </c>
      <c r="C698" s="185" t="s">
        <v>71</v>
      </c>
      <c r="D698" s="200"/>
      <c r="E698" s="206" t="s">
        <v>139</v>
      </c>
      <c r="F698" s="214">
        <f>[4]人員・時間計画!C25</f>
        <v>0</v>
      </c>
      <c r="G698" s="214">
        <f>[4]人員・時間計画!D25</f>
        <v>0</v>
      </c>
      <c r="H698" s="214">
        <f>[4]人員・時間計画!E25</f>
        <v>0</v>
      </c>
      <c r="I698" s="214">
        <f>[4]人員・時間計画!F25</f>
        <v>0</v>
      </c>
      <c r="J698" s="214">
        <f>[4]人員・時間計画!G25</f>
        <v>0</v>
      </c>
      <c r="K698" s="214">
        <f>[4]人員・時間計画!H25</f>
        <v>0</v>
      </c>
      <c r="L698" s="214">
        <f>[4]人員・時間計画!I25</f>
        <v>0</v>
      </c>
      <c r="M698" s="214">
        <f>[4]人員・時間計画!J25</f>
        <v>0</v>
      </c>
      <c r="N698" s="214">
        <f>[4]人員・時間計画!K25</f>
        <v>0</v>
      </c>
      <c r="O698" s="214">
        <f>[4]人員・時間計画!L25</f>
        <v>0</v>
      </c>
      <c r="P698" s="214">
        <f>[4]人員・時間計画!M25</f>
        <v>0</v>
      </c>
      <c r="Q698" s="214">
        <f>[4]人員・時間計画!N25</f>
        <v>0</v>
      </c>
    </row>
    <row r="699" spans="1:17" ht="14.5" thickBot="1">
      <c r="A699">
        <f>[4]人員・時間計画!$A$5</f>
        <v>1412000066</v>
      </c>
      <c r="B699" t="str">
        <f>[4]人員・時間計画!$B$5</f>
        <v>RPS製造課</v>
      </c>
      <c r="C699" s="185" t="s">
        <v>71</v>
      </c>
      <c r="D699" s="201" t="s">
        <v>195</v>
      </c>
      <c r="E699" s="207" t="s">
        <v>140</v>
      </c>
      <c r="F699" s="214">
        <f>[4]人員・時間計画!C26</f>
        <v>0</v>
      </c>
      <c r="G699" s="214">
        <f>[4]人員・時間計画!D26</f>
        <v>0</v>
      </c>
      <c r="H699" s="214">
        <f>[4]人員・時間計画!E26</f>
        <v>0</v>
      </c>
      <c r="I699" s="214">
        <f>[4]人員・時間計画!F26</f>
        <v>0</v>
      </c>
      <c r="J699" s="214">
        <f>[4]人員・時間計画!G26</f>
        <v>0</v>
      </c>
      <c r="K699" s="214">
        <f>[4]人員・時間計画!H26</f>
        <v>0</v>
      </c>
      <c r="L699" s="214">
        <f>[4]人員・時間計画!I26</f>
        <v>0</v>
      </c>
      <c r="M699" s="214">
        <f>[4]人員・時間計画!J26</f>
        <v>0</v>
      </c>
      <c r="N699" s="214">
        <f>[4]人員・時間計画!K26</f>
        <v>0</v>
      </c>
      <c r="O699" s="214">
        <f>[4]人員・時間計画!L26</f>
        <v>0</v>
      </c>
      <c r="P699" s="214">
        <f>[4]人員・時間計画!M26</f>
        <v>0</v>
      </c>
      <c r="Q699" s="214">
        <f>[4]人員・時間計画!N26</f>
        <v>0</v>
      </c>
    </row>
    <row r="700" spans="1:17" ht="14.5" hidden="1" thickBot="1">
      <c r="A700">
        <f>[4]人員・時間計画!$A$5</f>
        <v>1412000066</v>
      </c>
      <c r="B700" t="str">
        <f>[4]人員・時間計画!$B$5</f>
        <v>RPS製造課</v>
      </c>
      <c r="C700" s="185" t="s">
        <v>71</v>
      </c>
      <c r="D700" s="202"/>
      <c r="E700" s="203" t="s">
        <v>138</v>
      </c>
      <c r="F700" s="214">
        <f>[4]人員・時間計画!C27</f>
        <v>0</v>
      </c>
      <c r="G700" s="214">
        <f>[4]人員・時間計画!D27</f>
        <v>0</v>
      </c>
      <c r="H700" s="214">
        <f>[4]人員・時間計画!E27</f>
        <v>0</v>
      </c>
      <c r="I700" s="214">
        <f>[4]人員・時間計画!F27</f>
        <v>0</v>
      </c>
      <c r="J700" s="214">
        <f>[4]人員・時間計画!G27</f>
        <v>0</v>
      </c>
      <c r="K700" s="214">
        <f>[4]人員・時間計画!H27</f>
        <v>0</v>
      </c>
      <c r="L700" s="214">
        <f>[4]人員・時間計画!I27</f>
        <v>0</v>
      </c>
      <c r="M700" s="214">
        <f>[4]人員・時間計画!J27</f>
        <v>0</v>
      </c>
      <c r="N700" s="214">
        <f>[4]人員・時間計画!K27</f>
        <v>0</v>
      </c>
      <c r="O700" s="214">
        <f>[4]人員・時間計画!L27</f>
        <v>0</v>
      </c>
      <c r="P700" s="214">
        <f>[4]人員・時間計画!M27</f>
        <v>0</v>
      </c>
      <c r="Q700" s="214">
        <f>[4]人員・時間計画!N27</f>
        <v>0</v>
      </c>
    </row>
    <row r="701" spans="1:17" ht="14.5" hidden="1" thickBot="1">
      <c r="A701">
        <f>[4]人員・時間計画!$A$5</f>
        <v>1412000066</v>
      </c>
      <c r="B701" t="str">
        <f>[4]人員・時間計画!$B$5</f>
        <v>RPS製造課</v>
      </c>
      <c r="C701" s="185" t="s">
        <v>71</v>
      </c>
      <c r="D701" s="204" t="s">
        <v>216</v>
      </c>
      <c r="E701" s="205"/>
      <c r="F701" s="214">
        <f>[4]人員・時間計画!C28</f>
        <v>0</v>
      </c>
      <c r="G701" s="214">
        <f>[4]人員・時間計画!D28</f>
        <v>0</v>
      </c>
      <c r="H701" s="214">
        <f>[4]人員・時間計画!E28</f>
        <v>0</v>
      </c>
      <c r="I701" s="214">
        <f>[4]人員・時間計画!F28</f>
        <v>0</v>
      </c>
      <c r="J701" s="214">
        <f>[4]人員・時間計画!G28</f>
        <v>0</v>
      </c>
      <c r="K701" s="214">
        <f>[4]人員・時間計画!H28</f>
        <v>0</v>
      </c>
      <c r="L701" s="214">
        <f>[4]人員・時間計画!I28</f>
        <v>0</v>
      </c>
      <c r="M701" s="214">
        <f>[4]人員・時間計画!J28</f>
        <v>0</v>
      </c>
      <c r="N701" s="214">
        <f>[4]人員・時間計画!K28</f>
        <v>0</v>
      </c>
      <c r="O701" s="214">
        <f>[4]人員・時間計画!L28</f>
        <v>0</v>
      </c>
      <c r="P701" s="214">
        <f>[4]人員・時間計画!M28</f>
        <v>0</v>
      </c>
      <c r="Q701" s="214">
        <f>[4]人員・時間計画!N28</f>
        <v>0</v>
      </c>
    </row>
    <row r="702" spans="1:17" ht="14.5" hidden="1" thickBot="1">
      <c r="A702">
        <f>[39]人員・時間計画!$A$5</f>
        <v>1412000035</v>
      </c>
      <c r="B702" t="str">
        <f>[39]人員・時間計画!$B$5</f>
        <v>外製管理課</v>
      </c>
      <c r="C702" s="185" t="s">
        <v>3</v>
      </c>
      <c r="D702" s="185" t="s">
        <v>3</v>
      </c>
      <c r="E702" s="186"/>
    </row>
    <row r="703" spans="1:17" ht="14.5" hidden="1" thickBot="1">
      <c r="A703">
        <f>[39]人員・時間計画!$A$5</f>
        <v>1412000035</v>
      </c>
      <c r="B703" t="str">
        <f>[39]人員・時間計画!$B$5</f>
        <v>外製管理課</v>
      </c>
      <c r="C703" s="185" t="s">
        <v>3</v>
      </c>
      <c r="D703" s="187" t="s">
        <v>194</v>
      </c>
      <c r="E703" s="188"/>
      <c r="F703" s="214">
        <f>[39]人員・時間計画!C10</f>
        <v>2</v>
      </c>
      <c r="G703" s="214">
        <f>[39]人員・時間計画!D10</f>
        <v>2</v>
      </c>
      <c r="H703" s="214">
        <f>[39]人員・時間計画!E10</f>
        <v>2</v>
      </c>
      <c r="I703" s="214">
        <f>[39]人員・時間計画!F10</f>
        <v>2</v>
      </c>
      <c r="J703" s="214">
        <f>[39]人員・時間計画!G10</f>
        <v>2</v>
      </c>
      <c r="K703" s="214">
        <f>[39]人員・時間計画!H10</f>
        <v>2</v>
      </c>
      <c r="L703" s="214">
        <f>[39]人員・時間計画!I10</f>
        <v>2</v>
      </c>
      <c r="M703" s="214">
        <f>[39]人員・時間計画!J10</f>
        <v>2</v>
      </c>
      <c r="N703" s="214">
        <f>[39]人員・時間計画!K10</f>
        <v>2</v>
      </c>
      <c r="O703" s="214">
        <f>[39]人員・時間計画!L10</f>
        <v>2</v>
      </c>
      <c r="P703" s="214">
        <f>[39]人員・時間計画!M10</f>
        <v>2</v>
      </c>
      <c r="Q703" s="214">
        <f>[39]人員・時間計画!N10</f>
        <v>2</v>
      </c>
    </row>
    <row r="704" spans="1:17" ht="14.5" hidden="1" thickBot="1">
      <c r="A704">
        <f>[39]人員・時間計画!$A$5</f>
        <v>1412000035</v>
      </c>
      <c r="B704" t="str">
        <f>[39]人員・時間計画!$B$5</f>
        <v>外製管理課</v>
      </c>
      <c r="C704" s="185" t="s">
        <v>3</v>
      </c>
      <c r="D704" s="189"/>
      <c r="E704" s="190" t="s">
        <v>139</v>
      </c>
      <c r="F704" s="214">
        <f>[39]人員・時間計画!C11</f>
        <v>25</v>
      </c>
      <c r="G704" s="214">
        <f>[39]人員・時間計画!D11</f>
        <v>27</v>
      </c>
      <c r="H704" s="214">
        <f>[39]人員・時間計画!E11</f>
        <v>29</v>
      </c>
      <c r="I704" s="214">
        <f>[39]人員・時間計画!F11</f>
        <v>30</v>
      </c>
      <c r="J704" s="214">
        <f>[39]人員・時間計画!G11</f>
        <v>30</v>
      </c>
      <c r="K704" s="214">
        <f>[39]人員・時間計画!H11</f>
        <v>31</v>
      </c>
      <c r="L704" s="214">
        <f>[39]人員・時間計画!I11</f>
        <v>32</v>
      </c>
      <c r="M704" s="214">
        <f>[39]人員・時間計画!J11</f>
        <v>32</v>
      </c>
      <c r="N704" s="214">
        <f>[39]人員・時間計画!K11</f>
        <v>32</v>
      </c>
      <c r="O704" s="214">
        <f>[39]人員・時間計画!L11</f>
        <v>32</v>
      </c>
      <c r="P704" s="214">
        <f>[39]人員・時間計画!M11</f>
        <v>32</v>
      </c>
      <c r="Q704" s="214">
        <f>[39]人員・時間計画!N11</f>
        <v>32</v>
      </c>
    </row>
    <row r="705" spans="1:17" ht="14.5" thickBot="1">
      <c r="A705">
        <f>[39]人員・時間計画!$A$5</f>
        <v>1412000035</v>
      </c>
      <c r="B705" t="str">
        <f>[39]人員・時間計画!$B$5</f>
        <v>外製管理課</v>
      </c>
      <c r="C705" s="185" t="s">
        <v>3</v>
      </c>
      <c r="D705" s="191" t="s">
        <v>195</v>
      </c>
      <c r="E705" s="192" t="s">
        <v>140</v>
      </c>
      <c r="F705" s="214">
        <f>[39]人員・時間計画!C12</f>
        <v>4</v>
      </c>
      <c r="G705" s="214">
        <f>[39]人員・時間計画!D12</f>
        <v>4</v>
      </c>
      <c r="H705" s="214">
        <f>[39]人員・時間計画!E12</f>
        <v>4</v>
      </c>
      <c r="I705" s="214">
        <f>[39]人員・時間計画!F12</f>
        <v>4</v>
      </c>
      <c r="J705" s="214">
        <f>[39]人員・時間計画!G12</f>
        <v>4</v>
      </c>
      <c r="K705" s="214">
        <f>[39]人員・時間計画!H12</f>
        <v>4</v>
      </c>
      <c r="L705" s="214">
        <f>[39]人員・時間計画!I12</f>
        <v>4</v>
      </c>
      <c r="M705" s="214">
        <f>[39]人員・時間計画!J12</f>
        <v>4</v>
      </c>
      <c r="N705" s="214">
        <f>[39]人員・時間計画!K12</f>
        <v>4</v>
      </c>
      <c r="O705" s="214">
        <f>[39]人員・時間計画!L12</f>
        <v>4</v>
      </c>
      <c r="P705" s="214">
        <f>[39]人員・時間計画!M12</f>
        <v>4</v>
      </c>
      <c r="Q705" s="214">
        <f>[39]人員・時間計画!N12</f>
        <v>4</v>
      </c>
    </row>
    <row r="706" spans="1:17" ht="14.5" hidden="1" thickBot="1">
      <c r="A706">
        <f>[39]人員・時間計画!$A$5</f>
        <v>1412000035</v>
      </c>
      <c r="B706" t="str">
        <f>[39]人員・時間計画!$B$5</f>
        <v>外製管理課</v>
      </c>
      <c r="C706" s="185" t="s">
        <v>3</v>
      </c>
      <c r="D706" s="193"/>
      <c r="E706" s="194" t="s">
        <v>138</v>
      </c>
      <c r="F706" s="214">
        <f>[39]人員・時間計画!C13</f>
        <v>29</v>
      </c>
      <c r="G706" s="214">
        <f>[39]人員・時間計画!D13</f>
        <v>31</v>
      </c>
      <c r="H706" s="214">
        <f>[39]人員・時間計画!E13</f>
        <v>33</v>
      </c>
      <c r="I706" s="214">
        <f>[39]人員・時間計画!F13</f>
        <v>34</v>
      </c>
      <c r="J706" s="214">
        <f>[39]人員・時間計画!G13</f>
        <v>34</v>
      </c>
      <c r="K706" s="214">
        <f>[39]人員・時間計画!H13</f>
        <v>35</v>
      </c>
      <c r="L706" s="214">
        <f>[39]人員・時間計画!I13</f>
        <v>36</v>
      </c>
      <c r="M706" s="214">
        <f>[39]人員・時間計画!J13</f>
        <v>36</v>
      </c>
      <c r="N706" s="214">
        <f>[39]人員・時間計画!K13</f>
        <v>36</v>
      </c>
      <c r="O706" s="214">
        <f>[39]人員・時間計画!L13</f>
        <v>36</v>
      </c>
      <c r="P706" s="214">
        <f>[39]人員・時間計画!M13</f>
        <v>36</v>
      </c>
      <c r="Q706" s="214">
        <f>[39]人員・時間計画!N13</f>
        <v>36</v>
      </c>
    </row>
    <row r="707" spans="1:17" ht="14.5" hidden="1" thickBot="1">
      <c r="A707">
        <f>[39]人員・時間計画!$A$5</f>
        <v>1412000035</v>
      </c>
      <c r="B707" t="str">
        <f>[39]人員・時間計画!$B$5</f>
        <v>外製管理課</v>
      </c>
      <c r="C707" s="185" t="s">
        <v>3</v>
      </c>
      <c r="D707" s="195" t="s">
        <v>196</v>
      </c>
      <c r="E707" s="196"/>
      <c r="F707" s="214">
        <f>[39]人員・時間計画!C14</f>
        <v>31</v>
      </c>
      <c r="G707" s="214">
        <f>[39]人員・時間計画!D14</f>
        <v>33</v>
      </c>
      <c r="H707" s="214">
        <f>[39]人員・時間計画!E14</f>
        <v>35</v>
      </c>
      <c r="I707" s="214">
        <f>[39]人員・時間計画!F14</f>
        <v>36</v>
      </c>
      <c r="J707" s="214">
        <f>[39]人員・時間計画!G14</f>
        <v>36</v>
      </c>
      <c r="K707" s="214">
        <f>[39]人員・時間計画!H14</f>
        <v>37</v>
      </c>
      <c r="L707" s="214">
        <f>[39]人員・時間計画!I14</f>
        <v>38</v>
      </c>
      <c r="M707" s="214">
        <f>[39]人員・時間計画!J14</f>
        <v>38</v>
      </c>
      <c r="N707" s="214">
        <f>[39]人員・時間計画!K14</f>
        <v>38</v>
      </c>
      <c r="O707" s="214">
        <f>[39]人員・時間計画!L14</f>
        <v>38</v>
      </c>
      <c r="P707" s="214">
        <f>[39]人員・時間計画!M14</f>
        <v>38</v>
      </c>
      <c r="Q707" s="214">
        <f>[39]人員・時間計画!N14</f>
        <v>38</v>
      </c>
    </row>
    <row r="708" spans="1:17" ht="14.5" hidden="1" thickBot="1">
      <c r="A708">
        <f>[39]人員・時間計画!$A$5</f>
        <v>1412000035</v>
      </c>
      <c r="B708" t="str">
        <f>[39]人員・時間計画!$B$5</f>
        <v>外製管理課</v>
      </c>
      <c r="D708" s="197"/>
      <c r="E708" s="197"/>
    </row>
    <row r="709" spans="1:17" ht="14.5" hidden="1" thickBot="1">
      <c r="A709">
        <f>[39]人員・時間計画!$A$5</f>
        <v>1412000035</v>
      </c>
      <c r="B709" t="str">
        <f>[39]人員・時間計画!$B$5</f>
        <v>外製管理課</v>
      </c>
      <c r="C709" s="185" t="s">
        <v>202</v>
      </c>
      <c r="D709" s="185" t="s">
        <v>202</v>
      </c>
      <c r="E709" s="186"/>
    </row>
    <row r="710" spans="1:17" ht="14.5" hidden="1" thickBot="1">
      <c r="A710">
        <f>[39]人員・時間計画!$A$5</f>
        <v>1412000035</v>
      </c>
      <c r="B710" t="str">
        <f>[39]人員・時間計画!$B$5</f>
        <v>外製管理課</v>
      </c>
      <c r="C710" s="185" t="s">
        <v>202</v>
      </c>
      <c r="D710" s="198" t="s">
        <v>194</v>
      </c>
      <c r="E710" s="199"/>
      <c r="F710" s="214">
        <f>[39]人員・時間計画!C17</f>
        <v>340</v>
      </c>
      <c r="G710" s="214">
        <f>[39]人員・時間計画!D17</f>
        <v>323</v>
      </c>
      <c r="H710" s="214">
        <f>[39]人員・時間計画!E17</f>
        <v>357</v>
      </c>
      <c r="I710" s="214">
        <f>[39]人員・時間計画!F17</f>
        <v>391</v>
      </c>
      <c r="J710" s="214">
        <f>[39]人員・時間計画!G17</f>
        <v>297.5</v>
      </c>
      <c r="K710" s="214">
        <f>[39]人員・時間計画!H17</f>
        <v>280.5</v>
      </c>
      <c r="L710" s="214">
        <f>[39]人員・時間計画!I17</f>
        <v>391</v>
      </c>
      <c r="M710" s="214">
        <f>[39]人員・時間計画!J17</f>
        <v>340</v>
      </c>
      <c r="N710" s="214">
        <f>[39]人員・時間計画!K17</f>
        <v>374</v>
      </c>
      <c r="O710" s="214">
        <f>[39]人員・時間計画!L17</f>
        <v>297.5</v>
      </c>
      <c r="P710" s="214">
        <f>[39]人員・時間計画!M17</f>
        <v>212.5</v>
      </c>
      <c r="Q710" s="214">
        <f>[39]人員・時間計画!N17</f>
        <v>340</v>
      </c>
    </row>
    <row r="711" spans="1:17" ht="14.5" hidden="1" thickBot="1">
      <c r="A711">
        <f>[39]人員・時間計画!$A$5</f>
        <v>1412000035</v>
      </c>
      <c r="B711" t="str">
        <f>[39]人員・時間計画!$B$5</f>
        <v>外製管理課</v>
      </c>
      <c r="C711" s="185" t="s">
        <v>202</v>
      </c>
      <c r="D711" s="200"/>
      <c r="E711" s="190" t="s">
        <v>139</v>
      </c>
      <c r="F711" s="214">
        <f>[39]人員・時間計画!C18</f>
        <v>4037.5</v>
      </c>
      <c r="G711" s="214">
        <f>[39]人員・時間計画!D18</f>
        <v>4131</v>
      </c>
      <c r="H711" s="214">
        <f>[39]人員・時間計画!E18</f>
        <v>4930</v>
      </c>
      <c r="I711" s="214">
        <f>[39]人員・時間計画!F18</f>
        <v>5610</v>
      </c>
      <c r="J711" s="214">
        <f>[39]人員・時間計画!G18</f>
        <v>4845</v>
      </c>
      <c r="K711" s="214">
        <f>[39]人員・時間計画!H18</f>
        <v>4743</v>
      </c>
      <c r="L711" s="214">
        <f>[39]人員・時間計画!I18</f>
        <v>5984</v>
      </c>
      <c r="M711" s="214">
        <f>[39]人員・時間計画!J18</f>
        <v>5168</v>
      </c>
      <c r="N711" s="214">
        <f>[39]人員・時間計画!K18</f>
        <v>5712</v>
      </c>
      <c r="O711" s="214">
        <f>[39]人員・時間計画!L18</f>
        <v>5168</v>
      </c>
      <c r="P711" s="214">
        <f>[39]人員・時間計画!M18</f>
        <v>3808</v>
      </c>
      <c r="Q711" s="214">
        <f>[39]人員・時間計画!N18</f>
        <v>5168</v>
      </c>
    </row>
    <row r="712" spans="1:17" ht="14.5" thickBot="1">
      <c r="A712">
        <f>[39]人員・時間計画!$A$5</f>
        <v>1412000035</v>
      </c>
      <c r="B712" t="str">
        <f>[39]人員・時間計画!$B$5</f>
        <v>外製管理課</v>
      </c>
      <c r="C712" s="185" t="s">
        <v>202</v>
      </c>
      <c r="D712" s="201" t="s">
        <v>195</v>
      </c>
      <c r="E712" s="192" t="s">
        <v>140</v>
      </c>
      <c r="F712" s="214">
        <f>[39]人員・時間計画!C19</f>
        <v>646</v>
      </c>
      <c r="G712" s="214">
        <f>[39]人員・時間計画!D19</f>
        <v>612</v>
      </c>
      <c r="H712" s="214">
        <f>[39]人員・時間計画!E19</f>
        <v>680</v>
      </c>
      <c r="I712" s="214">
        <f>[39]人員・時間計画!F19</f>
        <v>748</v>
      </c>
      <c r="J712" s="214">
        <f>[39]人員・時間計画!G19</f>
        <v>646</v>
      </c>
      <c r="K712" s="214">
        <f>[39]人員・時間計画!H19</f>
        <v>612</v>
      </c>
      <c r="L712" s="214">
        <f>[39]人員・時間計画!I19</f>
        <v>748</v>
      </c>
      <c r="M712" s="214">
        <f>[39]人員・時間計画!J19</f>
        <v>646</v>
      </c>
      <c r="N712" s="214">
        <f>[39]人員・時間計画!K19</f>
        <v>714</v>
      </c>
      <c r="O712" s="214">
        <f>[39]人員・時間計画!L19</f>
        <v>646</v>
      </c>
      <c r="P712" s="214">
        <f>[39]人員・時間計画!M19</f>
        <v>476</v>
      </c>
      <c r="Q712" s="214">
        <f>[39]人員・時間計画!N19</f>
        <v>646</v>
      </c>
    </row>
    <row r="713" spans="1:17" ht="14.5" hidden="1" thickBot="1">
      <c r="A713">
        <f>[39]人員・時間計画!$A$5</f>
        <v>1412000035</v>
      </c>
      <c r="B713" t="str">
        <f>[39]人員・時間計画!$B$5</f>
        <v>外製管理課</v>
      </c>
      <c r="C713" s="185" t="s">
        <v>202</v>
      </c>
      <c r="D713" s="202"/>
      <c r="E713" s="203" t="s">
        <v>138</v>
      </c>
      <c r="F713" s="214">
        <f>[39]人員・時間計画!C20</f>
        <v>4683.5</v>
      </c>
      <c r="G713" s="214">
        <f>[39]人員・時間計画!D20</f>
        <v>4743</v>
      </c>
      <c r="H713" s="214">
        <f>[39]人員・時間計画!E20</f>
        <v>5610</v>
      </c>
      <c r="I713" s="214">
        <f>[39]人員・時間計画!F20</f>
        <v>6358</v>
      </c>
      <c r="J713" s="214">
        <f>[39]人員・時間計画!G20</f>
        <v>5491</v>
      </c>
      <c r="K713" s="214">
        <f>[39]人員・時間計画!H20</f>
        <v>5355</v>
      </c>
      <c r="L713" s="214">
        <f>[39]人員・時間計画!I20</f>
        <v>6732</v>
      </c>
      <c r="M713" s="214">
        <f>[39]人員・時間計画!J20</f>
        <v>5814</v>
      </c>
      <c r="N713" s="214">
        <f>[39]人員・時間計画!K20</f>
        <v>6426</v>
      </c>
      <c r="O713" s="214">
        <f>[39]人員・時間計画!L20</f>
        <v>5814</v>
      </c>
      <c r="P713" s="214">
        <f>[39]人員・時間計画!M20</f>
        <v>4284</v>
      </c>
      <c r="Q713" s="214">
        <f>[39]人員・時間計画!N20</f>
        <v>5814</v>
      </c>
    </row>
    <row r="714" spans="1:17" ht="14.5" hidden="1" thickBot="1">
      <c r="A714">
        <f>[39]人員・時間計画!$A$5</f>
        <v>1412000035</v>
      </c>
      <c r="B714" t="str">
        <f>[39]人員・時間計画!$B$5</f>
        <v>外製管理課</v>
      </c>
      <c r="C714" s="185" t="s">
        <v>202</v>
      </c>
      <c r="D714" s="204" t="s">
        <v>215</v>
      </c>
      <c r="E714" s="205"/>
      <c r="F714" s="214">
        <f>[39]人員・時間計画!C21</f>
        <v>5023.5</v>
      </c>
      <c r="G714" s="214">
        <f>[39]人員・時間計画!D21</f>
        <v>5066</v>
      </c>
      <c r="H714" s="214">
        <f>[39]人員・時間計画!E21</f>
        <v>5967</v>
      </c>
      <c r="I714" s="214">
        <f>[39]人員・時間計画!F21</f>
        <v>6749</v>
      </c>
      <c r="J714" s="214">
        <f>[39]人員・時間計画!G21</f>
        <v>5788.5</v>
      </c>
      <c r="K714" s="214">
        <f>[39]人員・時間計画!H21</f>
        <v>5635.5</v>
      </c>
      <c r="L714" s="214">
        <f>[39]人員・時間計画!I21</f>
        <v>7123</v>
      </c>
      <c r="M714" s="214">
        <f>[39]人員・時間計画!J21</f>
        <v>6154</v>
      </c>
      <c r="N714" s="214">
        <f>[39]人員・時間計画!K21</f>
        <v>6800</v>
      </c>
      <c r="O714" s="214">
        <f>[39]人員・時間計画!L21</f>
        <v>6111.5</v>
      </c>
      <c r="P714" s="214">
        <f>[39]人員・時間計画!M21</f>
        <v>4496.5</v>
      </c>
      <c r="Q714" s="214">
        <f>[39]人員・時間計画!N21</f>
        <v>6154</v>
      </c>
    </row>
    <row r="715" spans="1:17" ht="14.5" hidden="1" thickBot="1">
      <c r="A715">
        <f>[39]人員・時間計画!$A$5</f>
        <v>1412000035</v>
      </c>
      <c r="B715" t="str">
        <f>[39]人員・時間計画!$B$5</f>
        <v>外製管理課</v>
      </c>
      <c r="D715" s="197"/>
      <c r="E715" s="197"/>
    </row>
    <row r="716" spans="1:17" ht="14.5" hidden="1" thickBot="1">
      <c r="A716">
        <f>[39]人員・時間計画!$A$5</f>
        <v>1412000035</v>
      </c>
      <c r="B716" t="str">
        <f>[39]人員・時間計画!$B$5</f>
        <v>外製管理課</v>
      </c>
      <c r="C716" s="185" t="s">
        <v>71</v>
      </c>
      <c r="D716" s="185" t="s">
        <v>71</v>
      </c>
      <c r="E716" s="186"/>
    </row>
    <row r="717" spans="1:17" ht="14.5" hidden="1" thickBot="1">
      <c r="A717">
        <f>[39]人員・時間計画!$A$5</f>
        <v>1412000035</v>
      </c>
      <c r="B717" t="str">
        <f>[39]人員・時間計画!$B$5</f>
        <v>外製管理課</v>
      </c>
      <c r="C717" s="185" t="s">
        <v>71</v>
      </c>
      <c r="D717" s="198" t="s">
        <v>194</v>
      </c>
      <c r="E717" s="199"/>
      <c r="F717" s="214">
        <f>[39]人員・時間計画!C24</f>
        <v>80</v>
      </c>
      <c r="G717" s="214">
        <f>[39]人員・時間計画!D24</f>
        <v>76</v>
      </c>
      <c r="H717" s="214">
        <f>[39]人員・時間計画!E24</f>
        <v>84</v>
      </c>
      <c r="I717" s="214">
        <f>[39]人員・時間計画!F24</f>
        <v>92</v>
      </c>
      <c r="J717" s="214">
        <f>[39]人員・時間計画!G24</f>
        <v>70</v>
      </c>
      <c r="K717" s="214">
        <f>[39]人員・時間計画!H24</f>
        <v>66</v>
      </c>
      <c r="L717" s="214">
        <f>[39]人員・時間計画!I24</f>
        <v>92</v>
      </c>
      <c r="M717" s="214">
        <f>[39]人員・時間計画!J24</f>
        <v>80</v>
      </c>
      <c r="N717" s="214">
        <f>[39]人員・時間計画!K24</f>
        <v>88</v>
      </c>
      <c r="O717" s="214">
        <f>[39]人員・時間計画!L24</f>
        <v>70</v>
      </c>
      <c r="P717" s="214">
        <f>[39]人員・時間計画!M24</f>
        <v>50</v>
      </c>
      <c r="Q717" s="214">
        <f>[39]人員・時間計画!N24</f>
        <v>80</v>
      </c>
    </row>
    <row r="718" spans="1:17" ht="14.5" hidden="1" thickBot="1">
      <c r="A718">
        <f>[39]人員・時間計画!$A$5</f>
        <v>1412000035</v>
      </c>
      <c r="B718" t="str">
        <f>[39]人員・時間計画!$B$5</f>
        <v>外製管理課</v>
      </c>
      <c r="C718" s="185" t="s">
        <v>71</v>
      </c>
      <c r="D718" s="200"/>
      <c r="E718" s="206" t="s">
        <v>139</v>
      </c>
      <c r="F718" s="214">
        <f>[39]人員・時間計画!C25</f>
        <v>444</v>
      </c>
      <c r="G718" s="214">
        <f>[39]人員・時間計画!D25</f>
        <v>468</v>
      </c>
      <c r="H718" s="214">
        <f>[39]人員・時間計画!E25</f>
        <v>510</v>
      </c>
      <c r="I718" s="214">
        <f>[39]人員・時間計画!F25</f>
        <v>595</v>
      </c>
      <c r="J718" s="214">
        <f>[39]人員・時間計画!G25</f>
        <v>565</v>
      </c>
      <c r="K718" s="214">
        <f>[39]人員・時間計画!H25</f>
        <v>570</v>
      </c>
      <c r="L718" s="214">
        <f>[39]人員・時間計画!I25</f>
        <v>625</v>
      </c>
      <c r="M718" s="214">
        <f>[39]人員・時間計画!J25</f>
        <v>595</v>
      </c>
      <c r="N718" s="214">
        <f>[39]人員・時間計画!K25</f>
        <v>615</v>
      </c>
      <c r="O718" s="214">
        <f>[39]人員・時間計画!L25</f>
        <v>595</v>
      </c>
      <c r="P718" s="214">
        <f>[39]人員・時間計画!M25</f>
        <v>545</v>
      </c>
      <c r="Q718" s="214">
        <f>[39]人員・時間計画!N25</f>
        <v>595</v>
      </c>
    </row>
    <row r="719" spans="1:17" ht="14.5" thickBot="1">
      <c r="A719">
        <f>[39]人員・時間計画!$A$5</f>
        <v>1412000035</v>
      </c>
      <c r="B719" t="str">
        <f>[39]人員・時間計画!$B$5</f>
        <v>外製管理課</v>
      </c>
      <c r="C719" s="185" t="s">
        <v>71</v>
      </c>
      <c r="D719" s="201" t="s">
        <v>195</v>
      </c>
      <c r="E719" s="207" t="s">
        <v>140</v>
      </c>
      <c r="F719" s="214">
        <f>[39]人員・時間計画!C26</f>
        <v>60</v>
      </c>
      <c r="G719" s="214">
        <f>[39]人員・時間計画!D26</f>
        <v>60</v>
      </c>
      <c r="H719" s="214">
        <f>[39]人員・時間計画!E26</f>
        <v>60</v>
      </c>
      <c r="I719" s="214">
        <f>[39]人員・時間計画!F26</f>
        <v>60</v>
      </c>
      <c r="J719" s="214">
        <f>[39]人員・時間計画!G26</f>
        <v>60</v>
      </c>
      <c r="K719" s="214">
        <f>[39]人員・時間計画!H26</f>
        <v>60</v>
      </c>
      <c r="L719" s="214">
        <f>[39]人員・時間計画!I26</f>
        <v>60</v>
      </c>
      <c r="M719" s="214">
        <f>[39]人員・時間計画!J26</f>
        <v>60</v>
      </c>
      <c r="N719" s="214">
        <f>[39]人員・時間計画!K26</f>
        <v>60</v>
      </c>
      <c r="O719" s="214">
        <f>[39]人員・時間計画!L26</f>
        <v>60</v>
      </c>
      <c r="P719" s="214">
        <f>[39]人員・時間計画!M26</f>
        <v>60</v>
      </c>
      <c r="Q719" s="214">
        <f>[39]人員・時間計画!N26</f>
        <v>60</v>
      </c>
    </row>
    <row r="720" spans="1:17" ht="14.5" hidden="1" thickBot="1">
      <c r="A720">
        <f>[39]人員・時間計画!$A$5</f>
        <v>1412000035</v>
      </c>
      <c r="B720" t="str">
        <f>[39]人員・時間計画!$B$5</f>
        <v>外製管理課</v>
      </c>
      <c r="C720" s="185" t="s">
        <v>71</v>
      </c>
      <c r="D720" s="202"/>
      <c r="E720" s="203" t="s">
        <v>138</v>
      </c>
      <c r="F720" s="214">
        <f>[39]人員・時間計画!C27</f>
        <v>504</v>
      </c>
      <c r="G720" s="214">
        <f>[39]人員・時間計画!D27</f>
        <v>528</v>
      </c>
      <c r="H720" s="214">
        <f>[39]人員・時間計画!E27</f>
        <v>570</v>
      </c>
      <c r="I720" s="214">
        <f>[39]人員・時間計画!F27</f>
        <v>655</v>
      </c>
      <c r="J720" s="214">
        <f>[39]人員・時間計画!G27</f>
        <v>625</v>
      </c>
      <c r="K720" s="214">
        <f>[39]人員・時間計画!H27</f>
        <v>630</v>
      </c>
      <c r="L720" s="214">
        <f>[39]人員・時間計画!I27</f>
        <v>685</v>
      </c>
      <c r="M720" s="214">
        <f>[39]人員・時間計画!J27</f>
        <v>655</v>
      </c>
      <c r="N720" s="214">
        <f>[39]人員・時間計画!K27</f>
        <v>675</v>
      </c>
      <c r="O720" s="214">
        <f>[39]人員・時間計画!L27</f>
        <v>655</v>
      </c>
      <c r="P720" s="214">
        <f>[39]人員・時間計画!M27</f>
        <v>605</v>
      </c>
      <c r="Q720" s="214">
        <f>[39]人員・時間計画!N27</f>
        <v>655</v>
      </c>
    </row>
    <row r="721" spans="1:17" ht="14.5" hidden="1" thickBot="1">
      <c r="A721">
        <f>[39]人員・時間計画!$A$5</f>
        <v>1412000035</v>
      </c>
      <c r="B721" t="str">
        <f>[39]人員・時間計画!$B$5</f>
        <v>外製管理課</v>
      </c>
      <c r="C721" s="185" t="s">
        <v>71</v>
      </c>
      <c r="D721" s="204" t="s">
        <v>216</v>
      </c>
      <c r="E721" s="205"/>
      <c r="F721" s="214">
        <f>[39]人員・時間計画!C28</f>
        <v>584</v>
      </c>
      <c r="G721" s="214">
        <f>[39]人員・時間計画!D28</f>
        <v>604</v>
      </c>
      <c r="H721" s="214">
        <f>[39]人員・時間計画!E28</f>
        <v>654</v>
      </c>
      <c r="I721" s="214">
        <f>[39]人員・時間計画!F28</f>
        <v>747</v>
      </c>
      <c r="J721" s="214">
        <f>[39]人員・時間計画!G28</f>
        <v>695</v>
      </c>
      <c r="K721" s="214">
        <f>[39]人員・時間計画!H28</f>
        <v>696</v>
      </c>
      <c r="L721" s="214">
        <f>[39]人員・時間計画!I28</f>
        <v>777</v>
      </c>
      <c r="M721" s="214">
        <f>[39]人員・時間計画!J28</f>
        <v>735</v>
      </c>
      <c r="N721" s="214">
        <f>[39]人員・時間計画!K28</f>
        <v>763</v>
      </c>
      <c r="O721" s="214">
        <f>[39]人員・時間計画!L28</f>
        <v>725</v>
      </c>
      <c r="P721" s="214">
        <f>[39]人員・時間計画!M28</f>
        <v>655</v>
      </c>
      <c r="Q721" s="214">
        <f>[39]人員・時間計画!N28</f>
        <v>735</v>
      </c>
    </row>
    <row r="722" spans="1:17" ht="14.5" hidden="1" thickBot="1">
      <c r="A722">
        <f>[41]人員・時間計画!$A$5</f>
        <v>1412000016</v>
      </c>
      <c r="B722" t="str">
        <f>[41]人員・時間計画!$B$5</f>
        <v>生産技術1課</v>
      </c>
      <c r="C722" s="185" t="s">
        <v>3</v>
      </c>
      <c r="D722" s="185" t="s">
        <v>3</v>
      </c>
      <c r="E722" s="186"/>
    </row>
    <row r="723" spans="1:17" ht="14.5" hidden="1" thickBot="1">
      <c r="A723">
        <f>[41]人員・時間計画!$A$5</f>
        <v>1412000016</v>
      </c>
      <c r="B723" t="str">
        <f>[41]人員・時間計画!$B$5</f>
        <v>生産技術1課</v>
      </c>
      <c r="C723" s="185" t="s">
        <v>3</v>
      </c>
      <c r="D723" s="187" t="s">
        <v>194</v>
      </c>
      <c r="E723" s="188"/>
      <c r="F723" s="214">
        <f>[41]人員・時間計画!C10</f>
        <v>1</v>
      </c>
      <c r="G723" s="214">
        <f>[41]人員・時間計画!D10</f>
        <v>1</v>
      </c>
      <c r="H723" s="214">
        <f>[41]人員・時間計画!E10</f>
        <v>1</v>
      </c>
      <c r="I723" s="214">
        <f>[41]人員・時間計画!F10</f>
        <v>1</v>
      </c>
      <c r="J723" s="214">
        <f>[41]人員・時間計画!G10</f>
        <v>1</v>
      </c>
      <c r="K723" s="214">
        <f>[41]人員・時間計画!H10</f>
        <v>1</v>
      </c>
      <c r="L723" s="214">
        <f>[41]人員・時間計画!I10</f>
        <v>1</v>
      </c>
      <c r="M723" s="214">
        <f>[41]人員・時間計画!J10</f>
        <v>1</v>
      </c>
      <c r="N723" s="214">
        <f>[41]人員・時間計画!K10</f>
        <v>1</v>
      </c>
      <c r="O723" s="214">
        <f>[41]人員・時間計画!L10</f>
        <v>1</v>
      </c>
      <c r="P723" s="214">
        <f>[41]人員・時間計画!M10</f>
        <v>1</v>
      </c>
      <c r="Q723" s="214">
        <f>[41]人員・時間計画!N10</f>
        <v>1</v>
      </c>
    </row>
    <row r="724" spans="1:17" ht="14.5" hidden="1" thickBot="1">
      <c r="A724">
        <f>[41]人員・時間計画!$A$5</f>
        <v>1412000016</v>
      </c>
      <c r="B724" t="str">
        <f>[41]人員・時間計画!$B$5</f>
        <v>生産技術1課</v>
      </c>
      <c r="C724" s="185" t="s">
        <v>3</v>
      </c>
      <c r="D724" s="189"/>
      <c r="E724" s="190" t="s">
        <v>139</v>
      </c>
      <c r="F724" s="214">
        <f>[41]人員・時間計画!C11</f>
        <v>16</v>
      </c>
      <c r="G724" s="214">
        <f>[41]人員・時間計画!D11</f>
        <v>17</v>
      </c>
      <c r="H724" s="214">
        <f>[41]人員・時間計画!E11</f>
        <v>17</v>
      </c>
      <c r="I724" s="214">
        <f>[41]人員・時間計画!F11</f>
        <v>17</v>
      </c>
      <c r="J724" s="214">
        <f>[41]人員・時間計画!G11</f>
        <v>17</v>
      </c>
      <c r="K724" s="214">
        <f>[41]人員・時間計画!H11</f>
        <v>17</v>
      </c>
      <c r="L724" s="214">
        <f>[41]人員・時間計画!I11</f>
        <v>17</v>
      </c>
      <c r="M724" s="214">
        <f>[41]人員・時間計画!J11</f>
        <v>17</v>
      </c>
      <c r="N724" s="214">
        <f>[41]人員・時間計画!K11</f>
        <v>17</v>
      </c>
      <c r="O724" s="214">
        <f>[41]人員・時間計画!L11</f>
        <v>17</v>
      </c>
      <c r="P724" s="214">
        <f>[41]人員・時間計画!M11</f>
        <v>17</v>
      </c>
      <c r="Q724" s="214">
        <f>[41]人員・時間計画!N11</f>
        <v>17</v>
      </c>
    </row>
    <row r="725" spans="1:17" ht="14.5" thickBot="1">
      <c r="A725">
        <f>[41]人員・時間計画!$A$5</f>
        <v>1412000016</v>
      </c>
      <c r="B725" t="str">
        <f>[41]人員・時間計画!$B$5</f>
        <v>生産技術1課</v>
      </c>
      <c r="C725" s="185" t="s">
        <v>3</v>
      </c>
      <c r="D725" s="191" t="s">
        <v>195</v>
      </c>
      <c r="E725" s="192" t="s">
        <v>140</v>
      </c>
      <c r="F725" s="214">
        <f>[41]人員・時間計画!C12</f>
        <v>0</v>
      </c>
      <c r="G725" s="214">
        <f>[41]人員・時間計画!D12</f>
        <v>0</v>
      </c>
      <c r="H725" s="214">
        <f>[41]人員・時間計画!E12</f>
        <v>0</v>
      </c>
      <c r="I725" s="214">
        <f>[41]人員・時間計画!F12</f>
        <v>0</v>
      </c>
      <c r="J725" s="214">
        <f>[41]人員・時間計画!G12</f>
        <v>0</v>
      </c>
      <c r="K725" s="214">
        <f>[41]人員・時間計画!H12</f>
        <v>0</v>
      </c>
      <c r="L725" s="214">
        <f>[41]人員・時間計画!I12</f>
        <v>0</v>
      </c>
      <c r="M725" s="214">
        <f>[41]人員・時間計画!J12</f>
        <v>0</v>
      </c>
      <c r="N725" s="214">
        <f>[41]人員・時間計画!K12</f>
        <v>0</v>
      </c>
      <c r="O725" s="214">
        <f>[41]人員・時間計画!L12</f>
        <v>0</v>
      </c>
      <c r="P725" s="214">
        <f>[41]人員・時間計画!M12</f>
        <v>0</v>
      </c>
      <c r="Q725" s="214">
        <f>[41]人員・時間計画!N12</f>
        <v>0</v>
      </c>
    </row>
    <row r="726" spans="1:17" ht="14.5" hidden="1" thickBot="1">
      <c r="A726">
        <f>[41]人員・時間計画!$A$5</f>
        <v>1412000016</v>
      </c>
      <c r="B726" t="str">
        <f>[41]人員・時間計画!$B$5</f>
        <v>生産技術1課</v>
      </c>
      <c r="C726" s="185" t="s">
        <v>3</v>
      </c>
      <c r="D726" s="193"/>
      <c r="E726" s="194" t="s">
        <v>138</v>
      </c>
      <c r="F726" s="214">
        <f>[41]人員・時間計画!C13</f>
        <v>16</v>
      </c>
      <c r="G726" s="214">
        <f>[41]人員・時間計画!D13</f>
        <v>17</v>
      </c>
      <c r="H726" s="214">
        <f>[41]人員・時間計画!E13</f>
        <v>17</v>
      </c>
      <c r="I726" s="214">
        <f>[41]人員・時間計画!F13</f>
        <v>17</v>
      </c>
      <c r="J726" s="214">
        <f>[41]人員・時間計画!G13</f>
        <v>17</v>
      </c>
      <c r="K726" s="214">
        <f>[41]人員・時間計画!H13</f>
        <v>17</v>
      </c>
      <c r="L726" s="214">
        <f>[41]人員・時間計画!I13</f>
        <v>17</v>
      </c>
      <c r="M726" s="214">
        <f>[41]人員・時間計画!J13</f>
        <v>17</v>
      </c>
      <c r="N726" s="214">
        <f>[41]人員・時間計画!K13</f>
        <v>17</v>
      </c>
      <c r="O726" s="214">
        <f>[41]人員・時間計画!L13</f>
        <v>17</v>
      </c>
      <c r="P726" s="214">
        <f>[41]人員・時間計画!M13</f>
        <v>17</v>
      </c>
      <c r="Q726" s="214">
        <f>[41]人員・時間計画!N13</f>
        <v>17</v>
      </c>
    </row>
    <row r="727" spans="1:17" ht="14.5" hidden="1" thickBot="1">
      <c r="A727">
        <f>[41]人員・時間計画!$A$5</f>
        <v>1412000016</v>
      </c>
      <c r="B727" t="str">
        <f>[41]人員・時間計画!$B$5</f>
        <v>生産技術1課</v>
      </c>
      <c r="C727" s="185" t="s">
        <v>3</v>
      </c>
      <c r="D727" s="195" t="s">
        <v>196</v>
      </c>
      <c r="E727" s="196"/>
      <c r="F727" s="214">
        <f>[41]人員・時間計画!C14</f>
        <v>17</v>
      </c>
      <c r="G727" s="214">
        <f>[41]人員・時間計画!D14</f>
        <v>18</v>
      </c>
      <c r="H727" s="214">
        <f>[41]人員・時間計画!E14</f>
        <v>18</v>
      </c>
      <c r="I727" s="214">
        <f>[41]人員・時間計画!F14</f>
        <v>18</v>
      </c>
      <c r="J727" s="214">
        <f>[41]人員・時間計画!G14</f>
        <v>18</v>
      </c>
      <c r="K727" s="214">
        <f>[41]人員・時間計画!H14</f>
        <v>18</v>
      </c>
      <c r="L727" s="214">
        <f>[41]人員・時間計画!I14</f>
        <v>18</v>
      </c>
      <c r="M727" s="214">
        <f>[41]人員・時間計画!J14</f>
        <v>18</v>
      </c>
      <c r="N727" s="214">
        <f>[41]人員・時間計画!K14</f>
        <v>18</v>
      </c>
      <c r="O727" s="214">
        <f>[41]人員・時間計画!L14</f>
        <v>18</v>
      </c>
      <c r="P727" s="214">
        <f>[41]人員・時間計画!M14</f>
        <v>18</v>
      </c>
      <c r="Q727" s="214">
        <f>[41]人員・時間計画!N14</f>
        <v>18</v>
      </c>
    </row>
    <row r="728" spans="1:17" ht="14.5" hidden="1" thickBot="1">
      <c r="A728">
        <f>[41]人員・時間計画!$A$5</f>
        <v>1412000016</v>
      </c>
      <c r="B728" t="str">
        <f>[41]人員・時間計画!$B$5</f>
        <v>生産技術1課</v>
      </c>
      <c r="D728" s="197"/>
      <c r="E728" s="197"/>
    </row>
    <row r="729" spans="1:17" ht="14.5" hidden="1" thickBot="1">
      <c r="A729">
        <f>[41]人員・時間計画!$A$5</f>
        <v>1412000016</v>
      </c>
      <c r="B729" t="str">
        <f>[41]人員・時間計画!$B$5</f>
        <v>生産技術1課</v>
      </c>
      <c r="C729" s="185" t="s">
        <v>202</v>
      </c>
      <c r="D729" s="185" t="s">
        <v>202</v>
      </c>
      <c r="E729" s="186"/>
    </row>
    <row r="730" spans="1:17" ht="14.5" hidden="1" thickBot="1">
      <c r="A730">
        <f>[41]人員・時間計画!$A$5</f>
        <v>1412000016</v>
      </c>
      <c r="B730" t="str">
        <f>[41]人員・時間計画!$B$5</f>
        <v>生産技術1課</v>
      </c>
      <c r="C730" s="185" t="s">
        <v>202</v>
      </c>
      <c r="D730" s="198" t="s">
        <v>194</v>
      </c>
      <c r="E730" s="199"/>
      <c r="F730" s="214">
        <f>[41]人員・時間計画!C17</f>
        <v>153</v>
      </c>
      <c r="G730" s="214">
        <f>[41]人員・時間計画!D17</f>
        <v>144.5</v>
      </c>
      <c r="H730" s="214">
        <f>[41]人員・時間計画!E17</f>
        <v>178.5</v>
      </c>
      <c r="I730" s="214">
        <f>[41]人員・時間計画!F17</f>
        <v>195.5</v>
      </c>
      <c r="J730" s="214">
        <f>[41]人員・時間計画!G17</f>
        <v>170</v>
      </c>
      <c r="K730" s="214">
        <f>[41]人員・時間計画!H17</f>
        <v>161.5</v>
      </c>
      <c r="L730" s="214">
        <f>[41]人員・時間計画!I17</f>
        <v>195.5</v>
      </c>
      <c r="M730" s="214">
        <f>[41]人員・時間計画!J17</f>
        <v>170</v>
      </c>
      <c r="N730" s="214">
        <f>[41]人員・時間計画!K17</f>
        <v>170</v>
      </c>
      <c r="O730" s="214">
        <f>[41]人員・時間計画!L17</f>
        <v>170</v>
      </c>
      <c r="P730" s="214">
        <f>[41]人員・時間計画!M17</f>
        <v>127.5</v>
      </c>
      <c r="Q730" s="214">
        <f>[41]人員・時間計画!N17</f>
        <v>170</v>
      </c>
    </row>
    <row r="731" spans="1:17" ht="14.5" hidden="1" thickBot="1">
      <c r="A731">
        <f>[41]人員・時間計画!$A$5</f>
        <v>1412000016</v>
      </c>
      <c r="B731" t="str">
        <f>[41]人員・時間計画!$B$5</f>
        <v>生産技術1課</v>
      </c>
      <c r="C731" s="185" t="s">
        <v>202</v>
      </c>
      <c r="D731" s="200"/>
      <c r="E731" s="190" t="s">
        <v>139</v>
      </c>
      <c r="F731" s="214">
        <f>[41]人員・時間計画!C18</f>
        <v>2720</v>
      </c>
      <c r="G731" s="214">
        <f>[41]人員・時間計画!D18</f>
        <v>2745.5</v>
      </c>
      <c r="H731" s="214">
        <f>[41]人員・時間計画!E18</f>
        <v>3034.5</v>
      </c>
      <c r="I731" s="214">
        <f>[41]人員・時間計画!F18</f>
        <v>3323.5</v>
      </c>
      <c r="J731" s="214">
        <f>[41]人員・時間計画!G18</f>
        <v>2890</v>
      </c>
      <c r="K731" s="214">
        <f>[41]人員・時間計画!H18</f>
        <v>2745.5</v>
      </c>
      <c r="L731" s="214">
        <f>[41]人員・時間計画!I18</f>
        <v>3323.5</v>
      </c>
      <c r="M731" s="214">
        <f>[41]人員・時間計画!J18</f>
        <v>2890</v>
      </c>
      <c r="N731" s="214">
        <f>[41]人員・時間計画!K18</f>
        <v>3179</v>
      </c>
      <c r="O731" s="214">
        <f>[41]人員・時間計画!L18</f>
        <v>2890</v>
      </c>
      <c r="P731" s="214">
        <f>[41]人員・時間計画!M18</f>
        <v>2167.5</v>
      </c>
      <c r="Q731" s="214">
        <f>[41]人員・時間計画!N18</f>
        <v>2890</v>
      </c>
    </row>
    <row r="732" spans="1:17" ht="14.5" thickBot="1">
      <c r="A732">
        <f>[41]人員・時間計画!$A$5</f>
        <v>1412000016</v>
      </c>
      <c r="B732" t="str">
        <f>[41]人員・時間計画!$B$5</f>
        <v>生産技術1課</v>
      </c>
      <c r="C732" s="185" t="s">
        <v>202</v>
      </c>
      <c r="D732" s="201" t="s">
        <v>195</v>
      </c>
      <c r="E732" s="192" t="s">
        <v>140</v>
      </c>
      <c r="F732" s="214">
        <f>[41]人員・時間計画!C19</f>
        <v>0</v>
      </c>
      <c r="G732" s="214">
        <f>[41]人員・時間計画!D19</f>
        <v>0</v>
      </c>
      <c r="H732" s="214">
        <f>[41]人員・時間計画!E19</f>
        <v>0</v>
      </c>
      <c r="I732" s="214">
        <f>[41]人員・時間計画!F19</f>
        <v>0</v>
      </c>
      <c r="J732" s="214">
        <f>[41]人員・時間計画!G19</f>
        <v>0</v>
      </c>
      <c r="K732" s="214">
        <f>[41]人員・時間計画!H19</f>
        <v>0</v>
      </c>
      <c r="L732" s="214">
        <f>[41]人員・時間計画!I19</f>
        <v>0</v>
      </c>
      <c r="M732" s="214">
        <f>[41]人員・時間計画!J19</f>
        <v>0</v>
      </c>
      <c r="N732" s="214">
        <f>[41]人員・時間計画!K19</f>
        <v>0</v>
      </c>
      <c r="O732" s="214">
        <f>[41]人員・時間計画!L19</f>
        <v>0</v>
      </c>
      <c r="P732" s="214">
        <f>[41]人員・時間計画!M19</f>
        <v>0</v>
      </c>
      <c r="Q732" s="214">
        <f>[41]人員・時間計画!N19</f>
        <v>0</v>
      </c>
    </row>
    <row r="733" spans="1:17" ht="14.5" hidden="1" thickBot="1">
      <c r="A733">
        <f>[41]人員・時間計画!$A$5</f>
        <v>1412000016</v>
      </c>
      <c r="B733" t="str">
        <f>[41]人員・時間計画!$B$5</f>
        <v>生産技術1課</v>
      </c>
      <c r="C733" s="185" t="s">
        <v>202</v>
      </c>
      <c r="D733" s="202"/>
      <c r="E733" s="203" t="s">
        <v>138</v>
      </c>
      <c r="F733" s="214">
        <f>[41]人員・時間計画!C20</f>
        <v>2720</v>
      </c>
      <c r="G733" s="214">
        <f>[41]人員・時間計画!D20</f>
        <v>2745.5</v>
      </c>
      <c r="H733" s="214">
        <f>[41]人員・時間計画!E20</f>
        <v>3034.5</v>
      </c>
      <c r="I733" s="214">
        <f>[41]人員・時間計画!F20</f>
        <v>3323.5</v>
      </c>
      <c r="J733" s="214">
        <f>[41]人員・時間計画!G20</f>
        <v>2890</v>
      </c>
      <c r="K733" s="214">
        <f>[41]人員・時間計画!H20</f>
        <v>2745.5</v>
      </c>
      <c r="L733" s="214">
        <f>[41]人員・時間計画!I20</f>
        <v>3323.5</v>
      </c>
      <c r="M733" s="214">
        <f>[41]人員・時間計画!J20</f>
        <v>2890</v>
      </c>
      <c r="N733" s="214">
        <f>[41]人員・時間計画!K20</f>
        <v>3179</v>
      </c>
      <c r="O733" s="214">
        <f>[41]人員・時間計画!L20</f>
        <v>2890</v>
      </c>
      <c r="P733" s="214">
        <f>[41]人員・時間計画!M20</f>
        <v>2167.5</v>
      </c>
      <c r="Q733" s="214">
        <f>[41]人員・時間計画!N20</f>
        <v>2890</v>
      </c>
    </row>
    <row r="734" spans="1:17" ht="14.5" hidden="1" thickBot="1">
      <c r="A734">
        <f>[41]人員・時間計画!$A$5</f>
        <v>1412000016</v>
      </c>
      <c r="B734" t="str">
        <f>[41]人員・時間計画!$B$5</f>
        <v>生産技術1課</v>
      </c>
      <c r="C734" s="185" t="s">
        <v>202</v>
      </c>
      <c r="D734" s="204" t="s">
        <v>215</v>
      </c>
      <c r="E734" s="205"/>
      <c r="F734" s="214">
        <f>[41]人員・時間計画!C21</f>
        <v>2873</v>
      </c>
      <c r="G734" s="214">
        <f>[41]人員・時間計画!D21</f>
        <v>2890</v>
      </c>
      <c r="H734" s="214">
        <f>[41]人員・時間計画!E21</f>
        <v>3213</v>
      </c>
      <c r="I734" s="214">
        <f>[41]人員・時間計画!F21</f>
        <v>3519</v>
      </c>
      <c r="J734" s="214">
        <f>[41]人員・時間計画!G21</f>
        <v>3060</v>
      </c>
      <c r="K734" s="214">
        <f>[41]人員・時間計画!H21</f>
        <v>2907</v>
      </c>
      <c r="L734" s="214">
        <f>[41]人員・時間計画!I21</f>
        <v>3519</v>
      </c>
      <c r="M734" s="214">
        <f>[41]人員・時間計画!J21</f>
        <v>3060</v>
      </c>
      <c r="N734" s="214">
        <f>[41]人員・時間計画!K21</f>
        <v>3349</v>
      </c>
      <c r="O734" s="214">
        <f>[41]人員・時間計画!L21</f>
        <v>3060</v>
      </c>
      <c r="P734" s="214">
        <f>[41]人員・時間計画!M21</f>
        <v>2295</v>
      </c>
      <c r="Q734" s="214">
        <f>[41]人員・時間計画!N21</f>
        <v>3060</v>
      </c>
    </row>
    <row r="735" spans="1:17" ht="14.5" hidden="1" thickBot="1">
      <c r="A735">
        <f>[41]人員・時間計画!$A$5</f>
        <v>1412000016</v>
      </c>
      <c r="B735" t="str">
        <f>[41]人員・時間計画!$B$5</f>
        <v>生産技術1課</v>
      </c>
      <c r="D735" s="197"/>
      <c r="E735" s="197"/>
    </row>
    <row r="736" spans="1:17" ht="14.5" hidden="1" thickBot="1">
      <c r="A736">
        <f>[41]人員・時間計画!$A$5</f>
        <v>1412000016</v>
      </c>
      <c r="B736" t="str">
        <f>[41]人員・時間計画!$B$5</f>
        <v>生産技術1課</v>
      </c>
      <c r="C736" s="185" t="s">
        <v>71</v>
      </c>
      <c r="D736" s="185" t="s">
        <v>71</v>
      </c>
      <c r="E736" s="186"/>
    </row>
    <row r="737" spans="1:17" ht="14.5" hidden="1" thickBot="1">
      <c r="A737">
        <f>[41]人員・時間計画!$A$5</f>
        <v>1412000016</v>
      </c>
      <c r="B737" t="str">
        <f>[41]人員・時間計画!$B$5</f>
        <v>生産技術1課</v>
      </c>
      <c r="C737" s="185" t="s">
        <v>71</v>
      </c>
      <c r="D737" s="198" t="s">
        <v>194</v>
      </c>
      <c r="E737" s="199"/>
      <c r="F737" s="214">
        <f>[41]人員・時間計画!C24</f>
        <v>36</v>
      </c>
      <c r="G737" s="214">
        <f>[41]人員・時間計画!D24</f>
        <v>34</v>
      </c>
      <c r="H737" s="214">
        <f>[41]人員・時間計画!E24</f>
        <v>42</v>
      </c>
      <c r="I737" s="214">
        <f>[41]人員・時間計画!F24</f>
        <v>46</v>
      </c>
      <c r="J737" s="214">
        <f>[41]人員・時間計画!G24</f>
        <v>40</v>
      </c>
      <c r="K737" s="214">
        <f>[41]人員・時間計画!H24</f>
        <v>38</v>
      </c>
      <c r="L737" s="214">
        <f>[41]人員・時間計画!I24</f>
        <v>46</v>
      </c>
      <c r="M737" s="214">
        <f>[41]人員・時間計画!J24</f>
        <v>40</v>
      </c>
      <c r="N737" s="214">
        <f>[41]人員・時間計画!K24</f>
        <v>40</v>
      </c>
      <c r="O737" s="214">
        <f>[41]人員・時間計画!L24</f>
        <v>40</v>
      </c>
      <c r="P737" s="214">
        <f>[41]人員・時間計画!M24</f>
        <v>30</v>
      </c>
      <c r="Q737" s="214">
        <f>[41]人員・時間計画!N24</f>
        <v>40</v>
      </c>
    </row>
    <row r="738" spans="1:17" ht="14.5" hidden="1" thickBot="1">
      <c r="A738">
        <f>[41]人員・時間計画!$A$5</f>
        <v>1412000016</v>
      </c>
      <c r="B738" t="str">
        <f>[41]人員・時間計画!$B$5</f>
        <v>生産技術1課</v>
      </c>
      <c r="C738" s="185" t="s">
        <v>71</v>
      </c>
      <c r="D738" s="200"/>
      <c r="E738" s="206" t="s">
        <v>139</v>
      </c>
      <c r="F738" s="214">
        <f>[41]人員・時間計画!C25</f>
        <v>200</v>
      </c>
      <c r="G738" s="214">
        <f>[41]人員・時間計画!D25</f>
        <v>200</v>
      </c>
      <c r="H738" s="214">
        <f>[41]人員・時間計画!E25</f>
        <v>250</v>
      </c>
      <c r="I738" s="214">
        <f>[41]人員・時間計画!F25</f>
        <v>300</v>
      </c>
      <c r="J738" s="214">
        <f>[41]人員・時間計画!G25</f>
        <v>250</v>
      </c>
      <c r="K738" s="214">
        <f>[41]人員・時間計画!H25</f>
        <v>250</v>
      </c>
      <c r="L738" s="214">
        <f>[41]人員・時間計画!I25</f>
        <v>300</v>
      </c>
      <c r="M738" s="214">
        <f>[41]人員・時間計画!J25</f>
        <v>300</v>
      </c>
      <c r="N738" s="214">
        <f>[41]人員・時間計画!K25</f>
        <v>250</v>
      </c>
      <c r="O738" s="214">
        <f>[41]人員・時間計画!L25</f>
        <v>200</v>
      </c>
      <c r="P738" s="214">
        <f>[41]人員・時間計画!M25</f>
        <v>150</v>
      </c>
      <c r="Q738" s="214">
        <f>[41]人員・時間計画!N25</f>
        <v>200</v>
      </c>
    </row>
    <row r="739" spans="1:17" ht="14.5" thickBot="1">
      <c r="A739">
        <f>[41]人員・時間計画!$A$5</f>
        <v>1412000016</v>
      </c>
      <c r="B739" t="str">
        <f>[41]人員・時間計画!$B$5</f>
        <v>生産技術1課</v>
      </c>
      <c r="C739" s="185" t="s">
        <v>71</v>
      </c>
      <c r="D739" s="201" t="s">
        <v>195</v>
      </c>
      <c r="E739" s="207" t="s">
        <v>140</v>
      </c>
      <c r="F739" s="214">
        <f>[41]人員・時間計画!C26</f>
        <v>0</v>
      </c>
      <c r="G739" s="214">
        <f>[41]人員・時間計画!D26</f>
        <v>0</v>
      </c>
      <c r="H739" s="214">
        <f>[41]人員・時間計画!E26</f>
        <v>0</v>
      </c>
      <c r="I739" s="214">
        <f>[41]人員・時間計画!F26</f>
        <v>0</v>
      </c>
      <c r="J739" s="214">
        <f>[41]人員・時間計画!G26</f>
        <v>0</v>
      </c>
      <c r="K739" s="214">
        <f>[41]人員・時間計画!H26</f>
        <v>0</v>
      </c>
      <c r="L739" s="214">
        <f>[41]人員・時間計画!I26</f>
        <v>0</v>
      </c>
      <c r="M739" s="214">
        <f>[41]人員・時間計画!J26</f>
        <v>0</v>
      </c>
      <c r="N739" s="214">
        <f>[41]人員・時間計画!K26</f>
        <v>0</v>
      </c>
      <c r="O739" s="214">
        <f>[41]人員・時間計画!L26</f>
        <v>0</v>
      </c>
      <c r="P739" s="214">
        <f>[41]人員・時間計画!M26</f>
        <v>0</v>
      </c>
      <c r="Q739" s="214">
        <f>[41]人員・時間計画!N26</f>
        <v>0</v>
      </c>
    </row>
    <row r="740" spans="1:17" ht="14.5" hidden="1" thickBot="1">
      <c r="A740">
        <f>[41]人員・時間計画!$A$5</f>
        <v>1412000016</v>
      </c>
      <c r="B740" t="str">
        <f>[41]人員・時間計画!$B$5</f>
        <v>生産技術1課</v>
      </c>
      <c r="C740" s="185" t="s">
        <v>71</v>
      </c>
      <c r="D740" s="202"/>
      <c r="E740" s="203" t="s">
        <v>138</v>
      </c>
      <c r="F740" s="214">
        <f>[41]人員・時間計画!C27</f>
        <v>200</v>
      </c>
      <c r="G740" s="214">
        <f>[41]人員・時間計画!D27</f>
        <v>200</v>
      </c>
      <c r="H740" s="214">
        <f>[41]人員・時間計画!E27</f>
        <v>250</v>
      </c>
      <c r="I740" s="214">
        <f>[41]人員・時間計画!F27</f>
        <v>300</v>
      </c>
      <c r="J740" s="214">
        <f>[41]人員・時間計画!G27</f>
        <v>250</v>
      </c>
      <c r="K740" s="214">
        <f>[41]人員・時間計画!H27</f>
        <v>250</v>
      </c>
      <c r="L740" s="214">
        <f>[41]人員・時間計画!I27</f>
        <v>300</v>
      </c>
      <c r="M740" s="214">
        <f>[41]人員・時間計画!J27</f>
        <v>300</v>
      </c>
      <c r="N740" s="214">
        <f>[41]人員・時間計画!K27</f>
        <v>250</v>
      </c>
      <c r="O740" s="214">
        <f>[41]人員・時間計画!L27</f>
        <v>200</v>
      </c>
      <c r="P740" s="214">
        <f>[41]人員・時間計画!M27</f>
        <v>150</v>
      </c>
      <c r="Q740" s="214">
        <f>[41]人員・時間計画!N27</f>
        <v>200</v>
      </c>
    </row>
    <row r="741" spans="1:17" ht="14.5" hidden="1" thickBot="1">
      <c r="A741">
        <f>[41]人員・時間計画!$A$5</f>
        <v>1412000016</v>
      </c>
      <c r="B741" t="str">
        <f>[41]人員・時間計画!$B$5</f>
        <v>生産技術1課</v>
      </c>
      <c r="C741" s="185" t="s">
        <v>71</v>
      </c>
      <c r="D741" s="204" t="s">
        <v>216</v>
      </c>
      <c r="E741" s="205"/>
      <c r="F741" s="214">
        <f>[41]人員・時間計画!C28</f>
        <v>236</v>
      </c>
      <c r="G741" s="214">
        <f>[41]人員・時間計画!D28</f>
        <v>234</v>
      </c>
      <c r="H741" s="214">
        <f>[41]人員・時間計画!E28</f>
        <v>292</v>
      </c>
      <c r="I741" s="214">
        <f>[41]人員・時間計画!F28</f>
        <v>346</v>
      </c>
      <c r="J741" s="214">
        <f>[41]人員・時間計画!G28</f>
        <v>290</v>
      </c>
      <c r="K741" s="214">
        <f>[41]人員・時間計画!H28</f>
        <v>288</v>
      </c>
      <c r="L741" s="214">
        <f>[41]人員・時間計画!I28</f>
        <v>346</v>
      </c>
      <c r="M741" s="214">
        <f>[41]人員・時間計画!J28</f>
        <v>340</v>
      </c>
      <c r="N741" s="214">
        <f>[41]人員・時間計画!K28</f>
        <v>290</v>
      </c>
      <c r="O741" s="214">
        <f>[41]人員・時間計画!L28</f>
        <v>240</v>
      </c>
      <c r="P741" s="214">
        <f>[41]人員・時間計画!M28</f>
        <v>180</v>
      </c>
      <c r="Q741" s="214">
        <f>[41]人員・時間計画!N28</f>
        <v>240</v>
      </c>
    </row>
    <row r="742" spans="1:17" ht="14.5" hidden="1" thickBot="1">
      <c r="A742">
        <f>[42]人員・時間計画!$A$5</f>
        <v>1412000069</v>
      </c>
      <c r="B742" t="str">
        <f>[42]人員・時間計画!$B$5</f>
        <v>生産技術2課</v>
      </c>
      <c r="C742" s="185" t="s">
        <v>3</v>
      </c>
      <c r="D742" s="185" t="s">
        <v>3</v>
      </c>
      <c r="E742" s="186"/>
    </row>
    <row r="743" spans="1:17" ht="14.5" hidden="1" thickBot="1">
      <c r="A743">
        <f>[42]人員・時間計画!$A$5</f>
        <v>1412000069</v>
      </c>
      <c r="B743" t="str">
        <f>[42]人員・時間計画!$B$5</f>
        <v>生産技術2課</v>
      </c>
      <c r="C743" s="185" t="s">
        <v>3</v>
      </c>
      <c r="D743" s="187" t="s">
        <v>194</v>
      </c>
      <c r="E743" s="188"/>
      <c r="F743" s="214">
        <f>[42]人員・時間計画!C10</f>
        <v>1</v>
      </c>
      <c r="G743" s="214">
        <f>[42]人員・時間計画!D10</f>
        <v>1</v>
      </c>
      <c r="H743" s="214">
        <f>[42]人員・時間計画!E10</f>
        <v>1</v>
      </c>
      <c r="I743" s="214">
        <f>[42]人員・時間計画!F10</f>
        <v>1</v>
      </c>
      <c r="J743" s="214">
        <f>[42]人員・時間計画!G10</f>
        <v>1</v>
      </c>
      <c r="K743" s="214">
        <f>[42]人員・時間計画!H10</f>
        <v>1</v>
      </c>
      <c r="L743" s="214">
        <f>[42]人員・時間計画!I10</f>
        <v>1</v>
      </c>
      <c r="M743" s="214">
        <f>[42]人員・時間計画!J10</f>
        <v>1</v>
      </c>
      <c r="N743" s="214">
        <f>[42]人員・時間計画!K10</f>
        <v>1</v>
      </c>
      <c r="O743" s="214">
        <f>[42]人員・時間計画!L10</f>
        <v>1</v>
      </c>
      <c r="P743" s="214">
        <f>[42]人員・時間計画!M10</f>
        <v>1</v>
      </c>
      <c r="Q743" s="214">
        <f>[42]人員・時間計画!N10</f>
        <v>1</v>
      </c>
    </row>
    <row r="744" spans="1:17" ht="14.5" hidden="1" thickBot="1">
      <c r="A744">
        <f>[42]人員・時間計画!$A$5</f>
        <v>1412000069</v>
      </c>
      <c r="B744" t="str">
        <f>[42]人員・時間計画!$B$5</f>
        <v>生産技術2課</v>
      </c>
      <c r="C744" s="185" t="s">
        <v>3</v>
      </c>
      <c r="D744" s="189"/>
      <c r="E744" s="190" t="s">
        <v>139</v>
      </c>
      <c r="F744" s="214">
        <f>[42]人員・時間計画!C11</f>
        <v>12</v>
      </c>
      <c r="G744" s="214">
        <f>[42]人員・時間計画!D11</f>
        <v>13</v>
      </c>
      <c r="H744" s="214">
        <f>[42]人員・時間計画!E11</f>
        <v>13</v>
      </c>
      <c r="I744" s="214">
        <f>[42]人員・時間計画!F11</f>
        <v>13</v>
      </c>
      <c r="J744" s="214">
        <f>[42]人員・時間計画!G11</f>
        <v>13</v>
      </c>
      <c r="K744" s="214">
        <f>[42]人員・時間計画!H11</f>
        <v>13</v>
      </c>
      <c r="L744" s="214">
        <f>[42]人員・時間計画!I11</f>
        <v>13</v>
      </c>
      <c r="M744" s="214">
        <f>[42]人員・時間計画!J11</f>
        <v>13</v>
      </c>
      <c r="N744" s="214">
        <f>[42]人員・時間計画!K11</f>
        <v>13</v>
      </c>
      <c r="O744" s="214">
        <f>[42]人員・時間計画!L11</f>
        <v>13</v>
      </c>
      <c r="P744" s="214">
        <f>[42]人員・時間計画!M11</f>
        <v>13</v>
      </c>
      <c r="Q744" s="214">
        <f>[42]人員・時間計画!N11</f>
        <v>13</v>
      </c>
    </row>
    <row r="745" spans="1:17" ht="14.5" thickBot="1">
      <c r="A745">
        <f>[42]人員・時間計画!$A$5</f>
        <v>1412000069</v>
      </c>
      <c r="B745" t="str">
        <f>[42]人員・時間計画!$B$5</f>
        <v>生産技術2課</v>
      </c>
      <c r="C745" s="185" t="s">
        <v>3</v>
      </c>
      <c r="D745" s="191" t="s">
        <v>195</v>
      </c>
      <c r="E745" s="192" t="s">
        <v>140</v>
      </c>
      <c r="F745" s="214">
        <f>[42]人員・時間計画!C12</f>
        <v>0</v>
      </c>
      <c r="G745" s="214">
        <f>[42]人員・時間計画!D12</f>
        <v>0</v>
      </c>
      <c r="H745" s="214">
        <f>[42]人員・時間計画!E12</f>
        <v>0</v>
      </c>
      <c r="I745" s="214">
        <f>[42]人員・時間計画!F12</f>
        <v>0</v>
      </c>
      <c r="J745" s="214">
        <f>[42]人員・時間計画!G12</f>
        <v>0</v>
      </c>
      <c r="K745" s="214">
        <f>[42]人員・時間計画!H12</f>
        <v>0</v>
      </c>
      <c r="L745" s="214">
        <f>[42]人員・時間計画!I12</f>
        <v>0</v>
      </c>
      <c r="M745" s="214">
        <f>[42]人員・時間計画!J12</f>
        <v>0</v>
      </c>
      <c r="N745" s="214">
        <f>[42]人員・時間計画!K12</f>
        <v>0</v>
      </c>
      <c r="O745" s="214">
        <f>[42]人員・時間計画!L12</f>
        <v>0</v>
      </c>
      <c r="P745" s="214">
        <f>[42]人員・時間計画!M12</f>
        <v>0</v>
      </c>
      <c r="Q745" s="214">
        <f>[42]人員・時間計画!N12</f>
        <v>0</v>
      </c>
    </row>
    <row r="746" spans="1:17" ht="14.5" hidden="1" thickBot="1">
      <c r="A746">
        <f>[42]人員・時間計画!$A$5</f>
        <v>1412000069</v>
      </c>
      <c r="B746" t="str">
        <f>[42]人員・時間計画!$B$5</f>
        <v>生産技術2課</v>
      </c>
      <c r="C746" s="185" t="s">
        <v>3</v>
      </c>
      <c r="D746" s="193"/>
      <c r="E746" s="194" t="s">
        <v>138</v>
      </c>
      <c r="F746" s="214">
        <f>[42]人員・時間計画!C13</f>
        <v>12</v>
      </c>
      <c r="G746" s="214">
        <f>[42]人員・時間計画!D13</f>
        <v>13</v>
      </c>
      <c r="H746" s="214">
        <f>[42]人員・時間計画!E13</f>
        <v>13</v>
      </c>
      <c r="I746" s="214">
        <f>[42]人員・時間計画!F13</f>
        <v>13</v>
      </c>
      <c r="J746" s="214">
        <f>[42]人員・時間計画!G13</f>
        <v>13</v>
      </c>
      <c r="K746" s="214">
        <f>[42]人員・時間計画!H13</f>
        <v>13</v>
      </c>
      <c r="L746" s="214">
        <f>[42]人員・時間計画!I13</f>
        <v>13</v>
      </c>
      <c r="M746" s="214">
        <f>[42]人員・時間計画!J13</f>
        <v>13</v>
      </c>
      <c r="N746" s="214">
        <f>[42]人員・時間計画!K13</f>
        <v>13</v>
      </c>
      <c r="O746" s="214">
        <f>[42]人員・時間計画!L13</f>
        <v>13</v>
      </c>
      <c r="P746" s="214">
        <f>[42]人員・時間計画!M13</f>
        <v>13</v>
      </c>
      <c r="Q746" s="214">
        <f>[42]人員・時間計画!N13</f>
        <v>13</v>
      </c>
    </row>
    <row r="747" spans="1:17" ht="14.5" hidden="1" thickBot="1">
      <c r="A747">
        <f>[42]人員・時間計画!$A$5</f>
        <v>1412000069</v>
      </c>
      <c r="B747" t="str">
        <f>[42]人員・時間計画!$B$5</f>
        <v>生産技術2課</v>
      </c>
      <c r="C747" s="185" t="s">
        <v>3</v>
      </c>
      <c r="D747" s="195" t="s">
        <v>196</v>
      </c>
      <c r="E747" s="196"/>
      <c r="F747" s="214">
        <f>[42]人員・時間計画!C14</f>
        <v>13</v>
      </c>
      <c r="G747" s="214">
        <f>[42]人員・時間計画!D14</f>
        <v>14</v>
      </c>
      <c r="H747" s="214">
        <f>[42]人員・時間計画!E14</f>
        <v>14</v>
      </c>
      <c r="I747" s="214">
        <f>[42]人員・時間計画!F14</f>
        <v>14</v>
      </c>
      <c r="J747" s="214">
        <f>[42]人員・時間計画!G14</f>
        <v>14</v>
      </c>
      <c r="K747" s="214">
        <f>[42]人員・時間計画!H14</f>
        <v>14</v>
      </c>
      <c r="L747" s="214">
        <f>[42]人員・時間計画!I14</f>
        <v>14</v>
      </c>
      <c r="M747" s="214">
        <f>[42]人員・時間計画!J14</f>
        <v>14</v>
      </c>
      <c r="N747" s="214">
        <f>[42]人員・時間計画!K14</f>
        <v>14</v>
      </c>
      <c r="O747" s="214">
        <f>[42]人員・時間計画!L14</f>
        <v>14</v>
      </c>
      <c r="P747" s="214">
        <f>[42]人員・時間計画!M14</f>
        <v>14</v>
      </c>
      <c r="Q747" s="214">
        <f>[42]人員・時間計画!N14</f>
        <v>14</v>
      </c>
    </row>
    <row r="748" spans="1:17" ht="14.5" hidden="1" thickBot="1">
      <c r="A748">
        <f>[42]人員・時間計画!$A$5</f>
        <v>1412000069</v>
      </c>
      <c r="B748" t="str">
        <f>[42]人員・時間計画!$B$5</f>
        <v>生産技術2課</v>
      </c>
      <c r="D748" s="197"/>
      <c r="E748" s="197"/>
    </row>
    <row r="749" spans="1:17" ht="14.5" hidden="1" thickBot="1">
      <c r="A749">
        <f>[42]人員・時間計画!$A$5</f>
        <v>1412000069</v>
      </c>
      <c r="B749" t="str">
        <f>[42]人員・時間計画!$B$5</f>
        <v>生産技術2課</v>
      </c>
      <c r="C749" s="185" t="s">
        <v>202</v>
      </c>
      <c r="D749" s="185" t="s">
        <v>202</v>
      </c>
      <c r="E749" s="186"/>
    </row>
    <row r="750" spans="1:17" ht="14.5" hidden="1" thickBot="1">
      <c r="A750">
        <f>[42]人員・時間計画!$A$5</f>
        <v>1412000069</v>
      </c>
      <c r="B750" t="str">
        <f>[42]人員・時間計画!$B$5</f>
        <v>生産技術2課</v>
      </c>
      <c r="C750" s="185" t="s">
        <v>202</v>
      </c>
      <c r="D750" s="198" t="s">
        <v>194</v>
      </c>
      <c r="E750" s="199"/>
      <c r="F750" s="214">
        <f>[42]人員・時間計画!C17</f>
        <v>170</v>
      </c>
      <c r="G750" s="214">
        <f>[42]人員・時間計画!D17</f>
        <v>119</v>
      </c>
      <c r="H750" s="214">
        <f>[42]人員・時間計画!E17</f>
        <v>178.5</v>
      </c>
      <c r="I750" s="214">
        <f>[42]人員・時間計画!F17</f>
        <v>195.5</v>
      </c>
      <c r="J750" s="214">
        <f>[42]人員・時間計画!G17</f>
        <v>170</v>
      </c>
      <c r="K750" s="214">
        <f>[42]人員・時間計画!H17</f>
        <v>161.5</v>
      </c>
      <c r="L750" s="214">
        <f>[42]人員・時間計画!I17</f>
        <v>195.5</v>
      </c>
      <c r="M750" s="214">
        <f>[42]人員・時間計画!J17</f>
        <v>127.5</v>
      </c>
      <c r="N750" s="214">
        <f>[42]人員・時間計画!K17</f>
        <v>187</v>
      </c>
      <c r="O750" s="214">
        <f>[42]人員・時間計画!L17</f>
        <v>170</v>
      </c>
      <c r="P750" s="214">
        <f>[42]人員・時間計画!M17</f>
        <v>127.5</v>
      </c>
      <c r="Q750" s="214">
        <f>[42]人員・時間計画!N17</f>
        <v>170</v>
      </c>
    </row>
    <row r="751" spans="1:17" ht="14.5" hidden="1" thickBot="1">
      <c r="A751">
        <f>[42]人員・時間計画!$A$5</f>
        <v>1412000069</v>
      </c>
      <c r="B751" t="str">
        <f>[42]人員・時間計画!$B$5</f>
        <v>生産技術2課</v>
      </c>
      <c r="C751" s="185" t="s">
        <v>202</v>
      </c>
      <c r="D751" s="200"/>
      <c r="E751" s="190" t="s">
        <v>139</v>
      </c>
      <c r="F751" s="214">
        <f>[42]人員・時間計画!C18</f>
        <v>1938</v>
      </c>
      <c r="G751" s="214">
        <f>[42]人員・時間計画!D18</f>
        <v>1989</v>
      </c>
      <c r="H751" s="214">
        <f>[42]人員・時間計画!E18</f>
        <v>2210</v>
      </c>
      <c r="I751" s="214">
        <f>[42]人員・時間計画!F18</f>
        <v>2431</v>
      </c>
      <c r="J751" s="214">
        <f>[42]人員・時間計画!G18</f>
        <v>2099.5</v>
      </c>
      <c r="K751" s="214">
        <f>[42]人員・時間計画!H18</f>
        <v>1989</v>
      </c>
      <c r="L751" s="214">
        <f>[42]人員・時間計画!I18</f>
        <v>2431</v>
      </c>
      <c r="M751" s="214">
        <f>[42]人員・時間計画!J18</f>
        <v>2099.5</v>
      </c>
      <c r="N751" s="214">
        <f>[42]人員・時間計画!K18</f>
        <v>2265.25</v>
      </c>
      <c r="O751" s="214">
        <f>[42]人員・時間計画!L18</f>
        <v>2099.5</v>
      </c>
      <c r="P751" s="214">
        <f>[42]人員・時間計画!M18</f>
        <v>1547</v>
      </c>
      <c r="Q751" s="214">
        <f>[42]人員・時間計画!N18</f>
        <v>2099.5</v>
      </c>
    </row>
    <row r="752" spans="1:17" ht="14.5" thickBot="1">
      <c r="A752">
        <f>[42]人員・時間計画!$A$5</f>
        <v>1412000069</v>
      </c>
      <c r="B752" t="str">
        <f>[42]人員・時間計画!$B$5</f>
        <v>生産技術2課</v>
      </c>
      <c r="C752" s="185" t="s">
        <v>202</v>
      </c>
      <c r="D752" s="201" t="s">
        <v>195</v>
      </c>
      <c r="E752" s="192" t="s">
        <v>140</v>
      </c>
      <c r="F752" s="214">
        <f>[42]人員・時間計画!C19</f>
        <v>0</v>
      </c>
      <c r="G752" s="214">
        <f>[42]人員・時間計画!D19</f>
        <v>0</v>
      </c>
      <c r="H752" s="214">
        <f>[42]人員・時間計画!E19</f>
        <v>0</v>
      </c>
      <c r="I752" s="214">
        <f>[42]人員・時間計画!F19</f>
        <v>0</v>
      </c>
      <c r="J752" s="214">
        <f>[42]人員・時間計画!G19</f>
        <v>0</v>
      </c>
      <c r="K752" s="214">
        <f>[42]人員・時間計画!H19</f>
        <v>0</v>
      </c>
      <c r="L752" s="214">
        <f>[42]人員・時間計画!I19</f>
        <v>0</v>
      </c>
      <c r="M752" s="214">
        <f>[42]人員・時間計画!J19</f>
        <v>0</v>
      </c>
      <c r="N752" s="214">
        <f>[42]人員・時間計画!K19</f>
        <v>0</v>
      </c>
      <c r="O752" s="214">
        <f>[42]人員・時間計画!L19</f>
        <v>0</v>
      </c>
      <c r="P752" s="214">
        <f>[42]人員・時間計画!M19</f>
        <v>0</v>
      </c>
      <c r="Q752" s="214">
        <f>[42]人員・時間計画!N19</f>
        <v>0</v>
      </c>
    </row>
    <row r="753" spans="1:17" ht="14.5" hidden="1" thickBot="1">
      <c r="A753">
        <f>[42]人員・時間計画!$A$5</f>
        <v>1412000069</v>
      </c>
      <c r="B753" t="str">
        <f>[42]人員・時間計画!$B$5</f>
        <v>生産技術2課</v>
      </c>
      <c r="C753" s="185" t="s">
        <v>202</v>
      </c>
      <c r="D753" s="202"/>
      <c r="E753" s="203" t="s">
        <v>138</v>
      </c>
      <c r="F753" s="214">
        <f>[42]人員・時間計画!C20</f>
        <v>1938</v>
      </c>
      <c r="G753" s="214">
        <f>[42]人員・時間計画!D20</f>
        <v>1989</v>
      </c>
      <c r="H753" s="214">
        <f>[42]人員・時間計画!E20</f>
        <v>2210</v>
      </c>
      <c r="I753" s="214">
        <f>[42]人員・時間計画!F20</f>
        <v>2431</v>
      </c>
      <c r="J753" s="214">
        <f>[42]人員・時間計画!G20</f>
        <v>2099.5</v>
      </c>
      <c r="K753" s="214">
        <f>[42]人員・時間計画!H20</f>
        <v>1989</v>
      </c>
      <c r="L753" s="214">
        <f>[42]人員・時間計画!I20</f>
        <v>2431</v>
      </c>
      <c r="M753" s="214">
        <f>[42]人員・時間計画!J20</f>
        <v>2099.5</v>
      </c>
      <c r="N753" s="214">
        <f>[42]人員・時間計画!K20</f>
        <v>2265.25</v>
      </c>
      <c r="O753" s="214">
        <f>[42]人員・時間計画!L20</f>
        <v>2099.5</v>
      </c>
      <c r="P753" s="214">
        <f>[42]人員・時間計画!M20</f>
        <v>1547</v>
      </c>
      <c r="Q753" s="214">
        <f>[42]人員・時間計画!N20</f>
        <v>2099.5</v>
      </c>
    </row>
    <row r="754" spans="1:17" ht="14.5" hidden="1" thickBot="1">
      <c r="A754">
        <f>[42]人員・時間計画!$A$5</f>
        <v>1412000069</v>
      </c>
      <c r="B754" t="str">
        <f>[42]人員・時間計画!$B$5</f>
        <v>生産技術2課</v>
      </c>
      <c r="C754" s="185" t="s">
        <v>202</v>
      </c>
      <c r="D754" s="204" t="s">
        <v>215</v>
      </c>
      <c r="E754" s="205"/>
      <c r="F754" s="214">
        <f>[42]人員・時間計画!C21</f>
        <v>2108</v>
      </c>
      <c r="G754" s="214">
        <f>[42]人員・時間計画!D21</f>
        <v>2108</v>
      </c>
      <c r="H754" s="214">
        <f>[42]人員・時間計画!E21</f>
        <v>2388.5</v>
      </c>
      <c r="I754" s="214">
        <f>[42]人員・時間計画!F21</f>
        <v>2626.5</v>
      </c>
      <c r="J754" s="214">
        <f>[42]人員・時間計画!G21</f>
        <v>2269.5</v>
      </c>
      <c r="K754" s="214">
        <f>[42]人員・時間計画!H21</f>
        <v>2150.5</v>
      </c>
      <c r="L754" s="214">
        <f>[42]人員・時間計画!I21</f>
        <v>2626.5</v>
      </c>
      <c r="M754" s="214">
        <f>[42]人員・時間計画!J21</f>
        <v>2227</v>
      </c>
      <c r="N754" s="214">
        <f>[42]人員・時間計画!K21</f>
        <v>2452.25</v>
      </c>
      <c r="O754" s="214">
        <f>[42]人員・時間計画!L21</f>
        <v>2269.5</v>
      </c>
      <c r="P754" s="214">
        <f>[42]人員・時間計画!M21</f>
        <v>1674.5</v>
      </c>
      <c r="Q754" s="214">
        <f>[42]人員・時間計画!N21</f>
        <v>2269.5</v>
      </c>
    </row>
    <row r="755" spans="1:17" ht="14.5" hidden="1" thickBot="1">
      <c r="A755">
        <f>[42]人員・時間計画!$A$5</f>
        <v>1412000069</v>
      </c>
      <c r="B755" t="str">
        <f>[42]人員・時間計画!$B$5</f>
        <v>生産技術2課</v>
      </c>
      <c r="D755" s="197"/>
      <c r="E755" s="197"/>
    </row>
    <row r="756" spans="1:17" ht="14.5" hidden="1" thickBot="1">
      <c r="A756">
        <f>[42]人員・時間計画!$A$5</f>
        <v>1412000069</v>
      </c>
      <c r="B756" t="str">
        <f>[42]人員・時間計画!$B$5</f>
        <v>生産技術2課</v>
      </c>
      <c r="C756" s="185" t="s">
        <v>71</v>
      </c>
      <c r="D756" s="185" t="s">
        <v>71</v>
      </c>
      <c r="E756" s="186"/>
    </row>
    <row r="757" spans="1:17" ht="14.5" hidden="1" thickBot="1">
      <c r="A757">
        <f>[42]人員・時間計画!$A$5</f>
        <v>1412000069</v>
      </c>
      <c r="B757" t="str">
        <f>[42]人員・時間計画!$B$5</f>
        <v>生産技術2課</v>
      </c>
      <c r="C757" s="185" t="s">
        <v>71</v>
      </c>
      <c r="D757" s="198" t="s">
        <v>194</v>
      </c>
      <c r="E757" s="199"/>
      <c r="F757" s="214">
        <f>[42]人員・時間計画!C24</f>
        <v>40</v>
      </c>
      <c r="G757" s="214">
        <f>[42]人員・時間計画!D24</f>
        <v>28</v>
      </c>
      <c r="H757" s="214">
        <f>[42]人員・時間計画!E24</f>
        <v>42</v>
      </c>
      <c r="I757" s="214">
        <f>[42]人員・時間計画!F24</f>
        <v>46</v>
      </c>
      <c r="J757" s="214">
        <f>[42]人員・時間計画!G24</f>
        <v>40</v>
      </c>
      <c r="K757" s="214">
        <f>[42]人員・時間計画!H24</f>
        <v>38</v>
      </c>
      <c r="L757" s="214">
        <f>[42]人員・時間計画!I24</f>
        <v>46</v>
      </c>
      <c r="M757" s="214">
        <f>[42]人員・時間計画!J24</f>
        <v>30</v>
      </c>
      <c r="N757" s="214">
        <f>[42]人員・時間計画!K24</f>
        <v>44</v>
      </c>
      <c r="O757" s="214">
        <f>[42]人員・時間計画!L24</f>
        <v>40</v>
      </c>
      <c r="P757" s="214">
        <f>[42]人員・時間計画!M24</f>
        <v>30</v>
      </c>
      <c r="Q757" s="214">
        <f>[42]人員・時間計画!N24</f>
        <v>40</v>
      </c>
    </row>
    <row r="758" spans="1:17" ht="14.5" hidden="1" thickBot="1">
      <c r="A758">
        <f>[42]人員・時間計画!$A$5</f>
        <v>1412000069</v>
      </c>
      <c r="B758" t="str">
        <f>[42]人員・時間計画!$B$5</f>
        <v>生産技術2課</v>
      </c>
      <c r="C758" s="185" t="s">
        <v>71</v>
      </c>
      <c r="D758" s="200"/>
      <c r="E758" s="206" t="s">
        <v>139</v>
      </c>
      <c r="F758" s="214">
        <f>[42]人員・時間計画!C25</f>
        <v>80</v>
      </c>
      <c r="G758" s="214">
        <f>[42]人員・時間計画!D25</f>
        <v>80</v>
      </c>
      <c r="H758" s="214">
        <f>[42]人員・時間計画!E25</f>
        <v>80</v>
      </c>
      <c r="I758" s="214">
        <f>[42]人員・時間計画!F25</f>
        <v>100</v>
      </c>
      <c r="J758" s="214">
        <f>[42]人員・時間計画!G25</f>
        <v>100</v>
      </c>
      <c r="K758" s="214">
        <f>[42]人員・時間計画!H25</f>
        <v>100</v>
      </c>
      <c r="L758" s="214">
        <f>[42]人員・時間計画!I25</f>
        <v>100</v>
      </c>
      <c r="M758" s="214">
        <f>[42]人員・時間計画!J25</f>
        <v>100</v>
      </c>
      <c r="N758" s="214">
        <f>[42]人員・時間計画!K25</f>
        <v>100</v>
      </c>
      <c r="O758" s="214">
        <f>[42]人員・時間計画!L25</f>
        <v>80</v>
      </c>
      <c r="P758" s="214">
        <f>[42]人員・時間計画!M25</f>
        <v>60</v>
      </c>
      <c r="Q758" s="214">
        <f>[42]人員・時間計画!N25</f>
        <v>80</v>
      </c>
    </row>
    <row r="759" spans="1:17" ht="14.5" thickBot="1">
      <c r="A759">
        <f>[42]人員・時間計画!$A$5</f>
        <v>1412000069</v>
      </c>
      <c r="B759" t="str">
        <f>[42]人員・時間計画!$B$5</f>
        <v>生産技術2課</v>
      </c>
      <c r="C759" s="185" t="s">
        <v>71</v>
      </c>
      <c r="D759" s="201" t="s">
        <v>195</v>
      </c>
      <c r="E759" s="207" t="s">
        <v>140</v>
      </c>
      <c r="F759" s="214">
        <f>[42]人員・時間計画!C26</f>
        <v>0</v>
      </c>
      <c r="G759" s="214">
        <f>[42]人員・時間計画!D26</f>
        <v>0</v>
      </c>
      <c r="H759" s="214">
        <f>[42]人員・時間計画!E26</f>
        <v>0</v>
      </c>
      <c r="I759" s="214">
        <f>[42]人員・時間計画!F26</f>
        <v>0</v>
      </c>
      <c r="J759" s="214">
        <f>[42]人員・時間計画!G26</f>
        <v>0</v>
      </c>
      <c r="K759" s="214">
        <f>[42]人員・時間計画!H26</f>
        <v>0</v>
      </c>
      <c r="L759" s="214">
        <f>[42]人員・時間計画!I26</f>
        <v>0</v>
      </c>
      <c r="M759" s="214">
        <f>[42]人員・時間計画!J26</f>
        <v>0</v>
      </c>
      <c r="N759" s="214">
        <f>[42]人員・時間計画!K26</f>
        <v>0</v>
      </c>
      <c r="O759" s="214">
        <f>[42]人員・時間計画!L26</f>
        <v>0</v>
      </c>
      <c r="P759" s="214">
        <f>[42]人員・時間計画!M26</f>
        <v>0</v>
      </c>
      <c r="Q759" s="214">
        <f>[42]人員・時間計画!N26</f>
        <v>0</v>
      </c>
    </row>
    <row r="760" spans="1:17" ht="14.5" hidden="1" thickBot="1">
      <c r="A760">
        <f>[42]人員・時間計画!$A$5</f>
        <v>1412000069</v>
      </c>
      <c r="B760" t="str">
        <f>[42]人員・時間計画!$B$5</f>
        <v>生産技術2課</v>
      </c>
      <c r="C760" s="185" t="s">
        <v>71</v>
      </c>
      <c r="D760" s="202"/>
      <c r="E760" s="203" t="s">
        <v>138</v>
      </c>
      <c r="F760" s="214">
        <f>[42]人員・時間計画!C27</f>
        <v>80</v>
      </c>
      <c r="G760" s="214">
        <f>[42]人員・時間計画!D27</f>
        <v>80</v>
      </c>
      <c r="H760" s="214">
        <f>[42]人員・時間計画!E27</f>
        <v>80</v>
      </c>
      <c r="I760" s="214">
        <f>[42]人員・時間計画!F27</f>
        <v>100</v>
      </c>
      <c r="J760" s="214">
        <f>[42]人員・時間計画!G27</f>
        <v>100</v>
      </c>
      <c r="K760" s="214">
        <f>[42]人員・時間計画!H27</f>
        <v>100</v>
      </c>
      <c r="L760" s="214">
        <f>[42]人員・時間計画!I27</f>
        <v>100</v>
      </c>
      <c r="M760" s="214">
        <f>[42]人員・時間計画!J27</f>
        <v>100</v>
      </c>
      <c r="N760" s="214">
        <f>[42]人員・時間計画!K27</f>
        <v>100</v>
      </c>
      <c r="O760" s="214">
        <f>[42]人員・時間計画!L27</f>
        <v>80</v>
      </c>
      <c r="P760" s="214">
        <f>[42]人員・時間計画!M27</f>
        <v>60</v>
      </c>
      <c r="Q760" s="214">
        <f>[42]人員・時間計画!N27</f>
        <v>80</v>
      </c>
    </row>
    <row r="761" spans="1:17" ht="14.5" hidden="1" thickBot="1">
      <c r="A761">
        <f>[42]人員・時間計画!$A$5</f>
        <v>1412000069</v>
      </c>
      <c r="B761" t="str">
        <f>[42]人員・時間計画!$B$5</f>
        <v>生産技術2課</v>
      </c>
      <c r="C761" s="185" t="s">
        <v>71</v>
      </c>
      <c r="D761" s="204" t="s">
        <v>216</v>
      </c>
      <c r="E761" s="205"/>
      <c r="F761" s="214">
        <f>[42]人員・時間計画!C28</f>
        <v>120</v>
      </c>
      <c r="G761" s="214">
        <f>[42]人員・時間計画!D28</f>
        <v>108</v>
      </c>
      <c r="H761" s="214">
        <f>[42]人員・時間計画!E28</f>
        <v>122</v>
      </c>
      <c r="I761" s="214">
        <f>[42]人員・時間計画!F28</f>
        <v>146</v>
      </c>
      <c r="J761" s="214">
        <f>[42]人員・時間計画!G28</f>
        <v>140</v>
      </c>
      <c r="K761" s="214">
        <f>[42]人員・時間計画!H28</f>
        <v>138</v>
      </c>
      <c r="L761" s="214">
        <f>[42]人員・時間計画!I28</f>
        <v>146</v>
      </c>
      <c r="M761" s="214">
        <f>[42]人員・時間計画!J28</f>
        <v>130</v>
      </c>
      <c r="N761" s="214">
        <f>[42]人員・時間計画!K28</f>
        <v>144</v>
      </c>
      <c r="O761" s="214">
        <f>[42]人員・時間計画!L28</f>
        <v>120</v>
      </c>
      <c r="P761" s="214">
        <f>[42]人員・時間計画!M28</f>
        <v>90</v>
      </c>
      <c r="Q761" s="214">
        <f>[42]人員・時間計画!N28</f>
        <v>120</v>
      </c>
    </row>
    <row r="762" spans="1:17" ht="14.5" hidden="1" thickBot="1">
      <c r="A762">
        <f>[49]人員・時間計画!$A$5</f>
        <v>1412000070</v>
      </c>
      <c r="B762" t="str">
        <f>[49]人員・時間計画!$B$5</f>
        <v>第4資材課</v>
      </c>
      <c r="C762" s="185" t="s">
        <v>3</v>
      </c>
      <c r="D762" s="185" t="s">
        <v>3</v>
      </c>
      <c r="E762" s="186"/>
    </row>
    <row r="763" spans="1:17" ht="14.5" hidden="1" thickBot="1">
      <c r="A763">
        <f>[49]人員・時間計画!$A$5</f>
        <v>1412000070</v>
      </c>
      <c r="B763" t="str">
        <f>[49]人員・時間計画!$B$5</f>
        <v>第4資材課</v>
      </c>
      <c r="C763" s="185" t="s">
        <v>3</v>
      </c>
      <c r="D763" s="187" t="s">
        <v>194</v>
      </c>
      <c r="E763" s="188"/>
      <c r="F763" s="214">
        <f>[49]人員・時間計画!C10</f>
        <v>0</v>
      </c>
      <c r="G763" s="214">
        <f>[49]人員・時間計画!D10</f>
        <v>0</v>
      </c>
      <c r="H763" s="214">
        <f>[49]人員・時間計画!E10</f>
        <v>0</v>
      </c>
      <c r="I763" s="214">
        <f>[49]人員・時間計画!F10</f>
        <v>0</v>
      </c>
      <c r="J763" s="214">
        <f>[49]人員・時間計画!G10</f>
        <v>0</v>
      </c>
      <c r="K763" s="214">
        <f>[49]人員・時間計画!H10</f>
        <v>0</v>
      </c>
      <c r="L763" s="214">
        <f>[49]人員・時間計画!I10</f>
        <v>0</v>
      </c>
      <c r="M763" s="214">
        <f>[49]人員・時間計画!J10</f>
        <v>0</v>
      </c>
      <c r="N763" s="214">
        <f>[49]人員・時間計画!K10</f>
        <v>0</v>
      </c>
      <c r="O763" s="214">
        <f>[49]人員・時間計画!L10</f>
        <v>0</v>
      </c>
      <c r="P763" s="214">
        <f>[49]人員・時間計画!M10</f>
        <v>0</v>
      </c>
      <c r="Q763" s="214">
        <f>[49]人員・時間計画!N10</f>
        <v>0</v>
      </c>
    </row>
    <row r="764" spans="1:17" ht="14.5" hidden="1" thickBot="1">
      <c r="A764">
        <f>[49]人員・時間計画!$A$5</f>
        <v>1412000070</v>
      </c>
      <c r="B764" t="str">
        <f>[49]人員・時間計画!$B$5</f>
        <v>第4資材課</v>
      </c>
      <c r="C764" s="185" t="s">
        <v>3</v>
      </c>
      <c r="D764" s="189"/>
      <c r="E764" s="190" t="s">
        <v>139</v>
      </c>
      <c r="F764" s="214">
        <f>[49]人員・時間計画!C11</f>
        <v>8</v>
      </c>
      <c r="G764" s="214">
        <f>[49]人員・時間計画!D11</f>
        <v>8</v>
      </c>
      <c r="H764" s="214">
        <f>[49]人員・時間計画!E11</f>
        <v>8</v>
      </c>
      <c r="I764" s="214">
        <f>[49]人員・時間計画!F11</f>
        <v>8</v>
      </c>
      <c r="J764" s="214">
        <f>[49]人員・時間計画!G11</f>
        <v>8</v>
      </c>
      <c r="K764" s="214">
        <f>[49]人員・時間計画!H11</f>
        <v>8</v>
      </c>
      <c r="L764" s="214">
        <f>[49]人員・時間計画!I11</f>
        <v>8</v>
      </c>
      <c r="M764" s="214">
        <f>[49]人員・時間計画!J11</f>
        <v>8</v>
      </c>
      <c r="N764" s="214">
        <f>[49]人員・時間計画!K11</f>
        <v>8</v>
      </c>
      <c r="O764" s="214">
        <f>[49]人員・時間計画!L11</f>
        <v>8</v>
      </c>
      <c r="P764" s="214">
        <f>[49]人員・時間計画!M11</f>
        <v>8</v>
      </c>
      <c r="Q764" s="214">
        <f>[49]人員・時間計画!N11</f>
        <v>8</v>
      </c>
    </row>
    <row r="765" spans="1:17" ht="14.5" thickBot="1">
      <c r="A765">
        <f>[49]人員・時間計画!$A$5</f>
        <v>1412000070</v>
      </c>
      <c r="B765" t="str">
        <f>[49]人員・時間計画!$B$5</f>
        <v>第4資材課</v>
      </c>
      <c r="C765" s="185" t="s">
        <v>3</v>
      </c>
      <c r="D765" s="191" t="s">
        <v>195</v>
      </c>
      <c r="E765" s="192" t="s">
        <v>140</v>
      </c>
      <c r="F765" s="214">
        <f>[49]人員・時間計画!C12</f>
        <v>0</v>
      </c>
      <c r="G765" s="214">
        <f>[49]人員・時間計画!D12</f>
        <v>0</v>
      </c>
      <c r="H765" s="214">
        <f>[49]人員・時間計画!E12</f>
        <v>0</v>
      </c>
      <c r="I765" s="214">
        <f>[49]人員・時間計画!F12</f>
        <v>0</v>
      </c>
      <c r="J765" s="214">
        <f>[49]人員・時間計画!G12</f>
        <v>0</v>
      </c>
      <c r="K765" s="214">
        <f>[49]人員・時間計画!H12</f>
        <v>0</v>
      </c>
      <c r="L765" s="214">
        <f>[49]人員・時間計画!I12</f>
        <v>0</v>
      </c>
      <c r="M765" s="214">
        <f>[49]人員・時間計画!J12</f>
        <v>0</v>
      </c>
      <c r="N765" s="214">
        <f>[49]人員・時間計画!K12</f>
        <v>0</v>
      </c>
      <c r="O765" s="214">
        <f>[49]人員・時間計画!L12</f>
        <v>0</v>
      </c>
      <c r="P765" s="214">
        <f>[49]人員・時間計画!M12</f>
        <v>0</v>
      </c>
      <c r="Q765" s="214">
        <f>[49]人員・時間計画!N12</f>
        <v>0</v>
      </c>
    </row>
    <row r="766" spans="1:17" ht="14.5" hidden="1" thickBot="1">
      <c r="A766">
        <f>[49]人員・時間計画!$A$5</f>
        <v>1412000070</v>
      </c>
      <c r="B766" t="str">
        <f>[49]人員・時間計画!$B$5</f>
        <v>第4資材課</v>
      </c>
      <c r="C766" s="185" t="s">
        <v>3</v>
      </c>
      <c r="D766" s="193"/>
      <c r="E766" s="194" t="s">
        <v>138</v>
      </c>
      <c r="F766" s="214">
        <f>[49]人員・時間計画!C13</f>
        <v>8</v>
      </c>
      <c r="G766" s="214">
        <f>[49]人員・時間計画!D13</f>
        <v>8</v>
      </c>
      <c r="H766" s="214">
        <f>[49]人員・時間計画!E13</f>
        <v>8</v>
      </c>
      <c r="I766" s="214">
        <f>[49]人員・時間計画!F13</f>
        <v>8</v>
      </c>
      <c r="J766" s="214">
        <f>[49]人員・時間計画!G13</f>
        <v>8</v>
      </c>
      <c r="K766" s="214">
        <f>[49]人員・時間計画!H13</f>
        <v>8</v>
      </c>
      <c r="L766" s="214">
        <f>[49]人員・時間計画!I13</f>
        <v>8</v>
      </c>
      <c r="M766" s="214">
        <f>[49]人員・時間計画!J13</f>
        <v>8</v>
      </c>
      <c r="N766" s="214">
        <f>[49]人員・時間計画!K13</f>
        <v>8</v>
      </c>
      <c r="O766" s="214">
        <f>[49]人員・時間計画!L13</f>
        <v>8</v>
      </c>
      <c r="P766" s="214">
        <f>[49]人員・時間計画!M13</f>
        <v>8</v>
      </c>
      <c r="Q766" s="214">
        <f>[49]人員・時間計画!N13</f>
        <v>8</v>
      </c>
    </row>
    <row r="767" spans="1:17" ht="14.5" hidden="1" thickBot="1">
      <c r="A767">
        <f>[49]人員・時間計画!$A$5</f>
        <v>1412000070</v>
      </c>
      <c r="B767" t="str">
        <f>[49]人員・時間計画!$B$5</f>
        <v>第4資材課</v>
      </c>
      <c r="C767" s="185" t="s">
        <v>3</v>
      </c>
      <c r="D767" s="195" t="s">
        <v>196</v>
      </c>
      <c r="E767" s="196"/>
      <c r="F767" s="214">
        <f>[49]人員・時間計画!C14</f>
        <v>8</v>
      </c>
      <c r="G767" s="214">
        <f>[49]人員・時間計画!D14</f>
        <v>8</v>
      </c>
      <c r="H767" s="214">
        <f>[49]人員・時間計画!E14</f>
        <v>8</v>
      </c>
      <c r="I767" s="214">
        <f>[49]人員・時間計画!F14</f>
        <v>8</v>
      </c>
      <c r="J767" s="214">
        <f>[49]人員・時間計画!G14</f>
        <v>8</v>
      </c>
      <c r="K767" s="214">
        <f>[49]人員・時間計画!H14</f>
        <v>8</v>
      </c>
      <c r="L767" s="214">
        <f>[49]人員・時間計画!I14</f>
        <v>8</v>
      </c>
      <c r="M767" s="214">
        <f>[49]人員・時間計画!J14</f>
        <v>8</v>
      </c>
      <c r="N767" s="214">
        <f>[49]人員・時間計画!K14</f>
        <v>8</v>
      </c>
      <c r="O767" s="214">
        <f>[49]人員・時間計画!L14</f>
        <v>8</v>
      </c>
      <c r="P767" s="214">
        <f>[49]人員・時間計画!M14</f>
        <v>8</v>
      </c>
      <c r="Q767" s="214">
        <f>[49]人員・時間計画!N14</f>
        <v>8</v>
      </c>
    </row>
    <row r="768" spans="1:17" ht="14.5" hidden="1" thickBot="1">
      <c r="A768">
        <f>[49]人員・時間計画!$A$5</f>
        <v>1412000070</v>
      </c>
      <c r="B768" t="str">
        <f>[49]人員・時間計画!$B$5</f>
        <v>第4資材課</v>
      </c>
      <c r="D768" s="197"/>
      <c r="E768" s="197"/>
    </row>
    <row r="769" spans="1:17" ht="14.5" hidden="1" thickBot="1">
      <c r="A769">
        <f>[49]人員・時間計画!$A$5</f>
        <v>1412000070</v>
      </c>
      <c r="B769" t="str">
        <f>[49]人員・時間計画!$B$5</f>
        <v>第4資材課</v>
      </c>
      <c r="C769" s="185" t="s">
        <v>202</v>
      </c>
      <c r="D769" s="185" t="s">
        <v>202</v>
      </c>
      <c r="E769" s="186"/>
    </row>
    <row r="770" spans="1:17" ht="14.5" hidden="1" thickBot="1">
      <c r="A770">
        <f>[49]人員・時間計画!$A$5</f>
        <v>1412000070</v>
      </c>
      <c r="B770" t="str">
        <f>[49]人員・時間計画!$B$5</f>
        <v>第4資材課</v>
      </c>
      <c r="C770" s="185" t="s">
        <v>202</v>
      </c>
      <c r="D770" s="198" t="s">
        <v>194</v>
      </c>
      <c r="E770" s="199"/>
      <c r="F770" s="214">
        <f>[49]人員・時間計画!C17</f>
        <v>0</v>
      </c>
      <c r="G770" s="214">
        <f>[49]人員・時間計画!D17</f>
        <v>0</v>
      </c>
      <c r="H770" s="214">
        <f>[49]人員・時間計画!E17</f>
        <v>0</v>
      </c>
      <c r="I770" s="214">
        <f>[49]人員・時間計画!F17</f>
        <v>0</v>
      </c>
      <c r="J770" s="214">
        <f>[49]人員・時間計画!G17</f>
        <v>0</v>
      </c>
      <c r="K770" s="214">
        <f>[49]人員・時間計画!H17</f>
        <v>0</v>
      </c>
      <c r="L770" s="214">
        <f>[49]人員・時間計画!I17</f>
        <v>0</v>
      </c>
      <c r="M770" s="214">
        <f>[49]人員・時間計画!J17</f>
        <v>0</v>
      </c>
      <c r="N770" s="214">
        <f>[49]人員・時間計画!K17</f>
        <v>0</v>
      </c>
      <c r="O770" s="214">
        <f>[49]人員・時間計画!L17</f>
        <v>0</v>
      </c>
      <c r="P770" s="214">
        <f>[49]人員・時間計画!M17</f>
        <v>0</v>
      </c>
      <c r="Q770" s="214">
        <f>[49]人員・時間計画!N17</f>
        <v>0</v>
      </c>
    </row>
    <row r="771" spans="1:17" ht="14.5" hidden="1" thickBot="1">
      <c r="A771">
        <f>[49]人員・時間計画!$A$5</f>
        <v>1412000070</v>
      </c>
      <c r="B771" t="str">
        <f>[49]人員・時間計画!$B$5</f>
        <v>第4資材課</v>
      </c>
      <c r="C771" s="185" t="s">
        <v>202</v>
      </c>
      <c r="D771" s="200"/>
      <c r="E771" s="190" t="s">
        <v>139</v>
      </c>
      <c r="F771" s="214">
        <f>[49]人員・時間計画!C18</f>
        <v>1273</v>
      </c>
      <c r="G771" s="214">
        <f>[49]人員・時間計画!D18</f>
        <v>1206</v>
      </c>
      <c r="H771" s="214">
        <f>[49]人員・時間計画!E18</f>
        <v>1350</v>
      </c>
      <c r="I771" s="214">
        <f>[49]人員・時間計画!F18</f>
        <v>1496</v>
      </c>
      <c r="J771" s="214">
        <f>[49]人員・時間計画!G18</f>
        <v>1292</v>
      </c>
      <c r="K771" s="214">
        <f>[49]人員・時間計画!H18</f>
        <v>1224</v>
      </c>
      <c r="L771" s="214">
        <f>[49]人員・時間計画!I18</f>
        <v>1496</v>
      </c>
      <c r="M771" s="214">
        <f>[49]人員・時間計画!J18</f>
        <v>1292</v>
      </c>
      <c r="N771" s="214">
        <f>[49]人員・時間計画!K18</f>
        <v>1428</v>
      </c>
      <c r="O771" s="214">
        <f>[49]人員・時間計画!L18</f>
        <v>1292</v>
      </c>
      <c r="P771" s="214">
        <f>[49]人員・時間計画!M18</f>
        <v>952</v>
      </c>
      <c r="Q771" s="214">
        <f>[49]人員・時間計画!N18</f>
        <v>1292</v>
      </c>
    </row>
    <row r="772" spans="1:17" ht="14.5" thickBot="1">
      <c r="A772">
        <f>[49]人員・時間計画!$A$5</f>
        <v>1412000070</v>
      </c>
      <c r="B772" t="str">
        <f>[49]人員・時間計画!$B$5</f>
        <v>第4資材課</v>
      </c>
      <c r="C772" s="185" t="s">
        <v>202</v>
      </c>
      <c r="D772" s="201" t="s">
        <v>195</v>
      </c>
      <c r="E772" s="192" t="s">
        <v>140</v>
      </c>
      <c r="F772" s="214">
        <f>[49]人員・時間計画!C19</f>
        <v>0</v>
      </c>
      <c r="G772" s="214">
        <f>[49]人員・時間計画!D19</f>
        <v>0</v>
      </c>
      <c r="H772" s="214">
        <f>[49]人員・時間計画!E19</f>
        <v>0</v>
      </c>
      <c r="I772" s="214">
        <f>[49]人員・時間計画!F19</f>
        <v>0</v>
      </c>
      <c r="J772" s="214">
        <f>[49]人員・時間計画!G19</f>
        <v>0</v>
      </c>
      <c r="K772" s="214">
        <f>[49]人員・時間計画!H19</f>
        <v>0</v>
      </c>
      <c r="L772" s="214">
        <f>[49]人員・時間計画!I19</f>
        <v>0</v>
      </c>
      <c r="M772" s="214">
        <f>[49]人員・時間計画!J19</f>
        <v>0</v>
      </c>
      <c r="N772" s="214">
        <f>[49]人員・時間計画!K19</f>
        <v>0</v>
      </c>
      <c r="O772" s="214">
        <f>[49]人員・時間計画!L19</f>
        <v>0</v>
      </c>
      <c r="P772" s="214">
        <f>[49]人員・時間計画!M19</f>
        <v>0</v>
      </c>
      <c r="Q772" s="214">
        <f>[49]人員・時間計画!N19</f>
        <v>0</v>
      </c>
    </row>
    <row r="773" spans="1:17" ht="14.5" hidden="1" thickBot="1">
      <c r="A773">
        <f>[49]人員・時間計画!$A$5</f>
        <v>1412000070</v>
      </c>
      <c r="B773" t="str">
        <f>[49]人員・時間計画!$B$5</f>
        <v>第4資材課</v>
      </c>
      <c r="C773" s="185" t="s">
        <v>202</v>
      </c>
      <c r="D773" s="202"/>
      <c r="E773" s="203" t="s">
        <v>138</v>
      </c>
      <c r="F773" s="214">
        <f>[49]人員・時間計画!C20</f>
        <v>1273</v>
      </c>
      <c r="G773" s="214">
        <f>[49]人員・時間計画!D20</f>
        <v>1206</v>
      </c>
      <c r="H773" s="214">
        <f>[49]人員・時間計画!E20</f>
        <v>1350</v>
      </c>
      <c r="I773" s="214">
        <f>[49]人員・時間計画!F20</f>
        <v>1496</v>
      </c>
      <c r="J773" s="214">
        <f>[49]人員・時間計画!G20</f>
        <v>1292</v>
      </c>
      <c r="K773" s="214">
        <f>[49]人員・時間計画!H20</f>
        <v>1224</v>
      </c>
      <c r="L773" s="214">
        <f>[49]人員・時間計画!I20</f>
        <v>1496</v>
      </c>
      <c r="M773" s="214">
        <f>[49]人員・時間計画!J20</f>
        <v>1292</v>
      </c>
      <c r="N773" s="214">
        <f>[49]人員・時間計画!K20</f>
        <v>1428</v>
      </c>
      <c r="O773" s="214">
        <f>[49]人員・時間計画!L20</f>
        <v>1292</v>
      </c>
      <c r="P773" s="214">
        <f>[49]人員・時間計画!M20</f>
        <v>952</v>
      </c>
      <c r="Q773" s="214">
        <f>[49]人員・時間計画!N20</f>
        <v>1292</v>
      </c>
    </row>
    <row r="774" spans="1:17" ht="14.5" hidden="1" thickBot="1">
      <c r="A774">
        <f>[49]人員・時間計画!$A$5</f>
        <v>1412000070</v>
      </c>
      <c r="B774" t="str">
        <f>[49]人員・時間計画!$B$5</f>
        <v>第4資材課</v>
      </c>
      <c r="C774" s="185" t="s">
        <v>202</v>
      </c>
      <c r="D774" s="204" t="s">
        <v>215</v>
      </c>
      <c r="E774" s="205"/>
      <c r="F774" s="214">
        <f>[49]人員・時間計画!C21</f>
        <v>1273</v>
      </c>
      <c r="G774" s="214">
        <f>[49]人員・時間計画!D21</f>
        <v>1206</v>
      </c>
      <c r="H774" s="214">
        <f>[49]人員・時間計画!E21</f>
        <v>1350</v>
      </c>
      <c r="I774" s="214">
        <f>[49]人員・時間計画!F21</f>
        <v>1496</v>
      </c>
      <c r="J774" s="214">
        <f>[49]人員・時間計画!G21</f>
        <v>1292</v>
      </c>
      <c r="K774" s="214">
        <f>[49]人員・時間計画!H21</f>
        <v>1224</v>
      </c>
      <c r="L774" s="214">
        <f>[49]人員・時間計画!I21</f>
        <v>1496</v>
      </c>
      <c r="M774" s="214">
        <f>[49]人員・時間計画!J21</f>
        <v>1292</v>
      </c>
      <c r="N774" s="214">
        <f>[49]人員・時間計画!K21</f>
        <v>1428</v>
      </c>
      <c r="O774" s="214">
        <f>[49]人員・時間計画!L21</f>
        <v>1292</v>
      </c>
      <c r="P774" s="214">
        <f>[49]人員・時間計画!M21</f>
        <v>952</v>
      </c>
      <c r="Q774" s="214">
        <f>[49]人員・時間計画!N21</f>
        <v>1292</v>
      </c>
    </row>
    <row r="775" spans="1:17" ht="14.5" hidden="1" thickBot="1">
      <c r="A775">
        <f>[49]人員・時間計画!$A$5</f>
        <v>1412000070</v>
      </c>
      <c r="B775" t="str">
        <f>[49]人員・時間計画!$B$5</f>
        <v>第4資材課</v>
      </c>
      <c r="D775" s="197"/>
      <c r="E775" s="197"/>
    </row>
    <row r="776" spans="1:17" ht="14.5" hidden="1" thickBot="1">
      <c r="A776">
        <f>[49]人員・時間計画!$A$5</f>
        <v>1412000070</v>
      </c>
      <c r="B776" t="str">
        <f>[49]人員・時間計画!$B$5</f>
        <v>第4資材課</v>
      </c>
      <c r="C776" s="185" t="s">
        <v>71</v>
      </c>
      <c r="D776" s="185" t="s">
        <v>71</v>
      </c>
      <c r="E776" s="186"/>
    </row>
    <row r="777" spans="1:17" ht="14.5" hidden="1" thickBot="1">
      <c r="A777">
        <f>[49]人員・時間計画!$A$5</f>
        <v>1412000070</v>
      </c>
      <c r="B777" t="str">
        <f>[49]人員・時間計画!$B$5</f>
        <v>第4資材課</v>
      </c>
      <c r="C777" s="185" t="s">
        <v>71</v>
      </c>
      <c r="D777" s="198" t="s">
        <v>194</v>
      </c>
      <c r="E777" s="199"/>
      <c r="F777" s="214">
        <f>[49]人員・時間計画!C24</f>
        <v>0</v>
      </c>
      <c r="G777" s="214">
        <f>[49]人員・時間計画!D24</f>
        <v>0</v>
      </c>
      <c r="H777" s="214">
        <f>[49]人員・時間計画!E24</f>
        <v>0</v>
      </c>
      <c r="I777" s="214">
        <f>[49]人員・時間計画!F24</f>
        <v>0</v>
      </c>
      <c r="J777" s="214">
        <f>[49]人員・時間計画!G24</f>
        <v>0</v>
      </c>
      <c r="K777" s="214">
        <f>[49]人員・時間計画!H24</f>
        <v>0</v>
      </c>
      <c r="L777" s="214">
        <f>[49]人員・時間計画!I24</f>
        <v>0</v>
      </c>
      <c r="M777" s="214">
        <f>[49]人員・時間計画!J24</f>
        <v>0</v>
      </c>
      <c r="N777" s="214">
        <f>[49]人員・時間計画!K24</f>
        <v>0</v>
      </c>
      <c r="O777" s="214">
        <f>[49]人員・時間計画!L24</f>
        <v>0</v>
      </c>
      <c r="P777" s="214">
        <f>[49]人員・時間計画!M24</f>
        <v>0</v>
      </c>
      <c r="Q777" s="214">
        <f>[49]人員・時間計画!N24</f>
        <v>0</v>
      </c>
    </row>
    <row r="778" spans="1:17" ht="14.5" hidden="1" thickBot="1">
      <c r="A778">
        <f>[49]人員・時間計画!$A$5</f>
        <v>1412000070</v>
      </c>
      <c r="B778" t="str">
        <f>[49]人員・時間計画!$B$5</f>
        <v>第4資材課</v>
      </c>
      <c r="C778" s="185" t="s">
        <v>71</v>
      </c>
      <c r="D778" s="200"/>
      <c r="E778" s="206" t="s">
        <v>139</v>
      </c>
      <c r="F778" s="214">
        <f>[49]人員・時間計画!C25</f>
        <v>38</v>
      </c>
      <c r="G778" s="214">
        <f>[49]人員・時間計画!D25</f>
        <v>36</v>
      </c>
      <c r="H778" s="214">
        <f>[49]人員・時間計画!E25</f>
        <v>40</v>
      </c>
      <c r="I778" s="214">
        <f>[49]人員・時間計画!F25</f>
        <v>44</v>
      </c>
      <c r="J778" s="214">
        <f>[49]人員・時間計画!G25</f>
        <v>38</v>
      </c>
      <c r="K778" s="214">
        <f>[49]人員・時間計画!H25</f>
        <v>36</v>
      </c>
      <c r="L778" s="214">
        <f>[49]人員・時間計画!I25</f>
        <v>44</v>
      </c>
      <c r="M778" s="214">
        <f>[49]人員・時間計画!J25</f>
        <v>38</v>
      </c>
      <c r="N778" s="214">
        <f>[49]人員・時間計画!K25</f>
        <v>42</v>
      </c>
      <c r="O778" s="214">
        <f>[49]人員・時間計画!L25</f>
        <v>76</v>
      </c>
      <c r="P778" s="214">
        <f>[49]人員・時間計画!M25</f>
        <v>56</v>
      </c>
      <c r="Q778" s="214">
        <f>[49]人員・時間計画!N25</f>
        <v>76</v>
      </c>
    </row>
    <row r="779" spans="1:17" ht="14.5" thickBot="1">
      <c r="A779">
        <f>[49]人員・時間計画!$A$5</f>
        <v>1412000070</v>
      </c>
      <c r="B779" t="str">
        <f>[49]人員・時間計画!$B$5</f>
        <v>第4資材課</v>
      </c>
      <c r="C779" s="185" t="s">
        <v>71</v>
      </c>
      <c r="D779" s="201" t="s">
        <v>195</v>
      </c>
      <c r="E779" s="207" t="s">
        <v>140</v>
      </c>
      <c r="F779" s="214">
        <f>[49]人員・時間計画!C26</f>
        <v>0</v>
      </c>
      <c r="G779" s="214">
        <f>[49]人員・時間計画!D26</f>
        <v>0</v>
      </c>
      <c r="H779" s="214">
        <f>[49]人員・時間計画!E26</f>
        <v>0</v>
      </c>
      <c r="I779" s="214">
        <f>[49]人員・時間計画!F26</f>
        <v>0</v>
      </c>
      <c r="J779" s="214">
        <f>[49]人員・時間計画!G26</f>
        <v>0</v>
      </c>
      <c r="K779" s="214">
        <f>[49]人員・時間計画!H26</f>
        <v>0</v>
      </c>
      <c r="L779" s="214">
        <f>[49]人員・時間計画!I26</f>
        <v>0</v>
      </c>
      <c r="M779" s="214">
        <f>[49]人員・時間計画!J26</f>
        <v>0</v>
      </c>
      <c r="N779" s="214">
        <f>[49]人員・時間計画!K26</f>
        <v>0</v>
      </c>
      <c r="O779" s="214">
        <f>[49]人員・時間計画!L26</f>
        <v>0</v>
      </c>
      <c r="P779" s="214">
        <f>[49]人員・時間計画!M26</f>
        <v>0</v>
      </c>
      <c r="Q779" s="214">
        <f>[49]人員・時間計画!N26</f>
        <v>0</v>
      </c>
    </row>
    <row r="780" spans="1:17" ht="14.5" hidden="1" thickBot="1">
      <c r="A780">
        <f>[49]人員・時間計画!$A$5</f>
        <v>1412000070</v>
      </c>
      <c r="B780" t="str">
        <f>[49]人員・時間計画!$B$5</f>
        <v>第4資材課</v>
      </c>
      <c r="C780" s="185" t="s">
        <v>71</v>
      </c>
      <c r="D780" s="202"/>
      <c r="E780" s="203" t="s">
        <v>138</v>
      </c>
      <c r="F780" s="214">
        <f>[49]人員・時間計画!C27</f>
        <v>38</v>
      </c>
      <c r="G780" s="214">
        <f>[49]人員・時間計画!D27</f>
        <v>36</v>
      </c>
      <c r="H780" s="214">
        <f>[49]人員・時間計画!E27</f>
        <v>40</v>
      </c>
      <c r="I780" s="214">
        <f>[49]人員・時間計画!F27</f>
        <v>44</v>
      </c>
      <c r="J780" s="214">
        <f>[49]人員・時間計画!G27</f>
        <v>38</v>
      </c>
      <c r="K780" s="214">
        <f>[49]人員・時間計画!H27</f>
        <v>36</v>
      </c>
      <c r="L780" s="214">
        <f>[49]人員・時間計画!I27</f>
        <v>44</v>
      </c>
      <c r="M780" s="214">
        <f>[49]人員・時間計画!J27</f>
        <v>38</v>
      </c>
      <c r="N780" s="214">
        <f>[49]人員・時間計画!K27</f>
        <v>42</v>
      </c>
      <c r="O780" s="214">
        <f>[49]人員・時間計画!L27</f>
        <v>76</v>
      </c>
      <c r="P780" s="214">
        <f>[49]人員・時間計画!M27</f>
        <v>56</v>
      </c>
      <c r="Q780" s="214">
        <f>[49]人員・時間計画!N27</f>
        <v>76</v>
      </c>
    </row>
    <row r="781" spans="1:17" ht="14.5" hidden="1" thickBot="1">
      <c r="A781">
        <f>[49]人員・時間計画!$A$5</f>
        <v>1412000070</v>
      </c>
      <c r="B781" t="str">
        <f>[49]人員・時間計画!$B$5</f>
        <v>第4資材課</v>
      </c>
      <c r="C781" s="185" t="s">
        <v>71</v>
      </c>
      <c r="D781" s="204" t="s">
        <v>216</v>
      </c>
      <c r="E781" s="205"/>
      <c r="F781" s="214">
        <f>[49]人員・時間計画!C28</f>
        <v>38</v>
      </c>
      <c r="G781" s="214">
        <f>[49]人員・時間計画!D28</f>
        <v>36</v>
      </c>
      <c r="H781" s="214">
        <f>[49]人員・時間計画!E28</f>
        <v>40</v>
      </c>
      <c r="I781" s="214">
        <f>[49]人員・時間計画!F28</f>
        <v>44</v>
      </c>
      <c r="J781" s="214">
        <f>[49]人員・時間計画!G28</f>
        <v>38</v>
      </c>
      <c r="K781" s="214">
        <f>[49]人員・時間計画!H28</f>
        <v>36</v>
      </c>
      <c r="L781" s="214">
        <f>[49]人員・時間計画!I28</f>
        <v>44</v>
      </c>
      <c r="M781" s="214">
        <f>[49]人員・時間計画!J28</f>
        <v>38</v>
      </c>
      <c r="N781" s="214">
        <f>[49]人員・時間計画!K28</f>
        <v>42</v>
      </c>
      <c r="O781" s="214">
        <f>[49]人員・時間計画!L28</f>
        <v>76</v>
      </c>
      <c r="P781" s="214">
        <f>[49]人員・時間計画!M28</f>
        <v>56</v>
      </c>
      <c r="Q781" s="214">
        <f>[49]人員・時間計画!N28</f>
        <v>76</v>
      </c>
    </row>
    <row r="782" spans="1:17" ht="14.5" hidden="1" thickBot="1">
      <c r="A782">
        <f>[60]人員・時間計画!$A$5</f>
        <v>1412000072</v>
      </c>
      <c r="B782" t="str">
        <f>[60]人員・時間計画!$B$5</f>
        <v>製品管理課</v>
      </c>
      <c r="C782" s="185" t="s">
        <v>3</v>
      </c>
      <c r="D782" s="185" t="s">
        <v>3</v>
      </c>
      <c r="E782" s="186"/>
    </row>
    <row r="783" spans="1:17" ht="14.5" hidden="1" thickBot="1">
      <c r="A783">
        <f>[60]人員・時間計画!$A$5</f>
        <v>1412000072</v>
      </c>
      <c r="B783" t="str">
        <f>[60]人員・時間計画!$B$5</f>
        <v>製品管理課</v>
      </c>
      <c r="C783" s="185" t="s">
        <v>3</v>
      </c>
      <c r="D783" s="187" t="s">
        <v>194</v>
      </c>
      <c r="E783" s="188"/>
      <c r="F783" s="214">
        <f>[60]人員・時間計画!C10</f>
        <v>0</v>
      </c>
      <c r="G783" s="214">
        <f>[60]人員・時間計画!D10</f>
        <v>0</v>
      </c>
      <c r="H783" s="214">
        <f>[60]人員・時間計画!E10</f>
        <v>0</v>
      </c>
      <c r="I783" s="214">
        <f>[60]人員・時間計画!F10</f>
        <v>0</v>
      </c>
      <c r="J783" s="214">
        <f>[60]人員・時間計画!G10</f>
        <v>0</v>
      </c>
      <c r="K783" s="214">
        <f>[60]人員・時間計画!H10</f>
        <v>0</v>
      </c>
      <c r="L783" s="214">
        <f>[60]人員・時間計画!I10</f>
        <v>0</v>
      </c>
      <c r="M783" s="214">
        <f>[60]人員・時間計画!J10</f>
        <v>0</v>
      </c>
      <c r="N783" s="214">
        <f>[60]人員・時間計画!K10</f>
        <v>0</v>
      </c>
      <c r="O783" s="214">
        <f>[60]人員・時間計画!L10</f>
        <v>0</v>
      </c>
      <c r="P783" s="214">
        <f>[60]人員・時間計画!M10</f>
        <v>0</v>
      </c>
      <c r="Q783" s="214">
        <f>[60]人員・時間計画!N10</f>
        <v>0</v>
      </c>
    </row>
    <row r="784" spans="1:17" ht="14.5" hidden="1" thickBot="1">
      <c r="A784">
        <f>[60]人員・時間計画!$A$5</f>
        <v>1412000072</v>
      </c>
      <c r="B784" t="str">
        <f>[60]人員・時間計画!$B$5</f>
        <v>製品管理課</v>
      </c>
      <c r="C784" s="185" t="s">
        <v>3</v>
      </c>
      <c r="D784" s="189"/>
      <c r="E784" s="190" t="s">
        <v>139</v>
      </c>
      <c r="F784" s="214">
        <f>[60]人員・時間計画!C11</f>
        <v>11</v>
      </c>
      <c r="G784" s="214">
        <f>[60]人員・時間計画!D11</f>
        <v>11</v>
      </c>
      <c r="H784" s="214">
        <f>[60]人員・時間計画!E11</f>
        <v>11</v>
      </c>
      <c r="I784" s="214">
        <f>[60]人員・時間計画!F11</f>
        <v>11</v>
      </c>
      <c r="J784" s="214">
        <f>[60]人員・時間計画!G11</f>
        <v>11</v>
      </c>
      <c r="K784" s="214">
        <f>[60]人員・時間計画!H11</f>
        <v>11</v>
      </c>
      <c r="L784" s="214">
        <f>[60]人員・時間計画!I11</f>
        <v>11</v>
      </c>
      <c r="M784" s="214">
        <f>[60]人員・時間計画!J11</f>
        <v>11</v>
      </c>
      <c r="N784" s="214">
        <f>[60]人員・時間計画!K11</f>
        <v>11</v>
      </c>
      <c r="O784" s="214">
        <f>[60]人員・時間計画!L11</f>
        <v>11</v>
      </c>
      <c r="P784" s="214">
        <f>[60]人員・時間計画!M11</f>
        <v>11</v>
      </c>
      <c r="Q784" s="214">
        <f>[60]人員・時間計画!N11</f>
        <v>11</v>
      </c>
    </row>
    <row r="785" spans="1:17" ht="14.5" thickBot="1">
      <c r="A785">
        <f>[60]人員・時間計画!$A$5</f>
        <v>1412000072</v>
      </c>
      <c r="B785" t="str">
        <f>[60]人員・時間計画!$B$5</f>
        <v>製品管理課</v>
      </c>
      <c r="C785" s="185" t="s">
        <v>3</v>
      </c>
      <c r="D785" s="191" t="s">
        <v>195</v>
      </c>
      <c r="E785" s="192" t="s">
        <v>140</v>
      </c>
      <c r="F785" s="214">
        <f>[60]人員・時間計画!C12</f>
        <v>53</v>
      </c>
      <c r="G785" s="214">
        <f>[60]人員・時間計画!D12</f>
        <v>53</v>
      </c>
      <c r="H785" s="214">
        <f>[60]人員・時間計画!E12</f>
        <v>52</v>
      </c>
      <c r="I785" s="214">
        <f>[60]人員・時間計画!F12</f>
        <v>52</v>
      </c>
      <c r="J785" s="214">
        <f>[60]人員・時間計画!G12</f>
        <v>51</v>
      </c>
      <c r="K785" s="214">
        <f>[60]人員・時間計画!H12</f>
        <v>50</v>
      </c>
      <c r="L785" s="214">
        <f>[60]人員・時間計画!I12</f>
        <v>50</v>
      </c>
      <c r="M785" s="214">
        <f>[60]人員・時間計画!J12</f>
        <v>50</v>
      </c>
      <c r="N785" s="214">
        <f>[60]人員・時間計画!K12</f>
        <v>49</v>
      </c>
      <c r="O785" s="214">
        <f>[60]人員・時間計画!L12</f>
        <v>50</v>
      </c>
      <c r="P785" s="214">
        <f>[60]人員・時間計画!M12</f>
        <v>51</v>
      </c>
      <c r="Q785" s="214">
        <f>[60]人員・時間計画!N12</f>
        <v>50</v>
      </c>
    </row>
    <row r="786" spans="1:17" ht="14.5" hidden="1" thickBot="1">
      <c r="A786">
        <f>[60]人員・時間計画!$A$5</f>
        <v>1412000072</v>
      </c>
      <c r="B786" t="str">
        <f>[60]人員・時間計画!$B$5</f>
        <v>製品管理課</v>
      </c>
      <c r="C786" s="185" t="s">
        <v>3</v>
      </c>
      <c r="D786" s="193"/>
      <c r="E786" s="194" t="s">
        <v>138</v>
      </c>
      <c r="F786" s="214">
        <f>[60]人員・時間計画!C13</f>
        <v>64</v>
      </c>
      <c r="G786" s="214">
        <f>[60]人員・時間計画!D13</f>
        <v>64</v>
      </c>
      <c r="H786" s="214">
        <f>[60]人員・時間計画!E13</f>
        <v>63</v>
      </c>
      <c r="I786" s="214">
        <f>[60]人員・時間計画!F13</f>
        <v>63</v>
      </c>
      <c r="J786" s="214">
        <f>[60]人員・時間計画!G13</f>
        <v>62</v>
      </c>
      <c r="K786" s="214">
        <f>[60]人員・時間計画!H13</f>
        <v>61</v>
      </c>
      <c r="L786" s="214">
        <f>[60]人員・時間計画!I13</f>
        <v>61</v>
      </c>
      <c r="M786" s="214">
        <f>[60]人員・時間計画!J13</f>
        <v>61</v>
      </c>
      <c r="N786" s="214">
        <f>[60]人員・時間計画!K13</f>
        <v>60</v>
      </c>
      <c r="O786" s="214">
        <f>[60]人員・時間計画!L13</f>
        <v>61</v>
      </c>
      <c r="P786" s="214">
        <f>[60]人員・時間計画!M13</f>
        <v>62</v>
      </c>
      <c r="Q786" s="214">
        <f>[60]人員・時間計画!N13</f>
        <v>61</v>
      </c>
    </row>
    <row r="787" spans="1:17" ht="14.5" hidden="1" thickBot="1">
      <c r="A787">
        <f>[60]人員・時間計画!$A$5</f>
        <v>1412000072</v>
      </c>
      <c r="B787" t="str">
        <f>[60]人員・時間計画!$B$5</f>
        <v>製品管理課</v>
      </c>
      <c r="C787" s="185" t="s">
        <v>3</v>
      </c>
      <c r="D787" s="195" t="s">
        <v>196</v>
      </c>
      <c r="E787" s="196"/>
      <c r="F787" s="214">
        <f>[60]人員・時間計画!C14</f>
        <v>64</v>
      </c>
      <c r="G787" s="214">
        <f>[60]人員・時間計画!D14</f>
        <v>64</v>
      </c>
      <c r="H787" s="214">
        <f>[60]人員・時間計画!E14</f>
        <v>63</v>
      </c>
      <c r="I787" s="214">
        <f>[60]人員・時間計画!F14</f>
        <v>63</v>
      </c>
      <c r="J787" s="214">
        <f>[60]人員・時間計画!G14</f>
        <v>62</v>
      </c>
      <c r="K787" s="214">
        <f>[60]人員・時間計画!H14</f>
        <v>61</v>
      </c>
      <c r="L787" s="214">
        <f>[60]人員・時間計画!I14</f>
        <v>61</v>
      </c>
      <c r="M787" s="214">
        <f>[60]人員・時間計画!J14</f>
        <v>61</v>
      </c>
      <c r="N787" s="214">
        <f>[60]人員・時間計画!K14</f>
        <v>60</v>
      </c>
      <c r="O787" s="214">
        <f>[60]人員・時間計画!L14</f>
        <v>61</v>
      </c>
      <c r="P787" s="214">
        <f>[60]人員・時間計画!M14</f>
        <v>62</v>
      </c>
      <c r="Q787" s="214">
        <f>[60]人員・時間計画!N14</f>
        <v>61</v>
      </c>
    </row>
    <row r="788" spans="1:17" ht="14.5" hidden="1" thickBot="1">
      <c r="A788">
        <f>[60]人員・時間計画!$A$5</f>
        <v>1412000072</v>
      </c>
      <c r="B788" t="str">
        <f>[60]人員・時間計画!$B$5</f>
        <v>製品管理課</v>
      </c>
      <c r="D788" s="197"/>
      <c r="E788" s="197"/>
    </row>
    <row r="789" spans="1:17" ht="14.5" hidden="1" thickBot="1">
      <c r="A789">
        <f>[60]人員・時間計画!$A$5</f>
        <v>1412000072</v>
      </c>
      <c r="B789" t="str">
        <f>[60]人員・時間計画!$B$5</f>
        <v>製品管理課</v>
      </c>
      <c r="C789" s="185" t="s">
        <v>202</v>
      </c>
      <c r="D789" s="185" t="s">
        <v>202</v>
      </c>
      <c r="E789" s="186"/>
    </row>
    <row r="790" spans="1:17" ht="14.5" hidden="1" thickBot="1">
      <c r="A790">
        <f>[60]人員・時間計画!$A$5</f>
        <v>1412000072</v>
      </c>
      <c r="B790" t="str">
        <f>[60]人員・時間計画!$B$5</f>
        <v>製品管理課</v>
      </c>
      <c r="C790" s="185" t="s">
        <v>202</v>
      </c>
      <c r="D790" s="198" t="s">
        <v>194</v>
      </c>
      <c r="E790" s="199"/>
      <c r="F790" s="214">
        <f>[60]人員・時間計画!C17</f>
        <v>0</v>
      </c>
      <c r="G790" s="214">
        <f>[60]人員・時間計画!D17</f>
        <v>0</v>
      </c>
      <c r="H790" s="214">
        <f>[60]人員・時間計画!E17</f>
        <v>0</v>
      </c>
      <c r="I790" s="214">
        <f>[60]人員・時間計画!F17</f>
        <v>0</v>
      </c>
      <c r="J790" s="214">
        <f>[60]人員・時間計画!G17</f>
        <v>0</v>
      </c>
      <c r="K790" s="214">
        <f>[60]人員・時間計画!H17</f>
        <v>0</v>
      </c>
      <c r="L790" s="214">
        <f>[60]人員・時間計画!I17</f>
        <v>0</v>
      </c>
      <c r="M790" s="214">
        <f>[60]人員・時間計画!J17</f>
        <v>0</v>
      </c>
      <c r="N790" s="214">
        <f>[60]人員・時間計画!K17</f>
        <v>0</v>
      </c>
      <c r="O790" s="214">
        <f>[60]人員・時間計画!L17</f>
        <v>0</v>
      </c>
      <c r="P790" s="214">
        <f>[60]人員・時間計画!M17</f>
        <v>0</v>
      </c>
      <c r="Q790" s="214">
        <f>[60]人員・時間計画!N17</f>
        <v>0</v>
      </c>
    </row>
    <row r="791" spans="1:17" ht="14.5" hidden="1" thickBot="1">
      <c r="A791">
        <f>[60]人員・時間計画!$A$5</f>
        <v>1412000072</v>
      </c>
      <c r="B791" t="str">
        <f>[60]人員・時間計画!$B$5</f>
        <v>製品管理課</v>
      </c>
      <c r="C791" s="185" t="s">
        <v>202</v>
      </c>
      <c r="D791" s="200"/>
      <c r="E791" s="190" t="s">
        <v>139</v>
      </c>
      <c r="F791" s="214">
        <f>[60]人員・時間計画!C18</f>
        <v>1705</v>
      </c>
      <c r="G791" s="214">
        <f>[60]人員・時間計画!D18</f>
        <v>1619.75</v>
      </c>
      <c r="H791" s="214">
        <f>[60]人員・時間計画!E18</f>
        <v>1790.25</v>
      </c>
      <c r="I791" s="214">
        <f>[60]人員・時間計画!F18</f>
        <v>1960.75</v>
      </c>
      <c r="J791" s="214">
        <f>[60]人員・時間計画!G18</f>
        <v>1747.5</v>
      </c>
      <c r="K791" s="214">
        <f>[60]人員・時間計画!H18</f>
        <v>1594.25</v>
      </c>
      <c r="L791" s="214">
        <f>[60]人員・時間計画!I18</f>
        <v>1960.75</v>
      </c>
      <c r="M791" s="214">
        <f>[60]人員・時間計画!J18</f>
        <v>1705</v>
      </c>
      <c r="N791" s="214">
        <f>[60]人員・時間計画!K18</f>
        <v>1875.5</v>
      </c>
      <c r="O791" s="214">
        <f>[60]人員・時間計画!L18</f>
        <v>1705</v>
      </c>
      <c r="P791" s="214">
        <f>[60]人員・時間計画!M18</f>
        <v>1312.75</v>
      </c>
      <c r="Q791" s="214">
        <f>[60]人員・時間計画!N18</f>
        <v>1671</v>
      </c>
    </row>
    <row r="792" spans="1:17" ht="14.5" thickBot="1">
      <c r="A792">
        <f>[60]人員・時間計画!$A$5</f>
        <v>1412000072</v>
      </c>
      <c r="B792" t="str">
        <f>[60]人員・時間計画!$B$5</f>
        <v>製品管理課</v>
      </c>
      <c r="C792" s="185" t="s">
        <v>202</v>
      </c>
      <c r="D792" s="201" t="s">
        <v>195</v>
      </c>
      <c r="E792" s="192" t="s">
        <v>140</v>
      </c>
      <c r="F792" s="214">
        <f>[60]人員・時間計画!C19</f>
        <v>7650</v>
      </c>
      <c r="G792" s="214">
        <f>[60]人員・時間計画!D19</f>
        <v>7267.5</v>
      </c>
      <c r="H792" s="214">
        <f>[60]人員・時間計画!E19</f>
        <v>7854</v>
      </c>
      <c r="I792" s="214">
        <f>[60]人員・時間計画!F19</f>
        <v>8602</v>
      </c>
      <c r="J792" s="214">
        <f>[60]人員・時間計画!G19</f>
        <v>7395</v>
      </c>
      <c r="K792" s="214">
        <f>[60]人員・時間計画!H19</f>
        <v>6698</v>
      </c>
      <c r="L792" s="214">
        <f>[60]人員・時間計画!I19</f>
        <v>8211</v>
      </c>
      <c r="M792" s="214">
        <f>[60]人員・時間計画!J19</f>
        <v>7140</v>
      </c>
      <c r="N792" s="214">
        <f>[60]人員・時間計画!K19</f>
        <v>7667</v>
      </c>
      <c r="O792" s="214">
        <f>[60]人員・時間計画!L19</f>
        <v>7140</v>
      </c>
      <c r="P792" s="214">
        <f>[60]人員・時間計画!M19</f>
        <v>5737.5</v>
      </c>
      <c r="Q792" s="214">
        <f>[60]人員・時間計画!N19</f>
        <v>7182.5</v>
      </c>
    </row>
    <row r="793" spans="1:17" ht="14.5" hidden="1" thickBot="1">
      <c r="A793">
        <f>[60]人員・時間計画!$A$5</f>
        <v>1412000072</v>
      </c>
      <c r="B793" t="str">
        <f>[60]人員・時間計画!$B$5</f>
        <v>製品管理課</v>
      </c>
      <c r="C793" s="185" t="s">
        <v>202</v>
      </c>
      <c r="D793" s="202"/>
      <c r="E793" s="203" t="s">
        <v>138</v>
      </c>
      <c r="F793" s="214">
        <f>[60]人員・時間計画!C20</f>
        <v>9355</v>
      </c>
      <c r="G793" s="214">
        <f>[60]人員・時間計画!D20</f>
        <v>8887.25</v>
      </c>
      <c r="H793" s="214">
        <f>[60]人員・時間計画!E20</f>
        <v>9644.25</v>
      </c>
      <c r="I793" s="214">
        <f>[60]人員・時間計画!F20</f>
        <v>10562.75</v>
      </c>
      <c r="J793" s="214">
        <f>[60]人員・時間計画!G20</f>
        <v>9142.5</v>
      </c>
      <c r="K793" s="214">
        <f>[60]人員・時間計画!H20</f>
        <v>8292.25</v>
      </c>
      <c r="L793" s="214">
        <f>[60]人員・時間計画!I20</f>
        <v>10171.75</v>
      </c>
      <c r="M793" s="214">
        <f>[60]人員・時間計画!J20</f>
        <v>8845</v>
      </c>
      <c r="N793" s="214">
        <f>[60]人員・時間計画!K20</f>
        <v>9542.5</v>
      </c>
      <c r="O793" s="214">
        <f>[60]人員・時間計画!L20</f>
        <v>8845</v>
      </c>
      <c r="P793" s="214">
        <f>[60]人員・時間計画!M20</f>
        <v>7050.25</v>
      </c>
      <c r="Q793" s="214">
        <f>[60]人員・時間計画!N20</f>
        <v>8853.5</v>
      </c>
    </row>
    <row r="794" spans="1:17" ht="14.5" hidden="1" thickBot="1">
      <c r="A794">
        <f>[60]人員・時間計画!$A$5</f>
        <v>1412000072</v>
      </c>
      <c r="B794" t="str">
        <f>[60]人員・時間計画!$B$5</f>
        <v>製品管理課</v>
      </c>
      <c r="C794" s="185" t="s">
        <v>202</v>
      </c>
      <c r="D794" s="204" t="s">
        <v>215</v>
      </c>
      <c r="E794" s="205"/>
      <c r="F794" s="214">
        <f>[60]人員・時間計画!C21</f>
        <v>9355</v>
      </c>
      <c r="G794" s="214">
        <f>[60]人員・時間計画!D21</f>
        <v>8887.25</v>
      </c>
      <c r="H794" s="214">
        <f>[60]人員・時間計画!E21</f>
        <v>9644.25</v>
      </c>
      <c r="I794" s="214">
        <f>[60]人員・時間計画!F21</f>
        <v>10562.75</v>
      </c>
      <c r="J794" s="214">
        <f>[60]人員・時間計画!G21</f>
        <v>9142.5</v>
      </c>
      <c r="K794" s="214">
        <f>[60]人員・時間計画!H21</f>
        <v>8292.25</v>
      </c>
      <c r="L794" s="214">
        <f>[60]人員・時間計画!I21</f>
        <v>10171.75</v>
      </c>
      <c r="M794" s="214">
        <f>[60]人員・時間計画!J21</f>
        <v>8845</v>
      </c>
      <c r="N794" s="214">
        <f>[60]人員・時間計画!K21</f>
        <v>9542.5</v>
      </c>
      <c r="O794" s="214">
        <f>[60]人員・時間計画!L21</f>
        <v>8845</v>
      </c>
      <c r="P794" s="214">
        <f>[60]人員・時間計画!M21</f>
        <v>7050.25</v>
      </c>
      <c r="Q794" s="214">
        <f>[60]人員・時間計画!N21</f>
        <v>8853.5</v>
      </c>
    </row>
    <row r="795" spans="1:17" ht="14.5" hidden="1" thickBot="1">
      <c r="A795">
        <f>[60]人員・時間計画!$A$5</f>
        <v>1412000072</v>
      </c>
      <c r="B795" t="str">
        <f>[60]人員・時間計画!$B$5</f>
        <v>製品管理課</v>
      </c>
      <c r="D795" s="197"/>
      <c r="E795" s="197"/>
    </row>
    <row r="796" spans="1:17" ht="14.5" hidden="1" thickBot="1">
      <c r="A796">
        <f>[60]人員・時間計画!$A$5</f>
        <v>1412000072</v>
      </c>
      <c r="B796" t="str">
        <f>[60]人員・時間計画!$B$5</f>
        <v>製品管理課</v>
      </c>
      <c r="C796" s="185" t="s">
        <v>71</v>
      </c>
      <c r="D796" s="185" t="s">
        <v>71</v>
      </c>
      <c r="E796" s="186"/>
    </row>
    <row r="797" spans="1:17" ht="14.5" hidden="1" thickBot="1">
      <c r="A797">
        <f>[60]人員・時間計画!$A$5</f>
        <v>1412000072</v>
      </c>
      <c r="B797" t="str">
        <f>[60]人員・時間計画!$B$5</f>
        <v>製品管理課</v>
      </c>
      <c r="C797" s="185" t="s">
        <v>71</v>
      </c>
      <c r="D797" s="198" t="s">
        <v>194</v>
      </c>
      <c r="E797" s="199"/>
      <c r="F797" s="214">
        <f>[60]人員・時間計画!C24</f>
        <v>0</v>
      </c>
      <c r="G797" s="214">
        <f>[60]人員・時間計画!D24</f>
        <v>0</v>
      </c>
      <c r="H797" s="214">
        <f>[60]人員・時間計画!E24</f>
        <v>0</v>
      </c>
      <c r="I797" s="214">
        <f>[60]人員・時間計画!F24</f>
        <v>0</v>
      </c>
      <c r="J797" s="214">
        <f>[60]人員・時間計画!G24</f>
        <v>0</v>
      </c>
      <c r="K797" s="214">
        <f>[60]人員・時間計画!H24</f>
        <v>0</v>
      </c>
      <c r="L797" s="214">
        <f>[60]人員・時間計画!I24</f>
        <v>0</v>
      </c>
      <c r="M797" s="214">
        <f>[60]人員・時間計画!J24</f>
        <v>0</v>
      </c>
      <c r="N797" s="214">
        <f>[60]人員・時間計画!K24</f>
        <v>0</v>
      </c>
      <c r="O797" s="214">
        <f>[60]人員・時間計画!L24</f>
        <v>0</v>
      </c>
      <c r="P797" s="214">
        <f>[60]人員・時間計画!M24</f>
        <v>0</v>
      </c>
      <c r="Q797" s="214">
        <f>[60]人員・時間計画!N24</f>
        <v>0</v>
      </c>
    </row>
    <row r="798" spans="1:17" ht="14.5" hidden="1" thickBot="1">
      <c r="A798">
        <f>[60]人員・時間計画!$A$5</f>
        <v>1412000072</v>
      </c>
      <c r="B798" t="str">
        <f>[60]人員・時間計画!$B$5</f>
        <v>製品管理課</v>
      </c>
      <c r="C798" s="185" t="s">
        <v>71</v>
      </c>
      <c r="D798" s="200"/>
      <c r="E798" s="206" t="s">
        <v>139</v>
      </c>
      <c r="F798" s="214">
        <f>[60]人員・時間計画!C25</f>
        <v>100</v>
      </c>
      <c r="G798" s="214">
        <f>[60]人員・時間計画!D25</f>
        <v>96</v>
      </c>
      <c r="H798" s="214">
        <f>[60]人員・時間計画!E25</f>
        <v>104</v>
      </c>
      <c r="I798" s="214">
        <f>[60]人員・時間計画!F25</f>
        <v>112</v>
      </c>
      <c r="J798" s="214">
        <f>[60]人員・時間計画!G25</f>
        <v>100</v>
      </c>
      <c r="K798" s="214">
        <f>[60]人員・時間計画!H25</f>
        <v>96</v>
      </c>
      <c r="L798" s="214">
        <f>[60]人員・時間計画!I25</f>
        <v>112</v>
      </c>
      <c r="M798" s="214">
        <f>[60]人員・時間計画!J25</f>
        <v>100</v>
      </c>
      <c r="N798" s="214">
        <f>[60]人員・時間計画!K25</f>
        <v>108</v>
      </c>
      <c r="O798" s="214">
        <f>[60]人員・時間計画!L25</f>
        <v>100</v>
      </c>
      <c r="P798" s="214">
        <f>[60]人員・時間計画!M25</f>
        <v>90</v>
      </c>
      <c r="Q798" s="214">
        <f>[60]人員・時間計画!N25</f>
        <v>100</v>
      </c>
    </row>
    <row r="799" spans="1:17" ht="14.5" thickBot="1">
      <c r="A799">
        <f>[60]人員・時間計画!$A$5</f>
        <v>1412000072</v>
      </c>
      <c r="B799" t="str">
        <f>[60]人員・時間計画!$B$5</f>
        <v>製品管理課</v>
      </c>
      <c r="C799" s="185" t="s">
        <v>71</v>
      </c>
      <c r="D799" s="201" t="s">
        <v>195</v>
      </c>
      <c r="E799" s="207" t="s">
        <v>140</v>
      </c>
      <c r="F799" s="214">
        <f>[60]人員・時間計画!C26</f>
        <v>150</v>
      </c>
      <c r="G799" s="214">
        <f>[60]人員・時間計画!D26</f>
        <v>150</v>
      </c>
      <c r="H799" s="214">
        <f>[60]人員・時間計画!E26</f>
        <v>150</v>
      </c>
      <c r="I799" s="214">
        <f>[60]人員・時間計画!F26</f>
        <v>150</v>
      </c>
      <c r="J799" s="214">
        <f>[60]人員・時間計画!G26</f>
        <v>200</v>
      </c>
      <c r="K799" s="214">
        <f>[60]人員・時間計画!H26</f>
        <v>200</v>
      </c>
      <c r="L799" s="214">
        <f>[60]人員・時間計画!I26</f>
        <v>200</v>
      </c>
      <c r="M799" s="214">
        <f>[60]人員・時間計画!J26</f>
        <v>200</v>
      </c>
      <c r="N799" s="214">
        <f>[60]人員・時間計画!K26</f>
        <v>350</v>
      </c>
      <c r="O799" s="214">
        <f>[60]人員・時間計画!L26</f>
        <v>450</v>
      </c>
      <c r="P799" s="214">
        <f>[60]人員・時間計画!M26</f>
        <v>800</v>
      </c>
      <c r="Q799" s="214">
        <f>[60]人員・時間計画!N26</f>
        <v>600</v>
      </c>
    </row>
    <row r="800" spans="1:17" ht="14.5" hidden="1" thickBot="1">
      <c r="A800">
        <f>[60]人員・時間計画!$A$5</f>
        <v>1412000072</v>
      </c>
      <c r="B800" t="str">
        <f>[60]人員・時間計画!$B$5</f>
        <v>製品管理課</v>
      </c>
      <c r="C800" s="185" t="s">
        <v>71</v>
      </c>
      <c r="D800" s="202"/>
      <c r="E800" s="203" t="s">
        <v>138</v>
      </c>
      <c r="F800" s="214">
        <f>[60]人員・時間計画!C27</f>
        <v>250</v>
      </c>
      <c r="G800" s="214">
        <f>[60]人員・時間計画!D27</f>
        <v>246</v>
      </c>
      <c r="H800" s="214">
        <f>[60]人員・時間計画!E27</f>
        <v>254</v>
      </c>
      <c r="I800" s="214">
        <f>[60]人員・時間計画!F27</f>
        <v>262</v>
      </c>
      <c r="J800" s="214">
        <f>[60]人員・時間計画!G27</f>
        <v>300</v>
      </c>
      <c r="K800" s="214">
        <f>[60]人員・時間計画!H27</f>
        <v>296</v>
      </c>
      <c r="L800" s="214">
        <f>[60]人員・時間計画!I27</f>
        <v>312</v>
      </c>
      <c r="M800" s="214">
        <f>[60]人員・時間計画!J27</f>
        <v>300</v>
      </c>
      <c r="N800" s="214">
        <f>[60]人員・時間計画!K27</f>
        <v>458</v>
      </c>
      <c r="O800" s="214">
        <f>[60]人員・時間計画!L27</f>
        <v>550</v>
      </c>
      <c r="P800" s="214">
        <f>[60]人員・時間計画!M27</f>
        <v>890</v>
      </c>
      <c r="Q800" s="214">
        <f>[60]人員・時間計画!N27</f>
        <v>700</v>
      </c>
    </row>
    <row r="801" spans="1:17" ht="14.5" hidden="1" thickBot="1">
      <c r="A801">
        <f>[60]人員・時間計画!$A$5</f>
        <v>1412000072</v>
      </c>
      <c r="B801" t="str">
        <f>[60]人員・時間計画!$B$5</f>
        <v>製品管理課</v>
      </c>
      <c r="C801" s="185" t="s">
        <v>71</v>
      </c>
      <c r="D801" s="204" t="s">
        <v>216</v>
      </c>
      <c r="E801" s="205"/>
      <c r="F801" s="214">
        <f>[60]人員・時間計画!C28</f>
        <v>250</v>
      </c>
      <c r="G801" s="214">
        <f>[60]人員・時間計画!D28</f>
        <v>246</v>
      </c>
      <c r="H801" s="214">
        <f>[60]人員・時間計画!E28</f>
        <v>254</v>
      </c>
      <c r="I801" s="214">
        <f>[60]人員・時間計画!F28</f>
        <v>262</v>
      </c>
      <c r="J801" s="214">
        <f>[60]人員・時間計画!G28</f>
        <v>300</v>
      </c>
      <c r="K801" s="214">
        <f>[60]人員・時間計画!H28</f>
        <v>296</v>
      </c>
      <c r="L801" s="214">
        <f>[60]人員・時間計画!I28</f>
        <v>312</v>
      </c>
      <c r="M801" s="214">
        <f>[60]人員・時間計画!J28</f>
        <v>300</v>
      </c>
      <c r="N801" s="214">
        <f>[60]人員・時間計画!K28</f>
        <v>458</v>
      </c>
      <c r="O801" s="214">
        <f>[60]人員・時間計画!L28</f>
        <v>550</v>
      </c>
      <c r="P801" s="214">
        <f>[60]人員・時間計画!M28</f>
        <v>890</v>
      </c>
      <c r="Q801" s="214">
        <f>[60]人員・時間計画!N28</f>
        <v>700</v>
      </c>
    </row>
    <row r="802" spans="1:17" ht="14.5" hidden="1" thickBot="1">
      <c r="A802">
        <f>[25]人員・時間計画!$A$5</f>
        <v>1412000075</v>
      </c>
      <c r="B802" t="str">
        <f>[25]人員・時間計画!$B$5</f>
        <v>工程品質管理2課</v>
      </c>
      <c r="C802" s="185" t="s">
        <v>3</v>
      </c>
      <c r="D802" s="185" t="s">
        <v>3</v>
      </c>
      <c r="E802" s="186"/>
    </row>
    <row r="803" spans="1:17" ht="14.5" hidden="1" thickBot="1">
      <c r="A803">
        <f>[25]人員・時間計画!$A$5</f>
        <v>1412000075</v>
      </c>
      <c r="B803" t="str">
        <f>[25]人員・時間計画!$B$5</f>
        <v>工程品質管理2課</v>
      </c>
      <c r="C803" s="185" t="s">
        <v>3</v>
      </c>
      <c r="D803" s="187" t="s">
        <v>194</v>
      </c>
      <c r="E803" s="188"/>
      <c r="F803" s="214">
        <f>[25]人員・時間計画!C10</f>
        <v>0</v>
      </c>
      <c r="G803" s="214">
        <f>[25]人員・時間計画!D10</f>
        <v>0</v>
      </c>
      <c r="H803" s="214">
        <f>[25]人員・時間計画!E10</f>
        <v>0</v>
      </c>
      <c r="I803" s="214">
        <f>[25]人員・時間計画!F10</f>
        <v>0</v>
      </c>
      <c r="J803" s="214">
        <f>[25]人員・時間計画!G10</f>
        <v>0</v>
      </c>
      <c r="K803" s="214">
        <f>[25]人員・時間計画!H10</f>
        <v>0</v>
      </c>
      <c r="L803" s="214">
        <f>[25]人員・時間計画!I10</f>
        <v>0</v>
      </c>
      <c r="M803" s="214">
        <f>[25]人員・時間計画!J10</f>
        <v>0</v>
      </c>
      <c r="N803" s="214">
        <f>[25]人員・時間計画!K10</f>
        <v>0</v>
      </c>
      <c r="O803" s="214">
        <f>[25]人員・時間計画!L10</f>
        <v>0</v>
      </c>
      <c r="P803" s="214">
        <f>[25]人員・時間計画!M10</f>
        <v>0</v>
      </c>
      <c r="Q803" s="214">
        <f>[25]人員・時間計画!N10</f>
        <v>0</v>
      </c>
    </row>
    <row r="804" spans="1:17" ht="14.5" hidden="1" thickBot="1">
      <c r="A804">
        <f>[25]人員・時間計画!$A$5</f>
        <v>1412000075</v>
      </c>
      <c r="B804" t="str">
        <f>[25]人員・時間計画!$B$5</f>
        <v>工程品質管理2課</v>
      </c>
      <c r="C804" s="185" t="s">
        <v>3</v>
      </c>
      <c r="D804" s="189"/>
      <c r="E804" s="190" t="s">
        <v>139</v>
      </c>
      <c r="F804" s="214">
        <f>[25]人員・時間計画!C11</f>
        <v>7</v>
      </c>
      <c r="G804" s="214">
        <f>[25]人員・時間計画!D11</f>
        <v>7</v>
      </c>
      <c r="H804" s="214">
        <f>[25]人員・時間計画!E11</f>
        <v>7</v>
      </c>
      <c r="I804" s="214">
        <f>[25]人員・時間計画!F11</f>
        <v>7</v>
      </c>
      <c r="J804" s="214">
        <f>[25]人員・時間計画!G11</f>
        <v>7</v>
      </c>
      <c r="K804" s="214">
        <f>[25]人員・時間計画!H11</f>
        <v>7</v>
      </c>
      <c r="L804" s="214">
        <f>[25]人員・時間計画!I11</f>
        <v>7</v>
      </c>
      <c r="M804" s="214">
        <f>[25]人員・時間計画!J11</f>
        <v>7</v>
      </c>
      <c r="N804" s="214">
        <f>[25]人員・時間計画!K11</f>
        <v>7</v>
      </c>
      <c r="O804" s="214">
        <f>[25]人員・時間計画!L11</f>
        <v>8</v>
      </c>
      <c r="P804" s="214">
        <f>[25]人員・時間計画!M11</f>
        <v>8</v>
      </c>
      <c r="Q804" s="214">
        <f>[25]人員・時間計画!N11</f>
        <v>8</v>
      </c>
    </row>
    <row r="805" spans="1:17" ht="14.5" thickBot="1">
      <c r="A805">
        <f>[25]人員・時間計画!$A$5</f>
        <v>1412000075</v>
      </c>
      <c r="B805" t="str">
        <f>[25]人員・時間計画!$B$5</f>
        <v>工程品質管理2課</v>
      </c>
      <c r="C805" s="185" t="s">
        <v>3</v>
      </c>
      <c r="D805" s="191" t="s">
        <v>195</v>
      </c>
      <c r="E805" s="192" t="s">
        <v>140</v>
      </c>
      <c r="F805" s="214">
        <f>[25]人員・時間計画!C12</f>
        <v>1</v>
      </c>
      <c r="G805" s="214">
        <f>[25]人員・時間計画!D12</f>
        <v>1</v>
      </c>
      <c r="H805" s="214">
        <f>[25]人員・時間計画!E12</f>
        <v>1</v>
      </c>
      <c r="I805" s="214">
        <f>[25]人員・時間計画!F12</f>
        <v>1</v>
      </c>
      <c r="J805" s="214">
        <f>[25]人員・時間計画!G12</f>
        <v>1</v>
      </c>
      <c r="K805" s="214">
        <f>[25]人員・時間計画!H12</f>
        <v>1</v>
      </c>
      <c r="L805" s="214">
        <f>[25]人員・時間計画!I12</f>
        <v>2</v>
      </c>
      <c r="M805" s="214">
        <f>[25]人員・時間計画!J12</f>
        <v>2</v>
      </c>
      <c r="N805" s="214">
        <f>[25]人員・時間計画!K12</f>
        <v>2</v>
      </c>
      <c r="O805" s="214">
        <f>[25]人員・時間計画!L12</f>
        <v>1</v>
      </c>
      <c r="P805" s="214">
        <f>[25]人員・時間計画!M12</f>
        <v>1</v>
      </c>
      <c r="Q805" s="214">
        <f>[25]人員・時間計画!N12</f>
        <v>1</v>
      </c>
    </row>
    <row r="806" spans="1:17" ht="14.5" hidden="1" thickBot="1">
      <c r="A806">
        <f>[25]人員・時間計画!$A$5</f>
        <v>1412000075</v>
      </c>
      <c r="B806" t="str">
        <f>[25]人員・時間計画!$B$5</f>
        <v>工程品質管理2課</v>
      </c>
      <c r="C806" s="185" t="s">
        <v>3</v>
      </c>
      <c r="D806" s="193"/>
      <c r="E806" s="194" t="s">
        <v>138</v>
      </c>
      <c r="F806" s="214">
        <f>[25]人員・時間計画!C13</f>
        <v>8</v>
      </c>
      <c r="G806" s="214">
        <f>[25]人員・時間計画!D13</f>
        <v>8</v>
      </c>
      <c r="H806" s="214">
        <f>[25]人員・時間計画!E13</f>
        <v>8</v>
      </c>
      <c r="I806" s="214">
        <f>[25]人員・時間計画!F13</f>
        <v>8</v>
      </c>
      <c r="J806" s="214">
        <f>[25]人員・時間計画!G13</f>
        <v>8</v>
      </c>
      <c r="K806" s="214">
        <f>[25]人員・時間計画!H13</f>
        <v>8</v>
      </c>
      <c r="L806" s="214">
        <f>[25]人員・時間計画!I13</f>
        <v>9</v>
      </c>
      <c r="M806" s="214">
        <f>[25]人員・時間計画!J13</f>
        <v>9</v>
      </c>
      <c r="N806" s="214">
        <f>[25]人員・時間計画!K13</f>
        <v>9</v>
      </c>
      <c r="O806" s="214">
        <f>[25]人員・時間計画!L13</f>
        <v>9</v>
      </c>
      <c r="P806" s="214">
        <f>[25]人員・時間計画!M13</f>
        <v>9</v>
      </c>
      <c r="Q806" s="214">
        <f>[25]人員・時間計画!N13</f>
        <v>9</v>
      </c>
    </row>
    <row r="807" spans="1:17" ht="14.5" hidden="1" thickBot="1">
      <c r="A807">
        <f>[25]人員・時間計画!$A$5</f>
        <v>1412000075</v>
      </c>
      <c r="B807" t="str">
        <f>[25]人員・時間計画!$B$5</f>
        <v>工程品質管理2課</v>
      </c>
      <c r="C807" s="185" t="s">
        <v>3</v>
      </c>
      <c r="D807" s="195" t="s">
        <v>196</v>
      </c>
      <c r="E807" s="196"/>
      <c r="F807" s="214">
        <f>[25]人員・時間計画!C14</f>
        <v>8</v>
      </c>
      <c r="G807" s="214">
        <f>[25]人員・時間計画!D14</f>
        <v>8</v>
      </c>
      <c r="H807" s="214">
        <f>[25]人員・時間計画!E14</f>
        <v>8</v>
      </c>
      <c r="I807" s="214">
        <f>[25]人員・時間計画!F14</f>
        <v>8</v>
      </c>
      <c r="J807" s="214">
        <f>[25]人員・時間計画!G14</f>
        <v>8</v>
      </c>
      <c r="K807" s="214">
        <f>[25]人員・時間計画!H14</f>
        <v>8</v>
      </c>
      <c r="L807" s="214">
        <f>[25]人員・時間計画!I14</f>
        <v>9</v>
      </c>
      <c r="M807" s="214">
        <f>[25]人員・時間計画!J14</f>
        <v>9</v>
      </c>
      <c r="N807" s="214">
        <f>[25]人員・時間計画!K14</f>
        <v>9</v>
      </c>
      <c r="O807" s="214">
        <f>[25]人員・時間計画!L14</f>
        <v>9</v>
      </c>
      <c r="P807" s="214">
        <f>[25]人員・時間計画!M14</f>
        <v>9</v>
      </c>
      <c r="Q807" s="214">
        <f>[25]人員・時間計画!N14</f>
        <v>9</v>
      </c>
    </row>
    <row r="808" spans="1:17" ht="14.5" hidden="1" thickBot="1">
      <c r="A808">
        <f>[25]人員・時間計画!$A$5</f>
        <v>1412000075</v>
      </c>
      <c r="B808" t="str">
        <f>[25]人員・時間計画!$B$5</f>
        <v>工程品質管理2課</v>
      </c>
      <c r="D808" s="197"/>
      <c r="E808" s="197"/>
    </row>
    <row r="809" spans="1:17" ht="14.5" hidden="1" thickBot="1">
      <c r="A809">
        <f>[25]人員・時間計画!$A$5</f>
        <v>1412000075</v>
      </c>
      <c r="B809" t="str">
        <f>[25]人員・時間計画!$B$5</f>
        <v>工程品質管理2課</v>
      </c>
      <c r="C809" s="185" t="s">
        <v>202</v>
      </c>
      <c r="D809" s="185" t="s">
        <v>202</v>
      </c>
      <c r="E809" s="186"/>
    </row>
    <row r="810" spans="1:17" ht="14.5" hidden="1" thickBot="1">
      <c r="A810">
        <f>[25]人員・時間計画!$A$5</f>
        <v>1412000075</v>
      </c>
      <c r="B810" t="str">
        <f>[25]人員・時間計画!$B$5</f>
        <v>工程品質管理2課</v>
      </c>
      <c r="C810" s="185" t="s">
        <v>202</v>
      </c>
      <c r="D810" s="198" t="s">
        <v>194</v>
      </c>
      <c r="E810" s="199"/>
      <c r="F810" s="214">
        <f>[25]人員・時間計画!C17</f>
        <v>0</v>
      </c>
      <c r="G810" s="214">
        <f>[25]人員・時間計画!D17</f>
        <v>0</v>
      </c>
      <c r="H810" s="214">
        <f>[25]人員・時間計画!E17</f>
        <v>0</v>
      </c>
      <c r="I810" s="214">
        <f>[25]人員・時間計画!F17</f>
        <v>0</v>
      </c>
      <c r="J810" s="214">
        <f>[25]人員・時間計画!G17</f>
        <v>0</v>
      </c>
      <c r="K810" s="214">
        <f>[25]人員・時間計画!H17</f>
        <v>0</v>
      </c>
      <c r="L810" s="214">
        <f>[25]人員・時間計画!I17</f>
        <v>0</v>
      </c>
      <c r="M810" s="214">
        <f>[25]人員・時間計画!J17</f>
        <v>0</v>
      </c>
      <c r="N810" s="214">
        <f>[25]人員・時間計画!K17</f>
        <v>0</v>
      </c>
      <c r="O810" s="214">
        <f>[25]人員・時間計画!L17</f>
        <v>0</v>
      </c>
      <c r="P810" s="214">
        <f>[25]人員・時間計画!M17</f>
        <v>0</v>
      </c>
      <c r="Q810" s="214">
        <f>[25]人員・時間計画!N17</f>
        <v>0</v>
      </c>
    </row>
    <row r="811" spans="1:17" ht="14.5" hidden="1" thickBot="1">
      <c r="A811">
        <f>[25]人員・時間計画!$A$5</f>
        <v>1412000075</v>
      </c>
      <c r="B811" t="str">
        <f>[25]人員・時間計画!$B$5</f>
        <v>工程品質管理2課</v>
      </c>
      <c r="C811" s="185" t="s">
        <v>202</v>
      </c>
      <c r="D811" s="200"/>
      <c r="E811" s="190" t="s">
        <v>139</v>
      </c>
      <c r="F811" s="214">
        <f>[25]人員・時間計画!C18</f>
        <v>1131</v>
      </c>
      <c r="G811" s="214">
        <f>[25]人員・時間計画!D18</f>
        <v>1074</v>
      </c>
      <c r="H811" s="214">
        <f>[25]人員・時間計画!E18</f>
        <v>1187</v>
      </c>
      <c r="I811" s="214">
        <f>[25]人員・時間計画!F18</f>
        <v>1300</v>
      </c>
      <c r="J811" s="214">
        <f>[25]人員・時間計画!G18</f>
        <v>1131</v>
      </c>
      <c r="K811" s="214">
        <f>[25]人員・時間計画!H18</f>
        <v>1074</v>
      </c>
      <c r="L811" s="214">
        <f>[25]人員・時間計画!I18</f>
        <v>1300</v>
      </c>
      <c r="M811" s="214">
        <f>[25]人員・時間計画!J18</f>
        <v>1131</v>
      </c>
      <c r="N811" s="214">
        <f>[25]人員・時間計画!K18</f>
        <v>1244</v>
      </c>
      <c r="O811" s="214">
        <f>[25]人員・時間計画!L18</f>
        <v>1292</v>
      </c>
      <c r="P811" s="214">
        <f>[25]人員・時間計画!M18</f>
        <v>969</v>
      </c>
      <c r="Q811" s="214">
        <f>[25]人員・時間計画!N18</f>
        <v>1292</v>
      </c>
    </row>
    <row r="812" spans="1:17" ht="14.5" thickBot="1">
      <c r="A812">
        <f>[25]人員・時間計画!$A$5</f>
        <v>1412000075</v>
      </c>
      <c r="B812" t="str">
        <f>[25]人員・時間計画!$B$5</f>
        <v>工程品質管理2課</v>
      </c>
      <c r="C812" s="185" t="s">
        <v>202</v>
      </c>
      <c r="D812" s="201" t="s">
        <v>195</v>
      </c>
      <c r="E812" s="192" t="s">
        <v>140</v>
      </c>
      <c r="F812" s="214">
        <f>[25]人員・時間計画!C19</f>
        <v>162</v>
      </c>
      <c r="G812" s="214">
        <f>[25]人員・時間計画!D19</f>
        <v>153</v>
      </c>
      <c r="H812" s="214">
        <f>[25]人員・時間計画!E19</f>
        <v>170</v>
      </c>
      <c r="I812" s="214">
        <f>[25]人員・時間計画!F19</f>
        <v>186</v>
      </c>
      <c r="J812" s="214">
        <f>[25]人員・時間計画!G19</f>
        <v>162</v>
      </c>
      <c r="K812" s="214">
        <f>[25]人員・時間計画!H19</f>
        <v>153</v>
      </c>
      <c r="L812" s="214">
        <f>[25]人員・時間計画!I19</f>
        <v>371</v>
      </c>
      <c r="M812" s="214">
        <f>[25]人員・時間計画!J19</f>
        <v>323</v>
      </c>
      <c r="N812" s="214">
        <f>[25]人員・時間計画!K19</f>
        <v>355</v>
      </c>
      <c r="O812" s="214">
        <f>[25]人員・時間計画!L19</f>
        <v>162</v>
      </c>
      <c r="P812" s="214">
        <f>[25]人員・時間計画!M19</f>
        <v>121</v>
      </c>
      <c r="Q812" s="214">
        <f>[25]人員・時間計画!N19</f>
        <v>162</v>
      </c>
    </row>
    <row r="813" spans="1:17" ht="14.5" hidden="1" thickBot="1">
      <c r="A813">
        <f>[25]人員・時間計画!$A$5</f>
        <v>1412000075</v>
      </c>
      <c r="B813" t="str">
        <f>[25]人員・時間計画!$B$5</f>
        <v>工程品質管理2課</v>
      </c>
      <c r="C813" s="185" t="s">
        <v>202</v>
      </c>
      <c r="D813" s="202"/>
      <c r="E813" s="203" t="s">
        <v>138</v>
      </c>
      <c r="F813" s="214">
        <f>[25]人員・時間計画!C20</f>
        <v>1293</v>
      </c>
      <c r="G813" s="214">
        <f>[25]人員・時間計画!D20</f>
        <v>1227</v>
      </c>
      <c r="H813" s="214">
        <f>[25]人員・時間計画!E20</f>
        <v>1357</v>
      </c>
      <c r="I813" s="214">
        <f>[25]人員・時間計画!F20</f>
        <v>1486</v>
      </c>
      <c r="J813" s="214">
        <f>[25]人員・時間計画!G20</f>
        <v>1293</v>
      </c>
      <c r="K813" s="214">
        <f>[25]人員・時間計画!H20</f>
        <v>1227</v>
      </c>
      <c r="L813" s="214">
        <f>[25]人員・時間計画!I20</f>
        <v>1671</v>
      </c>
      <c r="M813" s="214">
        <f>[25]人員・時間計画!J20</f>
        <v>1454</v>
      </c>
      <c r="N813" s="214">
        <f>[25]人員・時間計画!K20</f>
        <v>1599</v>
      </c>
      <c r="O813" s="214">
        <f>[25]人員・時間計画!L20</f>
        <v>1454</v>
      </c>
      <c r="P813" s="214">
        <f>[25]人員・時間計画!M20</f>
        <v>1090</v>
      </c>
      <c r="Q813" s="214">
        <f>[25]人員・時間計画!N20</f>
        <v>1454</v>
      </c>
    </row>
    <row r="814" spans="1:17" ht="14.5" hidden="1" thickBot="1">
      <c r="A814">
        <f>[25]人員・時間計画!$A$5</f>
        <v>1412000075</v>
      </c>
      <c r="B814" t="str">
        <f>[25]人員・時間計画!$B$5</f>
        <v>工程品質管理2課</v>
      </c>
      <c r="C814" s="185" t="s">
        <v>202</v>
      </c>
      <c r="D814" s="204" t="s">
        <v>215</v>
      </c>
      <c r="E814" s="205"/>
      <c r="F814" s="214">
        <f>[25]人員・時間計画!C21</f>
        <v>1293</v>
      </c>
      <c r="G814" s="214">
        <f>[25]人員・時間計画!D21</f>
        <v>1227</v>
      </c>
      <c r="H814" s="214">
        <f>[25]人員・時間計画!E21</f>
        <v>1357</v>
      </c>
      <c r="I814" s="214">
        <f>[25]人員・時間計画!F21</f>
        <v>1486</v>
      </c>
      <c r="J814" s="214">
        <f>[25]人員・時間計画!G21</f>
        <v>1293</v>
      </c>
      <c r="K814" s="214">
        <f>[25]人員・時間計画!H21</f>
        <v>1227</v>
      </c>
      <c r="L814" s="214">
        <f>[25]人員・時間計画!I21</f>
        <v>1671</v>
      </c>
      <c r="M814" s="214">
        <f>[25]人員・時間計画!J21</f>
        <v>1454</v>
      </c>
      <c r="N814" s="214">
        <f>[25]人員・時間計画!K21</f>
        <v>1599</v>
      </c>
      <c r="O814" s="214">
        <f>[25]人員・時間計画!L21</f>
        <v>1454</v>
      </c>
      <c r="P814" s="214">
        <f>[25]人員・時間計画!M21</f>
        <v>1090</v>
      </c>
      <c r="Q814" s="214">
        <f>[25]人員・時間計画!N21</f>
        <v>1454</v>
      </c>
    </row>
    <row r="815" spans="1:17" ht="14.5" hidden="1" thickBot="1">
      <c r="A815">
        <f>[25]人員・時間計画!$A$5</f>
        <v>1412000075</v>
      </c>
      <c r="B815" t="str">
        <f>[25]人員・時間計画!$B$5</f>
        <v>工程品質管理2課</v>
      </c>
      <c r="D815" s="197"/>
      <c r="E815" s="197"/>
    </row>
    <row r="816" spans="1:17" ht="14.5" hidden="1" thickBot="1">
      <c r="A816">
        <f>[25]人員・時間計画!$A$5</f>
        <v>1412000075</v>
      </c>
      <c r="B816" t="str">
        <f>[25]人員・時間計画!$B$5</f>
        <v>工程品質管理2課</v>
      </c>
      <c r="C816" s="185" t="s">
        <v>71</v>
      </c>
      <c r="D816" s="185" t="s">
        <v>71</v>
      </c>
      <c r="E816" s="186"/>
    </row>
    <row r="817" spans="1:17" ht="14.5" hidden="1" thickBot="1">
      <c r="A817">
        <f>[25]人員・時間計画!$A$5</f>
        <v>1412000075</v>
      </c>
      <c r="B817" t="str">
        <f>[25]人員・時間計画!$B$5</f>
        <v>工程品質管理2課</v>
      </c>
      <c r="C817" s="185" t="s">
        <v>71</v>
      </c>
      <c r="D817" s="198" t="s">
        <v>194</v>
      </c>
      <c r="E817" s="199"/>
      <c r="F817" s="214">
        <f>[25]人員・時間計画!C24</f>
        <v>0</v>
      </c>
      <c r="G817" s="214">
        <f>[25]人員・時間計画!D24</f>
        <v>0</v>
      </c>
      <c r="H817" s="214">
        <f>[25]人員・時間計画!E24</f>
        <v>0</v>
      </c>
      <c r="I817" s="214">
        <f>[25]人員・時間計画!F24</f>
        <v>0</v>
      </c>
      <c r="J817" s="214">
        <f>[25]人員・時間計画!G24</f>
        <v>0</v>
      </c>
      <c r="K817" s="214">
        <f>[25]人員・時間計画!H24</f>
        <v>0</v>
      </c>
      <c r="L817" s="214">
        <f>[25]人員・時間計画!I24</f>
        <v>0</v>
      </c>
      <c r="M817" s="214">
        <f>[25]人員・時間計画!J24</f>
        <v>0</v>
      </c>
      <c r="N817" s="214">
        <f>[25]人員・時間計画!K24</f>
        <v>0</v>
      </c>
      <c r="O817" s="214">
        <f>[25]人員・時間計画!L24</f>
        <v>0</v>
      </c>
      <c r="P817" s="214">
        <f>[25]人員・時間計画!M24</f>
        <v>0</v>
      </c>
      <c r="Q817" s="214">
        <f>[25]人員・時間計画!N24</f>
        <v>0</v>
      </c>
    </row>
    <row r="818" spans="1:17" ht="14.5" hidden="1" thickBot="1">
      <c r="A818">
        <f>[25]人員・時間計画!$A$5</f>
        <v>1412000075</v>
      </c>
      <c r="B818" t="str">
        <f>[25]人員・時間計画!$B$5</f>
        <v>工程品質管理2課</v>
      </c>
      <c r="C818" s="185" t="s">
        <v>71</v>
      </c>
      <c r="D818" s="200"/>
      <c r="E818" s="206" t="s">
        <v>139</v>
      </c>
      <c r="F818" s="214">
        <f>[25]人員・時間計画!C25</f>
        <v>48</v>
      </c>
      <c r="G818" s="214">
        <f>[25]人員・時間計画!D25</f>
        <v>46</v>
      </c>
      <c r="H818" s="214">
        <f>[25]人員・時間計画!E25</f>
        <v>50</v>
      </c>
      <c r="I818" s="214">
        <f>[25]人員・時間計画!F25</f>
        <v>54</v>
      </c>
      <c r="J818" s="214">
        <f>[25]人員・時間計画!G25</f>
        <v>48</v>
      </c>
      <c r="K818" s="214">
        <f>[25]人員・時間計画!H25</f>
        <v>46</v>
      </c>
      <c r="L818" s="214">
        <f>[25]人員・時間計画!I25</f>
        <v>54</v>
      </c>
      <c r="M818" s="214">
        <f>[25]人員・時間計画!J25</f>
        <v>48</v>
      </c>
      <c r="N818" s="214">
        <f>[25]人員・時間計画!K25</f>
        <v>52</v>
      </c>
      <c r="O818" s="214">
        <f>[25]人員・時間計画!L25</f>
        <v>48</v>
      </c>
      <c r="P818" s="214">
        <f>[25]人員・時間計画!M25</f>
        <v>38</v>
      </c>
      <c r="Q818" s="214">
        <f>[25]人員・時間計画!N25</f>
        <v>48</v>
      </c>
    </row>
    <row r="819" spans="1:17" ht="14.5" thickBot="1">
      <c r="A819">
        <f>[25]人員・時間計画!$A$5</f>
        <v>1412000075</v>
      </c>
      <c r="B819" t="str">
        <f>[25]人員・時間計画!$B$5</f>
        <v>工程品質管理2課</v>
      </c>
      <c r="C819" s="185" t="s">
        <v>71</v>
      </c>
      <c r="D819" s="201" t="s">
        <v>195</v>
      </c>
      <c r="E819" s="207" t="s">
        <v>140</v>
      </c>
      <c r="F819" s="214">
        <f>[25]人員・時間計画!C26</f>
        <v>0</v>
      </c>
      <c r="G819" s="214">
        <f>[25]人員・時間計画!D26</f>
        <v>0</v>
      </c>
      <c r="H819" s="214">
        <f>[25]人員・時間計画!E26</f>
        <v>0</v>
      </c>
      <c r="I819" s="214">
        <f>[25]人員・時間計画!F26</f>
        <v>0</v>
      </c>
      <c r="J819" s="214">
        <f>[25]人員・時間計画!G26</f>
        <v>0</v>
      </c>
      <c r="K819" s="214">
        <f>[25]人員・時間計画!H26</f>
        <v>0</v>
      </c>
      <c r="L819" s="214">
        <f>[25]人員・時間計画!I26</f>
        <v>0</v>
      </c>
      <c r="M819" s="214">
        <f>[25]人員・時間計画!J26</f>
        <v>0</v>
      </c>
      <c r="N819" s="214">
        <f>[25]人員・時間計画!K26</f>
        <v>0</v>
      </c>
      <c r="O819" s="214">
        <f>[25]人員・時間計画!L26</f>
        <v>0</v>
      </c>
      <c r="P819" s="214">
        <f>[25]人員・時間計画!M26</f>
        <v>0</v>
      </c>
      <c r="Q819" s="214">
        <f>[25]人員・時間計画!N26</f>
        <v>0</v>
      </c>
    </row>
    <row r="820" spans="1:17" ht="14.5" hidden="1" thickBot="1">
      <c r="A820">
        <f>[25]人員・時間計画!$A$5</f>
        <v>1412000075</v>
      </c>
      <c r="B820" t="str">
        <f>[25]人員・時間計画!$B$5</f>
        <v>工程品質管理2課</v>
      </c>
      <c r="C820" s="185" t="s">
        <v>71</v>
      </c>
      <c r="D820" s="202"/>
      <c r="E820" s="203" t="s">
        <v>138</v>
      </c>
      <c r="F820" s="214">
        <f>[25]人員・時間計画!C27</f>
        <v>48</v>
      </c>
      <c r="G820" s="214">
        <f>[25]人員・時間計画!D27</f>
        <v>46</v>
      </c>
      <c r="H820" s="214">
        <f>[25]人員・時間計画!E27</f>
        <v>50</v>
      </c>
      <c r="I820" s="214">
        <f>[25]人員・時間計画!F27</f>
        <v>54</v>
      </c>
      <c r="J820" s="214">
        <f>[25]人員・時間計画!G27</f>
        <v>48</v>
      </c>
      <c r="K820" s="214">
        <f>[25]人員・時間計画!H27</f>
        <v>46</v>
      </c>
      <c r="L820" s="214">
        <f>[25]人員・時間計画!I27</f>
        <v>54</v>
      </c>
      <c r="M820" s="214">
        <f>[25]人員・時間計画!J27</f>
        <v>48</v>
      </c>
      <c r="N820" s="214">
        <f>[25]人員・時間計画!K27</f>
        <v>52</v>
      </c>
      <c r="O820" s="214">
        <f>[25]人員・時間計画!L27</f>
        <v>48</v>
      </c>
      <c r="P820" s="214">
        <f>[25]人員・時間計画!M27</f>
        <v>38</v>
      </c>
      <c r="Q820" s="214">
        <f>[25]人員・時間計画!N27</f>
        <v>48</v>
      </c>
    </row>
    <row r="821" spans="1:17" ht="14.5" hidden="1" thickBot="1">
      <c r="A821">
        <f>[25]人員・時間計画!$A$5</f>
        <v>1412000075</v>
      </c>
      <c r="B821" t="str">
        <f>[25]人員・時間計画!$B$5</f>
        <v>工程品質管理2課</v>
      </c>
      <c r="C821" s="185" t="s">
        <v>71</v>
      </c>
      <c r="D821" s="204" t="s">
        <v>216</v>
      </c>
      <c r="E821" s="205"/>
      <c r="F821" s="214">
        <f>[25]人員・時間計画!C28</f>
        <v>48</v>
      </c>
      <c r="G821" s="214">
        <f>[25]人員・時間計画!D28</f>
        <v>46</v>
      </c>
      <c r="H821" s="214">
        <f>[25]人員・時間計画!E28</f>
        <v>50</v>
      </c>
      <c r="I821" s="214">
        <f>[25]人員・時間計画!F28</f>
        <v>54</v>
      </c>
      <c r="J821" s="214">
        <f>[25]人員・時間計画!G28</f>
        <v>48</v>
      </c>
      <c r="K821" s="214">
        <f>[25]人員・時間計画!H28</f>
        <v>46</v>
      </c>
      <c r="L821" s="214">
        <f>[25]人員・時間計画!I28</f>
        <v>54</v>
      </c>
      <c r="M821" s="214">
        <f>[25]人員・時間計画!J28</f>
        <v>48</v>
      </c>
      <c r="N821" s="214">
        <f>[25]人員・時間計画!K28</f>
        <v>52</v>
      </c>
      <c r="O821" s="214">
        <f>[25]人員・時間計画!L28</f>
        <v>48</v>
      </c>
      <c r="P821" s="214">
        <f>[25]人員・時間計画!M28</f>
        <v>38</v>
      </c>
      <c r="Q821" s="214">
        <f>[25]人員・時間計画!N28</f>
        <v>48</v>
      </c>
    </row>
    <row r="822" spans="1:17" ht="14.5" hidden="1" thickBot="1">
      <c r="A822">
        <f>[31]人員・時間計画!$A$5</f>
        <v>1412000073</v>
      </c>
      <c r="B822" t="str">
        <f>[31]人員・時間計画!$B$5</f>
        <v>物流管理課</v>
      </c>
      <c r="C822" s="185" t="s">
        <v>3</v>
      </c>
      <c r="D822" s="185" t="s">
        <v>3</v>
      </c>
      <c r="E822" s="186"/>
    </row>
    <row r="823" spans="1:17" ht="14.5" hidden="1" thickBot="1">
      <c r="A823">
        <f>[31]人員・時間計画!$A$5</f>
        <v>1412000073</v>
      </c>
      <c r="B823" t="str">
        <f>[31]人員・時間計画!$B$5</f>
        <v>物流管理課</v>
      </c>
      <c r="C823" s="185" t="s">
        <v>3</v>
      </c>
      <c r="D823" s="187" t="s">
        <v>194</v>
      </c>
      <c r="E823" s="188"/>
      <c r="F823" s="214">
        <f>[31]人員・時間計画!C10</f>
        <v>1</v>
      </c>
      <c r="G823" s="214">
        <f>[31]人員・時間計画!D10</f>
        <v>1</v>
      </c>
      <c r="H823" s="214">
        <f>[31]人員・時間計画!E10</f>
        <v>1</v>
      </c>
      <c r="I823" s="214">
        <f>[31]人員・時間計画!F10</f>
        <v>1</v>
      </c>
      <c r="J823" s="214">
        <f>[31]人員・時間計画!G10</f>
        <v>1</v>
      </c>
      <c r="K823" s="214">
        <f>[31]人員・時間計画!H10</f>
        <v>1</v>
      </c>
      <c r="L823" s="214">
        <f>[31]人員・時間計画!I10</f>
        <v>1</v>
      </c>
      <c r="M823" s="214">
        <f>[31]人員・時間計画!J10</f>
        <v>1</v>
      </c>
      <c r="N823" s="214">
        <f>[31]人員・時間計画!K10</f>
        <v>1</v>
      </c>
      <c r="O823" s="214">
        <f>[31]人員・時間計画!L10</f>
        <v>1</v>
      </c>
      <c r="P823" s="214">
        <f>[31]人員・時間計画!M10</f>
        <v>1</v>
      </c>
      <c r="Q823" s="214">
        <f>[31]人員・時間計画!N10</f>
        <v>1</v>
      </c>
    </row>
    <row r="824" spans="1:17" ht="14.5" hidden="1" thickBot="1">
      <c r="A824">
        <f>[31]人員・時間計画!$A$5</f>
        <v>1412000073</v>
      </c>
      <c r="B824" t="str">
        <f>[31]人員・時間計画!$B$5</f>
        <v>物流管理課</v>
      </c>
      <c r="C824" s="185" t="s">
        <v>3</v>
      </c>
      <c r="D824" s="189"/>
      <c r="E824" s="190" t="s">
        <v>139</v>
      </c>
      <c r="F824" s="214">
        <f>[31]人員・時間計画!C11</f>
        <v>12</v>
      </c>
      <c r="G824" s="214">
        <f>[31]人員・時間計画!D11</f>
        <v>12</v>
      </c>
      <c r="H824" s="214">
        <f>[31]人員・時間計画!E11</f>
        <v>12</v>
      </c>
      <c r="I824" s="214">
        <f>[31]人員・時間計画!F11</f>
        <v>12</v>
      </c>
      <c r="J824" s="214">
        <f>[31]人員・時間計画!G11</f>
        <v>12</v>
      </c>
      <c r="K824" s="214">
        <f>[31]人員・時間計画!H11</f>
        <v>12</v>
      </c>
      <c r="L824" s="214">
        <f>[31]人員・時間計画!I11</f>
        <v>12</v>
      </c>
      <c r="M824" s="214">
        <f>[31]人員・時間計画!J11</f>
        <v>12</v>
      </c>
      <c r="N824" s="214">
        <f>[31]人員・時間計画!K11</f>
        <v>12</v>
      </c>
      <c r="O824" s="214">
        <f>[31]人員・時間計画!L11</f>
        <v>12</v>
      </c>
      <c r="P824" s="214">
        <f>[31]人員・時間計画!M11</f>
        <v>12</v>
      </c>
      <c r="Q824" s="214">
        <f>[31]人員・時間計画!N11</f>
        <v>12</v>
      </c>
    </row>
    <row r="825" spans="1:17" ht="14.5" thickBot="1">
      <c r="A825">
        <f>[31]人員・時間計画!$A$5</f>
        <v>1412000073</v>
      </c>
      <c r="B825" t="str">
        <f>[31]人員・時間計画!$B$5</f>
        <v>物流管理課</v>
      </c>
      <c r="C825" s="185" t="s">
        <v>3</v>
      </c>
      <c r="D825" s="191" t="s">
        <v>195</v>
      </c>
      <c r="E825" s="192" t="s">
        <v>140</v>
      </c>
      <c r="F825" s="214">
        <f>[31]人員・時間計画!C12</f>
        <v>5</v>
      </c>
      <c r="G825" s="214">
        <f>[31]人員・時間計画!D12</f>
        <v>5</v>
      </c>
      <c r="H825" s="214">
        <f>[31]人員・時間計画!E12</f>
        <v>5</v>
      </c>
      <c r="I825" s="214">
        <f>[31]人員・時間計画!F12</f>
        <v>5</v>
      </c>
      <c r="J825" s="214">
        <f>[31]人員・時間計画!G12</f>
        <v>5</v>
      </c>
      <c r="K825" s="214">
        <f>[31]人員・時間計画!H12</f>
        <v>5</v>
      </c>
      <c r="L825" s="214">
        <f>[31]人員・時間計画!I12</f>
        <v>5</v>
      </c>
      <c r="M825" s="214">
        <f>[31]人員・時間計画!J12</f>
        <v>5</v>
      </c>
      <c r="N825" s="214">
        <f>[31]人員・時間計画!K12</f>
        <v>5</v>
      </c>
      <c r="O825" s="214">
        <f>[31]人員・時間計画!L12</f>
        <v>5</v>
      </c>
      <c r="P825" s="214">
        <f>[31]人員・時間計画!M12</f>
        <v>5</v>
      </c>
      <c r="Q825" s="214">
        <f>[31]人員・時間計画!N12</f>
        <v>5</v>
      </c>
    </row>
    <row r="826" spans="1:17" ht="14.5" hidden="1" thickBot="1">
      <c r="A826">
        <f>[31]人員・時間計画!$A$5</f>
        <v>1412000073</v>
      </c>
      <c r="B826" t="str">
        <f>[31]人員・時間計画!$B$5</f>
        <v>物流管理課</v>
      </c>
      <c r="C826" s="185" t="s">
        <v>3</v>
      </c>
      <c r="D826" s="193"/>
      <c r="E826" s="194" t="s">
        <v>138</v>
      </c>
      <c r="F826" s="214">
        <f>[31]人員・時間計画!C13</f>
        <v>17</v>
      </c>
      <c r="G826" s="214">
        <f>[31]人員・時間計画!D13</f>
        <v>17</v>
      </c>
      <c r="H826" s="214">
        <f>[31]人員・時間計画!E13</f>
        <v>17</v>
      </c>
      <c r="I826" s="214">
        <f>[31]人員・時間計画!F13</f>
        <v>17</v>
      </c>
      <c r="J826" s="214">
        <f>[31]人員・時間計画!G13</f>
        <v>17</v>
      </c>
      <c r="K826" s="214">
        <f>[31]人員・時間計画!H13</f>
        <v>17</v>
      </c>
      <c r="L826" s="214">
        <f>[31]人員・時間計画!I13</f>
        <v>17</v>
      </c>
      <c r="M826" s="214">
        <f>[31]人員・時間計画!J13</f>
        <v>17</v>
      </c>
      <c r="N826" s="214">
        <f>[31]人員・時間計画!K13</f>
        <v>17</v>
      </c>
      <c r="O826" s="214">
        <f>[31]人員・時間計画!L13</f>
        <v>17</v>
      </c>
      <c r="P826" s="214">
        <f>[31]人員・時間計画!M13</f>
        <v>17</v>
      </c>
      <c r="Q826" s="214">
        <f>[31]人員・時間計画!N13</f>
        <v>17</v>
      </c>
    </row>
    <row r="827" spans="1:17" ht="14.5" hidden="1" thickBot="1">
      <c r="A827">
        <f>[31]人員・時間計画!$A$5</f>
        <v>1412000073</v>
      </c>
      <c r="B827" t="str">
        <f>[31]人員・時間計画!$B$5</f>
        <v>物流管理課</v>
      </c>
      <c r="C827" s="185" t="s">
        <v>3</v>
      </c>
      <c r="D827" s="195" t="s">
        <v>196</v>
      </c>
      <c r="E827" s="196"/>
      <c r="F827" s="214">
        <f>[31]人員・時間計画!C14</f>
        <v>18</v>
      </c>
      <c r="G827" s="214">
        <f>[31]人員・時間計画!D14</f>
        <v>18</v>
      </c>
      <c r="H827" s="214">
        <f>[31]人員・時間計画!E14</f>
        <v>18</v>
      </c>
      <c r="I827" s="214">
        <f>[31]人員・時間計画!F14</f>
        <v>18</v>
      </c>
      <c r="J827" s="214">
        <f>[31]人員・時間計画!G14</f>
        <v>18</v>
      </c>
      <c r="K827" s="214">
        <f>[31]人員・時間計画!H14</f>
        <v>18</v>
      </c>
      <c r="L827" s="214">
        <f>[31]人員・時間計画!I14</f>
        <v>18</v>
      </c>
      <c r="M827" s="214">
        <f>[31]人員・時間計画!J14</f>
        <v>18</v>
      </c>
      <c r="N827" s="214">
        <f>[31]人員・時間計画!K14</f>
        <v>18</v>
      </c>
      <c r="O827" s="214">
        <f>[31]人員・時間計画!L14</f>
        <v>18</v>
      </c>
      <c r="P827" s="214">
        <f>[31]人員・時間計画!M14</f>
        <v>18</v>
      </c>
      <c r="Q827" s="214">
        <f>[31]人員・時間計画!N14</f>
        <v>18</v>
      </c>
    </row>
    <row r="828" spans="1:17" ht="14.5" hidden="1" thickBot="1">
      <c r="A828">
        <f>[31]人員・時間計画!$A$5</f>
        <v>1412000073</v>
      </c>
      <c r="B828" t="str">
        <f>[31]人員・時間計画!$B$5</f>
        <v>物流管理課</v>
      </c>
      <c r="D828" s="197"/>
      <c r="E828" s="197"/>
    </row>
    <row r="829" spans="1:17" ht="14.5" hidden="1" thickBot="1">
      <c r="A829">
        <f>[31]人員・時間計画!$A$5</f>
        <v>1412000073</v>
      </c>
      <c r="B829" t="str">
        <f>[31]人員・時間計画!$B$5</f>
        <v>物流管理課</v>
      </c>
      <c r="C829" s="185" t="s">
        <v>202</v>
      </c>
      <c r="D829" s="185" t="s">
        <v>202</v>
      </c>
      <c r="E829" s="186"/>
    </row>
    <row r="830" spans="1:17" ht="14.5" hidden="1" thickBot="1">
      <c r="A830">
        <f>[31]人員・時間計画!$A$5</f>
        <v>1412000073</v>
      </c>
      <c r="B830" t="str">
        <f>[31]人員・時間計画!$B$5</f>
        <v>物流管理課</v>
      </c>
      <c r="C830" s="185" t="s">
        <v>202</v>
      </c>
      <c r="D830" s="198" t="s">
        <v>194</v>
      </c>
      <c r="E830" s="199"/>
      <c r="F830" s="214">
        <f>[31]人員・時間計画!C17</f>
        <v>170</v>
      </c>
      <c r="G830" s="214">
        <f>[31]人員・時間計画!D17</f>
        <v>161.5</v>
      </c>
      <c r="H830" s="214">
        <f>[31]人員・時間計画!E17</f>
        <v>178.5</v>
      </c>
      <c r="I830" s="214">
        <f>[31]人員・時間計画!F17</f>
        <v>195.5</v>
      </c>
      <c r="J830" s="214">
        <f>[31]人員・時間計画!G17</f>
        <v>170</v>
      </c>
      <c r="K830" s="214">
        <f>[31]人員・時間計画!H17</f>
        <v>161.5</v>
      </c>
      <c r="L830" s="214">
        <f>[31]人員・時間計画!I17</f>
        <v>195.5</v>
      </c>
      <c r="M830" s="214">
        <f>[31]人員・時間計画!J17</f>
        <v>170</v>
      </c>
      <c r="N830" s="214">
        <f>[31]人員・時間計画!K17</f>
        <v>187</v>
      </c>
      <c r="O830" s="214">
        <f>[31]人員・時間計画!L17</f>
        <v>170</v>
      </c>
      <c r="P830" s="214">
        <f>[31]人員・時間計画!M17</f>
        <v>127.5</v>
      </c>
      <c r="Q830" s="214">
        <f>[31]人員・時間計画!N17</f>
        <v>170</v>
      </c>
    </row>
    <row r="831" spans="1:17" ht="14.5" hidden="1" thickBot="1">
      <c r="A831">
        <f>[31]人員・時間計画!$A$5</f>
        <v>1412000073</v>
      </c>
      <c r="B831" t="str">
        <f>[31]人員・時間計画!$B$5</f>
        <v>物流管理課</v>
      </c>
      <c r="C831" s="185" t="s">
        <v>202</v>
      </c>
      <c r="D831" s="200"/>
      <c r="E831" s="190" t="s">
        <v>139</v>
      </c>
      <c r="F831" s="214">
        <f>[31]人員・時間計画!C18</f>
        <v>1870</v>
      </c>
      <c r="G831" s="214">
        <f>[31]人員・時間計画!D18</f>
        <v>1742.5</v>
      </c>
      <c r="H831" s="214">
        <f>[31]人員・時間計画!E18</f>
        <v>1929.5</v>
      </c>
      <c r="I831" s="214">
        <f>[31]人員・時間計画!F18</f>
        <v>2082.5</v>
      </c>
      <c r="J831" s="214">
        <f>[31]人員・時間計画!G18</f>
        <v>1666</v>
      </c>
      <c r="K831" s="214">
        <f>[31]人員・時間計画!H18</f>
        <v>1581</v>
      </c>
      <c r="L831" s="214">
        <f>[31]人員・時間計画!I18</f>
        <v>1921</v>
      </c>
      <c r="M831" s="214">
        <f>[31]人員・時間計画!J18</f>
        <v>1836</v>
      </c>
      <c r="N831" s="214">
        <f>[31]人員・時間計画!K18</f>
        <v>2023</v>
      </c>
      <c r="O831" s="214">
        <f>[31]人員・時間計画!L18</f>
        <v>1836</v>
      </c>
      <c r="P831" s="214">
        <f>[31]人員・時間計画!M18</f>
        <v>1496</v>
      </c>
      <c r="Q831" s="214">
        <f>[31]人員・時間計画!N18</f>
        <v>2006</v>
      </c>
    </row>
    <row r="832" spans="1:17" ht="14.5" thickBot="1">
      <c r="A832">
        <f>[31]人員・時間計画!$A$5</f>
        <v>1412000073</v>
      </c>
      <c r="B832" t="str">
        <f>[31]人員・時間計画!$B$5</f>
        <v>物流管理課</v>
      </c>
      <c r="C832" s="185" t="s">
        <v>202</v>
      </c>
      <c r="D832" s="201" t="s">
        <v>195</v>
      </c>
      <c r="E832" s="192" t="s">
        <v>140</v>
      </c>
      <c r="F832" s="214">
        <f>[31]人員・時間計画!C19</f>
        <v>833</v>
      </c>
      <c r="G832" s="214">
        <f>[31]人員・時間計画!D19</f>
        <v>790.5</v>
      </c>
      <c r="H832" s="214">
        <f>[31]人員・時間計画!E19</f>
        <v>875.5</v>
      </c>
      <c r="I832" s="214">
        <f>[31]人員・時間計画!F19</f>
        <v>960.5</v>
      </c>
      <c r="J832" s="214">
        <f>[31]人員・時間計画!G19</f>
        <v>833</v>
      </c>
      <c r="K832" s="214">
        <f>[31]人員・時間計画!H19</f>
        <v>790.5</v>
      </c>
      <c r="L832" s="214">
        <f>[31]人員・時間計画!I19</f>
        <v>960.5</v>
      </c>
      <c r="M832" s="214">
        <f>[31]人員・時間計画!J19</f>
        <v>833</v>
      </c>
      <c r="N832" s="214">
        <f>[31]人員・時間計画!K19</f>
        <v>918</v>
      </c>
      <c r="O832" s="214">
        <f>[31]人員・時間計画!L19</f>
        <v>833</v>
      </c>
      <c r="P832" s="214">
        <f>[31]人員・時間計画!M19</f>
        <v>620.5</v>
      </c>
      <c r="Q832" s="214">
        <f>[31]人員・時間計画!N19</f>
        <v>833</v>
      </c>
    </row>
    <row r="833" spans="1:17" ht="14.5" hidden="1" thickBot="1">
      <c r="A833">
        <f>[31]人員・時間計画!$A$5</f>
        <v>1412000073</v>
      </c>
      <c r="B833" t="str">
        <f>[31]人員・時間計画!$B$5</f>
        <v>物流管理課</v>
      </c>
      <c r="C833" s="185" t="s">
        <v>202</v>
      </c>
      <c r="D833" s="202"/>
      <c r="E833" s="203" t="s">
        <v>138</v>
      </c>
      <c r="F833" s="214">
        <f>[31]人員・時間計画!C20</f>
        <v>2703</v>
      </c>
      <c r="G833" s="214">
        <f>[31]人員・時間計画!D20</f>
        <v>2533</v>
      </c>
      <c r="H833" s="214">
        <f>[31]人員・時間計画!E20</f>
        <v>2805</v>
      </c>
      <c r="I833" s="214">
        <f>[31]人員・時間計画!F20</f>
        <v>3043</v>
      </c>
      <c r="J833" s="214">
        <f>[31]人員・時間計画!G20</f>
        <v>2499</v>
      </c>
      <c r="K833" s="214">
        <f>[31]人員・時間計画!H20</f>
        <v>2371.5</v>
      </c>
      <c r="L833" s="214">
        <f>[31]人員・時間計画!I20</f>
        <v>2881.5</v>
      </c>
      <c r="M833" s="214">
        <f>[31]人員・時間計画!J20</f>
        <v>2669</v>
      </c>
      <c r="N833" s="214">
        <f>[31]人員・時間計画!K20</f>
        <v>2941</v>
      </c>
      <c r="O833" s="214">
        <f>[31]人員・時間計画!L20</f>
        <v>2669</v>
      </c>
      <c r="P833" s="214">
        <f>[31]人員・時間計画!M20</f>
        <v>2116.5</v>
      </c>
      <c r="Q833" s="214">
        <f>[31]人員・時間計画!N20</f>
        <v>2839</v>
      </c>
    </row>
    <row r="834" spans="1:17" ht="14.5" hidden="1" thickBot="1">
      <c r="A834">
        <f>[31]人員・時間計画!$A$5</f>
        <v>1412000073</v>
      </c>
      <c r="B834" t="str">
        <f>[31]人員・時間計画!$B$5</f>
        <v>物流管理課</v>
      </c>
      <c r="C834" s="185" t="s">
        <v>202</v>
      </c>
      <c r="D834" s="204" t="s">
        <v>215</v>
      </c>
      <c r="E834" s="205"/>
      <c r="F834" s="214">
        <f>[31]人員・時間計画!C21</f>
        <v>2873</v>
      </c>
      <c r="G834" s="214">
        <f>[31]人員・時間計画!D21</f>
        <v>2694.5</v>
      </c>
      <c r="H834" s="214">
        <f>[31]人員・時間計画!E21</f>
        <v>2983.5</v>
      </c>
      <c r="I834" s="214">
        <f>[31]人員・時間計画!F21</f>
        <v>3238.5</v>
      </c>
      <c r="J834" s="214">
        <f>[31]人員・時間計画!G21</f>
        <v>2669</v>
      </c>
      <c r="K834" s="214">
        <f>[31]人員・時間計画!H21</f>
        <v>2533</v>
      </c>
      <c r="L834" s="214">
        <f>[31]人員・時間計画!I21</f>
        <v>3077</v>
      </c>
      <c r="M834" s="214">
        <f>[31]人員・時間計画!J21</f>
        <v>2839</v>
      </c>
      <c r="N834" s="214">
        <f>[31]人員・時間計画!K21</f>
        <v>3128</v>
      </c>
      <c r="O834" s="214">
        <f>[31]人員・時間計画!L21</f>
        <v>2839</v>
      </c>
      <c r="P834" s="214">
        <f>[31]人員・時間計画!M21</f>
        <v>2244</v>
      </c>
      <c r="Q834" s="214">
        <f>[31]人員・時間計画!N21</f>
        <v>3009</v>
      </c>
    </row>
    <row r="835" spans="1:17" ht="14.5" hidden="1" thickBot="1">
      <c r="A835">
        <f>[31]人員・時間計画!$A$5</f>
        <v>1412000073</v>
      </c>
      <c r="B835" t="str">
        <f>[31]人員・時間計画!$B$5</f>
        <v>物流管理課</v>
      </c>
      <c r="D835" s="197"/>
      <c r="E835" s="197"/>
    </row>
    <row r="836" spans="1:17" ht="14.5" hidden="1" thickBot="1">
      <c r="A836">
        <f>[31]人員・時間計画!$A$5</f>
        <v>1412000073</v>
      </c>
      <c r="B836" t="str">
        <f>[31]人員・時間計画!$B$5</f>
        <v>物流管理課</v>
      </c>
      <c r="C836" s="185" t="s">
        <v>71</v>
      </c>
      <c r="D836" s="185" t="s">
        <v>71</v>
      </c>
      <c r="E836" s="186"/>
    </row>
    <row r="837" spans="1:17" ht="14.5" hidden="1" thickBot="1">
      <c r="A837">
        <f>[31]人員・時間計画!$A$5</f>
        <v>1412000073</v>
      </c>
      <c r="B837" t="str">
        <f>[31]人員・時間計画!$B$5</f>
        <v>物流管理課</v>
      </c>
      <c r="C837" s="185" t="s">
        <v>71</v>
      </c>
      <c r="D837" s="198" t="s">
        <v>194</v>
      </c>
      <c r="E837" s="199"/>
      <c r="F837" s="214">
        <f>[31]人員・時間計画!C24</f>
        <v>40</v>
      </c>
      <c r="G837" s="214">
        <f>[31]人員・時間計画!D24</f>
        <v>38</v>
      </c>
      <c r="H837" s="214">
        <f>[31]人員・時間計画!E24</f>
        <v>42</v>
      </c>
      <c r="I837" s="214">
        <f>[31]人員・時間計画!F24</f>
        <v>46</v>
      </c>
      <c r="J837" s="214">
        <f>[31]人員・時間計画!G24</f>
        <v>40</v>
      </c>
      <c r="K837" s="214">
        <f>[31]人員・時間計画!H24</f>
        <v>38</v>
      </c>
      <c r="L837" s="214">
        <f>[31]人員・時間計画!I24</f>
        <v>46</v>
      </c>
      <c r="M837" s="214">
        <f>[31]人員・時間計画!J24</f>
        <v>40</v>
      </c>
      <c r="N837" s="214">
        <f>[31]人員・時間計画!K24</f>
        <v>44</v>
      </c>
      <c r="O837" s="214">
        <f>[31]人員・時間計画!L24</f>
        <v>40</v>
      </c>
      <c r="P837" s="214">
        <f>[31]人員・時間計画!M24</f>
        <v>30</v>
      </c>
      <c r="Q837" s="214">
        <f>[31]人員・時間計画!N24</f>
        <v>40</v>
      </c>
    </row>
    <row r="838" spans="1:17" ht="14.5" hidden="1" thickBot="1">
      <c r="A838">
        <f>[31]人員・時間計画!$A$5</f>
        <v>1412000073</v>
      </c>
      <c r="B838" t="str">
        <f>[31]人員・時間計画!$B$5</f>
        <v>物流管理課</v>
      </c>
      <c r="C838" s="185" t="s">
        <v>71</v>
      </c>
      <c r="D838" s="200"/>
      <c r="E838" s="206" t="s">
        <v>139</v>
      </c>
      <c r="F838" s="214">
        <f>[31]人員・時間計画!C25</f>
        <v>0</v>
      </c>
      <c r="G838" s="214">
        <f>[31]人員・時間計画!D25</f>
        <v>0</v>
      </c>
      <c r="H838" s="214">
        <f>[31]人員・時間計画!E25</f>
        <v>0</v>
      </c>
      <c r="I838" s="214">
        <f>[31]人員・時間計画!F25</f>
        <v>0</v>
      </c>
      <c r="J838" s="214">
        <f>[31]人員・時間計画!G25</f>
        <v>16</v>
      </c>
      <c r="K838" s="214">
        <f>[31]人員・時間計画!H25</f>
        <v>0</v>
      </c>
      <c r="L838" s="214">
        <f>[31]人員・時間計画!I25</f>
        <v>0</v>
      </c>
      <c r="M838" s="214">
        <f>[31]人員・時間計画!J25</f>
        <v>0</v>
      </c>
      <c r="N838" s="214">
        <f>[31]人員・時間計画!K25</f>
        <v>0</v>
      </c>
      <c r="O838" s="214">
        <f>[31]人員・時間計画!L25</f>
        <v>0</v>
      </c>
      <c r="P838" s="214">
        <f>[31]人員・時間計画!M25</f>
        <v>16</v>
      </c>
      <c r="Q838" s="214">
        <f>[31]人員・時間計画!N25</f>
        <v>0</v>
      </c>
    </row>
    <row r="839" spans="1:17" ht="14.5" thickBot="1">
      <c r="A839">
        <f>[31]人員・時間計画!$A$5</f>
        <v>1412000073</v>
      </c>
      <c r="B839" t="str">
        <f>[31]人員・時間計画!$B$5</f>
        <v>物流管理課</v>
      </c>
      <c r="C839" s="185" t="s">
        <v>71</v>
      </c>
      <c r="D839" s="201" t="s">
        <v>195</v>
      </c>
      <c r="E839" s="207" t="s">
        <v>140</v>
      </c>
      <c r="F839" s="214">
        <f>[31]人員・時間計画!C26</f>
        <v>0</v>
      </c>
      <c r="G839" s="214">
        <f>[31]人員・時間計画!D26</f>
        <v>0</v>
      </c>
      <c r="H839" s="214">
        <f>[31]人員・時間計画!E26</f>
        <v>0</v>
      </c>
      <c r="I839" s="214">
        <f>[31]人員・時間計画!F26</f>
        <v>0</v>
      </c>
      <c r="J839" s="214">
        <f>[31]人員・時間計画!G26</f>
        <v>4</v>
      </c>
      <c r="K839" s="214">
        <f>[31]人員・時間計画!H26</f>
        <v>0</v>
      </c>
      <c r="L839" s="214">
        <f>[31]人員・時間計画!I26</f>
        <v>0</v>
      </c>
      <c r="M839" s="214">
        <f>[31]人員・時間計画!J26</f>
        <v>0</v>
      </c>
      <c r="N839" s="214">
        <f>[31]人員・時間計画!K26</f>
        <v>0</v>
      </c>
      <c r="O839" s="214">
        <f>[31]人員・時間計画!L26</f>
        <v>0</v>
      </c>
      <c r="P839" s="214">
        <f>[31]人員・時間計画!M26</f>
        <v>2</v>
      </c>
      <c r="Q839" s="214">
        <f>[31]人員・時間計画!N26</f>
        <v>0</v>
      </c>
    </row>
    <row r="840" spans="1:17" ht="14.5" hidden="1" thickBot="1">
      <c r="A840">
        <f>[31]人員・時間計画!$A$5</f>
        <v>1412000073</v>
      </c>
      <c r="B840" t="str">
        <f>[31]人員・時間計画!$B$5</f>
        <v>物流管理課</v>
      </c>
      <c r="C840" s="185" t="s">
        <v>71</v>
      </c>
      <c r="D840" s="202"/>
      <c r="E840" s="203" t="s">
        <v>138</v>
      </c>
      <c r="F840" s="214">
        <f>[31]人員・時間計画!C27</f>
        <v>0</v>
      </c>
      <c r="G840" s="214">
        <f>[31]人員・時間計画!D27</f>
        <v>0</v>
      </c>
      <c r="H840" s="214">
        <f>[31]人員・時間計画!E27</f>
        <v>0</v>
      </c>
      <c r="I840" s="214">
        <f>[31]人員・時間計画!F27</f>
        <v>0</v>
      </c>
      <c r="J840" s="214">
        <f>[31]人員・時間計画!G27</f>
        <v>20</v>
      </c>
      <c r="K840" s="214">
        <f>[31]人員・時間計画!H27</f>
        <v>0</v>
      </c>
      <c r="L840" s="214">
        <f>[31]人員・時間計画!I27</f>
        <v>0</v>
      </c>
      <c r="M840" s="214">
        <f>[31]人員・時間計画!J27</f>
        <v>0</v>
      </c>
      <c r="N840" s="214">
        <f>[31]人員・時間計画!K27</f>
        <v>0</v>
      </c>
      <c r="O840" s="214">
        <f>[31]人員・時間計画!L27</f>
        <v>0</v>
      </c>
      <c r="P840" s="214">
        <f>[31]人員・時間計画!M27</f>
        <v>18</v>
      </c>
      <c r="Q840" s="214">
        <f>[31]人員・時間計画!N27</f>
        <v>0</v>
      </c>
    </row>
    <row r="841" spans="1:17" ht="14.5" hidden="1" thickBot="1">
      <c r="A841">
        <f>[31]人員・時間計画!$A$5</f>
        <v>1412000073</v>
      </c>
      <c r="B841" t="str">
        <f>[31]人員・時間計画!$B$5</f>
        <v>物流管理課</v>
      </c>
      <c r="C841" s="185" t="s">
        <v>71</v>
      </c>
      <c r="D841" s="204" t="s">
        <v>216</v>
      </c>
      <c r="E841" s="205"/>
      <c r="F841" s="214">
        <f>[31]人員・時間計画!C28</f>
        <v>40</v>
      </c>
      <c r="G841" s="214">
        <f>[31]人員・時間計画!D28</f>
        <v>38</v>
      </c>
      <c r="H841" s="214">
        <f>[31]人員・時間計画!E28</f>
        <v>42</v>
      </c>
      <c r="I841" s="214">
        <f>[31]人員・時間計画!F28</f>
        <v>46</v>
      </c>
      <c r="J841" s="214">
        <f>[31]人員・時間計画!G28</f>
        <v>60</v>
      </c>
      <c r="K841" s="214">
        <f>[31]人員・時間計画!H28</f>
        <v>38</v>
      </c>
      <c r="L841" s="214">
        <f>[31]人員・時間計画!I28</f>
        <v>46</v>
      </c>
      <c r="M841" s="214">
        <f>[31]人員・時間計画!J28</f>
        <v>40</v>
      </c>
      <c r="N841" s="214">
        <f>[31]人員・時間計画!K28</f>
        <v>44</v>
      </c>
      <c r="O841" s="214">
        <f>[31]人員・時間計画!L28</f>
        <v>40</v>
      </c>
      <c r="P841" s="214">
        <f>[31]人員・時間計画!M28</f>
        <v>48</v>
      </c>
      <c r="Q841" s="214">
        <f>[31]人員・時間計画!N28</f>
        <v>40</v>
      </c>
    </row>
    <row r="842" spans="1:17" ht="14.5" hidden="1" thickBot="1">
      <c r="A842">
        <f>[13]人員・時間計画!$A$5</f>
        <v>1412000057</v>
      </c>
      <c r="B842" t="str">
        <f>[13]人員・時間計画!$B$5</f>
        <v>EI1課</v>
      </c>
      <c r="C842" s="185" t="s">
        <v>3</v>
      </c>
      <c r="D842" s="185" t="s">
        <v>3</v>
      </c>
      <c r="E842" s="186"/>
    </row>
    <row r="843" spans="1:17" ht="14.5" hidden="1" thickBot="1">
      <c r="A843">
        <f>[13]人員・時間計画!$A$5</f>
        <v>1412000057</v>
      </c>
      <c r="B843" t="str">
        <f>[13]人員・時間計画!$B$5</f>
        <v>EI1課</v>
      </c>
      <c r="C843" s="185" t="s">
        <v>3</v>
      </c>
      <c r="D843" s="187" t="s">
        <v>194</v>
      </c>
      <c r="E843" s="188"/>
      <c r="F843" s="214">
        <f>[13]人員・時間計画!C10</f>
        <v>0</v>
      </c>
      <c r="G843" s="214">
        <f>[13]人員・時間計画!D10</f>
        <v>0</v>
      </c>
      <c r="H843" s="214">
        <f>[13]人員・時間計画!E10</f>
        <v>0</v>
      </c>
      <c r="I843" s="214">
        <f>[13]人員・時間計画!F10</f>
        <v>0</v>
      </c>
      <c r="J843" s="214">
        <f>[13]人員・時間計画!G10</f>
        <v>0</v>
      </c>
      <c r="K843" s="214">
        <f>[13]人員・時間計画!H10</f>
        <v>0</v>
      </c>
      <c r="L843" s="214">
        <f>[13]人員・時間計画!I10</f>
        <v>0</v>
      </c>
      <c r="M843" s="214">
        <f>[13]人員・時間計画!J10</f>
        <v>0</v>
      </c>
      <c r="N843" s="214">
        <f>[13]人員・時間計画!K10</f>
        <v>0</v>
      </c>
      <c r="O843" s="214">
        <f>[13]人員・時間計画!L10</f>
        <v>0</v>
      </c>
      <c r="P843" s="214">
        <f>[13]人員・時間計画!M10</f>
        <v>0</v>
      </c>
      <c r="Q843" s="214">
        <f>[13]人員・時間計画!N10</f>
        <v>0</v>
      </c>
    </row>
    <row r="844" spans="1:17" ht="14.5" hidden="1" thickBot="1">
      <c r="A844">
        <f>[13]人員・時間計画!$A$5</f>
        <v>1412000057</v>
      </c>
      <c r="B844" t="str">
        <f>[13]人員・時間計画!$B$5</f>
        <v>EI1課</v>
      </c>
      <c r="C844" s="185" t="s">
        <v>3</v>
      </c>
      <c r="D844" s="189"/>
      <c r="E844" s="190" t="s">
        <v>139</v>
      </c>
      <c r="F844" s="214">
        <f>[13]人員・時間計画!C11</f>
        <v>9</v>
      </c>
      <c r="G844" s="214">
        <f>[13]人員・時間計画!D11</f>
        <v>9</v>
      </c>
      <c r="H844" s="214">
        <f>[13]人員・時間計画!E11</f>
        <v>9</v>
      </c>
      <c r="I844" s="214">
        <f>[13]人員・時間計画!F11</f>
        <v>9</v>
      </c>
      <c r="J844" s="214">
        <f>[13]人員・時間計画!G11</f>
        <v>9</v>
      </c>
      <c r="K844" s="214">
        <f>[13]人員・時間計画!H11</f>
        <v>10</v>
      </c>
      <c r="L844" s="214">
        <f>[13]人員・時間計画!I11</f>
        <v>10</v>
      </c>
      <c r="M844" s="214">
        <f>[13]人員・時間計画!J11</f>
        <v>10</v>
      </c>
      <c r="N844" s="214">
        <f>[13]人員・時間計画!K11</f>
        <v>10</v>
      </c>
      <c r="O844" s="214">
        <f>[13]人員・時間計画!L11</f>
        <v>10</v>
      </c>
      <c r="P844" s="214">
        <f>[13]人員・時間計画!M11</f>
        <v>10</v>
      </c>
      <c r="Q844" s="214">
        <f>[13]人員・時間計画!N11</f>
        <v>10</v>
      </c>
    </row>
    <row r="845" spans="1:17" ht="14.5" thickBot="1">
      <c r="A845">
        <f>[13]人員・時間計画!$A$5</f>
        <v>1412000057</v>
      </c>
      <c r="B845" t="str">
        <f>[13]人員・時間計画!$B$5</f>
        <v>EI1課</v>
      </c>
      <c r="C845" s="185" t="s">
        <v>3</v>
      </c>
      <c r="D845" s="191" t="s">
        <v>195</v>
      </c>
      <c r="E845" s="192" t="s">
        <v>140</v>
      </c>
      <c r="F845" s="214">
        <f>[13]人員・時間計画!C12</f>
        <v>0</v>
      </c>
      <c r="G845" s="214">
        <f>[13]人員・時間計画!D12</f>
        <v>0</v>
      </c>
      <c r="H845" s="214">
        <f>[13]人員・時間計画!E12</f>
        <v>0</v>
      </c>
      <c r="I845" s="214">
        <f>[13]人員・時間計画!F12</f>
        <v>0</v>
      </c>
      <c r="J845" s="214">
        <f>[13]人員・時間計画!G12</f>
        <v>0</v>
      </c>
      <c r="K845" s="214">
        <f>[13]人員・時間計画!H12</f>
        <v>0</v>
      </c>
      <c r="L845" s="214">
        <f>[13]人員・時間計画!I12</f>
        <v>0</v>
      </c>
      <c r="M845" s="214">
        <f>[13]人員・時間計画!J12</f>
        <v>0</v>
      </c>
      <c r="N845" s="214">
        <f>[13]人員・時間計画!K12</f>
        <v>0</v>
      </c>
      <c r="O845" s="214">
        <f>[13]人員・時間計画!L12</f>
        <v>0</v>
      </c>
      <c r="P845" s="214">
        <f>[13]人員・時間計画!M12</f>
        <v>0</v>
      </c>
      <c r="Q845" s="214">
        <f>[13]人員・時間計画!N12</f>
        <v>0</v>
      </c>
    </row>
    <row r="846" spans="1:17" ht="14.5" hidden="1" thickBot="1">
      <c r="A846">
        <f>[13]人員・時間計画!$A$5</f>
        <v>1412000057</v>
      </c>
      <c r="B846" t="str">
        <f>[13]人員・時間計画!$B$5</f>
        <v>EI1課</v>
      </c>
      <c r="C846" s="185" t="s">
        <v>3</v>
      </c>
      <c r="D846" s="193"/>
      <c r="E846" s="194" t="s">
        <v>138</v>
      </c>
      <c r="F846" s="214">
        <f>[13]人員・時間計画!C13</f>
        <v>9</v>
      </c>
      <c r="G846" s="214">
        <f>[13]人員・時間計画!D13</f>
        <v>9</v>
      </c>
      <c r="H846" s="214">
        <f>[13]人員・時間計画!E13</f>
        <v>9</v>
      </c>
      <c r="I846" s="214">
        <f>[13]人員・時間計画!F13</f>
        <v>9</v>
      </c>
      <c r="J846" s="214">
        <f>[13]人員・時間計画!G13</f>
        <v>9</v>
      </c>
      <c r="K846" s="214">
        <f>[13]人員・時間計画!H13</f>
        <v>10</v>
      </c>
      <c r="L846" s="214">
        <f>[13]人員・時間計画!I13</f>
        <v>10</v>
      </c>
      <c r="M846" s="214">
        <f>[13]人員・時間計画!J13</f>
        <v>10</v>
      </c>
      <c r="N846" s="214">
        <f>[13]人員・時間計画!K13</f>
        <v>10</v>
      </c>
      <c r="O846" s="214">
        <f>[13]人員・時間計画!L13</f>
        <v>10</v>
      </c>
      <c r="P846" s="214">
        <f>[13]人員・時間計画!M13</f>
        <v>10</v>
      </c>
      <c r="Q846" s="214">
        <f>[13]人員・時間計画!N13</f>
        <v>10</v>
      </c>
    </row>
    <row r="847" spans="1:17" ht="14.5" hidden="1" thickBot="1">
      <c r="A847">
        <f>[13]人員・時間計画!$A$5</f>
        <v>1412000057</v>
      </c>
      <c r="B847" t="str">
        <f>[13]人員・時間計画!$B$5</f>
        <v>EI1課</v>
      </c>
      <c r="C847" s="185" t="s">
        <v>3</v>
      </c>
      <c r="D847" s="195" t="s">
        <v>196</v>
      </c>
      <c r="E847" s="196"/>
      <c r="F847" s="214">
        <f>[13]人員・時間計画!C14</f>
        <v>9</v>
      </c>
      <c r="G847" s="214">
        <f>[13]人員・時間計画!D14</f>
        <v>9</v>
      </c>
      <c r="H847" s="214">
        <f>[13]人員・時間計画!E14</f>
        <v>9</v>
      </c>
      <c r="I847" s="214">
        <f>[13]人員・時間計画!F14</f>
        <v>9</v>
      </c>
      <c r="J847" s="214">
        <f>[13]人員・時間計画!G14</f>
        <v>9</v>
      </c>
      <c r="K847" s="214">
        <f>[13]人員・時間計画!H14</f>
        <v>10</v>
      </c>
      <c r="L847" s="214">
        <f>[13]人員・時間計画!I14</f>
        <v>10</v>
      </c>
      <c r="M847" s="214">
        <f>[13]人員・時間計画!J14</f>
        <v>10</v>
      </c>
      <c r="N847" s="214">
        <f>[13]人員・時間計画!K14</f>
        <v>10</v>
      </c>
      <c r="O847" s="214">
        <f>[13]人員・時間計画!L14</f>
        <v>10</v>
      </c>
      <c r="P847" s="214">
        <f>[13]人員・時間計画!M14</f>
        <v>10</v>
      </c>
      <c r="Q847" s="214">
        <f>[13]人員・時間計画!N14</f>
        <v>10</v>
      </c>
    </row>
    <row r="848" spans="1:17" ht="14.5" hidden="1" thickBot="1">
      <c r="A848">
        <f>[13]人員・時間計画!$A$5</f>
        <v>1412000057</v>
      </c>
      <c r="B848" t="str">
        <f>[13]人員・時間計画!$B$5</f>
        <v>EI1課</v>
      </c>
      <c r="D848" s="197"/>
      <c r="E848" s="197"/>
    </row>
    <row r="849" spans="1:17" ht="14.5" hidden="1" thickBot="1">
      <c r="A849">
        <f>[13]人員・時間計画!$A$5</f>
        <v>1412000057</v>
      </c>
      <c r="B849" t="str">
        <f>[13]人員・時間計画!$B$5</f>
        <v>EI1課</v>
      </c>
      <c r="C849" s="185" t="s">
        <v>202</v>
      </c>
      <c r="D849" s="185" t="s">
        <v>202</v>
      </c>
      <c r="E849" s="186"/>
    </row>
    <row r="850" spans="1:17" ht="14.5" hidden="1" thickBot="1">
      <c r="A850">
        <f>[13]人員・時間計画!$A$5</f>
        <v>1412000057</v>
      </c>
      <c r="B850" t="str">
        <f>[13]人員・時間計画!$B$5</f>
        <v>EI1課</v>
      </c>
      <c r="C850" s="185" t="s">
        <v>202</v>
      </c>
      <c r="D850" s="198" t="s">
        <v>194</v>
      </c>
      <c r="E850" s="199"/>
      <c r="F850" s="214">
        <f>[13]人員・時間計画!C17</f>
        <v>0</v>
      </c>
      <c r="G850" s="214">
        <f>[13]人員・時間計画!D17</f>
        <v>0</v>
      </c>
      <c r="H850" s="214">
        <f>[13]人員・時間計画!E17</f>
        <v>0</v>
      </c>
      <c r="I850" s="214">
        <f>[13]人員・時間計画!F17</f>
        <v>0</v>
      </c>
      <c r="J850" s="214">
        <f>[13]人員・時間計画!G17</f>
        <v>0</v>
      </c>
      <c r="K850" s="214">
        <f>[13]人員・時間計画!H17</f>
        <v>0</v>
      </c>
      <c r="L850" s="214">
        <f>[13]人員・時間計画!I17</f>
        <v>0</v>
      </c>
      <c r="M850" s="214">
        <f>[13]人員・時間計画!J17</f>
        <v>0</v>
      </c>
      <c r="N850" s="214">
        <f>[13]人員・時間計画!K17</f>
        <v>0</v>
      </c>
      <c r="O850" s="214">
        <f>[13]人員・時間計画!L17</f>
        <v>0</v>
      </c>
      <c r="P850" s="214">
        <f>[13]人員・時間計画!M17</f>
        <v>0</v>
      </c>
      <c r="Q850" s="214">
        <f>[13]人員・時間計画!N17</f>
        <v>0</v>
      </c>
    </row>
    <row r="851" spans="1:17" ht="14.5" hidden="1" thickBot="1">
      <c r="A851">
        <f>[13]人員・時間計画!$A$5</f>
        <v>1412000057</v>
      </c>
      <c r="B851" t="str">
        <f>[13]人員・時間計画!$B$5</f>
        <v>EI1課</v>
      </c>
      <c r="C851" s="185" t="s">
        <v>202</v>
      </c>
      <c r="D851" s="200"/>
      <c r="E851" s="190" t="s">
        <v>139</v>
      </c>
      <c r="F851" s="214">
        <f>[13]人員・時間計画!C18</f>
        <v>1487.5</v>
      </c>
      <c r="G851" s="214">
        <f>[13]人員・時間計画!D18</f>
        <v>1411</v>
      </c>
      <c r="H851" s="214">
        <f>[13]人員・時間計画!E18</f>
        <v>1564</v>
      </c>
      <c r="I851" s="214">
        <f>[13]人員・時間計画!F18</f>
        <v>1717</v>
      </c>
      <c r="J851" s="214">
        <f>[13]人員・時間計画!G18</f>
        <v>1487.5</v>
      </c>
      <c r="K851" s="214">
        <f>[13]人員・時間計画!H18</f>
        <v>1572.5</v>
      </c>
      <c r="L851" s="214">
        <f>[13]人員・時間計画!I18</f>
        <v>1912.5</v>
      </c>
      <c r="M851" s="214">
        <f>[13]人員・時間計画!J18</f>
        <v>1657.5</v>
      </c>
      <c r="N851" s="214">
        <f>[13]人員・時間計画!K18</f>
        <v>1827.5</v>
      </c>
      <c r="O851" s="214">
        <f>[13]人員・時間計画!L18</f>
        <v>1657.5</v>
      </c>
      <c r="P851" s="214">
        <f>[13]人員・時間計画!M18</f>
        <v>1232.5</v>
      </c>
      <c r="Q851" s="214">
        <f>[13]人員・時間計画!N18</f>
        <v>1657.5</v>
      </c>
    </row>
    <row r="852" spans="1:17" ht="14.5" thickBot="1">
      <c r="A852">
        <f>[13]人員・時間計画!$A$5</f>
        <v>1412000057</v>
      </c>
      <c r="B852" t="str">
        <f>[13]人員・時間計画!$B$5</f>
        <v>EI1課</v>
      </c>
      <c r="C852" s="185" t="s">
        <v>202</v>
      </c>
      <c r="D852" s="201" t="s">
        <v>195</v>
      </c>
      <c r="E852" s="192" t="s">
        <v>140</v>
      </c>
      <c r="F852" s="214">
        <f>[13]人員・時間計画!C19</f>
        <v>0</v>
      </c>
      <c r="G852" s="214">
        <f>[13]人員・時間計画!D19</f>
        <v>0</v>
      </c>
      <c r="H852" s="214">
        <f>[13]人員・時間計画!E19</f>
        <v>0</v>
      </c>
      <c r="I852" s="214">
        <f>[13]人員・時間計画!F19</f>
        <v>0</v>
      </c>
      <c r="J852" s="214">
        <f>[13]人員・時間計画!G19</f>
        <v>0</v>
      </c>
      <c r="K852" s="214">
        <f>[13]人員・時間計画!H19</f>
        <v>0</v>
      </c>
      <c r="L852" s="214">
        <f>[13]人員・時間計画!I19</f>
        <v>0</v>
      </c>
      <c r="M852" s="214">
        <f>[13]人員・時間計画!J19</f>
        <v>0</v>
      </c>
      <c r="N852" s="214">
        <f>[13]人員・時間計画!K19</f>
        <v>0</v>
      </c>
      <c r="O852" s="214">
        <f>[13]人員・時間計画!L19</f>
        <v>0</v>
      </c>
      <c r="P852" s="214">
        <f>[13]人員・時間計画!M19</f>
        <v>0</v>
      </c>
      <c r="Q852" s="214">
        <f>[13]人員・時間計画!N19</f>
        <v>0</v>
      </c>
    </row>
    <row r="853" spans="1:17" ht="14.5" hidden="1" thickBot="1">
      <c r="A853">
        <f>[13]人員・時間計画!$A$5</f>
        <v>1412000057</v>
      </c>
      <c r="B853" t="str">
        <f>[13]人員・時間計画!$B$5</f>
        <v>EI1課</v>
      </c>
      <c r="C853" s="185" t="s">
        <v>202</v>
      </c>
      <c r="D853" s="202"/>
      <c r="E853" s="203" t="s">
        <v>138</v>
      </c>
      <c r="F853" s="214">
        <f>[13]人員・時間計画!C20</f>
        <v>1487.5</v>
      </c>
      <c r="G853" s="214">
        <f>[13]人員・時間計画!D20</f>
        <v>1411</v>
      </c>
      <c r="H853" s="214">
        <f>[13]人員・時間計画!E20</f>
        <v>1564</v>
      </c>
      <c r="I853" s="214">
        <f>[13]人員・時間計画!F20</f>
        <v>1717</v>
      </c>
      <c r="J853" s="214">
        <f>[13]人員・時間計画!G20</f>
        <v>1487.5</v>
      </c>
      <c r="K853" s="214">
        <f>[13]人員・時間計画!H20</f>
        <v>1572.5</v>
      </c>
      <c r="L853" s="214">
        <f>[13]人員・時間計画!I20</f>
        <v>1912.5</v>
      </c>
      <c r="M853" s="214">
        <f>[13]人員・時間計画!J20</f>
        <v>1657.5</v>
      </c>
      <c r="N853" s="214">
        <f>[13]人員・時間計画!K20</f>
        <v>1827.5</v>
      </c>
      <c r="O853" s="214">
        <f>[13]人員・時間計画!L20</f>
        <v>1657.5</v>
      </c>
      <c r="P853" s="214">
        <f>[13]人員・時間計画!M20</f>
        <v>1232.5</v>
      </c>
      <c r="Q853" s="214">
        <f>[13]人員・時間計画!N20</f>
        <v>1657.5</v>
      </c>
    </row>
    <row r="854" spans="1:17" ht="14.5" hidden="1" thickBot="1">
      <c r="A854">
        <f>[13]人員・時間計画!$A$5</f>
        <v>1412000057</v>
      </c>
      <c r="B854" t="str">
        <f>[13]人員・時間計画!$B$5</f>
        <v>EI1課</v>
      </c>
      <c r="C854" s="185" t="s">
        <v>202</v>
      </c>
      <c r="D854" s="204" t="s">
        <v>215</v>
      </c>
      <c r="E854" s="205"/>
      <c r="F854" s="214">
        <f>[13]人員・時間計画!C21</f>
        <v>1487.5</v>
      </c>
      <c r="G854" s="214">
        <f>[13]人員・時間計画!D21</f>
        <v>1411</v>
      </c>
      <c r="H854" s="214">
        <f>[13]人員・時間計画!E21</f>
        <v>1564</v>
      </c>
      <c r="I854" s="214">
        <f>[13]人員・時間計画!F21</f>
        <v>1717</v>
      </c>
      <c r="J854" s="214">
        <f>[13]人員・時間計画!G21</f>
        <v>1487.5</v>
      </c>
      <c r="K854" s="214">
        <f>[13]人員・時間計画!H21</f>
        <v>1572.5</v>
      </c>
      <c r="L854" s="214">
        <f>[13]人員・時間計画!I21</f>
        <v>1912.5</v>
      </c>
      <c r="M854" s="214">
        <f>[13]人員・時間計画!J21</f>
        <v>1657.5</v>
      </c>
      <c r="N854" s="214">
        <f>[13]人員・時間計画!K21</f>
        <v>1827.5</v>
      </c>
      <c r="O854" s="214">
        <f>[13]人員・時間計画!L21</f>
        <v>1657.5</v>
      </c>
      <c r="P854" s="214">
        <f>[13]人員・時間計画!M21</f>
        <v>1232.5</v>
      </c>
      <c r="Q854" s="214">
        <f>[13]人員・時間計画!N21</f>
        <v>1657.5</v>
      </c>
    </row>
    <row r="855" spans="1:17" ht="14.5" hidden="1" thickBot="1">
      <c r="A855">
        <f>[13]人員・時間計画!$A$5</f>
        <v>1412000057</v>
      </c>
      <c r="B855" t="str">
        <f>[13]人員・時間計画!$B$5</f>
        <v>EI1課</v>
      </c>
      <c r="D855" s="197"/>
      <c r="E855" s="197"/>
    </row>
    <row r="856" spans="1:17" ht="14.5" hidden="1" thickBot="1">
      <c r="A856">
        <f>[13]人員・時間計画!$A$5</f>
        <v>1412000057</v>
      </c>
      <c r="B856" t="str">
        <f>[13]人員・時間計画!$B$5</f>
        <v>EI1課</v>
      </c>
      <c r="C856" s="185" t="s">
        <v>71</v>
      </c>
      <c r="D856" s="185" t="s">
        <v>71</v>
      </c>
      <c r="E856" s="186"/>
    </row>
    <row r="857" spans="1:17" ht="14.5" hidden="1" thickBot="1">
      <c r="A857">
        <f>[13]人員・時間計画!$A$5</f>
        <v>1412000057</v>
      </c>
      <c r="B857" t="str">
        <f>[13]人員・時間計画!$B$5</f>
        <v>EI1課</v>
      </c>
      <c r="C857" s="185" t="s">
        <v>71</v>
      </c>
      <c r="D857" s="198" t="s">
        <v>194</v>
      </c>
      <c r="E857" s="199"/>
      <c r="F857" s="214">
        <f>[13]人員・時間計画!C24</f>
        <v>0</v>
      </c>
      <c r="G857" s="214">
        <f>[13]人員・時間計画!D24</f>
        <v>0</v>
      </c>
      <c r="H857" s="214">
        <f>[13]人員・時間計画!E24</f>
        <v>0</v>
      </c>
      <c r="I857" s="214">
        <f>[13]人員・時間計画!F24</f>
        <v>0</v>
      </c>
      <c r="J857" s="214">
        <f>[13]人員・時間計画!G24</f>
        <v>0</v>
      </c>
      <c r="K857" s="214">
        <f>[13]人員・時間計画!H24</f>
        <v>0</v>
      </c>
      <c r="L857" s="214">
        <f>[13]人員・時間計画!I24</f>
        <v>0</v>
      </c>
      <c r="M857" s="214">
        <f>[13]人員・時間計画!J24</f>
        <v>0</v>
      </c>
      <c r="N857" s="214">
        <f>[13]人員・時間計画!K24</f>
        <v>0</v>
      </c>
      <c r="O857" s="214">
        <f>[13]人員・時間計画!L24</f>
        <v>0</v>
      </c>
      <c r="P857" s="214">
        <f>[13]人員・時間計画!M24</f>
        <v>0</v>
      </c>
      <c r="Q857" s="214">
        <f>[13]人員・時間計画!N24</f>
        <v>0</v>
      </c>
    </row>
    <row r="858" spans="1:17" ht="14.5" hidden="1" thickBot="1">
      <c r="A858">
        <f>[13]人員・時間計画!$A$5</f>
        <v>1412000057</v>
      </c>
      <c r="B858" t="str">
        <f>[13]人員・時間計画!$B$5</f>
        <v>EI1課</v>
      </c>
      <c r="C858" s="185" t="s">
        <v>71</v>
      </c>
      <c r="D858" s="200"/>
      <c r="E858" s="206" t="s">
        <v>139</v>
      </c>
      <c r="F858" s="214">
        <f>[13]人員・時間計画!C25</f>
        <v>180</v>
      </c>
      <c r="G858" s="214">
        <f>[13]人員・時間計画!D25</f>
        <v>178</v>
      </c>
      <c r="H858" s="214">
        <f>[13]人員・時間計画!E25</f>
        <v>182</v>
      </c>
      <c r="I858" s="214">
        <f>[13]人員・時間計画!F25</f>
        <v>186</v>
      </c>
      <c r="J858" s="214">
        <f>[13]人員・時間計画!G25</f>
        <v>180</v>
      </c>
      <c r="K858" s="214">
        <f>[13]人員・時間計画!H25</f>
        <v>178</v>
      </c>
      <c r="L858" s="214">
        <f>[13]人員・時間計画!I25</f>
        <v>186</v>
      </c>
      <c r="M858" s="214">
        <f>[13]人員・時間計画!J25</f>
        <v>180</v>
      </c>
      <c r="N858" s="214">
        <f>[13]人員・時間計画!K25</f>
        <v>184</v>
      </c>
      <c r="O858" s="214">
        <f>[13]人員・時間計画!L25</f>
        <v>180</v>
      </c>
      <c r="P858" s="214">
        <f>[13]人員・時間計画!M25</f>
        <v>170</v>
      </c>
      <c r="Q858" s="214">
        <f>[13]人員・時間計画!N25</f>
        <v>180</v>
      </c>
    </row>
    <row r="859" spans="1:17" ht="14.5" thickBot="1">
      <c r="A859">
        <f>[13]人員・時間計画!$A$5</f>
        <v>1412000057</v>
      </c>
      <c r="B859" t="str">
        <f>[13]人員・時間計画!$B$5</f>
        <v>EI1課</v>
      </c>
      <c r="C859" s="185" t="s">
        <v>71</v>
      </c>
      <c r="D859" s="201" t="s">
        <v>195</v>
      </c>
      <c r="E859" s="207" t="s">
        <v>140</v>
      </c>
      <c r="F859" s="214">
        <f>[13]人員・時間計画!C26</f>
        <v>0</v>
      </c>
      <c r="G859" s="214">
        <f>[13]人員・時間計画!D26</f>
        <v>0</v>
      </c>
      <c r="H859" s="214">
        <f>[13]人員・時間計画!E26</f>
        <v>0</v>
      </c>
      <c r="I859" s="214">
        <f>[13]人員・時間計画!F26</f>
        <v>0</v>
      </c>
      <c r="J859" s="214">
        <f>[13]人員・時間計画!G26</f>
        <v>0</v>
      </c>
      <c r="K859" s="214">
        <f>[13]人員・時間計画!H26</f>
        <v>0</v>
      </c>
      <c r="L859" s="214">
        <f>[13]人員・時間計画!I26</f>
        <v>0</v>
      </c>
      <c r="M859" s="214">
        <f>[13]人員・時間計画!J26</f>
        <v>0</v>
      </c>
      <c r="N859" s="214">
        <f>[13]人員・時間計画!K26</f>
        <v>0</v>
      </c>
      <c r="O859" s="214">
        <f>[13]人員・時間計画!L26</f>
        <v>0</v>
      </c>
      <c r="P859" s="214">
        <f>[13]人員・時間計画!M26</f>
        <v>0</v>
      </c>
      <c r="Q859" s="214">
        <f>[13]人員・時間計画!N26</f>
        <v>0</v>
      </c>
    </row>
    <row r="860" spans="1:17" ht="14.5" hidden="1" thickBot="1">
      <c r="A860">
        <f>[13]人員・時間計画!$A$5</f>
        <v>1412000057</v>
      </c>
      <c r="B860" t="str">
        <f>[13]人員・時間計画!$B$5</f>
        <v>EI1課</v>
      </c>
      <c r="C860" s="185" t="s">
        <v>71</v>
      </c>
      <c r="D860" s="202"/>
      <c r="E860" s="203" t="s">
        <v>138</v>
      </c>
      <c r="F860" s="214">
        <f>[13]人員・時間計画!C27</f>
        <v>180</v>
      </c>
      <c r="G860" s="214">
        <f>[13]人員・時間計画!D27</f>
        <v>178</v>
      </c>
      <c r="H860" s="214">
        <f>[13]人員・時間計画!E27</f>
        <v>182</v>
      </c>
      <c r="I860" s="214">
        <f>[13]人員・時間計画!F27</f>
        <v>186</v>
      </c>
      <c r="J860" s="214">
        <f>[13]人員・時間計画!G27</f>
        <v>180</v>
      </c>
      <c r="K860" s="214">
        <f>[13]人員・時間計画!H27</f>
        <v>178</v>
      </c>
      <c r="L860" s="214">
        <f>[13]人員・時間計画!I27</f>
        <v>186</v>
      </c>
      <c r="M860" s="214">
        <f>[13]人員・時間計画!J27</f>
        <v>180</v>
      </c>
      <c r="N860" s="214">
        <f>[13]人員・時間計画!K27</f>
        <v>184</v>
      </c>
      <c r="O860" s="214">
        <f>[13]人員・時間計画!L27</f>
        <v>180</v>
      </c>
      <c r="P860" s="214">
        <f>[13]人員・時間計画!M27</f>
        <v>170</v>
      </c>
      <c r="Q860" s="214">
        <f>[13]人員・時間計画!N27</f>
        <v>180</v>
      </c>
    </row>
    <row r="861" spans="1:17" ht="14.5" hidden="1" thickBot="1">
      <c r="A861">
        <f>[13]人員・時間計画!$A$5</f>
        <v>1412000057</v>
      </c>
      <c r="B861" t="str">
        <f>[13]人員・時間計画!$B$5</f>
        <v>EI1課</v>
      </c>
      <c r="C861" s="185" t="s">
        <v>71</v>
      </c>
      <c r="D861" s="204" t="s">
        <v>216</v>
      </c>
      <c r="E861" s="205"/>
      <c r="F861" s="214">
        <f>[13]人員・時間計画!C28</f>
        <v>180</v>
      </c>
      <c r="G861" s="214">
        <f>[13]人員・時間計画!D28</f>
        <v>178</v>
      </c>
      <c r="H861" s="214">
        <f>[13]人員・時間計画!E28</f>
        <v>182</v>
      </c>
      <c r="I861" s="214">
        <f>[13]人員・時間計画!F28</f>
        <v>186</v>
      </c>
      <c r="J861" s="214">
        <f>[13]人員・時間計画!G28</f>
        <v>180</v>
      </c>
      <c r="K861" s="214">
        <f>[13]人員・時間計画!H28</f>
        <v>178</v>
      </c>
      <c r="L861" s="214">
        <f>[13]人員・時間計画!I28</f>
        <v>186</v>
      </c>
      <c r="M861" s="214">
        <f>[13]人員・時間計画!J28</f>
        <v>180</v>
      </c>
      <c r="N861" s="214">
        <f>[13]人員・時間計画!K28</f>
        <v>184</v>
      </c>
      <c r="O861" s="214">
        <f>[13]人員・時間計画!L28</f>
        <v>180</v>
      </c>
      <c r="P861" s="214">
        <f>[13]人員・時間計画!M28</f>
        <v>170</v>
      </c>
      <c r="Q861" s="214">
        <f>[13]人員・時間計画!N28</f>
        <v>180</v>
      </c>
    </row>
    <row r="862" spans="1:17" ht="14.5" hidden="1" thickBot="1">
      <c r="A862">
        <f>[15]人員・時間計画!$A$5</f>
        <v>1412000078</v>
      </c>
      <c r="B862" t="str">
        <f>[15]人員・時間計画!$B$5</f>
        <v>ESD1課</v>
      </c>
      <c r="C862" s="185" t="s">
        <v>3</v>
      </c>
      <c r="D862" s="185" t="s">
        <v>3</v>
      </c>
      <c r="E862" s="186"/>
    </row>
    <row r="863" spans="1:17" ht="14.5" hidden="1" thickBot="1">
      <c r="A863">
        <f>[15]人員・時間計画!$A$5</f>
        <v>1412000078</v>
      </c>
      <c r="B863" t="str">
        <f>[15]人員・時間計画!$B$5</f>
        <v>ESD1課</v>
      </c>
      <c r="C863" s="185" t="s">
        <v>3</v>
      </c>
      <c r="D863" s="187" t="s">
        <v>194</v>
      </c>
      <c r="E863" s="188"/>
      <c r="F863" s="214">
        <f>[15]人員・時間計画!C10</f>
        <v>1</v>
      </c>
      <c r="G863" s="214">
        <f>[15]人員・時間計画!D10</f>
        <v>1</v>
      </c>
      <c r="H863" s="214">
        <f>[15]人員・時間計画!E10</f>
        <v>1</v>
      </c>
      <c r="I863" s="214">
        <f>[15]人員・時間計画!F10</f>
        <v>1</v>
      </c>
      <c r="J863" s="214">
        <f>[15]人員・時間計画!G10</f>
        <v>1</v>
      </c>
      <c r="K863" s="214">
        <f>[15]人員・時間計画!H10</f>
        <v>1</v>
      </c>
      <c r="L863" s="214">
        <f>[15]人員・時間計画!I10</f>
        <v>2</v>
      </c>
      <c r="M863" s="214">
        <f>[15]人員・時間計画!J10</f>
        <v>2</v>
      </c>
      <c r="N863" s="214">
        <f>[15]人員・時間計画!K10</f>
        <v>2</v>
      </c>
      <c r="O863" s="214">
        <f>[15]人員・時間計画!L10</f>
        <v>2</v>
      </c>
      <c r="P863" s="214">
        <f>[15]人員・時間計画!M10</f>
        <v>2</v>
      </c>
      <c r="Q863" s="214">
        <f>[15]人員・時間計画!N10</f>
        <v>2</v>
      </c>
    </row>
    <row r="864" spans="1:17" ht="14.5" hidden="1" thickBot="1">
      <c r="A864">
        <f>[15]人員・時間計画!$A$5</f>
        <v>1412000078</v>
      </c>
      <c r="B864" t="str">
        <f>[15]人員・時間計画!$B$5</f>
        <v>ESD1課</v>
      </c>
      <c r="C864" s="185" t="s">
        <v>3</v>
      </c>
      <c r="D864" s="189"/>
      <c r="E864" s="190" t="s">
        <v>139</v>
      </c>
      <c r="F864" s="214">
        <f>[15]人員・時間計画!C11</f>
        <v>11</v>
      </c>
      <c r="G864" s="214">
        <f>[15]人員・時間計画!D11</f>
        <v>11</v>
      </c>
      <c r="H864" s="214">
        <f>[15]人員・時間計画!E11</f>
        <v>11</v>
      </c>
      <c r="I864" s="214">
        <f>[15]人員・時間計画!F11</f>
        <v>11</v>
      </c>
      <c r="J864" s="214">
        <f>[15]人員・時間計画!G11</f>
        <v>11</v>
      </c>
      <c r="K864" s="214">
        <f>[15]人員・時間計画!H11</f>
        <v>13</v>
      </c>
      <c r="L864" s="214">
        <f>[15]人員・時間計画!I11</f>
        <v>13</v>
      </c>
      <c r="M864" s="214">
        <f>[15]人員・時間計画!J11</f>
        <v>13</v>
      </c>
      <c r="N864" s="214">
        <f>[15]人員・時間計画!K11</f>
        <v>13</v>
      </c>
      <c r="O864" s="214">
        <f>[15]人員・時間計画!L11</f>
        <v>13</v>
      </c>
      <c r="P864" s="214">
        <f>[15]人員・時間計画!M11</f>
        <v>13</v>
      </c>
      <c r="Q864" s="214">
        <f>[15]人員・時間計画!N11</f>
        <v>13</v>
      </c>
    </row>
    <row r="865" spans="1:17" ht="14.5" thickBot="1">
      <c r="A865">
        <f>[15]人員・時間計画!$A$5</f>
        <v>1412000078</v>
      </c>
      <c r="B865" t="str">
        <f>[15]人員・時間計画!$B$5</f>
        <v>ESD1課</v>
      </c>
      <c r="C865" s="185" t="s">
        <v>3</v>
      </c>
      <c r="D865" s="191" t="s">
        <v>195</v>
      </c>
      <c r="E865" s="192" t="s">
        <v>140</v>
      </c>
      <c r="F865" s="214">
        <f>[15]人員・時間計画!C12</f>
        <v>0</v>
      </c>
      <c r="G865" s="214">
        <f>[15]人員・時間計画!D12</f>
        <v>0</v>
      </c>
      <c r="H865" s="214">
        <f>[15]人員・時間計画!E12</f>
        <v>0</v>
      </c>
      <c r="I865" s="214">
        <f>[15]人員・時間計画!F12</f>
        <v>0</v>
      </c>
      <c r="J865" s="214">
        <f>[15]人員・時間計画!G12</f>
        <v>0</v>
      </c>
      <c r="K865" s="214">
        <f>[15]人員・時間計画!H12</f>
        <v>0</v>
      </c>
      <c r="L865" s="214">
        <f>[15]人員・時間計画!I12</f>
        <v>0</v>
      </c>
      <c r="M865" s="214">
        <f>[15]人員・時間計画!J12</f>
        <v>0</v>
      </c>
      <c r="N865" s="214">
        <f>[15]人員・時間計画!K12</f>
        <v>0</v>
      </c>
      <c r="O865" s="214">
        <f>[15]人員・時間計画!L12</f>
        <v>0</v>
      </c>
      <c r="P865" s="214">
        <f>[15]人員・時間計画!M12</f>
        <v>0</v>
      </c>
      <c r="Q865" s="214">
        <f>[15]人員・時間計画!N12</f>
        <v>0</v>
      </c>
    </row>
    <row r="866" spans="1:17" ht="14.5" hidden="1" thickBot="1">
      <c r="A866">
        <f>[15]人員・時間計画!$A$5</f>
        <v>1412000078</v>
      </c>
      <c r="B866" t="str">
        <f>[15]人員・時間計画!$B$5</f>
        <v>ESD1課</v>
      </c>
      <c r="C866" s="185" t="s">
        <v>3</v>
      </c>
      <c r="D866" s="193"/>
      <c r="E866" s="194" t="s">
        <v>138</v>
      </c>
      <c r="F866" s="214">
        <f>[15]人員・時間計画!C13</f>
        <v>11</v>
      </c>
      <c r="G866" s="214">
        <f>[15]人員・時間計画!D13</f>
        <v>11</v>
      </c>
      <c r="H866" s="214">
        <f>[15]人員・時間計画!E13</f>
        <v>11</v>
      </c>
      <c r="I866" s="214">
        <f>[15]人員・時間計画!F13</f>
        <v>11</v>
      </c>
      <c r="J866" s="214">
        <f>[15]人員・時間計画!G13</f>
        <v>11</v>
      </c>
      <c r="K866" s="214">
        <f>[15]人員・時間計画!H13</f>
        <v>13</v>
      </c>
      <c r="L866" s="214">
        <f>[15]人員・時間計画!I13</f>
        <v>13</v>
      </c>
      <c r="M866" s="214">
        <f>[15]人員・時間計画!J13</f>
        <v>13</v>
      </c>
      <c r="N866" s="214">
        <f>[15]人員・時間計画!K13</f>
        <v>13</v>
      </c>
      <c r="O866" s="214">
        <f>[15]人員・時間計画!L13</f>
        <v>13</v>
      </c>
      <c r="P866" s="214">
        <f>[15]人員・時間計画!M13</f>
        <v>13</v>
      </c>
      <c r="Q866" s="214">
        <f>[15]人員・時間計画!N13</f>
        <v>13</v>
      </c>
    </row>
    <row r="867" spans="1:17" ht="14.5" hidden="1" thickBot="1">
      <c r="A867">
        <f>[15]人員・時間計画!$A$5</f>
        <v>1412000078</v>
      </c>
      <c r="B867" t="str">
        <f>[15]人員・時間計画!$B$5</f>
        <v>ESD1課</v>
      </c>
      <c r="C867" s="185" t="s">
        <v>3</v>
      </c>
      <c r="D867" s="195" t="s">
        <v>196</v>
      </c>
      <c r="E867" s="196"/>
      <c r="F867" s="214">
        <f>[15]人員・時間計画!C14</f>
        <v>12</v>
      </c>
      <c r="G867" s="214">
        <f>[15]人員・時間計画!D14</f>
        <v>12</v>
      </c>
      <c r="H867" s="214">
        <f>[15]人員・時間計画!E14</f>
        <v>12</v>
      </c>
      <c r="I867" s="214">
        <f>[15]人員・時間計画!F14</f>
        <v>12</v>
      </c>
      <c r="J867" s="214">
        <f>[15]人員・時間計画!G14</f>
        <v>12</v>
      </c>
      <c r="K867" s="214">
        <f>[15]人員・時間計画!H14</f>
        <v>14</v>
      </c>
      <c r="L867" s="214">
        <f>[15]人員・時間計画!I14</f>
        <v>15</v>
      </c>
      <c r="M867" s="214">
        <f>[15]人員・時間計画!J14</f>
        <v>15</v>
      </c>
      <c r="N867" s="214">
        <f>[15]人員・時間計画!K14</f>
        <v>15</v>
      </c>
      <c r="O867" s="214">
        <f>[15]人員・時間計画!L14</f>
        <v>15</v>
      </c>
      <c r="P867" s="214">
        <f>[15]人員・時間計画!M14</f>
        <v>15</v>
      </c>
      <c r="Q867" s="214">
        <f>[15]人員・時間計画!N14</f>
        <v>15</v>
      </c>
    </row>
    <row r="868" spans="1:17" ht="14.5" hidden="1" thickBot="1">
      <c r="A868">
        <f>[15]人員・時間計画!$A$5</f>
        <v>1412000078</v>
      </c>
      <c r="B868" t="str">
        <f>[15]人員・時間計画!$B$5</f>
        <v>ESD1課</v>
      </c>
      <c r="D868" s="197"/>
      <c r="E868" s="197"/>
    </row>
    <row r="869" spans="1:17" ht="14.5" hidden="1" thickBot="1">
      <c r="A869">
        <f>[15]人員・時間計画!$A$5</f>
        <v>1412000078</v>
      </c>
      <c r="B869" t="str">
        <f>[15]人員・時間計画!$B$5</f>
        <v>ESD1課</v>
      </c>
      <c r="C869" s="185" t="s">
        <v>202</v>
      </c>
      <c r="D869" s="185" t="s">
        <v>202</v>
      </c>
      <c r="E869" s="186"/>
    </row>
    <row r="870" spans="1:17" ht="14.5" hidden="1" thickBot="1">
      <c r="A870">
        <f>[15]人員・時間計画!$A$5</f>
        <v>1412000078</v>
      </c>
      <c r="B870" t="str">
        <f>[15]人員・時間計画!$B$5</f>
        <v>ESD1課</v>
      </c>
      <c r="C870" s="185" t="s">
        <v>202</v>
      </c>
      <c r="D870" s="198" t="s">
        <v>194</v>
      </c>
      <c r="E870" s="199"/>
      <c r="F870" s="214">
        <f>[15]人員・時間計画!C17</f>
        <v>153</v>
      </c>
      <c r="G870" s="214">
        <f>[15]人員・時間計画!D17</f>
        <v>144.5</v>
      </c>
      <c r="H870" s="214">
        <f>[15]人員・時間計画!E17</f>
        <v>170</v>
      </c>
      <c r="I870" s="214">
        <f>[15]人員・時間計画!F17</f>
        <v>187</v>
      </c>
      <c r="J870" s="214">
        <f>[15]人員・時間計画!G17</f>
        <v>119</v>
      </c>
      <c r="K870" s="214">
        <f>[15]人員・時間計画!H17</f>
        <v>153</v>
      </c>
      <c r="L870" s="214">
        <f>[15]人員・時間計画!I17</f>
        <v>382.5</v>
      </c>
      <c r="M870" s="214">
        <f>[15]人員・時間計画!J17</f>
        <v>331.5</v>
      </c>
      <c r="N870" s="214">
        <f>[15]人員・時間計画!K17</f>
        <v>365.5</v>
      </c>
      <c r="O870" s="214">
        <f>[15]人員・時間計画!L17</f>
        <v>289</v>
      </c>
      <c r="P870" s="214">
        <f>[15]人員・時間計画!M17</f>
        <v>246.5</v>
      </c>
      <c r="Q870" s="214">
        <f>[15]人員・時間計画!N17</f>
        <v>331.5</v>
      </c>
    </row>
    <row r="871" spans="1:17" ht="14.5" hidden="1" thickBot="1">
      <c r="A871">
        <f>[15]人員・時間計画!$A$5</f>
        <v>1412000078</v>
      </c>
      <c r="B871" t="str">
        <f>[15]人員・時間計画!$B$5</f>
        <v>ESD1課</v>
      </c>
      <c r="C871" s="185" t="s">
        <v>202</v>
      </c>
      <c r="D871" s="200"/>
      <c r="E871" s="190" t="s">
        <v>139</v>
      </c>
      <c r="F871" s="214">
        <f>[15]人員・時間計画!C18</f>
        <v>1793.5</v>
      </c>
      <c r="G871" s="214">
        <f>[15]人員・時間計画!D18</f>
        <v>1700</v>
      </c>
      <c r="H871" s="214">
        <f>[15]人員・時間計画!E18</f>
        <v>1887</v>
      </c>
      <c r="I871" s="214">
        <f>[15]人員・時間計画!F18</f>
        <v>2074</v>
      </c>
      <c r="J871" s="214">
        <f>[15]人員・時間計画!G18</f>
        <v>1793.5</v>
      </c>
      <c r="K871" s="214">
        <f>[15]人員・時間計画!H18</f>
        <v>2014.5</v>
      </c>
      <c r="L871" s="214">
        <f>[15]人員・時間計画!I18</f>
        <v>2456.5</v>
      </c>
      <c r="M871" s="214">
        <f>[15]人員・時間計画!J18</f>
        <v>2125</v>
      </c>
      <c r="N871" s="214">
        <f>[15]人員・時間計画!K18</f>
        <v>2346</v>
      </c>
      <c r="O871" s="214">
        <f>[15]人員・時間計画!L18</f>
        <v>2125</v>
      </c>
      <c r="P871" s="214">
        <f>[15]人員・時間計画!M18</f>
        <v>1572.5</v>
      </c>
      <c r="Q871" s="214">
        <f>[15]人員・時間計画!N18</f>
        <v>2125</v>
      </c>
    </row>
    <row r="872" spans="1:17" ht="14.5" thickBot="1">
      <c r="A872">
        <f>[15]人員・時間計画!$A$5</f>
        <v>1412000078</v>
      </c>
      <c r="B872" t="str">
        <f>[15]人員・時間計画!$B$5</f>
        <v>ESD1課</v>
      </c>
      <c r="C872" s="185" t="s">
        <v>202</v>
      </c>
      <c r="D872" s="201" t="s">
        <v>195</v>
      </c>
      <c r="E872" s="192" t="s">
        <v>140</v>
      </c>
      <c r="F872" s="214">
        <f>[15]人員・時間計画!C19</f>
        <v>0</v>
      </c>
      <c r="G872" s="214">
        <f>[15]人員・時間計画!D19</f>
        <v>0</v>
      </c>
      <c r="H872" s="214">
        <f>[15]人員・時間計画!E19</f>
        <v>0</v>
      </c>
      <c r="I872" s="214">
        <f>[15]人員・時間計画!F19</f>
        <v>0</v>
      </c>
      <c r="J872" s="214">
        <f>[15]人員・時間計画!G19</f>
        <v>0</v>
      </c>
      <c r="K872" s="214">
        <f>[15]人員・時間計画!H19</f>
        <v>0</v>
      </c>
      <c r="L872" s="214">
        <f>[15]人員・時間計画!I19</f>
        <v>0</v>
      </c>
      <c r="M872" s="214">
        <f>[15]人員・時間計画!J19</f>
        <v>0</v>
      </c>
      <c r="N872" s="214">
        <f>[15]人員・時間計画!K19</f>
        <v>0</v>
      </c>
      <c r="O872" s="214">
        <f>[15]人員・時間計画!L19</f>
        <v>0</v>
      </c>
      <c r="P872" s="214">
        <f>[15]人員・時間計画!M19</f>
        <v>0</v>
      </c>
      <c r="Q872" s="214">
        <f>[15]人員・時間計画!N19</f>
        <v>0</v>
      </c>
    </row>
    <row r="873" spans="1:17" ht="14.5" hidden="1" thickBot="1">
      <c r="A873">
        <f>[15]人員・時間計画!$A$5</f>
        <v>1412000078</v>
      </c>
      <c r="B873" t="str">
        <f>[15]人員・時間計画!$B$5</f>
        <v>ESD1課</v>
      </c>
      <c r="C873" s="185" t="s">
        <v>202</v>
      </c>
      <c r="D873" s="202"/>
      <c r="E873" s="203" t="s">
        <v>138</v>
      </c>
      <c r="F873" s="214">
        <f>[15]人員・時間計画!C20</f>
        <v>1793.5</v>
      </c>
      <c r="G873" s="214">
        <f>[15]人員・時間計画!D20</f>
        <v>1700</v>
      </c>
      <c r="H873" s="214">
        <f>[15]人員・時間計画!E20</f>
        <v>1887</v>
      </c>
      <c r="I873" s="214">
        <f>[15]人員・時間計画!F20</f>
        <v>2074</v>
      </c>
      <c r="J873" s="214">
        <f>[15]人員・時間計画!G20</f>
        <v>1793.5</v>
      </c>
      <c r="K873" s="214">
        <f>[15]人員・時間計画!H20</f>
        <v>2014.5</v>
      </c>
      <c r="L873" s="214">
        <f>[15]人員・時間計画!I20</f>
        <v>2456.5</v>
      </c>
      <c r="M873" s="214">
        <f>[15]人員・時間計画!J20</f>
        <v>2125</v>
      </c>
      <c r="N873" s="214">
        <f>[15]人員・時間計画!K20</f>
        <v>2346</v>
      </c>
      <c r="O873" s="214">
        <f>[15]人員・時間計画!L20</f>
        <v>2125</v>
      </c>
      <c r="P873" s="214">
        <f>[15]人員・時間計画!M20</f>
        <v>1572.5</v>
      </c>
      <c r="Q873" s="214">
        <f>[15]人員・時間計画!N20</f>
        <v>2125</v>
      </c>
    </row>
    <row r="874" spans="1:17" ht="14.5" hidden="1" thickBot="1">
      <c r="A874">
        <f>[15]人員・時間計画!$A$5</f>
        <v>1412000078</v>
      </c>
      <c r="B874" t="str">
        <f>[15]人員・時間計画!$B$5</f>
        <v>ESD1課</v>
      </c>
      <c r="C874" s="185" t="s">
        <v>202</v>
      </c>
      <c r="D874" s="204" t="s">
        <v>215</v>
      </c>
      <c r="E874" s="205"/>
      <c r="F874" s="214">
        <f>[15]人員・時間計画!C21</f>
        <v>1946.5</v>
      </c>
      <c r="G874" s="214">
        <f>[15]人員・時間計画!D21</f>
        <v>1844.5</v>
      </c>
      <c r="H874" s="214">
        <f>[15]人員・時間計画!E21</f>
        <v>2057</v>
      </c>
      <c r="I874" s="214">
        <f>[15]人員・時間計画!F21</f>
        <v>2261</v>
      </c>
      <c r="J874" s="214">
        <f>[15]人員・時間計画!G21</f>
        <v>1912.5</v>
      </c>
      <c r="K874" s="214">
        <f>[15]人員・時間計画!H21</f>
        <v>2167.5</v>
      </c>
      <c r="L874" s="214">
        <f>[15]人員・時間計画!I21</f>
        <v>2839</v>
      </c>
      <c r="M874" s="214">
        <f>[15]人員・時間計画!J21</f>
        <v>2456.5</v>
      </c>
      <c r="N874" s="214">
        <f>[15]人員・時間計画!K21</f>
        <v>2711.5</v>
      </c>
      <c r="O874" s="214">
        <f>[15]人員・時間計画!L21</f>
        <v>2414</v>
      </c>
      <c r="P874" s="214">
        <f>[15]人員・時間計画!M21</f>
        <v>1819</v>
      </c>
      <c r="Q874" s="214">
        <f>[15]人員・時間計画!N21</f>
        <v>2456.5</v>
      </c>
    </row>
    <row r="875" spans="1:17" ht="14.5" hidden="1" thickBot="1">
      <c r="A875">
        <f>[15]人員・時間計画!$A$5</f>
        <v>1412000078</v>
      </c>
      <c r="B875" t="str">
        <f>[15]人員・時間計画!$B$5</f>
        <v>ESD1課</v>
      </c>
      <c r="D875" s="197"/>
      <c r="E875" s="197"/>
    </row>
    <row r="876" spans="1:17" ht="14.5" hidden="1" thickBot="1">
      <c r="A876">
        <f>[15]人員・時間計画!$A$5</f>
        <v>1412000078</v>
      </c>
      <c r="B876" t="str">
        <f>[15]人員・時間計画!$B$5</f>
        <v>ESD1課</v>
      </c>
      <c r="C876" s="185" t="s">
        <v>71</v>
      </c>
      <c r="D876" s="185" t="s">
        <v>71</v>
      </c>
      <c r="E876" s="186"/>
    </row>
    <row r="877" spans="1:17" ht="14.5" hidden="1" thickBot="1">
      <c r="A877">
        <f>[15]人員・時間計画!$A$5</f>
        <v>1412000078</v>
      </c>
      <c r="B877" t="str">
        <f>[15]人員・時間計画!$B$5</f>
        <v>ESD1課</v>
      </c>
      <c r="C877" s="185" t="s">
        <v>71</v>
      </c>
      <c r="D877" s="198" t="s">
        <v>194</v>
      </c>
      <c r="E877" s="199"/>
      <c r="F877" s="214">
        <f>[15]人員・時間計画!C24</f>
        <v>36</v>
      </c>
      <c r="G877" s="214">
        <f>[15]人員・時間計画!D24</f>
        <v>34</v>
      </c>
      <c r="H877" s="214">
        <f>[15]人員・時間計画!E24</f>
        <v>40</v>
      </c>
      <c r="I877" s="214">
        <f>[15]人員・時間計画!F24</f>
        <v>44</v>
      </c>
      <c r="J877" s="214">
        <f>[15]人員・時間計画!G24</f>
        <v>28</v>
      </c>
      <c r="K877" s="214">
        <f>[15]人員・時間計画!H24</f>
        <v>36</v>
      </c>
      <c r="L877" s="214">
        <f>[15]人員・時間計画!I24</f>
        <v>90</v>
      </c>
      <c r="M877" s="214">
        <f>[15]人員・時間計画!J24</f>
        <v>78</v>
      </c>
      <c r="N877" s="214">
        <f>[15]人員・時間計画!K24</f>
        <v>86</v>
      </c>
      <c r="O877" s="214">
        <f>[15]人員・時間計画!L24</f>
        <v>68</v>
      </c>
      <c r="P877" s="214">
        <f>[15]人員・時間計画!M24</f>
        <v>58</v>
      </c>
      <c r="Q877" s="214">
        <f>[15]人員・時間計画!N24</f>
        <v>78</v>
      </c>
    </row>
    <row r="878" spans="1:17" ht="14.5" hidden="1" thickBot="1">
      <c r="A878">
        <f>[15]人員・時間計画!$A$5</f>
        <v>1412000078</v>
      </c>
      <c r="B878" t="str">
        <f>[15]人員・時間計画!$B$5</f>
        <v>ESD1課</v>
      </c>
      <c r="C878" s="185" t="s">
        <v>71</v>
      </c>
      <c r="D878" s="200"/>
      <c r="E878" s="206" t="s">
        <v>139</v>
      </c>
      <c r="F878" s="214">
        <f>[15]人員・時間計画!C25</f>
        <v>148</v>
      </c>
      <c r="G878" s="214">
        <f>[15]人員・時間計画!D25</f>
        <v>146</v>
      </c>
      <c r="H878" s="214">
        <f>[15]人員・時間計画!E25</f>
        <v>150</v>
      </c>
      <c r="I878" s="214">
        <f>[15]人員・時間計画!F25</f>
        <v>154</v>
      </c>
      <c r="J878" s="214">
        <f>[15]人員・時間計画!G25</f>
        <v>148</v>
      </c>
      <c r="K878" s="214">
        <f>[15]人員・時間計画!H25</f>
        <v>146</v>
      </c>
      <c r="L878" s="214">
        <f>[15]人員・時間計画!I25</f>
        <v>181</v>
      </c>
      <c r="M878" s="214">
        <f>[15]人員・時間計画!J25</f>
        <v>175</v>
      </c>
      <c r="N878" s="214">
        <f>[15]人員・時間計画!K25</f>
        <v>179</v>
      </c>
      <c r="O878" s="214">
        <f>[15]人員・時間計画!L25</f>
        <v>175</v>
      </c>
      <c r="P878" s="214">
        <f>[15]人員・時間計画!M25</f>
        <v>165</v>
      </c>
      <c r="Q878" s="214">
        <f>[15]人員・時間計画!N25</f>
        <v>175</v>
      </c>
    </row>
    <row r="879" spans="1:17" ht="14.5" thickBot="1">
      <c r="A879">
        <f>[15]人員・時間計画!$A$5</f>
        <v>1412000078</v>
      </c>
      <c r="B879" t="str">
        <f>[15]人員・時間計画!$B$5</f>
        <v>ESD1課</v>
      </c>
      <c r="C879" s="185" t="s">
        <v>71</v>
      </c>
      <c r="D879" s="201" t="s">
        <v>195</v>
      </c>
      <c r="E879" s="207" t="s">
        <v>140</v>
      </c>
      <c r="F879" s="214">
        <f>[15]人員・時間計画!C26</f>
        <v>0</v>
      </c>
      <c r="G879" s="214">
        <f>[15]人員・時間計画!D26</f>
        <v>0</v>
      </c>
      <c r="H879" s="214">
        <f>[15]人員・時間計画!E26</f>
        <v>0</v>
      </c>
      <c r="I879" s="214">
        <f>[15]人員・時間計画!F26</f>
        <v>0</v>
      </c>
      <c r="J879" s="214">
        <f>[15]人員・時間計画!G26</f>
        <v>0</v>
      </c>
      <c r="K879" s="214">
        <f>[15]人員・時間計画!H26</f>
        <v>0</v>
      </c>
      <c r="L879" s="214">
        <f>[15]人員・時間計画!I26</f>
        <v>0</v>
      </c>
      <c r="M879" s="214">
        <f>[15]人員・時間計画!J26</f>
        <v>0</v>
      </c>
      <c r="N879" s="214">
        <f>[15]人員・時間計画!K26</f>
        <v>0</v>
      </c>
      <c r="O879" s="214">
        <f>[15]人員・時間計画!L26</f>
        <v>0</v>
      </c>
      <c r="P879" s="214">
        <f>[15]人員・時間計画!M26</f>
        <v>0</v>
      </c>
      <c r="Q879" s="214">
        <f>[15]人員・時間計画!N26</f>
        <v>0</v>
      </c>
    </row>
    <row r="880" spans="1:17" ht="14.5" hidden="1" thickBot="1">
      <c r="A880">
        <f>[15]人員・時間計画!$A$5</f>
        <v>1412000078</v>
      </c>
      <c r="B880" t="str">
        <f>[15]人員・時間計画!$B$5</f>
        <v>ESD1課</v>
      </c>
      <c r="C880" s="185" t="s">
        <v>71</v>
      </c>
      <c r="D880" s="202"/>
      <c r="E880" s="203" t="s">
        <v>138</v>
      </c>
      <c r="F880" s="214">
        <f>[15]人員・時間計画!C27</f>
        <v>148</v>
      </c>
      <c r="G880" s="214">
        <f>[15]人員・時間計画!D27</f>
        <v>146</v>
      </c>
      <c r="H880" s="214">
        <f>[15]人員・時間計画!E27</f>
        <v>150</v>
      </c>
      <c r="I880" s="214">
        <f>[15]人員・時間計画!F27</f>
        <v>154</v>
      </c>
      <c r="J880" s="214">
        <f>[15]人員・時間計画!G27</f>
        <v>148</v>
      </c>
      <c r="K880" s="214">
        <f>[15]人員・時間計画!H27</f>
        <v>146</v>
      </c>
      <c r="L880" s="214">
        <f>[15]人員・時間計画!I27</f>
        <v>181</v>
      </c>
      <c r="M880" s="214">
        <f>[15]人員・時間計画!J27</f>
        <v>175</v>
      </c>
      <c r="N880" s="214">
        <f>[15]人員・時間計画!K27</f>
        <v>179</v>
      </c>
      <c r="O880" s="214">
        <f>[15]人員・時間計画!L27</f>
        <v>175</v>
      </c>
      <c r="P880" s="214">
        <f>[15]人員・時間計画!M27</f>
        <v>165</v>
      </c>
      <c r="Q880" s="214">
        <f>[15]人員・時間計画!N27</f>
        <v>175</v>
      </c>
    </row>
    <row r="881" spans="1:17" ht="14.5" hidden="1" thickBot="1">
      <c r="A881">
        <f>[15]人員・時間計画!$A$5</f>
        <v>1412000078</v>
      </c>
      <c r="B881" t="str">
        <f>[15]人員・時間計画!$B$5</f>
        <v>ESD1課</v>
      </c>
      <c r="C881" s="185" t="s">
        <v>71</v>
      </c>
      <c r="D881" s="204" t="s">
        <v>216</v>
      </c>
      <c r="E881" s="205"/>
      <c r="F881" s="214">
        <f>[15]人員・時間計画!C28</f>
        <v>184</v>
      </c>
      <c r="G881" s="214">
        <f>[15]人員・時間計画!D28</f>
        <v>180</v>
      </c>
      <c r="H881" s="214">
        <f>[15]人員・時間計画!E28</f>
        <v>190</v>
      </c>
      <c r="I881" s="214">
        <f>[15]人員・時間計画!F28</f>
        <v>198</v>
      </c>
      <c r="J881" s="214">
        <f>[15]人員・時間計画!G28</f>
        <v>176</v>
      </c>
      <c r="K881" s="214">
        <f>[15]人員・時間計画!H28</f>
        <v>182</v>
      </c>
      <c r="L881" s="214">
        <f>[15]人員・時間計画!I28</f>
        <v>271</v>
      </c>
      <c r="M881" s="214">
        <f>[15]人員・時間計画!J28</f>
        <v>253</v>
      </c>
      <c r="N881" s="214">
        <f>[15]人員・時間計画!K28</f>
        <v>265</v>
      </c>
      <c r="O881" s="214">
        <f>[15]人員・時間計画!L28</f>
        <v>243</v>
      </c>
      <c r="P881" s="214">
        <f>[15]人員・時間計画!M28</f>
        <v>223</v>
      </c>
      <c r="Q881" s="214">
        <f>[15]人員・時間計画!N28</f>
        <v>253</v>
      </c>
    </row>
    <row r="882" spans="1:17" ht="14.5" hidden="1" thickBot="1">
      <c r="A882" t="str">
        <f>[61]人員・時間計画!$A$5</f>
        <v>1412C00001</v>
      </c>
      <c r="B882" t="str">
        <f>[61]人員・時間計画!$B$5</f>
        <v>労働組合</v>
      </c>
      <c r="C882" s="185" t="s">
        <v>3</v>
      </c>
      <c r="D882" s="185" t="s">
        <v>3</v>
      </c>
      <c r="E882" s="186"/>
    </row>
    <row r="883" spans="1:17" ht="14.5" hidden="1" thickBot="1">
      <c r="A883" t="str">
        <f>[61]人員・時間計画!$A$5</f>
        <v>1412C00001</v>
      </c>
      <c r="B883" t="str">
        <f>[61]人員・時間計画!$B$5</f>
        <v>労働組合</v>
      </c>
      <c r="C883" s="185" t="s">
        <v>3</v>
      </c>
      <c r="D883" s="187" t="s">
        <v>194</v>
      </c>
      <c r="E883" s="188"/>
      <c r="F883" s="214">
        <f>[61]人員・時間計画!C10</f>
        <v>0</v>
      </c>
      <c r="G883" s="214">
        <f>[61]人員・時間計画!D10</f>
        <v>0</v>
      </c>
      <c r="H883" s="214">
        <f>[61]人員・時間計画!E10</f>
        <v>0</v>
      </c>
      <c r="I883" s="214">
        <f>[61]人員・時間計画!F10</f>
        <v>0</v>
      </c>
      <c r="J883" s="214">
        <f>[61]人員・時間計画!G10</f>
        <v>0</v>
      </c>
      <c r="K883" s="214">
        <f>[61]人員・時間計画!H10</f>
        <v>0</v>
      </c>
      <c r="L883" s="214">
        <f>[61]人員・時間計画!I10</f>
        <v>0</v>
      </c>
      <c r="M883" s="214">
        <f>[61]人員・時間計画!J10</f>
        <v>0</v>
      </c>
      <c r="N883" s="214">
        <f>[61]人員・時間計画!K10</f>
        <v>0</v>
      </c>
      <c r="O883" s="214">
        <f>[61]人員・時間計画!L10</f>
        <v>0</v>
      </c>
      <c r="P883" s="214">
        <f>[61]人員・時間計画!M10</f>
        <v>0</v>
      </c>
      <c r="Q883" s="214">
        <f>[61]人員・時間計画!N10</f>
        <v>0</v>
      </c>
    </row>
    <row r="884" spans="1:17" ht="14.5" hidden="1" thickBot="1">
      <c r="A884" t="str">
        <f>[61]人員・時間計画!$A$5</f>
        <v>1412C00001</v>
      </c>
      <c r="B884" t="str">
        <f>[61]人員・時間計画!$B$5</f>
        <v>労働組合</v>
      </c>
      <c r="C884" s="185" t="s">
        <v>3</v>
      </c>
      <c r="D884" s="189"/>
      <c r="E884" s="190" t="s">
        <v>139</v>
      </c>
      <c r="F884" s="214">
        <f>[61]人員・時間計画!C11</f>
        <v>0</v>
      </c>
      <c r="G884" s="214">
        <f>[61]人員・時間計画!D11</f>
        <v>0</v>
      </c>
      <c r="H884" s="214">
        <f>[61]人員・時間計画!E11</f>
        <v>0</v>
      </c>
      <c r="I884" s="214">
        <f>[61]人員・時間計画!F11</f>
        <v>0</v>
      </c>
      <c r="J884" s="214">
        <f>[61]人員・時間計画!G11</f>
        <v>0</v>
      </c>
      <c r="K884" s="214">
        <f>[61]人員・時間計画!H11</f>
        <v>0</v>
      </c>
      <c r="L884" s="214">
        <f>[61]人員・時間計画!I11</f>
        <v>0</v>
      </c>
      <c r="M884" s="214">
        <f>[61]人員・時間計画!J11</f>
        <v>0</v>
      </c>
      <c r="N884" s="214">
        <f>[61]人員・時間計画!K11</f>
        <v>0</v>
      </c>
      <c r="O884" s="214">
        <f>[61]人員・時間計画!L11</f>
        <v>0</v>
      </c>
      <c r="P884" s="214">
        <f>[61]人員・時間計画!M11</f>
        <v>0</v>
      </c>
      <c r="Q884" s="214">
        <f>[61]人員・時間計画!N11</f>
        <v>0</v>
      </c>
    </row>
    <row r="885" spans="1:17" ht="14.5" thickBot="1">
      <c r="A885" t="str">
        <f>[61]人員・時間計画!$A$5</f>
        <v>1412C00001</v>
      </c>
      <c r="B885" t="str">
        <f>[61]人員・時間計画!$B$5</f>
        <v>労働組合</v>
      </c>
      <c r="C885" s="185" t="s">
        <v>3</v>
      </c>
      <c r="D885" s="191" t="s">
        <v>195</v>
      </c>
      <c r="E885" s="192" t="s">
        <v>140</v>
      </c>
      <c r="F885" s="214">
        <f>[61]人員・時間計画!C12</f>
        <v>0</v>
      </c>
      <c r="G885" s="214">
        <f>[61]人員・時間計画!D12</f>
        <v>0</v>
      </c>
      <c r="H885" s="214">
        <f>[61]人員・時間計画!E12</f>
        <v>0</v>
      </c>
      <c r="I885" s="214">
        <f>[61]人員・時間計画!F12</f>
        <v>0</v>
      </c>
      <c r="J885" s="214">
        <f>[61]人員・時間計画!G12</f>
        <v>0</v>
      </c>
      <c r="K885" s="214">
        <f>[61]人員・時間計画!H12</f>
        <v>0</v>
      </c>
      <c r="L885" s="214">
        <f>[61]人員・時間計画!I12</f>
        <v>0</v>
      </c>
      <c r="M885" s="214">
        <f>[61]人員・時間計画!J12</f>
        <v>0</v>
      </c>
      <c r="N885" s="214">
        <f>[61]人員・時間計画!K12</f>
        <v>0</v>
      </c>
      <c r="O885" s="214">
        <f>[61]人員・時間計画!L12</f>
        <v>0</v>
      </c>
      <c r="P885" s="214">
        <f>[61]人員・時間計画!M12</f>
        <v>0</v>
      </c>
      <c r="Q885" s="214">
        <f>[61]人員・時間計画!N12</f>
        <v>0</v>
      </c>
    </row>
    <row r="886" spans="1:17" ht="14.5" hidden="1" thickBot="1">
      <c r="A886" t="str">
        <f>[61]人員・時間計画!$A$5</f>
        <v>1412C00001</v>
      </c>
      <c r="B886" t="str">
        <f>[61]人員・時間計画!$B$5</f>
        <v>労働組合</v>
      </c>
      <c r="C886" s="185" t="s">
        <v>3</v>
      </c>
      <c r="D886" s="193"/>
      <c r="E886" s="194" t="s">
        <v>138</v>
      </c>
      <c r="F886" s="214">
        <f>[61]人員・時間計画!C13</f>
        <v>0</v>
      </c>
      <c r="G886" s="214">
        <f>[61]人員・時間計画!D13</f>
        <v>0</v>
      </c>
      <c r="H886" s="214">
        <f>[61]人員・時間計画!E13</f>
        <v>0</v>
      </c>
      <c r="I886" s="214">
        <f>[61]人員・時間計画!F13</f>
        <v>0</v>
      </c>
      <c r="J886" s="214">
        <f>[61]人員・時間計画!G13</f>
        <v>0</v>
      </c>
      <c r="K886" s="214">
        <f>[61]人員・時間計画!H13</f>
        <v>0</v>
      </c>
      <c r="L886" s="214">
        <f>[61]人員・時間計画!I13</f>
        <v>0</v>
      </c>
      <c r="M886" s="214">
        <f>[61]人員・時間計画!J13</f>
        <v>0</v>
      </c>
      <c r="N886" s="214">
        <f>[61]人員・時間計画!K13</f>
        <v>0</v>
      </c>
      <c r="O886" s="214">
        <f>[61]人員・時間計画!L13</f>
        <v>0</v>
      </c>
      <c r="P886" s="214">
        <f>[61]人員・時間計画!M13</f>
        <v>0</v>
      </c>
      <c r="Q886" s="214">
        <f>[61]人員・時間計画!N13</f>
        <v>0</v>
      </c>
    </row>
    <row r="887" spans="1:17" ht="14.5" hidden="1" thickBot="1">
      <c r="A887" t="str">
        <f>[61]人員・時間計画!$A$5</f>
        <v>1412C00001</v>
      </c>
      <c r="B887" t="str">
        <f>[61]人員・時間計画!$B$5</f>
        <v>労働組合</v>
      </c>
      <c r="C887" s="185" t="s">
        <v>3</v>
      </c>
      <c r="D887" s="195" t="s">
        <v>196</v>
      </c>
      <c r="E887" s="196"/>
      <c r="F887" s="214">
        <f>[61]人員・時間計画!C14</f>
        <v>0</v>
      </c>
      <c r="G887" s="214">
        <f>[61]人員・時間計画!D14</f>
        <v>0</v>
      </c>
      <c r="H887" s="214">
        <f>[61]人員・時間計画!E14</f>
        <v>0</v>
      </c>
      <c r="I887" s="214">
        <f>[61]人員・時間計画!F14</f>
        <v>0</v>
      </c>
      <c r="J887" s="214">
        <f>[61]人員・時間計画!G14</f>
        <v>0</v>
      </c>
      <c r="K887" s="214">
        <f>[61]人員・時間計画!H14</f>
        <v>0</v>
      </c>
      <c r="L887" s="214">
        <f>[61]人員・時間計画!I14</f>
        <v>0</v>
      </c>
      <c r="M887" s="214">
        <f>[61]人員・時間計画!J14</f>
        <v>0</v>
      </c>
      <c r="N887" s="214">
        <f>[61]人員・時間計画!K14</f>
        <v>0</v>
      </c>
      <c r="O887" s="214">
        <f>[61]人員・時間計画!L14</f>
        <v>0</v>
      </c>
      <c r="P887" s="214">
        <f>[61]人員・時間計画!M14</f>
        <v>0</v>
      </c>
      <c r="Q887" s="214">
        <f>[61]人員・時間計画!N14</f>
        <v>0</v>
      </c>
    </row>
    <row r="888" spans="1:17" ht="14.5" hidden="1" thickBot="1">
      <c r="A888" t="str">
        <f>[61]人員・時間計画!$A$5</f>
        <v>1412C00001</v>
      </c>
      <c r="B888" t="str">
        <f>[61]人員・時間計画!$B$5</f>
        <v>労働組合</v>
      </c>
      <c r="D888" s="197"/>
      <c r="E888" s="197"/>
    </row>
    <row r="889" spans="1:17" ht="14.5" hidden="1" thickBot="1">
      <c r="A889" t="str">
        <f>[61]人員・時間計画!$A$5</f>
        <v>1412C00001</v>
      </c>
      <c r="B889" t="str">
        <f>[61]人員・時間計画!$B$5</f>
        <v>労働組合</v>
      </c>
      <c r="C889" s="185" t="s">
        <v>202</v>
      </c>
      <c r="D889" s="185" t="s">
        <v>202</v>
      </c>
      <c r="E889" s="186"/>
    </row>
    <row r="890" spans="1:17" ht="14.5" hidden="1" thickBot="1">
      <c r="A890" t="str">
        <f>[61]人員・時間計画!$A$5</f>
        <v>1412C00001</v>
      </c>
      <c r="B890" t="str">
        <f>[61]人員・時間計画!$B$5</f>
        <v>労働組合</v>
      </c>
      <c r="C890" s="185" t="s">
        <v>202</v>
      </c>
      <c r="D890" s="198" t="s">
        <v>194</v>
      </c>
      <c r="E890" s="199"/>
      <c r="F890" s="214">
        <f>[61]人員・時間計画!C17</f>
        <v>0</v>
      </c>
      <c r="G890" s="214">
        <f>[61]人員・時間計画!D17</f>
        <v>0</v>
      </c>
      <c r="H890" s="214">
        <f>[61]人員・時間計画!E17</f>
        <v>0</v>
      </c>
      <c r="I890" s="214">
        <f>[61]人員・時間計画!F17</f>
        <v>0</v>
      </c>
      <c r="J890" s="214">
        <f>[61]人員・時間計画!G17</f>
        <v>0</v>
      </c>
      <c r="K890" s="214">
        <f>[61]人員・時間計画!H17</f>
        <v>0</v>
      </c>
      <c r="L890" s="214">
        <f>[61]人員・時間計画!I17</f>
        <v>0</v>
      </c>
      <c r="M890" s="214">
        <f>[61]人員・時間計画!J17</f>
        <v>0</v>
      </c>
      <c r="N890" s="214">
        <f>[61]人員・時間計画!K17</f>
        <v>0</v>
      </c>
      <c r="O890" s="214">
        <f>[61]人員・時間計画!L17</f>
        <v>0</v>
      </c>
      <c r="P890" s="214">
        <f>[61]人員・時間計画!M17</f>
        <v>0</v>
      </c>
      <c r="Q890" s="214">
        <f>[61]人員・時間計画!N17</f>
        <v>0</v>
      </c>
    </row>
    <row r="891" spans="1:17" ht="14.5" hidden="1" thickBot="1">
      <c r="A891" t="str">
        <f>[61]人員・時間計画!$A$5</f>
        <v>1412C00001</v>
      </c>
      <c r="B891" t="str">
        <f>[61]人員・時間計画!$B$5</f>
        <v>労働組合</v>
      </c>
      <c r="C891" s="185" t="s">
        <v>202</v>
      </c>
      <c r="D891" s="200"/>
      <c r="E891" s="190" t="s">
        <v>139</v>
      </c>
      <c r="F891" s="214">
        <f>[61]人員・時間計画!C18</f>
        <v>25.5</v>
      </c>
      <c r="G891" s="214">
        <f>[61]人員・時間計画!D18</f>
        <v>25.5</v>
      </c>
      <c r="H891" s="214">
        <f>[61]人員・時間計画!E18</f>
        <v>25.5</v>
      </c>
      <c r="I891" s="214">
        <f>[61]人員・時間計画!F18</f>
        <v>25.5</v>
      </c>
      <c r="J891" s="214">
        <f>[61]人員・時間計画!G18</f>
        <v>25.5</v>
      </c>
      <c r="K891" s="214">
        <f>[61]人員・時間計画!H18</f>
        <v>25.5</v>
      </c>
      <c r="L891" s="214">
        <f>[61]人員・時間計画!I18</f>
        <v>25.5</v>
      </c>
      <c r="M891" s="214">
        <f>[61]人員・時間計画!J18</f>
        <v>25.5</v>
      </c>
      <c r="N891" s="214">
        <f>[61]人員・時間計画!K18</f>
        <v>25.5</v>
      </c>
      <c r="O891" s="214">
        <f>[61]人員・時間計画!L18</f>
        <v>25.5</v>
      </c>
      <c r="P891" s="214">
        <f>[61]人員・時間計画!M18</f>
        <v>25.5</v>
      </c>
      <c r="Q891" s="214">
        <f>[61]人員・時間計画!N18</f>
        <v>25.5</v>
      </c>
    </row>
    <row r="892" spans="1:17" ht="14.5" thickBot="1">
      <c r="A892" t="str">
        <f>[61]人員・時間計画!$A$5</f>
        <v>1412C00001</v>
      </c>
      <c r="B892" t="str">
        <f>[61]人員・時間計画!$B$5</f>
        <v>労働組合</v>
      </c>
      <c r="C892" s="185" t="s">
        <v>202</v>
      </c>
      <c r="D892" s="201" t="s">
        <v>195</v>
      </c>
      <c r="E892" s="192" t="s">
        <v>140</v>
      </c>
      <c r="F892" s="214">
        <f>[61]人員・時間計画!C19</f>
        <v>0</v>
      </c>
      <c r="G892" s="214">
        <f>[61]人員・時間計画!D19</f>
        <v>0</v>
      </c>
      <c r="H892" s="214">
        <f>[61]人員・時間計画!E19</f>
        <v>0</v>
      </c>
      <c r="I892" s="214">
        <f>[61]人員・時間計画!F19</f>
        <v>0</v>
      </c>
      <c r="J892" s="214">
        <f>[61]人員・時間計画!G19</f>
        <v>0</v>
      </c>
      <c r="K892" s="214">
        <f>[61]人員・時間計画!H19</f>
        <v>0</v>
      </c>
      <c r="L892" s="214">
        <f>[61]人員・時間計画!I19</f>
        <v>0</v>
      </c>
      <c r="M892" s="214">
        <f>[61]人員・時間計画!J19</f>
        <v>0</v>
      </c>
      <c r="N892" s="214">
        <f>[61]人員・時間計画!K19</f>
        <v>0</v>
      </c>
      <c r="O892" s="214">
        <f>[61]人員・時間計画!L19</f>
        <v>0</v>
      </c>
      <c r="P892" s="214">
        <f>[61]人員・時間計画!M19</f>
        <v>0</v>
      </c>
      <c r="Q892" s="214">
        <f>[61]人員・時間計画!N19</f>
        <v>0</v>
      </c>
    </row>
    <row r="893" spans="1:17" ht="14.5" hidden="1" thickBot="1">
      <c r="A893" t="str">
        <f>[61]人員・時間計画!$A$5</f>
        <v>1412C00001</v>
      </c>
      <c r="B893" t="str">
        <f>[61]人員・時間計画!$B$5</f>
        <v>労働組合</v>
      </c>
      <c r="C893" s="185" t="s">
        <v>202</v>
      </c>
      <c r="D893" s="202"/>
      <c r="E893" s="203" t="s">
        <v>138</v>
      </c>
      <c r="F893" s="214">
        <f>[61]人員・時間計画!C20</f>
        <v>25.5</v>
      </c>
      <c r="G893" s="214">
        <f>[61]人員・時間計画!D20</f>
        <v>25.5</v>
      </c>
      <c r="H893" s="214">
        <f>[61]人員・時間計画!E20</f>
        <v>25.5</v>
      </c>
      <c r="I893" s="214">
        <f>[61]人員・時間計画!F20</f>
        <v>25.5</v>
      </c>
      <c r="J893" s="214">
        <f>[61]人員・時間計画!G20</f>
        <v>25.5</v>
      </c>
      <c r="K893" s="214">
        <f>[61]人員・時間計画!H20</f>
        <v>25.5</v>
      </c>
      <c r="L893" s="214">
        <f>[61]人員・時間計画!I20</f>
        <v>25.5</v>
      </c>
      <c r="M893" s="214">
        <f>[61]人員・時間計画!J20</f>
        <v>25.5</v>
      </c>
      <c r="N893" s="214">
        <f>[61]人員・時間計画!K20</f>
        <v>25.5</v>
      </c>
      <c r="O893" s="214">
        <f>[61]人員・時間計画!L20</f>
        <v>25.5</v>
      </c>
      <c r="P893" s="214">
        <f>[61]人員・時間計画!M20</f>
        <v>25.5</v>
      </c>
      <c r="Q893" s="214">
        <f>[61]人員・時間計画!N20</f>
        <v>25.5</v>
      </c>
    </row>
    <row r="894" spans="1:17" ht="14.5" hidden="1" thickBot="1">
      <c r="A894" t="str">
        <f>[61]人員・時間計画!$A$5</f>
        <v>1412C00001</v>
      </c>
      <c r="B894" t="str">
        <f>[61]人員・時間計画!$B$5</f>
        <v>労働組合</v>
      </c>
      <c r="C894" s="185" t="s">
        <v>202</v>
      </c>
      <c r="D894" s="204" t="s">
        <v>215</v>
      </c>
      <c r="E894" s="205"/>
      <c r="F894" s="214">
        <f>[61]人員・時間計画!C21</f>
        <v>25.5</v>
      </c>
      <c r="G894" s="214">
        <f>[61]人員・時間計画!D21</f>
        <v>25.5</v>
      </c>
      <c r="H894" s="214">
        <f>[61]人員・時間計画!E21</f>
        <v>25.5</v>
      </c>
      <c r="I894" s="214">
        <f>[61]人員・時間計画!F21</f>
        <v>25.5</v>
      </c>
      <c r="J894" s="214">
        <f>[61]人員・時間計画!G21</f>
        <v>25.5</v>
      </c>
      <c r="K894" s="214">
        <f>[61]人員・時間計画!H21</f>
        <v>25.5</v>
      </c>
      <c r="L894" s="214">
        <f>[61]人員・時間計画!I21</f>
        <v>25.5</v>
      </c>
      <c r="M894" s="214">
        <f>[61]人員・時間計画!J21</f>
        <v>25.5</v>
      </c>
      <c r="N894" s="214">
        <f>[61]人員・時間計画!K21</f>
        <v>25.5</v>
      </c>
      <c r="O894" s="214">
        <f>[61]人員・時間計画!L21</f>
        <v>25.5</v>
      </c>
      <c r="P894" s="214">
        <f>[61]人員・時間計画!M21</f>
        <v>25.5</v>
      </c>
      <c r="Q894" s="214">
        <f>[61]人員・時間計画!N21</f>
        <v>25.5</v>
      </c>
    </row>
    <row r="895" spans="1:17" ht="14.5" hidden="1" thickBot="1">
      <c r="A895" t="str">
        <f>[61]人員・時間計画!$A$5</f>
        <v>1412C00001</v>
      </c>
      <c r="B895" t="str">
        <f>[61]人員・時間計画!$B$5</f>
        <v>労働組合</v>
      </c>
      <c r="D895" s="197"/>
      <c r="E895" s="197"/>
    </row>
    <row r="896" spans="1:17" ht="14.5" hidden="1" thickBot="1">
      <c r="A896" t="str">
        <f>[61]人員・時間計画!$A$5</f>
        <v>1412C00001</v>
      </c>
      <c r="B896" t="str">
        <f>[61]人員・時間計画!$B$5</f>
        <v>労働組合</v>
      </c>
      <c r="C896" s="185" t="s">
        <v>71</v>
      </c>
      <c r="D896" s="185" t="s">
        <v>71</v>
      </c>
      <c r="E896" s="186"/>
    </row>
    <row r="897" spans="1:17" ht="14.5" hidden="1" thickBot="1">
      <c r="A897" t="str">
        <f>[61]人員・時間計画!$A$5</f>
        <v>1412C00001</v>
      </c>
      <c r="B897" t="str">
        <f>[61]人員・時間計画!$B$5</f>
        <v>労働組合</v>
      </c>
      <c r="C897" s="185" t="s">
        <v>71</v>
      </c>
      <c r="D897" s="198" t="s">
        <v>194</v>
      </c>
      <c r="E897" s="199"/>
      <c r="F897" s="214">
        <f>[61]人員・時間計画!C24</f>
        <v>0</v>
      </c>
      <c r="G897" s="214">
        <f>[61]人員・時間計画!D24</f>
        <v>0</v>
      </c>
      <c r="H897" s="214">
        <f>[61]人員・時間計画!E24</f>
        <v>0</v>
      </c>
      <c r="I897" s="214">
        <f>[61]人員・時間計画!F24</f>
        <v>0</v>
      </c>
      <c r="J897" s="214">
        <f>[61]人員・時間計画!G24</f>
        <v>0</v>
      </c>
      <c r="K897" s="214">
        <f>[61]人員・時間計画!H24</f>
        <v>0</v>
      </c>
      <c r="L897" s="214">
        <f>[61]人員・時間計画!I24</f>
        <v>0</v>
      </c>
      <c r="M897" s="214">
        <f>[61]人員・時間計画!J24</f>
        <v>0</v>
      </c>
      <c r="N897" s="214">
        <f>[61]人員・時間計画!K24</f>
        <v>0</v>
      </c>
      <c r="O897" s="214">
        <f>[61]人員・時間計画!L24</f>
        <v>0</v>
      </c>
      <c r="P897" s="214">
        <f>[61]人員・時間計画!M24</f>
        <v>0</v>
      </c>
      <c r="Q897" s="214">
        <f>[61]人員・時間計画!N24</f>
        <v>0</v>
      </c>
    </row>
    <row r="898" spans="1:17" ht="14.5" hidden="1" thickBot="1">
      <c r="A898" t="str">
        <f>[61]人員・時間計画!$A$5</f>
        <v>1412C00001</v>
      </c>
      <c r="B898" t="str">
        <f>[61]人員・時間計画!$B$5</f>
        <v>労働組合</v>
      </c>
      <c r="C898" s="185" t="s">
        <v>71</v>
      </c>
      <c r="D898" s="200"/>
      <c r="E898" s="206" t="s">
        <v>139</v>
      </c>
      <c r="F898" s="214">
        <f>[61]人員・時間計画!C25</f>
        <v>0</v>
      </c>
      <c r="G898" s="214">
        <f>[61]人員・時間計画!D25</f>
        <v>0</v>
      </c>
      <c r="H898" s="214">
        <f>[61]人員・時間計画!E25</f>
        <v>0</v>
      </c>
      <c r="I898" s="214">
        <f>[61]人員・時間計画!F25</f>
        <v>0</v>
      </c>
      <c r="J898" s="214">
        <f>[61]人員・時間計画!G25</f>
        <v>0</v>
      </c>
      <c r="K898" s="214">
        <f>[61]人員・時間計画!H25</f>
        <v>0</v>
      </c>
      <c r="L898" s="214">
        <f>[61]人員・時間計画!I25</f>
        <v>0</v>
      </c>
      <c r="M898" s="214">
        <f>[61]人員・時間計画!J25</f>
        <v>0</v>
      </c>
      <c r="N898" s="214">
        <f>[61]人員・時間計画!K25</f>
        <v>0</v>
      </c>
      <c r="O898" s="214">
        <f>[61]人員・時間計画!L25</f>
        <v>0</v>
      </c>
      <c r="P898" s="214">
        <f>[61]人員・時間計画!M25</f>
        <v>0</v>
      </c>
      <c r="Q898" s="214">
        <f>[61]人員・時間計画!N25</f>
        <v>0</v>
      </c>
    </row>
    <row r="899" spans="1:17" ht="14.5" thickBot="1">
      <c r="A899" t="str">
        <f>[61]人員・時間計画!$A$5</f>
        <v>1412C00001</v>
      </c>
      <c r="B899" t="str">
        <f>[61]人員・時間計画!$B$5</f>
        <v>労働組合</v>
      </c>
      <c r="C899" s="185" t="s">
        <v>71</v>
      </c>
      <c r="D899" s="201" t="s">
        <v>195</v>
      </c>
      <c r="E899" s="207" t="s">
        <v>140</v>
      </c>
      <c r="F899" s="214">
        <f>[61]人員・時間計画!C26</f>
        <v>0</v>
      </c>
      <c r="G899" s="214">
        <f>[61]人員・時間計画!D26</f>
        <v>0</v>
      </c>
      <c r="H899" s="214">
        <f>[61]人員・時間計画!E26</f>
        <v>0</v>
      </c>
      <c r="I899" s="214">
        <f>[61]人員・時間計画!F26</f>
        <v>0</v>
      </c>
      <c r="J899" s="214">
        <f>[61]人員・時間計画!G26</f>
        <v>0</v>
      </c>
      <c r="K899" s="214">
        <f>[61]人員・時間計画!H26</f>
        <v>0</v>
      </c>
      <c r="L899" s="214">
        <f>[61]人員・時間計画!I26</f>
        <v>0</v>
      </c>
      <c r="M899" s="214">
        <f>[61]人員・時間計画!J26</f>
        <v>0</v>
      </c>
      <c r="N899" s="214">
        <f>[61]人員・時間計画!K26</f>
        <v>0</v>
      </c>
      <c r="O899" s="214">
        <f>[61]人員・時間計画!L26</f>
        <v>0</v>
      </c>
      <c r="P899" s="214">
        <f>[61]人員・時間計画!M26</f>
        <v>0</v>
      </c>
      <c r="Q899" s="214">
        <f>[61]人員・時間計画!N26</f>
        <v>0</v>
      </c>
    </row>
    <row r="900" spans="1:17" ht="14.5" hidden="1" thickBot="1">
      <c r="A900" t="str">
        <f>[61]人員・時間計画!$A$5</f>
        <v>1412C00001</v>
      </c>
      <c r="B900" t="str">
        <f>[61]人員・時間計画!$B$5</f>
        <v>労働組合</v>
      </c>
      <c r="C900" s="185" t="s">
        <v>71</v>
      </c>
      <c r="D900" s="202"/>
      <c r="E900" s="203" t="s">
        <v>138</v>
      </c>
      <c r="F900" s="214">
        <f>[61]人員・時間計画!C27</f>
        <v>0</v>
      </c>
      <c r="G900" s="214">
        <f>[61]人員・時間計画!D27</f>
        <v>0</v>
      </c>
      <c r="H900" s="214">
        <f>[61]人員・時間計画!E27</f>
        <v>0</v>
      </c>
      <c r="I900" s="214">
        <f>[61]人員・時間計画!F27</f>
        <v>0</v>
      </c>
      <c r="J900" s="214">
        <f>[61]人員・時間計画!G27</f>
        <v>0</v>
      </c>
      <c r="K900" s="214">
        <f>[61]人員・時間計画!H27</f>
        <v>0</v>
      </c>
      <c r="L900" s="214">
        <f>[61]人員・時間計画!I27</f>
        <v>0</v>
      </c>
      <c r="M900" s="214">
        <f>[61]人員・時間計画!J27</f>
        <v>0</v>
      </c>
      <c r="N900" s="214">
        <f>[61]人員・時間計画!K27</f>
        <v>0</v>
      </c>
      <c r="O900" s="214">
        <f>[61]人員・時間計画!L27</f>
        <v>0</v>
      </c>
      <c r="P900" s="214">
        <f>[61]人員・時間計画!M27</f>
        <v>0</v>
      </c>
      <c r="Q900" s="214">
        <f>[61]人員・時間計画!N27</f>
        <v>0</v>
      </c>
    </row>
    <row r="901" spans="1:17" ht="14.5" hidden="1" thickBot="1">
      <c r="A901" t="str">
        <f>[61]人員・時間計画!$A$5</f>
        <v>1412C00001</v>
      </c>
      <c r="B901" t="str">
        <f>[61]人員・時間計画!$B$5</f>
        <v>労働組合</v>
      </c>
      <c r="C901" s="185" t="s">
        <v>71</v>
      </c>
      <c r="D901" s="204" t="s">
        <v>216</v>
      </c>
      <c r="E901" s="205"/>
      <c r="F901" s="214">
        <f>[61]人員・時間計画!C28</f>
        <v>0</v>
      </c>
      <c r="G901" s="214">
        <f>[61]人員・時間計画!D28</f>
        <v>0</v>
      </c>
      <c r="H901" s="214">
        <f>[61]人員・時間計画!E28</f>
        <v>0</v>
      </c>
      <c r="I901" s="214">
        <f>[61]人員・時間計画!F28</f>
        <v>0</v>
      </c>
      <c r="J901" s="214">
        <f>[61]人員・時間計画!G28</f>
        <v>0</v>
      </c>
      <c r="K901" s="214">
        <f>[61]人員・時間計画!H28</f>
        <v>0</v>
      </c>
      <c r="L901" s="214">
        <f>[61]人員・時間計画!I28</f>
        <v>0</v>
      </c>
      <c r="M901" s="214">
        <f>[61]人員・時間計画!J28</f>
        <v>0</v>
      </c>
      <c r="N901" s="214">
        <f>[61]人員・時間計画!K28</f>
        <v>0</v>
      </c>
      <c r="O901" s="214">
        <f>[61]人員・時間計画!L28</f>
        <v>0</v>
      </c>
      <c r="P901" s="214">
        <f>[61]人員・時間計画!M28</f>
        <v>0</v>
      </c>
      <c r="Q901" s="214">
        <f>[61]人員・時間計画!N28</f>
        <v>0</v>
      </c>
    </row>
    <row r="902" spans="1:17" ht="14.5" hidden="1" thickBot="1">
      <c r="A902">
        <f>[3]人員・時間計画!$A$5</f>
        <v>1412000081</v>
      </c>
      <c r="B902" t="str">
        <f>[3]人員・時間計画!$B$5</f>
        <v>機器製造3課</v>
      </c>
      <c r="C902" s="185" t="s">
        <v>3</v>
      </c>
      <c r="D902" s="185" t="s">
        <v>3</v>
      </c>
      <c r="E902" s="186"/>
    </row>
    <row r="903" spans="1:17" ht="14.5" hidden="1" thickBot="1">
      <c r="A903">
        <f>[3]人員・時間計画!$A$5</f>
        <v>1412000081</v>
      </c>
      <c r="B903" t="str">
        <f>[3]人員・時間計画!$B$5</f>
        <v>機器製造3課</v>
      </c>
      <c r="C903" s="185" t="s">
        <v>3</v>
      </c>
      <c r="D903" s="187" t="s">
        <v>194</v>
      </c>
      <c r="E903" s="188"/>
      <c r="F903" s="214">
        <f>[3]人員・時間計画!C10</f>
        <v>0</v>
      </c>
      <c r="G903" s="214">
        <f>[3]人員・時間計画!D10</f>
        <v>0</v>
      </c>
      <c r="H903" s="214">
        <f>[3]人員・時間計画!E10</f>
        <v>0</v>
      </c>
      <c r="I903" s="214">
        <f>[3]人員・時間計画!F10</f>
        <v>0</v>
      </c>
      <c r="J903" s="214">
        <f>[3]人員・時間計画!G10</f>
        <v>0</v>
      </c>
      <c r="K903" s="214">
        <f>[3]人員・時間計画!H10</f>
        <v>0</v>
      </c>
      <c r="L903" s="214">
        <f>[3]人員・時間計画!I10</f>
        <v>0</v>
      </c>
      <c r="M903" s="214">
        <f>[3]人員・時間計画!J10</f>
        <v>0</v>
      </c>
      <c r="N903" s="214">
        <f>[3]人員・時間計画!K10</f>
        <v>0</v>
      </c>
      <c r="O903" s="214">
        <f>[3]人員・時間計画!L10</f>
        <v>0</v>
      </c>
      <c r="P903" s="214">
        <f>[3]人員・時間計画!M10</f>
        <v>0</v>
      </c>
      <c r="Q903" s="214">
        <f>[3]人員・時間計画!N10</f>
        <v>0</v>
      </c>
    </row>
    <row r="904" spans="1:17" ht="14.5" hidden="1" thickBot="1">
      <c r="A904">
        <f>[3]人員・時間計画!$A$5</f>
        <v>1412000081</v>
      </c>
      <c r="B904" t="str">
        <f>[3]人員・時間計画!$B$5</f>
        <v>機器製造3課</v>
      </c>
      <c r="C904" s="185" t="s">
        <v>3</v>
      </c>
      <c r="D904" s="189"/>
      <c r="E904" s="190" t="s">
        <v>139</v>
      </c>
      <c r="F904" s="214">
        <f>[3]人員・時間計画!C11</f>
        <v>81</v>
      </c>
      <c r="G904" s="214">
        <f>[3]人員・時間計画!D11</f>
        <v>81</v>
      </c>
      <c r="H904" s="214">
        <f>[3]人員・時間計画!E11</f>
        <v>81</v>
      </c>
      <c r="I904" s="214">
        <f>[3]人員・時間計画!F11</f>
        <v>90</v>
      </c>
      <c r="J904" s="214">
        <f>[3]人員・時間計画!G11</f>
        <v>90</v>
      </c>
      <c r="K904" s="214">
        <f>[3]人員・時間計画!H11</f>
        <v>90</v>
      </c>
      <c r="L904" s="214">
        <f>[3]人員・時間計画!I11</f>
        <v>90</v>
      </c>
      <c r="M904" s="214">
        <f>[3]人員・時間計画!J11</f>
        <v>90</v>
      </c>
      <c r="N904" s="214">
        <f>[3]人員・時間計画!K11</f>
        <v>90</v>
      </c>
      <c r="O904" s="214">
        <f>[3]人員・時間計画!L11</f>
        <v>99</v>
      </c>
      <c r="P904" s="214">
        <f>[3]人員・時間計画!M11</f>
        <v>99</v>
      </c>
      <c r="Q904" s="214">
        <f>[3]人員・時間計画!N11</f>
        <v>99</v>
      </c>
    </row>
    <row r="905" spans="1:17" ht="14.5" thickBot="1">
      <c r="A905">
        <f>[3]人員・時間計画!$A$5</f>
        <v>1412000081</v>
      </c>
      <c r="B905" t="str">
        <f>[3]人員・時間計画!$B$5</f>
        <v>機器製造3課</v>
      </c>
      <c r="C905" s="185" t="s">
        <v>3</v>
      </c>
      <c r="D905" s="191" t="s">
        <v>195</v>
      </c>
      <c r="E905" s="192" t="s">
        <v>140</v>
      </c>
      <c r="F905" s="214">
        <f>[3]人員・時間計画!C12</f>
        <v>1024</v>
      </c>
      <c r="G905" s="214">
        <f>[3]人員・時間計画!D12</f>
        <v>1000</v>
      </c>
      <c r="H905" s="214">
        <f>[3]人員・時間計画!E12</f>
        <v>905</v>
      </c>
      <c r="I905" s="214">
        <f>[3]人員・時間計画!F12</f>
        <v>1014</v>
      </c>
      <c r="J905" s="214">
        <f>[3]人員・時間計画!G12</f>
        <v>1058</v>
      </c>
      <c r="K905" s="214">
        <f>[3]人員・時間計画!H12</f>
        <v>1070</v>
      </c>
      <c r="L905" s="214">
        <f>[3]人員・時間計画!I12</f>
        <v>1067</v>
      </c>
      <c r="M905" s="214">
        <f>[3]人員・時間計画!J12</f>
        <v>1068</v>
      </c>
      <c r="N905" s="214">
        <f>[3]人員・時間計画!K12</f>
        <v>1061</v>
      </c>
      <c r="O905" s="214">
        <f>[3]人員・時間計画!L12</f>
        <v>1095</v>
      </c>
      <c r="P905" s="214">
        <f>[3]人員・時間計画!M12</f>
        <v>1168</v>
      </c>
      <c r="Q905" s="214">
        <f>[3]人員・時間計画!N12</f>
        <v>1123</v>
      </c>
    </row>
    <row r="906" spans="1:17" ht="14.5" hidden="1" thickBot="1">
      <c r="A906">
        <f>[3]人員・時間計画!$A$5</f>
        <v>1412000081</v>
      </c>
      <c r="B906" t="str">
        <f>[3]人員・時間計画!$B$5</f>
        <v>機器製造3課</v>
      </c>
      <c r="C906" s="185" t="s">
        <v>3</v>
      </c>
      <c r="D906" s="193"/>
      <c r="E906" s="194" t="s">
        <v>138</v>
      </c>
      <c r="F906" s="214">
        <f>[3]人員・時間計画!C13</f>
        <v>1105</v>
      </c>
      <c r="G906" s="214">
        <f>[3]人員・時間計画!D13</f>
        <v>1081</v>
      </c>
      <c r="H906" s="214">
        <f>[3]人員・時間計画!E13</f>
        <v>986</v>
      </c>
      <c r="I906" s="214">
        <f>[3]人員・時間計画!F13</f>
        <v>1104</v>
      </c>
      <c r="J906" s="214">
        <f>[3]人員・時間計画!G13</f>
        <v>1148</v>
      </c>
      <c r="K906" s="214">
        <f>[3]人員・時間計画!H13</f>
        <v>1160</v>
      </c>
      <c r="L906" s="214">
        <f>[3]人員・時間計画!I13</f>
        <v>1157</v>
      </c>
      <c r="M906" s="214">
        <f>[3]人員・時間計画!J13</f>
        <v>1158</v>
      </c>
      <c r="N906" s="214">
        <f>[3]人員・時間計画!K13</f>
        <v>1151</v>
      </c>
      <c r="O906" s="214">
        <f>[3]人員・時間計画!L13</f>
        <v>1194</v>
      </c>
      <c r="P906" s="214">
        <f>[3]人員・時間計画!M13</f>
        <v>1267</v>
      </c>
      <c r="Q906" s="214">
        <f>[3]人員・時間計画!N13</f>
        <v>1222</v>
      </c>
    </row>
    <row r="907" spans="1:17" ht="14.5" hidden="1" thickBot="1">
      <c r="A907">
        <f>[3]人員・時間計画!$A$5</f>
        <v>1412000081</v>
      </c>
      <c r="B907" t="str">
        <f>[3]人員・時間計画!$B$5</f>
        <v>機器製造3課</v>
      </c>
      <c r="C907" s="185" t="s">
        <v>3</v>
      </c>
      <c r="D907" s="195" t="s">
        <v>196</v>
      </c>
      <c r="E907" s="196"/>
      <c r="F907" s="214">
        <f>[3]人員・時間計画!C14</f>
        <v>1105</v>
      </c>
      <c r="G907" s="214">
        <f>[3]人員・時間計画!D14</f>
        <v>1081</v>
      </c>
      <c r="H907" s="214">
        <f>[3]人員・時間計画!E14</f>
        <v>986</v>
      </c>
      <c r="I907" s="214">
        <f>[3]人員・時間計画!F14</f>
        <v>1104</v>
      </c>
      <c r="J907" s="214">
        <f>[3]人員・時間計画!G14</f>
        <v>1148</v>
      </c>
      <c r="K907" s="214">
        <f>[3]人員・時間計画!H14</f>
        <v>1160</v>
      </c>
      <c r="L907" s="214">
        <f>[3]人員・時間計画!I14</f>
        <v>1157</v>
      </c>
      <c r="M907" s="214">
        <f>[3]人員・時間計画!J14</f>
        <v>1158</v>
      </c>
      <c r="N907" s="214">
        <f>[3]人員・時間計画!K14</f>
        <v>1151</v>
      </c>
      <c r="O907" s="214">
        <f>[3]人員・時間計画!L14</f>
        <v>1194</v>
      </c>
      <c r="P907" s="214">
        <f>[3]人員・時間計画!M14</f>
        <v>1267</v>
      </c>
      <c r="Q907" s="214">
        <f>[3]人員・時間計画!N14</f>
        <v>1222</v>
      </c>
    </row>
    <row r="908" spans="1:17" ht="14.5" hidden="1" thickBot="1">
      <c r="A908">
        <f>[3]人員・時間計画!$A$5</f>
        <v>1412000081</v>
      </c>
      <c r="B908" t="str">
        <f>[3]人員・時間計画!$B$5</f>
        <v>機器製造3課</v>
      </c>
      <c r="D908" s="197"/>
      <c r="E908" s="197"/>
    </row>
    <row r="909" spans="1:17" ht="14.5" hidden="1" thickBot="1">
      <c r="A909">
        <f>[3]人員・時間計画!$A$5</f>
        <v>1412000081</v>
      </c>
      <c r="B909" t="str">
        <f>[3]人員・時間計画!$B$5</f>
        <v>機器製造3課</v>
      </c>
      <c r="C909" s="185" t="s">
        <v>202</v>
      </c>
      <c r="D909" s="185" t="s">
        <v>202</v>
      </c>
      <c r="E909" s="186"/>
    </row>
    <row r="910" spans="1:17" ht="14.5" hidden="1" thickBot="1">
      <c r="A910">
        <f>[3]人員・時間計画!$A$5</f>
        <v>1412000081</v>
      </c>
      <c r="B910" t="str">
        <f>[3]人員・時間計画!$B$5</f>
        <v>機器製造3課</v>
      </c>
      <c r="C910" s="185" t="s">
        <v>202</v>
      </c>
      <c r="D910" s="198" t="s">
        <v>194</v>
      </c>
      <c r="E910" s="199"/>
      <c r="F910" s="214">
        <f>[3]人員・時間計画!C17</f>
        <v>0</v>
      </c>
      <c r="G910" s="214">
        <f>[3]人員・時間計画!D17</f>
        <v>0</v>
      </c>
      <c r="H910" s="214">
        <f>[3]人員・時間計画!E17</f>
        <v>0</v>
      </c>
      <c r="I910" s="214">
        <f>[3]人員・時間計画!F17</f>
        <v>0</v>
      </c>
      <c r="J910" s="214">
        <f>[3]人員・時間計画!G17</f>
        <v>0</v>
      </c>
      <c r="K910" s="214">
        <f>[3]人員・時間計画!H17</f>
        <v>0</v>
      </c>
      <c r="L910" s="214">
        <f>[3]人員・時間計画!I17</f>
        <v>0</v>
      </c>
      <c r="M910" s="214">
        <f>[3]人員・時間計画!J17</f>
        <v>0</v>
      </c>
      <c r="N910" s="214">
        <f>[3]人員・時間計画!K17</f>
        <v>0</v>
      </c>
      <c r="O910" s="214">
        <f>[3]人員・時間計画!L17</f>
        <v>0</v>
      </c>
      <c r="P910" s="214">
        <f>[3]人員・時間計画!M17</f>
        <v>0</v>
      </c>
      <c r="Q910" s="214">
        <f>[3]人員・時間計画!N17</f>
        <v>0</v>
      </c>
    </row>
    <row r="911" spans="1:17" ht="14.5" hidden="1" thickBot="1">
      <c r="A911">
        <f>[3]人員・時間計画!$A$5</f>
        <v>1412000081</v>
      </c>
      <c r="B911" t="str">
        <f>[3]人員・時間計画!$B$5</f>
        <v>機器製造3課</v>
      </c>
      <c r="C911" s="185" t="s">
        <v>202</v>
      </c>
      <c r="D911" s="200"/>
      <c r="E911" s="190" t="s">
        <v>139</v>
      </c>
      <c r="F911" s="214">
        <f>[3]人員・時間計画!C18</f>
        <v>14280</v>
      </c>
      <c r="G911" s="214">
        <f>[3]人員・時間計画!D18</f>
        <v>13566</v>
      </c>
      <c r="H911" s="214">
        <f>[3]人員・時間計画!E18</f>
        <v>14994</v>
      </c>
      <c r="I911" s="214">
        <f>[3]人員・時間計画!F18</f>
        <v>18181.5</v>
      </c>
      <c r="J911" s="214">
        <f>[3]人員・時間計画!G18</f>
        <v>15810</v>
      </c>
      <c r="K911" s="214">
        <f>[3]人員・時間計画!H18</f>
        <v>15019.5</v>
      </c>
      <c r="L911" s="214">
        <f>[3]人員・時間計画!I18</f>
        <v>18181.5</v>
      </c>
      <c r="M911" s="214">
        <f>[3]人員・時間計画!J18</f>
        <v>15810</v>
      </c>
      <c r="N911" s="214">
        <f>[3]人員・時間計画!K18</f>
        <v>17391</v>
      </c>
      <c r="O911" s="214">
        <f>[3]人員・時間計画!L18</f>
        <v>17340</v>
      </c>
      <c r="P911" s="214">
        <f>[3]人員・時間計画!M18</f>
        <v>13005</v>
      </c>
      <c r="Q911" s="214">
        <f>[3]人員・時間計画!N18</f>
        <v>17340</v>
      </c>
    </row>
    <row r="912" spans="1:17" ht="14.5" thickBot="1">
      <c r="A912">
        <f>[3]人員・時間計画!$A$5</f>
        <v>1412000081</v>
      </c>
      <c r="B912" t="str">
        <f>[3]人員・時間計画!$B$5</f>
        <v>機器製造3課</v>
      </c>
      <c r="C912" s="185" t="s">
        <v>202</v>
      </c>
      <c r="D912" s="201" t="s">
        <v>195</v>
      </c>
      <c r="E912" s="192" t="s">
        <v>140</v>
      </c>
      <c r="F912" s="214">
        <f>[3]人員・時間計画!C19</f>
        <v>176298</v>
      </c>
      <c r="G912" s="214">
        <f>[3]人員・時間計画!D19</f>
        <v>163102.5</v>
      </c>
      <c r="H912" s="214">
        <f>[3]人員・時間計画!E19</f>
        <v>163526.5</v>
      </c>
      <c r="I912" s="214">
        <f>[3]人員・時間計画!F19</f>
        <v>200249</v>
      </c>
      <c r="J912" s="214">
        <f>[3]人員・時間計画!G19</f>
        <v>181900</v>
      </c>
      <c r="K912" s="214">
        <f>[3]人員・時間計画!H19</f>
        <v>174133</v>
      </c>
      <c r="L912" s="214">
        <f>[3]人員・時間計画!I19</f>
        <v>218387</v>
      </c>
      <c r="M912" s="214">
        <f>[3]人員・時間計画!J19</f>
        <v>183337</v>
      </c>
      <c r="N912" s="214">
        <f>[3]人員・時間計画!K19</f>
        <v>199980</v>
      </c>
      <c r="O912" s="214">
        <f>[3]人員・時間計画!L19</f>
        <v>187806</v>
      </c>
      <c r="P912" s="214">
        <f>[3]人員・時間計画!M19</f>
        <v>149423.5</v>
      </c>
      <c r="Q912" s="214">
        <f>[3]人員・時間計画!N19</f>
        <v>211381</v>
      </c>
    </row>
    <row r="913" spans="1:17" ht="14.5" hidden="1" thickBot="1">
      <c r="A913">
        <f>[3]人員・時間計画!$A$5</f>
        <v>1412000081</v>
      </c>
      <c r="B913" t="str">
        <f>[3]人員・時間計画!$B$5</f>
        <v>機器製造3課</v>
      </c>
      <c r="C913" s="185" t="s">
        <v>202</v>
      </c>
      <c r="D913" s="202"/>
      <c r="E913" s="203" t="s">
        <v>138</v>
      </c>
      <c r="F913" s="214">
        <f>[3]人員・時間計画!C20</f>
        <v>190578</v>
      </c>
      <c r="G913" s="214">
        <f>[3]人員・時間計画!D20</f>
        <v>176668.5</v>
      </c>
      <c r="H913" s="214">
        <f>[3]人員・時間計画!E20</f>
        <v>178520.5</v>
      </c>
      <c r="I913" s="214">
        <f>[3]人員・時間計画!F20</f>
        <v>218430.5</v>
      </c>
      <c r="J913" s="214">
        <f>[3]人員・時間計画!G20</f>
        <v>197710</v>
      </c>
      <c r="K913" s="214">
        <f>[3]人員・時間計画!H20</f>
        <v>189152.5</v>
      </c>
      <c r="L913" s="214">
        <f>[3]人員・時間計画!I20</f>
        <v>236568.5</v>
      </c>
      <c r="M913" s="214">
        <f>[3]人員・時間計画!J20</f>
        <v>199147</v>
      </c>
      <c r="N913" s="214">
        <f>[3]人員・時間計画!K20</f>
        <v>217371</v>
      </c>
      <c r="O913" s="214">
        <f>[3]人員・時間計画!L20</f>
        <v>205146</v>
      </c>
      <c r="P913" s="214">
        <f>[3]人員・時間計画!M20</f>
        <v>162428.5</v>
      </c>
      <c r="Q913" s="214">
        <f>[3]人員・時間計画!N20</f>
        <v>228721</v>
      </c>
    </row>
    <row r="914" spans="1:17" ht="14.5" hidden="1" thickBot="1">
      <c r="A914">
        <f>[3]人員・時間計画!$A$5</f>
        <v>1412000081</v>
      </c>
      <c r="B914" t="str">
        <f>[3]人員・時間計画!$B$5</f>
        <v>機器製造3課</v>
      </c>
      <c r="C914" s="185" t="s">
        <v>202</v>
      </c>
      <c r="D914" s="204" t="s">
        <v>215</v>
      </c>
      <c r="E914" s="205"/>
      <c r="F914" s="214">
        <f>[3]人員・時間計画!C21</f>
        <v>190578</v>
      </c>
      <c r="G914" s="214">
        <f>[3]人員・時間計画!D21</f>
        <v>176668.5</v>
      </c>
      <c r="H914" s="214">
        <f>[3]人員・時間計画!E21</f>
        <v>178520.5</v>
      </c>
      <c r="I914" s="214">
        <f>[3]人員・時間計画!F21</f>
        <v>218430.5</v>
      </c>
      <c r="J914" s="214">
        <f>[3]人員・時間計画!G21</f>
        <v>197710</v>
      </c>
      <c r="K914" s="214">
        <f>[3]人員・時間計画!H21</f>
        <v>189152.5</v>
      </c>
      <c r="L914" s="214">
        <f>[3]人員・時間計画!I21</f>
        <v>236568.5</v>
      </c>
      <c r="M914" s="214">
        <f>[3]人員・時間計画!J21</f>
        <v>199147</v>
      </c>
      <c r="N914" s="214">
        <f>[3]人員・時間計画!K21</f>
        <v>217371</v>
      </c>
      <c r="O914" s="214">
        <f>[3]人員・時間計画!L21</f>
        <v>205146</v>
      </c>
      <c r="P914" s="214">
        <f>[3]人員・時間計画!M21</f>
        <v>162428.5</v>
      </c>
      <c r="Q914" s="214">
        <f>[3]人員・時間計画!N21</f>
        <v>228721</v>
      </c>
    </row>
    <row r="915" spans="1:17" ht="14.5" hidden="1" thickBot="1">
      <c r="A915">
        <f>[3]人員・時間計画!$A$5</f>
        <v>1412000081</v>
      </c>
      <c r="B915" t="str">
        <f>[3]人員・時間計画!$B$5</f>
        <v>機器製造3課</v>
      </c>
      <c r="D915" s="197"/>
      <c r="E915" s="197"/>
    </row>
    <row r="916" spans="1:17" ht="14.5" hidden="1" thickBot="1">
      <c r="A916">
        <f>[3]人員・時間計画!$A$5</f>
        <v>1412000081</v>
      </c>
      <c r="B916" t="str">
        <f>[3]人員・時間計画!$B$5</f>
        <v>機器製造3課</v>
      </c>
      <c r="C916" s="185" t="s">
        <v>71</v>
      </c>
      <c r="D916" s="185" t="s">
        <v>71</v>
      </c>
      <c r="E916" s="186"/>
    </row>
    <row r="917" spans="1:17" ht="14.5" hidden="1" thickBot="1">
      <c r="A917">
        <f>[3]人員・時間計画!$A$5</f>
        <v>1412000081</v>
      </c>
      <c r="B917" t="str">
        <f>[3]人員・時間計画!$B$5</f>
        <v>機器製造3課</v>
      </c>
      <c r="C917" s="185" t="s">
        <v>71</v>
      </c>
      <c r="D917" s="198" t="s">
        <v>194</v>
      </c>
      <c r="E917" s="199"/>
      <c r="F917" s="214">
        <f>[3]人員・時間計画!C24</f>
        <v>0</v>
      </c>
      <c r="G917" s="214">
        <f>[3]人員・時間計画!D24</f>
        <v>0</v>
      </c>
      <c r="H917" s="214">
        <f>[3]人員・時間計画!E24</f>
        <v>0</v>
      </c>
      <c r="I917" s="214">
        <f>[3]人員・時間計画!F24</f>
        <v>0</v>
      </c>
      <c r="J917" s="214">
        <f>[3]人員・時間計画!G24</f>
        <v>0</v>
      </c>
      <c r="K917" s="214">
        <f>[3]人員・時間計画!H24</f>
        <v>0</v>
      </c>
      <c r="L917" s="214">
        <f>[3]人員・時間計画!I24</f>
        <v>0</v>
      </c>
      <c r="M917" s="214">
        <f>[3]人員・時間計画!J24</f>
        <v>0</v>
      </c>
      <c r="N917" s="214">
        <f>[3]人員・時間計画!K24</f>
        <v>0</v>
      </c>
      <c r="O917" s="214">
        <f>[3]人員・時間計画!L24</f>
        <v>0</v>
      </c>
      <c r="P917" s="214">
        <f>[3]人員・時間計画!M24</f>
        <v>0</v>
      </c>
      <c r="Q917" s="214">
        <f>[3]人員・時間計画!N24</f>
        <v>0</v>
      </c>
    </row>
    <row r="918" spans="1:17" ht="14.5" hidden="1" thickBot="1">
      <c r="A918">
        <f>[3]人員・時間計画!$A$5</f>
        <v>1412000081</v>
      </c>
      <c r="B918" t="str">
        <f>[3]人員・時間計画!$B$5</f>
        <v>機器製造3課</v>
      </c>
      <c r="C918" s="185" t="s">
        <v>71</v>
      </c>
      <c r="D918" s="200"/>
      <c r="E918" s="206" t="s">
        <v>139</v>
      </c>
      <c r="F918" s="214">
        <f>[3]人員・時間計画!C25</f>
        <v>143</v>
      </c>
      <c r="G918" s="214">
        <f>[3]人員・時間計画!D25</f>
        <v>137</v>
      </c>
      <c r="H918" s="214">
        <f>[3]人員・時間計画!E25</f>
        <v>149</v>
      </c>
      <c r="I918" s="214">
        <f>[3]人員・時間計画!F25</f>
        <v>161</v>
      </c>
      <c r="J918" s="214">
        <f>[3]人員・時間計画!G25</f>
        <v>427</v>
      </c>
      <c r="K918" s="214">
        <f>[3]人員・時間計画!H25</f>
        <v>1095</v>
      </c>
      <c r="L918" s="214">
        <f>[3]人員・時間計画!I25</f>
        <v>258</v>
      </c>
      <c r="M918" s="214">
        <f>[3]人員・時間計画!J25</f>
        <v>529</v>
      </c>
      <c r="N918" s="214">
        <f>[3]人員・時間計画!K25</f>
        <v>745</v>
      </c>
      <c r="O918" s="214">
        <f>[3]人員・時間計画!L25</f>
        <v>1013</v>
      </c>
      <c r="P918" s="214">
        <f>[3]人員・時間計画!M25</f>
        <v>1952</v>
      </c>
      <c r="Q918" s="214">
        <f>[3]人員・時間計画!N25</f>
        <v>1669</v>
      </c>
    </row>
    <row r="919" spans="1:17" ht="14.5" thickBot="1">
      <c r="A919">
        <f>[3]人員・時間計画!$A$5</f>
        <v>1412000081</v>
      </c>
      <c r="B919" t="str">
        <f>[3]人員・時間計画!$B$5</f>
        <v>機器製造3課</v>
      </c>
      <c r="C919" s="185" t="s">
        <v>71</v>
      </c>
      <c r="D919" s="201" t="s">
        <v>195</v>
      </c>
      <c r="E919" s="207" t="s">
        <v>140</v>
      </c>
      <c r="F919" s="214">
        <f>[3]人員・時間計画!C26</f>
        <v>391</v>
      </c>
      <c r="G919" s="214">
        <f>[3]人員・時間計画!D26</f>
        <v>391</v>
      </c>
      <c r="H919" s="214">
        <f>[3]人員・時間計画!E26</f>
        <v>391</v>
      </c>
      <c r="I919" s="214">
        <f>[3]人員・時間計画!F26</f>
        <v>690</v>
      </c>
      <c r="J919" s="214">
        <f>[3]人員・時間計画!G26</f>
        <v>5273</v>
      </c>
      <c r="K919" s="214">
        <f>[3]人員・時間計画!H26</f>
        <v>16775</v>
      </c>
      <c r="L919" s="214">
        <f>[3]人員・時間計画!I26</f>
        <v>2817</v>
      </c>
      <c r="M919" s="214">
        <f>[3]人員・時間計画!J26</f>
        <v>7150</v>
      </c>
      <c r="N919" s="214">
        <f>[3]人員・時間計画!K26</f>
        <v>11318</v>
      </c>
      <c r="O919" s="214">
        <f>[3]人員・時間計画!L26</f>
        <v>15487</v>
      </c>
      <c r="P919" s="214">
        <f>[3]人員・時間計画!M26</f>
        <v>31974</v>
      </c>
      <c r="Q919" s="214">
        <f>[3]人員・時間計画!N26</f>
        <v>26021</v>
      </c>
    </row>
    <row r="920" spans="1:17" ht="14.5" hidden="1" thickBot="1">
      <c r="A920">
        <f>[3]人員・時間計画!$A$5</f>
        <v>1412000081</v>
      </c>
      <c r="B920" t="str">
        <f>[3]人員・時間計画!$B$5</f>
        <v>機器製造3課</v>
      </c>
      <c r="C920" s="185" t="s">
        <v>71</v>
      </c>
      <c r="D920" s="202"/>
      <c r="E920" s="203" t="s">
        <v>138</v>
      </c>
      <c r="F920" s="214">
        <f>[3]人員・時間計画!C27</f>
        <v>534</v>
      </c>
      <c r="G920" s="214">
        <f>[3]人員・時間計画!D27</f>
        <v>528</v>
      </c>
      <c r="H920" s="214">
        <f>[3]人員・時間計画!E27</f>
        <v>540</v>
      </c>
      <c r="I920" s="214">
        <f>[3]人員・時間計画!F27</f>
        <v>851</v>
      </c>
      <c r="J920" s="214">
        <f>[3]人員・時間計画!G27</f>
        <v>5700</v>
      </c>
      <c r="K920" s="214">
        <f>[3]人員・時間計画!H27</f>
        <v>17870</v>
      </c>
      <c r="L920" s="214">
        <f>[3]人員・時間計画!I27</f>
        <v>3075</v>
      </c>
      <c r="M920" s="214">
        <f>[3]人員・時間計画!J27</f>
        <v>7679</v>
      </c>
      <c r="N920" s="214">
        <f>[3]人員・時間計画!K27</f>
        <v>12063</v>
      </c>
      <c r="O920" s="214">
        <f>[3]人員・時間計画!L27</f>
        <v>16500</v>
      </c>
      <c r="P920" s="214">
        <f>[3]人員・時間計画!M27</f>
        <v>33926</v>
      </c>
      <c r="Q920" s="214">
        <f>[3]人員・時間計画!N27</f>
        <v>27690</v>
      </c>
    </row>
    <row r="921" spans="1:17" ht="14.5" hidden="1" thickBot="1">
      <c r="A921">
        <f>[3]人員・時間計画!$A$5</f>
        <v>1412000081</v>
      </c>
      <c r="B921" t="str">
        <f>[3]人員・時間計画!$B$5</f>
        <v>機器製造3課</v>
      </c>
      <c r="C921" s="185" t="s">
        <v>71</v>
      </c>
      <c r="D921" s="204" t="s">
        <v>216</v>
      </c>
      <c r="E921" s="205"/>
      <c r="F921" s="214">
        <f>[3]人員・時間計画!C28</f>
        <v>534</v>
      </c>
      <c r="G921" s="214">
        <f>[3]人員・時間計画!D28</f>
        <v>528</v>
      </c>
      <c r="H921" s="214">
        <f>[3]人員・時間計画!E28</f>
        <v>540</v>
      </c>
      <c r="I921" s="214">
        <f>[3]人員・時間計画!F28</f>
        <v>851</v>
      </c>
      <c r="J921" s="214">
        <f>[3]人員・時間計画!G28</f>
        <v>5700</v>
      </c>
      <c r="K921" s="214">
        <f>[3]人員・時間計画!H28</f>
        <v>17870</v>
      </c>
      <c r="L921" s="214">
        <f>[3]人員・時間計画!I28</f>
        <v>3075</v>
      </c>
      <c r="M921" s="214">
        <f>[3]人員・時間計画!J28</f>
        <v>7679</v>
      </c>
      <c r="N921" s="214">
        <f>[3]人員・時間計画!K28</f>
        <v>12063</v>
      </c>
      <c r="O921" s="214">
        <f>[3]人員・時間計画!L28</f>
        <v>16500</v>
      </c>
      <c r="P921" s="214">
        <f>[3]人員・時間計画!M28</f>
        <v>33926</v>
      </c>
      <c r="Q921" s="214">
        <f>[3]人員・時間計画!N28</f>
        <v>27690</v>
      </c>
    </row>
    <row r="922" spans="1:17" ht="14.5" hidden="1" thickBot="1">
      <c r="A922">
        <f>[10]人員・時間計画!$A$5</f>
        <v>1412000083</v>
      </c>
      <c r="B922" t="str">
        <f>[10]人員・時間計画!$B$5</f>
        <v>MD3課</v>
      </c>
      <c r="C922" s="185" t="s">
        <v>3</v>
      </c>
      <c r="D922" s="185" t="s">
        <v>3</v>
      </c>
      <c r="E922" s="186"/>
    </row>
    <row r="923" spans="1:17" ht="14.5" hidden="1" thickBot="1">
      <c r="A923">
        <f>[10]人員・時間計画!$A$5</f>
        <v>1412000083</v>
      </c>
      <c r="B923" t="str">
        <f>[10]人員・時間計画!$B$5</f>
        <v>MD3課</v>
      </c>
      <c r="C923" s="185" t="s">
        <v>3</v>
      </c>
      <c r="D923" s="187" t="s">
        <v>194</v>
      </c>
      <c r="E923" s="188"/>
      <c r="F923" s="214">
        <f>[10]人員・時間計画!C10</f>
        <v>1</v>
      </c>
      <c r="G923" s="214">
        <f>[10]人員・時間計画!D10</f>
        <v>1</v>
      </c>
      <c r="H923" s="214">
        <f>[10]人員・時間計画!E10</f>
        <v>1</v>
      </c>
      <c r="I923" s="214">
        <f>[10]人員・時間計画!F10</f>
        <v>1</v>
      </c>
      <c r="J923" s="214">
        <f>[10]人員・時間計画!G10</f>
        <v>1</v>
      </c>
      <c r="K923" s="214">
        <f>[10]人員・時間計画!H10</f>
        <v>1</v>
      </c>
      <c r="L923" s="214">
        <f>[10]人員・時間計画!I10</f>
        <v>1</v>
      </c>
      <c r="M923" s="214">
        <f>[10]人員・時間計画!J10</f>
        <v>1</v>
      </c>
      <c r="N923" s="214">
        <f>[10]人員・時間計画!K10</f>
        <v>1</v>
      </c>
      <c r="O923" s="214">
        <f>[10]人員・時間計画!L10</f>
        <v>1</v>
      </c>
      <c r="P923" s="214">
        <f>[10]人員・時間計画!M10</f>
        <v>1</v>
      </c>
      <c r="Q923" s="214">
        <f>[10]人員・時間計画!N10</f>
        <v>1</v>
      </c>
    </row>
    <row r="924" spans="1:17" ht="14.5" hidden="1" thickBot="1">
      <c r="A924">
        <f>[10]人員・時間計画!$A$5</f>
        <v>1412000083</v>
      </c>
      <c r="B924" t="str">
        <f>[10]人員・時間計画!$B$5</f>
        <v>MD3課</v>
      </c>
      <c r="C924" s="185" t="s">
        <v>3</v>
      </c>
      <c r="D924" s="189"/>
      <c r="E924" s="190" t="s">
        <v>139</v>
      </c>
      <c r="F924" s="214">
        <f>[10]人員・時間計画!C11</f>
        <v>11</v>
      </c>
      <c r="G924" s="214">
        <f>[10]人員・時間計画!D11</f>
        <v>11</v>
      </c>
      <c r="H924" s="214">
        <f>[10]人員・時間計画!E11</f>
        <v>11</v>
      </c>
      <c r="I924" s="214">
        <f>[10]人員・時間計画!F11</f>
        <v>11</v>
      </c>
      <c r="J924" s="214">
        <f>[10]人員・時間計画!G11</f>
        <v>11</v>
      </c>
      <c r="K924" s="214">
        <f>[10]人員・時間計画!H11</f>
        <v>11</v>
      </c>
      <c r="L924" s="214">
        <f>[10]人員・時間計画!I11</f>
        <v>11</v>
      </c>
      <c r="M924" s="214">
        <f>[10]人員・時間計画!J11</f>
        <v>11</v>
      </c>
      <c r="N924" s="214">
        <f>[10]人員・時間計画!K11</f>
        <v>11</v>
      </c>
      <c r="O924" s="214">
        <f>[10]人員・時間計画!L11</f>
        <v>11</v>
      </c>
      <c r="P924" s="214">
        <f>[10]人員・時間計画!M11</f>
        <v>11</v>
      </c>
      <c r="Q924" s="214">
        <f>[10]人員・時間計画!N11</f>
        <v>11</v>
      </c>
    </row>
    <row r="925" spans="1:17" ht="14.5" thickBot="1">
      <c r="A925">
        <f>[10]人員・時間計画!$A$5</f>
        <v>1412000083</v>
      </c>
      <c r="B925" t="str">
        <f>[10]人員・時間計画!$B$5</f>
        <v>MD3課</v>
      </c>
      <c r="C925" s="185" t="s">
        <v>3</v>
      </c>
      <c r="D925" s="191" t="s">
        <v>195</v>
      </c>
      <c r="E925" s="192" t="s">
        <v>140</v>
      </c>
      <c r="F925" s="214">
        <f>[10]人員・時間計画!C12</f>
        <v>0</v>
      </c>
      <c r="G925" s="214">
        <f>[10]人員・時間計画!D12</f>
        <v>0</v>
      </c>
      <c r="H925" s="214">
        <f>[10]人員・時間計画!E12</f>
        <v>0</v>
      </c>
      <c r="I925" s="214">
        <f>[10]人員・時間計画!F12</f>
        <v>0</v>
      </c>
      <c r="J925" s="214">
        <f>[10]人員・時間計画!G12</f>
        <v>0</v>
      </c>
      <c r="K925" s="214">
        <f>[10]人員・時間計画!H12</f>
        <v>0</v>
      </c>
      <c r="L925" s="214">
        <f>[10]人員・時間計画!I12</f>
        <v>0</v>
      </c>
      <c r="M925" s="214">
        <f>[10]人員・時間計画!J12</f>
        <v>0</v>
      </c>
      <c r="N925" s="214">
        <f>[10]人員・時間計画!K12</f>
        <v>0</v>
      </c>
      <c r="O925" s="214">
        <f>[10]人員・時間計画!L12</f>
        <v>0</v>
      </c>
      <c r="P925" s="214">
        <f>[10]人員・時間計画!M12</f>
        <v>0</v>
      </c>
      <c r="Q925" s="214">
        <f>[10]人員・時間計画!N12</f>
        <v>0</v>
      </c>
    </row>
    <row r="926" spans="1:17" ht="14.5" hidden="1" thickBot="1">
      <c r="A926">
        <f>[10]人員・時間計画!$A$5</f>
        <v>1412000083</v>
      </c>
      <c r="B926" t="str">
        <f>[10]人員・時間計画!$B$5</f>
        <v>MD3課</v>
      </c>
      <c r="C926" s="185" t="s">
        <v>3</v>
      </c>
      <c r="D926" s="193"/>
      <c r="E926" s="194" t="s">
        <v>138</v>
      </c>
      <c r="F926" s="214">
        <f>[10]人員・時間計画!C13</f>
        <v>11</v>
      </c>
      <c r="G926" s="214">
        <f>[10]人員・時間計画!D13</f>
        <v>11</v>
      </c>
      <c r="H926" s="214">
        <f>[10]人員・時間計画!E13</f>
        <v>11</v>
      </c>
      <c r="I926" s="214">
        <f>[10]人員・時間計画!F13</f>
        <v>11</v>
      </c>
      <c r="J926" s="214">
        <f>[10]人員・時間計画!G13</f>
        <v>11</v>
      </c>
      <c r="K926" s="214">
        <f>[10]人員・時間計画!H13</f>
        <v>11</v>
      </c>
      <c r="L926" s="214">
        <f>[10]人員・時間計画!I13</f>
        <v>11</v>
      </c>
      <c r="M926" s="214">
        <f>[10]人員・時間計画!J13</f>
        <v>11</v>
      </c>
      <c r="N926" s="214">
        <f>[10]人員・時間計画!K13</f>
        <v>11</v>
      </c>
      <c r="O926" s="214">
        <f>[10]人員・時間計画!L13</f>
        <v>11</v>
      </c>
      <c r="P926" s="214">
        <f>[10]人員・時間計画!M13</f>
        <v>11</v>
      </c>
      <c r="Q926" s="214">
        <f>[10]人員・時間計画!N13</f>
        <v>11</v>
      </c>
    </row>
    <row r="927" spans="1:17" ht="14.5" hidden="1" thickBot="1">
      <c r="A927">
        <f>[10]人員・時間計画!$A$5</f>
        <v>1412000083</v>
      </c>
      <c r="B927" t="str">
        <f>[10]人員・時間計画!$B$5</f>
        <v>MD3課</v>
      </c>
      <c r="C927" s="185" t="s">
        <v>3</v>
      </c>
      <c r="D927" s="195" t="s">
        <v>196</v>
      </c>
      <c r="E927" s="196"/>
      <c r="F927" s="214">
        <f>[10]人員・時間計画!C14</f>
        <v>12</v>
      </c>
      <c r="G927" s="214">
        <f>[10]人員・時間計画!D14</f>
        <v>12</v>
      </c>
      <c r="H927" s="214">
        <f>[10]人員・時間計画!E14</f>
        <v>12</v>
      </c>
      <c r="I927" s="214">
        <f>[10]人員・時間計画!F14</f>
        <v>12</v>
      </c>
      <c r="J927" s="214">
        <f>[10]人員・時間計画!G14</f>
        <v>12</v>
      </c>
      <c r="K927" s="214">
        <f>[10]人員・時間計画!H14</f>
        <v>12</v>
      </c>
      <c r="L927" s="214">
        <f>[10]人員・時間計画!I14</f>
        <v>12</v>
      </c>
      <c r="M927" s="214">
        <f>[10]人員・時間計画!J14</f>
        <v>12</v>
      </c>
      <c r="N927" s="214">
        <f>[10]人員・時間計画!K14</f>
        <v>12</v>
      </c>
      <c r="O927" s="214">
        <f>[10]人員・時間計画!L14</f>
        <v>12</v>
      </c>
      <c r="P927" s="214">
        <f>[10]人員・時間計画!M14</f>
        <v>12</v>
      </c>
      <c r="Q927" s="214">
        <f>[10]人員・時間計画!N14</f>
        <v>12</v>
      </c>
    </row>
    <row r="928" spans="1:17" ht="14.5" hidden="1" thickBot="1">
      <c r="A928">
        <f>[10]人員・時間計画!$A$5</f>
        <v>1412000083</v>
      </c>
      <c r="B928" t="str">
        <f>[10]人員・時間計画!$B$5</f>
        <v>MD3課</v>
      </c>
      <c r="D928" s="197"/>
      <c r="E928" s="197"/>
    </row>
    <row r="929" spans="1:17" ht="14.5" hidden="1" thickBot="1">
      <c r="A929">
        <f>[10]人員・時間計画!$A$5</f>
        <v>1412000083</v>
      </c>
      <c r="B929" t="str">
        <f>[10]人員・時間計画!$B$5</f>
        <v>MD3課</v>
      </c>
      <c r="C929" s="185" t="s">
        <v>202</v>
      </c>
      <c r="D929" s="185" t="s">
        <v>202</v>
      </c>
      <c r="E929" s="186"/>
    </row>
    <row r="930" spans="1:17" ht="14.5" hidden="1" thickBot="1">
      <c r="A930">
        <f>[10]人員・時間計画!$A$5</f>
        <v>1412000083</v>
      </c>
      <c r="B930" t="str">
        <f>[10]人員・時間計画!$B$5</f>
        <v>MD3課</v>
      </c>
      <c r="C930" s="185" t="s">
        <v>202</v>
      </c>
      <c r="D930" s="198" t="s">
        <v>194</v>
      </c>
      <c r="E930" s="199"/>
      <c r="F930" s="214">
        <f>[10]人員・時間計画!C17</f>
        <v>161.5</v>
      </c>
      <c r="G930" s="214">
        <f>[10]人員・時間計画!D17</f>
        <v>153</v>
      </c>
      <c r="H930" s="214">
        <f>[10]人員・時間計画!E17</f>
        <v>170</v>
      </c>
      <c r="I930" s="214">
        <f>[10]人員・時間計画!F17</f>
        <v>187</v>
      </c>
      <c r="J930" s="214">
        <f>[10]人員・時間計画!G17</f>
        <v>161.5</v>
      </c>
      <c r="K930" s="214">
        <f>[10]人員・時間計画!H17</f>
        <v>153</v>
      </c>
      <c r="L930" s="214">
        <f>[10]人員・時間計画!I17</f>
        <v>187</v>
      </c>
      <c r="M930" s="214">
        <f>[10]人員・時間計画!J17</f>
        <v>170</v>
      </c>
      <c r="N930" s="214">
        <f>[10]人員・時間計画!K17</f>
        <v>187</v>
      </c>
      <c r="O930" s="214">
        <f>[10]人員・時間計画!L17</f>
        <v>170</v>
      </c>
      <c r="P930" s="214">
        <f>[10]人員・時間計画!M17</f>
        <v>127.5</v>
      </c>
      <c r="Q930" s="214">
        <f>[10]人員・時間計画!N17</f>
        <v>170</v>
      </c>
    </row>
    <row r="931" spans="1:17" ht="14.5" hidden="1" thickBot="1">
      <c r="A931">
        <f>[10]人員・時間計画!$A$5</f>
        <v>1412000083</v>
      </c>
      <c r="B931" t="str">
        <f>[10]人員・時間計画!$B$5</f>
        <v>MD3課</v>
      </c>
      <c r="C931" s="185" t="s">
        <v>202</v>
      </c>
      <c r="D931" s="200"/>
      <c r="E931" s="190" t="s">
        <v>139</v>
      </c>
      <c r="F931" s="214">
        <f>[10]人員・時間計画!C18</f>
        <v>1836</v>
      </c>
      <c r="G931" s="214">
        <f>[10]人員・時間計画!D18</f>
        <v>1700</v>
      </c>
      <c r="H931" s="214">
        <f>[10]人員・時間計画!E18</f>
        <v>1887</v>
      </c>
      <c r="I931" s="214">
        <f>[10]人員・時間計画!F18</f>
        <v>2074</v>
      </c>
      <c r="J931" s="214">
        <f>[10]人員・時間計画!G18</f>
        <v>1793.5</v>
      </c>
      <c r="K931" s="214">
        <f>[10]人員・時間計画!H18</f>
        <v>1700</v>
      </c>
      <c r="L931" s="214">
        <f>[10]人員・時間計画!I18</f>
        <v>2074</v>
      </c>
      <c r="M931" s="214">
        <f>[10]人員・時間計画!J18</f>
        <v>1793.5</v>
      </c>
      <c r="N931" s="214">
        <f>[10]人員・時間計画!K18</f>
        <v>1980.5</v>
      </c>
      <c r="O931" s="214">
        <f>[10]人員・時間計画!L18</f>
        <v>1793.5</v>
      </c>
      <c r="P931" s="214">
        <f>[10]人員・時間計画!M18</f>
        <v>1326</v>
      </c>
      <c r="Q931" s="214">
        <f>[10]人員・時間計画!N18</f>
        <v>1793.5</v>
      </c>
    </row>
    <row r="932" spans="1:17" ht="14.5" thickBot="1">
      <c r="A932">
        <f>[10]人員・時間計画!$A$5</f>
        <v>1412000083</v>
      </c>
      <c r="B932" t="str">
        <f>[10]人員・時間計画!$B$5</f>
        <v>MD3課</v>
      </c>
      <c r="C932" s="185" t="s">
        <v>202</v>
      </c>
      <c r="D932" s="201" t="s">
        <v>195</v>
      </c>
      <c r="E932" s="192" t="s">
        <v>140</v>
      </c>
      <c r="F932" s="214">
        <f>[10]人員・時間計画!C19</f>
        <v>0</v>
      </c>
      <c r="G932" s="214">
        <f>[10]人員・時間計画!D19</f>
        <v>0</v>
      </c>
      <c r="H932" s="214">
        <f>[10]人員・時間計画!E19</f>
        <v>0</v>
      </c>
      <c r="I932" s="214">
        <f>[10]人員・時間計画!F19</f>
        <v>0</v>
      </c>
      <c r="J932" s="214">
        <f>[10]人員・時間計画!G19</f>
        <v>0</v>
      </c>
      <c r="K932" s="214">
        <f>[10]人員・時間計画!H19</f>
        <v>0</v>
      </c>
      <c r="L932" s="214">
        <f>[10]人員・時間計画!I19</f>
        <v>0</v>
      </c>
      <c r="M932" s="214">
        <f>[10]人員・時間計画!J19</f>
        <v>0</v>
      </c>
      <c r="N932" s="214">
        <f>[10]人員・時間計画!K19</f>
        <v>0</v>
      </c>
      <c r="O932" s="214">
        <f>[10]人員・時間計画!L19</f>
        <v>0</v>
      </c>
      <c r="P932" s="214">
        <f>[10]人員・時間計画!M19</f>
        <v>0</v>
      </c>
      <c r="Q932" s="214">
        <f>[10]人員・時間計画!N19</f>
        <v>0</v>
      </c>
    </row>
    <row r="933" spans="1:17" ht="14.5" hidden="1" thickBot="1">
      <c r="A933">
        <f>[10]人員・時間計画!$A$5</f>
        <v>1412000083</v>
      </c>
      <c r="B933" t="str">
        <f>[10]人員・時間計画!$B$5</f>
        <v>MD3課</v>
      </c>
      <c r="C933" s="185" t="s">
        <v>202</v>
      </c>
      <c r="D933" s="202"/>
      <c r="E933" s="203" t="s">
        <v>138</v>
      </c>
      <c r="F933" s="214">
        <f>[10]人員・時間計画!C20</f>
        <v>1836</v>
      </c>
      <c r="G933" s="214">
        <f>[10]人員・時間計画!D20</f>
        <v>1700</v>
      </c>
      <c r="H933" s="214">
        <f>[10]人員・時間計画!E20</f>
        <v>1887</v>
      </c>
      <c r="I933" s="214">
        <f>[10]人員・時間計画!F20</f>
        <v>2074</v>
      </c>
      <c r="J933" s="214">
        <f>[10]人員・時間計画!G20</f>
        <v>1793.5</v>
      </c>
      <c r="K933" s="214">
        <f>[10]人員・時間計画!H20</f>
        <v>1700</v>
      </c>
      <c r="L933" s="214">
        <f>[10]人員・時間計画!I20</f>
        <v>2074</v>
      </c>
      <c r="M933" s="214">
        <f>[10]人員・時間計画!J20</f>
        <v>1793.5</v>
      </c>
      <c r="N933" s="214">
        <f>[10]人員・時間計画!K20</f>
        <v>1980.5</v>
      </c>
      <c r="O933" s="214">
        <f>[10]人員・時間計画!L20</f>
        <v>1793.5</v>
      </c>
      <c r="P933" s="214">
        <f>[10]人員・時間計画!M20</f>
        <v>1326</v>
      </c>
      <c r="Q933" s="214">
        <f>[10]人員・時間計画!N20</f>
        <v>1793.5</v>
      </c>
    </row>
    <row r="934" spans="1:17" ht="14.5" hidden="1" thickBot="1">
      <c r="A934">
        <f>[10]人員・時間計画!$A$5</f>
        <v>1412000083</v>
      </c>
      <c r="B934" t="str">
        <f>[10]人員・時間計画!$B$5</f>
        <v>MD3課</v>
      </c>
      <c r="C934" s="185" t="s">
        <v>202</v>
      </c>
      <c r="D934" s="204" t="s">
        <v>215</v>
      </c>
      <c r="E934" s="205"/>
      <c r="F934" s="214">
        <f>[10]人員・時間計画!C21</f>
        <v>1997.5</v>
      </c>
      <c r="G934" s="214">
        <f>[10]人員・時間計画!D21</f>
        <v>1853</v>
      </c>
      <c r="H934" s="214">
        <f>[10]人員・時間計画!E21</f>
        <v>2057</v>
      </c>
      <c r="I934" s="214">
        <f>[10]人員・時間計画!F21</f>
        <v>2261</v>
      </c>
      <c r="J934" s="214">
        <f>[10]人員・時間計画!G21</f>
        <v>1955</v>
      </c>
      <c r="K934" s="214">
        <f>[10]人員・時間計画!H21</f>
        <v>1853</v>
      </c>
      <c r="L934" s="214">
        <f>[10]人員・時間計画!I21</f>
        <v>2261</v>
      </c>
      <c r="M934" s="214">
        <f>[10]人員・時間計画!J21</f>
        <v>1963.5</v>
      </c>
      <c r="N934" s="214">
        <f>[10]人員・時間計画!K21</f>
        <v>2167.5</v>
      </c>
      <c r="O934" s="214">
        <f>[10]人員・時間計画!L21</f>
        <v>1963.5</v>
      </c>
      <c r="P934" s="214">
        <f>[10]人員・時間計画!M21</f>
        <v>1453.5</v>
      </c>
      <c r="Q934" s="214">
        <f>[10]人員・時間計画!N21</f>
        <v>1963.5</v>
      </c>
    </row>
    <row r="935" spans="1:17" ht="14.5" hidden="1" thickBot="1">
      <c r="A935">
        <f>[10]人員・時間計画!$A$5</f>
        <v>1412000083</v>
      </c>
      <c r="B935" t="str">
        <f>[10]人員・時間計画!$B$5</f>
        <v>MD3課</v>
      </c>
      <c r="D935" s="197"/>
      <c r="E935" s="197"/>
    </row>
    <row r="936" spans="1:17" ht="14.5" hidden="1" thickBot="1">
      <c r="A936">
        <f>[10]人員・時間計画!$A$5</f>
        <v>1412000083</v>
      </c>
      <c r="B936" t="str">
        <f>[10]人員・時間計画!$B$5</f>
        <v>MD3課</v>
      </c>
      <c r="C936" s="185" t="s">
        <v>71</v>
      </c>
      <c r="D936" s="185" t="s">
        <v>71</v>
      </c>
      <c r="E936" s="186"/>
    </row>
    <row r="937" spans="1:17" ht="14.5" hidden="1" thickBot="1">
      <c r="A937">
        <f>[10]人員・時間計画!$A$5</f>
        <v>1412000083</v>
      </c>
      <c r="B937" t="str">
        <f>[10]人員・時間計画!$B$5</f>
        <v>MD3課</v>
      </c>
      <c r="C937" s="185" t="s">
        <v>71</v>
      </c>
      <c r="D937" s="198" t="s">
        <v>194</v>
      </c>
      <c r="E937" s="199"/>
      <c r="F937" s="214">
        <f>[10]人員・時間計画!C24</f>
        <v>38</v>
      </c>
      <c r="G937" s="214">
        <f>[10]人員・時間計画!D24</f>
        <v>36</v>
      </c>
      <c r="H937" s="214">
        <f>[10]人員・時間計画!E24</f>
        <v>40</v>
      </c>
      <c r="I937" s="214">
        <f>[10]人員・時間計画!F24</f>
        <v>44</v>
      </c>
      <c r="J937" s="214">
        <f>[10]人員・時間計画!G24</f>
        <v>38</v>
      </c>
      <c r="K937" s="214">
        <f>[10]人員・時間計画!H24</f>
        <v>36</v>
      </c>
      <c r="L937" s="214">
        <f>[10]人員・時間計画!I24</f>
        <v>44</v>
      </c>
      <c r="M937" s="214">
        <f>[10]人員・時間計画!J24</f>
        <v>40</v>
      </c>
      <c r="N937" s="214">
        <f>[10]人員・時間計画!K24</f>
        <v>44</v>
      </c>
      <c r="O937" s="214">
        <f>[10]人員・時間計画!L24</f>
        <v>40</v>
      </c>
      <c r="P937" s="214">
        <f>[10]人員・時間計画!M24</f>
        <v>30</v>
      </c>
      <c r="Q937" s="214">
        <f>[10]人員・時間計画!N24</f>
        <v>40</v>
      </c>
    </row>
    <row r="938" spans="1:17" ht="14.5" hidden="1" thickBot="1">
      <c r="A938">
        <f>[10]人員・時間計画!$A$5</f>
        <v>1412000083</v>
      </c>
      <c r="B938" t="str">
        <f>[10]人員・時間計画!$B$5</f>
        <v>MD3課</v>
      </c>
      <c r="C938" s="185" t="s">
        <v>71</v>
      </c>
      <c r="D938" s="200"/>
      <c r="E938" s="206" t="s">
        <v>139</v>
      </c>
      <c r="F938" s="214">
        <f>[10]人員・時間計画!C25</f>
        <v>130</v>
      </c>
      <c r="G938" s="214">
        <f>[10]人員・時間計画!D25</f>
        <v>128</v>
      </c>
      <c r="H938" s="214">
        <f>[10]人員・時間計画!E25</f>
        <v>132</v>
      </c>
      <c r="I938" s="214">
        <f>[10]人員・時間計画!F25</f>
        <v>136</v>
      </c>
      <c r="J938" s="214">
        <f>[10]人員・時間計画!G25</f>
        <v>140</v>
      </c>
      <c r="K938" s="214">
        <f>[10]人員・時間計画!H25</f>
        <v>138</v>
      </c>
      <c r="L938" s="214">
        <f>[10]人員・時間計画!I25</f>
        <v>146</v>
      </c>
      <c r="M938" s="214">
        <f>[10]人員・時間計画!J25</f>
        <v>140</v>
      </c>
      <c r="N938" s="214">
        <f>[10]人員・時間計画!K25</f>
        <v>144</v>
      </c>
      <c r="O938" s="214">
        <f>[10]人員・時間計画!L25</f>
        <v>140</v>
      </c>
      <c r="P938" s="214">
        <f>[10]人員・時間計画!M25</f>
        <v>130</v>
      </c>
      <c r="Q938" s="214">
        <f>[10]人員・時間計画!N25</f>
        <v>140</v>
      </c>
    </row>
    <row r="939" spans="1:17" ht="14.5" thickBot="1">
      <c r="A939">
        <f>[10]人員・時間計画!$A$5</f>
        <v>1412000083</v>
      </c>
      <c r="B939" t="str">
        <f>[10]人員・時間計画!$B$5</f>
        <v>MD3課</v>
      </c>
      <c r="C939" s="185" t="s">
        <v>71</v>
      </c>
      <c r="D939" s="201" t="s">
        <v>195</v>
      </c>
      <c r="E939" s="207" t="s">
        <v>140</v>
      </c>
      <c r="F939" s="214">
        <f>[10]人員・時間計画!C26</f>
        <v>0</v>
      </c>
      <c r="G939" s="214">
        <f>[10]人員・時間計画!D26</f>
        <v>0</v>
      </c>
      <c r="H939" s="214">
        <f>[10]人員・時間計画!E26</f>
        <v>0</v>
      </c>
      <c r="I939" s="214">
        <f>[10]人員・時間計画!F26</f>
        <v>0</v>
      </c>
      <c r="J939" s="214">
        <f>[10]人員・時間計画!G26</f>
        <v>0</v>
      </c>
      <c r="K939" s="214">
        <f>[10]人員・時間計画!H26</f>
        <v>0</v>
      </c>
      <c r="L939" s="214">
        <f>[10]人員・時間計画!I26</f>
        <v>0</v>
      </c>
      <c r="M939" s="214">
        <f>[10]人員・時間計画!J26</f>
        <v>0</v>
      </c>
      <c r="N939" s="214">
        <f>[10]人員・時間計画!K26</f>
        <v>0</v>
      </c>
      <c r="O939" s="214">
        <f>[10]人員・時間計画!L26</f>
        <v>0</v>
      </c>
      <c r="P939" s="214">
        <f>[10]人員・時間計画!M26</f>
        <v>0</v>
      </c>
      <c r="Q939" s="214">
        <f>[10]人員・時間計画!N26</f>
        <v>0</v>
      </c>
    </row>
    <row r="940" spans="1:17" ht="14.5" hidden="1" thickBot="1">
      <c r="A940">
        <f>[10]人員・時間計画!$A$5</f>
        <v>1412000083</v>
      </c>
      <c r="B940" t="str">
        <f>[10]人員・時間計画!$B$5</f>
        <v>MD3課</v>
      </c>
      <c r="C940" s="185" t="s">
        <v>71</v>
      </c>
      <c r="D940" s="202"/>
      <c r="E940" s="203" t="s">
        <v>138</v>
      </c>
      <c r="F940" s="214">
        <f>[10]人員・時間計画!C27</f>
        <v>130</v>
      </c>
      <c r="G940" s="214">
        <f>[10]人員・時間計画!D27</f>
        <v>128</v>
      </c>
      <c r="H940" s="214">
        <f>[10]人員・時間計画!E27</f>
        <v>132</v>
      </c>
      <c r="I940" s="214">
        <f>[10]人員・時間計画!F27</f>
        <v>136</v>
      </c>
      <c r="J940" s="214">
        <f>[10]人員・時間計画!G27</f>
        <v>140</v>
      </c>
      <c r="K940" s="214">
        <f>[10]人員・時間計画!H27</f>
        <v>138</v>
      </c>
      <c r="L940" s="214">
        <f>[10]人員・時間計画!I27</f>
        <v>146</v>
      </c>
      <c r="M940" s="214">
        <f>[10]人員・時間計画!J27</f>
        <v>140</v>
      </c>
      <c r="N940" s="214">
        <f>[10]人員・時間計画!K27</f>
        <v>144</v>
      </c>
      <c r="O940" s="214">
        <f>[10]人員・時間計画!L27</f>
        <v>140</v>
      </c>
      <c r="P940" s="214">
        <f>[10]人員・時間計画!M27</f>
        <v>130</v>
      </c>
      <c r="Q940" s="214">
        <f>[10]人員・時間計画!N27</f>
        <v>140</v>
      </c>
    </row>
    <row r="941" spans="1:17" ht="14.5" hidden="1" thickBot="1">
      <c r="A941">
        <f>[10]人員・時間計画!$A$5</f>
        <v>1412000083</v>
      </c>
      <c r="B941" t="str">
        <f>[10]人員・時間計画!$B$5</f>
        <v>MD3課</v>
      </c>
      <c r="C941" s="185" t="s">
        <v>71</v>
      </c>
      <c r="D941" s="204" t="s">
        <v>216</v>
      </c>
      <c r="E941" s="205"/>
      <c r="F941" s="214">
        <f>[10]人員・時間計画!C28</f>
        <v>168</v>
      </c>
      <c r="G941" s="214">
        <f>[10]人員・時間計画!D28</f>
        <v>164</v>
      </c>
      <c r="H941" s="214">
        <f>[10]人員・時間計画!E28</f>
        <v>172</v>
      </c>
      <c r="I941" s="214">
        <f>[10]人員・時間計画!F28</f>
        <v>180</v>
      </c>
      <c r="J941" s="214">
        <f>[10]人員・時間計画!G28</f>
        <v>178</v>
      </c>
      <c r="K941" s="214">
        <f>[10]人員・時間計画!H28</f>
        <v>174</v>
      </c>
      <c r="L941" s="214">
        <f>[10]人員・時間計画!I28</f>
        <v>190</v>
      </c>
      <c r="M941" s="214">
        <f>[10]人員・時間計画!J28</f>
        <v>180</v>
      </c>
      <c r="N941" s="214">
        <f>[10]人員・時間計画!K28</f>
        <v>188</v>
      </c>
      <c r="O941" s="214">
        <f>[10]人員・時間計画!L28</f>
        <v>180</v>
      </c>
      <c r="P941" s="214">
        <f>[10]人員・時間計画!M28</f>
        <v>160</v>
      </c>
      <c r="Q941" s="214">
        <f>[10]人員・時間計画!N28</f>
        <v>180</v>
      </c>
    </row>
    <row r="942" spans="1:17" ht="14.5" hidden="1" thickBot="1">
      <c r="A942">
        <f>[43]人員・時間計画!$A$5</f>
        <v>1412000084</v>
      </c>
      <c r="B942" t="str">
        <f>[43]人員・時間計画!$B$5</f>
        <v>生産技術3課</v>
      </c>
      <c r="C942" s="185" t="s">
        <v>3</v>
      </c>
      <c r="D942" s="185" t="s">
        <v>3</v>
      </c>
      <c r="E942" s="186"/>
    </row>
    <row r="943" spans="1:17" ht="14.5" hidden="1" thickBot="1">
      <c r="A943">
        <f>[43]人員・時間計画!$A$5</f>
        <v>1412000084</v>
      </c>
      <c r="B943" t="str">
        <f>[43]人員・時間計画!$B$5</f>
        <v>生産技術3課</v>
      </c>
      <c r="C943" s="185" t="s">
        <v>3</v>
      </c>
      <c r="D943" s="187" t="s">
        <v>194</v>
      </c>
      <c r="E943" s="188"/>
      <c r="F943" s="214">
        <f>[43]人員・時間計画!C10</f>
        <v>0</v>
      </c>
      <c r="G943" s="214">
        <f>[43]人員・時間計画!D10</f>
        <v>0</v>
      </c>
      <c r="H943" s="214">
        <f>[43]人員・時間計画!E10</f>
        <v>0</v>
      </c>
      <c r="I943" s="214">
        <f>[43]人員・時間計画!F10</f>
        <v>0</v>
      </c>
      <c r="J943" s="214">
        <f>[43]人員・時間計画!G10</f>
        <v>0</v>
      </c>
      <c r="K943" s="214">
        <f>[43]人員・時間計画!H10</f>
        <v>0</v>
      </c>
      <c r="L943" s="214">
        <f>[43]人員・時間計画!I10</f>
        <v>0</v>
      </c>
      <c r="M943" s="214">
        <f>[43]人員・時間計画!J10</f>
        <v>0</v>
      </c>
      <c r="N943" s="214">
        <f>[43]人員・時間計画!K10</f>
        <v>0</v>
      </c>
      <c r="O943" s="214">
        <f>[43]人員・時間計画!L10</f>
        <v>0</v>
      </c>
      <c r="P943" s="214">
        <f>[43]人員・時間計画!M10</f>
        <v>0</v>
      </c>
      <c r="Q943" s="214">
        <f>[43]人員・時間計画!N10</f>
        <v>0</v>
      </c>
    </row>
    <row r="944" spans="1:17" ht="14.5" hidden="1" thickBot="1">
      <c r="A944">
        <f>[43]人員・時間計画!$A$5</f>
        <v>1412000084</v>
      </c>
      <c r="B944" t="str">
        <f>[43]人員・時間計画!$B$5</f>
        <v>生産技術3課</v>
      </c>
      <c r="C944" s="185" t="s">
        <v>3</v>
      </c>
      <c r="D944" s="189"/>
      <c r="E944" s="190" t="s">
        <v>139</v>
      </c>
      <c r="F944" s="214">
        <f>[43]人員・時間計画!C11</f>
        <v>22</v>
      </c>
      <c r="G944" s="214">
        <f>[43]人員・時間計画!D11</f>
        <v>22</v>
      </c>
      <c r="H944" s="214">
        <f>[43]人員・時間計画!E11</f>
        <v>22</v>
      </c>
      <c r="I944" s="214">
        <f>[43]人員・時間計画!F11</f>
        <v>23</v>
      </c>
      <c r="J944" s="214">
        <f>[43]人員・時間計画!G11</f>
        <v>23</v>
      </c>
      <c r="K944" s="214">
        <f>[43]人員・時間計画!H11</f>
        <v>23</v>
      </c>
      <c r="L944" s="214">
        <f>[43]人員・時間計画!I11</f>
        <v>23</v>
      </c>
      <c r="M944" s="214">
        <f>[43]人員・時間計画!J11</f>
        <v>23</v>
      </c>
      <c r="N944" s="214">
        <f>[43]人員・時間計画!K11</f>
        <v>23</v>
      </c>
      <c r="O944" s="214">
        <f>[43]人員・時間計画!L11</f>
        <v>23</v>
      </c>
      <c r="P944" s="214">
        <f>[43]人員・時間計画!M11</f>
        <v>23</v>
      </c>
      <c r="Q944" s="214">
        <f>[43]人員・時間計画!N11</f>
        <v>23</v>
      </c>
    </row>
    <row r="945" spans="1:17" ht="14.5" thickBot="1">
      <c r="A945">
        <f>[43]人員・時間計画!$A$5</f>
        <v>1412000084</v>
      </c>
      <c r="B945" t="str">
        <f>[43]人員・時間計画!$B$5</f>
        <v>生産技術3課</v>
      </c>
      <c r="C945" s="185" t="s">
        <v>3</v>
      </c>
      <c r="D945" s="191" t="s">
        <v>195</v>
      </c>
      <c r="E945" s="192" t="s">
        <v>140</v>
      </c>
      <c r="F945" s="214">
        <f>[43]人員・時間計画!C12</f>
        <v>0</v>
      </c>
      <c r="G945" s="214">
        <f>[43]人員・時間計画!D12</f>
        <v>0</v>
      </c>
      <c r="H945" s="214">
        <f>[43]人員・時間計画!E12</f>
        <v>0</v>
      </c>
      <c r="I945" s="214">
        <f>[43]人員・時間計画!F12</f>
        <v>0</v>
      </c>
      <c r="J945" s="214">
        <f>[43]人員・時間計画!G12</f>
        <v>0</v>
      </c>
      <c r="K945" s="214">
        <f>[43]人員・時間計画!H12</f>
        <v>0</v>
      </c>
      <c r="L945" s="214">
        <f>[43]人員・時間計画!I12</f>
        <v>0</v>
      </c>
      <c r="M945" s="214">
        <f>[43]人員・時間計画!J12</f>
        <v>0</v>
      </c>
      <c r="N945" s="214">
        <f>[43]人員・時間計画!K12</f>
        <v>0</v>
      </c>
      <c r="O945" s="214">
        <f>[43]人員・時間計画!L12</f>
        <v>0</v>
      </c>
      <c r="P945" s="214">
        <f>[43]人員・時間計画!M12</f>
        <v>0</v>
      </c>
      <c r="Q945" s="214">
        <f>[43]人員・時間計画!N12</f>
        <v>0</v>
      </c>
    </row>
    <row r="946" spans="1:17" ht="14.5" hidden="1" thickBot="1">
      <c r="A946">
        <f>[43]人員・時間計画!$A$5</f>
        <v>1412000084</v>
      </c>
      <c r="B946" t="str">
        <f>[43]人員・時間計画!$B$5</f>
        <v>生産技術3課</v>
      </c>
      <c r="C946" s="185" t="s">
        <v>3</v>
      </c>
      <c r="D946" s="193"/>
      <c r="E946" s="194" t="s">
        <v>138</v>
      </c>
      <c r="F946" s="214">
        <f>[43]人員・時間計画!C13</f>
        <v>22</v>
      </c>
      <c r="G946" s="214">
        <f>[43]人員・時間計画!D13</f>
        <v>22</v>
      </c>
      <c r="H946" s="214">
        <f>[43]人員・時間計画!E13</f>
        <v>22</v>
      </c>
      <c r="I946" s="214">
        <f>[43]人員・時間計画!F13</f>
        <v>23</v>
      </c>
      <c r="J946" s="214">
        <f>[43]人員・時間計画!G13</f>
        <v>23</v>
      </c>
      <c r="K946" s="214">
        <f>[43]人員・時間計画!H13</f>
        <v>23</v>
      </c>
      <c r="L946" s="214">
        <f>[43]人員・時間計画!I13</f>
        <v>23</v>
      </c>
      <c r="M946" s="214">
        <f>[43]人員・時間計画!J13</f>
        <v>23</v>
      </c>
      <c r="N946" s="214">
        <f>[43]人員・時間計画!K13</f>
        <v>23</v>
      </c>
      <c r="O946" s="214">
        <f>[43]人員・時間計画!L13</f>
        <v>23</v>
      </c>
      <c r="P946" s="214">
        <f>[43]人員・時間計画!M13</f>
        <v>23</v>
      </c>
      <c r="Q946" s="214">
        <f>[43]人員・時間計画!N13</f>
        <v>23</v>
      </c>
    </row>
    <row r="947" spans="1:17" ht="14.5" hidden="1" thickBot="1">
      <c r="A947">
        <f>[43]人員・時間計画!$A$5</f>
        <v>1412000084</v>
      </c>
      <c r="B947" t="str">
        <f>[43]人員・時間計画!$B$5</f>
        <v>生産技術3課</v>
      </c>
      <c r="C947" s="185" t="s">
        <v>3</v>
      </c>
      <c r="D947" s="195" t="s">
        <v>196</v>
      </c>
      <c r="E947" s="196"/>
      <c r="F947" s="214">
        <f>[43]人員・時間計画!C14</f>
        <v>22</v>
      </c>
      <c r="G947" s="214">
        <f>[43]人員・時間計画!D14</f>
        <v>22</v>
      </c>
      <c r="H947" s="214">
        <f>[43]人員・時間計画!E14</f>
        <v>22</v>
      </c>
      <c r="I947" s="214">
        <f>[43]人員・時間計画!F14</f>
        <v>23</v>
      </c>
      <c r="J947" s="214">
        <f>[43]人員・時間計画!G14</f>
        <v>23</v>
      </c>
      <c r="K947" s="214">
        <f>[43]人員・時間計画!H14</f>
        <v>23</v>
      </c>
      <c r="L947" s="214">
        <f>[43]人員・時間計画!I14</f>
        <v>23</v>
      </c>
      <c r="M947" s="214">
        <f>[43]人員・時間計画!J14</f>
        <v>23</v>
      </c>
      <c r="N947" s="214">
        <f>[43]人員・時間計画!K14</f>
        <v>23</v>
      </c>
      <c r="O947" s="214">
        <f>[43]人員・時間計画!L14</f>
        <v>23</v>
      </c>
      <c r="P947" s="214">
        <f>[43]人員・時間計画!M14</f>
        <v>23</v>
      </c>
      <c r="Q947" s="214">
        <f>[43]人員・時間計画!N14</f>
        <v>23</v>
      </c>
    </row>
    <row r="948" spans="1:17" ht="14.5" hidden="1" thickBot="1">
      <c r="A948">
        <f>[43]人員・時間計画!$A$5</f>
        <v>1412000084</v>
      </c>
      <c r="B948" t="str">
        <f>[43]人員・時間計画!$B$5</f>
        <v>生産技術3課</v>
      </c>
      <c r="D948" s="197"/>
      <c r="E948" s="197"/>
    </row>
    <row r="949" spans="1:17" ht="14.5" hidden="1" thickBot="1">
      <c r="A949">
        <f>[43]人員・時間計画!$A$5</f>
        <v>1412000084</v>
      </c>
      <c r="B949" t="str">
        <f>[43]人員・時間計画!$B$5</f>
        <v>生産技術3課</v>
      </c>
      <c r="C949" s="185" t="s">
        <v>202</v>
      </c>
      <c r="D949" s="185" t="s">
        <v>202</v>
      </c>
      <c r="E949" s="186"/>
    </row>
    <row r="950" spans="1:17" ht="14.5" hidden="1" thickBot="1">
      <c r="A950">
        <f>[43]人員・時間計画!$A$5</f>
        <v>1412000084</v>
      </c>
      <c r="B950" t="str">
        <f>[43]人員・時間計画!$B$5</f>
        <v>生産技術3課</v>
      </c>
      <c r="C950" s="185" t="s">
        <v>202</v>
      </c>
      <c r="D950" s="198" t="s">
        <v>194</v>
      </c>
      <c r="E950" s="199"/>
      <c r="F950" s="214">
        <f>[43]人員・時間計画!C17</f>
        <v>0</v>
      </c>
      <c r="G950" s="214">
        <f>[43]人員・時間計画!D17</f>
        <v>0</v>
      </c>
      <c r="H950" s="214">
        <f>[43]人員・時間計画!E17</f>
        <v>0</v>
      </c>
      <c r="I950" s="214">
        <f>[43]人員・時間計画!F17</f>
        <v>0</v>
      </c>
      <c r="J950" s="214">
        <f>[43]人員・時間計画!G17</f>
        <v>0</v>
      </c>
      <c r="K950" s="214">
        <f>[43]人員・時間計画!H17</f>
        <v>0</v>
      </c>
      <c r="L950" s="214">
        <f>[43]人員・時間計画!I17</f>
        <v>0</v>
      </c>
      <c r="M950" s="214">
        <f>[43]人員・時間計画!J17</f>
        <v>0</v>
      </c>
      <c r="N950" s="214">
        <f>[43]人員・時間計画!K17</f>
        <v>0</v>
      </c>
      <c r="O950" s="214">
        <f>[43]人員・時間計画!L17</f>
        <v>0</v>
      </c>
      <c r="P950" s="214">
        <f>[43]人員・時間計画!M17</f>
        <v>0</v>
      </c>
      <c r="Q950" s="214">
        <f>[43]人員・時間計画!N17</f>
        <v>0</v>
      </c>
    </row>
    <row r="951" spans="1:17" ht="14.5" hidden="1" thickBot="1">
      <c r="A951">
        <f>[43]人員・時間計画!$A$5</f>
        <v>1412000084</v>
      </c>
      <c r="B951" t="str">
        <f>[43]人員・時間計画!$B$5</f>
        <v>生産技術3課</v>
      </c>
      <c r="C951" s="185" t="s">
        <v>202</v>
      </c>
      <c r="D951" s="200"/>
      <c r="E951" s="190" t="s">
        <v>139</v>
      </c>
      <c r="F951" s="214">
        <f>[43]人員・時間計画!C18</f>
        <v>3612.5</v>
      </c>
      <c r="G951" s="214">
        <f>[43]人員・時間計画!D18</f>
        <v>3425.5</v>
      </c>
      <c r="H951" s="214">
        <f>[43]人員・時間計画!E18</f>
        <v>3799.5</v>
      </c>
      <c r="I951" s="214">
        <f>[43]人員・時間計画!F18</f>
        <v>4369</v>
      </c>
      <c r="J951" s="214">
        <f>[43]人員・時間計画!G18</f>
        <v>3782.5</v>
      </c>
      <c r="K951" s="214">
        <f>[43]人員・時間計画!H18</f>
        <v>3587</v>
      </c>
      <c r="L951" s="214">
        <f>[43]人員・時間計画!I18</f>
        <v>4369</v>
      </c>
      <c r="M951" s="214">
        <f>[43]人員・時間計画!J18</f>
        <v>3740</v>
      </c>
      <c r="N951" s="214">
        <f>[43]人員・時間計画!K18</f>
        <v>4046</v>
      </c>
      <c r="O951" s="214">
        <f>[43]人員・時間計画!L18</f>
        <v>3757</v>
      </c>
      <c r="P951" s="214">
        <f>[43]人員・時間計画!M18</f>
        <v>2805</v>
      </c>
      <c r="Q951" s="214">
        <f>[43]人員・時間計画!N18</f>
        <v>3782.5</v>
      </c>
    </row>
    <row r="952" spans="1:17" ht="14.5" thickBot="1">
      <c r="A952">
        <f>[43]人員・時間計画!$A$5</f>
        <v>1412000084</v>
      </c>
      <c r="B952" t="str">
        <f>[43]人員・時間計画!$B$5</f>
        <v>生産技術3課</v>
      </c>
      <c r="C952" s="185" t="s">
        <v>202</v>
      </c>
      <c r="D952" s="201" t="s">
        <v>195</v>
      </c>
      <c r="E952" s="192" t="s">
        <v>140</v>
      </c>
      <c r="F952" s="214">
        <f>[43]人員・時間計画!C19</f>
        <v>0</v>
      </c>
      <c r="G952" s="214">
        <f>[43]人員・時間計画!D19</f>
        <v>0</v>
      </c>
      <c r="H952" s="214">
        <f>[43]人員・時間計画!E19</f>
        <v>0</v>
      </c>
      <c r="I952" s="214">
        <f>[43]人員・時間計画!F19</f>
        <v>0</v>
      </c>
      <c r="J952" s="214">
        <f>[43]人員・時間計画!G19</f>
        <v>0</v>
      </c>
      <c r="K952" s="214">
        <f>[43]人員・時間計画!H19</f>
        <v>0</v>
      </c>
      <c r="L952" s="214">
        <f>[43]人員・時間計画!I19</f>
        <v>0</v>
      </c>
      <c r="M952" s="214">
        <f>[43]人員・時間計画!J19</f>
        <v>0</v>
      </c>
      <c r="N952" s="214">
        <f>[43]人員・時間計画!K19</f>
        <v>0</v>
      </c>
      <c r="O952" s="214">
        <f>[43]人員・時間計画!L19</f>
        <v>0</v>
      </c>
      <c r="P952" s="214">
        <f>[43]人員・時間計画!M19</f>
        <v>0</v>
      </c>
      <c r="Q952" s="214">
        <f>[43]人員・時間計画!N19</f>
        <v>0</v>
      </c>
    </row>
    <row r="953" spans="1:17" ht="14.5" hidden="1" thickBot="1">
      <c r="A953">
        <f>[43]人員・時間計画!$A$5</f>
        <v>1412000084</v>
      </c>
      <c r="B953" t="str">
        <f>[43]人員・時間計画!$B$5</f>
        <v>生産技術3課</v>
      </c>
      <c r="C953" s="185" t="s">
        <v>202</v>
      </c>
      <c r="D953" s="202"/>
      <c r="E953" s="203" t="s">
        <v>138</v>
      </c>
      <c r="F953" s="214">
        <f>[43]人員・時間計画!C20</f>
        <v>3612.5</v>
      </c>
      <c r="G953" s="214">
        <f>[43]人員・時間計画!D20</f>
        <v>3425.5</v>
      </c>
      <c r="H953" s="214">
        <f>[43]人員・時間計画!E20</f>
        <v>3799.5</v>
      </c>
      <c r="I953" s="214">
        <f>[43]人員・時間計画!F20</f>
        <v>4369</v>
      </c>
      <c r="J953" s="214">
        <f>[43]人員・時間計画!G20</f>
        <v>3782.5</v>
      </c>
      <c r="K953" s="214">
        <f>[43]人員・時間計画!H20</f>
        <v>3587</v>
      </c>
      <c r="L953" s="214">
        <f>[43]人員・時間計画!I20</f>
        <v>4369</v>
      </c>
      <c r="M953" s="214">
        <f>[43]人員・時間計画!J20</f>
        <v>3740</v>
      </c>
      <c r="N953" s="214">
        <f>[43]人員・時間計画!K20</f>
        <v>4046</v>
      </c>
      <c r="O953" s="214">
        <f>[43]人員・時間計画!L20</f>
        <v>3757</v>
      </c>
      <c r="P953" s="214">
        <f>[43]人員・時間計画!M20</f>
        <v>2805</v>
      </c>
      <c r="Q953" s="214">
        <f>[43]人員・時間計画!N20</f>
        <v>3782.5</v>
      </c>
    </row>
    <row r="954" spans="1:17" ht="14.5" hidden="1" thickBot="1">
      <c r="A954">
        <f>[43]人員・時間計画!$A$5</f>
        <v>1412000084</v>
      </c>
      <c r="B954" t="str">
        <f>[43]人員・時間計画!$B$5</f>
        <v>生産技術3課</v>
      </c>
      <c r="C954" s="185" t="s">
        <v>202</v>
      </c>
      <c r="D954" s="204" t="s">
        <v>215</v>
      </c>
      <c r="E954" s="205"/>
      <c r="F954" s="214">
        <f>[43]人員・時間計画!C21</f>
        <v>3612.5</v>
      </c>
      <c r="G954" s="214">
        <f>[43]人員・時間計画!D21</f>
        <v>3425.5</v>
      </c>
      <c r="H954" s="214">
        <f>[43]人員・時間計画!E21</f>
        <v>3799.5</v>
      </c>
      <c r="I954" s="214">
        <f>[43]人員・時間計画!F21</f>
        <v>4369</v>
      </c>
      <c r="J954" s="214">
        <f>[43]人員・時間計画!G21</f>
        <v>3782.5</v>
      </c>
      <c r="K954" s="214">
        <f>[43]人員・時間計画!H21</f>
        <v>3587</v>
      </c>
      <c r="L954" s="214">
        <f>[43]人員・時間計画!I21</f>
        <v>4369</v>
      </c>
      <c r="M954" s="214">
        <f>[43]人員・時間計画!J21</f>
        <v>3740</v>
      </c>
      <c r="N954" s="214">
        <f>[43]人員・時間計画!K21</f>
        <v>4046</v>
      </c>
      <c r="O954" s="214">
        <f>[43]人員・時間計画!L21</f>
        <v>3757</v>
      </c>
      <c r="P954" s="214">
        <f>[43]人員・時間計画!M21</f>
        <v>2805</v>
      </c>
      <c r="Q954" s="214">
        <f>[43]人員・時間計画!N21</f>
        <v>3782.5</v>
      </c>
    </row>
    <row r="955" spans="1:17" ht="14.5" hidden="1" thickBot="1">
      <c r="A955">
        <f>[43]人員・時間計画!$A$5</f>
        <v>1412000084</v>
      </c>
      <c r="B955" t="str">
        <f>[43]人員・時間計画!$B$5</f>
        <v>生産技術3課</v>
      </c>
      <c r="D955" s="197"/>
      <c r="E955" s="197"/>
    </row>
    <row r="956" spans="1:17" ht="14.5" hidden="1" thickBot="1">
      <c r="A956">
        <f>[43]人員・時間計画!$A$5</f>
        <v>1412000084</v>
      </c>
      <c r="B956" t="str">
        <f>[43]人員・時間計画!$B$5</f>
        <v>生産技術3課</v>
      </c>
      <c r="C956" s="185" t="s">
        <v>71</v>
      </c>
      <c r="D956" s="185" t="s">
        <v>71</v>
      </c>
      <c r="E956" s="186"/>
    </row>
    <row r="957" spans="1:17" ht="14.5" hidden="1" thickBot="1">
      <c r="A957">
        <f>[43]人員・時間計画!$A$5</f>
        <v>1412000084</v>
      </c>
      <c r="B957" t="str">
        <f>[43]人員・時間計画!$B$5</f>
        <v>生産技術3課</v>
      </c>
      <c r="C957" s="185" t="s">
        <v>71</v>
      </c>
      <c r="D957" s="198" t="s">
        <v>194</v>
      </c>
      <c r="E957" s="199"/>
      <c r="F957" s="214">
        <f>[43]人員・時間計画!C24</f>
        <v>0</v>
      </c>
      <c r="G957" s="214">
        <f>[43]人員・時間計画!D24</f>
        <v>0</v>
      </c>
      <c r="H957" s="214">
        <f>[43]人員・時間計画!E24</f>
        <v>0</v>
      </c>
      <c r="I957" s="214">
        <f>[43]人員・時間計画!F24</f>
        <v>0</v>
      </c>
      <c r="J957" s="214">
        <f>[43]人員・時間計画!G24</f>
        <v>0</v>
      </c>
      <c r="K957" s="214">
        <f>[43]人員・時間計画!H24</f>
        <v>0</v>
      </c>
      <c r="L957" s="214">
        <f>[43]人員・時間計画!I24</f>
        <v>0</v>
      </c>
      <c r="M957" s="214">
        <f>[43]人員・時間計画!J24</f>
        <v>0</v>
      </c>
      <c r="N957" s="214">
        <f>[43]人員・時間計画!K24</f>
        <v>0</v>
      </c>
      <c r="O957" s="214">
        <f>[43]人員・時間計画!L24</f>
        <v>0</v>
      </c>
      <c r="P957" s="214">
        <f>[43]人員・時間計画!M24</f>
        <v>0</v>
      </c>
      <c r="Q957" s="214">
        <f>[43]人員・時間計画!N24</f>
        <v>0</v>
      </c>
    </row>
    <row r="958" spans="1:17" ht="14.5" hidden="1" thickBot="1">
      <c r="A958">
        <f>[43]人員・時間計画!$A$5</f>
        <v>1412000084</v>
      </c>
      <c r="B958" t="str">
        <f>[43]人員・時間計画!$B$5</f>
        <v>生産技術3課</v>
      </c>
      <c r="C958" s="185" t="s">
        <v>71</v>
      </c>
      <c r="D958" s="200"/>
      <c r="E958" s="206" t="s">
        <v>139</v>
      </c>
      <c r="F958" s="214">
        <f>[43]人員・時間計画!C25</f>
        <v>180</v>
      </c>
      <c r="G958" s="214">
        <f>[43]人員・時間計画!D25</f>
        <v>180</v>
      </c>
      <c r="H958" s="214">
        <f>[43]人員・時間計画!E25</f>
        <v>180</v>
      </c>
      <c r="I958" s="214">
        <f>[43]人員・時間計画!F25</f>
        <v>220</v>
      </c>
      <c r="J958" s="214">
        <f>[43]人員・時間計画!G25</f>
        <v>180</v>
      </c>
      <c r="K958" s="214">
        <f>[43]人員・時間計画!H25</f>
        <v>170</v>
      </c>
      <c r="L958" s="214">
        <f>[43]人員・時間計画!I25</f>
        <v>200</v>
      </c>
      <c r="M958" s="214">
        <f>[43]人員・時間計画!J25</f>
        <v>180</v>
      </c>
      <c r="N958" s="214">
        <f>[43]人員・時間計画!K25</f>
        <v>180</v>
      </c>
      <c r="O958" s="214">
        <f>[43]人員・時間計画!L25</f>
        <v>180</v>
      </c>
      <c r="P958" s="214">
        <f>[43]人員・時間計画!M25</f>
        <v>120</v>
      </c>
      <c r="Q958" s="214">
        <f>[43]人員・時間計画!N25</f>
        <v>200</v>
      </c>
    </row>
    <row r="959" spans="1:17" ht="14.5" thickBot="1">
      <c r="A959">
        <f>[43]人員・時間計画!$A$5</f>
        <v>1412000084</v>
      </c>
      <c r="B959" t="str">
        <f>[43]人員・時間計画!$B$5</f>
        <v>生産技術3課</v>
      </c>
      <c r="C959" s="185" t="s">
        <v>71</v>
      </c>
      <c r="D959" s="201" t="s">
        <v>195</v>
      </c>
      <c r="E959" s="207" t="s">
        <v>140</v>
      </c>
      <c r="F959" s="214">
        <f>[43]人員・時間計画!C26</f>
        <v>0</v>
      </c>
      <c r="G959" s="214">
        <f>[43]人員・時間計画!D26</f>
        <v>0</v>
      </c>
      <c r="H959" s="214">
        <f>[43]人員・時間計画!E26</f>
        <v>0</v>
      </c>
      <c r="I959" s="214">
        <f>[43]人員・時間計画!F26</f>
        <v>0</v>
      </c>
      <c r="J959" s="214">
        <f>[43]人員・時間計画!G26</f>
        <v>0</v>
      </c>
      <c r="K959" s="214">
        <f>[43]人員・時間計画!H26</f>
        <v>0</v>
      </c>
      <c r="L959" s="214">
        <f>[43]人員・時間計画!I26</f>
        <v>0</v>
      </c>
      <c r="M959" s="214">
        <f>[43]人員・時間計画!J26</f>
        <v>0</v>
      </c>
      <c r="N959" s="214">
        <f>[43]人員・時間計画!K26</f>
        <v>0</v>
      </c>
      <c r="O959" s="214">
        <f>[43]人員・時間計画!L26</f>
        <v>0</v>
      </c>
      <c r="P959" s="214">
        <f>[43]人員・時間計画!M26</f>
        <v>0</v>
      </c>
      <c r="Q959" s="214">
        <f>[43]人員・時間計画!N26</f>
        <v>0</v>
      </c>
    </row>
    <row r="960" spans="1:17" ht="14.5" hidden="1" thickBot="1">
      <c r="A960">
        <f>[43]人員・時間計画!$A$5</f>
        <v>1412000084</v>
      </c>
      <c r="B960" t="str">
        <f>[43]人員・時間計画!$B$5</f>
        <v>生産技術3課</v>
      </c>
      <c r="C960" s="185" t="s">
        <v>71</v>
      </c>
      <c r="D960" s="202"/>
      <c r="E960" s="203" t="s">
        <v>138</v>
      </c>
      <c r="F960" s="214">
        <f>[43]人員・時間計画!C27</f>
        <v>180</v>
      </c>
      <c r="G960" s="214">
        <f>[43]人員・時間計画!D27</f>
        <v>180</v>
      </c>
      <c r="H960" s="214">
        <f>[43]人員・時間計画!E27</f>
        <v>180</v>
      </c>
      <c r="I960" s="214">
        <f>[43]人員・時間計画!F27</f>
        <v>220</v>
      </c>
      <c r="J960" s="214">
        <f>[43]人員・時間計画!G27</f>
        <v>180</v>
      </c>
      <c r="K960" s="214">
        <f>[43]人員・時間計画!H27</f>
        <v>170</v>
      </c>
      <c r="L960" s="214">
        <f>[43]人員・時間計画!I27</f>
        <v>200</v>
      </c>
      <c r="M960" s="214">
        <f>[43]人員・時間計画!J27</f>
        <v>180</v>
      </c>
      <c r="N960" s="214">
        <f>[43]人員・時間計画!K27</f>
        <v>180</v>
      </c>
      <c r="O960" s="214">
        <f>[43]人員・時間計画!L27</f>
        <v>180</v>
      </c>
      <c r="P960" s="214">
        <f>[43]人員・時間計画!M27</f>
        <v>120</v>
      </c>
      <c r="Q960" s="214">
        <f>[43]人員・時間計画!N27</f>
        <v>200</v>
      </c>
    </row>
    <row r="961" spans="1:17" ht="14.5" hidden="1" thickBot="1">
      <c r="A961">
        <f>[43]人員・時間計画!$A$5</f>
        <v>1412000084</v>
      </c>
      <c r="B961" t="str">
        <f>[43]人員・時間計画!$B$5</f>
        <v>生産技術3課</v>
      </c>
      <c r="C961" s="185" t="s">
        <v>71</v>
      </c>
      <c r="D961" s="204" t="s">
        <v>216</v>
      </c>
      <c r="E961" s="205"/>
      <c r="F961" s="214">
        <f>[43]人員・時間計画!C28</f>
        <v>180</v>
      </c>
      <c r="G961" s="214">
        <f>[43]人員・時間計画!D28</f>
        <v>180</v>
      </c>
      <c r="H961" s="214">
        <f>[43]人員・時間計画!E28</f>
        <v>180</v>
      </c>
      <c r="I961" s="214">
        <f>[43]人員・時間計画!F28</f>
        <v>220</v>
      </c>
      <c r="J961" s="214">
        <f>[43]人員・時間計画!G28</f>
        <v>180</v>
      </c>
      <c r="K961" s="214">
        <f>[43]人員・時間計画!H28</f>
        <v>170</v>
      </c>
      <c r="L961" s="214">
        <f>[43]人員・時間計画!I28</f>
        <v>200</v>
      </c>
      <c r="M961" s="214">
        <f>[43]人員・時間計画!J28</f>
        <v>180</v>
      </c>
      <c r="N961" s="214">
        <f>[43]人員・時間計画!K28</f>
        <v>180</v>
      </c>
      <c r="O961" s="214">
        <f>[43]人員・時間計画!L28</f>
        <v>180</v>
      </c>
      <c r="P961" s="214">
        <f>[43]人員・時間計画!M28</f>
        <v>120</v>
      </c>
      <c r="Q961" s="214">
        <f>[43]人員・時間計画!N28</f>
        <v>200</v>
      </c>
    </row>
    <row r="962" spans="1:17" ht="14.5" hidden="1" thickBot="1">
      <c r="A962">
        <f>[22]人員・時間計画!$A$5</f>
        <v>1412000087</v>
      </c>
      <c r="B962" t="str">
        <f>[22]人員・時間計画!$B$5</f>
        <v>部品製造管理課</v>
      </c>
      <c r="C962" s="185" t="s">
        <v>3</v>
      </c>
      <c r="D962" s="185" t="s">
        <v>3</v>
      </c>
      <c r="E962" s="186"/>
    </row>
    <row r="963" spans="1:17" ht="14.5" hidden="1" thickBot="1">
      <c r="A963">
        <f>[22]人員・時間計画!$A$5</f>
        <v>1412000087</v>
      </c>
      <c r="B963" t="str">
        <f>[22]人員・時間計画!$B$5</f>
        <v>部品製造管理課</v>
      </c>
      <c r="C963" s="185" t="s">
        <v>3</v>
      </c>
      <c r="D963" s="187" t="s">
        <v>194</v>
      </c>
      <c r="E963" s="188"/>
      <c r="F963" s="214">
        <f>[22]人員・時間計画!C10</f>
        <v>0</v>
      </c>
      <c r="G963" s="214">
        <f>[22]人員・時間計画!D10</f>
        <v>0</v>
      </c>
      <c r="H963" s="214">
        <f>[22]人員・時間計画!E10</f>
        <v>0</v>
      </c>
      <c r="I963" s="214">
        <f>[22]人員・時間計画!F10</f>
        <v>0</v>
      </c>
      <c r="J963" s="214">
        <f>[22]人員・時間計画!G10</f>
        <v>0</v>
      </c>
      <c r="K963" s="214">
        <f>[22]人員・時間計画!H10</f>
        <v>0</v>
      </c>
      <c r="L963" s="214">
        <f>[22]人員・時間計画!I10</f>
        <v>0</v>
      </c>
      <c r="M963" s="214">
        <f>[22]人員・時間計画!J10</f>
        <v>0</v>
      </c>
      <c r="N963" s="214">
        <f>[22]人員・時間計画!K10</f>
        <v>0</v>
      </c>
      <c r="O963" s="214">
        <f>[22]人員・時間計画!L10</f>
        <v>0</v>
      </c>
      <c r="P963" s="214">
        <f>[22]人員・時間計画!M10</f>
        <v>0</v>
      </c>
      <c r="Q963" s="214">
        <f>[22]人員・時間計画!N10</f>
        <v>0</v>
      </c>
    </row>
    <row r="964" spans="1:17" ht="14.5" hidden="1" thickBot="1">
      <c r="A964">
        <f>[22]人員・時間計画!$A$5</f>
        <v>1412000087</v>
      </c>
      <c r="B964" t="str">
        <f>[22]人員・時間計画!$B$5</f>
        <v>部品製造管理課</v>
      </c>
      <c r="C964" s="185" t="s">
        <v>3</v>
      </c>
      <c r="D964" s="189"/>
      <c r="E964" s="190" t="s">
        <v>139</v>
      </c>
      <c r="F964" s="214">
        <f>[22]人員・時間計画!C11</f>
        <v>9</v>
      </c>
      <c r="G964" s="214">
        <f>[22]人員・時間計画!D11</f>
        <v>9</v>
      </c>
      <c r="H964" s="214">
        <f>[22]人員・時間計画!E11</f>
        <v>9</v>
      </c>
      <c r="I964" s="214">
        <f>[22]人員・時間計画!F11</f>
        <v>9</v>
      </c>
      <c r="J964" s="214">
        <f>[22]人員・時間計画!G11</f>
        <v>9</v>
      </c>
      <c r="K964" s="214">
        <f>[22]人員・時間計画!H11</f>
        <v>9</v>
      </c>
      <c r="L964" s="214">
        <f>[22]人員・時間計画!I11</f>
        <v>9</v>
      </c>
      <c r="M964" s="214">
        <f>[22]人員・時間計画!J11</f>
        <v>9</v>
      </c>
      <c r="N964" s="214">
        <f>[22]人員・時間計画!K11</f>
        <v>9</v>
      </c>
      <c r="O964" s="214">
        <f>[22]人員・時間計画!L11</f>
        <v>9</v>
      </c>
      <c r="P964" s="214">
        <f>[22]人員・時間計画!M11</f>
        <v>9</v>
      </c>
      <c r="Q964" s="214">
        <f>[22]人員・時間計画!N11</f>
        <v>9</v>
      </c>
    </row>
    <row r="965" spans="1:17" ht="14.5" thickBot="1">
      <c r="A965">
        <f>[22]人員・時間計画!$A$5</f>
        <v>1412000087</v>
      </c>
      <c r="B965" t="str">
        <f>[22]人員・時間計画!$B$5</f>
        <v>部品製造管理課</v>
      </c>
      <c r="C965" s="185" t="s">
        <v>3</v>
      </c>
      <c r="D965" s="191" t="s">
        <v>195</v>
      </c>
      <c r="E965" s="192" t="s">
        <v>140</v>
      </c>
      <c r="F965" s="214">
        <f>[22]人員・時間計画!C12</f>
        <v>0</v>
      </c>
      <c r="G965" s="214">
        <f>[22]人員・時間計画!D12</f>
        <v>0</v>
      </c>
      <c r="H965" s="214">
        <f>[22]人員・時間計画!E12</f>
        <v>0</v>
      </c>
      <c r="I965" s="214">
        <f>[22]人員・時間計画!F12</f>
        <v>0</v>
      </c>
      <c r="J965" s="214">
        <f>[22]人員・時間計画!G12</f>
        <v>0</v>
      </c>
      <c r="K965" s="214">
        <f>[22]人員・時間計画!H12</f>
        <v>0</v>
      </c>
      <c r="L965" s="214">
        <f>[22]人員・時間計画!I12</f>
        <v>0</v>
      </c>
      <c r="M965" s="214">
        <f>[22]人員・時間計画!J12</f>
        <v>0</v>
      </c>
      <c r="N965" s="214">
        <f>[22]人員・時間計画!K12</f>
        <v>0</v>
      </c>
      <c r="O965" s="214">
        <f>[22]人員・時間計画!L12</f>
        <v>0</v>
      </c>
      <c r="P965" s="214">
        <f>[22]人員・時間計画!M12</f>
        <v>0</v>
      </c>
      <c r="Q965" s="214">
        <f>[22]人員・時間計画!N12</f>
        <v>0</v>
      </c>
    </row>
    <row r="966" spans="1:17" ht="14.5" hidden="1" thickBot="1">
      <c r="A966">
        <f>[22]人員・時間計画!$A$5</f>
        <v>1412000087</v>
      </c>
      <c r="B966" t="str">
        <f>[22]人員・時間計画!$B$5</f>
        <v>部品製造管理課</v>
      </c>
      <c r="C966" s="185" t="s">
        <v>3</v>
      </c>
      <c r="D966" s="193"/>
      <c r="E966" s="194" t="s">
        <v>138</v>
      </c>
      <c r="F966" s="214">
        <f>[22]人員・時間計画!C13</f>
        <v>9</v>
      </c>
      <c r="G966" s="214">
        <f>[22]人員・時間計画!D13</f>
        <v>9</v>
      </c>
      <c r="H966" s="214">
        <f>[22]人員・時間計画!E13</f>
        <v>9</v>
      </c>
      <c r="I966" s="214">
        <f>[22]人員・時間計画!F13</f>
        <v>9</v>
      </c>
      <c r="J966" s="214">
        <f>[22]人員・時間計画!G13</f>
        <v>9</v>
      </c>
      <c r="K966" s="214">
        <f>[22]人員・時間計画!H13</f>
        <v>9</v>
      </c>
      <c r="L966" s="214">
        <f>[22]人員・時間計画!I13</f>
        <v>9</v>
      </c>
      <c r="M966" s="214">
        <f>[22]人員・時間計画!J13</f>
        <v>9</v>
      </c>
      <c r="N966" s="214">
        <f>[22]人員・時間計画!K13</f>
        <v>9</v>
      </c>
      <c r="O966" s="214">
        <f>[22]人員・時間計画!L13</f>
        <v>9</v>
      </c>
      <c r="P966" s="214">
        <f>[22]人員・時間計画!M13</f>
        <v>9</v>
      </c>
      <c r="Q966" s="214">
        <f>[22]人員・時間計画!N13</f>
        <v>9</v>
      </c>
    </row>
    <row r="967" spans="1:17" ht="14.5" hidden="1" thickBot="1">
      <c r="A967">
        <f>[22]人員・時間計画!$A$5</f>
        <v>1412000087</v>
      </c>
      <c r="B967" t="str">
        <f>[22]人員・時間計画!$B$5</f>
        <v>部品製造管理課</v>
      </c>
      <c r="C967" s="185" t="s">
        <v>3</v>
      </c>
      <c r="D967" s="195" t="s">
        <v>196</v>
      </c>
      <c r="E967" s="196"/>
      <c r="F967" s="214">
        <f>[22]人員・時間計画!C14</f>
        <v>9</v>
      </c>
      <c r="G967" s="214">
        <f>[22]人員・時間計画!D14</f>
        <v>9</v>
      </c>
      <c r="H967" s="214">
        <f>[22]人員・時間計画!E14</f>
        <v>9</v>
      </c>
      <c r="I967" s="214">
        <f>[22]人員・時間計画!F14</f>
        <v>9</v>
      </c>
      <c r="J967" s="214">
        <f>[22]人員・時間計画!G14</f>
        <v>9</v>
      </c>
      <c r="K967" s="214">
        <f>[22]人員・時間計画!H14</f>
        <v>9</v>
      </c>
      <c r="L967" s="214">
        <f>[22]人員・時間計画!I14</f>
        <v>9</v>
      </c>
      <c r="M967" s="214">
        <f>[22]人員・時間計画!J14</f>
        <v>9</v>
      </c>
      <c r="N967" s="214">
        <f>[22]人員・時間計画!K14</f>
        <v>9</v>
      </c>
      <c r="O967" s="214">
        <f>[22]人員・時間計画!L14</f>
        <v>9</v>
      </c>
      <c r="P967" s="214">
        <f>[22]人員・時間計画!M14</f>
        <v>9</v>
      </c>
      <c r="Q967" s="214">
        <f>[22]人員・時間計画!N14</f>
        <v>9</v>
      </c>
    </row>
    <row r="968" spans="1:17" ht="14.5" hidden="1" thickBot="1">
      <c r="A968">
        <f>[22]人員・時間計画!$A$5</f>
        <v>1412000087</v>
      </c>
      <c r="B968" t="str">
        <f>[22]人員・時間計画!$B$5</f>
        <v>部品製造管理課</v>
      </c>
      <c r="D968" s="197"/>
      <c r="E968" s="197"/>
    </row>
    <row r="969" spans="1:17" ht="14.5" hidden="1" thickBot="1">
      <c r="A969">
        <f>[22]人員・時間計画!$A$5</f>
        <v>1412000087</v>
      </c>
      <c r="B969" t="str">
        <f>[22]人員・時間計画!$B$5</f>
        <v>部品製造管理課</v>
      </c>
      <c r="C969" s="185" t="s">
        <v>202</v>
      </c>
      <c r="D969" s="185" t="s">
        <v>202</v>
      </c>
      <c r="E969" s="186"/>
    </row>
    <row r="970" spans="1:17" ht="14.5" hidden="1" thickBot="1">
      <c r="A970">
        <f>[22]人員・時間計画!$A$5</f>
        <v>1412000087</v>
      </c>
      <c r="B970" t="str">
        <f>[22]人員・時間計画!$B$5</f>
        <v>部品製造管理課</v>
      </c>
      <c r="C970" s="185" t="s">
        <v>202</v>
      </c>
      <c r="D970" s="198" t="s">
        <v>194</v>
      </c>
      <c r="E970" s="199"/>
      <c r="F970" s="214">
        <f>[22]人員・時間計画!C17</f>
        <v>0</v>
      </c>
      <c r="G970" s="214">
        <f>[22]人員・時間計画!D17</f>
        <v>0</v>
      </c>
      <c r="H970" s="214">
        <f>[22]人員・時間計画!E17</f>
        <v>0</v>
      </c>
      <c r="I970" s="214">
        <f>[22]人員・時間計画!F17</f>
        <v>0</v>
      </c>
      <c r="J970" s="214">
        <f>[22]人員・時間計画!G17</f>
        <v>0</v>
      </c>
      <c r="K970" s="214">
        <f>[22]人員・時間計画!H17</f>
        <v>0</v>
      </c>
      <c r="L970" s="214">
        <f>[22]人員・時間計画!I17</f>
        <v>0</v>
      </c>
      <c r="M970" s="214">
        <f>[22]人員・時間計画!J17</f>
        <v>0</v>
      </c>
      <c r="N970" s="214">
        <f>[22]人員・時間計画!K17</f>
        <v>0</v>
      </c>
      <c r="O970" s="214">
        <f>[22]人員・時間計画!L17</f>
        <v>0</v>
      </c>
      <c r="P970" s="214">
        <f>[22]人員・時間計画!M17</f>
        <v>0</v>
      </c>
      <c r="Q970" s="214">
        <f>[22]人員・時間計画!N17</f>
        <v>0</v>
      </c>
    </row>
    <row r="971" spans="1:17" ht="14.5" hidden="1" thickBot="1">
      <c r="A971">
        <f>[22]人員・時間計画!$A$5</f>
        <v>1412000087</v>
      </c>
      <c r="B971" t="str">
        <f>[22]人員・時間計画!$B$5</f>
        <v>部品製造管理課</v>
      </c>
      <c r="C971" s="185" t="s">
        <v>202</v>
      </c>
      <c r="D971" s="200"/>
      <c r="E971" s="190" t="s">
        <v>139</v>
      </c>
      <c r="F971" s="214">
        <f>[22]人員・時間計画!C18</f>
        <v>1453.5</v>
      </c>
      <c r="G971" s="214">
        <f>[22]人員・時間計画!D18</f>
        <v>1377</v>
      </c>
      <c r="H971" s="214">
        <f>[22]人員・時間計画!E18</f>
        <v>1530</v>
      </c>
      <c r="I971" s="214">
        <f>[22]人員・時間計画!F18</f>
        <v>1683</v>
      </c>
      <c r="J971" s="214">
        <f>[22]人員・時間計画!G18</f>
        <v>1453.5</v>
      </c>
      <c r="K971" s="214">
        <f>[22]人員・時間計画!H18</f>
        <v>1377</v>
      </c>
      <c r="L971" s="214">
        <f>[22]人員・時間計画!I18</f>
        <v>1683</v>
      </c>
      <c r="M971" s="214">
        <f>[22]人員・時間計画!J18</f>
        <v>1292</v>
      </c>
      <c r="N971" s="214">
        <f>[22]人員・時間計画!K18</f>
        <v>1428</v>
      </c>
      <c r="O971" s="214">
        <f>[22]人員・時間計画!L18</f>
        <v>1130.5</v>
      </c>
      <c r="P971" s="214">
        <f>[22]人員・時間計画!M18</f>
        <v>833</v>
      </c>
      <c r="Q971" s="214">
        <f>[22]人員・時間計画!N18</f>
        <v>1130.5</v>
      </c>
    </row>
    <row r="972" spans="1:17" ht="14.5" thickBot="1">
      <c r="A972">
        <f>[22]人員・時間計画!$A$5</f>
        <v>1412000087</v>
      </c>
      <c r="B972" t="str">
        <f>[22]人員・時間計画!$B$5</f>
        <v>部品製造管理課</v>
      </c>
      <c r="C972" s="185" t="s">
        <v>202</v>
      </c>
      <c r="D972" s="201" t="s">
        <v>195</v>
      </c>
      <c r="E972" s="192" t="s">
        <v>140</v>
      </c>
      <c r="F972" s="214">
        <f>[22]人員・時間計画!C19</f>
        <v>0</v>
      </c>
      <c r="G972" s="214">
        <f>[22]人員・時間計画!D19</f>
        <v>0</v>
      </c>
      <c r="H972" s="214">
        <f>[22]人員・時間計画!E19</f>
        <v>0</v>
      </c>
      <c r="I972" s="214">
        <f>[22]人員・時間計画!F19</f>
        <v>0</v>
      </c>
      <c r="J972" s="214">
        <f>[22]人員・時間計画!G19</f>
        <v>0</v>
      </c>
      <c r="K972" s="214">
        <f>[22]人員・時間計画!H19</f>
        <v>0</v>
      </c>
      <c r="L972" s="214">
        <f>[22]人員・時間計画!I19</f>
        <v>0</v>
      </c>
      <c r="M972" s="214">
        <f>[22]人員・時間計画!J19</f>
        <v>0</v>
      </c>
      <c r="N972" s="214">
        <f>[22]人員・時間計画!K19</f>
        <v>0</v>
      </c>
      <c r="O972" s="214">
        <f>[22]人員・時間計画!L19</f>
        <v>0</v>
      </c>
      <c r="P972" s="214">
        <f>[22]人員・時間計画!M19</f>
        <v>0</v>
      </c>
      <c r="Q972" s="214">
        <f>[22]人員・時間計画!N19</f>
        <v>0</v>
      </c>
    </row>
    <row r="973" spans="1:17" ht="14.5" hidden="1" thickBot="1">
      <c r="A973">
        <f>[22]人員・時間計画!$A$5</f>
        <v>1412000087</v>
      </c>
      <c r="B973" t="str">
        <f>[22]人員・時間計画!$B$5</f>
        <v>部品製造管理課</v>
      </c>
      <c r="C973" s="185" t="s">
        <v>202</v>
      </c>
      <c r="D973" s="202"/>
      <c r="E973" s="203" t="s">
        <v>138</v>
      </c>
      <c r="F973" s="214">
        <f>[22]人員・時間計画!C20</f>
        <v>1453.5</v>
      </c>
      <c r="G973" s="214">
        <f>[22]人員・時間計画!D20</f>
        <v>1377</v>
      </c>
      <c r="H973" s="214">
        <f>[22]人員・時間計画!E20</f>
        <v>1530</v>
      </c>
      <c r="I973" s="214">
        <f>[22]人員・時間計画!F20</f>
        <v>1683</v>
      </c>
      <c r="J973" s="214">
        <f>[22]人員・時間計画!G20</f>
        <v>1453.5</v>
      </c>
      <c r="K973" s="214">
        <f>[22]人員・時間計画!H20</f>
        <v>1377</v>
      </c>
      <c r="L973" s="214">
        <f>[22]人員・時間計画!I20</f>
        <v>1683</v>
      </c>
      <c r="M973" s="214">
        <f>[22]人員・時間計画!J20</f>
        <v>1292</v>
      </c>
      <c r="N973" s="214">
        <f>[22]人員・時間計画!K20</f>
        <v>1428</v>
      </c>
      <c r="O973" s="214">
        <f>[22]人員・時間計画!L20</f>
        <v>1130.5</v>
      </c>
      <c r="P973" s="214">
        <f>[22]人員・時間計画!M20</f>
        <v>833</v>
      </c>
      <c r="Q973" s="214">
        <f>[22]人員・時間計画!N20</f>
        <v>1130.5</v>
      </c>
    </row>
    <row r="974" spans="1:17" ht="14.5" hidden="1" thickBot="1">
      <c r="A974">
        <f>[22]人員・時間計画!$A$5</f>
        <v>1412000087</v>
      </c>
      <c r="B974" t="str">
        <f>[22]人員・時間計画!$B$5</f>
        <v>部品製造管理課</v>
      </c>
      <c r="C974" s="185" t="s">
        <v>202</v>
      </c>
      <c r="D974" s="204" t="s">
        <v>215</v>
      </c>
      <c r="E974" s="205"/>
      <c r="F974" s="214">
        <f>[22]人員・時間計画!C21</f>
        <v>1453.5</v>
      </c>
      <c r="G974" s="214">
        <f>[22]人員・時間計画!D21</f>
        <v>1377</v>
      </c>
      <c r="H974" s="214">
        <f>[22]人員・時間計画!E21</f>
        <v>1530</v>
      </c>
      <c r="I974" s="214">
        <f>[22]人員・時間計画!F21</f>
        <v>1683</v>
      </c>
      <c r="J974" s="214">
        <f>[22]人員・時間計画!G21</f>
        <v>1453.5</v>
      </c>
      <c r="K974" s="214">
        <f>[22]人員・時間計画!H21</f>
        <v>1377</v>
      </c>
      <c r="L974" s="214">
        <f>[22]人員・時間計画!I21</f>
        <v>1683</v>
      </c>
      <c r="M974" s="214">
        <f>[22]人員・時間計画!J21</f>
        <v>1292</v>
      </c>
      <c r="N974" s="214">
        <f>[22]人員・時間計画!K21</f>
        <v>1428</v>
      </c>
      <c r="O974" s="214">
        <f>[22]人員・時間計画!L21</f>
        <v>1130.5</v>
      </c>
      <c r="P974" s="214">
        <f>[22]人員・時間計画!M21</f>
        <v>833</v>
      </c>
      <c r="Q974" s="214">
        <f>[22]人員・時間計画!N21</f>
        <v>1130.5</v>
      </c>
    </row>
    <row r="975" spans="1:17" ht="14.5" hidden="1" thickBot="1">
      <c r="A975">
        <f>[22]人員・時間計画!$A$5</f>
        <v>1412000087</v>
      </c>
      <c r="B975" t="str">
        <f>[22]人員・時間計画!$B$5</f>
        <v>部品製造管理課</v>
      </c>
      <c r="D975" s="197"/>
      <c r="E975" s="197"/>
    </row>
    <row r="976" spans="1:17" ht="14.5" hidden="1" thickBot="1">
      <c r="A976">
        <f>[22]人員・時間計画!$A$5</f>
        <v>1412000087</v>
      </c>
      <c r="B976" t="str">
        <f>[22]人員・時間計画!$B$5</f>
        <v>部品製造管理課</v>
      </c>
      <c r="C976" s="185" t="s">
        <v>71</v>
      </c>
      <c r="D976" s="185" t="s">
        <v>71</v>
      </c>
      <c r="E976" s="186"/>
    </row>
    <row r="977" spans="1:17" ht="14.5" hidden="1" thickBot="1">
      <c r="A977">
        <f>[22]人員・時間計画!$A$5</f>
        <v>1412000087</v>
      </c>
      <c r="B977" t="str">
        <f>[22]人員・時間計画!$B$5</f>
        <v>部品製造管理課</v>
      </c>
      <c r="C977" s="185" t="s">
        <v>71</v>
      </c>
      <c r="D977" s="198" t="s">
        <v>194</v>
      </c>
      <c r="E977" s="199"/>
      <c r="F977" s="214">
        <f>[22]人員・時間計画!C24</f>
        <v>0</v>
      </c>
      <c r="G977" s="214">
        <f>[22]人員・時間計画!D24</f>
        <v>0</v>
      </c>
      <c r="H977" s="214">
        <f>[22]人員・時間計画!E24</f>
        <v>0</v>
      </c>
      <c r="I977" s="214">
        <f>[22]人員・時間計画!F24</f>
        <v>0</v>
      </c>
      <c r="J977" s="214">
        <f>[22]人員・時間計画!G24</f>
        <v>0</v>
      </c>
      <c r="K977" s="214">
        <f>[22]人員・時間計画!H24</f>
        <v>0</v>
      </c>
      <c r="L977" s="214">
        <f>[22]人員・時間計画!I24</f>
        <v>0</v>
      </c>
      <c r="M977" s="214">
        <f>[22]人員・時間計画!J24</f>
        <v>0</v>
      </c>
      <c r="N977" s="214">
        <f>[22]人員・時間計画!K24</f>
        <v>0</v>
      </c>
      <c r="O977" s="214">
        <f>[22]人員・時間計画!L24</f>
        <v>0</v>
      </c>
      <c r="P977" s="214">
        <f>[22]人員・時間計画!M24</f>
        <v>0</v>
      </c>
      <c r="Q977" s="214">
        <f>[22]人員・時間計画!N24</f>
        <v>0</v>
      </c>
    </row>
    <row r="978" spans="1:17" ht="14.5" hidden="1" thickBot="1">
      <c r="A978">
        <f>[22]人員・時間計画!$A$5</f>
        <v>1412000087</v>
      </c>
      <c r="B978" t="str">
        <f>[22]人員・時間計画!$B$5</f>
        <v>部品製造管理課</v>
      </c>
      <c r="C978" s="185" t="s">
        <v>71</v>
      </c>
      <c r="D978" s="200"/>
      <c r="E978" s="206" t="s">
        <v>139</v>
      </c>
      <c r="F978" s="214">
        <f>[22]人員・時間計画!C25</f>
        <v>0</v>
      </c>
      <c r="G978" s="214">
        <f>[22]人員・時間計画!D25</f>
        <v>0</v>
      </c>
      <c r="H978" s="214">
        <f>[22]人員・時間計画!E25</f>
        <v>0</v>
      </c>
      <c r="I978" s="214">
        <f>[22]人員・時間計画!F25</f>
        <v>0</v>
      </c>
      <c r="J978" s="214">
        <f>[22]人員・時間計画!G25</f>
        <v>0</v>
      </c>
      <c r="K978" s="214">
        <f>[22]人員・時間計画!H25</f>
        <v>0</v>
      </c>
      <c r="L978" s="214">
        <f>[22]人員・時間計画!I25</f>
        <v>0</v>
      </c>
      <c r="M978" s="214">
        <f>[22]人員・時間計画!J25</f>
        <v>0</v>
      </c>
      <c r="N978" s="214">
        <f>[22]人員・時間計画!K25</f>
        <v>0</v>
      </c>
      <c r="O978" s="214">
        <f>[22]人員・時間計画!L25</f>
        <v>0</v>
      </c>
      <c r="P978" s="214">
        <f>[22]人員・時間計画!M25</f>
        <v>0</v>
      </c>
      <c r="Q978" s="214">
        <f>[22]人員・時間計画!N25</f>
        <v>0</v>
      </c>
    </row>
    <row r="979" spans="1:17" ht="14.5" thickBot="1">
      <c r="A979">
        <f>[22]人員・時間計画!$A$5</f>
        <v>1412000087</v>
      </c>
      <c r="B979" t="str">
        <f>[22]人員・時間計画!$B$5</f>
        <v>部品製造管理課</v>
      </c>
      <c r="C979" s="185" t="s">
        <v>71</v>
      </c>
      <c r="D979" s="201" t="s">
        <v>195</v>
      </c>
      <c r="E979" s="207" t="s">
        <v>140</v>
      </c>
      <c r="F979" s="214">
        <f>[22]人員・時間計画!C26</f>
        <v>0</v>
      </c>
      <c r="G979" s="214">
        <f>[22]人員・時間計画!D26</f>
        <v>0</v>
      </c>
      <c r="H979" s="214">
        <f>[22]人員・時間計画!E26</f>
        <v>0</v>
      </c>
      <c r="I979" s="214">
        <f>[22]人員・時間計画!F26</f>
        <v>0</v>
      </c>
      <c r="J979" s="214">
        <f>[22]人員・時間計画!G26</f>
        <v>0</v>
      </c>
      <c r="K979" s="214">
        <f>[22]人員・時間計画!H26</f>
        <v>0</v>
      </c>
      <c r="L979" s="214">
        <f>[22]人員・時間計画!I26</f>
        <v>0</v>
      </c>
      <c r="M979" s="214">
        <f>[22]人員・時間計画!J26</f>
        <v>0</v>
      </c>
      <c r="N979" s="214">
        <f>[22]人員・時間計画!K26</f>
        <v>0</v>
      </c>
      <c r="O979" s="214">
        <f>[22]人員・時間計画!L26</f>
        <v>0</v>
      </c>
      <c r="P979" s="214">
        <f>[22]人員・時間計画!M26</f>
        <v>0</v>
      </c>
      <c r="Q979" s="214">
        <f>[22]人員・時間計画!N26</f>
        <v>0</v>
      </c>
    </row>
    <row r="980" spans="1:17" ht="14.5" hidden="1" thickBot="1">
      <c r="A980">
        <f>[22]人員・時間計画!$A$5</f>
        <v>1412000087</v>
      </c>
      <c r="B980" t="str">
        <f>[22]人員・時間計画!$B$5</f>
        <v>部品製造管理課</v>
      </c>
      <c r="C980" s="185" t="s">
        <v>71</v>
      </c>
      <c r="D980" s="202"/>
      <c r="E980" s="203" t="s">
        <v>138</v>
      </c>
      <c r="F980" s="214">
        <f>[22]人員・時間計画!C27</f>
        <v>0</v>
      </c>
      <c r="G980" s="214">
        <f>[22]人員・時間計画!D27</f>
        <v>0</v>
      </c>
      <c r="H980" s="214">
        <f>[22]人員・時間計画!E27</f>
        <v>0</v>
      </c>
      <c r="I980" s="214">
        <f>[22]人員・時間計画!F27</f>
        <v>0</v>
      </c>
      <c r="J980" s="214">
        <f>[22]人員・時間計画!G27</f>
        <v>0</v>
      </c>
      <c r="K980" s="214">
        <f>[22]人員・時間計画!H27</f>
        <v>0</v>
      </c>
      <c r="L980" s="214">
        <f>[22]人員・時間計画!I27</f>
        <v>0</v>
      </c>
      <c r="M980" s="214">
        <f>[22]人員・時間計画!J27</f>
        <v>0</v>
      </c>
      <c r="N980" s="214">
        <f>[22]人員・時間計画!K27</f>
        <v>0</v>
      </c>
      <c r="O980" s="214">
        <f>[22]人員・時間計画!L27</f>
        <v>0</v>
      </c>
      <c r="P980" s="214">
        <f>[22]人員・時間計画!M27</f>
        <v>0</v>
      </c>
      <c r="Q980" s="214">
        <f>[22]人員・時間計画!N27</f>
        <v>0</v>
      </c>
    </row>
    <row r="981" spans="1:17" ht="14.5" hidden="1" thickBot="1">
      <c r="A981">
        <f>[22]人員・時間計画!$A$5</f>
        <v>1412000087</v>
      </c>
      <c r="B981" t="str">
        <f>[22]人員・時間計画!$B$5</f>
        <v>部品製造管理課</v>
      </c>
      <c r="C981" s="185" t="s">
        <v>71</v>
      </c>
      <c r="D981" s="204" t="s">
        <v>216</v>
      </c>
      <c r="E981" s="205"/>
      <c r="F981" s="214">
        <f>[22]人員・時間計画!C28</f>
        <v>0</v>
      </c>
      <c r="G981" s="214">
        <f>[22]人員・時間計画!D28</f>
        <v>0</v>
      </c>
      <c r="H981" s="214">
        <f>[22]人員・時間計画!E28</f>
        <v>0</v>
      </c>
      <c r="I981" s="214">
        <f>[22]人員・時間計画!F28</f>
        <v>0</v>
      </c>
      <c r="J981" s="214">
        <f>[22]人員・時間計画!G28</f>
        <v>0</v>
      </c>
      <c r="K981" s="214">
        <f>[22]人員・時間計画!H28</f>
        <v>0</v>
      </c>
      <c r="L981" s="214">
        <f>[22]人員・時間計画!I28</f>
        <v>0</v>
      </c>
      <c r="M981" s="214">
        <f>[22]人員・時間計画!J28</f>
        <v>0</v>
      </c>
      <c r="N981" s="214">
        <f>[22]人員・時間計画!K28</f>
        <v>0</v>
      </c>
      <c r="O981" s="214">
        <f>[22]人員・時間計画!L28</f>
        <v>0</v>
      </c>
      <c r="P981" s="214">
        <f>[22]人員・時間計画!M28</f>
        <v>0</v>
      </c>
      <c r="Q981" s="214">
        <f>[22]人員・時間計画!N28</f>
        <v>0</v>
      </c>
    </row>
    <row r="982" spans="1:17" ht="14.5" hidden="1" thickBot="1">
      <c r="A982">
        <f>[23]人員・時間計画!$A$5</f>
        <v>1412000088</v>
      </c>
      <c r="B982" t="str">
        <f>[23]人員・時間計画!$B$5</f>
        <v>品質管理課</v>
      </c>
      <c r="C982" s="185" t="s">
        <v>3</v>
      </c>
      <c r="D982" s="185" t="s">
        <v>3</v>
      </c>
      <c r="E982" s="186"/>
    </row>
    <row r="983" spans="1:17" ht="14.5" hidden="1" thickBot="1">
      <c r="A983">
        <f>[23]人員・時間計画!$A$5</f>
        <v>1412000088</v>
      </c>
      <c r="B983" t="str">
        <f>[23]人員・時間計画!$B$5</f>
        <v>品質管理課</v>
      </c>
      <c r="C983" s="185" t="s">
        <v>3</v>
      </c>
      <c r="D983" s="187" t="s">
        <v>194</v>
      </c>
      <c r="E983" s="188"/>
      <c r="F983" s="214">
        <f>[23]人員・時間計画!C10</f>
        <v>0</v>
      </c>
      <c r="G983" s="214">
        <f>[23]人員・時間計画!D10</f>
        <v>0</v>
      </c>
      <c r="H983" s="214">
        <f>[23]人員・時間計画!E10</f>
        <v>0</v>
      </c>
      <c r="I983" s="214">
        <f>[23]人員・時間計画!F10</f>
        <v>0</v>
      </c>
      <c r="J983" s="214">
        <f>[23]人員・時間計画!G10</f>
        <v>0</v>
      </c>
      <c r="K983" s="214">
        <f>[23]人員・時間計画!H10</f>
        <v>0</v>
      </c>
      <c r="L983" s="214">
        <f>[23]人員・時間計画!I10</f>
        <v>0</v>
      </c>
      <c r="M983" s="214">
        <f>[23]人員・時間計画!J10</f>
        <v>0</v>
      </c>
      <c r="N983" s="214">
        <f>[23]人員・時間計画!K10</f>
        <v>0</v>
      </c>
      <c r="O983" s="214">
        <f>[23]人員・時間計画!L10</f>
        <v>0</v>
      </c>
      <c r="P983" s="214">
        <f>[23]人員・時間計画!M10</f>
        <v>0</v>
      </c>
      <c r="Q983" s="214">
        <f>[23]人員・時間計画!N10</f>
        <v>0</v>
      </c>
    </row>
    <row r="984" spans="1:17" ht="14.5" hidden="1" thickBot="1">
      <c r="A984">
        <f>[23]人員・時間計画!$A$5</f>
        <v>1412000088</v>
      </c>
      <c r="B984" t="str">
        <f>[23]人員・時間計画!$B$5</f>
        <v>品質管理課</v>
      </c>
      <c r="C984" s="185" t="s">
        <v>3</v>
      </c>
      <c r="D984" s="189"/>
      <c r="E984" s="190" t="s">
        <v>139</v>
      </c>
      <c r="F984" s="214">
        <f>[23]人員・時間計画!C11</f>
        <v>12</v>
      </c>
      <c r="G984" s="214">
        <f>[23]人員・時間計画!D11</f>
        <v>12</v>
      </c>
      <c r="H984" s="214">
        <f>[23]人員・時間計画!E11</f>
        <v>12</v>
      </c>
      <c r="I984" s="214">
        <f>[23]人員・時間計画!F11</f>
        <v>12</v>
      </c>
      <c r="J984" s="214">
        <f>[23]人員・時間計画!G11</f>
        <v>12</v>
      </c>
      <c r="K984" s="214">
        <f>[23]人員・時間計画!H11</f>
        <v>12</v>
      </c>
      <c r="L984" s="214">
        <f>[23]人員・時間計画!I11</f>
        <v>12</v>
      </c>
      <c r="M984" s="214">
        <f>[23]人員・時間計画!J11</f>
        <v>12</v>
      </c>
      <c r="N984" s="214">
        <f>[23]人員・時間計画!K11</f>
        <v>12</v>
      </c>
      <c r="O984" s="214">
        <f>[23]人員・時間計画!L11</f>
        <v>12</v>
      </c>
      <c r="P984" s="214">
        <f>[23]人員・時間計画!M11</f>
        <v>12</v>
      </c>
      <c r="Q984" s="214">
        <f>[23]人員・時間計画!N11</f>
        <v>12</v>
      </c>
    </row>
    <row r="985" spans="1:17" ht="14.5" thickBot="1">
      <c r="A985">
        <f>[23]人員・時間計画!$A$5</f>
        <v>1412000088</v>
      </c>
      <c r="B985" t="str">
        <f>[23]人員・時間計画!$B$5</f>
        <v>品質管理課</v>
      </c>
      <c r="C985" s="185" t="s">
        <v>3</v>
      </c>
      <c r="D985" s="191" t="s">
        <v>195</v>
      </c>
      <c r="E985" s="192" t="s">
        <v>140</v>
      </c>
      <c r="F985" s="214">
        <f>[23]人員・時間計画!C12</f>
        <v>13</v>
      </c>
      <c r="G985" s="214">
        <f>[23]人員・時間計画!D12</f>
        <v>13</v>
      </c>
      <c r="H985" s="214">
        <f>[23]人員・時間計画!E12</f>
        <v>13</v>
      </c>
      <c r="I985" s="214">
        <f>[23]人員・時間計画!F12</f>
        <v>13</v>
      </c>
      <c r="J985" s="214">
        <f>[23]人員・時間計画!G12</f>
        <v>13</v>
      </c>
      <c r="K985" s="214">
        <f>[23]人員・時間計画!H12</f>
        <v>13</v>
      </c>
      <c r="L985" s="214">
        <f>[23]人員・時間計画!I12</f>
        <v>13</v>
      </c>
      <c r="M985" s="214">
        <f>[23]人員・時間計画!J12</f>
        <v>13</v>
      </c>
      <c r="N985" s="214">
        <f>[23]人員・時間計画!K12</f>
        <v>13</v>
      </c>
      <c r="O985" s="214">
        <f>[23]人員・時間計画!L12</f>
        <v>13</v>
      </c>
      <c r="P985" s="214">
        <f>[23]人員・時間計画!M12</f>
        <v>13</v>
      </c>
      <c r="Q985" s="214">
        <f>[23]人員・時間計画!N12</f>
        <v>13</v>
      </c>
    </row>
    <row r="986" spans="1:17" ht="14.5" hidden="1" thickBot="1">
      <c r="A986">
        <f>[23]人員・時間計画!$A$5</f>
        <v>1412000088</v>
      </c>
      <c r="B986" t="str">
        <f>[23]人員・時間計画!$B$5</f>
        <v>品質管理課</v>
      </c>
      <c r="C986" s="185" t="s">
        <v>3</v>
      </c>
      <c r="D986" s="193"/>
      <c r="E986" s="194" t="s">
        <v>138</v>
      </c>
      <c r="F986" s="214">
        <f>[23]人員・時間計画!C13</f>
        <v>25</v>
      </c>
      <c r="G986" s="214">
        <f>[23]人員・時間計画!D13</f>
        <v>25</v>
      </c>
      <c r="H986" s="214">
        <f>[23]人員・時間計画!E13</f>
        <v>25</v>
      </c>
      <c r="I986" s="214">
        <f>[23]人員・時間計画!F13</f>
        <v>25</v>
      </c>
      <c r="J986" s="214">
        <f>[23]人員・時間計画!G13</f>
        <v>25</v>
      </c>
      <c r="K986" s="214">
        <f>[23]人員・時間計画!H13</f>
        <v>25</v>
      </c>
      <c r="L986" s="214">
        <f>[23]人員・時間計画!I13</f>
        <v>25</v>
      </c>
      <c r="M986" s="214">
        <f>[23]人員・時間計画!J13</f>
        <v>25</v>
      </c>
      <c r="N986" s="214">
        <f>[23]人員・時間計画!K13</f>
        <v>25</v>
      </c>
      <c r="O986" s="214">
        <f>[23]人員・時間計画!L13</f>
        <v>25</v>
      </c>
      <c r="P986" s="214">
        <f>[23]人員・時間計画!M13</f>
        <v>25</v>
      </c>
      <c r="Q986" s="214">
        <f>[23]人員・時間計画!N13</f>
        <v>25</v>
      </c>
    </row>
    <row r="987" spans="1:17" ht="14.5" hidden="1" thickBot="1">
      <c r="A987">
        <f>[23]人員・時間計画!$A$5</f>
        <v>1412000088</v>
      </c>
      <c r="B987" t="str">
        <f>[23]人員・時間計画!$B$5</f>
        <v>品質管理課</v>
      </c>
      <c r="C987" s="185" t="s">
        <v>3</v>
      </c>
      <c r="D987" s="195" t="s">
        <v>196</v>
      </c>
      <c r="E987" s="196"/>
      <c r="F987" s="214">
        <f>[23]人員・時間計画!C14</f>
        <v>25</v>
      </c>
      <c r="G987" s="214">
        <f>[23]人員・時間計画!D14</f>
        <v>25</v>
      </c>
      <c r="H987" s="214">
        <f>[23]人員・時間計画!E14</f>
        <v>25</v>
      </c>
      <c r="I987" s="214">
        <f>[23]人員・時間計画!F14</f>
        <v>25</v>
      </c>
      <c r="J987" s="214">
        <f>[23]人員・時間計画!G14</f>
        <v>25</v>
      </c>
      <c r="K987" s="214">
        <f>[23]人員・時間計画!H14</f>
        <v>25</v>
      </c>
      <c r="L987" s="214">
        <f>[23]人員・時間計画!I14</f>
        <v>25</v>
      </c>
      <c r="M987" s="214">
        <f>[23]人員・時間計画!J14</f>
        <v>25</v>
      </c>
      <c r="N987" s="214">
        <f>[23]人員・時間計画!K14</f>
        <v>25</v>
      </c>
      <c r="O987" s="214">
        <f>[23]人員・時間計画!L14</f>
        <v>25</v>
      </c>
      <c r="P987" s="214">
        <f>[23]人員・時間計画!M14</f>
        <v>25</v>
      </c>
      <c r="Q987" s="214">
        <f>[23]人員・時間計画!N14</f>
        <v>25</v>
      </c>
    </row>
    <row r="988" spans="1:17" ht="14.5" hidden="1" thickBot="1">
      <c r="A988">
        <f>[23]人員・時間計画!$A$5</f>
        <v>1412000088</v>
      </c>
      <c r="B988" t="str">
        <f>[23]人員・時間計画!$B$5</f>
        <v>品質管理課</v>
      </c>
      <c r="D988" s="197"/>
      <c r="E988" s="197"/>
    </row>
    <row r="989" spans="1:17" ht="14.5" hidden="1" thickBot="1">
      <c r="A989">
        <f>[23]人員・時間計画!$A$5</f>
        <v>1412000088</v>
      </c>
      <c r="B989" t="str">
        <f>[23]人員・時間計画!$B$5</f>
        <v>品質管理課</v>
      </c>
      <c r="C989" s="185" t="s">
        <v>202</v>
      </c>
      <c r="D989" s="185" t="s">
        <v>202</v>
      </c>
      <c r="E989" s="186"/>
    </row>
    <row r="990" spans="1:17" ht="14.5" hidden="1" thickBot="1">
      <c r="A990">
        <f>[23]人員・時間計画!$A$5</f>
        <v>1412000088</v>
      </c>
      <c r="B990" t="str">
        <f>[23]人員・時間計画!$B$5</f>
        <v>品質管理課</v>
      </c>
      <c r="C990" s="185" t="s">
        <v>202</v>
      </c>
      <c r="D990" s="198" t="s">
        <v>194</v>
      </c>
      <c r="E990" s="199"/>
      <c r="F990" s="214">
        <f>[23]人員・時間計画!C17</f>
        <v>0</v>
      </c>
      <c r="G990" s="214">
        <f>[23]人員・時間計画!D17</f>
        <v>0</v>
      </c>
      <c r="H990" s="214">
        <f>[23]人員・時間計画!E17</f>
        <v>0</v>
      </c>
      <c r="I990" s="214">
        <f>[23]人員・時間計画!F17</f>
        <v>0</v>
      </c>
      <c r="J990" s="214">
        <f>[23]人員・時間計画!G17</f>
        <v>0</v>
      </c>
      <c r="K990" s="214">
        <f>[23]人員・時間計画!H17</f>
        <v>0</v>
      </c>
      <c r="L990" s="214">
        <f>[23]人員・時間計画!I17</f>
        <v>0</v>
      </c>
      <c r="M990" s="214">
        <f>[23]人員・時間計画!J17</f>
        <v>0</v>
      </c>
      <c r="N990" s="214">
        <f>[23]人員・時間計画!K17</f>
        <v>0</v>
      </c>
      <c r="O990" s="214">
        <f>[23]人員・時間計画!L17</f>
        <v>0</v>
      </c>
      <c r="P990" s="214">
        <f>[23]人員・時間計画!M17</f>
        <v>0</v>
      </c>
      <c r="Q990" s="214">
        <f>[23]人員・時間計画!N17</f>
        <v>0</v>
      </c>
    </row>
    <row r="991" spans="1:17" ht="14.5" hidden="1" thickBot="1">
      <c r="A991">
        <f>[23]人員・時間計画!$A$5</f>
        <v>1412000088</v>
      </c>
      <c r="B991" t="str">
        <f>[23]人員・時間計画!$B$5</f>
        <v>品質管理課</v>
      </c>
      <c r="C991" s="185" t="s">
        <v>202</v>
      </c>
      <c r="D991" s="200"/>
      <c r="E991" s="190" t="s">
        <v>139</v>
      </c>
      <c r="F991" s="214">
        <f>[23]人員・時間計画!C18</f>
        <v>1927</v>
      </c>
      <c r="G991" s="214">
        <f>[23]人員・時間計画!D18</f>
        <v>1806</v>
      </c>
      <c r="H991" s="214">
        <f>[23]人員・時間計画!E18</f>
        <v>1834.5</v>
      </c>
      <c r="I991" s="214">
        <f>[23]人員・時間計画!F18</f>
        <v>2015.5</v>
      </c>
      <c r="J991" s="214">
        <f>[23]人員・時間計画!G18</f>
        <v>1765.5</v>
      </c>
      <c r="K991" s="214">
        <f>[23]人員・時間計画!H18</f>
        <v>1696.5</v>
      </c>
      <c r="L991" s="214">
        <f>[23]人員・時間計画!I18</f>
        <v>2013.5</v>
      </c>
      <c r="M991" s="214">
        <f>[23]人員・時間計画!J18</f>
        <v>1764.5</v>
      </c>
      <c r="N991" s="214">
        <f>[23]人員・時間計画!K18</f>
        <v>2081</v>
      </c>
      <c r="O991" s="214">
        <f>[23]人員・時間計画!L18</f>
        <v>1885</v>
      </c>
      <c r="P991" s="214">
        <f>[23]人員・時間計画!M18</f>
        <v>1395</v>
      </c>
      <c r="Q991" s="214">
        <f>[23]人員・時間計画!N18</f>
        <v>1885</v>
      </c>
    </row>
    <row r="992" spans="1:17" ht="14.5" thickBot="1">
      <c r="A992">
        <f>[23]人員・時間計画!$A$5</f>
        <v>1412000088</v>
      </c>
      <c r="B992" t="str">
        <f>[23]人員・時間計画!$B$5</f>
        <v>品質管理課</v>
      </c>
      <c r="C992" s="185" t="s">
        <v>202</v>
      </c>
      <c r="D992" s="201" t="s">
        <v>195</v>
      </c>
      <c r="E992" s="192" t="s">
        <v>140</v>
      </c>
      <c r="F992" s="214">
        <f>[23]人員・時間計画!C19</f>
        <v>2021.5</v>
      </c>
      <c r="G992" s="214">
        <f>[23]人員・時間計画!D19</f>
        <v>1866.5</v>
      </c>
      <c r="H992" s="214">
        <f>[23]人員・時間計画!E19</f>
        <v>1896</v>
      </c>
      <c r="I992" s="214">
        <f>[23]人員・時間計画!F19</f>
        <v>2099</v>
      </c>
      <c r="J992" s="214">
        <f>[23]人員・時間計画!G19</f>
        <v>1898</v>
      </c>
      <c r="K992" s="214">
        <f>[23]人員・時間計画!H19</f>
        <v>1731</v>
      </c>
      <c r="L992" s="214">
        <f>[23]人員・時間計画!I19</f>
        <v>2099</v>
      </c>
      <c r="M992" s="214">
        <f>[23]人員・時間計画!J19</f>
        <v>1898</v>
      </c>
      <c r="N992" s="214">
        <f>[23]人員・時間計画!K19</f>
        <v>2164.5</v>
      </c>
      <c r="O992" s="214">
        <f>[23]人員・時間計画!L19</f>
        <v>1965.5</v>
      </c>
      <c r="P992" s="214">
        <f>[23]人員・時間計画!M19</f>
        <v>1477</v>
      </c>
      <c r="Q992" s="214">
        <f>[23]人員・時間計画!N19</f>
        <v>1965.5</v>
      </c>
    </row>
    <row r="993" spans="1:17" ht="14.5" hidden="1" thickBot="1">
      <c r="A993">
        <f>[23]人員・時間計画!$A$5</f>
        <v>1412000088</v>
      </c>
      <c r="B993" t="str">
        <f>[23]人員・時間計画!$B$5</f>
        <v>品質管理課</v>
      </c>
      <c r="C993" s="185" t="s">
        <v>202</v>
      </c>
      <c r="D993" s="202"/>
      <c r="E993" s="203" t="s">
        <v>138</v>
      </c>
      <c r="F993" s="214">
        <f>[23]人員・時間計画!C20</f>
        <v>3948.5</v>
      </c>
      <c r="G993" s="214">
        <f>[23]人員・時間計画!D20</f>
        <v>3672.5</v>
      </c>
      <c r="H993" s="214">
        <f>[23]人員・時間計画!E20</f>
        <v>3730.5</v>
      </c>
      <c r="I993" s="214">
        <f>[23]人員・時間計画!F20</f>
        <v>4114.5</v>
      </c>
      <c r="J993" s="214">
        <f>[23]人員・時間計画!G20</f>
        <v>3663.5</v>
      </c>
      <c r="K993" s="214">
        <f>[23]人員・時間計画!H20</f>
        <v>3427.5</v>
      </c>
      <c r="L993" s="214">
        <f>[23]人員・時間計画!I20</f>
        <v>4112.5</v>
      </c>
      <c r="M993" s="214">
        <f>[23]人員・時間計画!J20</f>
        <v>3662.5</v>
      </c>
      <c r="N993" s="214">
        <f>[23]人員・時間計画!K20</f>
        <v>4245.5</v>
      </c>
      <c r="O993" s="214">
        <f>[23]人員・時間計画!L20</f>
        <v>3850.5</v>
      </c>
      <c r="P993" s="214">
        <f>[23]人員・時間計画!M20</f>
        <v>2872</v>
      </c>
      <c r="Q993" s="214">
        <f>[23]人員・時間計画!N20</f>
        <v>3850.5</v>
      </c>
    </row>
    <row r="994" spans="1:17" ht="14.5" hidden="1" thickBot="1">
      <c r="A994">
        <f>[23]人員・時間計画!$A$5</f>
        <v>1412000088</v>
      </c>
      <c r="B994" t="str">
        <f>[23]人員・時間計画!$B$5</f>
        <v>品質管理課</v>
      </c>
      <c r="C994" s="185" t="s">
        <v>202</v>
      </c>
      <c r="D994" s="204" t="s">
        <v>215</v>
      </c>
      <c r="E994" s="205"/>
      <c r="F994" s="214">
        <f>[23]人員・時間計画!C21</f>
        <v>3948.5</v>
      </c>
      <c r="G994" s="214">
        <f>[23]人員・時間計画!D21</f>
        <v>3672.5</v>
      </c>
      <c r="H994" s="214">
        <f>[23]人員・時間計画!E21</f>
        <v>3730.5</v>
      </c>
      <c r="I994" s="214">
        <f>[23]人員・時間計画!F21</f>
        <v>4114.5</v>
      </c>
      <c r="J994" s="214">
        <f>[23]人員・時間計画!G21</f>
        <v>3663.5</v>
      </c>
      <c r="K994" s="214">
        <f>[23]人員・時間計画!H21</f>
        <v>3427.5</v>
      </c>
      <c r="L994" s="214">
        <f>[23]人員・時間計画!I21</f>
        <v>4112.5</v>
      </c>
      <c r="M994" s="214">
        <f>[23]人員・時間計画!J21</f>
        <v>3662.5</v>
      </c>
      <c r="N994" s="214">
        <f>[23]人員・時間計画!K21</f>
        <v>4245.5</v>
      </c>
      <c r="O994" s="214">
        <f>[23]人員・時間計画!L21</f>
        <v>3850.5</v>
      </c>
      <c r="P994" s="214">
        <f>[23]人員・時間計画!M21</f>
        <v>2872</v>
      </c>
      <c r="Q994" s="214">
        <f>[23]人員・時間計画!N21</f>
        <v>3850.5</v>
      </c>
    </row>
    <row r="995" spans="1:17" ht="14.5" hidden="1" thickBot="1">
      <c r="A995">
        <f>[23]人員・時間計画!$A$5</f>
        <v>1412000088</v>
      </c>
      <c r="B995" t="str">
        <f>[23]人員・時間計画!$B$5</f>
        <v>品質管理課</v>
      </c>
      <c r="D995" s="197"/>
      <c r="E995" s="197"/>
    </row>
    <row r="996" spans="1:17" ht="14.5" hidden="1" thickBot="1">
      <c r="A996">
        <f>[23]人員・時間計画!$A$5</f>
        <v>1412000088</v>
      </c>
      <c r="B996" t="str">
        <f>[23]人員・時間計画!$B$5</f>
        <v>品質管理課</v>
      </c>
      <c r="C996" s="185" t="s">
        <v>71</v>
      </c>
      <c r="D996" s="185" t="s">
        <v>71</v>
      </c>
      <c r="E996" s="186"/>
    </row>
    <row r="997" spans="1:17" ht="14.5" hidden="1" thickBot="1">
      <c r="A997">
        <f>[23]人員・時間計画!$A$5</f>
        <v>1412000088</v>
      </c>
      <c r="B997" t="str">
        <f>[23]人員・時間計画!$B$5</f>
        <v>品質管理課</v>
      </c>
      <c r="C997" s="185" t="s">
        <v>71</v>
      </c>
      <c r="D997" s="198" t="s">
        <v>194</v>
      </c>
      <c r="E997" s="199"/>
      <c r="F997" s="214">
        <f>[23]人員・時間計画!C24</f>
        <v>0</v>
      </c>
      <c r="G997" s="214">
        <f>[23]人員・時間計画!D24</f>
        <v>0</v>
      </c>
      <c r="H997" s="214">
        <f>[23]人員・時間計画!E24</f>
        <v>0</v>
      </c>
      <c r="I997" s="214">
        <f>[23]人員・時間計画!F24</f>
        <v>0</v>
      </c>
      <c r="J997" s="214">
        <f>[23]人員・時間計画!G24</f>
        <v>0</v>
      </c>
      <c r="K997" s="214">
        <f>[23]人員・時間計画!H24</f>
        <v>0</v>
      </c>
      <c r="L997" s="214">
        <f>[23]人員・時間計画!I24</f>
        <v>0</v>
      </c>
      <c r="M997" s="214">
        <f>[23]人員・時間計画!J24</f>
        <v>0</v>
      </c>
      <c r="N997" s="214">
        <f>[23]人員・時間計画!K24</f>
        <v>0</v>
      </c>
      <c r="O997" s="214">
        <f>[23]人員・時間計画!L24</f>
        <v>0</v>
      </c>
      <c r="P997" s="214">
        <f>[23]人員・時間計画!M24</f>
        <v>0</v>
      </c>
      <c r="Q997" s="214">
        <f>[23]人員・時間計画!N24</f>
        <v>0</v>
      </c>
    </row>
    <row r="998" spans="1:17" ht="14.5" hidden="1" thickBot="1">
      <c r="A998">
        <f>[23]人員・時間計画!$A$5</f>
        <v>1412000088</v>
      </c>
      <c r="B998" t="str">
        <f>[23]人員・時間計画!$B$5</f>
        <v>品質管理課</v>
      </c>
      <c r="C998" s="185" t="s">
        <v>71</v>
      </c>
      <c r="D998" s="200"/>
      <c r="E998" s="206" t="s">
        <v>139</v>
      </c>
      <c r="F998" s="214">
        <f>[23]人員・時間計画!C25</f>
        <v>36</v>
      </c>
      <c r="G998" s="214">
        <f>[23]人員・時間計画!D25</f>
        <v>34</v>
      </c>
      <c r="H998" s="214">
        <f>[23]人員・時間計画!E25</f>
        <v>38</v>
      </c>
      <c r="I998" s="214">
        <f>[23]人員・時間計画!F25</f>
        <v>42</v>
      </c>
      <c r="J998" s="214">
        <f>[23]人員・時間計画!G25</f>
        <v>36</v>
      </c>
      <c r="K998" s="214">
        <f>[23]人員・時間計画!H25</f>
        <v>34</v>
      </c>
      <c r="L998" s="214">
        <f>[23]人員・時間計画!I25</f>
        <v>42</v>
      </c>
      <c r="M998" s="214">
        <f>[23]人員・時間計画!J25</f>
        <v>36</v>
      </c>
      <c r="N998" s="214">
        <f>[23]人員・時間計画!K25</f>
        <v>40</v>
      </c>
      <c r="O998" s="214">
        <f>[23]人員・時間計画!L25</f>
        <v>36</v>
      </c>
      <c r="P998" s="214">
        <f>[23]人員・時間計画!M25</f>
        <v>26</v>
      </c>
      <c r="Q998" s="214">
        <f>[23]人員・時間計画!N25</f>
        <v>36</v>
      </c>
    </row>
    <row r="999" spans="1:17" ht="14.5" thickBot="1">
      <c r="A999">
        <f>[23]人員・時間計画!$A$5</f>
        <v>1412000088</v>
      </c>
      <c r="B999" t="str">
        <f>[23]人員・時間計画!$B$5</f>
        <v>品質管理課</v>
      </c>
      <c r="C999" s="185" t="s">
        <v>71</v>
      </c>
      <c r="D999" s="201" t="s">
        <v>195</v>
      </c>
      <c r="E999" s="207" t="s">
        <v>140</v>
      </c>
      <c r="F999" s="214">
        <f>[23]人員・時間計画!C26</f>
        <v>48</v>
      </c>
      <c r="G999" s="214">
        <f>[23]人員・時間計画!D26</f>
        <v>48</v>
      </c>
      <c r="H999" s="214">
        <f>[23]人員・時間計画!E26</f>
        <v>48</v>
      </c>
      <c r="I999" s="214">
        <f>[23]人員・時間計画!F26</f>
        <v>48</v>
      </c>
      <c r="J999" s="214">
        <f>[23]人員・時間計画!G26</f>
        <v>48</v>
      </c>
      <c r="K999" s="214">
        <f>[23]人員・時間計画!H26</f>
        <v>48</v>
      </c>
      <c r="L999" s="214">
        <f>[23]人員・時間計画!I26</f>
        <v>48</v>
      </c>
      <c r="M999" s="214">
        <f>[23]人員・時間計画!J26</f>
        <v>48</v>
      </c>
      <c r="N999" s="214">
        <f>[23]人員・時間計画!K26</f>
        <v>48</v>
      </c>
      <c r="O999" s="214">
        <f>[23]人員・時間計画!L26</f>
        <v>48</v>
      </c>
      <c r="P999" s="214">
        <f>[23]人員・時間計画!M26</f>
        <v>48</v>
      </c>
      <c r="Q999" s="214">
        <f>[23]人員・時間計画!N26</f>
        <v>48</v>
      </c>
    </row>
    <row r="1000" spans="1:17" ht="14.5" hidden="1" thickBot="1">
      <c r="A1000">
        <f>[23]人員・時間計画!$A$5</f>
        <v>1412000088</v>
      </c>
      <c r="B1000" t="str">
        <f>[23]人員・時間計画!$B$5</f>
        <v>品質管理課</v>
      </c>
      <c r="C1000" s="185" t="s">
        <v>71</v>
      </c>
      <c r="D1000" s="202"/>
      <c r="E1000" s="203" t="s">
        <v>138</v>
      </c>
      <c r="F1000" s="214">
        <f>[23]人員・時間計画!C27</f>
        <v>84</v>
      </c>
      <c r="G1000" s="214">
        <f>[23]人員・時間計画!D27</f>
        <v>82</v>
      </c>
      <c r="H1000" s="214">
        <f>[23]人員・時間計画!E27</f>
        <v>86</v>
      </c>
      <c r="I1000" s="214">
        <f>[23]人員・時間計画!F27</f>
        <v>90</v>
      </c>
      <c r="J1000" s="214">
        <f>[23]人員・時間計画!G27</f>
        <v>84</v>
      </c>
      <c r="K1000" s="214">
        <f>[23]人員・時間計画!H27</f>
        <v>82</v>
      </c>
      <c r="L1000" s="214">
        <f>[23]人員・時間計画!I27</f>
        <v>90</v>
      </c>
      <c r="M1000" s="214">
        <f>[23]人員・時間計画!J27</f>
        <v>84</v>
      </c>
      <c r="N1000" s="214">
        <f>[23]人員・時間計画!K27</f>
        <v>88</v>
      </c>
      <c r="O1000" s="214">
        <f>[23]人員・時間計画!L27</f>
        <v>84</v>
      </c>
      <c r="P1000" s="214">
        <f>[23]人員・時間計画!M27</f>
        <v>74</v>
      </c>
      <c r="Q1000" s="214">
        <f>[23]人員・時間計画!N27</f>
        <v>84</v>
      </c>
    </row>
    <row r="1001" spans="1:17" ht="14.5" hidden="1" thickBot="1">
      <c r="A1001">
        <f>[23]人員・時間計画!$A$5</f>
        <v>1412000088</v>
      </c>
      <c r="B1001" t="str">
        <f>[23]人員・時間計画!$B$5</f>
        <v>品質管理課</v>
      </c>
      <c r="C1001" s="185" t="s">
        <v>71</v>
      </c>
      <c r="D1001" s="204" t="s">
        <v>216</v>
      </c>
      <c r="E1001" s="205"/>
      <c r="F1001" s="214">
        <f>[23]人員・時間計画!C28</f>
        <v>84</v>
      </c>
      <c r="G1001" s="214">
        <f>[23]人員・時間計画!D28</f>
        <v>82</v>
      </c>
      <c r="H1001" s="214">
        <f>[23]人員・時間計画!E28</f>
        <v>86</v>
      </c>
      <c r="I1001" s="214">
        <f>[23]人員・時間計画!F28</f>
        <v>90</v>
      </c>
      <c r="J1001" s="214">
        <f>[23]人員・時間計画!G28</f>
        <v>84</v>
      </c>
      <c r="K1001" s="214">
        <f>[23]人員・時間計画!H28</f>
        <v>82</v>
      </c>
      <c r="L1001" s="214">
        <f>[23]人員・時間計画!I28</f>
        <v>90</v>
      </c>
      <c r="M1001" s="214">
        <f>[23]人員・時間計画!J28</f>
        <v>84</v>
      </c>
      <c r="N1001" s="214">
        <f>[23]人員・時間計画!K28</f>
        <v>88</v>
      </c>
      <c r="O1001" s="214">
        <f>[23]人員・時間計画!L28</f>
        <v>84</v>
      </c>
      <c r="P1001" s="214">
        <f>[23]人員・時間計画!M28</f>
        <v>74</v>
      </c>
      <c r="Q1001" s="214">
        <f>[23]人員・時間計画!N28</f>
        <v>84</v>
      </c>
    </row>
    <row r="1002" spans="1:17" ht="14.5" hidden="1" thickBot="1">
      <c r="A1002">
        <f>[34]人員・時間計画!$A$5</f>
        <v>1412000089</v>
      </c>
      <c r="B1002" t="str">
        <f>[34]人員・時間計画!$B$5</f>
        <v>メカ製造技術3課</v>
      </c>
      <c r="C1002" s="185" t="s">
        <v>3</v>
      </c>
      <c r="D1002" s="185" t="s">
        <v>3</v>
      </c>
      <c r="E1002" s="186"/>
    </row>
    <row r="1003" spans="1:17" ht="14.5" hidden="1" thickBot="1">
      <c r="A1003">
        <f>[34]人員・時間計画!$A$5</f>
        <v>1412000089</v>
      </c>
      <c r="B1003" t="str">
        <f>[34]人員・時間計画!$B$5</f>
        <v>メカ製造技術3課</v>
      </c>
      <c r="C1003" s="185" t="s">
        <v>3</v>
      </c>
      <c r="D1003" s="187" t="s">
        <v>194</v>
      </c>
      <c r="E1003" s="188"/>
      <c r="F1003" s="214">
        <f>[34]人員・時間計画!C10</f>
        <v>0</v>
      </c>
      <c r="G1003" s="214">
        <f>[34]人員・時間計画!D10</f>
        <v>0</v>
      </c>
      <c r="H1003" s="214">
        <f>[34]人員・時間計画!E10</f>
        <v>0</v>
      </c>
      <c r="I1003" s="214">
        <f>[34]人員・時間計画!F10</f>
        <v>0</v>
      </c>
      <c r="J1003" s="214">
        <f>[34]人員・時間計画!G10</f>
        <v>0</v>
      </c>
      <c r="K1003" s="214">
        <f>[34]人員・時間計画!H10</f>
        <v>0</v>
      </c>
      <c r="L1003" s="214">
        <f>[34]人員・時間計画!I10</f>
        <v>0</v>
      </c>
      <c r="M1003" s="214">
        <f>[34]人員・時間計画!J10</f>
        <v>0</v>
      </c>
      <c r="N1003" s="214">
        <f>[34]人員・時間計画!K10</f>
        <v>0</v>
      </c>
      <c r="O1003" s="214">
        <f>[34]人員・時間計画!L10</f>
        <v>0</v>
      </c>
      <c r="P1003" s="214">
        <f>[34]人員・時間計画!M10</f>
        <v>0</v>
      </c>
      <c r="Q1003" s="214">
        <f>[34]人員・時間計画!N10</f>
        <v>0</v>
      </c>
    </row>
    <row r="1004" spans="1:17" ht="14.5" hidden="1" thickBot="1">
      <c r="A1004">
        <f>[34]人員・時間計画!$A$5</f>
        <v>1412000089</v>
      </c>
      <c r="B1004" t="str">
        <f>[34]人員・時間計画!$B$5</f>
        <v>メカ製造技術3課</v>
      </c>
      <c r="C1004" s="185" t="s">
        <v>3</v>
      </c>
      <c r="D1004" s="189"/>
      <c r="E1004" s="190" t="s">
        <v>139</v>
      </c>
      <c r="F1004" s="214">
        <f>[34]人員・時間計画!C11</f>
        <v>13</v>
      </c>
      <c r="G1004" s="214">
        <f>[34]人員・時間計画!D11</f>
        <v>13</v>
      </c>
      <c r="H1004" s="214">
        <f>[34]人員・時間計画!E11</f>
        <v>13</v>
      </c>
      <c r="I1004" s="214">
        <f>[34]人員・時間計画!F11</f>
        <v>13</v>
      </c>
      <c r="J1004" s="214">
        <f>[34]人員・時間計画!G11</f>
        <v>13</v>
      </c>
      <c r="K1004" s="214">
        <f>[34]人員・時間計画!H11</f>
        <v>13</v>
      </c>
      <c r="L1004" s="214">
        <f>[34]人員・時間計画!I11</f>
        <v>13</v>
      </c>
      <c r="M1004" s="214">
        <f>[34]人員・時間計画!J11</f>
        <v>13</v>
      </c>
      <c r="N1004" s="214">
        <f>[34]人員・時間計画!K11</f>
        <v>13</v>
      </c>
      <c r="O1004" s="214">
        <f>[34]人員・時間計画!L11</f>
        <v>13</v>
      </c>
      <c r="P1004" s="214">
        <f>[34]人員・時間計画!M11</f>
        <v>13</v>
      </c>
      <c r="Q1004" s="214">
        <f>[34]人員・時間計画!N11</f>
        <v>13</v>
      </c>
    </row>
    <row r="1005" spans="1:17" ht="14.5" thickBot="1">
      <c r="A1005">
        <f>[34]人員・時間計画!$A$5</f>
        <v>1412000089</v>
      </c>
      <c r="B1005" t="str">
        <f>[34]人員・時間計画!$B$5</f>
        <v>メカ製造技術3課</v>
      </c>
      <c r="C1005" s="185" t="s">
        <v>3</v>
      </c>
      <c r="D1005" s="191" t="s">
        <v>195</v>
      </c>
      <c r="E1005" s="192" t="s">
        <v>140</v>
      </c>
      <c r="F1005" s="214">
        <f>[34]人員・時間計画!C12</f>
        <v>0</v>
      </c>
      <c r="G1005" s="214">
        <f>[34]人員・時間計画!D12</f>
        <v>0</v>
      </c>
      <c r="H1005" s="214">
        <f>[34]人員・時間計画!E12</f>
        <v>0</v>
      </c>
      <c r="I1005" s="214">
        <f>[34]人員・時間計画!F12</f>
        <v>0</v>
      </c>
      <c r="J1005" s="214">
        <f>[34]人員・時間計画!G12</f>
        <v>0</v>
      </c>
      <c r="K1005" s="214">
        <f>[34]人員・時間計画!H12</f>
        <v>0</v>
      </c>
      <c r="L1005" s="214">
        <f>[34]人員・時間計画!I12</f>
        <v>0</v>
      </c>
      <c r="M1005" s="214">
        <f>[34]人員・時間計画!J12</f>
        <v>0</v>
      </c>
      <c r="N1005" s="214">
        <f>[34]人員・時間計画!K12</f>
        <v>0</v>
      </c>
      <c r="O1005" s="214">
        <f>[34]人員・時間計画!L12</f>
        <v>0</v>
      </c>
      <c r="P1005" s="214">
        <f>[34]人員・時間計画!M12</f>
        <v>0</v>
      </c>
      <c r="Q1005" s="214">
        <f>[34]人員・時間計画!N12</f>
        <v>0</v>
      </c>
    </row>
    <row r="1006" spans="1:17" ht="14.5" hidden="1" thickBot="1">
      <c r="A1006">
        <f>[34]人員・時間計画!$A$5</f>
        <v>1412000089</v>
      </c>
      <c r="B1006" t="str">
        <f>[34]人員・時間計画!$B$5</f>
        <v>メカ製造技術3課</v>
      </c>
      <c r="C1006" s="185" t="s">
        <v>3</v>
      </c>
      <c r="D1006" s="193"/>
      <c r="E1006" s="194" t="s">
        <v>138</v>
      </c>
      <c r="F1006" s="214">
        <f>[34]人員・時間計画!C13</f>
        <v>13</v>
      </c>
      <c r="G1006" s="214">
        <f>[34]人員・時間計画!D13</f>
        <v>13</v>
      </c>
      <c r="H1006" s="214">
        <f>[34]人員・時間計画!E13</f>
        <v>13</v>
      </c>
      <c r="I1006" s="214">
        <f>[34]人員・時間計画!F13</f>
        <v>13</v>
      </c>
      <c r="J1006" s="214">
        <f>[34]人員・時間計画!G13</f>
        <v>13</v>
      </c>
      <c r="K1006" s="214">
        <f>[34]人員・時間計画!H13</f>
        <v>13</v>
      </c>
      <c r="L1006" s="214">
        <f>[34]人員・時間計画!I13</f>
        <v>13</v>
      </c>
      <c r="M1006" s="214">
        <f>[34]人員・時間計画!J13</f>
        <v>13</v>
      </c>
      <c r="N1006" s="214">
        <f>[34]人員・時間計画!K13</f>
        <v>13</v>
      </c>
      <c r="O1006" s="214">
        <f>[34]人員・時間計画!L13</f>
        <v>13</v>
      </c>
      <c r="P1006" s="214">
        <f>[34]人員・時間計画!M13</f>
        <v>13</v>
      </c>
      <c r="Q1006" s="214">
        <f>[34]人員・時間計画!N13</f>
        <v>13</v>
      </c>
    </row>
    <row r="1007" spans="1:17" ht="14.5" hidden="1" thickBot="1">
      <c r="A1007">
        <f>[34]人員・時間計画!$A$5</f>
        <v>1412000089</v>
      </c>
      <c r="B1007" t="str">
        <f>[34]人員・時間計画!$B$5</f>
        <v>メカ製造技術3課</v>
      </c>
      <c r="C1007" s="185" t="s">
        <v>3</v>
      </c>
      <c r="D1007" s="195" t="s">
        <v>196</v>
      </c>
      <c r="E1007" s="196"/>
      <c r="F1007" s="214">
        <f>[34]人員・時間計画!C14</f>
        <v>13</v>
      </c>
      <c r="G1007" s="214">
        <f>[34]人員・時間計画!D14</f>
        <v>13</v>
      </c>
      <c r="H1007" s="214">
        <f>[34]人員・時間計画!E14</f>
        <v>13</v>
      </c>
      <c r="I1007" s="214">
        <f>[34]人員・時間計画!F14</f>
        <v>13</v>
      </c>
      <c r="J1007" s="214">
        <f>[34]人員・時間計画!G14</f>
        <v>13</v>
      </c>
      <c r="K1007" s="214">
        <f>[34]人員・時間計画!H14</f>
        <v>13</v>
      </c>
      <c r="L1007" s="214">
        <f>[34]人員・時間計画!I14</f>
        <v>13</v>
      </c>
      <c r="M1007" s="214">
        <f>[34]人員・時間計画!J14</f>
        <v>13</v>
      </c>
      <c r="N1007" s="214">
        <f>[34]人員・時間計画!K14</f>
        <v>13</v>
      </c>
      <c r="O1007" s="214">
        <f>[34]人員・時間計画!L14</f>
        <v>13</v>
      </c>
      <c r="P1007" s="214">
        <f>[34]人員・時間計画!M14</f>
        <v>13</v>
      </c>
      <c r="Q1007" s="214">
        <f>[34]人員・時間計画!N14</f>
        <v>13</v>
      </c>
    </row>
    <row r="1008" spans="1:17" ht="14.5" hidden="1" thickBot="1">
      <c r="A1008">
        <f>[34]人員・時間計画!$A$5</f>
        <v>1412000089</v>
      </c>
      <c r="B1008" t="str">
        <f>[34]人員・時間計画!$B$5</f>
        <v>メカ製造技術3課</v>
      </c>
      <c r="D1008" s="197"/>
      <c r="E1008" s="197"/>
    </row>
    <row r="1009" spans="1:17" ht="14.5" hidden="1" thickBot="1">
      <c r="A1009">
        <f>[34]人員・時間計画!$A$5</f>
        <v>1412000089</v>
      </c>
      <c r="B1009" t="str">
        <f>[34]人員・時間計画!$B$5</f>
        <v>メカ製造技術3課</v>
      </c>
      <c r="C1009" s="185" t="s">
        <v>202</v>
      </c>
      <c r="D1009" s="185" t="s">
        <v>202</v>
      </c>
      <c r="E1009" s="186"/>
    </row>
    <row r="1010" spans="1:17" ht="14.5" hidden="1" thickBot="1">
      <c r="A1010">
        <f>[34]人員・時間計画!$A$5</f>
        <v>1412000089</v>
      </c>
      <c r="B1010" t="str">
        <f>[34]人員・時間計画!$B$5</f>
        <v>メカ製造技術3課</v>
      </c>
      <c r="C1010" s="185" t="s">
        <v>202</v>
      </c>
      <c r="D1010" s="198" t="s">
        <v>194</v>
      </c>
      <c r="E1010" s="199"/>
      <c r="F1010" s="214">
        <f>[34]人員・時間計画!C17</f>
        <v>0</v>
      </c>
      <c r="G1010" s="214">
        <f>[34]人員・時間計画!D17</f>
        <v>0</v>
      </c>
      <c r="H1010" s="214">
        <f>[34]人員・時間計画!E17</f>
        <v>0</v>
      </c>
      <c r="I1010" s="214">
        <f>[34]人員・時間計画!F17</f>
        <v>0</v>
      </c>
      <c r="J1010" s="214">
        <f>[34]人員・時間計画!G17</f>
        <v>0</v>
      </c>
      <c r="K1010" s="214">
        <f>[34]人員・時間計画!H17</f>
        <v>0</v>
      </c>
      <c r="L1010" s="214">
        <f>[34]人員・時間計画!I17</f>
        <v>0</v>
      </c>
      <c r="M1010" s="214">
        <f>[34]人員・時間計画!J17</f>
        <v>0</v>
      </c>
      <c r="N1010" s="214">
        <f>[34]人員・時間計画!K17</f>
        <v>0</v>
      </c>
      <c r="O1010" s="214">
        <f>[34]人員・時間計画!L17</f>
        <v>0</v>
      </c>
      <c r="P1010" s="214">
        <f>[34]人員・時間計画!M17</f>
        <v>0</v>
      </c>
      <c r="Q1010" s="214">
        <f>[34]人員・時間計画!N17</f>
        <v>0</v>
      </c>
    </row>
    <row r="1011" spans="1:17" ht="14.5" hidden="1" thickBot="1">
      <c r="A1011">
        <f>[34]人員・時間計画!$A$5</f>
        <v>1412000089</v>
      </c>
      <c r="B1011" t="str">
        <f>[34]人員・時間計画!$B$5</f>
        <v>メカ製造技術3課</v>
      </c>
      <c r="C1011" s="185" t="s">
        <v>202</v>
      </c>
      <c r="D1011" s="200"/>
      <c r="E1011" s="190" t="s">
        <v>139</v>
      </c>
      <c r="F1011" s="214">
        <f>[34]人員・時間計画!C18</f>
        <v>2105</v>
      </c>
      <c r="G1011" s="214">
        <f>[34]人員・時間計画!D18</f>
        <v>2004</v>
      </c>
      <c r="H1011" s="214">
        <f>[34]人員・時間計画!E18</f>
        <v>2206</v>
      </c>
      <c r="I1011" s="214">
        <f>[34]人員・時間計画!F18</f>
        <v>2408</v>
      </c>
      <c r="J1011" s="214">
        <f>[34]人員・時間計画!G18</f>
        <v>2116.5</v>
      </c>
      <c r="K1011" s="214">
        <f>[34]人員・時間計画!H18</f>
        <v>2014.5</v>
      </c>
      <c r="L1011" s="214">
        <f>[34]人員・時間計画!I18</f>
        <v>2422.5</v>
      </c>
      <c r="M1011" s="214">
        <f>[34]人員・時間計画!J18</f>
        <v>2116.5</v>
      </c>
      <c r="N1011" s="214">
        <f>[34]人員・時間計画!K18</f>
        <v>2320.5</v>
      </c>
      <c r="O1011" s="214">
        <f>[34]人員・時間計画!L18</f>
        <v>2099.5</v>
      </c>
      <c r="P1011" s="214">
        <f>[34]人員・時間計画!M18</f>
        <v>1589.5</v>
      </c>
      <c r="Q1011" s="214">
        <f>[34]人員・時間計画!N18</f>
        <v>2091</v>
      </c>
    </row>
    <row r="1012" spans="1:17" ht="14.5" thickBot="1">
      <c r="A1012">
        <f>[34]人員・時間計画!$A$5</f>
        <v>1412000089</v>
      </c>
      <c r="B1012" t="str">
        <f>[34]人員・時間計画!$B$5</f>
        <v>メカ製造技術3課</v>
      </c>
      <c r="C1012" s="185" t="s">
        <v>202</v>
      </c>
      <c r="D1012" s="201" t="s">
        <v>195</v>
      </c>
      <c r="E1012" s="192" t="s">
        <v>140</v>
      </c>
      <c r="F1012" s="214">
        <f>[34]人員・時間計画!C19</f>
        <v>0</v>
      </c>
      <c r="G1012" s="214">
        <f>[34]人員・時間計画!D19</f>
        <v>0</v>
      </c>
      <c r="H1012" s="214">
        <f>[34]人員・時間計画!E19</f>
        <v>0</v>
      </c>
      <c r="I1012" s="214">
        <f>[34]人員・時間計画!F19</f>
        <v>0</v>
      </c>
      <c r="J1012" s="214">
        <f>[34]人員・時間計画!G19</f>
        <v>0</v>
      </c>
      <c r="K1012" s="214">
        <f>[34]人員・時間計画!H19</f>
        <v>0</v>
      </c>
      <c r="L1012" s="214">
        <f>[34]人員・時間計画!I19</f>
        <v>0</v>
      </c>
      <c r="M1012" s="214">
        <f>[34]人員・時間計画!J19</f>
        <v>0</v>
      </c>
      <c r="N1012" s="214">
        <f>[34]人員・時間計画!K19</f>
        <v>0</v>
      </c>
      <c r="O1012" s="214">
        <f>[34]人員・時間計画!L19</f>
        <v>0</v>
      </c>
      <c r="P1012" s="214">
        <f>[34]人員・時間計画!M19</f>
        <v>0</v>
      </c>
      <c r="Q1012" s="214">
        <f>[34]人員・時間計画!N19</f>
        <v>0</v>
      </c>
    </row>
    <row r="1013" spans="1:17" ht="14.5" hidden="1" thickBot="1">
      <c r="A1013">
        <f>[34]人員・時間計画!$A$5</f>
        <v>1412000089</v>
      </c>
      <c r="B1013" t="str">
        <f>[34]人員・時間計画!$B$5</f>
        <v>メカ製造技術3課</v>
      </c>
      <c r="C1013" s="185" t="s">
        <v>202</v>
      </c>
      <c r="D1013" s="202"/>
      <c r="E1013" s="203" t="s">
        <v>138</v>
      </c>
      <c r="F1013" s="214">
        <f>[34]人員・時間計画!C20</f>
        <v>2105</v>
      </c>
      <c r="G1013" s="214">
        <f>[34]人員・時間計画!D20</f>
        <v>2004</v>
      </c>
      <c r="H1013" s="214">
        <f>[34]人員・時間計画!E20</f>
        <v>2206</v>
      </c>
      <c r="I1013" s="214">
        <f>[34]人員・時間計画!F20</f>
        <v>2408</v>
      </c>
      <c r="J1013" s="214">
        <f>[34]人員・時間計画!G20</f>
        <v>2116.5</v>
      </c>
      <c r="K1013" s="214">
        <f>[34]人員・時間計画!H20</f>
        <v>2014.5</v>
      </c>
      <c r="L1013" s="214">
        <f>[34]人員・時間計画!I20</f>
        <v>2422.5</v>
      </c>
      <c r="M1013" s="214">
        <f>[34]人員・時間計画!J20</f>
        <v>2116.5</v>
      </c>
      <c r="N1013" s="214">
        <f>[34]人員・時間計画!K20</f>
        <v>2320.5</v>
      </c>
      <c r="O1013" s="214">
        <f>[34]人員・時間計画!L20</f>
        <v>2099.5</v>
      </c>
      <c r="P1013" s="214">
        <f>[34]人員・時間計画!M20</f>
        <v>1589.5</v>
      </c>
      <c r="Q1013" s="214">
        <f>[34]人員・時間計画!N20</f>
        <v>2091</v>
      </c>
    </row>
    <row r="1014" spans="1:17" ht="14.5" hidden="1" thickBot="1">
      <c r="A1014">
        <f>[34]人員・時間計画!$A$5</f>
        <v>1412000089</v>
      </c>
      <c r="B1014" t="str">
        <f>[34]人員・時間計画!$B$5</f>
        <v>メカ製造技術3課</v>
      </c>
      <c r="C1014" s="185" t="s">
        <v>202</v>
      </c>
      <c r="D1014" s="204" t="s">
        <v>215</v>
      </c>
      <c r="E1014" s="205"/>
      <c r="F1014" s="214">
        <f>[34]人員・時間計画!C21</f>
        <v>2105</v>
      </c>
      <c r="G1014" s="214">
        <f>[34]人員・時間計画!D21</f>
        <v>2004</v>
      </c>
      <c r="H1014" s="214">
        <f>[34]人員・時間計画!E21</f>
        <v>2206</v>
      </c>
      <c r="I1014" s="214">
        <f>[34]人員・時間計画!F21</f>
        <v>2408</v>
      </c>
      <c r="J1014" s="214">
        <f>[34]人員・時間計画!G21</f>
        <v>2116.5</v>
      </c>
      <c r="K1014" s="214">
        <f>[34]人員・時間計画!H21</f>
        <v>2014.5</v>
      </c>
      <c r="L1014" s="214">
        <f>[34]人員・時間計画!I21</f>
        <v>2422.5</v>
      </c>
      <c r="M1014" s="214">
        <f>[34]人員・時間計画!J21</f>
        <v>2116.5</v>
      </c>
      <c r="N1014" s="214">
        <f>[34]人員・時間計画!K21</f>
        <v>2320.5</v>
      </c>
      <c r="O1014" s="214">
        <f>[34]人員・時間計画!L21</f>
        <v>2099.5</v>
      </c>
      <c r="P1014" s="214">
        <f>[34]人員・時間計画!M21</f>
        <v>1589.5</v>
      </c>
      <c r="Q1014" s="214">
        <f>[34]人員・時間計画!N21</f>
        <v>2091</v>
      </c>
    </row>
    <row r="1015" spans="1:17" ht="14.5" hidden="1" thickBot="1">
      <c r="A1015">
        <f>[34]人員・時間計画!$A$5</f>
        <v>1412000089</v>
      </c>
      <c r="B1015" t="str">
        <f>[34]人員・時間計画!$B$5</f>
        <v>メカ製造技術3課</v>
      </c>
      <c r="D1015" s="197"/>
      <c r="E1015" s="197"/>
    </row>
    <row r="1016" spans="1:17" ht="14.5" hidden="1" thickBot="1">
      <c r="A1016">
        <f>[34]人員・時間計画!$A$5</f>
        <v>1412000089</v>
      </c>
      <c r="B1016" t="str">
        <f>[34]人員・時間計画!$B$5</f>
        <v>メカ製造技術3課</v>
      </c>
      <c r="C1016" s="185" t="s">
        <v>71</v>
      </c>
      <c r="D1016" s="185" t="s">
        <v>71</v>
      </c>
      <c r="E1016" s="186"/>
    </row>
    <row r="1017" spans="1:17" ht="14.5" hidden="1" thickBot="1">
      <c r="A1017">
        <f>[34]人員・時間計画!$A$5</f>
        <v>1412000089</v>
      </c>
      <c r="B1017" t="str">
        <f>[34]人員・時間計画!$B$5</f>
        <v>メカ製造技術3課</v>
      </c>
      <c r="C1017" s="185" t="s">
        <v>71</v>
      </c>
      <c r="D1017" s="198" t="s">
        <v>194</v>
      </c>
      <c r="E1017" s="199"/>
      <c r="F1017" s="214">
        <f>[34]人員・時間計画!C24</f>
        <v>0</v>
      </c>
      <c r="G1017" s="214">
        <f>[34]人員・時間計画!D24</f>
        <v>0</v>
      </c>
      <c r="H1017" s="214">
        <f>[34]人員・時間計画!E24</f>
        <v>0</v>
      </c>
      <c r="I1017" s="214">
        <f>[34]人員・時間計画!F24</f>
        <v>0</v>
      </c>
      <c r="J1017" s="214">
        <f>[34]人員・時間計画!G24</f>
        <v>0</v>
      </c>
      <c r="K1017" s="214">
        <f>[34]人員・時間計画!H24</f>
        <v>0</v>
      </c>
      <c r="L1017" s="214">
        <f>[34]人員・時間計画!I24</f>
        <v>0</v>
      </c>
      <c r="M1017" s="214">
        <f>[34]人員・時間計画!J24</f>
        <v>0</v>
      </c>
      <c r="N1017" s="214">
        <f>[34]人員・時間計画!K24</f>
        <v>0</v>
      </c>
      <c r="O1017" s="214">
        <f>[34]人員・時間計画!L24</f>
        <v>0</v>
      </c>
      <c r="P1017" s="214">
        <f>[34]人員・時間計画!M24</f>
        <v>0</v>
      </c>
      <c r="Q1017" s="214">
        <f>[34]人員・時間計画!N24</f>
        <v>0</v>
      </c>
    </row>
    <row r="1018" spans="1:17" ht="14.5" hidden="1" thickBot="1">
      <c r="A1018">
        <f>[34]人員・時間計画!$A$5</f>
        <v>1412000089</v>
      </c>
      <c r="B1018" t="str">
        <f>[34]人員・時間計画!$B$5</f>
        <v>メカ製造技術3課</v>
      </c>
      <c r="C1018" s="185" t="s">
        <v>71</v>
      </c>
      <c r="D1018" s="200"/>
      <c r="E1018" s="206" t="s">
        <v>139</v>
      </c>
      <c r="F1018" s="214">
        <f>[34]人員・時間計画!C25</f>
        <v>80</v>
      </c>
      <c r="G1018" s="214">
        <f>[34]人員・時間計画!D25</f>
        <v>74</v>
      </c>
      <c r="H1018" s="214">
        <f>[34]人員・時間計画!E25</f>
        <v>127</v>
      </c>
      <c r="I1018" s="214">
        <f>[34]人員・時間計画!F25</f>
        <v>137</v>
      </c>
      <c r="J1018" s="214">
        <f>[34]人員・時間計画!G25</f>
        <v>78</v>
      </c>
      <c r="K1018" s="214">
        <f>[34]人員・時間計画!H25</f>
        <v>76</v>
      </c>
      <c r="L1018" s="214">
        <f>[34]人員・時間計画!I25</f>
        <v>120</v>
      </c>
      <c r="M1018" s="214">
        <f>[34]人員・時間計画!J25</f>
        <v>125</v>
      </c>
      <c r="N1018" s="214">
        <f>[34]人員・時間計画!K25</f>
        <v>86</v>
      </c>
      <c r="O1018" s="214">
        <f>[34]人員・時間計画!L25</f>
        <v>80</v>
      </c>
      <c r="P1018" s="214">
        <f>[34]人員・時間計画!M25</f>
        <v>60</v>
      </c>
      <c r="Q1018" s="214">
        <f>[34]人員・時間計画!N25</f>
        <v>125</v>
      </c>
    </row>
    <row r="1019" spans="1:17" ht="14.5" thickBot="1">
      <c r="A1019">
        <f>[34]人員・時間計画!$A$5</f>
        <v>1412000089</v>
      </c>
      <c r="B1019" t="str">
        <f>[34]人員・時間計画!$B$5</f>
        <v>メカ製造技術3課</v>
      </c>
      <c r="C1019" s="185" t="s">
        <v>71</v>
      </c>
      <c r="D1019" s="201" t="s">
        <v>195</v>
      </c>
      <c r="E1019" s="207" t="s">
        <v>140</v>
      </c>
      <c r="F1019" s="214">
        <f>[34]人員・時間計画!C26</f>
        <v>0</v>
      </c>
      <c r="G1019" s="214">
        <f>[34]人員・時間計画!D26</f>
        <v>0</v>
      </c>
      <c r="H1019" s="214">
        <f>[34]人員・時間計画!E26</f>
        <v>0</v>
      </c>
      <c r="I1019" s="214">
        <f>[34]人員・時間計画!F26</f>
        <v>0</v>
      </c>
      <c r="J1019" s="214">
        <f>[34]人員・時間計画!G26</f>
        <v>0</v>
      </c>
      <c r="K1019" s="214">
        <f>[34]人員・時間計画!H26</f>
        <v>0</v>
      </c>
      <c r="L1019" s="214">
        <f>[34]人員・時間計画!I26</f>
        <v>0</v>
      </c>
      <c r="M1019" s="214">
        <f>[34]人員・時間計画!J26</f>
        <v>0</v>
      </c>
      <c r="N1019" s="214">
        <f>[34]人員・時間計画!K26</f>
        <v>0</v>
      </c>
      <c r="O1019" s="214">
        <f>[34]人員・時間計画!L26</f>
        <v>0</v>
      </c>
      <c r="P1019" s="214">
        <f>[34]人員・時間計画!M26</f>
        <v>0</v>
      </c>
      <c r="Q1019" s="214">
        <f>[34]人員・時間計画!N26</f>
        <v>0</v>
      </c>
    </row>
    <row r="1020" spans="1:17" ht="14.5" hidden="1" thickBot="1">
      <c r="A1020">
        <f>[34]人員・時間計画!$A$5</f>
        <v>1412000089</v>
      </c>
      <c r="B1020" t="str">
        <f>[34]人員・時間計画!$B$5</f>
        <v>メカ製造技術3課</v>
      </c>
      <c r="C1020" s="185" t="s">
        <v>71</v>
      </c>
      <c r="D1020" s="202"/>
      <c r="E1020" s="203" t="s">
        <v>138</v>
      </c>
      <c r="F1020" s="214">
        <f>[34]人員・時間計画!C27</f>
        <v>80</v>
      </c>
      <c r="G1020" s="214">
        <f>[34]人員・時間計画!D27</f>
        <v>74</v>
      </c>
      <c r="H1020" s="214">
        <f>[34]人員・時間計画!E27</f>
        <v>127</v>
      </c>
      <c r="I1020" s="214">
        <f>[34]人員・時間計画!F27</f>
        <v>137</v>
      </c>
      <c r="J1020" s="214">
        <f>[34]人員・時間計画!G27</f>
        <v>78</v>
      </c>
      <c r="K1020" s="214">
        <f>[34]人員・時間計画!H27</f>
        <v>76</v>
      </c>
      <c r="L1020" s="214">
        <f>[34]人員・時間計画!I27</f>
        <v>120</v>
      </c>
      <c r="M1020" s="214">
        <f>[34]人員・時間計画!J27</f>
        <v>125</v>
      </c>
      <c r="N1020" s="214">
        <f>[34]人員・時間計画!K27</f>
        <v>86</v>
      </c>
      <c r="O1020" s="214">
        <f>[34]人員・時間計画!L27</f>
        <v>80</v>
      </c>
      <c r="P1020" s="214">
        <f>[34]人員・時間計画!M27</f>
        <v>60</v>
      </c>
      <c r="Q1020" s="214">
        <f>[34]人員・時間計画!N27</f>
        <v>125</v>
      </c>
    </row>
    <row r="1021" spans="1:17" ht="14.5" hidden="1" thickBot="1">
      <c r="A1021">
        <f>[34]人員・時間計画!$A$5</f>
        <v>1412000089</v>
      </c>
      <c r="B1021" t="str">
        <f>[34]人員・時間計画!$B$5</f>
        <v>メカ製造技術3課</v>
      </c>
      <c r="C1021" s="185" t="s">
        <v>71</v>
      </c>
      <c r="D1021" s="204" t="s">
        <v>216</v>
      </c>
      <c r="E1021" s="205"/>
      <c r="F1021" s="214">
        <f>[34]人員・時間計画!C28</f>
        <v>80</v>
      </c>
      <c r="G1021" s="214">
        <f>[34]人員・時間計画!D28</f>
        <v>74</v>
      </c>
      <c r="H1021" s="214">
        <f>[34]人員・時間計画!E28</f>
        <v>127</v>
      </c>
      <c r="I1021" s="214">
        <f>[34]人員・時間計画!F28</f>
        <v>137</v>
      </c>
      <c r="J1021" s="214">
        <f>[34]人員・時間計画!G28</f>
        <v>78</v>
      </c>
      <c r="K1021" s="214">
        <f>[34]人員・時間計画!H28</f>
        <v>76</v>
      </c>
      <c r="L1021" s="214">
        <f>[34]人員・時間計画!I28</f>
        <v>120</v>
      </c>
      <c r="M1021" s="214">
        <f>[34]人員・時間計画!J28</f>
        <v>125</v>
      </c>
      <c r="N1021" s="214">
        <f>[34]人員・時間計画!K28</f>
        <v>86</v>
      </c>
      <c r="O1021" s="214">
        <f>[34]人員・時間計画!L28</f>
        <v>80</v>
      </c>
      <c r="P1021" s="214">
        <f>[34]人員・時間計画!M28</f>
        <v>60</v>
      </c>
      <c r="Q1021" s="214">
        <f>[34]人員・時間計画!N28</f>
        <v>125</v>
      </c>
    </row>
    <row r="1022" spans="1:17" ht="14.5" hidden="1" thickBot="1">
      <c r="A1022">
        <f>[55]人員・時間計画!$A$5</f>
        <v>1412000091</v>
      </c>
      <c r="B1022" t="str">
        <f>[55]人員・時間計画!$B$5</f>
        <v>保安課</v>
      </c>
      <c r="C1022" s="185" t="s">
        <v>3</v>
      </c>
      <c r="D1022" s="185" t="s">
        <v>3</v>
      </c>
      <c r="E1022" s="186"/>
    </row>
    <row r="1023" spans="1:17" ht="14.5" hidden="1" thickBot="1">
      <c r="A1023">
        <f>[55]人員・時間計画!$A$5</f>
        <v>1412000091</v>
      </c>
      <c r="B1023" t="str">
        <f>[55]人員・時間計画!$B$5</f>
        <v>保安課</v>
      </c>
      <c r="C1023" s="185" t="s">
        <v>3</v>
      </c>
      <c r="D1023" s="187" t="s">
        <v>194</v>
      </c>
      <c r="E1023" s="188"/>
      <c r="F1023" s="214">
        <f>[55]人員・時間計画!C10</f>
        <v>0</v>
      </c>
      <c r="G1023" s="214">
        <f>[55]人員・時間計画!D10</f>
        <v>0</v>
      </c>
      <c r="H1023" s="214">
        <f>[55]人員・時間計画!E10</f>
        <v>0</v>
      </c>
      <c r="I1023" s="214">
        <f>[55]人員・時間計画!F10</f>
        <v>0</v>
      </c>
      <c r="J1023" s="214">
        <f>[55]人員・時間計画!G10</f>
        <v>0</v>
      </c>
      <c r="K1023" s="214">
        <f>[55]人員・時間計画!H10</f>
        <v>0</v>
      </c>
      <c r="L1023" s="214">
        <f>[55]人員・時間計画!I10</f>
        <v>0</v>
      </c>
      <c r="M1023" s="214">
        <f>[55]人員・時間計画!J10</f>
        <v>0</v>
      </c>
      <c r="N1023" s="214">
        <f>[55]人員・時間計画!K10</f>
        <v>0</v>
      </c>
      <c r="O1023" s="214">
        <f>[55]人員・時間計画!L10</f>
        <v>0</v>
      </c>
      <c r="P1023" s="214">
        <f>[55]人員・時間計画!M10</f>
        <v>0</v>
      </c>
      <c r="Q1023" s="214">
        <f>[55]人員・時間計画!N10</f>
        <v>0</v>
      </c>
    </row>
    <row r="1024" spans="1:17" ht="14.5" hidden="1" thickBot="1">
      <c r="A1024">
        <f>[55]人員・時間計画!$A$5</f>
        <v>1412000091</v>
      </c>
      <c r="B1024" t="str">
        <f>[55]人員・時間計画!$B$5</f>
        <v>保安課</v>
      </c>
      <c r="C1024" s="185" t="s">
        <v>3</v>
      </c>
      <c r="D1024" s="189"/>
      <c r="E1024" s="190" t="s">
        <v>139</v>
      </c>
      <c r="F1024" s="214">
        <f>[55]人員・時間計画!C11</f>
        <v>3</v>
      </c>
      <c r="G1024" s="214">
        <f>[55]人員・時間計画!D11</f>
        <v>3</v>
      </c>
      <c r="H1024" s="214">
        <f>[55]人員・時間計画!E11</f>
        <v>3</v>
      </c>
      <c r="I1024" s="214">
        <f>[55]人員・時間計画!F11</f>
        <v>3</v>
      </c>
      <c r="J1024" s="214">
        <f>[55]人員・時間計画!G11</f>
        <v>3</v>
      </c>
      <c r="K1024" s="214">
        <f>[55]人員・時間計画!H11</f>
        <v>3</v>
      </c>
      <c r="L1024" s="214">
        <f>[55]人員・時間計画!I11</f>
        <v>3</v>
      </c>
      <c r="M1024" s="214">
        <f>[55]人員・時間計画!J11</f>
        <v>3</v>
      </c>
      <c r="N1024" s="214">
        <f>[55]人員・時間計画!K11</f>
        <v>3</v>
      </c>
      <c r="O1024" s="214">
        <f>[55]人員・時間計画!L11</f>
        <v>3</v>
      </c>
      <c r="P1024" s="214">
        <f>[55]人員・時間計画!M11</f>
        <v>3</v>
      </c>
      <c r="Q1024" s="214">
        <f>[55]人員・時間計画!N11</f>
        <v>3</v>
      </c>
    </row>
    <row r="1025" spans="1:17" ht="14.5" thickBot="1">
      <c r="A1025">
        <f>[55]人員・時間計画!$A$5</f>
        <v>1412000091</v>
      </c>
      <c r="B1025" t="str">
        <f>[55]人員・時間計画!$B$5</f>
        <v>保安課</v>
      </c>
      <c r="C1025" s="185" t="s">
        <v>3</v>
      </c>
      <c r="D1025" s="191" t="s">
        <v>195</v>
      </c>
      <c r="E1025" s="192" t="s">
        <v>140</v>
      </c>
      <c r="F1025" s="214">
        <f>[55]人員・時間計画!C12</f>
        <v>67</v>
      </c>
      <c r="G1025" s="214">
        <f>[55]人員・時間計画!D12</f>
        <v>67</v>
      </c>
      <c r="H1025" s="214">
        <f>[55]人員・時間計画!E12</f>
        <v>67</v>
      </c>
      <c r="I1025" s="214">
        <f>[55]人員・時間計画!F12</f>
        <v>67</v>
      </c>
      <c r="J1025" s="214">
        <f>[55]人員・時間計画!G12</f>
        <v>67</v>
      </c>
      <c r="K1025" s="214">
        <f>[55]人員・時間計画!H12</f>
        <v>67</v>
      </c>
      <c r="L1025" s="214">
        <f>[55]人員・時間計画!I12</f>
        <v>67</v>
      </c>
      <c r="M1025" s="214">
        <f>[55]人員・時間計画!J12</f>
        <v>67</v>
      </c>
      <c r="N1025" s="214">
        <f>[55]人員・時間計画!K12</f>
        <v>67</v>
      </c>
      <c r="O1025" s="214">
        <f>[55]人員・時間計画!L12</f>
        <v>67</v>
      </c>
      <c r="P1025" s="214">
        <f>[55]人員・時間計画!M12</f>
        <v>67</v>
      </c>
      <c r="Q1025" s="214">
        <f>[55]人員・時間計画!N12</f>
        <v>67</v>
      </c>
    </row>
    <row r="1026" spans="1:17" ht="14.5" hidden="1" thickBot="1">
      <c r="A1026">
        <f>[55]人員・時間計画!$A$5</f>
        <v>1412000091</v>
      </c>
      <c r="B1026" t="str">
        <f>[55]人員・時間計画!$B$5</f>
        <v>保安課</v>
      </c>
      <c r="C1026" s="185" t="s">
        <v>3</v>
      </c>
      <c r="D1026" s="193"/>
      <c r="E1026" s="194" t="s">
        <v>138</v>
      </c>
      <c r="F1026" s="214">
        <f>[55]人員・時間計画!C13</f>
        <v>70</v>
      </c>
      <c r="G1026" s="214">
        <f>[55]人員・時間計画!D13</f>
        <v>70</v>
      </c>
      <c r="H1026" s="214">
        <f>[55]人員・時間計画!E13</f>
        <v>70</v>
      </c>
      <c r="I1026" s="214">
        <f>[55]人員・時間計画!F13</f>
        <v>70</v>
      </c>
      <c r="J1026" s="214">
        <f>[55]人員・時間計画!G13</f>
        <v>70</v>
      </c>
      <c r="K1026" s="214">
        <f>[55]人員・時間計画!H13</f>
        <v>70</v>
      </c>
      <c r="L1026" s="214">
        <f>[55]人員・時間計画!I13</f>
        <v>70</v>
      </c>
      <c r="M1026" s="214">
        <f>[55]人員・時間計画!J13</f>
        <v>70</v>
      </c>
      <c r="N1026" s="214">
        <f>[55]人員・時間計画!K13</f>
        <v>70</v>
      </c>
      <c r="O1026" s="214">
        <f>[55]人員・時間計画!L13</f>
        <v>70</v>
      </c>
      <c r="P1026" s="214">
        <f>[55]人員・時間計画!M13</f>
        <v>70</v>
      </c>
      <c r="Q1026" s="214">
        <f>[55]人員・時間計画!N13</f>
        <v>70</v>
      </c>
    </row>
    <row r="1027" spans="1:17" ht="14.5" hidden="1" thickBot="1">
      <c r="A1027">
        <f>[55]人員・時間計画!$A$5</f>
        <v>1412000091</v>
      </c>
      <c r="B1027" t="str">
        <f>[55]人員・時間計画!$B$5</f>
        <v>保安課</v>
      </c>
      <c r="C1027" s="185" t="s">
        <v>3</v>
      </c>
      <c r="D1027" s="195" t="s">
        <v>196</v>
      </c>
      <c r="E1027" s="196"/>
      <c r="F1027" s="214">
        <f>[55]人員・時間計画!C14</f>
        <v>70</v>
      </c>
      <c r="G1027" s="214">
        <f>[55]人員・時間計画!D14</f>
        <v>70</v>
      </c>
      <c r="H1027" s="214">
        <f>[55]人員・時間計画!E14</f>
        <v>70</v>
      </c>
      <c r="I1027" s="214">
        <f>[55]人員・時間計画!F14</f>
        <v>70</v>
      </c>
      <c r="J1027" s="214">
        <f>[55]人員・時間計画!G14</f>
        <v>70</v>
      </c>
      <c r="K1027" s="214">
        <f>[55]人員・時間計画!H14</f>
        <v>70</v>
      </c>
      <c r="L1027" s="214">
        <f>[55]人員・時間計画!I14</f>
        <v>70</v>
      </c>
      <c r="M1027" s="214">
        <f>[55]人員・時間計画!J14</f>
        <v>70</v>
      </c>
      <c r="N1027" s="214">
        <f>[55]人員・時間計画!K14</f>
        <v>70</v>
      </c>
      <c r="O1027" s="214">
        <f>[55]人員・時間計画!L14</f>
        <v>70</v>
      </c>
      <c r="P1027" s="214">
        <f>[55]人員・時間計画!M14</f>
        <v>70</v>
      </c>
      <c r="Q1027" s="214">
        <f>[55]人員・時間計画!N14</f>
        <v>70</v>
      </c>
    </row>
    <row r="1028" spans="1:17" ht="14.5" hidden="1" thickBot="1">
      <c r="A1028">
        <f>[55]人員・時間計画!$A$5</f>
        <v>1412000091</v>
      </c>
      <c r="B1028" t="str">
        <f>[55]人員・時間計画!$B$5</f>
        <v>保安課</v>
      </c>
      <c r="D1028" s="197"/>
      <c r="E1028" s="197"/>
    </row>
    <row r="1029" spans="1:17" ht="14.5" hidden="1" thickBot="1">
      <c r="A1029">
        <f>[55]人員・時間計画!$A$5</f>
        <v>1412000091</v>
      </c>
      <c r="B1029" t="str">
        <f>[55]人員・時間計画!$B$5</f>
        <v>保安課</v>
      </c>
      <c r="C1029" s="185" t="s">
        <v>202</v>
      </c>
      <c r="D1029" s="185" t="s">
        <v>202</v>
      </c>
      <c r="E1029" s="186"/>
    </row>
    <row r="1030" spans="1:17" ht="14.5" hidden="1" thickBot="1">
      <c r="A1030">
        <f>[55]人員・時間計画!$A$5</f>
        <v>1412000091</v>
      </c>
      <c r="B1030" t="str">
        <f>[55]人員・時間計画!$B$5</f>
        <v>保安課</v>
      </c>
      <c r="C1030" s="185" t="s">
        <v>202</v>
      </c>
      <c r="D1030" s="198" t="s">
        <v>194</v>
      </c>
      <c r="E1030" s="199"/>
      <c r="F1030" s="214">
        <f>[55]人員・時間計画!C17</f>
        <v>0</v>
      </c>
      <c r="G1030" s="214">
        <f>[55]人員・時間計画!D17</f>
        <v>0</v>
      </c>
      <c r="H1030" s="214">
        <f>[55]人員・時間計画!E17</f>
        <v>0</v>
      </c>
      <c r="I1030" s="214">
        <f>[55]人員・時間計画!F17</f>
        <v>0</v>
      </c>
      <c r="J1030" s="214">
        <f>[55]人員・時間計画!G17</f>
        <v>0</v>
      </c>
      <c r="K1030" s="214">
        <f>[55]人員・時間計画!H17</f>
        <v>0</v>
      </c>
      <c r="L1030" s="214">
        <f>[55]人員・時間計画!I17</f>
        <v>0</v>
      </c>
      <c r="M1030" s="214">
        <f>[55]人員・時間計画!J17</f>
        <v>0</v>
      </c>
      <c r="N1030" s="214">
        <f>[55]人員・時間計画!K17</f>
        <v>0</v>
      </c>
      <c r="O1030" s="214">
        <f>[55]人員・時間計画!L17</f>
        <v>0</v>
      </c>
      <c r="P1030" s="214">
        <f>[55]人員・時間計画!M17</f>
        <v>0</v>
      </c>
      <c r="Q1030" s="214">
        <f>[55]人員・時間計画!N17</f>
        <v>0</v>
      </c>
    </row>
    <row r="1031" spans="1:17" ht="14.5" hidden="1" thickBot="1">
      <c r="A1031">
        <f>[55]人員・時間計画!$A$5</f>
        <v>1412000091</v>
      </c>
      <c r="B1031" t="str">
        <f>[55]人員・時間計画!$B$5</f>
        <v>保安課</v>
      </c>
      <c r="C1031" s="185" t="s">
        <v>202</v>
      </c>
      <c r="D1031" s="200"/>
      <c r="E1031" s="190" t="s">
        <v>139</v>
      </c>
      <c r="F1031" s="214">
        <f>[55]人員・時間計画!C18</f>
        <v>490</v>
      </c>
      <c r="G1031" s="214">
        <f>[55]人員・時間計画!D18</f>
        <v>503</v>
      </c>
      <c r="H1031" s="214">
        <f>[55]人員・時間計画!E18</f>
        <v>522</v>
      </c>
      <c r="I1031" s="214">
        <f>[55]人員・時間計画!F18</f>
        <v>571</v>
      </c>
      <c r="J1031" s="214">
        <f>[55]人員・時間計画!G18</f>
        <v>512.5</v>
      </c>
      <c r="K1031" s="214">
        <f>[55]人員・時間計画!H18</f>
        <v>480.5</v>
      </c>
      <c r="L1031" s="214">
        <f>[55]人員・時間計画!I18</f>
        <v>571</v>
      </c>
      <c r="M1031" s="214">
        <f>[55]人員・時間計画!J18</f>
        <v>497.5</v>
      </c>
      <c r="N1031" s="214">
        <f>[55]人員・時間計画!K18</f>
        <v>561.5</v>
      </c>
      <c r="O1031" s="214">
        <f>[55]人員・時間計画!L18</f>
        <v>505</v>
      </c>
      <c r="P1031" s="214">
        <f>[55]人員・時間計画!M18</f>
        <v>382.5</v>
      </c>
      <c r="Q1031" s="214">
        <f>[55]人員・時間計画!N18</f>
        <v>505</v>
      </c>
    </row>
    <row r="1032" spans="1:17" ht="14.5" thickBot="1">
      <c r="A1032">
        <f>[55]人員・時間計画!$A$5</f>
        <v>1412000091</v>
      </c>
      <c r="B1032" t="str">
        <f>[55]人員・時間計画!$B$5</f>
        <v>保安課</v>
      </c>
      <c r="C1032" s="185" t="s">
        <v>202</v>
      </c>
      <c r="D1032" s="201" t="s">
        <v>195</v>
      </c>
      <c r="E1032" s="192" t="s">
        <v>140</v>
      </c>
      <c r="F1032" s="214">
        <f>[55]人員・時間計画!C19</f>
        <v>10500</v>
      </c>
      <c r="G1032" s="214">
        <f>[55]人員・時間計画!D19</f>
        <v>11250</v>
      </c>
      <c r="H1032" s="214">
        <f>[55]人員・時間計画!E19</f>
        <v>11250</v>
      </c>
      <c r="I1032" s="214">
        <f>[55]人員・時間計画!F19</f>
        <v>11625</v>
      </c>
      <c r="J1032" s="214">
        <f>[55]人員・時間計画!G19</f>
        <v>11625</v>
      </c>
      <c r="K1032" s="214">
        <f>[55]人員・時間計画!H19</f>
        <v>10500</v>
      </c>
      <c r="L1032" s="214">
        <f>[55]人員・時間計画!I19</f>
        <v>11625</v>
      </c>
      <c r="M1032" s="214">
        <f>[55]人員・時間計画!J19</f>
        <v>11250</v>
      </c>
      <c r="N1032" s="214">
        <f>[55]人員・時間計画!K19</f>
        <v>11625</v>
      </c>
      <c r="O1032" s="214">
        <f>[55]人員・時間計画!L19</f>
        <v>11625</v>
      </c>
      <c r="P1032" s="214">
        <f>[55]人員・時間計画!M19</f>
        <v>8625</v>
      </c>
      <c r="Q1032" s="214">
        <f>[55]人員・時間計画!N19</f>
        <v>11625</v>
      </c>
    </row>
    <row r="1033" spans="1:17" ht="14.5" hidden="1" thickBot="1">
      <c r="A1033">
        <f>[55]人員・時間計画!$A$5</f>
        <v>1412000091</v>
      </c>
      <c r="B1033" t="str">
        <f>[55]人員・時間計画!$B$5</f>
        <v>保安課</v>
      </c>
      <c r="C1033" s="185" t="s">
        <v>202</v>
      </c>
      <c r="D1033" s="202"/>
      <c r="E1033" s="203" t="s">
        <v>138</v>
      </c>
      <c r="F1033" s="214">
        <f>[55]人員・時間計画!C20</f>
        <v>10990</v>
      </c>
      <c r="G1033" s="214">
        <f>[55]人員・時間計画!D20</f>
        <v>11753</v>
      </c>
      <c r="H1033" s="214">
        <f>[55]人員・時間計画!E20</f>
        <v>11772</v>
      </c>
      <c r="I1033" s="214">
        <f>[55]人員・時間計画!F20</f>
        <v>12196</v>
      </c>
      <c r="J1033" s="214">
        <f>[55]人員・時間計画!G20</f>
        <v>12137.5</v>
      </c>
      <c r="K1033" s="214">
        <f>[55]人員・時間計画!H20</f>
        <v>10980.5</v>
      </c>
      <c r="L1033" s="214">
        <f>[55]人員・時間計画!I20</f>
        <v>12196</v>
      </c>
      <c r="M1033" s="214">
        <f>[55]人員・時間計画!J20</f>
        <v>11747.5</v>
      </c>
      <c r="N1033" s="214">
        <f>[55]人員・時間計画!K20</f>
        <v>12186.5</v>
      </c>
      <c r="O1033" s="214">
        <f>[55]人員・時間計画!L20</f>
        <v>12130</v>
      </c>
      <c r="P1033" s="214">
        <f>[55]人員・時間計画!M20</f>
        <v>9007.5</v>
      </c>
      <c r="Q1033" s="214">
        <f>[55]人員・時間計画!N20</f>
        <v>12130</v>
      </c>
    </row>
    <row r="1034" spans="1:17" ht="14.5" hidden="1" thickBot="1">
      <c r="A1034">
        <f>[55]人員・時間計画!$A$5</f>
        <v>1412000091</v>
      </c>
      <c r="B1034" t="str">
        <f>[55]人員・時間計画!$B$5</f>
        <v>保安課</v>
      </c>
      <c r="C1034" s="185" t="s">
        <v>202</v>
      </c>
      <c r="D1034" s="204" t="s">
        <v>215</v>
      </c>
      <c r="E1034" s="205"/>
      <c r="F1034" s="214">
        <f>[55]人員・時間計画!C21</f>
        <v>10990</v>
      </c>
      <c r="G1034" s="214">
        <f>[55]人員・時間計画!D21</f>
        <v>11753</v>
      </c>
      <c r="H1034" s="214">
        <f>[55]人員・時間計画!E21</f>
        <v>11772</v>
      </c>
      <c r="I1034" s="214">
        <f>[55]人員・時間計画!F21</f>
        <v>12196</v>
      </c>
      <c r="J1034" s="214">
        <f>[55]人員・時間計画!G21</f>
        <v>12137.5</v>
      </c>
      <c r="K1034" s="214">
        <f>[55]人員・時間計画!H21</f>
        <v>10980.5</v>
      </c>
      <c r="L1034" s="214">
        <f>[55]人員・時間計画!I21</f>
        <v>12196</v>
      </c>
      <c r="M1034" s="214">
        <f>[55]人員・時間計画!J21</f>
        <v>11747.5</v>
      </c>
      <c r="N1034" s="214">
        <f>[55]人員・時間計画!K21</f>
        <v>12186.5</v>
      </c>
      <c r="O1034" s="214">
        <f>[55]人員・時間計画!L21</f>
        <v>12130</v>
      </c>
      <c r="P1034" s="214">
        <f>[55]人員・時間計画!M21</f>
        <v>9007.5</v>
      </c>
      <c r="Q1034" s="214">
        <f>[55]人員・時間計画!N21</f>
        <v>12130</v>
      </c>
    </row>
    <row r="1035" spans="1:17" ht="14.5" hidden="1" thickBot="1">
      <c r="A1035">
        <f>[55]人員・時間計画!$A$5</f>
        <v>1412000091</v>
      </c>
      <c r="B1035" t="str">
        <f>[55]人員・時間計画!$B$5</f>
        <v>保安課</v>
      </c>
      <c r="D1035" s="197"/>
      <c r="E1035" s="197"/>
    </row>
    <row r="1036" spans="1:17" ht="14.5" hidden="1" thickBot="1">
      <c r="A1036">
        <f>[55]人員・時間計画!$A$5</f>
        <v>1412000091</v>
      </c>
      <c r="B1036" t="str">
        <f>[55]人員・時間計画!$B$5</f>
        <v>保安課</v>
      </c>
      <c r="C1036" s="185" t="s">
        <v>71</v>
      </c>
      <c r="D1036" s="185" t="s">
        <v>71</v>
      </c>
      <c r="E1036" s="186"/>
    </row>
    <row r="1037" spans="1:17" ht="14.5" hidden="1" thickBot="1">
      <c r="A1037">
        <f>[55]人員・時間計画!$A$5</f>
        <v>1412000091</v>
      </c>
      <c r="B1037" t="str">
        <f>[55]人員・時間計画!$B$5</f>
        <v>保安課</v>
      </c>
      <c r="C1037" s="185" t="s">
        <v>71</v>
      </c>
      <c r="D1037" s="198" t="s">
        <v>194</v>
      </c>
      <c r="E1037" s="199"/>
      <c r="F1037" s="214">
        <f>[55]人員・時間計画!C24</f>
        <v>0</v>
      </c>
      <c r="G1037" s="214">
        <f>[55]人員・時間計画!D24</f>
        <v>0</v>
      </c>
      <c r="H1037" s="214">
        <f>[55]人員・時間計画!E24</f>
        <v>0</v>
      </c>
      <c r="I1037" s="214">
        <f>[55]人員・時間計画!F24</f>
        <v>0</v>
      </c>
      <c r="J1037" s="214">
        <f>[55]人員・時間計画!G24</f>
        <v>0</v>
      </c>
      <c r="K1037" s="214">
        <f>[55]人員・時間計画!H24</f>
        <v>0</v>
      </c>
      <c r="L1037" s="214">
        <f>[55]人員・時間計画!I24</f>
        <v>0</v>
      </c>
      <c r="M1037" s="214">
        <f>[55]人員・時間計画!J24</f>
        <v>0</v>
      </c>
      <c r="N1037" s="214">
        <f>[55]人員・時間計画!K24</f>
        <v>0</v>
      </c>
      <c r="O1037" s="214">
        <f>[55]人員・時間計画!L24</f>
        <v>0</v>
      </c>
      <c r="P1037" s="214">
        <f>[55]人員・時間計画!M24</f>
        <v>0</v>
      </c>
      <c r="Q1037" s="214">
        <f>[55]人員・時間計画!N24</f>
        <v>0</v>
      </c>
    </row>
    <row r="1038" spans="1:17" ht="14.5" hidden="1" thickBot="1">
      <c r="A1038">
        <f>[55]人員・時間計画!$A$5</f>
        <v>1412000091</v>
      </c>
      <c r="B1038" t="str">
        <f>[55]人員・時間計画!$B$5</f>
        <v>保安課</v>
      </c>
      <c r="C1038" s="185" t="s">
        <v>71</v>
      </c>
      <c r="D1038" s="200"/>
      <c r="E1038" s="206" t="s">
        <v>139</v>
      </c>
      <c r="F1038" s="214">
        <f>[55]人員・時間計画!C25</f>
        <v>59.5</v>
      </c>
      <c r="G1038" s="214">
        <f>[55]人員・時間計画!D25</f>
        <v>65.5</v>
      </c>
      <c r="H1038" s="214">
        <f>[55]人員・時間計画!E25</f>
        <v>61.5</v>
      </c>
      <c r="I1038" s="214">
        <f>[55]人員・時間計画!F25</f>
        <v>65.5</v>
      </c>
      <c r="J1038" s="214">
        <f>[55]人員・時間計画!G25</f>
        <v>59.5</v>
      </c>
      <c r="K1038" s="214">
        <f>[55]人員・時間計画!H25</f>
        <v>65.5</v>
      </c>
      <c r="L1038" s="214">
        <f>[55]人員・時間計画!I25</f>
        <v>65.5</v>
      </c>
      <c r="M1038" s="214">
        <f>[55]人員・時間計画!J25</f>
        <v>59.5</v>
      </c>
      <c r="N1038" s="214">
        <f>[55]人員・時間計画!K25</f>
        <v>63.5</v>
      </c>
      <c r="O1038" s="214">
        <f>[55]人員・時間計画!L25</f>
        <v>59.5</v>
      </c>
      <c r="P1038" s="214">
        <f>[55]人員・時間計画!M25</f>
        <v>57.5</v>
      </c>
      <c r="Q1038" s="214">
        <f>[55]人員・時間計画!N25</f>
        <v>59.5</v>
      </c>
    </row>
    <row r="1039" spans="1:17" ht="14.5" thickBot="1">
      <c r="A1039">
        <f>[55]人員・時間計画!$A$5</f>
        <v>1412000091</v>
      </c>
      <c r="B1039" t="str">
        <f>[55]人員・時間計画!$B$5</f>
        <v>保安課</v>
      </c>
      <c r="C1039" s="185" t="s">
        <v>71</v>
      </c>
      <c r="D1039" s="201" t="s">
        <v>195</v>
      </c>
      <c r="E1039" s="207" t="s">
        <v>140</v>
      </c>
      <c r="F1039" s="214">
        <f>[55]人員・時間計画!C26</f>
        <v>530.5</v>
      </c>
      <c r="G1039" s="214">
        <f>[55]人員・時間計画!D26</f>
        <v>324.5</v>
      </c>
      <c r="H1039" s="214">
        <f>[55]人員・時間計画!E26</f>
        <v>136.5</v>
      </c>
      <c r="I1039" s="214">
        <f>[55]人員・時間計画!F26</f>
        <v>148.5</v>
      </c>
      <c r="J1039" s="214">
        <f>[55]人員・時間計画!G26</f>
        <v>130.5</v>
      </c>
      <c r="K1039" s="214">
        <f>[55]人員・時間計画!H26</f>
        <v>591</v>
      </c>
      <c r="L1039" s="214">
        <f>[55]人員・時間計画!I26</f>
        <v>145.5</v>
      </c>
      <c r="M1039" s="214">
        <f>[55]人員・時間計画!J26</f>
        <v>139.5</v>
      </c>
      <c r="N1039" s="214">
        <f>[55]人員・時間計画!K26</f>
        <v>142.5</v>
      </c>
      <c r="O1039" s="214">
        <f>[55]人員・時間計画!L26</f>
        <v>130.5</v>
      </c>
      <c r="P1039" s="214">
        <f>[55]人員・時間計画!M26</f>
        <v>1116.5</v>
      </c>
      <c r="Q1039" s="214">
        <f>[55]人員・時間計画!N26</f>
        <v>130.5</v>
      </c>
    </row>
    <row r="1040" spans="1:17" ht="14.5" hidden="1" thickBot="1">
      <c r="A1040">
        <f>[55]人員・時間計画!$A$5</f>
        <v>1412000091</v>
      </c>
      <c r="B1040" t="str">
        <f>[55]人員・時間計画!$B$5</f>
        <v>保安課</v>
      </c>
      <c r="C1040" s="185" t="s">
        <v>71</v>
      </c>
      <c r="D1040" s="202"/>
      <c r="E1040" s="203" t="s">
        <v>138</v>
      </c>
      <c r="F1040" s="214">
        <f>[55]人員・時間計画!C27</f>
        <v>590</v>
      </c>
      <c r="G1040" s="214">
        <f>[55]人員・時間計画!D27</f>
        <v>390</v>
      </c>
      <c r="H1040" s="214">
        <f>[55]人員・時間計画!E27</f>
        <v>198</v>
      </c>
      <c r="I1040" s="214">
        <f>[55]人員・時間計画!F27</f>
        <v>214</v>
      </c>
      <c r="J1040" s="214">
        <f>[55]人員・時間計画!G27</f>
        <v>190</v>
      </c>
      <c r="K1040" s="214">
        <f>[55]人員・時間計画!H27</f>
        <v>656.5</v>
      </c>
      <c r="L1040" s="214">
        <f>[55]人員・時間計画!I27</f>
        <v>211</v>
      </c>
      <c r="M1040" s="214">
        <f>[55]人員・時間計画!J27</f>
        <v>199</v>
      </c>
      <c r="N1040" s="214">
        <f>[55]人員・時間計画!K27</f>
        <v>206</v>
      </c>
      <c r="O1040" s="214">
        <f>[55]人員・時間計画!L27</f>
        <v>190</v>
      </c>
      <c r="P1040" s="214">
        <f>[55]人員・時間計画!M27</f>
        <v>1174</v>
      </c>
      <c r="Q1040" s="214">
        <f>[55]人員・時間計画!N27</f>
        <v>190</v>
      </c>
    </row>
    <row r="1041" spans="1:17" ht="14.5" hidden="1" thickBot="1">
      <c r="A1041">
        <f>[55]人員・時間計画!$A$5</f>
        <v>1412000091</v>
      </c>
      <c r="B1041" t="str">
        <f>[55]人員・時間計画!$B$5</f>
        <v>保安課</v>
      </c>
      <c r="C1041" s="185" t="s">
        <v>71</v>
      </c>
      <c r="D1041" s="204" t="s">
        <v>216</v>
      </c>
      <c r="E1041" s="205"/>
      <c r="F1041" s="214">
        <f>[55]人員・時間計画!C28</f>
        <v>590</v>
      </c>
      <c r="G1041" s="214">
        <f>[55]人員・時間計画!D28</f>
        <v>390</v>
      </c>
      <c r="H1041" s="214">
        <f>[55]人員・時間計画!E28</f>
        <v>198</v>
      </c>
      <c r="I1041" s="214">
        <f>[55]人員・時間計画!F28</f>
        <v>214</v>
      </c>
      <c r="J1041" s="214">
        <f>[55]人員・時間計画!G28</f>
        <v>190</v>
      </c>
      <c r="K1041" s="214">
        <f>[55]人員・時間計画!H28</f>
        <v>656.5</v>
      </c>
      <c r="L1041" s="214">
        <f>[55]人員・時間計画!I28</f>
        <v>211</v>
      </c>
      <c r="M1041" s="214">
        <f>[55]人員・時間計画!J28</f>
        <v>199</v>
      </c>
      <c r="N1041" s="214">
        <f>[55]人員・時間計画!K28</f>
        <v>206</v>
      </c>
      <c r="O1041" s="214">
        <f>[55]人員・時間計画!L28</f>
        <v>190</v>
      </c>
      <c r="P1041" s="214">
        <f>[55]人員・時間計画!M28</f>
        <v>1174</v>
      </c>
      <c r="Q1041" s="214">
        <f>[55]人員・時間計画!N28</f>
        <v>190</v>
      </c>
    </row>
    <row r="1042" spans="1:17" ht="14.5" hidden="1" thickBot="1">
      <c r="A1042">
        <f>[38]人員・時間計画!$A$5</f>
        <v>1412000092</v>
      </c>
      <c r="B1042" t="str">
        <f>[38]人員・時間計画!$B$5</f>
        <v>部品検査2課</v>
      </c>
      <c r="C1042" s="185" t="s">
        <v>3</v>
      </c>
      <c r="D1042" s="185" t="s">
        <v>3</v>
      </c>
      <c r="E1042" s="186"/>
    </row>
    <row r="1043" spans="1:17" ht="14.5" hidden="1" thickBot="1">
      <c r="A1043">
        <f>[38]人員・時間計画!$A$5</f>
        <v>1412000092</v>
      </c>
      <c r="B1043" t="str">
        <f>[38]人員・時間計画!$B$5</f>
        <v>部品検査2課</v>
      </c>
      <c r="C1043" s="185" t="s">
        <v>3</v>
      </c>
      <c r="D1043" s="187" t="s">
        <v>194</v>
      </c>
      <c r="E1043" s="188"/>
      <c r="F1043" s="214">
        <f>[38]人員・時間計画!C10</f>
        <v>0</v>
      </c>
      <c r="G1043" s="214">
        <f>[38]人員・時間計画!D10</f>
        <v>0</v>
      </c>
      <c r="H1043" s="214">
        <f>[38]人員・時間計画!E10</f>
        <v>0</v>
      </c>
      <c r="I1043" s="214">
        <f>[38]人員・時間計画!F10</f>
        <v>0</v>
      </c>
      <c r="J1043" s="214">
        <f>[38]人員・時間計画!G10</f>
        <v>0</v>
      </c>
      <c r="K1043" s="214">
        <f>[38]人員・時間計画!H10</f>
        <v>0</v>
      </c>
      <c r="L1043" s="214">
        <f>[38]人員・時間計画!I10</f>
        <v>0</v>
      </c>
      <c r="M1043" s="214">
        <f>[38]人員・時間計画!J10</f>
        <v>0</v>
      </c>
      <c r="N1043" s="214">
        <f>[38]人員・時間計画!K10</f>
        <v>0</v>
      </c>
      <c r="O1043" s="214">
        <f>[38]人員・時間計画!L10</f>
        <v>0</v>
      </c>
      <c r="P1043" s="214">
        <f>[38]人員・時間計画!M10</f>
        <v>0</v>
      </c>
      <c r="Q1043" s="214">
        <f>[38]人員・時間計画!N10</f>
        <v>0</v>
      </c>
    </row>
    <row r="1044" spans="1:17" ht="14.5" hidden="1" thickBot="1">
      <c r="A1044">
        <f>[38]人員・時間計画!$A$5</f>
        <v>1412000092</v>
      </c>
      <c r="B1044" t="str">
        <f>[38]人員・時間計画!$B$5</f>
        <v>部品検査2課</v>
      </c>
      <c r="C1044" s="185" t="s">
        <v>3</v>
      </c>
      <c r="D1044" s="189"/>
      <c r="E1044" s="190" t="s">
        <v>139</v>
      </c>
      <c r="F1044" s="214">
        <f>[38]人員・時間計画!C11</f>
        <v>23</v>
      </c>
      <c r="G1044" s="214">
        <f>[38]人員・時間計画!D11</f>
        <v>23</v>
      </c>
      <c r="H1044" s="214">
        <f>[38]人員・時間計画!E11</f>
        <v>23</v>
      </c>
      <c r="I1044" s="214">
        <f>[38]人員・時間計画!F11</f>
        <v>23</v>
      </c>
      <c r="J1044" s="214">
        <f>[38]人員・時間計画!G11</f>
        <v>23</v>
      </c>
      <c r="K1044" s="214">
        <f>[38]人員・時間計画!H11</f>
        <v>23</v>
      </c>
      <c r="L1044" s="214">
        <f>[38]人員・時間計画!I11</f>
        <v>23</v>
      </c>
      <c r="M1044" s="214">
        <f>[38]人員・時間計画!J11</f>
        <v>23</v>
      </c>
      <c r="N1044" s="214">
        <f>[38]人員・時間計画!K11</f>
        <v>23</v>
      </c>
      <c r="O1044" s="214">
        <f>[38]人員・時間計画!L11</f>
        <v>23</v>
      </c>
      <c r="P1044" s="214">
        <f>[38]人員・時間計画!M11</f>
        <v>23</v>
      </c>
      <c r="Q1044" s="214">
        <f>[38]人員・時間計画!N11</f>
        <v>23</v>
      </c>
    </row>
    <row r="1045" spans="1:17" ht="14.5" thickBot="1">
      <c r="A1045">
        <f>[38]人員・時間計画!$A$5</f>
        <v>1412000092</v>
      </c>
      <c r="B1045" t="str">
        <f>[38]人員・時間計画!$B$5</f>
        <v>部品検査2課</v>
      </c>
      <c r="C1045" s="185" t="s">
        <v>3</v>
      </c>
      <c r="D1045" s="191" t="s">
        <v>195</v>
      </c>
      <c r="E1045" s="192" t="s">
        <v>140</v>
      </c>
      <c r="F1045" s="214">
        <f>[38]人員・時間計画!C12</f>
        <v>22</v>
      </c>
      <c r="G1045" s="214">
        <f>[38]人員・時間計画!D12</f>
        <v>22</v>
      </c>
      <c r="H1045" s="214">
        <f>[38]人員・時間計画!E12</f>
        <v>24</v>
      </c>
      <c r="I1045" s="214">
        <f>[38]人員・時間計画!F12</f>
        <v>24</v>
      </c>
      <c r="J1045" s="214">
        <f>[38]人員・時間計画!G12</f>
        <v>24</v>
      </c>
      <c r="K1045" s="214">
        <f>[38]人員・時間計画!H12</f>
        <v>24</v>
      </c>
      <c r="L1045" s="214">
        <f>[38]人員・時間計画!I12</f>
        <v>24</v>
      </c>
      <c r="M1045" s="214">
        <f>[38]人員・時間計画!J12</f>
        <v>24</v>
      </c>
      <c r="N1045" s="214">
        <f>[38]人員・時間計画!K12</f>
        <v>24</v>
      </c>
      <c r="O1045" s="214">
        <f>[38]人員・時間計画!L12</f>
        <v>24</v>
      </c>
      <c r="P1045" s="214">
        <f>[38]人員・時間計画!M12</f>
        <v>24</v>
      </c>
      <c r="Q1045" s="214">
        <f>[38]人員・時間計画!N12</f>
        <v>24</v>
      </c>
    </row>
    <row r="1046" spans="1:17" ht="14.5" hidden="1" thickBot="1">
      <c r="A1046">
        <f>[38]人員・時間計画!$A$5</f>
        <v>1412000092</v>
      </c>
      <c r="B1046" t="str">
        <f>[38]人員・時間計画!$B$5</f>
        <v>部品検査2課</v>
      </c>
      <c r="C1046" s="185" t="s">
        <v>3</v>
      </c>
      <c r="D1046" s="193"/>
      <c r="E1046" s="194" t="s">
        <v>138</v>
      </c>
      <c r="F1046" s="214">
        <f>[38]人員・時間計画!C13</f>
        <v>45</v>
      </c>
      <c r="G1046" s="214">
        <f>[38]人員・時間計画!D13</f>
        <v>45</v>
      </c>
      <c r="H1046" s="214">
        <f>[38]人員・時間計画!E13</f>
        <v>47</v>
      </c>
      <c r="I1046" s="214">
        <f>[38]人員・時間計画!F13</f>
        <v>47</v>
      </c>
      <c r="J1046" s="214">
        <f>[38]人員・時間計画!G13</f>
        <v>47</v>
      </c>
      <c r="K1046" s="214">
        <f>[38]人員・時間計画!H13</f>
        <v>47</v>
      </c>
      <c r="L1046" s="214">
        <f>[38]人員・時間計画!I13</f>
        <v>47</v>
      </c>
      <c r="M1046" s="214">
        <f>[38]人員・時間計画!J13</f>
        <v>47</v>
      </c>
      <c r="N1046" s="214">
        <f>[38]人員・時間計画!K13</f>
        <v>47</v>
      </c>
      <c r="O1046" s="214">
        <f>[38]人員・時間計画!L13</f>
        <v>47</v>
      </c>
      <c r="P1046" s="214">
        <f>[38]人員・時間計画!M13</f>
        <v>47</v>
      </c>
      <c r="Q1046" s="214">
        <f>[38]人員・時間計画!N13</f>
        <v>47</v>
      </c>
    </row>
    <row r="1047" spans="1:17" ht="14.5" hidden="1" thickBot="1">
      <c r="A1047">
        <f>[38]人員・時間計画!$A$5</f>
        <v>1412000092</v>
      </c>
      <c r="B1047" t="str">
        <f>[38]人員・時間計画!$B$5</f>
        <v>部品検査2課</v>
      </c>
      <c r="C1047" s="185" t="s">
        <v>3</v>
      </c>
      <c r="D1047" s="195" t="s">
        <v>196</v>
      </c>
      <c r="E1047" s="196"/>
      <c r="F1047" s="214">
        <f>[38]人員・時間計画!C14</f>
        <v>45</v>
      </c>
      <c r="G1047" s="214">
        <f>[38]人員・時間計画!D14</f>
        <v>45</v>
      </c>
      <c r="H1047" s="214">
        <f>[38]人員・時間計画!E14</f>
        <v>47</v>
      </c>
      <c r="I1047" s="214">
        <f>[38]人員・時間計画!F14</f>
        <v>47</v>
      </c>
      <c r="J1047" s="214">
        <f>[38]人員・時間計画!G14</f>
        <v>47</v>
      </c>
      <c r="K1047" s="214">
        <f>[38]人員・時間計画!H14</f>
        <v>47</v>
      </c>
      <c r="L1047" s="214">
        <f>[38]人員・時間計画!I14</f>
        <v>47</v>
      </c>
      <c r="M1047" s="214">
        <f>[38]人員・時間計画!J14</f>
        <v>47</v>
      </c>
      <c r="N1047" s="214">
        <f>[38]人員・時間計画!K14</f>
        <v>47</v>
      </c>
      <c r="O1047" s="214">
        <f>[38]人員・時間計画!L14</f>
        <v>47</v>
      </c>
      <c r="P1047" s="214">
        <f>[38]人員・時間計画!M14</f>
        <v>47</v>
      </c>
      <c r="Q1047" s="214">
        <f>[38]人員・時間計画!N14</f>
        <v>47</v>
      </c>
    </row>
    <row r="1048" spans="1:17" ht="14.5" hidden="1" thickBot="1">
      <c r="A1048">
        <f>[38]人員・時間計画!$A$5</f>
        <v>1412000092</v>
      </c>
      <c r="B1048" t="str">
        <f>[38]人員・時間計画!$B$5</f>
        <v>部品検査2課</v>
      </c>
      <c r="D1048" s="197"/>
      <c r="E1048" s="197"/>
    </row>
    <row r="1049" spans="1:17" ht="14.5" hidden="1" thickBot="1">
      <c r="A1049">
        <f>[38]人員・時間計画!$A$5</f>
        <v>1412000092</v>
      </c>
      <c r="B1049" t="str">
        <f>[38]人員・時間計画!$B$5</f>
        <v>部品検査2課</v>
      </c>
      <c r="C1049" s="185" t="s">
        <v>202</v>
      </c>
      <c r="D1049" s="185" t="s">
        <v>202</v>
      </c>
      <c r="E1049" s="186"/>
    </row>
    <row r="1050" spans="1:17" ht="14.5" hidden="1" thickBot="1">
      <c r="A1050">
        <f>[38]人員・時間計画!$A$5</f>
        <v>1412000092</v>
      </c>
      <c r="B1050" t="str">
        <f>[38]人員・時間計画!$B$5</f>
        <v>部品検査2課</v>
      </c>
      <c r="C1050" s="185" t="s">
        <v>202</v>
      </c>
      <c r="D1050" s="198" t="s">
        <v>194</v>
      </c>
      <c r="E1050" s="199"/>
      <c r="F1050" s="214">
        <f>[38]人員・時間計画!C17</f>
        <v>0</v>
      </c>
      <c r="G1050" s="214">
        <f>[38]人員・時間計画!D17</f>
        <v>0</v>
      </c>
      <c r="H1050" s="214">
        <f>[38]人員・時間計画!E17</f>
        <v>0</v>
      </c>
      <c r="I1050" s="214">
        <f>[38]人員・時間計画!F17</f>
        <v>0</v>
      </c>
      <c r="J1050" s="214">
        <f>[38]人員・時間計画!G17</f>
        <v>0</v>
      </c>
      <c r="K1050" s="214">
        <f>[38]人員・時間計画!H17</f>
        <v>0</v>
      </c>
      <c r="L1050" s="214">
        <f>[38]人員・時間計画!I17</f>
        <v>0</v>
      </c>
      <c r="M1050" s="214">
        <f>[38]人員・時間計画!J17</f>
        <v>0</v>
      </c>
      <c r="N1050" s="214">
        <f>[38]人員・時間計画!K17</f>
        <v>0</v>
      </c>
      <c r="O1050" s="214">
        <f>[38]人員・時間計画!L17</f>
        <v>0</v>
      </c>
      <c r="P1050" s="214">
        <f>[38]人員・時間計画!M17</f>
        <v>0</v>
      </c>
      <c r="Q1050" s="214">
        <f>[38]人員・時間計画!N17</f>
        <v>0</v>
      </c>
    </row>
    <row r="1051" spans="1:17" ht="14.5" hidden="1" thickBot="1">
      <c r="A1051">
        <f>[38]人員・時間計画!$A$5</f>
        <v>1412000092</v>
      </c>
      <c r="B1051" t="str">
        <f>[38]人員・時間計画!$B$5</f>
        <v>部品検査2課</v>
      </c>
      <c r="C1051" s="185" t="s">
        <v>202</v>
      </c>
      <c r="D1051" s="200"/>
      <c r="E1051" s="190" t="s">
        <v>139</v>
      </c>
      <c r="F1051" s="214">
        <f>[38]人員・時間計画!C18</f>
        <v>3714.5</v>
      </c>
      <c r="G1051" s="214">
        <f>[38]人員・時間計画!D18</f>
        <v>3519</v>
      </c>
      <c r="H1051" s="214">
        <f>[38]人員・時間計画!E18</f>
        <v>3910</v>
      </c>
      <c r="I1051" s="214">
        <f>[38]人員・時間計画!F18</f>
        <v>4301</v>
      </c>
      <c r="J1051" s="214">
        <f>[38]人員・時間計画!G18</f>
        <v>3714.5</v>
      </c>
      <c r="K1051" s="214">
        <f>[38]人員・時間計画!H18</f>
        <v>3519</v>
      </c>
      <c r="L1051" s="214">
        <f>[38]人員・時間計画!I18</f>
        <v>4301</v>
      </c>
      <c r="M1051" s="214">
        <f>[38]人員・時間計画!J18</f>
        <v>3714.5</v>
      </c>
      <c r="N1051" s="214">
        <f>[38]人員・時間計画!K18</f>
        <v>4105.5</v>
      </c>
      <c r="O1051" s="214">
        <f>[38]人員・時間計画!L18</f>
        <v>3714.5</v>
      </c>
      <c r="P1051" s="214">
        <f>[38]人員・時間計画!M18</f>
        <v>2737</v>
      </c>
      <c r="Q1051" s="214">
        <f>[38]人員・時間計画!N18</f>
        <v>3714.5</v>
      </c>
    </row>
    <row r="1052" spans="1:17" ht="14.5" thickBot="1">
      <c r="A1052">
        <f>[38]人員・時間計画!$A$5</f>
        <v>1412000092</v>
      </c>
      <c r="B1052" t="str">
        <f>[38]人員・時間計画!$B$5</f>
        <v>部品検査2課</v>
      </c>
      <c r="C1052" s="185" t="s">
        <v>202</v>
      </c>
      <c r="D1052" s="201" t="s">
        <v>195</v>
      </c>
      <c r="E1052" s="192" t="s">
        <v>140</v>
      </c>
      <c r="F1052" s="214">
        <f>[38]人員・時間計画!C19</f>
        <v>3553</v>
      </c>
      <c r="G1052" s="214">
        <f>[38]人員・時間計画!D19</f>
        <v>3366</v>
      </c>
      <c r="H1052" s="214">
        <f>[38]人員・時間計画!E19</f>
        <v>4080</v>
      </c>
      <c r="I1052" s="214">
        <f>[38]人員・時間計画!F19</f>
        <v>4488</v>
      </c>
      <c r="J1052" s="214">
        <f>[38]人員・時間計画!G19</f>
        <v>3876</v>
      </c>
      <c r="K1052" s="214">
        <f>[38]人員・時間計画!H19</f>
        <v>3672</v>
      </c>
      <c r="L1052" s="214">
        <f>[38]人員・時間計画!I19</f>
        <v>4488</v>
      </c>
      <c r="M1052" s="214">
        <f>[38]人員・時間計画!J19</f>
        <v>3876</v>
      </c>
      <c r="N1052" s="214">
        <f>[38]人員・時間計画!K19</f>
        <v>4284</v>
      </c>
      <c r="O1052" s="214">
        <f>[38]人員・時間計画!L19</f>
        <v>3876</v>
      </c>
      <c r="P1052" s="214">
        <f>[38]人員・時間計画!M19</f>
        <v>2856</v>
      </c>
      <c r="Q1052" s="214">
        <f>[38]人員・時間計画!N19</f>
        <v>3876</v>
      </c>
    </row>
    <row r="1053" spans="1:17" ht="14.5" hidden="1" thickBot="1">
      <c r="A1053">
        <f>[38]人員・時間計画!$A$5</f>
        <v>1412000092</v>
      </c>
      <c r="B1053" t="str">
        <f>[38]人員・時間計画!$B$5</f>
        <v>部品検査2課</v>
      </c>
      <c r="C1053" s="185" t="s">
        <v>202</v>
      </c>
      <c r="D1053" s="202"/>
      <c r="E1053" s="203" t="s">
        <v>138</v>
      </c>
      <c r="F1053" s="214">
        <f>[38]人員・時間計画!C20</f>
        <v>7267.5</v>
      </c>
      <c r="G1053" s="214">
        <f>[38]人員・時間計画!D20</f>
        <v>6885</v>
      </c>
      <c r="H1053" s="214">
        <f>[38]人員・時間計画!E20</f>
        <v>7990</v>
      </c>
      <c r="I1053" s="214">
        <f>[38]人員・時間計画!F20</f>
        <v>8789</v>
      </c>
      <c r="J1053" s="214">
        <f>[38]人員・時間計画!G20</f>
        <v>7590.5</v>
      </c>
      <c r="K1053" s="214">
        <f>[38]人員・時間計画!H20</f>
        <v>7191</v>
      </c>
      <c r="L1053" s="214">
        <f>[38]人員・時間計画!I20</f>
        <v>8789</v>
      </c>
      <c r="M1053" s="214">
        <f>[38]人員・時間計画!J20</f>
        <v>7590.5</v>
      </c>
      <c r="N1053" s="214">
        <f>[38]人員・時間計画!K20</f>
        <v>8389.5</v>
      </c>
      <c r="O1053" s="214">
        <f>[38]人員・時間計画!L20</f>
        <v>7590.5</v>
      </c>
      <c r="P1053" s="214">
        <f>[38]人員・時間計画!M20</f>
        <v>5593</v>
      </c>
      <c r="Q1053" s="214">
        <f>[38]人員・時間計画!N20</f>
        <v>7590.5</v>
      </c>
    </row>
    <row r="1054" spans="1:17" ht="14.5" hidden="1" thickBot="1">
      <c r="A1054">
        <f>[38]人員・時間計画!$A$5</f>
        <v>1412000092</v>
      </c>
      <c r="B1054" t="str">
        <f>[38]人員・時間計画!$B$5</f>
        <v>部品検査2課</v>
      </c>
      <c r="C1054" s="185" t="s">
        <v>202</v>
      </c>
      <c r="D1054" s="204" t="s">
        <v>215</v>
      </c>
      <c r="E1054" s="205"/>
      <c r="F1054" s="214">
        <f>[38]人員・時間計画!C21</f>
        <v>7267.5</v>
      </c>
      <c r="G1054" s="214">
        <f>[38]人員・時間計画!D21</f>
        <v>6885</v>
      </c>
      <c r="H1054" s="214">
        <f>[38]人員・時間計画!E21</f>
        <v>7990</v>
      </c>
      <c r="I1054" s="214">
        <f>[38]人員・時間計画!F21</f>
        <v>8789</v>
      </c>
      <c r="J1054" s="214">
        <f>[38]人員・時間計画!G21</f>
        <v>7590.5</v>
      </c>
      <c r="K1054" s="214">
        <f>[38]人員・時間計画!H21</f>
        <v>7191</v>
      </c>
      <c r="L1054" s="214">
        <f>[38]人員・時間計画!I21</f>
        <v>8789</v>
      </c>
      <c r="M1054" s="214">
        <f>[38]人員・時間計画!J21</f>
        <v>7590.5</v>
      </c>
      <c r="N1054" s="214">
        <f>[38]人員・時間計画!K21</f>
        <v>8389.5</v>
      </c>
      <c r="O1054" s="214">
        <f>[38]人員・時間計画!L21</f>
        <v>7590.5</v>
      </c>
      <c r="P1054" s="214">
        <f>[38]人員・時間計画!M21</f>
        <v>5593</v>
      </c>
      <c r="Q1054" s="214">
        <f>[38]人員・時間計画!N21</f>
        <v>7590.5</v>
      </c>
    </row>
    <row r="1055" spans="1:17" ht="14.5" hidden="1" thickBot="1">
      <c r="A1055">
        <f>[38]人員・時間計画!$A$5</f>
        <v>1412000092</v>
      </c>
      <c r="B1055" t="str">
        <f>[38]人員・時間計画!$B$5</f>
        <v>部品検査2課</v>
      </c>
      <c r="D1055" s="197"/>
      <c r="E1055" s="197"/>
    </row>
    <row r="1056" spans="1:17" ht="14.5" hidden="1" thickBot="1">
      <c r="A1056">
        <f>[38]人員・時間計画!$A$5</f>
        <v>1412000092</v>
      </c>
      <c r="B1056" t="str">
        <f>[38]人員・時間計画!$B$5</f>
        <v>部品検査2課</v>
      </c>
      <c r="C1056" s="185" t="s">
        <v>71</v>
      </c>
      <c r="D1056" s="185" t="s">
        <v>71</v>
      </c>
      <c r="E1056" s="186"/>
    </row>
    <row r="1057" spans="1:17" ht="14.5" hidden="1" thickBot="1">
      <c r="A1057">
        <f>[38]人員・時間計画!$A$5</f>
        <v>1412000092</v>
      </c>
      <c r="B1057" t="str">
        <f>[38]人員・時間計画!$B$5</f>
        <v>部品検査2課</v>
      </c>
      <c r="C1057" s="185" t="s">
        <v>71</v>
      </c>
      <c r="D1057" s="198" t="s">
        <v>194</v>
      </c>
      <c r="E1057" s="199"/>
      <c r="F1057" s="214">
        <f>[38]人員・時間計画!C24</f>
        <v>0</v>
      </c>
      <c r="G1057" s="214">
        <f>[38]人員・時間計画!D24</f>
        <v>0</v>
      </c>
      <c r="H1057" s="214">
        <f>[38]人員・時間計画!E24</f>
        <v>0</v>
      </c>
      <c r="I1057" s="214">
        <f>[38]人員・時間計画!F24</f>
        <v>0</v>
      </c>
      <c r="J1057" s="214">
        <f>[38]人員・時間計画!G24</f>
        <v>0</v>
      </c>
      <c r="K1057" s="214">
        <f>[38]人員・時間計画!H24</f>
        <v>0</v>
      </c>
      <c r="L1057" s="214">
        <f>[38]人員・時間計画!I24</f>
        <v>0</v>
      </c>
      <c r="M1057" s="214">
        <f>[38]人員・時間計画!J24</f>
        <v>0</v>
      </c>
      <c r="N1057" s="214">
        <f>[38]人員・時間計画!K24</f>
        <v>0</v>
      </c>
      <c r="O1057" s="214">
        <f>[38]人員・時間計画!L24</f>
        <v>0</v>
      </c>
      <c r="P1057" s="214">
        <f>[38]人員・時間計画!M24</f>
        <v>0</v>
      </c>
      <c r="Q1057" s="214">
        <f>[38]人員・時間計画!N24</f>
        <v>0</v>
      </c>
    </row>
    <row r="1058" spans="1:17" ht="14.5" hidden="1" thickBot="1">
      <c r="A1058">
        <f>[38]人員・時間計画!$A$5</f>
        <v>1412000092</v>
      </c>
      <c r="B1058" t="str">
        <f>[38]人員・時間計画!$B$5</f>
        <v>部品検査2課</v>
      </c>
      <c r="C1058" s="185" t="s">
        <v>71</v>
      </c>
      <c r="D1058" s="200"/>
      <c r="E1058" s="206" t="s">
        <v>139</v>
      </c>
      <c r="F1058" s="214">
        <f>[38]人員・時間計画!C25</f>
        <v>480</v>
      </c>
      <c r="G1058" s="214">
        <f>[38]人員・時間計画!D25</f>
        <v>478</v>
      </c>
      <c r="H1058" s="214">
        <f>[38]人員・時間計画!E25</f>
        <v>482</v>
      </c>
      <c r="I1058" s="214">
        <f>[38]人員・時間計画!F25</f>
        <v>486</v>
      </c>
      <c r="J1058" s="214">
        <f>[38]人員・時間計画!G25</f>
        <v>480</v>
      </c>
      <c r="K1058" s="214">
        <f>[38]人員・時間計画!H25</f>
        <v>478</v>
      </c>
      <c r="L1058" s="214">
        <f>[38]人員・時間計画!I25</f>
        <v>486</v>
      </c>
      <c r="M1058" s="214">
        <f>[38]人員・時間計画!J25</f>
        <v>480</v>
      </c>
      <c r="N1058" s="214">
        <f>[38]人員・時間計画!K25</f>
        <v>484</v>
      </c>
      <c r="O1058" s="214">
        <f>[38]人員・時間計画!L25</f>
        <v>480</v>
      </c>
      <c r="P1058" s="214">
        <f>[38]人員・時間計画!M25</f>
        <v>470</v>
      </c>
      <c r="Q1058" s="214">
        <f>[38]人員・時間計画!N25</f>
        <v>480</v>
      </c>
    </row>
    <row r="1059" spans="1:17" ht="14.5" thickBot="1">
      <c r="A1059">
        <f>[38]人員・時間計画!$A$5</f>
        <v>1412000092</v>
      </c>
      <c r="B1059" t="str">
        <f>[38]人員・時間計画!$B$5</f>
        <v>部品検査2課</v>
      </c>
      <c r="C1059" s="185" t="s">
        <v>71</v>
      </c>
      <c r="D1059" s="201" t="s">
        <v>195</v>
      </c>
      <c r="E1059" s="207" t="s">
        <v>140</v>
      </c>
      <c r="F1059" s="214">
        <f>[38]人員・時間計画!C26</f>
        <v>440</v>
      </c>
      <c r="G1059" s="214">
        <f>[38]人員・時間計画!D26</f>
        <v>440</v>
      </c>
      <c r="H1059" s="214">
        <f>[38]人員・時間計画!E26</f>
        <v>480</v>
      </c>
      <c r="I1059" s="214">
        <f>[38]人員・時間計画!F26</f>
        <v>480</v>
      </c>
      <c r="J1059" s="214">
        <f>[38]人員・時間計画!G26</f>
        <v>480</v>
      </c>
      <c r="K1059" s="214">
        <f>[38]人員・時間計画!H26</f>
        <v>480</v>
      </c>
      <c r="L1059" s="214">
        <f>[38]人員・時間計画!I26</f>
        <v>480</v>
      </c>
      <c r="M1059" s="214">
        <f>[38]人員・時間計画!J26</f>
        <v>480</v>
      </c>
      <c r="N1059" s="214">
        <f>[38]人員・時間計画!K26</f>
        <v>480</v>
      </c>
      <c r="O1059" s="214">
        <f>[38]人員・時間計画!L26</f>
        <v>480</v>
      </c>
      <c r="P1059" s="214">
        <f>[38]人員・時間計画!M26</f>
        <v>480</v>
      </c>
      <c r="Q1059" s="214">
        <f>[38]人員・時間計画!N26</f>
        <v>480</v>
      </c>
    </row>
    <row r="1060" spans="1:17" ht="14.5" hidden="1" thickBot="1">
      <c r="A1060">
        <f>[38]人員・時間計画!$A$5</f>
        <v>1412000092</v>
      </c>
      <c r="B1060" t="str">
        <f>[38]人員・時間計画!$B$5</f>
        <v>部品検査2課</v>
      </c>
      <c r="C1060" s="185" t="s">
        <v>71</v>
      </c>
      <c r="D1060" s="202"/>
      <c r="E1060" s="203" t="s">
        <v>138</v>
      </c>
      <c r="F1060" s="214">
        <f>[38]人員・時間計画!C27</f>
        <v>920</v>
      </c>
      <c r="G1060" s="214">
        <f>[38]人員・時間計画!D27</f>
        <v>918</v>
      </c>
      <c r="H1060" s="214">
        <f>[38]人員・時間計画!E27</f>
        <v>962</v>
      </c>
      <c r="I1060" s="214">
        <f>[38]人員・時間計画!F27</f>
        <v>966</v>
      </c>
      <c r="J1060" s="214">
        <f>[38]人員・時間計画!G27</f>
        <v>960</v>
      </c>
      <c r="K1060" s="214">
        <f>[38]人員・時間計画!H27</f>
        <v>958</v>
      </c>
      <c r="L1060" s="214">
        <f>[38]人員・時間計画!I27</f>
        <v>966</v>
      </c>
      <c r="M1060" s="214">
        <f>[38]人員・時間計画!J27</f>
        <v>960</v>
      </c>
      <c r="N1060" s="214">
        <f>[38]人員・時間計画!K27</f>
        <v>964</v>
      </c>
      <c r="O1060" s="214">
        <f>[38]人員・時間計画!L27</f>
        <v>960</v>
      </c>
      <c r="P1060" s="214">
        <f>[38]人員・時間計画!M27</f>
        <v>950</v>
      </c>
      <c r="Q1060" s="214">
        <f>[38]人員・時間計画!N27</f>
        <v>960</v>
      </c>
    </row>
    <row r="1061" spans="1:17" ht="14.5" hidden="1" thickBot="1">
      <c r="A1061">
        <f>[38]人員・時間計画!$A$5</f>
        <v>1412000092</v>
      </c>
      <c r="B1061" t="str">
        <f>[38]人員・時間計画!$B$5</f>
        <v>部品検査2課</v>
      </c>
      <c r="C1061" s="185" t="s">
        <v>71</v>
      </c>
      <c r="D1061" s="204" t="s">
        <v>216</v>
      </c>
      <c r="E1061" s="205"/>
      <c r="F1061" s="214">
        <f>[38]人員・時間計画!C28</f>
        <v>920</v>
      </c>
      <c r="G1061" s="214">
        <f>[38]人員・時間計画!D28</f>
        <v>918</v>
      </c>
      <c r="H1061" s="214">
        <f>[38]人員・時間計画!E28</f>
        <v>962</v>
      </c>
      <c r="I1061" s="214">
        <f>[38]人員・時間計画!F28</f>
        <v>966</v>
      </c>
      <c r="J1061" s="214">
        <f>[38]人員・時間計画!G28</f>
        <v>960</v>
      </c>
      <c r="K1061" s="214">
        <f>[38]人員・時間計画!H28</f>
        <v>958</v>
      </c>
      <c r="L1061" s="214">
        <f>[38]人員・時間計画!I28</f>
        <v>966</v>
      </c>
      <c r="M1061" s="214">
        <f>[38]人員・時間計画!J28</f>
        <v>960</v>
      </c>
      <c r="N1061" s="214">
        <f>[38]人員・時間計画!K28</f>
        <v>964</v>
      </c>
      <c r="O1061" s="214">
        <f>[38]人員・時間計画!L28</f>
        <v>960</v>
      </c>
      <c r="P1061" s="214">
        <f>[38]人員・時間計画!M28</f>
        <v>950</v>
      </c>
      <c r="Q1061" s="214">
        <f>[38]人員・時間計画!N28</f>
        <v>960</v>
      </c>
    </row>
    <row r="1062" spans="1:17" ht="14.5" hidden="1" thickBot="1">
      <c r="A1062">
        <f>[54]人員・時間計画!$A$5</f>
        <v>1412000093</v>
      </c>
      <c r="B1062" t="str">
        <f>[54]人員・時間計画!$B$5</f>
        <v>リスクマネジメント課</v>
      </c>
      <c r="C1062" s="185" t="s">
        <v>3</v>
      </c>
      <c r="D1062" s="185" t="s">
        <v>3</v>
      </c>
      <c r="E1062" s="186"/>
    </row>
    <row r="1063" spans="1:17" ht="14.5" hidden="1" thickBot="1">
      <c r="A1063">
        <f>[54]人員・時間計画!$A$5</f>
        <v>1412000093</v>
      </c>
      <c r="B1063" t="str">
        <f>[54]人員・時間計画!$B$5</f>
        <v>リスクマネジメント課</v>
      </c>
      <c r="C1063" s="185" t="s">
        <v>3</v>
      </c>
      <c r="D1063" s="187" t="s">
        <v>194</v>
      </c>
      <c r="E1063" s="188"/>
      <c r="F1063" s="214">
        <f>[54]人員・時間計画!C10</f>
        <v>1</v>
      </c>
      <c r="G1063" s="214">
        <f>[54]人員・時間計画!D10</f>
        <v>1</v>
      </c>
      <c r="H1063" s="214">
        <f>[54]人員・時間計画!E10</f>
        <v>1</v>
      </c>
      <c r="I1063" s="214">
        <f>[54]人員・時間計画!F10</f>
        <v>1</v>
      </c>
      <c r="J1063" s="214">
        <f>[54]人員・時間計画!G10</f>
        <v>1</v>
      </c>
      <c r="K1063" s="214">
        <f>[54]人員・時間計画!H10</f>
        <v>1</v>
      </c>
      <c r="L1063" s="214">
        <f>[54]人員・時間計画!I10</f>
        <v>1</v>
      </c>
      <c r="M1063" s="214">
        <f>[54]人員・時間計画!J10</f>
        <v>1</v>
      </c>
      <c r="N1063" s="214">
        <f>[54]人員・時間計画!K10</f>
        <v>1</v>
      </c>
      <c r="O1063" s="214">
        <f>[54]人員・時間計画!L10</f>
        <v>1</v>
      </c>
      <c r="P1063" s="214">
        <f>[54]人員・時間計画!M10</f>
        <v>1</v>
      </c>
      <c r="Q1063" s="214">
        <f>[54]人員・時間計画!N10</f>
        <v>1</v>
      </c>
    </row>
    <row r="1064" spans="1:17" ht="14.5" hidden="1" thickBot="1">
      <c r="A1064">
        <f>[54]人員・時間計画!$A$5</f>
        <v>1412000093</v>
      </c>
      <c r="B1064" t="str">
        <f>[54]人員・時間計画!$B$5</f>
        <v>リスクマネジメント課</v>
      </c>
      <c r="C1064" s="185" t="s">
        <v>3</v>
      </c>
      <c r="D1064" s="189"/>
      <c r="E1064" s="190" t="s">
        <v>139</v>
      </c>
      <c r="F1064" s="214">
        <f>[54]人員・時間計画!C11</f>
        <v>5</v>
      </c>
      <c r="G1064" s="214">
        <f>[54]人員・時間計画!D11</f>
        <v>6</v>
      </c>
      <c r="H1064" s="214">
        <f>[54]人員・時間計画!E11</f>
        <v>6</v>
      </c>
      <c r="I1064" s="214">
        <f>[54]人員・時間計画!F11</f>
        <v>6</v>
      </c>
      <c r="J1064" s="214">
        <f>[54]人員・時間計画!G11</f>
        <v>6</v>
      </c>
      <c r="K1064" s="214">
        <f>[54]人員・時間計画!H11</f>
        <v>6</v>
      </c>
      <c r="L1064" s="214">
        <f>[54]人員・時間計画!I11</f>
        <v>6</v>
      </c>
      <c r="M1064" s="214">
        <f>[54]人員・時間計画!J11</f>
        <v>6</v>
      </c>
      <c r="N1064" s="214">
        <f>[54]人員・時間計画!K11</f>
        <v>6</v>
      </c>
      <c r="O1064" s="214">
        <f>[54]人員・時間計画!L11</f>
        <v>6</v>
      </c>
      <c r="P1064" s="214">
        <f>[54]人員・時間計画!M11</f>
        <v>6</v>
      </c>
      <c r="Q1064" s="214">
        <f>[54]人員・時間計画!N11</f>
        <v>6</v>
      </c>
    </row>
    <row r="1065" spans="1:17" ht="14.5" thickBot="1">
      <c r="A1065">
        <f>[54]人員・時間計画!$A$5</f>
        <v>1412000093</v>
      </c>
      <c r="B1065" t="str">
        <f>[54]人員・時間計画!$B$5</f>
        <v>リスクマネジメント課</v>
      </c>
      <c r="C1065" s="185" t="s">
        <v>3</v>
      </c>
      <c r="D1065" s="191" t="s">
        <v>195</v>
      </c>
      <c r="E1065" s="192" t="s">
        <v>140</v>
      </c>
      <c r="F1065" s="214">
        <f>[54]人員・時間計画!C12</f>
        <v>0</v>
      </c>
      <c r="G1065" s="214">
        <f>[54]人員・時間計画!D12</f>
        <v>0</v>
      </c>
      <c r="H1065" s="214">
        <f>[54]人員・時間計画!E12</f>
        <v>0</v>
      </c>
      <c r="I1065" s="214">
        <f>[54]人員・時間計画!F12</f>
        <v>0</v>
      </c>
      <c r="J1065" s="214">
        <f>[54]人員・時間計画!G12</f>
        <v>0</v>
      </c>
      <c r="K1065" s="214">
        <f>[54]人員・時間計画!H12</f>
        <v>0</v>
      </c>
      <c r="L1065" s="214">
        <f>[54]人員・時間計画!I12</f>
        <v>0</v>
      </c>
      <c r="M1065" s="214">
        <f>[54]人員・時間計画!J12</f>
        <v>0</v>
      </c>
      <c r="N1065" s="214">
        <f>[54]人員・時間計画!K12</f>
        <v>0</v>
      </c>
      <c r="O1065" s="214">
        <f>[54]人員・時間計画!L12</f>
        <v>0</v>
      </c>
      <c r="P1065" s="214">
        <f>[54]人員・時間計画!M12</f>
        <v>0</v>
      </c>
      <c r="Q1065" s="214">
        <f>[54]人員・時間計画!N12</f>
        <v>0</v>
      </c>
    </row>
    <row r="1066" spans="1:17" ht="14.5" hidden="1" thickBot="1">
      <c r="A1066">
        <f>[54]人員・時間計画!$A$5</f>
        <v>1412000093</v>
      </c>
      <c r="B1066" t="str">
        <f>[54]人員・時間計画!$B$5</f>
        <v>リスクマネジメント課</v>
      </c>
      <c r="C1066" s="185" t="s">
        <v>3</v>
      </c>
      <c r="D1066" s="193"/>
      <c r="E1066" s="194" t="s">
        <v>138</v>
      </c>
      <c r="F1066" s="214">
        <f>[54]人員・時間計画!C13</f>
        <v>5</v>
      </c>
      <c r="G1066" s="214">
        <f>[54]人員・時間計画!D13</f>
        <v>6</v>
      </c>
      <c r="H1066" s="214">
        <f>[54]人員・時間計画!E13</f>
        <v>6</v>
      </c>
      <c r="I1066" s="214">
        <f>[54]人員・時間計画!F13</f>
        <v>6</v>
      </c>
      <c r="J1066" s="214">
        <f>[54]人員・時間計画!G13</f>
        <v>6</v>
      </c>
      <c r="K1066" s="214">
        <f>[54]人員・時間計画!H13</f>
        <v>6</v>
      </c>
      <c r="L1066" s="214">
        <f>[54]人員・時間計画!I13</f>
        <v>6</v>
      </c>
      <c r="M1066" s="214">
        <f>[54]人員・時間計画!J13</f>
        <v>6</v>
      </c>
      <c r="N1066" s="214">
        <f>[54]人員・時間計画!K13</f>
        <v>6</v>
      </c>
      <c r="O1066" s="214">
        <f>[54]人員・時間計画!L13</f>
        <v>6</v>
      </c>
      <c r="P1066" s="214">
        <f>[54]人員・時間計画!M13</f>
        <v>6</v>
      </c>
      <c r="Q1066" s="214">
        <f>[54]人員・時間計画!N13</f>
        <v>6</v>
      </c>
    </row>
    <row r="1067" spans="1:17" ht="14.5" hidden="1" thickBot="1">
      <c r="A1067">
        <f>[54]人員・時間計画!$A$5</f>
        <v>1412000093</v>
      </c>
      <c r="B1067" t="str">
        <f>[54]人員・時間計画!$B$5</f>
        <v>リスクマネジメント課</v>
      </c>
      <c r="C1067" s="185" t="s">
        <v>3</v>
      </c>
      <c r="D1067" s="195" t="s">
        <v>196</v>
      </c>
      <c r="E1067" s="196"/>
      <c r="F1067" s="214">
        <f>[54]人員・時間計画!C14</f>
        <v>6</v>
      </c>
      <c r="G1067" s="214">
        <f>[54]人員・時間計画!D14</f>
        <v>7</v>
      </c>
      <c r="H1067" s="214">
        <f>[54]人員・時間計画!E14</f>
        <v>7</v>
      </c>
      <c r="I1067" s="214">
        <f>[54]人員・時間計画!F14</f>
        <v>7</v>
      </c>
      <c r="J1067" s="214">
        <f>[54]人員・時間計画!G14</f>
        <v>7</v>
      </c>
      <c r="K1067" s="214">
        <f>[54]人員・時間計画!H14</f>
        <v>7</v>
      </c>
      <c r="L1067" s="214">
        <f>[54]人員・時間計画!I14</f>
        <v>7</v>
      </c>
      <c r="M1067" s="214">
        <f>[54]人員・時間計画!J14</f>
        <v>7</v>
      </c>
      <c r="N1067" s="214">
        <f>[54]人員・時間計画!K14</f>
        <v>7</v>
      </c>
      <c r="O1067" s="214">
        <f>[54]人員・時間計画!L14</f>
        <v>7</v>
      </c>
      <c r="P1067" s="214">
        <f>[54]人員・時間計画!M14</f>
        <v>7</v>
      </c>
      <c r="Q1067" s="214">
        <f>[54]人員・時間計画!N14</f>
        <v>7</v>
      </c>
    </row>
    <row r="1068" spans="1:17" ht="14.5" hidden="1" thickBot="1">
      <c r="A1068">
        <f>[54]人員・時間計画!$A$5</f>
        <v>1412000093</v>
      </c>
      <c r="B1068" t="str">
        <f>[54]人員・時間計画!$B$5</f>
        <v>リスクマネジメント課</v>
      </c>
      <c r="D1068" s="197"/>
      <c r="E1068" s="197"/>
    </row>
    <row r="1069" spans="1:17" ht="14.5" hidden="1" thickBot="1">
      <c r="A1069">
        <f>[54]人員・時間計画!$A$5</f>
        <v>1412000093</v>
      </c>
      <c r="B1069" t="str">
        <f>[54]人員・時間計画!$B$5</f>
        <v>リスクマネジメント課</v>
      </c>
      <c r="C1069" s="185" t="s">
        <v>202</v>
      </c>
      <c r="D1069" s="185" t="s">
        <v>202</v>
      </c>
      <c r="E1069" s="186"/>
    </row>
    <row r="1070" spans="1:17" ht="14.5" hidden="1" thickBot="1">
      <c r="A1070">
        <f>[54]人員・時間計画!$A$5</f>
        <v>1412000093</v>
      </c>
      <c r="B1070" t="str">
        <f>[54]人員・時間計画!$B$5</f>
        <v>リスクマネジメント課</v>
      </c>
      <c r="C1070" s="185" t="s">
        <v>202</v>
      </c>
      <c r="D1070" s="198" t="s">
        <v>194</v>
      </c>
      <c r="E1070" s="199"/>
      <c r="F1070" s="214">
        <f>[54]人員・時間計画!C17</f>
        <v>170</v>
      </c>
      <c r="G1070" s="214">
        <f>[54]人員・時間計画!D17</f>
        <v>161.5</v>
      </c>
      <c r="H1070" s="214">
        <f>[54]人員・時間計画!E17</f>
        <v>178.5</v>
      </c>
      <c r="I1070" s="214">
        <f>[54]人員・時間計画!F17</f>
        <v>195.5</v>
      </c>
      <c r="J1070" s="214">
        <f>[54]人員・時間計画!G17</f>
        <v>127.5</v>
      </c>
      <c r="K1070" s="214">
        <f>[54]人員・時間計画!H17</f>
        <v>161.5</v>
      </c>
      <c r="L1070" s="214">
        <f>[54]人員・時間計画!I17</f>
        <v>195.5</v>
      </c>
      <c r="M1070" s="214">
        <f>[54]人員・時間計画!J17</f>
        <v>170</v>
      </c>
      <c r="N1070" s="214">
        <f>[54]人員・時間計画!K17</f>
        <v>187</v>
      </c>
      <c r="O1070" s="214">
        <f>[54]人員・時間計画!L17</f>
        <v>170</v>
      </c>
      <c r="P1070" s="214">
        <f>[54]人員・時間計画!M17</f>
        <v>110.5</v>
      </c>
      <c r="Q1070" s="214">
        <f>[54]人員・時間計画!N17</f>
        <v>170</v>
      </c>
    </row>
    <row r="1071" spans="1:17" ht="14.5" hidden="1" thickBot="1">
      <c r="A1071">
        <f>[54]人員・時間計画!$A$5</f>
        <v>1412000093</v>
      </c>
      <c r="B1071" t="str">
        <f>[54]人員・時間計画!$B$5</f>
        <v>リスクマネジメント課</v>
      </c>
      <c r="C1071" s="185" t="s">
        <v>202</v>
      </c>
      <c r="D1071" s="200"/>
      <c r="E1071" s="190" t="s">
        <v>139</v>
      </c>
      <c r="F1071" s="214">
        <f>[54]人員・時間計画!C18</f>
        <v>816</v>
      </c>
      <c r="G1071" s="214">
        <f>[54]人員・時間計画!D18</f>
        <v>935</v>
      </c>
      <c r="H1071" s="214">
        <f>[54]人員・時間計画!E18</f>
        <v>1037</v>
      </c>
      <c r="I1071" s="214">
        <f>[54]人員・時間計画!F18</f>
        <v>1139</v>
      </c>
      <c r="J1071" s="214">
        <f>[54]人員・時間計画!G18</f>
        <v>986</v>
      </c>
      <c r="K1071" s="214">
        <f>[54]人員・時間計画!H18</f>
        <v>935</v>
      </c>
      <c r="L1071" s="214">
        <f>[54]人員・時間計画!I18</f>
        <v>1139</v>
      </c>
      <c r="M1071" s="214">
        <f>[54]人員・時間計画!J18</f>
        <v>986</v>
      </c>
      <c r="N1071" s="214">
        <f>[54]人員・時間計画!K18</f>
        <v>1088</v>
      </c>
      <c r="O1071" s="214">
        <f>[54]人員・時間計画!L18</f>
        <v>986</v>
      </c>
      <c r="P1071" s="214">
        <f>[54]人員・時間計画!M18</f>
        <v>731</v>
      </c>
      <c r="Q1071" s="214">
        <f>[54]人員・時間計画!N18</f>
        <v>986</v>
      </c>
    </row>
    <row r="1072" spans="1:17" ht="14.5" thickBot="1">
      <c r="A1072">
        <f>[54]人員・時間計画!$A$5</f>
        <v>1412000093</v>
      </c>
      <c r="B1072" t="str">
        <f>[54]人員・時間計画!$B$5</f>
        <v>リスクマネジメント課</v>
      </c>
      <c r="C1072" s="185" t="s">
        <v>202</v>
      </c>
      <c r="D1072" s="201" t="s">
        <v>195</v>
      </c>
      <c r="E1072" s="192" t="s">
        <v>140</v>
      </c>
      <c r="F1072" s="214">
        <f>[54]人員・時間計画!C19</f>
        <v>0</v>
      </c>
      <c r="G1072" s="214">
        <f>[54]人員・時間計画!D19</f>
        <v>0</v>
      </c>
      <c r="H1072" s="214">
        <f>[54]人員・時間計画!E19</f>
        <v>0</v>
      </c>
      <c r="I1072" s="214">
        <f>[54]人員・時間計画!F19</f>
        <v>0</v>
      </c>
      <c r="J1072" s="214">
        <f>[54]人員・時間計画!G19</f>
        <v>0</v>
      </c>
      <c r="K1072" s="214">
        <f>[54]人員・時間計画!H19</f>
        <v>0</v>
      </c>
      <c r="L1072" s="214">
        <f>[54]人員・時間計画!I19</f>
        <v>0</v>
      </c>
      <c r="M1072" s="214">
        <f>[54]人員・時間計画!J19</f>
        <v>0</v>
      </c>
      <c r="N1072" s="214">
        <f>[54]人員・時間計画!K19</f>
        <v>0</v>
      </c>
      <c r="O1072" s="214">
        <f>[54]人員・時間計画!L19</f>
        <v>0</v>
      </c>
      <c r="P1072" s="214">
        <f>[54]人員・時間計画!M19</f>
        <v>0</v>
      </c>
      <c r="Q1072" s="214">
        <f>[54]人員・時間計画!N19</f>
        <v>0</v>
      </c>
    </row>
    <row r="1073" spans="1:17" ht="14.5" hidden="1" thickBot="1">
      <c r="A1073">
        <f>[54]人員・時間計画!$A$5</f>
        <v>1412000093</v>
      </c>
      <c r="B1073" t="str">
        <f>[54]人員・時間計画!$B$5</f>
        <v>リスクマネジメント課</v>
      </c>
      <c r="C1073" s="185" t="s">
        <v>202</v>
      </c>
      <c r="D1073" s="202"/>
      <c r="E1073" s="203" t="s">
        <v>138</v>
      </c>
      <c r="F1073" s="214">
        <f>[54]人員・時間計画!C20</f>
        <v>816</v>
      </c>
      <c r="G1073" s="214">
        <f>[54]人員・時間計画!D20</f>
        <v>935</v>
      </c>
      <c r="H1073" s="214">
        <f>[54]人員・時間計画!E20</f>
        <v>1037</v>
      </c>
      <c r="I1073" s="214">
        <f>[54]人員・時間計画!F20</f>
        <v>1139</v>
      </c>
      <c r="J1073" s="214">
        <f>[54]人員・時間計画!G20</f>
        <v>986</v>
      </c>
      <c r="K1073" s="214">
        <f>[54]人員・時間計画!H20</f>
        <v>935</v>
      </c>
      <c r="L1073" s="214">
        <f>[54]人員・時間計画!I20</f>
        <v>1139</v>
      </c>
      <c r="M1073" s="214">
        <f>[54]人員・時間計画!J20</f>
        <v>986</v>
      </c>
      <c r="N1073" s="214">
        <f>[54]人員・時間計画!K20</f>
        <v>1088</v>
      </c>
      <c r="O1073" s="214">
        <f>[54]人員・時間計画!L20</f>
        <v>986</v>
      </c>
      <c r="P1073" s="214">
        <f>[54]人員・時間計画!M20</f>
        <v>731</v>
      </c>
      <c r="Q1073" s="214">
        <f>[54]人員・時間計画!N20</f>
        <v>986</v>
      </c>
    </row>
    <row r="1074" spans="1:17" ht="14.5" hidden="1" thickBot="1">
      <c r="A1074">
        <f>[54]人員・時間計画!$A$5</f>
        <v>1412000093</v>
      </c>
      <c r="B1074" t="str">
        <f>[54]人員・時間計画!$B$5</f>
        <v>リスクマネジメント課</v>
      </c>
      <c r="C1074" s="185" t="s">
        <v>202</v>
      </c>
      <c r="D1074" s="204" t="s">
        <v>215</v>
      </c>
      <c r="E1074" s="205"/>
      <c r="F1074" s="214">
        <f>[54]人員・時間計画!C21</f>
        <v>986</v>
      </c>
      <c r="G1074" s="214">
        <f>[54]人員・時間計画!D21</f>
        <v>1096.5</v>
      </c>
      <c r="H1074" s="214">
        <f>[54]人員・時間計画!E21</f>
        <v>1215.5</v>
      </c>
      <c r="I1074" s="214">
        <f>[54]人員・時間計画!F21</f>
        <v>1334.5</v>
      </c>
      <c r="J1074" s="214">
        <f>[54]人員・時間計画!G21</f>
        <v>1113.5</v>
      </c>
      <c r="K1074" s="214">
        <f>[54]人員・時間計画!H21</f>
        <v>1096.5</v>
      </c>
      <c r="L1074" s="214">
        <f>[54]人員・時間計画!I21</f>
        <v>1334.5</v>
      </c>
      <c r="M1074" s="214">
        <f>[54]人員・時間計画!J21</f>
        <v>1156</v>
      </c>
      <c r="N1074" s="214">
        <f>[54]人員・時間計画!K21</f>
        <v>1275</v>
      </c>
      <c r="O1074" s="214">
        <f>[54]人員・時間計画!L21</f>
        <v>1156</v>
      </c>
      <c r="P1074" s="214">
        <f>[54]人員・時間計画!M21</f>
        <v>841.5</v>
      </c>
      <c r="Q1074" s="214">
        <f>[54]人員・時間計画!N21</f>
        <v>1156</v>
      </c>
    </row>
    <row r="1075" spans="1:17" ht="14.5" hidden="1" thickBot="1">
      <c r="A1075">
        <f>[54]人員・時間計画!$A$5</f>
        <v>1412000093</v>
      </c>
      <c r="B1075" t="str">
        <f>[54]人員・時間計画!$B$5</f>
        <v>リスクマネジメント課</v>
      </c>
      <c r="D1075" s="197"/>
      <c r="E1075" s="197"/>
    </row>
    <row r="1076" spans="1:17" ht="14.5" hidden="1" thickBot="1">
      <c r="A1076">
        <f>[54]人員・時間計画!$A$5</f>
        <v>1412000093</v>
      </c>
      <c r="B1076" t="str">
        <f>[54]人員・時間計画!$B$5</f>
        <v>リスクマネジメント課</v>
      </c>
      <c r="C1076" s="185" t="s">
        <v>71</v>
      </c>
      <c r="D1076" s="185" t="s">
        <v>71</v>
      </c>
      <c r="E1076" s="186"/>
    </row>
    <row r="1077" spans="1:17" ht="14.5" hidden="1" thickBot="1">
      <c r="A1077">
        <f>[54]人員・時間計画!$A$5</f>
        <v>1412000093</v>
      </c>
      <c r="B1077" t="str">
        <f>[54]人員・時間計画!$B$5</f>
        <v>リスクマネジメント課</v>
      </c>
      <c r="C1077" s="185" t="s">
        <v>71</v>
      </c>
      <c r="D1077" s="198" t="s">
        <v>194</v>
      </c>
      <c r="E1077" s="199"/>
      <c r="F1077" s="214">
        <f>[54]人員・時間計画!C24</f>
        <v>40</v>
      </c>
      <c r="G1077" s="214">
        <f>[54]人員・時間計画!D24</f>
        <v>38</v>
      </c>
      <c r="H1077" s="214">
        <f>[54]人員・時間計画!E24</f>
        <v>42</v>
      </c>
      <c r="I1077" s="214">
        <f>[54]人員・時間計画!F24</f>
        <v>46</v>
      </c>
      <c r="J1077" s="214">
        <f>[54]人員・時間計画!G24</f>
        <v>30</v>
      </c>
      <c r="K1077" s="214">
        <f>[54]人員・時間計画!H24</f>
        <v>38</v>
      </c>
      <c r="L1077" s="214">
        <f>[54]人員・時間計画!I24</f>
        <v>46</v>
      </c>
      <c r="M1077" s="214">
        <f>[54]人員・時間計画!J24</f>
        <v>40</v>
      </c>
      <c r="N1077" s="214">
        <f>[54]人員・時間計画!K24</f>
        <v>44</v>
      </c>
      <c r="O1077" s="214">
        <f>[54]人員・時間計画!L24</f>
        <v>40</v>
      </c>
      <c r="P1077" s="214">
        <f>[54]人員・時間計画!M24</f>
        <v>26</v>
      </c>
      <c r="Q1077" s="214">
        <f>[54]人員・時間計画!N24</f>
        <v>40</v>
      </c>
    </row>
    <row r="1078" spans="1:17" ht="14.5" hidden="1" thickBot="1">
      <c r="A1078">
        <f>[54]人員・時間計画!$A$5</f>
        <v>1412000093</v>
      </c>
      <c r="B1078" t="str">
        <f>[54]人員・時間計画!$B$5</f>
        <v>リスクマネジメント課</v>
      </c>
      <c r="C1078" s="185" t="s">
        <v>71</v>
      </c>
      <c r="D1078" s="200"/>
      <c r="E1078" s="206" t="s">
        <v>139</v>
      </c>
      <c r="F1078" s="214">
        <f>[54]人員・時間計画!C25</f>
        <v>76</v>
      </c>
      <c r="G1078" s="214">
        <f>[54]人員・時間計画!D25</f>
        <v>72</v>
      </c>
      <c r="H1078" s="214">
        <f>[54]人員・時間計画!E25</f>
        <v>80</v>
      </c>
      <c r="I1078" s="214">
        <f>[54]人員・時間計画!F25</f>
        <v>88</v>
      </c>
      <c r="J1078" s="214">
        <f>[54]人員・時間計画!G25</f>
        <v>76</v>
      </c>
      <c r="K1078" s="214">
        <f>[54]人員・時間計画!H25</f>
        <v>72</v>
      </c>
      <c r="L1078" s="214">
        <f>[54]人員・時間計画!I25</f>
        <v>88</v>
      </c>
      <c r="M1078" s="214">
        <f>[54]人員・時間計画!J25</f>
        <v>76</v>
      </c>
      <c r="N1078" s="214">
        <f>[54]人員・時間計画!K25</f>
        <v>84</v>
      </c>
      <c r="O1078" s="214">
        <f>[54]人員・時間計画!L25</f>
        <v>76</v>
      </c>
      <c r="P1078" s="214">
        <f>[54]人員・時間計画!M25</f>
        <v>56</v>
      </c>
      <c r="Q1078" s="214">
        <f>[54]人員・時間計画!N25</f>
        <v>76</v>
      </c>
    </row>
    <row r="1079" spans="1:17" ht="14.5" thickBot="1">
      <c r="A1079">
        <f>[54]人員・時間計画!$A$5</f>
        <v>1412000093</v>
      </c>
      <c r="B1079" t="str">
        <f>[54]人員・時間計画!$B$5</f>
        <v>リスクマネジメント課</v>
      </c>
      <c r="C1079" s="185" t="s">
        <v>71</v>
      </c>
      <c r="D1079" s="201" t="s">
        <v>195</v>
      </c>
      <c r="E1079" s="207" t="s">
        <v>140</v>
      </c>
      <c r="F1079" s="214">
        <f>[54]人員・時間計画!C26</f>
        <v>0</v>
      </c>
      <c r="G1079" s="214">
        <f>[54]人員・時間計画!D26</f>
        <v>0</v>
      </c>
      <c r="H1079" s="214">
        <f>[54]人員・時間計画!E26</f>
        <v>0</v>
      </c>
      <c r="I1079" s="214">
        <f>[54]人員・時間計画!F26</f>
        <v>0</v>
      </c>
      <c r="J1079" s="214">
        <f>[54]人員・時間計画!G26</f>
        <v>0</v>
      </c>
      <c r="K1079" s="214">
        <f>[54]人員・時間計画!H26</f>
        <v>0</v>
      </c>
      <c r="L1079" s="214">
        <f>[54]人員・時間計画!I26</f>
        <v>0</v>
      </c>
      <c r="M1079" s="214">
        <f>[54]人員・時間計画!J26</f>
        <v>0</v>
      </c>
      <c r="N1079" s="214">
        <f>[54]人員・時間計画!K26</f>
        <v>0</v>
      </c>
      <c r="O1079" s="214">
        <f>[54]人員・時間計画!L26</f>
        <v>0</v>
      </c>
      <c r="P1079" s="214">
        <f>[54]人員・時間計画!M26</f>
        <v>0</v>
      </c>
      <c r="Q1079" s="214">
        <f>[54]人員・時間計画!N26</f>
        <v>0</v>
      </c>
    </row>
    <row r="1080" spans="1:17" ht="14.5" hidden="1" thickBot="1">
      <c r="A1080">
        <f>[54]人員・時間計画!$A$5</f>
        <v>1412000093</v>
      </c>
      <c r="B1080" t="str">
        <f>[54]人員・時間計画!$B$5</f>
        <v>リスクマネジメント課</v>
      </c>
      <c r="C1080" s="185" t="s">
        <v>71</v>
      </c>
      <c r="D1080" s="202"/>
      <c r="E1080" s="203" t="s">
        <v>138</v>
      </c>
      <c r="F1080" s="214">
        <f>[54]人員・時間計画!C27</f>
        <v>76</v>
      </c>
      <c r="G1080" s="214">
        <f>[54]人員・時間計画!D27</f>
        <v>72</v>
      </c>
      <c r="H1080" s="214">
        <f>[54]人員・時間計画!E27</f>
        <v>80</v>
      </c>
      <c r="I1080" s="214">
        <f>[54]人員・時間計画!F27</f>
        <v>88</v>
      </c>
      <c r="J1080" s="214">
        <f>[54]人員・時間計画!G27</f>
        <v>76</v>
      </c>
      <c r="K1080" s="214">
        <f>[54]人員・時間計画!H27</f>
        <v>72</v>
      </c>
      <c r="L1080" s="214">
        <f>[54]人員・時間計画!I27</f>
        <v>88</v>
      </c>
      <c r="M1080" s="214">
        <f>[54]人員・時間計画!J27</f>
        <v>76</v>
      </c>
      <c r="N1080" s="214">
        <f>[54]人員・時間計画!K27</f>
        <v>84</v>
      </c>
      <c r="O1080" s="214">
        <f>[54]人員・時間計画!L27</f>
        <v>76</v>
      </c>
      <c r="P1080" s="214">
        <f>[54]人員・時間計画!M27</f>
        <v>56</v>
      </c>
      <c r="Q1080" s="214">
        <f>[54]人員・時間計画!N27</f>
        <v>76</v>
      </c>
    </row>
    <row r="1081" spans="1:17" ht="14.5" hidden="1" thickBot="1">
      <c r="A1081">
        <f>[54]人員・時間計画!$A$5</f>
        <v>1412000093</v>
      </c>
      <c r="B1081" t="str">
        <f>[54]人員・時間計画!$B$5</f>
        <v>リスクマネジメント課</v>
      </c>
      <c r="C1081" s="185" t="s">
        <v>71</v>
      </c>
      <c r="D1081" s="204" t="s">
        <v>216</v>
      </c>
      <c r="E1081" s="205"/>
      <c r="F1081" s="214">
        <f>[54]人員・時間計画!C28</f>
        <v>116</v>
      </c>
      <c r="G1081" s="214">
        <f>[54]人員・時間計画!D28</f>
        <v>110</v>
      </c>
      <c r="H1081" s="214">
        <f>[54]人員・時間計画!E28</f>
        <v>122</v>
      </c>
      <c r="I1081" s="214">
        <f>[54]人員・時間計画!F28</f>
        <v>134</v>
      </c>
      <c r="J1081" s="214">
        <f>[54]人員・時間計画!G28</f>
        <v>106</v>
      </c>
      <c r="K1081" s="214">
        <f>[54]人員・時間計画!H28</f>
        <v>110</v>
      </c>
      <c r="L1081" s="214">
        <f>[54]人員・時間計画!I28</f>
        <v>134</v>
      </c>
      <c r="M1081" s="214">
        <f>[54]人員・時間計画!J28</f>
        <v>116</v>
      </c>
      <c r="N1081" s="214">
        <f>[54]人員・時間計画!K28</f>
        <v>128</v>
      </c>
      <c r="O1081" s="214">
        <f>[54]人員・時間計画!L28</f>
        <v>116</v>
      </c>
      <c r="P1081" s="214">
        <f>[54]人員・時間計画!M28</f>
        <v>82</v>
      </c>
      <c r="Q1081" s="214">
        <f>[54]人員・時間計画!N28</f>
        <v>116</v>
      </c>
    </row>
    <row r="1082" spans="1:17" ht="14.5" hidden="1" thickBot="1">
      <c r="A1082">
        <f>[29]人員・時間計画!$A$5</f>
        <v>1412000094</v>
      </c>
      <c r="B1082" t="str">
        <f>[29]人員・時間計画!$B$5</f>
        <v>OC管理課</v>
      </c>
      <c r="C1082" s="185" t="s">
        <v>3</v>
      </c>
      <c r="D1082" s="185" t="s">
        <v>3</v>
      </c>
      <c r="E1082" s="186"/>
    </row>
    <row r="1083" spans="1:17" ht="14.5" hidden="1" thickBot="1">
      <c r="A1083">
        <f>[29]人員・時間計画!$A$5</f>
        <v>1412000094</v>
      </c>
      <c r="B1083" t="str">
        <f>[29]人員・時間計画!$B$5</f>
        <v>OC管理課</v>
      </c>
      <c r="C1083" s="185" t="s">
        <v>3</v>
      </c>
      <c r="D1083" s="187" t="s">
        <v>194</v>
      </c>
      <c r="E1083" s="188"/>
      <c r="F1083" s="214">
        <f>[29]人員・時間計画!C10</f>
        <v>0</v>
      </c>
      <c r="G1083" s="214">
        <f>[29]人員・時間計画!D10</f>
        <v>0</v>
      </c>
      <c r="H1083" s="214">
        <f>[29]人員・時間計画!E10</f>
        <v>0</v>
      </c>
      <c r="I1083" s="214">
        <f>[29]人員・時間計画!F10</f>
        <v>0</v>
      </c>
      <c r="J1083" s="214">
        <f>[29]人員・時間計画!G10</f>
        <v>0</v>
      </c>
      <c r="K1083" s="214">
        <f>[29]人員・時間計画!H10</f>
        <v>0</v>
      </c>
      <c r="L1083" s="214">
        <f>[29]人員・時間計画!I10</f>
        <v>0</v>
      </c>
      <c r="M1083" s="214">
        <f>[29]人員・時間計画!J10</f>
        <v>0</v>
      </c>
      <c r="N1083" s="214">
        <f>[29]人員・時間計画!K10</f>
        <v>0</v>
      </c>
      <c r="O1083" s="214">
        <f>[29]人員・時間計画!L10</f>
        <v>0</v>
      </c>
      <c r="P1083" s="214">
        <f>[29]人員・時間計画!M10</f>
        <v>0</v>
      </c>
      <c r="Q1083" s="214">
        <f>[29]人員・時間計画!N10</f>
        <v>0</v>
      </c>
    </row>
    <row r="1084" spans="1:17" ht="14.5" hidden="1" thickBot="1">
      <c r="A1084">
        <f>[29]人員・時間計画!$A$5</f>
        <v>1412000094</v>
      </c>
      <c r="B1084" t="str">
        <f>[29]人員・時間計画!$B$5</f>
        <v>OC管理課</v>
      </c>
      <c r="C1084" s="185" t="s">
        <v>3</v>
      </c>
      <c r="D1084" s="189"/>
      <c r="E1084" s="190" t="s">
        <v>139</v>
      </c>
      <c r="F1084" s="214">
        <f>[29]人員・時間計画!C11</f>
        <v>3</v>
      </c>
      <c r="G1084" s="214">
        <f>[29]人員・時間計画!D11</f>
        <v>3</v>
      </c>
      <c r="H1084" s="214">
        <f>[29]人員・時間計画!E11</f>
        <v>3</v>
      </c>
      <c r="I1084" s="214">
        <f>[29]人員・時間計画!F11</f>
        <v>3</v>
      </c>
      <c r="J1084" s="214">
        <f>[29]人員・時間計画!G11</f>
        <v>3</v>
      </c>
      <c r="K1084" s="214">
        <f>[29]人員・時間計画!H11</f>
        <v>3</v>
      </c>
      <c r="L1084" s="214">
        <f>[29]人員・時間計画!I11</f>
        <v>3</v>
      </c>
      <c r="M1084" s="214">
        <f>[29]人員・時間計画!J11</f>
        <v>3</v>
      </c>
      <c r="N1084" s="214">
        <f>[29]人員・時間計画!K11</f>
        <v>3</v>
      </c>
      <c r="O1084" s="214">
        <f>[29]人員・時間計画!L11</f>
        <v>3</v>
      </c>
      <c r="P1084" s="214">
        <f>[29]人員・時間計画!M11</f>
        <v>3</v>
      </c>
      <c r="Q1084" s="214">
        <f>[29]人員・時間計画!N11</f>
        <v>3</v>
      </c>
    </row>
    <row r="1085" spans="1:17" ht="14.5" thickBot="1">
      <c r="A1085">
        <f>[29]人員・時間計画!$A$5</f>
        <v>1412000094</v>
      </c>
      <c r="B1085" t="str">
        <f>[29]人員・時間計画!$B$5</f>
        <v>OC管理課</v>
      </c>
      <c r="C1085" s="185" t="s">
        <v>3</v>
      </c>
      <c r="D1085" s="191" t="s">
        <v>195</v>
      </c>
      <c r="E1085" s="192" t="s">
        <v>140</v>
      </c>
      <c r="F1085" s="214">
        <f>[29]人員・時間計画!C12</f>
        <v>0</v>
      </c>
      <c r="G1085" s="214">
        <f>[29]人員・時間計画!D12</f>
        <v>0</v>
      </c>
      <c r="H1085" s="214">
        <f>[29]人員・時間計画!E12</f>
        <v>0</v>
      </c>
      <c r="I1085" s="214">
        <f>[29]人員・時間計画!F12</f>
        <v>0</v>
      </c>
      <c r="J1085" s="214">
        <f>[29]人員・時間計画!G12</f>
        <v>0</v>
      </c>
      <c r="K1085" s="214">
        <f>[29]人員・時間計画!H12</f>
        <v>0</v>
      </c>
      <c r="L1085" s="214">
        <f>[29]人員・時間計画!I12</f>
        <v>0</v>
      </c>
      <c r="M1085" s="214">
        <f>[29]人員・時間計画!J12</f>
        <v>0</v>
      </c>
      <c r="N1085" s="214">
        <f>[29]人員・時間計画!K12</f>
        <v>0</v>
      </c>
      <c r="O1085" s="214">
        <f>[29]人員・時間計画!L12</f>
        <v>0</v>
      </c>
      <c r="P1085" s="214">
        <f>[29]人員・時間計画!M12</f>
        <v>0</v>
      </c>
      <c r="Q1085" s="214">
        <f>[29]人員・時間計画!N12</f>
        <v>0</v>
      </c>
    </row>
    <row r="1086" spans="1:17" ht="14.5" hidden="1" thickBot="1">
      <c r="A1086">
        <f>[29]人員・時間計画!$A$5</f>
        <v>1412000094</v>
      </c>
      <c r="B1086" t="str">
        <f>[29]人員・時間計画!$B$5</f>
        <v>OC管理課</v>
      </c>
      <c r="C1086" s="185" t="s">
        <v>3</v>
      </c>
      <c r="D1086" s="193"/>
      <c r="E1086" s="194" t="s">
        <v>138</v>
      </c>
      <c r="F1086" s="214">
        <f>[29]人員・時間計画!C13</f>
        <v>3</v>
      </c>
      <c r="G1086" s="214">
        <f>[29]人員・時間計画!D13</f>
        <v>3</v>
      </c>
      <c r="H1086" s="214">
        <f>[29]人員・時間計画!E13</f>
        <v>3</v>
      </c>
      <c r="I1086" s="214">
        <f>[29]人員・時間計画!F13</f>
        <v>3</v>
      </c>
      <c r="J1086" s="214">
        <f>[29]人員・時間計画!G13</f>
        <v>3</v>
      </c>
      <c r="K1086" s="214">
        <f>[29]人員・時間計画!H13</f>
        <v>3</v>
      </c>
      <c r="L1086" s="214">
        <f>[29]人員・時間計画!I13</f>
        <v>3</v>
      </c>
      <c r="M1086" s="214">
        <f>[29]人員・時間計画!J13</f>
        <v>3</v>
      </c>
      <c r="N1086" s="214">
        <f>[29]人員・時間計画!K13</f>
        <v>3</v>
      </c>
      <c r="O1086" s="214">
        <f>[29]人員・時間計画!L13</f>
        <v>3</v>
      </c>
      <c r="P1086" s="214">
        <f>[29]人員・時間計画!M13</f>
        <v>3</v>
      </c>
      <c r="Q1086" s="214">
        <f>[29]人員・時間計画!N13</f>
        <v>3</v>
      </c>
    </row>
    <row r="1087" spans="1:17" ht="14.5" hidden="1" thickBot="1">
      <c r="A1087">
        <f>[29]人員・時間計画!$A$5</f>
        <v>1412000094</v>
      </c>
      <c r="B1087" t="str">
        <f>[29]人員・時間計画!$B$5</f>
        <v>OC管理課</v>
      </c>
      <c r="C1087" s="185" t="s">
        <v>3</v>
      </c>
      <c r="D1087" s="195" t="s">
        <v>196</v>
      </c>
      <c r="E1087" s="196"/>
      <c r="F1087" s="214">
        <f>[29]人員・時間計画!C14</f>
        <v>3</v>
      </c>
      <c r="G1087" s="214">
        <f>[29]人員・時間計画!D14</f>
        <v>3</v>
      </c>
      <c r="H1087" s="214">
        <f>[29]人員・時間計画!E14</f>
        <v>3</v>
      </c>
      <c r="I1087" s="214">
        <f>[29]人員・時間計画!F14</f>
        <v>3</v>
      </c>
      <c r="J1087" s="214">
        <f>[29]人員・時間計画!G14</f>
        <v>3</v>
      </c>
      <c r="K1087" s="214">
        <f>[29]人員・時間計画!H14</f>
        <v>3</v>
      </c>
      <c r="L1087" s="214">
        <f>[29]人員・時間計画!I14</f>
        <v>3</v>
      </c>
      <c r="M1087" s="214">
        <f>[29]人員・時間計画!J14</f>
        <v>3</v>
      </c>
      <c r="N1087" s="214">
        <f>[29]人員・時間計画!K14</f>
        <v>3</v>
      </c>
      <c r="O1087" s="214">
        <f>[29]人員・時間計画!L14</f>
        <v>3</v>
      </c>
      <c r="P1087" s="214">
        <f>[29]人員・時間計画!M14</f>
        <v>3</v>
      </c>
      <c r="Q1087" s="214">
        <f>[29]人員・時間計画!N14</f>
        <v>3</v>
      </c>
    </row>
    <row r="1088" spans="1:17" ht="14.5" hidden="1" thickBot="1">
      <c r="A1088">
        <f>[29]人員・時間計画!$A$5</f>
        <v>1412000094</v>
      </c>
      <c r="B1088" t="str">
        <f>[29]人員・時間計画!$B$5</f>
        <v>OC管理課</v>
      </c>
      <c r="D1088" s="197"/>
      <c r="E1088" s="197"/>
    </row>
    <row r="1089" spans="1:17" ht="14.5" hidden="1" thickBot="1">
      <c r="A1089">
        <f>[29]人員・時間計画!$A$5</f>
        <v>1412000094</v>
      </c>
      <c r="B1089" t="str">
        <f>[29]人員・時間計画!$B$5</f>
        <v>OC管理課</v>
      </c>
      <c r="C1089" s="185" t="s">
        <v>202</v>
      </c>
      <c r="D1089" s="185" t="s">
        <v>202</v>
      </c>
      <c r="E1089" s="186"/>
    </row>
    <row r="1090" spans="1:17" ht="14.5" hidden="1" thickBot="1">
      <c r="A1090">
        <f>[29]人員・時間計画!$A$5</f>
        <v>1412000094</v>
      </c>
      <c r="B1090" t="str">
        <f>[29]人員・時間計画!$B$5</f>
        <v>OC管理課</v>
      </c>
      <c r="C1090" s="185" t="s">
        <v>202</v>
      </c>
      <c r="D1090" s="198" t="s">
        <v>194</v>
      </c>
      <c r="E1090" s="199"/>
      <c r="F1090" s="214">
        <f>[29]人員・時間計画!C17</f>
        <v>0</v>
      </c>
      <c r="G1090" s="214">
        <f>[29]人員・時間計画!D17</f>
        <v>0</v>
      </c>
      <c r="H1090" s="214">
        <f>[29]人員・時間計画!E17</f>
        <v>0</v>
      </c>
      <c r="I1090" s="214">
        <f>[29]人員・時間計画!F17</f>
        <v>0</v>
      </c>
      <c r="J1090" s="214">
        <f>[29]人員・時間計画!G17</f>
        <v>0</v>
      </c>
      <c r="K1090" s="214">
        <f>[29]人員・時間計画!H17</f>
        <v>0</v>
      </c>
      <c r="L1090" s="214">
        <f>[29]人員・時間計画!I17</f>
        <v>0</v>
      </c>
      <c r="M1090" s="214">
        <f>[29]人員・時間計画!J17</f>
        <v>0</v>
      </c>
      <c r="N1090" s="214">
        <f>[29]人員・時間計画!K17</f>
        <v>0</v>
      </c>
      <c r="O1090" s="214">
        <f>[29]人員・時間計画!L17</f>
        <v>0</v>
      </c>
      <c r="P1090" s="214">
        <f>[29]人員・時間計画!M17</f>
        <v>0</v>
      </c>
      <c r="Q1090" s="214">
        <f>[29]人員・時間計画!N17</f>
        <v>0</v>
      </c>
    </row>
    <row r="1091" spans="1:17" ht="14.5" hidden="1" thickBot="1">
      <c r="A1091">
        <f>[29]人員・時間計画!$A$5</f>
        <v>1412000094</v>
      </c>
      <c r="B1091" t="str">
        <f>[29]人員・時間計画!$B$5</f>
        <v>OC管理課</v>
      </c>
      <c r="C1091" s="185" t="s">
        <v>202</v>
      </c>
      <c r="D1091" s="200"/>
      <c r="E1091" s="190" t="s">
        <v>139</v>
      </c>
      <c r="F1091" s="214">
        <f>[29]人員・時間計画!C18</f>
        <v>510</v>
      </c>
      <c r="G1091" s="214">
        <f>[29]人員・時間計画!D18</f>
        <v>484.5</v>
      </c>
      <c r="H1091" s="214">
        <f>[29]人員・時間計画!E18</f>
        <v>535.5</v>
      </c>
      <c r="I1091" s="214">
        <f>[29]人員・時間計画!F18</f>
        <v>586.5</v>
      </c>
      <c r="J1091" s="214">
        <f>[29]人員・時間計画!G18</f>
        <v>510</v>
      </c>
      <c r="K1091" s="214">
        <f>[29]人員・時間計画!H18</f>
        <v>484.5</v>
      </c>
      <c r="L1091" s="214">
        <f>[29]人員・時間計画!I18</f>
        <v>586.5</v>
      </c>
      <c r="M1091" s="214">
        <f>[29]人員・時間計画!J18</f>
        <v>510</v>
      </c>
      <c r="N1091" s="214">
        <f>[29]人員・時間計画!K18</f>
        <v>561</v>
      </c>
      <c r="O1091" s="214">
        <f>[29]人員・時間計画!L18</f>
        <v>510</v>
      </c>
      <c r="P1091" s="214">
        <f>[29]人員・時間計画!M18</f>
        <v>382.5</v>
      </c>
      <c r="Q1091" s="214">
        <f>[29]人員・時間計画!N18</f>
        <v>510</v>
      </c>
    </row>
    <row r="1092" spans="1:17" ht="14.5" thickBot="1">
      <c r="A1092">
        <f>[29]人員・時間計画!$A$5</f>
        <v>1412000094</v>
      </c>
      <c r="B1092" t="str">
        <f>[29]人員・時間計画!$B$5</f>
        <v>OC管理課</v>
      </c>
      <c r="C1092" s="185" t="s">
        <v>202</v>
      </c>
      <c r="D1092" s="201" t="s">
        <v>195</v>
      </c>
      <c r="E1092" s="192" t="s">
        <v>140</v>
      </c>
      <c r="F1092" s="214">
        <f>[29]人員・時間計画!C19</f>
        <v>0</v>
      </c>
      <c r="G1092" s="214">
        <f>[29]人員・時間計画!D19</f>
        <v>0</v>
      </c>
      <c r="H1092" s="214">
        <f>[29]人員・時間計画!E19</f>
        <v>0</v>
      </c>
      <c r="I1092" s="214">
        <f>[29]人員・時間計画!F19</f>
        <v>0</v>
      </c>
      <c r="J1092" s="214">
        <f>[29]人員・時間計画!G19</f>
        <v>0</v>
      </c>
      <c r="K1092" s="214">
        <f>[29]人員・時間計画!H19</f>
        <v>0</v>
      </c>
      <c r="L1092" s="214">
        <f>[29]人員・時間計画!I19</f>
        <v>0</v>
      </c>
      <c r="M1092" s="214">
        <f>[29]人員・時間計画!J19</f>
        <v>0</v>
      </c>
      <c r="N1092" s="214">
        <f>[29]人員・時間計画!K19</f>
        <v>0</v>
      </c>
      <c r="O1092" s="214">
        <f>[29]人員・時間計画!L19</f>
        <v>0</v>
      </c>
      <c r="P1092" s="214">
        <f>[29]人員・時間計画!M19</f>
        <v>0</v>
      </c>
      <c r="Q1092" s="214">
        <f>[29]人員・時間計画!N19</f>
        <v>0</v>
      </c>
    </row>
    <row r="1093" spans="1:17" ht="14.5" hidden="1" thickBot="1">
      <c r="A1093">
        <f>[29]人員・時間計画!$A$5</f>
        <v>1412000094</v>
      </c>
      <c r="B1093" t="str">
        <f>[29]人員・時間計画!$B$5</f>
        <v>OC管理課</v>
      </c>
      <c r="C1093" s="185" t="s">
        <v>202</v>
      </c>
      <c r="D1093" s="202"/>
      <c r="E1093" s="203" t="s">
        <v>138</v>
      </c>
      <c r="F1093" s="214">
        <f>[29]人員・時間計画!C20</f>
        <v>510</v>
      </c>
      <c r="G1093" s="214">
        <f>[29]人員・時間計画!D20</f>
        <v>484.5</v>
      </c>
      <c r="H1093" s="214">
        <f>[29]人員・時間計画!E20</f>
        <v>535.5</v>
      </c>
      <c r="I1093" s="214">
        <f>[29]人員・時間計画!F20</f>
        <v>586.5</v>
      </c>
      <c r="J1093" s="214">
        <f>[29]人員・時間計画!G20</f>
        <v>510</v>
      </c>
      <c r="K1093" s="214">
        <f>[29]人員・時間計画!H20</f>
        <v>484.5</v>
      </c>
      <c r="L1093" s="214">
        <f>[29]人員・時間計画!I20</f>
        <v>586.5</v>
      </c>
      <c r="M1093" s="214">
        <f>[29]人員・時間計画!J20</f>
        <v>510</v>
      </c>
      <c r="N1093" s="214">
        <f>[29]人員・時間計画!K20</f>
        <v>561</v>
      </c>
      <c r="O1093" s="214">
        <f>[29]人員・時間計画!L20</f>
        <v>510</v>
      </c>
      <c r="P1093" s="214">
        <f>[29]人員・時間計画!M20</f>
        <v>382.5</v>
      </c>
      <c r="Q1093" s="214">
        <f>[29]人員・時間計画!N20</f>
        <v>510</v>
      </c>
    </row>
    <row r="1094" spans="1:17" ht="14.5" hidden="1" thickBot="1">
      <c r="A1094">
        <f>[29]人員・時間計画!$A$5</f>
        <v>1412000094</v>
      </c>
      <c r="B1094" t="str">
        <f>[29]人員・時間計画!$B$5</f>
        <v>OC管理課</v>
      </c>
      <c r="C1094" s="185" t="s">
        <v>202</v>
      </c>
      <c r="D1094" s="204" t="s">
        <v>215</v>
      </c>
      <c r="E1094" s="205"/>
      <c r="F1094" s="214">
        <f>[29]人員・時間計画!C21</f>
        <v>510</v>
      </c>
      <c r="G1094" s="214">
        <f>[29]人員・時間計画!D21</f>
        <v>484.5</v>
      </c>
      <c r="H1094" s="214">
        <f>[29]人員・時間計画!E21</f>
        <v>535.5</v>
      </c>
      <c r="I1094" s="214">
        <f>[29]人員・時間計画!F21</f>
        <v>586.5</v>
      </c>
      <c r="J1094" s="214">
        <f>[29]人員・時間計画!G21</f>
        <v>510</v>
      </c>
      <c r="K1094" s="214">
        <f>[29]人員・時間計画!H21</f>
        <v>484.5</v>
      </c>
      <c r="L1094" s="214">
        <f>[29]人員・時間計画!I21</f>
        <v>586.5</v>
      </c>
      <c r="M1094" s="214">
        <f>[29]人員・時間計画!J21</f>
        <v>510</v>
      </c>
      <c r="N1094" s="214">
        <f>[29]人員・時間計画!K21</f>
        <v>561</v>
      </c>
      <c r="O1094" s="214">
        <f>[29]人員・時間計画!L21</f>
        <v>510</v>
      </c>
      <c r="P1094" s="214">
        <f>[29]人員・時間計画!M21</f>
        <v>382.5</v>
      </c>
      <c r="Q1094" s="214">
        <f>[29]人員・時間計画!N21</f>
        <v>510</v>
      </c>
    </row>
    <row r="1095" spans="1:17" ht="14.5" hidden="1" thickBot="1">
      <c r="A1095">
        <f>[29]人員・時間計画!$A$5</f>
        <v>1412000094</v>
      </c>
      <c r="B1095" t="str">
        <f>[29]人員・時間計画!$B$5</f>
        <v>OC管理課</v>
      </c>
      <c r="D1095" s="197"/>
      <c r="E1095" s="197"/>
    </row>
    <row r="1096" spans="1:17" ht="14.5" hidden="1" thickBot="1">
      <c r="A1096">
        <f>[29]人員・時間計画!$A$5</f>
        <v>1412000094</v>
      </c>
      <c r="B1096" t="str">
        <f>[29]人員・時間計画!$B$5</f>
        <v>OC管理課</v>
      </c>
      <c r="C1096" s="185" t="s">
        <v>71</v>
      </c>
      <c r="D1096" s="185" t="s">
        <v>71</v>
      </c>
      <c r="E1096" s="186"/>
    </row>
    <row r="1097" spans="1:17" ht="14.5" hidden="1" thickBot="1">
      <c r="A1097">
        <f>[29]人員・時間計画!$A$5</f>
        <v>1412000094</v>
      </c>
      <c r="B1097" t="str">
        <f>[29]人員・時間計画!$B$5</f>
        <v>OC管理課</v>
      </c>
      <c r="C1097" s="185" t="s">
        <v>71</v>
      </c>
      <c r="D1097" s="198" t="s">
        <v>194</v>
      </c>
      <c r="E1097" s="199"/>
      <c r="F1097" s="214">
        <f>[29]人員・時間計画!C24</f>
        <v>0</v>
      </c>
      <c r="G1097" s="214">
        <f>[29]人員・時間計画!D24</f>
        <v>0</v>
      </c>
      <c r="H1097" s="214">
        <f>[29]人員・時間計画!E24</f>
        <v>0</v>
      </c>
      <c r="I1097" s="214">
        <f>[29]人員・時間計画!F24</f>
        <v>0</v>
      </c>
      <c r="J1097" s="214">
        <f>[29]人員・時間計画!G24</f>
        <v>0</v>
      </c>
      <c r="K1097" s="214">
        <f>[29]人員・時間計画!H24</f>
        <v>0</v>
      </c>
      <c r="L1097" s="214">
        <f>[29]人員・時間計画!I24</f>
        <v>0</v>
      </c>
      <c r="M1097" s="214">
        <f>[29]人員・時間計画!J24</f>
        <v>0</v>
      </c>
      <c r="N1097" s="214">
        <f>[29]人員・時間計画!K24</f>
        <v>0</v>
      </c>
      <c r="O1097" s="214">
        <f>[29]人員・時間計画!L24</f>
        <v>0</v>
      </c>
      <c r="P1097" s="214">
        <f>[29]人員・時間計画!M24</f>
        <v>0</v>
      </c>
      <c r="Q1097" s="214">
        <f>[29]人員・時間計画!N24</f>
        <v>0</v>
      </c>
    </row>
    <row r="1098" spans="1:17" ht="14.5" hidden="1" thickBot="1">
      <c r="A1098">
        <f>[29]人員・時間計画!$A$5</f>
        <v>1412000094</v>
      </c>
      <c r="B1098" t="str">
        <f>[29]人員・時間計画!$B$5</f>
        <v>OC管理課</v>
      </c>
      <c r="C1098" s="185" t="s">
        <v>71</v>
      </c>
      <c r="D1098" s="200"/>
      <c r="E1098" s="206" t="s">
        <v>139</v>
      </c>
      <c r="F1098" s="214">
        <f>[29]人員・時間計画!C25</f>
        <v>40</v>
      </c>
      <c r="G1098" s="214">
        <f>[29]人員・時間計画!D25</f>
        <v>38</v>
      </c>
      <c r="H1098" s="214">
        <f>[29]人員・時間計画!E25</f>
        <v>42</v>
      </c>
      <c r="I1098" s="214">
        <f>[29]人員・時間計画!F25</f>
        <v>46</v>
      </c>
      <c r="J1098" s="214">
        <f>[29]人員・時間計画!G25</f>
        <v>40</v>
      </c>
      <c r="K1098" s="214">
        <f>[29]人員・時間計画!H25</f>
        <v>38</v>
      </c>
      <c r="L1098" s="214">
        <f>[29]人員・時間計画!I25</f>
        <v>46</v>
      </c>
      <c r="M1098" s="214">
        <f>[29]人員・時間計画!J25</f>
        <v>40</v>
      </c>
      <c r="N1098" s="214">
        <f>[29]人員・時間計画!K25</f>
        <v>44</v>
      </c>
      <c r="O1098" s="214">
        <f>[29]人員・時間計画!L25</f>
        <v>40</v>
      </c>
      <c r="P1098" s="214">
        <f>[29]人員・時間計画!M25</f>
        <v>30</v>
      </c>
      <c r="Q1098" s="214">
        <f>[29]人員・時間計画!N25</f>
        <v>40</v>
      </c>
    </row>
    <row r="1099" spans="1:17" ht="14.5" thickBot="1">
      <c r="A1099">
        <f>[29]人員・時間計画!$A$5</f>
        <v>1412000094</v>
      </c>
      <c r="B1099" t="str">
        <f>[29]人員・時間計画!$B$5</f>
        <v>OC管理課</v>
      </c>
      <c r="C1099" s="185" t="s">
        <v>71</v>
      </c>
      <c r="D1099" s="201" t="s">
        <v>195</v>
      </c>
      <c r="E1099" s="207" t="s">
        <v>140</v>
      </c>
      <c r="F1099" s="214">
        <f>[29]人員・時間計画!C26</f>
        <v>0</v>
      </c>
      <c r="G1099" s="214">
        <f>[29]人員・時間計画!D26</f>
        <v>0</v>
      </c>
      <c r="H1099" s="214">
        <f>[29]人員・時間計画!E26</f>
        <v>0</v>
      </c>
      <c r="I1099" s="214">
        <f>[29]人員・時間計画!F26</f>
        <v>0</v>
      </c>
      <c r="J1099" s="214">
        <f>[29]人員・時間計画!G26</f>
        <v>4</v>
      </c>
      <c r="K1099" s="214">
        <f>[29]人員・時間計画!H26</f>
        <v>0</v>
      </c>
      <c r="L1099" s="214">
        <f>[29]人員・時間計画!I26</f>
        <v>0</v>
      </c>
      <c r="M1099" s="214">
        <f>[29]人員・時間計画!J26</f>
        <v>0</v>
      </c>
      <c r="N1099" s="214">
        <f>[29]人員・時間計画!K26</f>
        <v>0</v>
      </c>
      <c r="O1099" s="214">
        <f>[29]人員・時間計画!L26</f>
        <v>0</v>
      </c>
      <c r="P1099" s="214">
        <f>[29]人員・時間計画!M26</f>
        <v>4</v>
      </c>
      <c r="Q1099" s="214">
        <f>[29]人員・時間計画!N26</f>
        <v>0</v>
      </c>
    </row>
    <row r="1100" spans="1:17" ht="14.5" hidden="1" thickBot="1">
      <c r="A1100">
        <f>[29]人員・時間計画!$A$5</f>
        <v>1412000094</v>
      </c>
      <c r="B1100" t="str">
        <f>[29]人員・時間計画!$B$5</f>
        <v>OC管理課</v>
      </c>
      <c r="C1100" s="185" t="s">
        <v>71</v>
      </c>
      <c r="D1100" s="202"/>
      <c r="E1100" s="203" t="s">
        <v>138</v>
      </c>
      <c r="F1100" s="214">
        <f>[29]人員・時間計画!C27</f>
        <v>40</v>
      </c>
      <c r="G1100" s="214">
        <f>[29]人員・時間計画!D27</f>
        <v>38</v>
      </c>
      <c r="H1100" s="214">
        <f>[29]人員・時間計画!E27</f>
        <v>42</v>
      </c>
      <c r="I1100" s="214">
        <f>[29]人員・時間計画!F27</f>
        <v>46</v>
      </c>
      <c r="J1100" s="214">
        <f>[29]人員・時間計画!G27</f>
        <v>44</v>
      </c>
      <c r="K1100" s="214">
        <f>[29]人員・時間計画!H27</f>
        <v>38</v>
      </c>
      <c r="L1100" s="214">
        <f>[29]人員・時間計画!I27</f>
        <v>46</v>
      </c>
      <c r="M1100" s="214">
        <f>[29]人員・時間計画!J27</f>
        <v>40</v>
      </c>
      <c r="N1100" s="214">
        <f>[29]人員・時間計画!K27</f>
        <v>44</v>
      </c>
      <c r="O1100" s="214">
        <f>[29]人員・時間計画!L27</f>
        <v>40</v>
      </c>
      <c r="P1100" s="214">
        <f>[29]人員・時間計画!M27</f>
        <v>34</v>
      </c>
      <c r="Q1100" s="214">
        <f>[29]人員・時間計画!N27</f>
        <v>40</v>
      </c>
    </row>
    <row r="1101" spans="1:17" ht="14.5" hidden="1" thickBot="1">
      <c r="A1101">
        <f>[29]人員・時間計画!$A$5</f>
        <v>1412000094</v>
      </c>
      <c r="B1101" t="str">
        <f>[29]人員・時間計画!$B$5</f>
        <v>OC管理課</v>
      </c>
      <c r="C1101" s="185" t="s">
        <v>71</v>
      </c>
      <c r="D1101" s="204" t="s">
        <v>216</v>
      </c>
      <c r="E1101" s="205"/>
      <c r="F1101" s="214">
        <f>[29]人員・時間計画!C28</f>
        <v>40</v>
      </c>
      <c r="G1101" s="214">
        <f>[29]人員・時間計画!D28</f>
        <v>38</v>
      </c>
      <c r="H1101" s="214">
        <f>[29]人員・時間計画!E28</f>
        <v>42</v>
      </c>
      <c r="I1101" s="214">
        <f>[29]人員・時間計画!F28</f>
        <v>46</v>
      </c>
      <c r="J1101" s="214">
        <f>[29]人員・時間計画!G28</f>
        <v>44</v>
      </c>
      <c r="K1101" s="214">
        <f>[29]人員・時間計画!H28</f>
        <v>38</v>
      </c>
      <c r="L1101" s="214">
        <f>[29]人員・時間計画!I28</f>
        <v>46</v>
      </c>
      <c r="M1101" s="214">
        <f>[29]人員・時間計画!J28</f>
        <v>40</v>
      </c>
      <c r="N1101" s="214">
        <f>[29]人員・時間計画!K28</f>
        <v>44</v>
      </c>
      <c r="O1101" s="214">
        <f>[29]人員・時間計画!L28</f>
        <v>40</v>
      </c>
      <c r="P1101" s="214">
        <f>[29]人員・時間計画!M28</f>
        <v>34</v>
      </c>
      <c r="Q1101" s="214">
        <f>[29]人員・時間計画!N28</f>
        <v>40</v>
      </c>
    </row>
    <row r="1102" spans="1:17" ht="14.5" hidden="1" thickBot="1">
      <c r="A1102">
        <f>[16]人員・時間計画!$A$5</f>
        <v>1412000096</v>
      </c>
      <c r="B1102" t="str">
        <f>[16]人員・時間計画!$B$5</f>
        <v>ESD2課</v>
      </c>
      <c r="C1102" s="185" t="s">
        <v>3</v>
      </c>
      <c r="D1102" s="185" t="s">
        <v>3</v>
      </c>
      <c r="E1102" s="186"/>
    </row>
    <row r="1103" spans="1:17" ht="14.5" hidden="1" thickBot="1">
      <c r="A1103">
        <f>[16]人員・時間計画!$A$5</f>
        <v>1412000096</v>
      </c>
      <c r="B1103" t="str">
        <f>[16]人員・時間計画!$B$5</f>
        <v>ESD2課</v>
      </c>
      <c r="C1103" s="185" t="s">
        <v>3</v>
      </c>
      <c r="D1103" s="187" t="s">
        <v>194</v>
      </c>
      <c r="E1103" s="188"/>
      <c r="F1103" s="214">
        <f>[16]人員・時間計画!C10</f>
        <v>0</v>
      </c>
      <c r="G1103" s="214">
        <f>[16]人員・時間計画!D10</f>
        <v>0</v>
      </c>
      <c r="H1103" s="214">
        <f>[16]人員・時間計画!E10</f>
        <v>0</v>
      </c>
      <c r="I1103" s="214">
        <f>[16]人員・時間計画!F10</f>
        <v>0</v>
      </c>
      <c r="J1103" s="214">
        <f>[16]人員・時間計画!G10</f>
        <v>0</v>
      </c>
      <c r="K1103" s="214">
        <f>[16]人員・時間計画!H10</f>
        <v>0</v>
      </c>
      <c r="L1103" s="214">
        <f>[16]人員・時間計画!I10</f>
        <v>0</v>
      </c>
      <c r="M1103" s="214">
        <f>[16]人員・時間計画!J10</f>
        <v>0</v>
      </c>
      <c r="N1103" s="214">
        <f>[16]人員・時間計画!K10</f>
        <v>0</v>
      </c>
      <c r="O1103" s="214">
        <f>[16]人員・時間計画!L10</f>
        <v>0</v>
      </c>
      <c r="P1103" s="214">
        <f>[16]人員・時間計画!M10</f>
        <v>0</v>
      </c>
      <c r="Q1103" s="214">
        <f>[16]人員・時間計画!N10</f>
        <v>0</v>
      </c>
    </row>
    <row r="1104" spans="1:17" ht="14.5" hidden="1" thickBot="1">
      <c r="A1104">
        <f>[16]人員・時間計画!$A$5</f>
        <v>1412000096</v>
      </c>
      <c r="B1104" t="str">
        <f>[16]人員・時間計画!$B$5</f>
        <v>ESD2課</v>
      </c>
      <c r="C1104" s="185" t="s">
        <v>3</v>
      </c>
      <c r="D1104" s="189"/>
      <c r="E1104" s="190" t="s">
        <v>139</v>
      </c>
      <c r="F1104" s="214">
        <f>[16]人員・時間計画!C11</f>
        <v>10</v>
      </c>
      <c r="G1104" s="214">
        <f>[16]人員・時間計画!D11</f>
        <v>10</v>
      </c>
      <c r="H1104" s="214">
        <f>[16]人員・時間計画!E11</f>
        <v>10</v>
      </c>
      <c r="I1104" s="214">
        <f>[16]人員・時間計画!F11</f>
        <v>10</v>
      </c>
      <c r="J1104" s="214">
        <f>[16]人員・時間計画!G11</f>
        <v>10</v>
      </c>
      <c r="K1104" s="214">
        <f>[16]人員・時間計画!H11</f>
        <v>12</v>
      </c>
      <c r="L1104" s="214">
        <f>[16]人員・時間計画!I11</f>
        <v>12</v>
      </c>
      <c r="M1104" s="214">
        <f>[16]人員・時間計画!J11</f>
        <v>12</v>
      </c>
      <c r="N1104" s="214">
        <f>[16]人員・時間計画!K11</f>
        <v>12</v>
      </c>
      <c r="O1104" s="214">
        <f>[16]人員・時間計画!L11</f>
        <v>12</v>
      </c>
      <c r="P1104" s="214">
        <f>[16]人員・時間計画!M11</f>
        <v>12</v>
      </c>
      <c r="Q1104" s="214">
        <f>[16]人員・時間計画!N11</f>
        <v>12</v>
      </c>
    </row>
    <row r="1105" spans="1:17" ht="14.5" thickBot="1">
      <c r="A1105">
        <f>[16]人員・時間計画!$A$5</f>
        <v>1412000096</v>
      </c>
      <c r="B1105" t="str">
        <f>[16]人員・時間計画!$B$5</f>
        <v>ESD2課</v>
      </c>
      <c r="C1105" s="185" t="s">
        <v>3</v>
      </c>
      <c r="D1105" s="191" t="s">
        <v>195</v>
      </c>
      <c r="E1105" s="192" t="s">
        <v>140</v>
      </c>
      <c r="F1105" s="214">
        <f>[16]人員・時間計画!C12</f>
        <v>0</v>
      </c>
      <c r="G1105" s="214">
        <f>[16]人員・時間計画!D12</f>
        <v>0</v>
      </c>
      <c r="H1105" s="214">
        <f>[16]人員・時間計画!E12</f>
        <v>0</v>
      </c>
      <c r="I1105" s="214">
        <f>[16]人員・時間計画!F12</f>
        <v>0</v>
      </c>
      <c r="J1105" s="214">
        <f>[16]人員・時間計画!G12</f>
        <v>0</v>
      </c>
      <c r="K1105" s="214">
        <f>[16]人員・時間計画!H12</f>
        <v>0</v>
      </c>
      <c r="L1105" s="214">
        <f>[16]人員・時間計画!I12</f>
        <v>0</v>
      </c>
      <c r="M1105" s="214">
        <f>[16]人員・時間計画!J12</f>
        <v>0</v>
      </c>
      <c r="N1105" s="214">
        <f>[16]人員・時間計画!K12</f>
        <v>0</v>
      </c>
      <c r="O1105" s="214">
        <f>[16]人員・時間計画!L12</f>
        <v>0</v>
      </c>
      <c r="P1105" s="214">
        <f>[16]人員・時間計画!M12</f>
        <v>0</v>
      </c>
      <c r="Q1105" s="214">
        <f>[16]人員・時間計画!N12</f>
        <v>0</v>
      </c>
    </row>
    <row r="1106" spans="1:17" ht="14.5" hidden="1" thickBot="1">
      <c r="A1106">
        <f>[16]人員・時間計画!$A$5</f>
        <v>1412000096</v>
      </c>
      <c r="B1106" t="str">
        <f>[16]人員・時間計画!$B$5</f>
        <v>ESD2課</v>
      </c>
      <c r="C1106" s="185" t="s">
        <v>3</v>
      </c>
      <c r="D1106" s="193"/>
      <c r="E1106" s="194" t="s">
        <v>138</v>
      </c>
      <c r="F1106" s="214">
        <f>[16]人員・時間計画!C13</f>
        <v>10</v>
      </c>
      <c r="G1106" s="214">
        <f>[16]人員・時間計画!D13</f>
        <v>10</v>
      </c>
      <c r="H1106" s="214">
        <f>[16]人員・時間計画!E13</f>
        <v>10</v>
      </c>
      <c r="I1106" s="214">
        <f>[16]人員・時間計画!F13</f>
        <v>10</v>
      </c>
      <c r="J1106" s="214">
        <f>[16]人員・時間計画!G13</f>
        <v>10</v>
      </c>
      <c r="K1106" s="214">
        <f>[16]人員・時間計画!H13</f>
        <v>12</v>
      </c>
      <c r="L1106" s="214">
        <f>[16]人員・時間計画!I13</f>
        <v>12</v>
      </c>
      <c r="M1106" s="214">
        <f>[16]人員・時間計画!J13</f>
        <v>12</v>
      </c>
      <c r="N1106" s="214">
        <f>[16]人員・時間計画!K13</f>
        <v>12</v>
      </c>
      <c r="O1106" s="214">
        <f>[16]人員・時間計画!L13</f>
        <v>12</v>
      </c>
      <c r="P1106" s="214">
        <f>[16]人員・時間計画!M13</f>
        <v>12</v>
      </c>
      <c r="Q1106" s="214">
        <f>[16]人員・時間計画!N13</f>
        <v>12</v>
      </c>
    </row>
    <row r="1107" spans="1:17" ht="14.5" hidden="1" thickBot="1">
      <c r="A1107">
        <f>[16]人員・時間計画!$A$5</f>
        <v>1412000096</v>
      </c>
      <c r="B1107" t="str">
        <f>[16]人員・時間計画!$B$5</f>
        <v>ESD2課</v>
      </c>
      <c r="C1107" s="185" t="s">
        <v>3</v>
      </c>
      <c r="D1107" s="195" t="s">
        <v>196</v>
      </c>
      <c r="E1107" s="196"/>
      <c r="F1107" s="214">
        <f>[16]人員・時間計画!C14</f>
        <v>10</v>
      </c>
      <c r="G1107" s="214">
        <f>[16]人員・時間計画!D14</f>
        <v>10</v>
      </c>
      <c r="H1107" s="214">
        <f>[16]人員・時間計画!E14</f>
        <v>10</v>
      </c>
      <c r="I1107" s="214">
        <f>[16]人員・時間計画!F14</f>
        <v>10</v>
      </c>
      <c r="J1107" s="214">
        <f>[16]人員・時間計画!G14</f>
        <v>10</v>
      </c>
      <c r="K1107" s="214">
        <f>[16]人員・時間計画!H14</f>
        <v>12</v>
      </c>
      <c r="L1107" s="214">
        <f>[16]人員・時間計画!I14</f>
        <v>12</v>
      </c>
      <c r="M1107" s="214">
        <f>[16]人員・時間計画!J14</f>
        <v>12</v>
      </c>
      <c r="N1107" s="214">
        <f>[16]人員・時間計画!K14</f>
        <v>12</v>
      </c>
      <c r="O1107" s="214">
        <f>[16]人員・時間計画!L14</f>
        <v>12</v>
      </c>
      <c r="P1107" s="214">
        <f>[16]人員・時間計画!M14</f>
        <v>12</v>
      </c>
      <c r="Q1107" s="214">
        <f>[16]人員・時間計画!N14</f>
        <v>12</v>
      </c>
    </row>
    <row r="1108" spans="1:17" ht="14.5" hidden="1" thickBot="1">
      <c r="A1108">
        <f>[16]人員・時間計画!$A$5</f>
        <v>1412000096</v>
      </c>
      <c r="B1108" t="str">
        <f>[16]人員・時間計画!$B$5</f>
        <v>ESD2課</v>
      </c>
      <c r="D1108" s="197"/>
      <c r="E1108" s="197"/>
    </row>
    <row r="1109" spans="1:17" ht="14.5" hidden="1" thickBot="1">
      <c r="A1109">
        <f>[16]人員・時間計画!$A$5</f>
        <v>1412000096</v>
      </c>
      <c r="B1109" t="str">
        <f>[16]人員・時間計画!$B$5</f>
        <v>ESD2課</v>
      </c>
      <c r="C1109" s="185" t="s">
        <v>202</v>
      </c>
      <c r="D1109" s="185" t="s">
        <v>202</v>
      </c>
      <c r="E1109" s="186"/>
    </row>
    <row r="1110" spans="1:17" ht="14.5" hidden="1" thickBot="1">
      <c r="A1110">
        <f>[16]人員・時間計画!$A$5</f>
        <v>1412000096</v>
      </c>
      <c r="B1110" t="str">
        <f>[16]人員・時間計画!$B$5</f>
        <v>ESD2課</v>
      </c>
      <c r="C1110" s="185" t="s">
        <v>202</v>
      </c>
      <c r="D1110" s="198" t="s">
        <v>194</v>
      </c>
      <c r="E1110" s="199"/>
      <c r="F1110" s="214">
        <f>[16]人員・時間計画!C17</f>
        <v>0</v>
      </c>
      <c r="G1110" s="214">
        <f>[16]人員・時間計画!D17</f>
        <v>0</v>
      </c>
      <c r="H1110" s="214">
        <f>[16]人員・時間計画!E17</f>
        <v>0</v>
      </c>
      <c r="I1110" s="214">
        <f>[16]人員・時間計画!F17</f>
        <v>0</v>
      </c>
      <c r="J1110" s="214">
        <f>[16]人員・時間計画!G17</f>
        <v>0</v>
      </c>
      <c r="K1110" s="214">
        <f>[16]人員・時間計画!H17</f>
        <v>0</v>
      </c>
      <c r="L1110" s="214">
        <f>[16]人員・時間計画!I17</f>
        <v>0</v>
      </c>
      <c r="M1110" s="214">
        <f>[16]人員・時間計画!J17</f>
        <v>0</v>
      </c>
      <c r="N1110" s="214">
        <f>[16]人員・時間計画!K17</f>
        <v>0</v>
      </c>
      <c r="O1110" s="214">
        <f>[16]人員・時間計画!L17</f>
        <v>0</v>
      </c>
      <c r="P1110" s="214">
        <f>[16]人員・時間計画!M17</f>
        <v>0</v>
      </c>
      <c r="Q1110" s="214">
        <f>[16]人員・時間計画!N17</f>
        <v>0</v>
      </c>
    </row>
    <row r="1111" spans="1:17" ht="14.5" hidden="1" thickBot="1">
      <c r="A1111">
        <f>[16]人員・時間計画!$A$5</f>
        <v>1412000096</v>
      </c>
      <c r="B1111" t="str">
        <f>[16]人員・時間計画!$B$5</f>
        <v>ESD2課</v>
      </c>
      <c r="C1111" s="185" t="s">
        <v>202</v>
      </c>
      <c r="D1111" s="200"/>
      <c r="E1111" s="190" t="s">
        <v>139</v>
      </c>
      <c r="F1111" s="214">
        <f>[16]人員・時間計画!C18</f>
        <v>1632</v>
      </c>
      <c r="G1111" s="214">
        <f>[16]人員・時間計画!D18</f>
        <v>1547</v>
      </c>
      <c r="H1111" s="214">
        <f>[16]人員・時間計画!E18</f>
        <v>1717</v>
      </c>
      <c r="I1111" s="214">
        <f>[16]人員・時間計画!F18</f>
        <v>1887</v>
      </c>
      <c r="J1111" s="214">
        <f>[16]人員・時間計画!G18</f>
        <v>1632</v>
      </c>
      <c r="K1111" s="214">
        <f>[16]人員・時間計画!H18</f>
        <v>1853</v>
      </c>
      <c r="L1111" s="214">
        <f>[16]人員・時間計画!I18</f>
        <v>2261</v>
      </c>
      <c r="M1111" s="214">
        <f>[16]人員・時間計画!J18</f>
        <v>1955</v>
      </c>
      <c r="N1111" s="214">
        <f>[16]人員・時間計画!K18</f>
        <v>2159</v>
      </c>
      <c r="O1111" s="214">
        <f>[16]人員・時間計画!L18</f>
        <v>1955</v>
      </c>
      <c r="P1111" s="214">
        <f>[16]人員・時間計画!M18</f>
        <v>1445</v>
      </c>
      <c r="Q1111" s="214">
        <f>[16]人員・時間計画!N18</f>
        <v>1955</v>
      </c>
    </row>
    <row r="1112" spans="1:17" ht="14.5" thickBot="1">
      <c r="A1112">
        <f>[16]人員・時間計画!$A$5</f>
        <v>1412000096</v>
      </c>
      <c r="B1112" t="str">
        <f>[16]人員・時間計画!$B$5</f>
        <v>ESD2課</v>
      </c>
      <c r="C1112" s="185" t="s">
        <v>202</v>
      </c>
      <c r="D1112" s="201" t="s">
        <v>195</v>
      </c>
      <c r="E1112" s="192" t="s">
        <v>140</v>
      </c>
      <c r="F1112" s="214">
        <f>[16]人員・時間計画!C19</f>
        <v>0</v>
      </c>
      <c r="G1112" s="214">
        <f>[16]人員・時間計画!D19</f>
        <v>0</v>
      </c>
      <c r="H1112" s="214">
        <f>[16]人員・時間計画!E19</f>
        <v>0</v>
      </c>
      <c r="I1112" s="214">
        <f>[16]人員・時間計画!F19</f>
        <v>0</v>
      </c>
      <c r="J1112" s="214">
        <f>[16]人員・時間計画!G19</f>
        <v>0</v>
      </c>
      <c r="K1112" s="214">
        <f>[16]人員・時間計画!H19</f>
        <v>0</v>
      </c>
      <c r="L1112" s="214">
        <f>[16]人員・時間計画!I19</f>
        <v>0</v>
      </c>
      <c r="M1112" s="214">
        <f>[16]人員・時間計画!J19</f>
        <v>0</v>
      </c>
      <c r="N1112" s="214">
        <f>[16]人員・時間計画!K19</f>
        <v>0</v>
      </c>
      <c r="O1112" s="214">
        <f>[16]人員・時間計画!L19</f>
        <v>0</v>
      </c>
      <c r="P1112" s="214">
        <f>[16]人員・時間計画!M19</f>
        <v>0</v>
      </c>
      <c r="Q1112" s="214">
        <f>[16]人員・時間計画!N19</f>
        <v>0</v>
      </c>
    </row>
    <row r="1113" spans="1:17" ht="14.5" hidden="1" thickBot="1">
      <c r="A1113">
        <f>[16]人員・時間計画!$A$5</f>
        <v>1412000096</v>
      </c>
      <c r="B1113" t="str">
        <f>[16]人員・時間計画!$B$5</f>
        <v>ESD2課</v>
      </c>
      <c r="C1113" s="185" t="s">
        <v>202</v>
      </c>
      <c r="D1113" s="202"/>
      <c r="E1113" s="203" t="s">
        <v>138</v>
      </c>
      <c r="F1113" s="214">
        <f>[16]人員・時間計画!C20</f>
        <v>1632</v>
      </c>
      <c r="G1113" s="214">
        <f>[16]人員・時間計画!D20</f>
        <v>1547</v>
      </c>
      <c r="H1113" s="214">
        <f>[16]人員・時間計画!E20</f>
        <v>1717</v>
      </c>
      <c r="I1113" s="214">
        <f>[16]人員・時間計画!F20</f>
        <v>1887</v>
      </c>
      <c r="J1113" s="214">
        <f>[16]人員・時間計画!G20</f>
        <v>1632</v>
      </c>
      <c r="K1113" s="214">
        <f>[16]人員・時間計画!H20</f>
        <v>1853</v>
      </c>
      <c r="L1113" s="214">
        <f>[16]人員・時間計画!I20</f>
        <v>2261</v>
      </c>
      <c r="M1113" s="214">
        <f>[16]人員・時間計画!J20</f>
        <v>1955</v>
      </c>
      <c r="N1113" s="214">
        <f>[16]人員・時間計画!K20</f>
        <v>2159</v>
      </c>
      <c r="O1113" s="214">
        <f>[16]人員・時間計画!L20</f>
        <v>1955</v>
      </c>
      <c r="P1113" s="214">
        <f>[16]人員・時間計画!M20</f>
        <v>1445</v>
      </c>
      <c r="Q1113" s="214">
        <f>[16]人員・時間計画!N20</f>
        <v>1955</v>
      </c>
    </row>
    <row r="1114" spans="1:17" ht="14.5" hidden="1" thickBot="1">
      <c r="A1114">
        <f>[16]人員・時間計画!$A$5</f>
        <v>1412000096</v>
      </c>
      <c r="B1114" t="str">
        <f>[16]人員・時間計画!$B$5</f>
        <v>ESD2課</v>
      </c>
      <c r="C1114" s="185" t="s">
        <v>202</v>
      </c>
      <c r="D1114" s="204" t="s">
        <v>215</v>
      </c>
      <c r="E1114" s="205"/>
      <c r="F1114" s="214">
        <f>[16]人員・時間計画!C21</f>
        <v>1632</v>
      </c>
      <c r="G1114" s="214">
        <f>[16]人員・時間計画!D21</f>
        <v>1547</v>
      </c>
      <c r="H1114" s="214">
        <f>[16]人員・時間計画!E21</f>
        <v>1717</v>
      </c>
      <c r="I1114" s="214">
        <f>[16]人員・時間計画!F21</f>
        <v>1887</v>
      </c>
      <c r="J1114" s="214">
        <f>[16]人員・時間計画!G21</f>
        <v>1632</v>
      </c>
      <c r="K1114" s="214">
        <f>[16]人員・時間計画!H21</f>
        <v>1853</v>
      </c>
      <c r="L1114" s="214">
        <f>[16]人員・時間計画!I21</f>
        <v>2261</v>
      </c>
      <c r="M1114" s="214">
        <f>[16]人員・時間計画!J21</f>
        <v>1955</v>
      </c>
      <c r="N1114" s="214">
        <f>[16]人員・時間計画!K21</f>
        <v>2159</v>
      </c>
      <c r="O1114" s="214">
        <f>[16]人員・時間計画!L21</f>
        <v>1955</v>
      </c>
      <c r="P1114" s="214">
        <f>[16]人員・時間計画!M21</f>
        <v>1445</v>
      </c>
      <c r="Q1114" s="214">
        <f>[16]人員・時間計画!N21</f>
        <v>1955</v>
      </c>
    </row>
    <row r="1115" spans="1:17" ht="14.5" hidden="1" thickBot="1">
      <c r="A1115">
        <f>[16]人員・時間計画!$A$5</f>
        <v>1412000096</v>
      </c>
      <c r="B1115" t="str">
        <f>[16]人員・時間計画!$B$5</f>
        <v>ESD2課</v>
      </c>
      <c r="D1115" s="197"/>
      <c r="E1115" s="197"/>
    </row>
    <row r="1116" spans="1:17" ht="14.5" hidden="1" thickBot="1">
      <c r="A1116">
        <f>[16]人員・時間計画!$A$5</f>
        <v>1412000096</v>
      </c>
      <c r="B1116" t="str">
        <f>[16]人員・時間計画!$B$5</f>
        <v>ESD2課</v>
      </c>
      <c r="C1116" s="185" t="s">
        <v>71</v>
      </c>
      <c r="D1116" s="185" t="s">
        <v>71</v>
      </c>
      <c r="E1116" s="186"/>
    </row>
    <row r="1117" spans="1:17" ht="14.5" hidden="1" thickBot="1">
      <c r="A1117">
        <f>[16]人員・時間計画!$A$5</f>
        <v>1412000096</v>
      </c>
      <c r="B1117" t="str">
        <f>[16]人員・時間計画!$B$5</f>
        <v>ESD2課</v>
      </c>
      <c r="C1117" s="185" t="s">
        <v>71</v>
      </c>
      <c r="D1117" s="198" t="s">
        <v>194</v>
      </c>
      <c r="E1117" s="199"/>
      <c r="F1117" s="214">
        <f>[16]人員・時間計画!C24</f>
        <v>0</v>
      </c>
      <c r="G1117" s="214">
        <f>[16]人員・時間計画!D24</f>
        <v>0</v>
      </c>
      <c r="H1117" s="214">
        <f>[16]人員・時間計画!E24</f>
        <v>0</v>
      </c>
      <c r="I1117" s="214">
        <f>[16]人員・時間計画!F24</f>
        <v>0</v>
      </c>
      <c r="J1117" s="214">
        <f>[16]人員・時間計画!G24</f>
        <v>0</v>
      </c>
      <c r="K1117" s="214">
        <f>[16]人員・時間計画!H24</f>
        <v>0</v>
      </c>
      <c r="L1117" s="214">
        <f>[16]人員・時間計画!I24</f>
        <v>0</v>
      </c>
      <c r="M1117" s="214">
        <f>[16]人員・時間計画!J24</f>
        <v>0</v>
      </c>
      <c r="N1117" s="214">
        <f>[16]人員・時間計画!K24</f>
        <v>0</v>
      </c>
      <c r="O1117" s="214">
        <f>[16]人員・時間計画!L24</f>
        <v>0</v>
      </c>
      <c r="P1117" s="214">
        <f>[16]人員・時間計画!M24</f>
        <v>0</v>
      </c>
      <c r="Q1117" s="214">
        <f>[16]人員・時間計画!N24</f>
        <v>0</v>
      </c>
    </row>
    <row r="1118" spans="1:17" ht="14.5" hidden="1" thickBot="1">
      <c r="A1118">
        <f>[16]人員・時間計画!$A$5</f>
        <v>1412000096</v>
      </c>
      <c r="B1118" t="str">
        <f>[16]人員・時間計画!$B$5</f>
        <v>ESD2課</v>
      </c>
      <c r="C1118" s="185" t="s">
        <v>71</v>
      </c>
      <c r="D1118" s="200"/>
      <c r="E1118" s="206" t="s">
        <v>139</v>
      </c>
      <c r="F1118" s="214">
        <f>[16]人員・時間計画!C25</f>
        <v>160</v>
      </c>
      <c r="G1118" s="214">
        <f>[16]人員・時間計画!D25</f>
        <v>158</v>
      </c>
      <c r="H1118" s="214">
        <f>[16]人員・時間計画!E25</f>
        <v>162</v>
      </c>
      <c r="I1118" s="214">
        <f>[16]人員・時間計画!F25</f>
        <v>166</v>
      </c>
      <c r="J1118" s="214">
        <f>[16]人員・時間計画!G25</f>
        <v>160</v>
      </c>
      <c r="K1118" s="214">
        <f>[16]人員・時間計画!H25</f>
        <v>158</v>
      </c>
      <c r="L1118" s="214">
        <f>[16]人員・時間計画!I25</f>
        <v>166</v>
      </c>
      <c r="M1118" s="214">
        <f>[16]人員・時間計画!J25</f>
        <v>160</v>
      </c>
      <c r="N1118" s="214">
        <f>[16]人員・時間計画!K25</f>
        <v>164</v>
      </c>
      <c r="O1118" s="214">
        <f>[16]人員・時間計画!L25</f>
        <v>160</v>
      </c>
      <c r="P1118" s="214">
        <f>[16]人員・時間計画!M25</f>
        <v>150</v>
      </c>
      <c r="Q1118" s="214">
        <f>[16]人員・時間計画!N25</f>
        <v>160</v>
      </c>
    </row>
    <row r="1119" spans="1:17" ht="14.5" thickBot="1">
      <c r="A1119">
        <f>[16]人員・時間計画!$A$5</f>
        <v>1412000096</v>
      </c>
      <c r="B1119" t="str">
        <f>[16]人員・時間計画!$B$5</f>
        <v>ESD2課</v>
      </c>
      <c r="C1119" s="185" t="s">
        <v>71</v>
      </c>
      <c r="D1119" s="201" t="s">
        <v>195</v>
      </c>
      <c r="E1119" s="207" t="s">
        <v>140</v>
      </c>
      <c r="F1119" s="214">
        <f>[16]人員・時間計画!C26</f>
        <v>0</v>
      </c>
      <c r="G1119" s="214">
        <f>[16]人員・時間計画!D26</f>
        <v>0</v>
      </c>
      <c r="H1119" s="214">
        <f>[16]人員・時間計画!E26</f>
        <v>0</v>
      </c>
      <c r="I1119" s="214">
        <f>[16]人員・時間計画!F26</f>
        <v>0</v>
      </c>
      <c r="J1119" s="214">
        <f>[16]人員・時間計画!G26</f>
        <v>0</v>
      </c>
      <c r="K1119" s="214">
        <f>[16]人員・時間計画!H26</f>
        <v>0</v>
      </c>
      <c r="L1119" s="214">
        <f>[16]人員・時間計画!I26</f>
        <v>0</v>
      </c>
      <c r="M1119" s="214">
        <f>[16]人員・時間計画!J26</f>
        <v>0</v>
      </c>
      <c r="N1119" s="214">
        <f>[16]人員・時間計画!K26</f>
        <v>0</v>
      </c>
      <c r="O1119" s="214">
        <f>[16]人員・時間計画!L26</f>
        <v>0</v>
      </c>
      <c r="P1119" s="214">
        <f>[16]人員・時間計画!M26</f>
        <v>0</v>
      </c>
      <c r="Q1119" s="214">
        <f>[16]人員・時間計画!N26</f>
        <v>0</v>
      </c>
    </row>
    <row r="1120" spans="1:17" ht="14.5" hidden="1" thickBot="1">
      <c r="A1120">
        <f>[16]人員・時間計画!$A$5</f>
        <v>1412000096</v>
      </c>
      <c r="B1120" t="str">
        <f>[16]人員・時間計画!$B$5</f>
        <v>ESD2課</v>
      </c>
      <c r="C1120" s="185" t="s">
        <v>71</v>
      </c>
      <c r="D1120" s="202"/>
      <c r="E1120" s="203" t="s">
        <v>138</v>
      </c>
      <c r="F1120" s="214">
        <f>[16]人員・時間計画!C27</f>
        <v>160</v>
      </c>
      <c r="G1120" s="214">
        <f>[16]人員・時間計画!D27</f>
        <v>158</v>
      </c>
      <c r="H1120" s="214">
        <f>[16]人員・時間計画!E27</f>
        <v>162</v>
      </c>
      <c r="I1120" s="214">
        <f>[16]人員・時間計画!F27</f>
        <v>166</v>
      </c>
      <c r="J1120" s="214">
        <f>[16]人員・時間計画!G27</f>
        <v>160</v>
      </c>
      <c r="K1120" s="214">
        <f>[16]人員・時間計画!H27</f>
        <v>158</v>
      </c>
      <c r="L1120" s="214">
        <f>[16]人員・時間計画!I27</f>
        <v>166</v>
      </c>
      <c r="M1120" s="214">
        <f>[16]人員・時間計画!J27</f>
        <v>160</v>
      </c>
      <c r="N1120" s="214">
        <f>[16]人員・時間計画!K27</f>
        <v>164</v>
      </c>
      <c r="O1120" s="214">
        <f>[16]人員・時間計画!L27</f>
        <v>160</v>
      </c>
      <c r="P1120" s="214">
        <f>[16]人員・時間計画!M27</f>
        <v>150</v>
      </c>
      <c r="Q1120" s="214">
        <f>[16]人員・時間計画!N27</f>
        <v>160</v>
      </c>
    </row>
    <row r="1121" spans="1:17" ht="14.5" hidden="1" thickBot="1">
      <c r="A1121">
        <f>[16]人員・時間計画!$A$5</f>
        <v>1412000096</v>
      </c>
      <c r="B1121" t="str">
        <f>[16]人員・時間計画!$B$5</f>
        <v>ESD2課</v>
      </c>
      <c r="C1121" s="185" t="s">
        <v>71</v>
      </c>
      <c r="D1121" s="204" t="s">
        <v>216</v>
      </c>
      <c r="E1121" s="205"/>
      <c r="F1121" s="214">
        <f>[16]人員・時間計画!C28</f>
        <v>160</v>
      </c>
      <c r="G1121" s="214">
        <f>[16]人員・時間計画!D28</f>
        <v>158</v>
      </c>
      <c r="H1121" s="214">
        <f>[16]人員・時間計画!E28</f>
        <v>162</v>
      </c>
      <c r="I1121" s="214">
        <f>[16]人員・時間計画!F28</f>
        <v>166</v>
      </c>
      <c r="J1121" s="214">
        <f>[16]人員・時間計画!G28</f>
        <v>160</v>
      </c>
      <c r="K1121" s="214">
        <f>[16]人員・時間計画!H28</f>
        <v>158</v>
      </c>
      <c r="L1121" s="214">
        <f>[16]人員・時間計画!I28</f>
        <v>166</v>
      </c>
      <c r="M1121" s="214">
        <f>[16]人員・時間計画!J28</f>
        <v>160</v>
      </c>
      <c r="N1121" s="214">
        <f>[16]人員・時間計画!K28</f>
        <v>164</v>
      </c>
      <c r="O1121" s="214">
        <f>[16]人員・時間計画!L28</f>
        <v>160</v>
      </c>
      <c r="P1121" s="214">
        <f>[16]人員・時間計画!M28</f>
        <v>150</v>
      </c>
      <c r="Q1121" s="214">
        <f>[16]人員・時間計画!N28</f>
        <v>160</v>
      </c>
    </row>
    <row r="1122" spans="1:17" ht="14.5" hidden="1" thickBot="1">
      <c r="A1122">
        <f>'[7]人員・時間計画 '!$A$5</f>
        <v>1412000098</v>
      </c>
      <c r="B1122" t="str">
        <f>'[7]人員・時間計画 '!$B$5</f>
        <v>電工製造課</v>
      </c>
      <c r="C1122" s="185" t="s">
        <v>3</v>
      </c>
      <c r="D1122" s="185" t="s">
        <v>3</v>
      </c>
      <c r="E1122" s="186"/>
    </row>
    <row r="1123" spans="1:17" ht="14.5" hidden="1" thickBot="1">
      <c r="A1123">
        <f>'[7]人員・時間計画 '!$A$5</f>
        <v>1412000098</v>
      </c>
      <c r="B1123" t="str">
        <f>'[7]人員・時間計画 '!$B$5</f>
        <v>電工製造課</v>
      </c>
      <c r="C1123" s="185" t="s">
        <v>3</v>
      </c>
      <c r="D1123" s="187" t="s">
        <v>194</v>
      </c>
      <c r="E1123" s="188"/>
      <c r="F1123" s="214">
        <f>'[7]人員・時間計画 '!C10</f>
        <v>2</v>
      </c>
      <c r="G1123" s="214">
        <f>'[7]人員・時間計画 '!D10</f>
        <v>2</v>
      </c>
      <c r="H1123" s="214">
        <f>'[7]人員・時間計画 '!E10</f>
        <v>2</v>
      </c>
      <c r="I1123" s="214">
        <f>'[7]人員・時間計画 '!F10</f>
        <v>2</v>
      </c>
      <c r="J1123" s="214">
        <f>'[7]人員・時間計画 '!G10</f>
        <v>2</v>
      </c>
      <c r="K1123" s="214">
        <f>'[7]人員・時間計画 '!H10</f>
        <v>2</v>
      </c>
      <c r="L1123" s="214">
        <f>'[7]人員・時間計画 '!I10</f>
        <v>2</v>
      </c>
      <c r="M1123" s="214">
        <f>'[7]人員・時間計画 '!J10</f>
        <v>2</v>
      </c>
      <c r="N1123" s="214">
        <f>'[7]人員・時間計画 '!K10</f>
        <v>2</v>
      </c>
      <c r="O1123" s="214">
        <f>'[7]人員・時間計画 '!L10</f>
        <v>2</v>
      </c>
      <c r="P1123" s="214">
        <f>'[7]人員・時間計画 '!M10</f>
        <v>2</v>
      </c>
      <c r="Q1123" s="214">
        <f>'[7]人員・時間計画 '!N10</f>
        <v>2</v>
      </c>
    </row>
    <row r="1124" spans="1:17" ht="14.5" hidden="1" thickBot="1">
      <c r="A1124">
        <f>'[7]人員・時間計画 '!$A$5</f>
        <v>1412000098</v>
      </c>
      <c r="B1124" t="str">
        <f>'[7]人員・時間計画 '!$B$5</f>
        <v>電工製造課</v>
      </c>
      <c r="C1124" s="185" t="s">
        <v>3</v>
      </c>
      <c r="D1124" s="189"/>
      <c r="E1124" s="190" t="s">
        <v>139</v>
      </c>
      <c r="F1124" s="214">
        <f>'[7]人員・時間計画 '!C11</f>
        <v>15</v>
      </c>
      <c r="G1124" s="214">
        <f>'[7]人員・時間計画 '!D11</f>
        <v>15</v>
      </c>
      <c r="H1124" s="214">
        <f>'[7]人員・時間計画 '!E11</f>
        <v>15</v>
      </c>
      <c r="I1124" s="214">
        <f>'[7]人員・時間計画 '!F11</f>
        <v>15</v>
      </c>
      <c r="J1124" s="214">
        <f>'[7]人員・時間計画 '!G11</f>
        <v>15</v>
      </c>
      <c r="K1124" s="214">
        <f>'[7]人員・時間計画 '!H11</f>
        <v>15</v>
      </c>
      <c r="L1124" s="214">
        <f>'[7]人員・時間計画 '!I11</f>
        <v>15</v>
      </c>
      <c r="M1124" s="214">
        <f>'[7]人員・時間計画 '!J11</f>
        <v>15</v>
      </c>
      <c r="N1124" s="214">
        <f>'[7]人員・時間計画 '!K11</f>
        <v>15</v>
      </c>
      <c r="O1124" s="214">
        <f>'[7]人員・時間計画 '!L11</f>
        <v>15</v>
      </c>
      <c r="P1124" s="214">
        <f>'[7]人員・時間計画 '!M11</f>
        <v>15</v>
      </c>
      <c r="Q1124" s="214">
        <f>'[7]人員・時間計画 '!N11</f>
        <v>15</v>
      </c>
    </row>
    <row r="1125" spans="1:17" ht="14.5" thickBot="1">
      <c r="A1125">
        <f>'[7]人員・時間計画 '!$A$5</f>
        <v>1412000098</v>
      </c>
      <c r="B1125" t="str">
        <f>'[7]人員・時間計画 '!$B$5</f>
        <v>電工製造課</v>
      </c>
      <c r="C1125" s="185" t="s">
        <v>3</v>
      </c>
      <c r="D1125" s="191" t="s">
        <v>195</v>
      </c>
      <c r="E1125" s="192" t="s">
        <v>140</v>
      </c>
      <c r="F1125" s="214">
        <f>'[7]人員・時間計画 '!C12</f>
        <v>14</v>
      </c>
      <c r="G1125" s="214">
        <f>'[7]人員・時間計画 '!D12</f>
        <v>14</v>
      </c>
      <c r="H1125" s="214">
        <f>'[7]人員・時間計画 '!E12</f>
        <v>14</v>
      </c>
      <c r="I1125" s="214">
        <f>'[7]人員・時間計画 '!F12</f>
        <v>29</v>
      </c>
      <c r="J1125" s="214">
        <f>'[7]人員・時間計画 '!G12</f>
        <v>29</v>
      </c>
      <c r="K1125" s="214">
        <f>'[7]人員・時間計画 '!H12</f>
        <v>29</v>
      </c>
      <c r="L1125" s="214">
        <f>'[7]人員・時間計画 '!I12</f>
        <v>30</v>
      </c>
      <c r="M1125" s="214">
        <f>'[7]人員・時間計画 '!J12</f>
        <v>30</v>
      </c>
      <c r="N1125" s="214">
        <f>'[7]人員・時間計画 '!K12</f>
        <v>30</v>
      </c>
      <c r="O1125" s="214">
        <f>'[7]人員・時間計画 '!L12</f>
        <v>43</v>
      </c>
      <c r="P1125" s="214">
        <f>'[7]人員・時間計画 '!M12</f>
        <v>43</v>
      </c>
      <c r="Q1125" s="214">
        <f>'[7]人員・時間計画 '!N12</f>
        <v>43</v>
      </c>
    </row>
    <row r="1126" spans="1:17" ht="14.5" hidden="1" thickBot="1">
      <c r="A1126">
        <f>'[7]人員・時間計画 '!$A$5</f>
        <v>1412000098</v>
      </c>
      <c r="B1126" t="str">
        <f>'[7]人員・時間計画 '!$B$5</f>
        <v>電工製造課</v>
      </c>
      <c r="C1126" s="185" t="s">
        <v>3</v>
      </c>
      <c r="D1126" s="193"/>
      <c r="E1126" s="194" t="s">
        <v>138</v>
      </c>
      <c r="F1126" s="214">
        <f>'[7]人員・時間計画 '!C13</f>
        <v>29</v>
      </c>
      <c r="G1126" s="214">
        <f>'[7]人員・時間計画 '!D13</f>
        <v>29</v>
      </c>
      <c r="H1126" s="214">
        <f>'[7]人員・時間計画 '!E13</f>
        <v>29</v>
      </c>
      <c r="I1126" s="214">
        <f>'[7]人員・時間計画 '!F13</f>
        <v>44</v>
      </c>
      <c r="J1126" s="214">
        <f>'[7]人員・時間計画 '!G13</f>
        <v>44</v>
      </c>
      <c r="K1126" s="214">
        <f>'[7]人員・時間計画 '!H13</f>
        <v>44</v>
      </c>
      <c r="L1126" s="214">
        <f>'[7]人員・時間計画 '!I13</f>
        <v>45</v>
      </c>
      <c r="M1126" s="214">
        <f>'[7]人員・時間計画 '!J13</f>
        <v>45</v>
      </c>
      <c r="N1126" s="214">
        <f>'[7]人員・時間計画 '!K13</f>
        <v>45</v>
      </c>
      <c r="O1126" s="214">
        <f>'[7]人員・時間計画 '!L13</f>
        <v>58</v>
      </c>
      <c r="P1126" s="214">
        <f>'[7]人員・時間計画 '!M13</f>
        <v>58</v>
      </c>
      <c r="Q1126" s="214">
        <f>'[7]人員・時間計画 '!N13</f>
        <v>58</v>
      </c>
    </row>
    <row r="1127" spans="1:17" ht="14.5" hidden="1" thickBot="1">
      <c r="A1127">
        <f>'[7]人員・時間計画 '!$A$5</f>
        <v>1412000098</v>
      </c>
      <c r="B1127" t="str">
        <f>'[7]人員・時間計画 '!$B$5</f>
        <v>電工製造課</v>
      </c>
      <c r="C1127" s="185" t="s">
        <v>3</v>
      </c>
      <c r="D1127" s="195" t="s">
        <v>196</v>
      </c>
      <c r="E1127" s="196"/>
      <c r="F1127" s="214">
        <f>'[7]人員・時間計画 '!C14</f>
        <v>31</v>
      </c>
      <c r="G1127" s="214">
        <f>'[7]人員・時間計画 '!D14</f>
        <v>31</v>
      </c>
      <c r="H1127" s="214">
        <f>'[7]人員・時間計画 '!E14</f>
        <v>31</v>
      </c>
      <c r="I1127" s="214">
        <f>'[7]人員・時間計画 '!F14</f>
        <v>46</v>
      </c>
      <c r="J1127" s="214">
        <f>'[7]人員・時間計画 '!G14</f>
        <v>46</v>
      </c>
      <c r="K1127" s="214">
        <f>'[7]人員・時間計画 '!H14</f>
        <v>46</v>
      </c>
      <c r="L1127" s="214">
        <f>'[7]人員・時間計画 '!I14</f>
        <v>47</v>
      </c>
      <c r="M1127" s="214">
        <f>'[7]人員・時間計画 '!J14</f>
        <v>47</v>
      </c>
      <c r="N1127" s="214">
        <f>'[7]人員・時間計画 '!K14</f>
        <v>47</v>
      </c>
      <c r="O1127" s="214">
        <f>'[7]人員・時間計画 '!L14</f>
        <v>60</v>
      </c>
      <c r="P1127" s="214">
        <f>'[7]人員・時間計画 '!M14</f>
        <v>60</v>
      </c>
      <c r="Q1127" s="214">
        <f>'[7]人員・時間計画 '!N14</f>
        <v>60</v>
      </c>
    </row>
    <row r="1128" spans="1:17" ht="14.5" hidden="1" thickBot="1">
      <c r="A1128">
        <f>'[7]人員・時間計画 '!$A$5</f>
        <v>1412000098</v>
      </c>
      <c r="B1128" t="str">
        <f>'[7]人員・時間計画 '!$B$5</f>
        <v>電工製造課</v>
      </c>
      <c r="D1128" s="197"/>
      <c r="E1128" s="197"/>
    </row>
    <row r="1129" spans="1:17" ht="14.5" hidden="1" thickBot="1">
      <c r="A1129">
        <f>'[7]人員・時間計画 '!$A$5</f>
        <v>1412000098</v>
      </c>
      <c r="B1129" t="str">
        <f>'[7]人員・時間計画 '!$B$5</f>
        <v>電工製造課</v>
      </c>
      <c r="C1129" s="185" t="s">
        <v>202</v>
      </c>
      <c r="D1129" s="185" t="s">
        <v>202</v>
      </c>
      <c r="E1129" s="186"/>
    </row>
    <row r="1130" spans="1:17" ht="14.5" hidden="1" thickBot="1">
      <c r="A1130">
        <f>'[7]人員・時間計画 '!$A$5</f>
        <v>1412000098</v>
      </c>
      <c r="B1130" t="str">
        <f>'[7]人員・時間計画 '!$B$5</f>
        <v>電工製造課</v>
      </c>
      <c r="C1130" s="185" t="s">
        <v>202</v>
      </c>
      <c r="D1130" s="198" t="s">
        <v>194</v>
      </c>
      <c r="E1130" s="199"/>
      <c r="F1130" s="214">
        <f>'[7]人員・時間計画 '!C17</f>
        <v>306</v>
      </c>
      <c r="G1130" s="214">
        <f>'[7]人員・時間計画 '!D17</f>
        <v>323</v>
      </c>
      <c r="H1130" s="214">
        <f>'[7]人員・時間計画 '!E17</f>
        <v>357</v>
      </c>
      <c r="I1130" s="214">
        <f>'[7]人員・時間計画 '!F17</f>
        <v>391</v>
      </c>
      <c r="J1130" s="214">
        <f>'[7]人員・時間計画 '!G17</f>
        <v>306</v>
      </c>
      <c r="K1130" s="214">
        <f>'[7]人員・時間計画 '!H17</f>
        <v>323</v>
      </c>
      <c r="L1130" s="214">
        <f>'[7]人員・時間計画 '!I17</f>
        <v>348.5</v>
      </c>
      <c r="M1130" s="214">
        <f>'[7]人員・時間計画 '!J17</f>
        <v>340</v>
      </c>
      <c r="N1130" s="214">
        <f>'[7]人員・時間計画 '!K17</f>
        <v>365.5</v>
      </c>
      <c r="O1130" s="214">
        <f>'[7]人員・時間計画 '!L17</f>
        <v>289</v>
      </c>
      <c r="P1130" s="214">
        <f>'[7]人員・時間計画 '!M17</f>
        <v>195.5</v>
      </c>
      <c r="Q1130" s="214">
        <f>'[7]人員・時間計画 '!N17</f>
        <v>340</v>
      </c>
    </row>
    <row r="1131" spans="1:17" ht="14.5" hidden="1" thickBot="1">
      <c r="A1131">
        <f>'[7]人員・時間計画 '!$A$5</f>
        <v>1412000098</v>
      </c>
      <c r="B1131" t="str">
        <f>'[7]人員・時間計画 '!$B$5</f>
        <v>電工製造課</v>
      </c>
      <c r="C1131" s="185" t="s">
        <v>202</v>
      </c>
      <c r="D1131" s="200"/>
      <c r="E1131" s="190" t="s">
        <v>139</v>
      </c>
      <c r="F1131" s="214">
        <f>'[7]人員・時間計画 '!C18</f>
        <v>2499</v>
      </c>
      <c r="G1131" s="214">
        <f>'[7]人員・時間計画 '!D18</f>
        <v>2374</v>
      </c>
      <c r="H1131" s="214">
        <f>'[7]人員・時間計画 '!E18</f>
        <v>2624</v>
      </c>
      <c r="I1131" s="214">
        <f>'[7]人員・時間計画 '!F18</f>
        <v>2874</v>
      </c>
      <c r="J1131" s="214">
        <f>'[7]人員・時間計画 '!G18</f>
        <v>2499</v>
      </c>
      <c r="K1131" s="214">
        <f>'[7]人員・時間計画 '!H18</f>
        <v>2374</v>
      </c>
      <c r="L1131" s="214">
        <f>'[7]人員・時間計画 '!I18</f>
        <v>2874</v>
      </c>
      <c r="M1131" s="214">
        <f>'[7]人員・時間計画 '!J18</f>
        <v>2499</v>
      </c>
      <c r="N1131" s="214">
        <f>'[7]人員・時間計画 '!K18</f>
        <v>2749</v>
      </c>
      <c r="O1131" s="214">
        <f>'[7]人員・時間計画 '!L18</f>
        <v>2499</v>
      </c>
      <c r="P1131" s="214">
        <f>'[7]人員・時間計画 '!M18</f>
        <v>1874</v>
      </c>
      <c r="Q1131" s="214">
        <f>'[7]人員・時間計画 '!N18</f>
        <v>2499</v>
      </c>
    </row>
    <row r="1132" spans="1:17" ht="14.5" thickBot="1">
      <c r="A1132">
        <f>'[7]人員・時間計画 '!$A$5</f>
        <v>1412000098</v>
      </c>
      <c r="B1132" t="str">
        <f>'[7]人員・時間計画 '!$B$5</f>
        <v>電工製造課</v>
      </c>
      <c r="C1132" s="185" t="s">
        <v>202</v>
      </c>
      <c r="D1132" s="201" t="s">
        <v>195</v>
      </c>
      <c r="E1132" s="192" t="s">
        <v>140</v>
      </c>
      <c r="F1132" s="214">
        <f>'[7]人員・時間計画 '!C19</f>
        <v>2332</v>
      </c>
      <c r="G1132" s="214">
        <f>'[7]人員・時間計画 '!D19</f>
        <v>2216</v>
      </c>
      <c r="H1132" s="214">
        <f>'[7]人員・時間計画 '!E19</f>
        <v>2449</v>
      </c>
      <c r="I1132" s="214">
        <f>'[7]人員・時間計画 '!F19</f>
        <v>5556</v>
      </c>
      <c r="J1132" s="214">
        <f>'[7]人員・時間計画 '!G19</f>
        <v>4831</v>
      </c>
      <c r="K1132" s="214">
        <f>'[7]人員・時間計画 '!H19</f>
        <v>4590</v>
      </c>
      <c r="L1132" s="214">
        <f>'[7]人員・時間計画 '!I19</f>
        <v>5748</v>
      </c>
      <c r="M1132" s="214">
        <f>'[7]人員・時間計画 '!J19</f>
        <v>4998</v>
      </c>
      <c r="N1132" s="214">
        <f>'[7]人員・時間計画 '!K19</f>
        <v>5498</v>
      </c>
      <c r="O1132" s="214">
        <f>'[7]人員・時間計画 '!L19</f>
        <v>7164</v>
      </c>
      <c r="P1132" s="214">
        <f>'[7]人員・時間計画 '!M19</f>
        <v>5373</v>
      </c>
      <c r="Q1132" s="214">
        <f>'[7]人員・時間計画 '!N19</f>
        <v>7164</v>
      </c>
    </row>
    <row r="1133" spans="1:17" ht="14.5" hidden="1" thickBot="1">
      <c r="A1133">
        <f>'[7]人員・時間計画 '!$A$5</f>
        <v>1412000098</v>
      </c>
      <c r="B1133" t="str">
        <f>'[7]人員・時間計画 '!$B$5</f>
        <v>電工製造課</v>
      </c>
      <c r="C1133" s="185" t="s">
        <v>202</v>
      </c>
      <c r="D1133" s="202"/>
      <c r="E1133" s="203" t="s">
        <v>138</v>
      </c>
      <c r="F1133" s="214">
        <f>'[7]人員・時間計画 '!C20</f>
        <v>4831</v>
      </c>
      <c r="G1133" s="214">
        <f>'[7]人員・時間計画 '!D20</f>
        <v>4590</v>
      </c>
      <c r="H1133" s="214">
        <f>'[7]人員・時間計画 '!E20</f>
        <v>5073</v>
      </c>
      <c r="I1133" s="214">
        <f>'[7]人員・時間計画 '!F20</f>
        <v>8430</v>
      </c>
      <c r="J1133" s="214">
        <f>'[7]人員・時間計画 '!G20</f>
        <v>7330</v>
      </c>
      <c r="K1133" s="214">
        <f>'[7]人員・時間計画 '!H20</f>
        <v>6964</v>
      </c>
      <c r="L1133" s="214">
        <f>'[7]人員・時間計画 '!I20</f>
        <v>8622</v>
      </c>
      <c r="M1133" s="214">
        <f>'[7]人員・時間計画 '!J20</f>
        <v>7497</v>
      </c>
      <c r="N1133" s="214">
        <f>'[7]人員・時間計画 '!K20</f>
        <v>8247</v>
      </c>
      <c r="O1133" s="214">
        <f>'[7]人員・時間計画 '!L20</f>
        <v>9663</v>
      </c>
      <c r="P1133" s="214">
        <f>'[7]人員・時間計画 '!M20</f>
        <v>7247</v>
      </c>
      <c r="Q1133" s="214">
        <f>'[7]人員・時間計画 '!N20</f>
        <v>9663</v>
      </c>
    </row>
    <row r="1134" spans="1:17" ht="14.5" hidden="1" thickBot="1">
      <c r="A1134">
        <f>'[7]人員・時間計画 '!$A$5</f>
        <v>1412000098</v>
      </c>
      <c r="B1134" t="str">
        <f>'[7]人員・時間計画 '!$B$5</f>
        <v>電工製造課</v>
      </c>
      <c r="C1134" s="185" t="s">
        <v>202</v>
      </c>
      <c r="D1134" s="204" t="s">
        <v>215</v>
      </c>
      <c r="E1134" s="205"/>
      <c r="F1134" s="214">
        <f>'[7]人員・時間計画 '!C21</f>
        <v>5137</v>
      </c>
      <c r="G1134" s="214">
        <f>'[7]人員・時間計画 '!D21</f>
        <v>4913</v>
      </c>
      <c r="H1134" s="214">
        <f>'[7]人員・時間計画 '!E21</f>
        <v>5430</v>
      </c>
      <c r="I1134" s="214">
        <f>'[7]人員・時間計画 '!F21</f>
        <v>8821</v>
      </c>
      <c r="J1134" s="214">
        <f>'[7]人員・時間計画 '!G21</f>
        <v>7636</v>
      </c>
      <c r="K1134" s="214">
        <f>'[7]人員・時間計画 '!H21</f>
        <v>7287</v>
      </c>
      <c r="L1134" s="214">
        <f>'[7]人員・時間計画 '!I21</f>
        <v>8970.5</v>
      </c>
      <c r="M1134" s="214">
        <f>'[7]人員・時間計画 '!J21</f>
        <v>7837</v>
      </c>
      <c r="N1134" s="214">
        <f>'[7]人員・時間計画 '!K21</f>
        <v>8612.5</v>
      </c>
      <c r="O1134" s="214">
        <f>'[7]人員・時間計画 '!L21</f>
        <v>9952</v>
      </c>
      <c r="P1134" s="214">
        <f>'[7]人員・時間計画 '!M21</f>
        <v>7442.5</v>
      </c>
      <c r="Q1134" s="214">
        <f>'[7]人員・時間計画 '!N21</f>
        <v>10003</v>
      </c>
    </row>
    <row r="1135" spans="1:17" ht="14.5" hidden="1" thickBot="1">
      <c r="A1135">
        <f>'[7]人員・時間計画 '!$A$5</f>
        <v>1412000098</v>
      </c>
      <c r="B1135" t="str">
        <f>'[7]人員・時間計画 '!$B$5</f>
        <v>電工製造課</v>
      </c>
      <c r="D1135" s="197"/>
      <c r="E1135" s="197"/>
    </row>
    <row r="1136" spans="1:17" ht="14.5" hidden="1" thickBot="1">
      <c r="A1136">
        <f>'[7]人員・時間計画 '!$A$5</f>
        <v>1412000098</v>
      </c>
      <c r="B1136" t="str">
        <f>'[7]人員・時間計画 '!$B$5</f>
        <v>電工製造課</v>
      </c>
      <c r="C1136" s="185" t="s">
        <v>71</v>
      </c>
      <c r="D1136" s="185" t="s">
        <v>71</v>
      </c>
      <c r="E1136" s="186"/>
    </row>
    <row r="1137" spans="1:17" ht="14.5" hidden="1" thickBot="1">
      <c r="A1137">
        <f>'[7]人員・時間計画 '!$A$5</f>
        <v>1412000098</v>
      </c>
      <c r="B1137" t="str">
        <f>'[7]人員・時間計画 '!$B$5</f>
        <v>電工製造課</v>
      </c>
      <c r="C1137" s="185" t="s">
        <v>71</v>
      </c>
      <c r="D1137" s="198" t="s">
        <v>194</v>
      </c>
      <c r="E1137" s="199"/>
      <c r="F1137" s="214">
        <f>'[7]人員・時間計画 '!C24</f>
        <v>72</v>
      </c>
      <c r="G1137" s="214">
        <f>'[7]人員・時間計画 '!D24</f>
        <v>76</v>
      </c>
      <c r="H1137" s="214">
        <f>'[7]人員・時間計画 '!E24</f>
        <v>84</v>
      </c>
      <c r="I1137" s="214">
        <f>'[7]人員・時間計画 '!F24</f>
        <v>92</v>
      </c>
      <c r="J1137" s="214">
        <f>'[7]人員・時間計画 '!G24</f>
        <v>72</v>
      </c>
      <c r="K1137" s="214">
        <f>'[7]人員・時間計画 '!H24</f>
        <v>76</v>
      </c>
      <c r="L1137" s="214">
        <f>'[7]人員・時間計画 '!I24</f>
        <v>82</v>
      </c>
      <c r="M1137" s="214">
        <f>'[7]人員・時間計画 '!J24</f>
        <v>80</v>
      </c>
      <c r="N1137" s="214">
        <f>'[7]人員・時間計画 '!K24</f>
        <v>86</v>
      </c>
      <c r="O1137" s="214">
        <f>'[7]人員・時間計画 '!L24</f>
        <v>68</v>
      </c>
      <c r="P1137" s="214">
        <f>'[7]人員・時間計画 '!M24</f>
        <v>46</v>
      </c>
      <c r="Q1137" s="214">
        <f>'[7]人員・時間計画 '!N24</f>
        <v>80</v>
      </c>
    </row>
    <row r="1138" spans="1:17" ht="14.5" hidden="1" thickBot="1">
      <c r="A1138">
        <f>'[7]人員・時間計画 '!$A$5</f>
        <v>1412000098</v>
      </c>
      <c r="B1138" t="str">
        <f>'[7]人員・時間計画 '!$B$5</f>
        <v>電工製造課</v>
      </c>
      <c r="C1138" s="185" t="s">
        <v>71</v>
      </c>
      <c r="D1138" s="200"/>
      <c r="E1138" s="206" t="s">
        <v>139</v>
      </c>
      <c r="F1138" s="214">
        <f>'[7]人員・時間計画 '!C25</f>
        <v>147</v>
      </c>
      <c r="G1138" s="214">
        <f>'[7]人員・時間計画 '!D25</f>
        <v>245</v>
      </c>
      <c r="H1138" s="214">
        <f>'[7]人員・時間計画 '!E25</f>
        <v>234</v>
      </c>
      <c r="I1138" s="214">
        <f>'[7]人員・時間計画 '!F25</f>
        <v>467</v>
      </c>
      <c r="J1138" s="214">
        <f>'[7]人員・時間計画 '!G25</f>
        <v>352</v>
      </c>
      <c r="K1138" s="214">
        <f>'[7]人員・時間計画 '!H25</f>
        <v>38</v>
      </c>
      <c r="L1138" s="214">
        <f>'[7]人員・時間計画 '!I25</f>
        <v>46</v>
      </c>
      <c r="M1138" s="214">
        <f>'[7]人員・時間計画 '!J25</f>
        <v>40</v>
      </c>
      <c r="N1138" s="214">
        <f>'[7]人員・時間計画 '!K25</f>
        <v>42</v>
      </c>
      <c r="O1138" s="214">
        <f>'[7]人員・時間計画 '!L25</f>
        <v>40</v>
      </c>
      <c r="P1138" s="214">
        <f>'[7]人員・時間計画 '!M25</f>
        <v>419</v>
      </c>
      <c r="Q1138" s="214">
        <f>'[7]人員・時間計画 '!N25</f>
        <v>40</v>
      </c>
    </row>
    <row r="1139" spans="1:17" ht="14.5" thickBot="1">
      <c r="A1139">
        <f>'[7]人員・時間計画 '!$A$5</f>
        <v>1412000098</v>
      </c>
      <c r="B1139" t="str">
        <f>'[7]人員・時間計画 '!$B$5</f>
        <v>電工製造課</v>
      </c>
      <c r="C1139" s="185" t="s">
        <v>71</v>
      </c>
      <c r="D1139" s="201" t="s">
        <v>195</v>
      </c>
      <c r="E1139" s="207" t="s">
        <v>140</v>
      </c>
      <c r="F1139" s="214">
        <f>'[7]人員・時間計画 '!C26</f>
        <v>107</v>
      </c>
      <c r="G1139" s="214">
        <f>'[7]人員・時間計画 '!D26</f>
        <v>207</v>
      </c>
      <c r="H1139" s="214">
        <f>'[7]人員・時間計画 '!E26</f>
        <v>192</v>
      </c>
      <c r="I1139" s="214">
        <f>'[7]人員・時間計画 '!F26</f>
        <v>421</v>
      </c>
      <c r="J1139" s="214">
        <f>'[7]人員・時間計画 '!G26</f>
        <v>312</v>
      </c>
      <c r="K1139" s="214">
        <f>'[7]人員・時間計画 '!H26</f>
        <v>0</v>
      </c>
      <c r="L1139" s="214">
        <f>'[7]人員・時間計画 '!I26</f>
        <v>0</v>
      </c>
      <c r="M1139" s="214">
        <f>'[7]人員・時間計画 '!J26</f>
        <v>0</v>
      </c>
      <c r="N1139" s="214">
        <f>'[7]人員・時間計画 '!K26</f>
        <v>0</v>
      </c>
      <c r="O1139" s="214">
        <f>'[7]人員・時間計画 '!L26</f>
        <v>0</v>
      </c>
      <c r="P1139" s="214">
        <f>'[7]人員・時間計画 '!M26</f>
        <v>389</v>
      </c>
      <c r="Q1139" s="214">
        <f>'[7]人員・時間計画 '!N26</f>
        <v>0</v>
      </c>
    </row>
    <row r="1140" spans="1:17" ht="14.5" hidden="1" thickBot="1">
      <c r="A1140">
        <f>'[7]人員・時間計画 '!$A$5</f>
        <v>1412000098</v>
      </c>
      <c r="B1140" t="str">
        <f>'[7]人員・時間計画 '!$B$5</f>
        <v>電工製造課</v>
      </c>
      <c r="C1140" s="185" t="s">
        <v>71</v>
      </c>
      <c r="D1140" s="202"/>
      <c r="E1140" s="203" t="s">
        <v>138</v>
      </c>
      <c r="F1140" s="214">
        <f>'[7]人員・時間計画 '!C27</f>
        <v>254</v>
      </c>
      <c r="G1140" s="214">
        <f>'[7]人員・時間計画 '!D27</f>
        <v>452</v>
      </c>
      <c r="H1140" s="214">
        <f>'[7]人員・時間計画 '!E27</f>
        <v>426</v>
      </c>
      <c r="I1140" s="214">
        <f>'[7]人員・時間計画 '!F27</f>
        <v>888</v>
      </c>
      <c r="J1140" s="214">
        <f>'[7]人員・時間計画 '!G27</f>
        <v>664</v>
      </c>
      <c r="K1140" s="214">
        <f>'[7]人員・時間計画 '!H27</f>
        <v>38</v>
      </c>
      <c r="L1140" s="214">
        <f>'[7]人員・時間計画 '!I27</f>
        <v>46</v>
      </c>
      <c r="M1140" s="214">
        <f>'[7]人員・時間計画 '!J27</f>
        <v>40</v>
      </c>
      <c r="N1140" s="214">
        <f>'[7]人員・時間計画 '!K27</f>
        <v>42</v>
      </c>
      <c r="O1140" s="214">
        <f>'[7]人員・時間計画 '!L27</f>
        <v>40</v>
      </c>
      <c r="P1140" s="214">
        <f>'[7]人員・時間計画 '!M27</f>
        <v>808</v>
      </c>
      <c r="Q1140" s="214">
        <f>'[7]人員・時間計画 '!N27</f>
        <v>40</v>
      </c>
    </row>
    <row r="1141" spans="1:17" ht="14.5" hidden="1" thickBot="1">
      <c r="A1141">
        <f>'[7]人員・時間計画 '!$A$5</f>
        <v>1412000098</v>
      </c>
      <c r="B1141" t="str">
        <f>'[7]人員・時間計画 '!$B$5</f>
        <v>電工製造課</v>
      </c>
      <c r="C1141" s="185" t="s">
        <v>71</v>
      </c>
      <c r="D1141" s="204" t="s">
        <v>216</v>
      </c>
      <c r="E1141" s="205"/>
      <c r="F1141" s="214">
        <f>'[7]人員・時間計画 '!C28</f>
        <v>326</v>
      </c>
      <c r="G1141" s="214">
        <f>'[7]人員・時間計画 '!D28</f>
        <v>528</v>
      </c>
      <c r="H1141" s="214">
        <f>'[7]人員・時間計画 '!E28</f>
        <v>510</v>
      </c>
      <c r="I1141" s="214">
        <f>'[7]人員・時間計画 '!F28</f>
        <v>980</v>
      </c>
      <c r="J1141" s="214">
        <f>'[7]人員・時間計画 '!G28</f>
        <v>736</v>
      </c>
      <c r="K1141" s="214">
        <f>'[7]人員・時間計画 '!H28</f>
        <v>114</v>
      </c>
      <c r="L1141" s="214">
        <f>'[7]人員・時間計画 '!I28</f>
        <v>128</v>
      </c>
      <c r="M1141" s="214">
        <f>'[7]人員・時間計画 '!J28</f>
        <v>120</v>
      </c>
      <c r="N1141" s="214">
        <f>'[7]人員・時間計画 '!K28</f>
        <v>128</v>
      </c>
      <c r="O1141" s="214">
        <f>'[7]人員・時間計画 '!L28</f>
        <v>108</v>
      </c>
      <c r="P1141" s="214">
        <f>'[7]人員・時間計画 '!M28</f>
        <v>854</v>
      </c>
      <c r="Q1141" s="214">
        <f>'[7]人員・時間計画 '!N28</f>
        <v>120</v>
      </c>
    </row>
    <row r="1142" spans="1:17" ht="14.5" hidden="1" thickBot="1">
      <c r="A1142">
        <f>[11]人員・時間計画!$A$5</f>
        <v>1412000099</v>
      </c>
      <c r="B1142" t="str">
        <f>[11]人員・時間計画!$B$5</f>
        <v>MD4課</v>
      </c>
      <c r="C1142" s="185" t="s">
        <v>3</v>
      </c>
      <c r="D1142" s="185" t="s">
        <v>3</v>
      </c>
      <c r="E1142" s="186"/>
    </row>
    <row r="1143" spans="1:17" ht="14.5" hidden="1" thickBot="1">
      <c r="A1143">
        <f>[11]人員・時間計画!$A$5</f>
        <v>1412000099</v>
      </c>
      <c r="B1143" t="str">
        <f>[11]人員・時間計画!$B$5</f>
        <v>MD4課</v>
      </c>
      <c r="C1143" s="185" t="s">
        <v>3</v>
      </c>
      <c r="D1143" s="187" t="s">
        <v>194</v>
      </c>
      <c r="E1143" s="188"/>
      <c r="F1143" s="214">
        <f>[11]人員・時間計画!C10</f>
        <v>1</v>
      </c>
      <c r="G1143" s="214">
        <f>[11]人員・時間計画!D10</f>
        <v>1</v>
      </c>
      <c r="H1143" s="214">
        <f>[11]人員・時間計画!E10</f>
        <v>1</v>
      </c>
      <c r="I1143" s="214">
        <f>[11]人員・時間計画!F10</f>
        <v>1</v>
      </c>
      <c r="J1143" s="214">
        <f>[11]人員・時間計画!G10</f>
        <v>1</v>
      </c>
      <c r="K1143" s="214">
        <f>[11]人員・時間計画!H10</f>
        <v>1</v>
      </c>
      <c r="L1143" s="214">
        <f>[11]人員・時間計画!I10</f>
        <v>1</v>
      </c>
      <c r="M1143" s="214">
        <f>[11]人員・時間計画!J10</f>
        <v>1</v>
      </c>
      <c r="N1143" s="214">
        <f>[11]人員・時間計画!K10</f>
        <v>1</v>
      </c>
      <c r="O1143" s="214">
        <f>[11]人員・時間計画!L10</f>
        <v>1</v>
      </c>
      <c r="P1143" s="214">
        <f>[11]人員・時間計画!M10</f>
        <v>1</v>
      </c>
      <c r="Q1143" s="214">
        <f>[11]人員・時間計画!N10</f>
        <v>1</v>
      </c>
    </row>
    <row r="1144" spans="1:17" ht="14.5" hidden="1" thickBot="1">
      <c r="A1144">
        <f>[11]人員・時間計画!$A$5</f>
        <v>1412000099</v>
      </c>
      <c r="B1144" t="str">
        <f>[11]人員・時間計画!$B$5</f>
        <v>MD4課</v>
      </c>
      <c r="C1144" s="185" t="s">
        <v>3</v>
      </c>
      <c r="D1144" s="189"/>
      <c r="E1144" s="190" t="s">
        <v>139</v>
      </c>
      <c r="F1144" s="214">
        <f>[11]人員・時間計画!C11</f>
        <v>15</v>
      </c>
      <c r="G1144" s="214">
        <f>[11]人員・時間計画!D11</f>
        <v>15</v>
      </c>
      <c r="H1144" s="214">
        <f>[11]人員・時間計画!E11</f>
        <v>15</v>
      </c>
      <c r="I1144" s="214">
        <f>[11]人員・時間計画!F11</f>
        <v>15</v>
      </c>
      <c r="J1144" s="214">
        <f>[11]人員・時間計画!G11</f>
        <v>15</v>
      </c>
      <c r="K1144" s="214">
        <f>[11]人員・時間計画!H11</f>
        <v>15</v>
      </c>
      <c r="L1144" s="214">
        <f>[11]人員・時間計画!I11</f>
        <v>15</v>
      </c>
      <c r="M1144" s="214">
        <f>[11]人員・時間計画!J11</f>
        <v>15</v>
      </c>
      <c r="N1144" s="214">
        <f>[11]人員・時間計画!K11</f>
        <v>15</v>
      </c>
      <c r="O1144" s="214">
        <f>[11]人員・時間計画!L11</f>
        <v>15</v>
      </c>
      <c r="P1144" s="214">
        <f>[11]人員・時間計画!M11</f>
        <v>15</v>
      </c>
      <c r="Q1144" s="214">
        <f>[11]人員・時間計画!N11</f>
        <v>15</v>
      </c>
    </row>
    <row r="1145" spans="1:17" ht="14.5" thickBot="1">
      <c r="A1145">
        <f>[11]人員・時間計画!$A$5</f>
        <v>1412000099</v>
      </c>
      <c r="B1145" t="str">
        <f>[11]人員・時間計画!$B$5</f>
        <v>MD4課</v>
      </c>
      <c r="C1145" s="185" t="s">
        <v>3</v>
      </c>
      <c r="D1145" s="191" t="s">
        <v>195</v>
      </c>
      <c r="E1145" s="192" t="s">
        <v>140</v>
      </c>
      <c r="F1145" s="214">
        <f>[11]人員・時間計画!C12</f>
        <v>0</v>
      </c>
      <c r="G1145" s="214">
        <f>[11]人員・時間計画!D12</f>
        <v>0</v>
      </c>
      <c r="H1145" s="214">
        <f>[11]人員・時間計画!E12</f>
        <v>0</v>
      </c>
      <c r="I1145" s="214">
        <f>[11]人員・時間計画!F12</f>
        <v>0</v>
      </c>
      <c r="J1145" s="214">
        <f>[11]人員・時間計画!G12</f>
        <v>0</v>
      </c>
      <c r="K1145" s="214">
        <f>[11]人員・時間計画!H12</f>
        <v>0</v>
      </c>
      <c r="L1145" s="214">
        <f>[11]人員・時間計画!I12</f>
        <v>0</v>
      </c>
      <c r="M1145" s="214">
        <f>[11]人員・時間計画!J12</f>
        <v>0</v>
      </c>
      <c r="N1145" s="214">
        <f>[11]人員・時間計画!K12</f>
        <v>0</v>
      </c>
      <c r="O1145" s="214">
        <f>[11]人員・時間計画!L12</f>
        <v>0</v>
      </c>
      <c r="P1145" s="214">
        <f>[11]人員・時間計画!M12</f>
        <v>0</v>
      </c>
      <c r="Q1145" s="214">
        <f>[11]人員・時間計画!N12</f>
        <v>0</v>
      </c>
    </row>
    <row r="1146" spans="1:17" ht="14.5" hidden="1" thickBot="1">
      <c r="A1146">
        <f>[11]人員・時間計画!$A$5</f>
        <v>1412000099</v>
      </c>
      <c r="B1146" t="str">
        <f>[11]人員・時間計画!$B$5</f>
        <v>MD4課</v>
      </c>
      <c r="C1146" s="185" t="s">
        <v>3</v>
      </c>
      <c r="D1146" s="193"/>
      <c r="E1146" s="194" t="s">
        <v>138</v>
      </c>
      <c r="F1146" s="214">
        <f>[11]人員・時間計画!C13</f>
        <v>15</v>
      </c>
      <c r="G1146" s="214">
        <f>[11]人員・時間計画!D13</f>
        <v>15</v>
      </c>
      <c r="H1146" s="214">
        <f>[11]人員・時間計画!E13</f>
        <v>15</v>
      </c>
      <c r="I1146" s="214">
        <f>[11]人員・時間計画!F13</f>
        <v>15</v>
      </c>
      <c r="J1146" s="214">
        <f>[11]人員・時間計画!G13</f>
        <v>15</v>
      </c>
      <c r="K1146" s="214">
        <f>[11]人員・時間計画!H13</f>
        <v>15</v>
      </c>
      <c r="L1146" s="214">
        <f>[11]人員・時間計画!I13</f>
        <v>15</v>
      </c>
      <c r="M1146" s="214">
        <f>[11]人員・時間計画!J13</f>
        <v>15</v>
      </c>
      <c r="N1146" s="214">
        <f>[11]人員・時間計画!K13</f>
        <v>15</v>
      </c>
      <c r="O1146" s="214">
        <f>[11]人員・時間計画!L13</f>
        <v>15</v>
      </c>
      <c r="P1146" s="214">
        <f>[11]人員・時間計画!M13</f>
        <v>15</v>
      </c>
      <c r="Q1146" s="214">
        <f>[11]人員・時間計画!N13</f>
        <v>15</v>
      </c>
    </row>
    <row r="1147" spans="1:17" ht="14.5" hidden="1" thickBot="1">
      <c r="A1147">
        <f>[11]人員・時間計画!$A$5</f>
        <v>1412000099</v>
      </c>
      <c r="B1147" t="str">
        <f>[11]人員・時間計画!$B$5</f>
        <v>MD4課</v>
      </c>
      <c r="C1147" s="185" t="s">
        <v>3</v>
      </c>
      <c r="D1147" s="195" t="s">
        <v>196</v>
      </c>
      <c r="E1147" s="196"/>
      <c r="F1147" s="214">
        <f>[11]人員・時間計画!C14</f>
        <v>16</v>
      </c>
      <c r="G1147" s="214">
        <f>[11]人員・時間計画!D14</f>
        <v>16</v>
      </c>
      <c r="H1147" s="214">
        <f>[11]人員・時間計画!E14</f>
        <v>16</v>
      </c>
      <c r="I1147" s="214">
        <f>[11]人員・時間計画!F14</f>
        <v>16</v>
      </c>
      <c r="J1147" s="214">
        <f>[11]人員・時間計画!G14</f>
        <v>16</v>
      </c>
      <c r="K1147" s="214">
        <f>[11]人員・時間計画!H14</f>
        <v>16</v>
      </c>
      <c r="L1147" s="214">
        <f>[11]人員・時間計画!I14</f>
        <v>16</v>
      </c>
      <c r="M1147" s="214">
        <f>[11]人員・時間計画!J14</f>
        <v>16</v>
      </c>
      <c r="N1147" s="214">
        <f>[11]人員・時間計画!K14</f>
        <v>16</v>
      </c>
      <c r="O1147" s="214">
        <f>[11]人員・時間計画!L14</f>
        <v>16</v>
      </c>
      <c r="P1147" s="214">
        <f>[11]人員・時間計画!M14</f>
        <v>16</v>
      </c>
      <c r="Q1147" s="214">
        <f>[11]人員・時間計画!N14</f>
        <v>16</v>
      </c>
    </row>
    <row r="1148" spans="1:17" ht="14.5" hidden="1" thickBot="1">
      <c r="A1148">
        <f>[11]人員・時間計画!$A$5</f>
        <v>1412000099</v>
      </c>
      <c r="B1148" t="str">
        <f>[11]人員・時間計画!$B$5</f>
        <v>MD4課</v>
      </c>
      <c r="D1148" s="197"/>
      <c r="E1148" s="197"/>
    </row>
    <row r="1149" spans="1:17" ht="14.5" hidden="1" thickBot="1">
      <c r="A1149">
        <f>[11]人員・時間計画!$A$5</f>
        <v>1412000099</v>
      </c>
      <c r="B1149" t="str">
        <f>[11]人員・時間計画!$B$5</f>
        <v>MD4課</v>
      </c>
      <c r="C1149" s="185" t="s">
        <v>202</v>
      </c>
      <c r="D1149" s="185" t="s">
        <v>202</v>
      </c>
      <c r="E1149" s="186"/>
    </row>
    <row r="1150" spans="1:17" ht="14.5" hidden="1" thickBot="1">
      <c r="A1150">
        <f>[11]人員・時間計画!$A$5</f>
        <v>1412000099</v>
      </c>
      <c r="B1150" t="str">
        <f>[11]人員・時間計画!$B$5</f>
        <v>MD4課</v>
      </c>
      <c r="C1150" s="185" t="s">
        <v>202</v>
      </c>
      <c r="D1150" s="198" t="s">
        <v>194</v>
      </c>
      <c r="E1150" s="199"/>
      <c r="F1150" s="214">
        <f>[11]人員・時間計画!C17</f>
        <v>170</v>
      </c>
      <c r="G1150" s="214">
        <f>[11]人員・時間計画!D17</f>
        <v>161.5</v>
      </c>
      <c r="H1150" s="214">
        <f>[11]人員・時間計画!E17</f>
        <v>178.5</v>
      </c>
      <c r="I1150" s="214">
        <f>[11]人員・時間計画!F17</f>
        <v>195.5</v>
      </c>
      <c r="J1150" s="214">
        <f>[11]人員・時間計画!G17</f>
        <v>161.5</v>
      </c>
      <c r="K1150" s="214">
        <f>[11]人員・時間計画!H17</f>
        <v>127.5</v>
      </c>
      <c r="L1150" s="214">
        <f>[11]人員・時間計画!I17</f>
        <v>195.5</v>
      </c>
      <c r="M1150" s="214">
        <f>[11]人員・時間計画!J17</f>
        <v>170</v>
      </c>
      <c r="N1150" s="214">
        <f>[11]人員・時間計画!K17</f>
        <v>187</v>
      </c>
      <c r="O1150" s="214">
        <f>[11]人員・時間計画!L17</f>
        <v>144.5</v>
      </c>
      <c r="P1150" s="214">
        <f>[11]人員・時間計画!M17</f>
        <v>110.5</v>
      </c>
      <c r="Q1150" s="214">
        <f>[11]人員・時間計画!N17</f>
        <v>170</v>
      </c>
    </row>
    <row r="1151" spans="1:17" ht="14.5" hidden="1" thickBot="1">
      <c r="A1151">
        <f>[11]人員・時間計画!$A$5</f>
        <v>1412000099</v>
      </c>
      <c r="B1151" t="str">
        <f>[11]人員・時間計画!$B$5</f>
        <v>MD4課</v>
      </c>
      <c r="C1151" s="185" t="s">
        <v>202</v>
      </c>
      <c r="D1151" s="200"/>
      <c r="E1151" s="190" t="s">
        <v>139</v>
      </c>
      <c r="F1151" s="214">
        <f>[11]人員・時間計画!C18</f>
        <v>2448</v>
      </c>
      <c r="G1151" s="214">
        <f>[11]人員・時間計画!D18</f>
        <v>2320.5</v>
      </c>
      <c r="H1151" s="214">
        <f>[11]人員・時間計画!E18</f>
        <v>2575.5</v>
      </c>
      <c r="I1151" s="214">
        <f>[11]人員・時間計画!F18</f>
        <v>2830.5</v>
      </c>
      <c r="J1151" s="214">
        <f>[11]人員・時間計画!G18</f>
        <v>2448</v>
      </c>
      <c r="K1151" s="214">
        <f>[11]人員・時間計画!H18</f>
        <v>2320.5</v>
      </c>
      <c r="L1151" s="214">
        <f>[11]人員・時間計画!I18</f>
        <v>2830.5</v>
      </c>
      <c r="M1151" s="214">
        <f>[11]人員・時間計画!J18</f>
        <v>2448</v>
      </c>
      <c r="N1151" s="214">
        <f>[11]人員・時間計画!K18</f>
        <v>2703</v>
      </c>
      <c r="O1151" s="214">
        <f>[11]人員・時間計画!L18</f>
        <v>2448</v>
      </c>
      <c r="P1151" s="214">
        <f>[11]人員・時間計画!M18</f>
        <v>1810.5</v>
      </c>
      <c r="Q1151" s="214">
        <f>[11]人員・時間計画!N18</f>
        <v>2448</v>
      </c>
    </row>
    <row r="1152" spans="1:17" ht="14.5" thickBot="1">
      <c r="A1152">
        <f>[11]人員・時間計画!$A$5</f>
        <v>1412000099</v>
      </c>
      <c r="B1152" t="str">
        <f>[11]人員・時間計画!$B$5</f>
        <v>MD4課</v>
      </c>
      <c r="C1152" s="185" t="s">
        <v>202</v>
      </c>
      <c r="D1152" s="201" t="s">
        <v>195</v>
      </c>
      <c r="E1152" s="192" t="s">
        <v>140</v>
      </c>
      <c r="F1152" s="214">
        <f>[11]人員・時間計画!C19</f>
        <v>0</v>
      </c>
      <c r="G1152" s="214">
        <f>[11]人員・時間計画!D19</f>
        <v>0</v>
      </c>
      <c r="H1152" s="214">
        <f>[11]人員・時間計画!E19</f>
        <v>0</v>
      </c>
      <c r="I1152" s="214">
        <f>[11]人員・時間計画!F19</f>
        <v>0</v>
      </c>
      <c r="J1152" s="214">
        <f>[11]人員・時間計画!G19</f>
        <v>0</v>
      </c>
      <c r="K1152" s="214">
        <f>[11]人員・時間計画!H19</f>
        <v>0</v>
      </c>
      <c r="L1152" s="214">
        <f>[11]人員・時間計画!I19</f>
        <v>0</v>
      </c>
      <c r="M1152" s="214">
        <f>[11]人員・時間計画!J19</f>
        <v>0</v>
      </c>
      <c r="N1152" s="214">
        <f>[11]人員・時間計画!K19</f>
        <v>0</v>
      </c>
      <c r="O1152" s="214">
        <f>[11]人員・時間計画!L19</f>
        <v>0</v>
      </c>
      <c r="P1152" s="214">
        <f>[11]人員・時間計画!M19</f>
        <v>0</v>
      </c>
      <c r="Q1152" s="214">
        <f>[11]人員・時間計画!N19</f>
        <v>0</v>
      </c>
    </row>
    <row r="1153" spans="1:17" ht="14.5" hidden="1" thickBot="1">
      <c r="A1153">
        <f>[11]人員・時間計画!$A$5</f>
        <v>1412000099</v>
      </c>
      <c r="B1153" t="str">
        <f>[11]人員・時間計画!$B$5</f>
        <v>MD4課</v>
      </c>
      <c r="C1153" s="185" t="s">
        <v>202</v>
      </c>
      <c r="D1153" s="202"/>
      <c r="E1153" s="203" t="s">
        <v>138</v>
      </c>
      <c r="F1153" s="214">
        <f>[11]人員・時間計画!C20</f>
        <v>2448</v>
      </c>
      <c r="G1153" s="214">
        <f>[11]人員・時間計画!D20</f>
        <v>2320.5</v>
      </c>
      <c r="H1153" s="214">
        <f>[11]人員・時間計画!E20</f>
        <v>2575.5</v>
      </c>
      <c r="I1153" s="214">
        <f>[11]人員・時間計画!F20</f>
        <v>2830.5</v>
      </c>
      <c r="J1153" s="214">
        <f>[11]人員・時間計画!G20</f>
        <v>2448</v>
      </c>
      <c r="K1153" s="214">
        <f>[11]人員・時間計画!H20</f>
        <v>2320.5</v>
      </c>
      <c r="L1153" s="214">
        <f>[11]人員・時間計画!I20</f>
        <v>2830.5</v>
      </c>
      <c r="M1153" s="214">
        <f>[11]人員・時間計画!J20</f>
        <v>2448</v>
      </c>
      <c r="N1153" s="214">
        <f>[11]人員・時間計画!K20</f>
        <v>2703</v>
      </c>
      <c r="O1153" s="214">
        <f>[11]人員・時間計画!L20</f>
        <v>2448</v>
      </c>
      <c r="P1153" s="214">
        <f>[11]人員・時間計画!M20</f>
        <v>1810.5</v>
      </c>
      <c r="Q1153" s="214">
        <f>[11]人員・時間計画!N20</f>
        <v>2448</v>
      </c>
    </row>
    <row r="1154" spans="1:17" ht="14.5" hidden="1" thickBot="1">
      <c r="A1154">
        <f>[11]人員・時間計画!$A$5</f>
        <v>1412000099</v>
      </c>
      <c r="B1154" t="str">
        <f>[11]人員・時間計画!$B$5</f>
        <v>MD4課</v>
      </c>
      <c r="C1154" s="185" t="s">
        <v>202</v>
      </c>
      <c r="D1154" s="204" t="s">
        <v>215</v>
      </c>
      <c r="E1154" s="205"/>
      <c r="F1154" s="214">
        <f>[11]人員・時間計画!C21</f>
        <v>2618</v>
      </c>
      <c r="G1154" s="214">
        <f>[11]人員・時間計画!D21</f>
        <v>2482</v>
      </c>
      <c r="H1154" s="214">
        <f>[11]人員・時間計画!E21</f>
        <v>2754</v>
      </c>
      <c r="I1154" s="214">
        <f>[11]人員・時間計画!F21</f>
        <v>3026</v>
      </c>
      <c r="J1154" s="214">
        <f>[11]人員・時間計画!G21</f>
        <v>2609.5</v>
      </c>
      <c r="K1154" s="214">
        <f>[11]人員・時間計画!H21</f>
        <v>2448</v>
      </c>
      <c r="L1154" s="214">
        <f>[11]人員・時間計画!I21</f>
        <v>3026</v>
      </c>
      <c r="M1154" s="214">
        <f>[11]人員・時間計画!J21</f>
        <v>2618</v>
      </c>
      <c r="N1154" s="214">
        <f>[11]人員・時間計画!K21</f>
        <v>2890</v>
      </c>
      <c r="O1154" s="214">
        <f>[11]人員・時間計画!L21</f>
        <v>2592.5</v>
      </c>
      <c r="P1154" s="214">
        <f>[11]人員・時間計画!M21</f>
        <v>1921</v>
      </c>
      <c r="Q1154" s="214">
        <f>[11]人員・時間計画!N21</f>
        <v>2618</v>
      </c>
    </row>
    <row r="1155" spans="1:17" ht="14.5" hidden="1" thickBot="1">
      <c r="A1155">
        <f>[11]人員・時間計画!$A$5</f>
        <v>1412000099</v>
      </c>
      <c r="B1155" t="str">
        <f>[11]人員・時間計画!$B$5</f>
        <v>MD4課</v>
      </c>
      <c r="D1155" s="197"/>
      <c r="E1155" s="197"/>
    </row>
    <row r="1156" spans="1:17" ht="14.5" hidden="1" thickBot="1">
      <c r="A1156">
        <f>[11]人員・時間計画!$A$5</f>
        <v>1412000099</v>
      </c>
      <c r="B1156" t="str">
        <f>[11]人員・時間計画!$B$5</f>
        <v>MD4課</v>
      </c>
      <c r="C1156" s="185" t="s">
        <v>71</v>
      </c>
      <c r="D1156" s="185" t="s">
        <v>71</v>
      </c>
      <c r="E1156" s="186"/>
    </row>
    <row r="1157" spans="1:17" ht="14.5" hidden="1" thickBot="1">
      <c r="A1157">
        <f>[11]人員・時間計画!$A$5</f>
        <v>1412000099</v>
      </c>
      <c r="B1157" t="str">
        <f>[11]人員・時間計画!$B$5</f>
        <v>MD4課</v>
      </c>
      <c r="C1157" s="185" t="s">
        <v>71</v>
      </c>
      <c r="D1157" s="198" t="s">
        <v>194</v>
      </c>
      <c r="E1157" s="199"/>
      <c r="F1157" s="214">
        <f>[11]人員・時間計画!C24</f>
        <v>40</v>
      </c>
      <c r="G1157" s="214">
        <f>[11]人員・時間計画!D24</f>
        <v>38</v>
      </c>
      <c r="H1157" s="214">
        <f>[11]人員・時間計画!E24</f>
        <v>42</v>
      </c>
      <c r="I1157" s="214">
        <f>[11]人員・時間計画!F24</f>
        <v>46</v>
      </c>
      <c r="J1157" s="214">
        <f>[11]人員・時間計画!G24</f>
        <v>38</v>
      </c>
      <c r="K1157" s="214">
        <f>[11]人員・時間計画!H24</f>
        <v>30</v>
      </c>
      <c r="L1157" s="214">
        <f>[11]人員・時間計画!I24</f>
        <v>46</v>
      </c>
      <c r="M1157" s="214">
        <f>[11]人員・時間計画!J24</f>
        <v>40</v>
      </c>
      <c r="N1157" s="214">
        <f>[11]人員・時間計画!K24</f>
        <v>44</v>
      </c>
      <c r="O1157" s="214">
        <f>[11]人員・時間計画!L24</f>
        <v>34</v>
      </c>
      <c r="P1157" s="214">
        <f>[11]人員・時間計画!M24</f>
        <v>26</v>
      </c>
      <c r="Q1157" s="214">
        <f>[11]人員・時間計画!N24</f>
        <v>40</v>
      </c>
    </row>
    <row r="1158" spans="1:17" ht="14.5" hidden="1" thickBot="1">
      <c r="A1158">
        <f>[11]人員・時間計画!$A$5</f>
        <v>1412000099</v>
      </c>
      <c r="B1158" t="str">
        <f>[11]人員・時間計画!$B$5</f>
        <v>MD4課</v>
      </c>
      <c r="C1158" s="185" t="s">
        <v>71</v>
      </c>
      <c r="D1158" s="200"/>
      <c r="E1158" s="206" t="s">
        <v>139</v>
      </c>
      <c r="F1158" s="214">
        <f>[11]人員・時間計画!C25</f>
        <v>124</v>
      </c>
      <c r="G1158" s="214">
        <f>[11]人員・時間計画!D25</f>
        <v>122</v>
      </c>
      <c r="H1158" s="214">
        <f>[11]人員・時間計画!E25</f>
        <v>114</v>
      </c>
      <c r="I1158" s="214">
        <f>[11]人員・時間計画!F25</f>
        <v>118</v>
      </c>
      <c r="J1158" s="214">
        <f>[11]人員・時間計画!G25</f>
        <v>112</v>
      </c>
      <c r="K1158" s="214">
        <f>[11]人員・時間計画!H25</f>
        <v>110</v>
      </c>
      <c r="L1158" s="214">
        <f>[11]人員・時間計画!I25</f>
        <v>118</v>
      </c>
      <c r="M1158" s="214">
        <f>[11]人員・時間計画!J25</f>
        <v>112</v>
      </c>
      <c r="N1158" s="214">
        <f>[11]人員・時間計画!K25</f>
        <v>116</v>
      </c>
      <c r="O1158" s="214">
        <f>[11]人員・時間計画!L25</f>
        <v>112</v>
      </c>
      <c r="P1158" s="214">
        <f>[11]人員・時間計画!M25</f>
        <v>102</v>
      </c>
      <c r="Q1158" s="214">
        <f>[11]人員・時間計画!N25</f>
        <v>112</v>
      </c>
    </row>
    <row r="1159" spans="1:17" ht="14.5" thickBot="1">
      <c r="A1159">
        <f>[11]人員・時間計画!$A$5</f>
        <v>1412000099</v>
      </c>
      <c r="B1159" t="str">
        <f>[11]人員・時間計画!$B$5</f>
        <v>MD4課</v>
      </c>
      <c r="C1159" s="185" t="s">
        <v>71</v>
      </c>
      <c r="D1159" s="201" t="s">
        <v>195</v>
      </c>
      <c r="E1159" s="207" t="s">
        <v>140</v>
      </c>
      <c r="F1159" s="214">
        <f>[11]人員・時間計画!C26</f>
        <v>0</v>
      </c>
      <c r="G1159" s="214">
        <f>[11]人員・時間計画!D26</f>
        <v>0</v>
      </c>
      <c r="H1159" s="214">
        <f>[11]人員・時間計画!E26</f>
        <v>0</v>
      </c>
      <c r="I1159" s="214">
        <f>[11]人員・時間計画!F26</f>
        <v>0</v>
      </c>
      <c r="J1159" s="214">
        <f>[11]人員・時間計画!G26</f>
        <v>0</v>
      </c>
      <c r="K1159" s="214">
        <f>[11]人員・時間計画!H26</f>
        <v>0</v>
      </c>
      <c r="L1159" s="214">
        <f>[11]人員・時間計画!I26</f>
        <v>0</v>
      </c>
      <c r="M1159" s="214">
        <f>[11]人員・時間計画!J26</f>
        <v>0</v>
      </c>
      <c r="N1159" s="214">
        <f>[11]人員・時間計画!K26</f>
        <v>0</v>
      </c>
      <c r="O1159" s="214">
        <f>[11]人員・時間計画!L26</f>
        <v>0</v>
      </c>
      <c r="P1159" s="214">
        <f>[11]人員・時間計画!M26</f>
        <v>0</v>
      </c>
      <c r="Q1159" s="214">
        <f>[11]人員・時間計画!N26</f>
        <v>0</v>
      </c>
    </row>
    <row r="1160" spans="1:17" ht="14.5" hidden="1" thickBot="1">
      <c r="A1160">
        <f>[11]人員・時間計画!$A$5</f>
        <v>1412000099</v>
      </c>
      <c r="B1160" t="str">
        <f>[11]人員・時間計画!$B$5</f>
        <v>MD4課</v>
      </c>
      <c r="C1160" s="185" t="s">
        <v>71</v>
      </c>
      <c r="D1160" s="202"/>
      <c r="E1160" s="203" t="s">
        <v>138</v>
      </c>
      <c r="F1160" s="214">
        <f>[11]人員・時間計画!C27</f>
        <v>124</v>
      </c>
      <c r="G1160" s="214">
        <f>[11]人員・時間計画!D27</f>
        <v>122</v>
      </c>
      <c r="H1160" s="214">
        <f>[11]人員・時間計画!E27</f>
        <v>114</v>
      </c>
      <c r="I1160" s="214">
        <f>[11]人員・時間計画!F27</f>
        <v>118</v>
      </c>
      <c r="J1160" s="214">
        <f>[11]人員・時間計画!G27</f>
        <v>112</v>
      </c>
      <c r="K1160" s="214">
        <f>[11]人員・時間計画!H27</f>
        <v>110</v>
      </c>
      <c r="L1160" s="214">
        <f>[11]人員・時間計画!I27</f>
        <v>118</v>
      </c>
      <c r="M1160" s="214">
        <f>[11]人員・時間計画!J27</f>
        <v>112</v>
      </c>
      <c r="N1160" s="214">
        <f>[11]人員・時間計画!K27</f>
        <v>116</v>
      </c>
      <c r="O1160" s="214">
        <f>[11]人員・時間計画!L27</f>
        <v>112</v>
      </c>
      <c r="P1160" s="214">
        <f>[11]人員・時間計画!M27</f>
        <v>102</v>
      </c>
      <c r="Q1160" s="214">
        <f>[11]人員・時間計画!N27</f>
        <v>112</v>
      </c>
    </row>
    <row r="1161" spans="1:17" ht="14.5" hidden="1" thickBot="1">
      <c r="A1161">
        <f>[11]人員・時間計画!$A$5</f>
        <v>1412000099</v>
      </c>
      <c r="B1161" t="str">
        <f>[11]人員・時間計画!$B$5</f>
        <v>MD4課</v>
      </c>
      <c r="C1161" s="185" t="s">
        <v>71</v>
      </c>
      <c r="D1161" s="204" t="s">
        <v>216</v>
      </c>
      <c r="E1161" s="205"/>
      <c r="F1161" s="214">
        <f>[11]人員・時間計画!C28</f>
        <v>164</v>
      </c>
      <c r="G1161" s="214">
        <f>[11]人員・時間計画!D28</f>
        <v>160</v>
      </c>
      <c r="H1161" s="214">
        <f>[11]人員・時間計画!E28</f>
        <v>156</v>
      </c>
      <c r="I1161" s="214">
        <f>[11]人員・時間計画!F28</f>
        <v>164</v>
      </c>
      <c r="J1161" s="214">
        <f>[11]人員・時間計画!G28</f>
        <v>150</v>
      </c>
      <c r="K1161" s="214">
        <f>[11]人員・時間計画!H28</f>
        <v>140</v>
      </c>
      <c r="L1161" s="214">
        <f>[11]人員・時間計画!I28</f>
        <v>164</v>
      </c>
      <c r="M1161" s="214">
        <f>[11]人員・時間計画!J28</f>
        <v>152</v>
      </c>
      <c r="N1161" s="214">
        <f>[11]人員・時間計画!K28</f>
        <v>160</v>
      </c>
      <c r="O1161" s="214">
        <f>[11]人員・時間計画!L28</f>
        <v>146</v>
      </c>
      <c r="P1161" s="214">
        <f>[11]人員・時間計画!M28</f>
        <v>128</v>
      </c>
      <c r="Q1161" s="214">
        <f>[11]人員・時間計画!N28</f>
        <v>152</v>
      </c>
    </row>
    <row r="1162" spans="1:17" ht="14.5" hidden="1" thickBot="1">
      <c r="A1162" t="str">
        <f>[14]人員・時間計画!$A$5</f>
        <v>14120000XX</v>
      </c>
      <c r="B1162" t="str">
        <f>[14]人員・時間計画!$B$5</f>
        <v>EI2課</v>
      </c>
      <c r="C1162" s="185" t="s">
        <v>3</v>
      </c>
      <c r="D1162" s="185" t="s">
        <v>3</v>
      </c>
      <c r="E1162" s="186"/>
    </row>
    <row r="1163" spans="1:17" ht="14.5" hidden="1" thickBot="1">
      <c r="A1163" t="str">
        <f>[14]人員・時間計画!$A$5</f>
        <v>14120000XX</v>
      </c>
      <c r="B1163" t="str">
        <f>[14]人員・時間計画!$B$5</f>
        <v>EI2課</v>
      </c>
      <c r="C1163" s="185" t="s">
        <v>3</v>
      </c>
      <c r="D1163" s="187" t="s">
        <v>194</v>
      </c>
      <c r="E1163" s="188"/>
      <c r="F1163" s="180">
        <f>[14]人員・時間計画!C10</f>
        <v>1</v>
      </c>
      <c r="G1163" s="180">
        <f>[14]人員・時間計画!D10</f>
        <v>1</v>
      </c>
      <c r="H1163" s="180">
        <f>[14]人員・時間計画!E10</f>
        <v>1</v>
      </c>
      <c r="I1163" s="180">
        <f>[14]人員・時間計画!F10</f>
        <v>1</v>
      </c>
      <c r="J1163" s="180">
        <f>[14]人員・時間計画!G10</f>
        <v>1</v>
      </c>
      <c r="K1163" s="180">
        <f>[14]人員・時間計画!H10</f>
        <v>1</v>
      </c>
      <c r="L1163" s="180">
        <f>[14]人員・時間計画!I10</f>
        <v>1</v>
      </c>
      <c r="M1163" s="180">
        <f>[14]人員・時間計画!J10</f>
        <v>1</v>
      </c>
      <c r="N1163" s="180">
        <f>[14]人員・時間計画!K10</f>
        <v>1</v>
      </c>
      <c r="O1163" s="180">
        <f>[14]人員・時間計画!L10</f>
        <v>1</v>
      </c>
      <c r="P1163" s="180">
        <f>[14]人員・時間計画!M10</f>
        <v>1</v>
      </c>
      <c r="Q1163" s="180">
        <f>[14]人員・時間計画!N10</f>
        <v>1</v>
      </c>
    </row>
    <row r="1164" spans="1:17" ht="14.5" hidden="1" thickBot="1">
      <c r="A1164" t="str">
        <f>[14]人員・時間計画!$A$5</f>
        <v>14120000XX</v>
      </c>
      <c r="B1164" t="str">
        <f>[14]人員・時間計画!$B$5</f>
        <v>EI2課</v>
      </c>
      <c r="C1164" s="185" t="s">
        <v>3</v>
      </c>
      <c r="D1164" s="189"/>
      <c r="E1164" s="190" t="s">
        <v>139</v>
      </c>
      <c r="F1164" s="180">
        <f>[14]人員・時間計画!C11</f>
        <v>7</v>
      </c>
      <c r="G1164" s="180">
        <f>[14]人員・時間計画!D11</f>
        <v>7</v>
      </c>
      <c r="H1164" s="180">
        <f>[14]人員・時間計画!E11</f>
        <v>7</v>
      </c>
      <c r="I1164" s="180">
        <f>[14]人員・時間計画!F11</f>
        <v>7</v>
      </c>
      <c r="J1164" s="180">
        <f>[14]人員・時間計画!G11</f>
        <v>7</v>
      </c>
      <c r="K1164" s="180">
        <f>[14]人員・時間計画!H11</f>
        <v>8</v>
      </c>
      <c r="L1164" s="180">
        <f>[14]人員・時間計画!I11</f>
        <v>8</v>
      </c>
      <c r="M1164" s="180">
        <f>[14]人員・時間計画!J11</f>
        <v>8</v>
      </c>
      <c r="N1164" s="180">
        <f>[14]人員・時間計画!K11</f>
        <v>8</v>
      </c>
      <c r="O1164" s="180">
        <f>[14]人員・時間計画!L11</f>
        <v>8</v>
      </c>
      <c r="P1164" s="180">
        <f>[14]人員・時間計画!M11</f>
        <v>8</v>
      </c>
      <c r="Q1164" s="180">
        <f>[14]人員・時間計画!N11</f>
        <v>8</v>
      </c>
    </row>
    <row r="1165" spans="1:17" ht="14.5" thickBot="1">
      <c r="A1165" t="str">
        <f>[14]人員・時間計画!$A$5</f>
        <v>14120000XX</v>
      </c>
      <c r="B1165" t="str">
        <f>[14]人員・時間計画!$B$5</f>
        <v>EI2課</v>
      </c>
      <c r="C1165" s="185" t="s">
        <v>3</v>
      </c>
      <c r="D1165" s="191" t="s">
        <v>195</v>
      </c>
      <c r="E1165" s="192" t="s">
        <v>140</v>
      </c>
      <c r="F1165" s="180">
        <f>[14]人員・時間計画!C12</f>
        <v>0</v>
      </c>
      <c r="G1165" s="180">
        <f>[14]人員・時間計画!D12</f>
        <v>0</v>
      </c>
      <c r="H1165" s="180">
        <f>[14]人員・時間計画!E12</f>
        <v>0</v>
      </c>
      <c r="I1165" s="180">
        <f>[14]人員・時間計画!F12</f>
        <v>0</v>
      </c>
      <c r="J1165" s="180">
        <f>[14]人員・時間計画!G12</f>
        <v>0</v>
      </c>
      <c r="K1165" s="180">
        <f>[14]人員・時間計画!H12</f>
        <v>0</v>
      </c>
      <c r="L1165" s="180">
        <f>[14]人員・時間計画!I12</f>
        <v>0</v>
      </c>
      <c r="M1165" s="180">
        <f>[14]人員・時間計画!J12</f>
        <v>0</v>
      </c>
      <c r="N1165" s="180">
        <f>[14]人員・時間計画!K12</f>
        <v>0</v>
      </c>
      <c r="O1165" s="180">
        <f>[14]人員・時間計画!L12</f>
        <v>0</v>
      </c>
      <c r="P1165" s="180">
        <f>[14]人員・時間計画!M12</f>
        <v>0</v>
      </c>
      <c r="Q1165" s="180">
        <f>[14]人員・時間計画!N12</f>
        <v>0</v>
      </c>
    </row>
    <row r="1166" spans="1:17" ht="14.5" hidden="1" thickBot="1">
      <c r="A1166" t="str">
        <f>[14]人員・時間計画!$A$5</f>
        <v>14120000XX</v>
      </c>
      <c r="B1166" t="str">
        <f>[14]人員・時間計画!$B$5</f>
        <v>EI2課</v>
      </c>
      <c r="C1166" s="185" t="s">
        <v>3</v>
      </c>
      <c r="D1166" s="193"/>
      <c r="E1166" s="194" t="s">
        <v>138</v>
      </c>
      <c r="F1166" s="180">
        <f>[14]人員・時間計画!C13</f>
        <v>7</v>
      </c>
      <c r="G1166" s="180">
        <f>[14]人員・時間計画!D13</f>
        <v>7</v>
      </c>
      <c r="H1166" s="180">
        <f>[14]人員・時間計画!E13</f>
        <v>7</v>
      </c>
      <c r="I1166" s="180">
        <f>[14]人員・時間計画!F13</f>
        <v>7</v>
      </c>
      <c r="J1166" s="180">
        <f>[14]人員・時間計画!G13</f>
        <v>7</v>
      </c>
      <c r="K1166" s="180">
        <f>[14]人員・時間計画!H13</f>
        <v>8</v>
      </c>
      <c r="L1166" s="180">
        <f>[14]人員・時間計画!I13</f>
        <v>8</v>
      </c>
      <c r="M1166" s="180">
        <f>[14]人員・時間計画!J13</f>
        <v>8</v>
      </c>
      <c r="N1166" s="180">
        <f>[14]人員・時間計画!K13</f>
        <v>8</v>
      </c>
      <c r="O1166" s="180">
        <f>[14]人員・時間計画!L13</f>
        <v>8</v>
      </c>
      <c r="P1166" s="180">
        <f>[14]人員・時間計画!M13</f>
        <v>8</v>
      </c>
      <c r="Q1166" s="180">
        <f>[14]人員・時間計画!N13</f>
        <v>8</v>
      </c>
    </row>
    <row r="1167" spans="1:17" ht="14.5" hidden="1" thickBot="1">
      <c r="A1167" t="str">
        <f>[14]人員・時間計画!$A$5</f>
        <v>14120000XX</v>
      </c>
      <c r="B1167" t="str">
        <f>[14]人員・時間計画!$B$5</f>
        <v>EI2課</v>
      </c>
      <c r="C1167" s="185" t="s">
        <v>3</v>
      </c>
      <c r="D1167" s="195" t="s">
        <v>196</v>
      </c>
      <c r="E1167" s="196"/>
      <c r="F1167" s="180">
        <f>[14]人員・時間計画!C14</f>
        <v>8</v>
      </c>
      <c r="G1167" s="180">
        <f>[14]人員・時間計画!D14</f>
        <v>8</v>
      </c>
      <c r="H1167" s="180">
        <f>[14]人員・時間計画!E14</f>
        <v>8</v>
      </c>
      <c r="I1167" s="180">
        <f>[14]人員・時間計画!F14</f>
        <v>8</v>
      </c>
      <c r="J1167" s="180">
        <f>[14]人員・時間計画!G14</f>
        <v>8</v>
      </c>
      <c r="K1167" s="180">
        <f>[14]人員・時間計画!H14</f>
        <v>9</v>
      </c>
      <c r="L1167" s="180">
        <f>[14]人員・時間計画!I14</f>
        <v>9</v>
      </c>
      <c r="M1167" s="180">
        <f>[14]人員・時間計画!J14</f>
        <v>9</v>
      </c>
      <c r="N1167" s="180">
        <f>[14]人員・時間計画!K14</f>
        <v>9</v>
      </c>
      <c r="O1167" s="180">
        <f>[14]人員・時間計画!L14</f>
        <v>9</v>
      </c>
      <c r="P1167" s="180">
        <f>[14]人員・時間計画!M14</f>
        <v>9</v>
      </c>
      <c r="Q1167" s="180">
        <f>[14]人員・時間計画!N14</f>
        <v>9</v>
      </c>
    </row>
    <row r="1168" spans="1:17" ht="14.5" hidden="1" thickBot="1">
      <c r="A1168" t="str">
        <f>[14]人員・時間計画!$A$5</f>
        <v>14120000XX</v>
      </c>
      <c r="B1168" t="str">
        <f>[14]人員・時間計画!$B$5</f>
        <v>EI2課</v>
      </c>
      <c r="D1168" s="197"/>
      <c r="E1168" s="197"/>
    </row>
    <row r="1169" spans="1:17" ht="14.5" hidden="1" thickBot="1">
      <c r="A1169" t="str">
        <f>[14]人員・時間計画!$A$5</f>
        <v>14120000XX</v>
      </c>
      <c r="B1169" t="str">
        <f>[14]人員・時間計画!$B$5</f>
        <v>EI2課</v>
      </c>
      <c r="C1169" s="185" t="s">
        <v>202</v>
      </c>
      <c r="D1169" s="185" t="s">
        <v>202</v>
      </c>
      <c r="E1169" s="186"/>
    </row>
    <row r="1170" spans="1:17" ht="14.5" hidden="1" thickBot="1">
      <c r="A1170" t="str">
        <f>[14]人員・時間計画!$A$5</f>
        <v>14120000XX</v>
      </c>
      <c r="B1170" t="str">
        <f>[14]人員・時間計画!$B$5</f>
        <v>EI2課</v>
      </c>
      <c r="C1170" s="185" t="s">
        <v>202</v>
      </c>
      <c r="D1170" s="198" t="s">
        <v>194</v>
      </c>
      <c r="E1170" s="199"/>
      <c r="F1170" s="180">
        <f>[14]人員・時間計画!C17</f>
        <v>170</v>
      </c>
      <c r="G1170" s="180">
        <f>[14]人員・時間計画!D17</f>
        <v>161.5</v>
      </c>
      <c r="H1170" s="180">
        <f>[14]人員・時間計画!E17</f>
        <v>178.5</v>
      </c>
      <c r="I1170" s="180">
        <f>[14]人員・時間計画!F17</f>
        <v>195.5</v>
      </c>
      <c r="J1170" s="180">
        <f>[14]人員・時間計画!G17</f>
        <v>170</v>
      </c>
      <c r="K1170" s="180">
        <f>[14]人員・時間計画!H17</f>
        <v>161.5</v>
      </c>
      <c r="L1170" s="180">
        <f>[14]人員・時間計画!I17</f>
        <v>195.5</v>
      </c>
      <c r="M1170" s="180">
        <f>[14]人員・時間計画!J17</f>
        <v>170</v>
      </c>
      <c r="N1170" s="180">
        <f>[14]人員・時間計画!K17</f>
        <v>187</v>
      </c>
      <c r="O1170" s="180">
        <f>[14]人員・時間計画!L17</f>
        <v>127.5</v>
      </c>
      <c r="P1170" s="180">
        <f>[14]人員・時間計画!M17</f>
        <v>127.5</v>
      </c>
      <c r="Q1170" s="180">
        <f>[14]人員・時間計画!N17</f>
        <v>170</v>
      </c>
    </row>
    <row r="1171" spans="1:17" ht="14.5" hidden="1" thickBot="1">
      <c r="A1171" t="str">
        <f>[14]人員・時間計画!$A$5</f>
        <v>14120000XX</v>
      </c>
      <c r="B1171" t="str">
        <f>[14]人員・時間計画!$B$5</f>
        <v>EI2課</v>
      </c>
      <c r="C1171" s="185" t="s">
        <v>202</v>
      </c>
      <c r="D1171" s="200"/>
      <c r="E1171" s="190" t="s">
        <v>139</v>
      </c>
      <c r="F1171" s="180">
        <f>[14]人員・時間計画!C18</f>
        <v>1156</v>
      </c>
      <c r="G1171" s="180">
        <f>[14]人員・時間計画!D18</f>
        <v>1096.5</v>
      </c>
      <c r="H1171" s="180">
        <f>[14]人員・時間計画!E18</f>
        <v>1215.5</v>
      </c>
      <c r="I1171" s="180">
        <f>[14]人員・時間計画!F18</f>
        <v>1334.5</v>
      </c>
      <c r="J1171" s="180">
        <f>[14]人員・時間計画!G18</f>
        <v>1156</v>
      </c>
      <c r="K1171" s="180">
        <f>[14]人員・時間計画!H18</f>
        <v>1258</v>
      </c>
      <c r="L1171" s="180">
        <f>[14]人員・時間計画!I18</f>
        <v>1530</v>
      </c>
      <c r="M1171" s="180">
        <f>[14]人員・時間計画!J18</f>
        <v>1326</v>
      </c>
      <c r="N1171" s="180">
        <f>[14]人員・時間計画!K18</f>
        <v>1462</v>
      </c>
      <c r="O1171" s="180">
        <f>[14]人員・時間計画!L18</f>
        <v>1326</v>
      </c>
      <c r="P1171" s="180">
        <f>[14]人員・時間計画!M18</f>
        <v>986</v>
      </c>
      <c r="Q1171" s="180">
        <f>[14]人員・時間計画!N18</f>
        <v>1326</v>
      </c>
    </row>
    <row r="1172" spans="1:17" ht="14.5" thickBot="1">
      <c r="A1172" t="str">
        <f>[14]人員・時間計画!$A$5</f>
        <v>14120000XX</v>
      </c>
      <c r="B1172" t="str">
        <f>[14]人員・時間計画!$B$5</f>
        <v>EI2課</v>
      </c>
      <c r="C1172" s="185" t="s">
        <v>202</v>
      </c>
      <c r="D1172" s="201" t="s">
        <v>195</v>
      </c>
      <c r="E1172" s="192" t="s">
        <v>140</v>
      </c>
      <c r="F1172" s="180">
        <f>[14]人員・時間計画!C19</f>
        <v>0</v>
      </c>
      <c r="G1172" s="180">
        <f>[14]人員・時間計画!D19</f>
        <v>0</v>
      </c>
      <c r="H1172" s="180">
        <f>[14]人員・時間計画!E19</f>
        <v>0</v>
      </c>
      <c r="I1172" s="180">
        <f>[14]人員・時間計画!F19</f>
        <v>0</v>
      </c>
      <c r="J1172" s="180">
        <f>[14]人員・時間計画!G19</f>
        <v>0</v>
      </c>
      <c r="K1172" s="180">
        <f>[14]人員・時間計画!H19</f>
        <v>0</v>
      </c>
      <c r="L1172" s="180">
        <f>[14]人員・時間計画!I19</f>
        <v>0</v>
      </c>
      <c r="M1172" s="180">
        <f>[14]人員・時間計画!J19</f>
        <v>0</v>
      </c>
      <c r="N1172" s="180">
        <f>[14]人員・時間計画!K19</f>
        <v>0</v>
      </c>
      <c r="O1172" s="180">
        <f>[14]人員・時間計画!L19</f>
        <v>0</v>
      </c>
      <c r="P1172" s="180">
        <f>[14]人員・時間計画!M19</f>
        <v>0</v>
      </c>
      <c r="Q1172" s="180">
        <f>[14]人員・時間計画!N19</f>
        <v>0</v>
      </c>
    </row>
    <row r="1173" spans="1:17" ht="14.5" hidden="1" thickBot="1">
      <c r="A1173" t="str">
        <f>[14]人員・時間計画!$A$5</f>
        <v>14120000XX</v>
      </c>
      <c r="B1173" t="str">
        <f>[14]人員・時間計画!$B$5</f>
        <v>EI2課</v>
      </c>
      <c r="C1173" s="185" t="s">
        <v>202</v>
      </c>
      <c r="D1173" s="202"/>
      <c r="E1173" s="203" t="s">
        <v>138</v>
      </c>
      <c r="F1173" s="180">
        <f>[14]人員・時間計画!C20</f>
        <v>1156</v>
      </c>
      <c r="G1173" s="180">
        <f>[14]人員・時間計画!D20</f>
        <v>1096.5</v>
      </c>
      <c r="H1173" s="180">
        <f>[14]人員・時間計画!E20</f>
        <v>1215.5</v>
      </c>
      <c r="I1173" s="180">
        <f>[14]人員・時間計画!F20</f>
        <v>1334.5</v>
      </c>
      <c r="J1173" s="180">
        <f>[14]人員・時間計画!G20</f>
        <v>1156</v>
      </c>
      <c r="K1173" s="180">
        <f>[14]人員・時間計画!H20</f>
        <v>1258</v>
      </c>
      <c r="L1173" s="180">
        <f>[14]人員・時間計画!I20</f>
        <v>1530</v>
      </c>
      <c r="M1173" s="180">
        <f>[14]人員・時間計画!J20</f>
        <v>1326</v>
      </c>
      <c r="N1173" s="180">
        <f>[14]人員・時間計画!K20</f>
        <v>1462</v>
      </c>
      <c r="O1173" s="180">
        <f>[14]人員・時間計画!L20</f>
        <v>1326</v>
      </c>
      <c r="P1173" s="180">
        <f>[14]人員・時間計画!M20</f>
        <v>986</v>
      </c>
      <c r="Q1173" s="180">
        <f>[14]人員・時間計画!N20</f>
        <v>1326</v>
      </c>
    </row>
    <row r="1174" spans="1:17" ht="14.5" hidden="1" thickBot="1">
      <c r="A1174" t="str">
        <f>[14]人員・時間計画!$A$5</f>
        <v>14120000XX</v>
      </c>
      <c r="B1174" t="str">
        <f>[14]人員・時間計画!$B$5</f>
        <v>EI2課</v>
      </c>
      <c r="C1174" s="185" t="s">
        <v>202</v>
      </c>
      <c r="D1174" s="204" t="s">
        <v>215</v>
      </c>
      <c r="E1174" s="205"/>
      <c r="F1174" s="180">
        <f>[14]人員・時間計画!C21</f>
        <v>1326</v>
      </c>
      <c r="G1174" s="180">
        <f>[14]人員・時間計画!D21</f>
        <v>1258</v>
      </c>
      <c r="H1174" s="180">
        <f>[14]人員・時間計画!E21</f>
        <v>1394</v>
      </c>
      <c r="I1174" s="180">
        <f>[14]人員・時間計画!F21</f>
        <v>1530</v>
      </c>
      <c r="J1174" s="180">
        <f>[14]人員・時間計画!G21</f>
        <v>1326</v>
      </c>
      <c r="K1174" s="180">
        <f>[14]人員・時間計画!H21</f>
        <v>1419.5</v>
      </c>
      <c r="L1174" s="180">
        <f>[14]人員・時間計画!I21</f>
        <v>1725.5</v>
      </c>
      <c r="M1174" s="180">
        <f>[14]人員・時間計画!J21</f>
        <v>1496</v>
      </c>
      <c r="N1174" s="180">
        <f>[14]人員・時間計画!K21</f>
        <v>1649</v>
      </c>
      <c r="O1174" s="180">
        <f>[14]人員・時間計画!L21</f>
        <v>1453.5</v>
      </c>
      <c r="P1174" s="180">
        <f>[14]人員・時間計画!M21</f>
        <v>1113.5</v>
      </c>
      <c r="Q1174" s="180">
        <f>[14]人員・時間計画!N21</f>
        <v>1496</v>
      </c>
    </row>
    <row r="1175" spans="1:17" ht="14.5" hidden="1" thickBot="1">
      <c r="A1175" t="str">
        <f>[14]人員・時間計画!$A$5</f>
        <v>14120000XX</v>
      </c>
      <c r="B1175" t="str">
        <f>[14]人員・時間計画!$B$5</f>
        <v>EI2課</v>
      </c>
      <c r="D1175" s="197"/>
      <c r="E1175" s="197"/>
    </row>
    <row r="1176" spans="1:17" ht="14.5" hidden="1" thickBot="1">
      <c r="A1176" t="str">
        <f>[14]人員・時間計画!$A$5</f>
        <v>14120000XX</v>
      </c>
      <c r="B1176" t="str">
        <f>[14]人員・時間計画!$B$5</f>
        <v>EI2課</v>
      </c>
      <c r="C1176" s="185" t="s">
        <v>71</v>
      </c>
      <c r="D1176" s="185" t="s">
        <v>71</v>
      </c>
      <c r="E1176" s="186"/>
    </row>
    <row r="1177" spans="1:17" ht="14.5" hidden="1" thickBot="1">
      <c r="A1177" t="str">
        <f>[14]人員・時間計画!$A$5</f>
        <v>14120000XX</v>
      </c>
      <c r="B1177" t="str">
        <f>[14]人員・時間計画!$B$5</f>
        <v>EI2課</v>
      </c>
      <c r="C1177" s="185" t="s">
        <v>71</v>
      </c>
      <c r="D1177" s="198" t="s">
        <v>194</v>
      </c>
      <c r="E1177" s="199"/>
      <c r="F1177" s="180">
        <f>[14]人員・時間計画!C24</f>
        <v>40</v>
      </c>
      <c r="G1177" s="180">
        <f>[14]人員・時間計画!D24</f>
        <v>38</v>
      </c>
      <c r="H1177" s="180">
        <f>[14]人員・時間計画!E24</f>
        <v>42</v>
      </c>
      <c r="I1177" s="180">
        <f>[14]人員・時間計画!F24</f>
        <v>46</v>
      </c>
      <c r="J1177" s="180">
        <f>[14]人員・時間計画!G24</f>
        <v>40</v>
      </c>
      <c r="K1177" s="180">
        <f>[14]人員・時間計画!H24</f>
        <v>38</v>
      </c>
      <c r="L1177" s="180">
        <f>[14]人員・時間計画!I24</f>
        <v>46</v>
      </c>
      <c r="M1177" s="180">
        <f>[14]人員・時間計画!J24</f>
        <v>40</v>
      </c>
      <c r="N1177" s="180">
        <f>[14]人員・時間計画!K24</f>
        <v>44</v>
      </c>
      <c r="O1177" s="180">
        <f>[14]人員・時間計画!L24</f>
        <v>30</v>
      </c>
      <c r="P1177" s="180">
        <f>[14]人員・時間計画!M24</f>
        <v>30</v>
      </c>
      <c r="Q1177" s="180">
        <f>[14]人員・時間計画!N24</f>
        <v>40</v>
      </c>
    </row>
    <row r="1178" spans="1:17" ht="14.5" hidden="1" thickBot="1">
      <c r="A1178" t="str">
        <f>[14]人員・時間計画!$A$5</f>
        <v>14120000XX</v>
      </c>
      <c r="B1178" t="str">
        <f>[14]人員・時間計画!$B$5</f>
        <v>EI2課</v>
      </c>
      <c r="C1178" s="185" t="s">
        <v>71</v>
      </c>
      <c r="D1178" s="200"/>
      <c r="E1178" s="206" t="s">
        <v>139</v>
      </c>
      <c r="F1178" s="180">
        <f>[14]人員・時間計画!C25</f>
        <v>100</v>
      </c>
      <c r="G1178" s="180">
        <f>[14]人員・時間計画!D25</f>
        <v>100</v>
      </c>
      <c r="H1178" s="180">
        <f>[14]人員・時間計画!E25</f>
        <v>100</v>
      </c>
      <c r="I1178" s="180">
        <f>[14]人員・時間計画!F25</f>
        <v>100</v>
      </c>
      <c r="J1178" s="180">
        <f>[14]人員・時間計画!G25</f>
        <v>100</v>
      </c>
      <c r="K1178" s="180">
        <f>[14]人員・時間計画!H25</f>
        <v>100</v>
      </c>
      <c r="L1178" s="180">
        <f>[14]人員・時間計画!I25</f>
        <v>100</v>
      </c>
      <c r="M1178" s="180">
        <f>[14]人員・時間計画!J25</f>
        <v>100</v>
      </c>
      <c r="N1178" s="180">
        <f>[14]人員・時間計画!K25</f>
        <v>100</v>
      </c>
      <c r="O1178" s="180">
        <f>[14]人員・時間計画!L25</f>
        <v>100</v>
      </c>
      <c r="P1178" s="180">
        <f>[14]人員・時間計画!M25</f>
        <v>100</v>
      </c>
      <c r="Q1178" s="180">
        <f>[14]人員・時間計画!N25</f>
        <v>100</v>
      </c>
    </row>
    <row r="1179" spans="1:17" ht="14.5" thickBot="1">
      <c r="A1179" t="str">
        <f>[14]人員・時間計画!$A$5</f>
        <v>14120000XX</v>
      </c>
      <c r="B1179" t="str">
        <f>[14]人員・時間計画!$B$5</f>
        <v>EI2課</v>
      </c>
      <c r="C1179" s="185" t="s">
        <v>71</v>
      </c>
      <c r="D1179" s="201" t="s">
        <v>195</v>
      </c>
      <c r="E1179" s="207" t="s">
        <v>140</v>
      </c>
      <c r="F1179" s="180">
        <f>[14]人員・時間計画!C26</f>
        <v>0</v>
      </c>
      <c r="G1179" s="180">
        <f>[14]人員・時間計画!D26</f>
        <v>0</v>
      </c>
      <c r="H1179" s="180">
        <f>[14]人員・時間計画!E26</f>
        <v>0</v>
      </c>
      <c r="I1179" s="180">
        <f>[14]人員・時間計画!F26</f>
        <v>0</v>
      </c>
      <c r="J1179" s="180">
        <f>[14]人員・時間計画!G26</f>
        <v>0</v>
      </c>
      <c r="K1179" s="180">
        <f>[14]人員・時間計画!H26</f>
        <v>0</v>
      </c>
      <c r="L1179" s="180">
        <f>[14]人員・時間計画!I26</f>
        <v>0</v>
      </c>
      <c r="M1179" s="180">
        <f>[14]人員・時間計画!J26</f>
        <v>0</v>
      </c>
      <c r="N1179" s="180">
        <f>[14]人員・時間計画!K26</f>
        <v>0</v>
      </c>
      <c r="O1179" s="180">
        <f>[14]人員・時間計画!L26</f>
        <v>0</v>
      </c>
      <c r="P1179" s="180">
        <f>[14]人員・時間計画!M26</f>
        <v>0</v>
      </c>
      <c r="Q1179" s="180">
        <f>[14]人員・時間計画!N26</f>
        <v>0</v>
      </c>
    </row>
    <row r="1180" spans="1:17" ht="14.5" hidden="1" thickBot="1">
      <c r="A1180" t="str">
        <f>[14]人員・時間計画!$A$5</f>
        <v>14120000XX</v>
      </c>
      <c r="B1180" t="str">
        <f>[14]人員・時間計画!$B$5</f>
        <v>EI2課</v>
      </c>
      <c r="C1180" s="185" t="s">
        <v>71</v>
      </c>
      <c r="D1180" s="202"/>
      <c r="E1180" s="203" t="s">
        <v>138</v>
      </c>
      <c r="F1180" s="180">
        <f>[14]人員・時間計画!C27</f>
        <v>100</v>
      </c>
      <c r="G1180" s="180">
        <f>[14]人員・時間計画!D27</f>
        <v>100</v>
      </c>
      <c r="H1180" s="180">
        <f>[14]人員・時間計画!E27</f>
        <v>100</v>
      </c>
      <c r="I1180" s="180">
        <f>[14]人員・時間計画!F27</f>
        <v>100</v>
      </c>
      <c r="J1180" s="180">
        <f>[14]人員・時間計画!G27</f>
        <v>100</v>
      </c>
      <c r="K1180" s="180">
        <f>[14]人員・時間計画!H27</f>
        <v>100</v>
      </c>
      <c r="L1180" s="180">
        <f>[14]人員・時間計画!I27</f>
        <v>100</v>
      </c>
      <c r="M1180" s="180">
        <f>[14]人員・時間計画!J27</f>
        <v>100</v>
      </c>
      <c r="N1180" s="180">
        <f>[14]人員・時間計画!K27</f>
        <v>100</v>
      </c>
      <c r="O1180" s="180">
        <f>[14]人員・時間計画!L27</f>
        <v>100</v>
      </c>
      <c r="P1180" s="180">
        <f>[14]人員・時間計画!M27</f>
        <v>100</v>
      </c>
      <c r="Q1180" s="180">
        <f>[14]人員・時間計画!N27</f>
        <v>100</v>
      </c>
    </row>
    <row r="1181" spans="1:17" ht="14.5" hidden="1" thickBot="1">
      <c r="A1181" t="str">
        <f>[14]人員・時間計画!$A$5</f>
        <v>14120000XX</v>
      </c>
      <c r="B1181" t="str">
        <f>[14]人員・時間計画!$B$5</f>
        <v>EI2課</v>
      </c>
      <c r="C1181" s="185" t="s">
        <v>71</v>
      </c>
      <c r="D1181" s="204" t="s">
        <v>216</v>
      </c>
      <c r="E1181" s="205"/>
      <c r="F1181" s="180">
        <f>[14]人員・時間計画!C28</f>
        <v>140</v>
      </c>
      <c r="G1181" s="180">
        <f>[14]人員・時間計画!D28</f>
        <v>138</v>
      </c>
      <c r="H1181" s="180">
        <f>[14]人員・時間計画!E28</f>
        <v>142</v>
      </c>
      <c r="I1181" s="180">
        <f>[14]人員・時間計画!F28</f>
        <v>146</v>
      </c>
      <c r="J1181" s="180">
        <f>[14]人員・時間計画!G28</f>
        <v>140</v>
      </c>
      <c r="K1181" s="180">
        <f>[14]人員・時間計画!H28</f>
        <v>138</v>
      </c>
      <c r="L1181" s="180">
        <f>[14]人員・時間計画!I28</f>
        <v>146</v>
      </c>
      <c r="M1181" s="180">
        <f>[14]人員・時間計画!J28</f>
        <v>140</v>
      </c>
      <c r="N1181" s="180">
        <f>[14]人員・時間計画!K28</f>
        <v>144</v>
      </c>
      <c r="O1181" s="180">
        <f>[14]人員・時間計画!L28</f>
        <v>130</v>
      </c>
      <c r="P1181" s="180">
        <f>[14]人員・時間計画!M28</f>
        <v>130</v>
      </c>
      <c r="Q1181" s="180">
        <f>[14]人員・時間計画!N28</f>
        <v>140</v>
      </c>
    </row>
    <row r="1182" spans="1:17" ht="14.5" hidden="1" thickBot="1">
      <c r="A1182" t="str">
        <f>[35]人員・時間計画!$A$5</f>
        <v>14120000YY</v>
      </c>
      <c r="B1182" t="str">
        <f>[35]人員・時間計画!$B$5</f>
        <v>メカ製造技術4課</v>
      </c>
      <c r="C1182" s="185" t="s">
        <v>3</v>
      </c>
      <c r="D1182" s="185" t="s">
        <v>3</v>
      </c>
      <c r="E1182" s="186"/>
    </row>
    <row r="1183" spans="1:17" ht="14.5" hidden="1" thickBot="1">
      <c r="A1183" t="str">
        <f>[35]人員・時間計画!$A$5</f>
        <v>14120000YY</v>
      </c>
      <c r="B1183" t="str">
        <f>[35]人員・時間計画!$B$5</f>
        <v>メカ製造技術4課</v>
      </c>
      <c r="C1183" s="185" t="s">
        <v>3</v>
      </c>
      <c r="D1183" s="187" t="s">
        <v>194</v>
      </c>
      <c r="E1183" s="188"/>
      <c r="F1183" s="180">
        <f>[35]人員・時間計画!C10</f>
        <v>0</v>
      </c>
      <c r="G1183" s="180">
        <f>[35]人員・時間計画!D10</f>
        <v>0</v>
      </c>
      <c r="H1183" s="180">
        <f>[35]人員・時間計画!E10</f>
        <v>0</v>
      </c>
      <c r="I1183" s="180">
        <f>[35]人員・時間計画!F10</f>
        <v>0</v>
      </c>
      <c r="J1183" s="180">
        <f>[35]人員・時間計画!G10</f>
        <v>0</v>
      </c>
      <c r="K1183" s="180">
        <f>[35]人員・時間計画!H10</f>
        <v>0</v>
      </c>
      <c r="L1183" s="180">
        <f>[35]人員・時間計画!I10</f>
        <v>0</v>
      </c>
      <c r="M1183" s="180">
        <f>[35]人員・時間計画!J10</f>
        <v>0</v>
      </c>
      <c r="N1183" s="180">
        <f>[35]人員・時間計画!K10</f>
        <v>0</v>
      </c>
      <c r="O1183" s="180">
        <f>[35]人員・時間計画!L10</f>
        <v>0</v>
      </c>
      <c r="P1183" s="180">
        <f>[35]人員・時間計画!M10</f>
        <v>0</v>
      </c>
      <c r="Q1183" s="180">
        <f>[35]人員・時間計画!N10</f>
        <v>0</v>
      </c>
    </row>
    <row r="1184" spans="1:17" ht="14.5" hidden="1" thickBot="1">
      <c r="A1184" t="str">
        <f>[35]人員・時間計画!$A$5</f>
        <v>14120000YY</v>
      </c>
      <c r="B1184" t="str">
        <f>[35]人員・時間計画!$B$5</f>
        <v>メカ製造技術4課</v>
      </c>
      <c r="C1184" s="185" t="s">
        <v>3</v>
      </c>
      <c r="D1184" s="189"/>
      <c r="E1184" s="190" t="s">
        <v>139</v>
      </c>
      <c r="F1184" s="180">
        <f>[35]人員・時間計画!C11</f>
        <v>9</v>
      </c>
      <c r="G1184" s="180">
        <f>[35]人員・時間計画!D11</f>
        <v>9</v>
      </c>
      <c r="H1184" s="180">
        <f>[35]人員・時間計画!E11</f>
        <v>9</v>
      </c>
      <c r="I1184" s="180">
        <f>[35]人員・時間計画!F11</f>
        <v>9</v>
      </c>
      <c r="J1184" s="180">
        <f>[35]人員・時間計画!G11</f>
        <v>9</v>
      </c>
      <c r="K1184" s="180">
        <f>[35]人員・時間計画!H11</f>
        <v>9</v>
      </c>
      <c r="L1184" s="180">
        <f>[35]人員・時間計画!I11</f>
        <v>9</v>
      </c>
      <c r="M1184" s="180">
        <f>[35]人員・時間計画!J11</f>
        <v>9</v>
      </c>
      <c r="N1184" s="180">
        <f>[35]人員・時間計画!K11</f>
        <v>9</v>
      </c>
      <c r="O1184" s="180">
        <f>[35]人員・時間計画!L11</f>
        <v>9</v>
      </c>
      <c r="P1184" s="180">
        <f>[35]人員・時間計画!M11</f>
        <v>9</v>
      </c>
      <c r="Q1184" s="180">
        <f>[35]人員・時間計画!N11</f>
        <v>9</v>
      </c>
    </row>
    <row r="1185" spans="1:17" ht="14.5" thickBot="1">
      <c r="A1185" t="str">
        <f>[35]人員・時間計画!$A$5</f>
        <v>14120000YY</v>
      </c>
      <c r="B1185" t="str">
        <f>[35]人員・時間計画!$B$5</f>
        <v>メカ製造技術4課</v>
      </c>
      <c r="C1185" s="185" t="s">
        <v>3</v>
      </c>
      <c r="D1185" s="191" t="s">
        <v>195</v>
      </c>
      <c r="E1185" s="192" t="s">
        <v>140</v>
      </c>
      <c r="F1185" s="180">
        <f>[35]人員・時間計画!C12</f>
        <v>0</v>
      </c>
      <c r="G1185" s="180">
        <f>[35]人員・時間計画!D12</f>
        <v>0</v>
      </c>
      <c r="H1185" s="180">
        <f>[35]人員・時間計画!E12</f>
        <v>0</v>
      </c>
      <c r="I1185" s="180">
        <f>[35]人員・時間計画!F12</f>
        <v>0</v>
      </c>
      <c r="J1185" s="180">
        <f>[35]人員・時間計画!G12</f>
        <v>0</v>
      </c>
      <c r="K1185" s="180">
        <f>[35]人員・時間計画!H12</f>
        <v>0</v>
      </c>
      <c r="L1185" s="180">
        <f>[35]人員・時間計画!I12</f>
        <v>0</v>
      </c>
      <c r="M1185" s="180">
        <f>[35]人員・時間計画!J12</f>
        <v>0</v>
      </c>
      <c r="N1185" s="180">
        <f>[35]人員・時間計画!K12</f>
        <v>0</v>
      </c>
      <c r="O1185" s="180">
        <f>[35]人員・時間計画!L12</f>
        <v>0</v>
      </c>
      <c r="P1185" s="180">
        <f>[35]人員・時間計画!M12</f>
        <v>0</v>
      </c>
      <c r="Q1185" s="180">
        <f>[35]人員・時間計画!N12</f>
        <v>0</v>
      </c>
    </row>
    <row r="1186" spans="1:17" ht="14.5" hidden="1" thickBot="1">
      <c r="A1186" t="str">
        <f>[35]人員・時間計画!$A$5</f>
        <v>14120000YY</v>
      </c>
      <c r="B1186" t="str">
        <f>[35]人員・時間計画!$B$5</f>
        <v>メカ製造技術4課</v>
      </c>
      <c r="C1186" s="185" t="s">
        <v>3</v>
      </c>
      <c r="D1186" s="193"/>
      <c r="E1186" s="194" t="s">
        <v>138</v>
      </c>
      <c r="F1186" s="180">
        <f>[35]人員・時間計画!C13</f>
        <v>9</v>
      </c>
      <c r="G1186" s="180">
        <f>[35]人員・時間計画!D13</f>
        <v>9</v>
      </c>
      <c r="H1186" s="180">
        <f>[35]人員・時間計画!E13</f>
        <v>9</v>
      </c>
      <c r="I1186" s="180">
        <f>[35]人員・時間計画!F13</f>
        <v>9</v>
      </c>
      <c r="J1186" s="180">
        <f>[35]人員・時間計画!G13</f>
        <v>9</v>
      </c>
      <c r="K1186" s="180">
        <f>[35]人員・時間計画!H13</f>
        <v>9</v>
      </c>
      <c r="L1186" s="180">
        <f>[35]人員・時間計画!I13</f>
        <v>9</v>
      </c>
      <c r="M1186" s="180">
        <f>[35]人員・時間計画!J13</f>
        <v>9</v>
      </c>
      <c r="N1186" s="180">
        <f>[35]人員・時間計画!K13</f>
        <v>9</v>
      </c>
      <c r="O1186" s="180">
        <f>[35]人員・時間計画!L13</f>
        <v>9</v>
      </c>
      <c r="P1186" s="180">
        <f>[35]人員・時間計画!M13</f>
        <v>9</v>
      </c>
      <c r="Q1186" s="180">
        <f>[35]人員・時間計画!N13</f>
        <v>9</v>
      </c>
    </row>
    <row r="1187" spans="1:17" ht="14.5" hidden="1" thickBot="1">
      <c r="A1187" t="str">
        <f>[35]人員・時間計画!$A$5</f>
        <v>14120000YY</v>
      </c>
      <c r="B1187" t="str">
        <f>[35]人員・時間計画!$B$5</f>
        <v>メカ製造技術4課</v>
      </c>
      <c r="C1187" s="185" t="s">
        <v>3</v>
      </c>
      <c r="D1187" s="195" t="s">
        <v>196</v>
      </c>
      <c r="E1187" s="196"/>
      <c r="F1187" s="180">
        <f>[35]人員・時間計画!C14</f>
        <v>9</v>
      </c>
      <c r="G1187" s="180">
        <f>[35]人員・時間計画!D14</f>
        <v>9</v>
      </c>
      <c r="H1187" s="180">
        <f>[35]人員・時間計画!E14</f>
        <v>9</v>
      </c>
      <c r="I1187" s="180">
        <f>[35]人員・時間計画!F14</f>
        <v>9</v>
      </c>
      <c r="J1187" s="180">
        <f>[35]人員・時間計画!G14</f>
        <v>9</v>
      </c>
      <c r="K1187" s="180">
        <f>[35]人員・時間計画!H14</f>
        <v>9</v>
      </c>
      <c r="L1187" s="180">
        <f>[35]人員・時間計画!I14</f>
        <v>9</v>
      </c>
      <c r="M1187" s="180">
        <f>[35]人員・時間計画!J14</f>
        <v>9</v>
      </c>
      <c r="N1187" s="180">
        <f>[35]人員・時間計画!K14</f>
        <v>9</v>
      </c>
      <c r="O1187" s="180">
        <f>[35]人員・時間計画!L14</f>
        <v>9</v>
      </c>
      <c r="P1187" s="180">
        <f>[35]人員・時間計画!M14</f>
        <v>9</v>
      </c>
      <c r="Q1187" s="180">
        <f>[35]人員・時間計画!N14</f>
        <v>9</v>
      </c>
    </row>
    <row r="1188" spans="1:17" ht="14.5" hidden="1" thickBot="1">
      <c r="A1188" t="str">
        <f>[35]人員・時間計画!$A$5</f>
        <v>14120000YY</v>
      </c>
      <c r="B1188" t="str">
        <f>[35]人員・時間計画!$B$5</f>
        <v>メカ製造技術4課</v>
      </c>
      <c r="D1188" s="197"/>
      <c r="E1188" s="197"/>
    </row>
    <row r="1189" spans="1:17" ht="14.5" hidden="1" thickBot="1">
      <c r="A1189" t="str">
        <f>[35]人員・時間計画!$A$5</f>
        <v>14120000YY</v>
      </c>
      <c r="B1189" t="str">
        <f>[35]人員・時間計画!$B$5</f>
        <v>メカ製造技術4課</v>
      </c>
      <c r="C1189" s="185" t="s">
        <v>202</v>
      </c>
      <c r="D1189" s="185" t="s">
        <v>202</v>
      </c>
      <c r="E1189" s="186"/>
    </row>
    <row r="1190" spans="1:17" ht="14.5" hidden="1" thickBot="1">
      <c r="A1190" t="str">
        <f>[35]人員・時間計画!$A$5</f>
        <v>14120000YY</v>
      </c>
      <c r="B1190" t="str">
        <f>[35]人員・時間計画!$B$5</f>
        <v>メカ製造技術4課</v>
      </c>
      <c r="C1190" s="185" t="s">
        <v>202</v>
      </c>
      <c r="D1190" s="198" t="s">
        <v>194</v>
      </c>
      <c r="E1190" s="199"/>
      <c r="F1190" s="180">
        <f>[35]人員・時間計画!C17</f>
        <v>0</v>
      </c>
      <c r="G1190" s="180">
        <f>[35]人員・時間計画!D17</f>
        <v>0</v>
      </c>
      <c r="H1190" s="180">
        <f>[35]人員・時間計画!E17</f>
        <v>0</v>
      </c>
      <c r="I1190" s="180">
        <f>[35]人員・時間計画!F17</f>
        <v>0</v>
      </c>
      <c r="J1190" s="180">
        <f>[35]人員・時間計画!G17</f>
        <v>0</v>
      </c>
      <c r="K1190" s="180">
        <f>[35]人員・時間計画!H17</f>
        <v>0</v>
      </c>
      <c r="L1190" s="180">
        <f>[35]人員・時間計画!I17</f>
        <v>0</v>
      </c>
      <c r="M1190" s="180">
        <f>[35]人員・時間計画!J17</f>
        <v>0</v>
      </c>
      <c r="N1190" s="180">
        <f>[35]人員・時間計画!K17</f>
        <v>0</v>
      </c>
      <c r="O1190" s="180">
        <f>[35]人員・時間計画!L17</f>
        <v>0</v>
      </c>
      <c r="P1190" s="180">
        <f>[35]人員・時間計画!M17</f>
        <v>0</v>
      </c>
      <c r="Q1190" s="180">
        <f>[35]人員・時間計画!N17</f>
        <v>0</v>
      </c>
    </row>
    <row r="1191" spans="1:17" ht="14.5" hidden="1" thickBot="1">
      <c r="A1191" t="str">
        <f>[35]人員・時間計画!$A$5</f>
        <v>14120000YY</v>
      </c>
      <c r="B1191" t="str">
        <f>[35]人員・時間計画!$B$5</f>
        <v>メカ製造技術4課</v>
      </c>
      <c r="C1191" s="185" t="s">
        <v>202</v>
      </c>
      <c r="D1191" s="200"/>
      <c r="E1191" s="190" t="s">
        <v>139</v>
      </c>
      <c r="F1191" s="180">
        <f>[35]人員・時間計画!C18</f>
        <v>1487.5</v>
      </c>
      <c r="G1191" s="180">
        <f>[35]人員・時間計画!D18</f>
        <v>1411</v>
      </c>
      <c r="H1191" s="180">
        <f>[35]人員・時間計画!E18</f>
        <v>1564</v>
      </c>
      <c r="I1191" s="180">
        <f>[35]人員・時間計画!F18</f>
        <v>1717</v>
      </c>
      <c r="J1191" s="180">
        <f>[35]人員・時間計画!G18</f>
        <v>1487.5</v>
      </c>
      <c r="K1191" s="180">
        <f>[35]人員・時間計画!H18</f>
        <v>1411</v>
      </c>
      <c r="L1191" s="180">
        <f>[35]人員・時間計画!I18</f>
        <v>1717</v>
      </c>
      <c r="M1191" s="180">
        <f>[35]人員・時間計画!J18</f>
        <v>1487.5</v>
      </c>
      <c r="N1191" s="180">
        <f>[35]人員・時間計画!K18</f>
        <v>1640.5</v>
      </c>
      <c r="O1191" s="180">
        <f>[35]人員・時間計画!L18</f>
        <v>1487.5</v>
      </c>
      <c r="P1191" s="180">
        <f>[35]人員・時間計画!M18</f>
        <v>1105</v>
      </c>
      <c r="Q1191" s="180">
        <f>[35]人員・時間計画!N18</f>
        <v>1487.5</v>
      </c>
    </row>
    <row r="1192" spans="1:17" ht="14.5" thickBot="1">
      <c r="A1192" t="str">
        <f>[35]人員・時間計画!$A$5</f>
        <v>14120000YY</v>
      </c>
      <c r="B1192" t="str">
        <f>[35]人員・時間計画!$B$5</f>
        <v>メカ製造技術4課</v>
      </c>
      <c r="C1192" s="185" t="s">
        <v>202</v>
      </c>
      <c r="D1192" s="201" t="s">
        <v>195</v>
      </c>
      <c r="E1192" s="192" t="s">
        <v>140</v>
      </c>
      <c r="F1192" s="180">
        <f>[35]人員・時間計画!C19</f>
        <v>0</v>
      </c>
      <c r="G1192" s="180">
        <f>[35]人員・時間計画!D19</f>
        <v>0</v>
      </c>
      <c r="H1192" s="180">
        <f>[35]人員・時間計画!E19</f>
        <v>0</v>
      </c>
      <c r="I1192" s="180">
        <f>[35]人員・時間計画!F19</f>
        <v>0</v>
      </c>
      <c r="J1192" s="180">
        <f>[35]人員・時間計画!G19</f>
        <v>0</v>
      </c>
      <c r="K1192" s="180">
        <f>[35]人員・時間計画!H19</f>
        <v>0</v>
      </c>
      <c r="L1192" s="180">
        <f>[35]人員・時間計画!I19</f>
        <v>0</v>
      </c>
      <c r="M1192" s="180">
        <f>[35]人員・時間計画!J19</f>
        <v>0</v>
      </c>
      <c r="N1192" s="180">
        <f>[35]人員・時間計画!K19</f>
        <v>0</v>
      </c>
      <c r="O1192" s="180">
        <f>[35]人員・時間計画!L19</f>
        <v>0</v>
      </c>
      <c r="P1192" s="180">
        <f>[35]人員・時間計画!M19</f>
        <v>0</v>
      </c>
      <c r="Q1192" s="180">
        <f>[35]人員・時間計画!N19</f>
        <v>0</v>
      </c>
    </row>
    <row r="1193" spans="1:17" ht="14.5" hidden="1" thickBot="1">
      <c r="A1193" t="str">
        <f>[35]人員・時間計画!$A$5</f>
        <v>14120000YY</v>
      </c>
      <c r="B1193" t="str">
        <f>[35]人員・時間計画!$B$5</f>
        <v>メカ製造技術4課</v>
      </c>
      <c r="C1193" s="185" t="s">
        <v>202</v>
      </c>
      <c r="D1193" s="202"/>
      <c r="E1193" s="203" t="s">
        <v>138</v>
      </c>
      <c r="F1193" s="180">
        <f>[35]人員・時間計画!C20</f>
        <v>1487.5</v>
      </c>
      <c r="G1193" s="180">
        <f>[35]人員・時間計画!D20</f>
        <v>1411</v>
      </c>
      <c r="H1193" s="180">
        <f>[35]人員・時間計画!E20</f>
        <v>1564</v>
      </c>
      <c r="I1193" s="180">
        <f>[35]人員・時間計画!F20</f>
        <v>1717</v>
      </c>
      <c r="J1193" s="180">
        <f>[35]人員・時間計画!G20</f>
        <v>1487.5</v>
      </c>
      <c r="K1193" s="180">
        <f>[35]人員・時間計画!H20</f>
        <v>1411</v>
      </c>
      <c r="L1193" s="180">
        <f>[35]人員・時間計画!I20</f>
        <v>1717</v>
      </c>
      <c r="M1193" s="180">
        <f>[35]人員・時間計画!J20</f>
        <v>1487.5</v>
      </c>
      <c r="N1193" s="180">
        <f>[35]人員・時間計画!K20</f>
        <v>1640.5</v>
      </c>
      <c r="O1193" s="180">
        <f>[35]人員・時間計画!L20</f>
        <v>1487.5</v>
      </c>
      <c r="P1193" s="180">
        <f>[35]人員・時間計画!M20</f>
        <v>1105</v>
      </c>
      <c r="Q1193" s="180">
        <f>[35]人員・時間計画!N20</f>
        <v>1487.5</v>
      </c>
    </row>
    <row r="1194" spans="1:17" ht="14.5" hidden="1" thickBot="1">
      <c r="A1194" t="str">
        <f>[35]人員・時間計画!$A$5</f>
        <v>14120000YY</v>
      </c>
      <c r="B1194" t="str">
        <f>[35]人員・時間計画!$B$5</f>
        <v>メカ製造技術4課</v>
      </c>
      <c r="C1194" s="185" t="s">
        <v>202</v>
      </c>
      <c r="D1194" s="204" t="s">
        <v>215</v>
      </c>
      <c r="E1194" s="205"/>
      <c r="F1194" s="180">
        <f>[35]人員・時間計画!C21</f>
        <v>1487.5</v>
      </c>
      <c r="G1194" s="180">
        <f>[35]人員・時間計画!D21</f>
        <v>1411</v>
      </c>
      <c r="H1194" s="180">
        <f>[35]人員・時間計画!E21</f>
        <v>1564</v>
      </c>
      <c r="I1194" s="180">
        <f>[35]人員・時間計画!F21</f>
        <v>1717</v>
      </c>
      <c r="J1194" s="180">
        <f>[35]人員・時間計画!G21</f>
        <v>1487.5</v>
      </c>
      <c r="K1194" s="180">
        <f>[35]人員・時間計画!H21</f>
        <v>1411</v>
      </c>
      <c r="L1194" s="180">
        <f>[35]人員・時間計画!I21</f>
        <v>1717</v>
      </c>
      <c r="M1194" s="180">
        <f>[35]人員・時間計画!J21</f>
        <v>1487.5</v>
      </c>
      <c r="N1194" s="180">
        <f>[35]人員・時間計画!K21</f>
        <v>1640.5</v>
      </c>
      <c r="O1194" s="180">
        <f>[35]人員・時間計画!L21</f>
        <v>1487.5</v>
      </c>
      <c r="P1194" s="180">
        <f>[35]人員・時間計画!M21</f>
        <v>1105</v>
      </c>
      <c r="Q1194" s="180">
        <f>[35]人員・時間計画!N21</f>
        <v>1487.5</v>
      </c>
    </row>
    <row r="1195" spans="1:17" ht="14.5" hidden="1" thickBot="1">
      <c r="A1195" t="str">
        <f>[35]人員・時間計画!$A$5</f>
        <v>14120000YY</v>
      </c>
      <c r="B1195" t="str">
        <f>[35]人員・時間計画!$B$5</f>
        <v>メカ製造技術4課</v>
      </c>
      <c r="D1195" s="197"/>
      <c r="E1195" s="197"/>
    </row>
    <row r="1196" spans="1:17" ht="14.5" hidden="1" thickBot="1">
      <c r="A1196" t="str">
        <f>[35]人員・時間計画!$A$5</f>
        <v>14120000YY</v>
      </c>
      <c r="B1196" t="str">
        <f>[35]人員・時間計画!$B$5</f>
        <v>メカ製造技術4課</v>
      </c>
      <c r="C1196" s="185" t="s">
        <v>71</v>
      </c>
      <c r="D1196" s="185" t="s">
        <v>71</v>
      </c>
      <c r="E1196" s="186"/>
    </row>
    <row r="1197" spans="1:17" ht="14.5" hidden="1" thickBot="1">
      <c r="A1197" t="str">
        <f>[35]人員・時間計画!$A$5</f>
        <v>14120000YY</v>
      </c>
      <c r="B1197" t="str">
        <f>[35]人員・時間計画!$B$5</f>
        <v>メカ製造技術4課</v>
      </c>
      <c r="C1197" s="185" t="s">
        <v>71</v>
      </c>
      <c r="D1197" s="198" t="s">
        <v>194</v>
      </c>
      <c r="E1197" s="199"/>
      <c r="F1197" s="180">
        <f>[35]人員・時間計画!C24</f>
        <v>0</v>
      </c>
      <c r="G1197" s="180">
        <f>[35]人員・時間計画!D24</f>
        <v>0</v>
      </c>
      <c r="H1197" s="180">
        <f>[35]人員・時間計画!E24</f>
        <v>0</v>
      </c>
      <c r="I1197" s="180">
        <f>[35]人員・時間計画!F24</f>
        <v>0</v>
      </c>
      <c r="J1197" s="180">
        <f>[35]人員・時間計画!G24</f>
        <v>0</v>
      </c>
      <c r="K1197" s="180">
        <f>[35]人員・時間計画!H24</f>
        <v>0</v>
      </c>
      <c r="L1197" s="180">
        <f>[35]人員・時間計画!I24</f>
        <v>0</v>
      </c>
      <c r="M1197" s="180">
        <f>[35]人員・時間計画!J24</f>
        <v>0</v>
      </c>
      <c r="N1197" s="180">
        <f>[35]人員・時間計画!K24</f>
        <v>0</v>
      </c>
      <c r="O1197" s="180">
        <f>[35]人員・時間計画!L24</f>
        <v>0</v>
      </c>
      <c r="P1197" s="180">
        <f>[35]人員・時間計画!M24</f>
        <v>0</v>
      </c>
      <c r="Q1197" s="180">
        <f>[35]人員・時間計画!N24</f>
        <v>0</v>
      </c>
    </row>
    <row r="1198" spans="1:17" ht="14.5" hidden="1" thickBot="1">
      <c r="A1198" t="str">
        <f>[35]人員・時間計画!$A$5</f>
        <v>14120000YY</v>
      </c>
      <c r="B1198" t="str">
        <f>[35]人員・時間計画!$B$5</f>
        <v>メカ製造技術4課</v>
      </c>
      <c r="C1198" s="185" t="s">
        <v>71</v>
      </c>
      <c r="D1198" s="200"/>
      <c r="E1198" s="206" t="s">
        <v>139</v>
      </c>
      <c r="F1198" s="180">
        <f>[35]人員・時間計画!C25</f>
        <v>40</v>
      </c>
      <c r="G1198" s="180">
        <f>[35]人員・時間計画!D25</f>
        <v>50</v>
      </c>
      <c r="H1198" s="180">
        <f>[35]人員・時間計画!E25</f>
        <v>42</v>
      </c>
      <c r="I1198" s="180">
        <f>[35]人員・時間計画!F25</f>
        <v>52</v>
      </c>
      <c r="J1198" s="180">
        <f>[35]人員・時間計画!G25</f>
        <v>46</v>
      </c>
      <c r="K1198" s="180">
        <f>[35]人員・時間計画!H25</f>
        <v>38</v>
      </c>
      <c r="L1198" s="180">
        <f>[35]人員・時間計画!I25</f>
        <v>58</v>
      </c>
      <c r="M1198" s="180">
        <f>[35]人員・時間計画!J25</f>
        <v>40</v>
      </c>
      <c r="N1198" s="180">
        <f>[35]人員・時間計画!K25</f>
        <v>50</v>
      </c>
      <c r="O1198" s="180">
        <f>[35]人員・時間計画!L25</f>
        <v>40</v>
      </c>
      <c r="P1198" s="180">
        <f>[35]人員・時間計画!M25</f>
        <v>30</v>
      </c>
      <c r="Q1198" s="180">
        <f>[35]人員・時間計画!N25</f>
        <v>40</v>
      </c>
    </row>
    <row r="1199" spans="1:17" ht="14.5" thickBot="1">
      <c r="A1199" t="str">
        <f>[35]人員・時間計画!$A$5</f>
        <v>14120000YY</v>
      </c>
      <c r="B1199" t="str">
        <f>[35]人員・時間計画!$B$5</f>
        <v>メカ製造技術4課</v>
      </c>
      <c r="C1199" s="185" t="s">
        <v>71</v>
      </c>
      <c r="D1199" s="201" t="s">
        <v>195</v>
      </c>
      <c r="E1199" s="207" t="s">
        <v>140</v>
      </c>
      <c r="F1199" s="180">
        <f>[35]人員・時間計画!C26</f>
        <v>0</v>
      </c>
      <c r="G1199" s="180">
        <f>[35]人員・時間計画!D26</f>
        <v>0</v>
      </c>
      <c r="H1199" s="180">
        <f>[35]人員・時間計画!E26</f>
        <v>0</v>
      </c>
      <c r="I1199" s="180">
        <f>[35]人員・時間計画!F26</f>
        <v>0</v>
      </c>
      <c r="J1199" s="180">
        <f>[35]人員・時間計画!G26</f>
        <v>0</v>
      </c>
      <c r="K1199" s="180">
        <f>[35]人員・時間計画!H26</f>
        <v>0</v>
      </c>
      <c r="L1199" s="180">
        <f>[35]人員・時間計画!I26</f>
        <v>0</v>
      </c>
      <c r="M1199" s="180">
        <f>[35]人員・時間計画!J26</f>
        <v>0</v>
      </c>
      <c r="N1199" s="180">
        <f>[35]人員・時間計画!K26</f>
        <v>0</v>
      </c>
      <c r="O1199" s="180">
        <f>[35]人員・時間計画!L26</f>
        <v>0</v>
      </c>
      <c r="P1199" s="180">
        <f>[35]人員・時間計画!M26</f>
        <v>0</v>
      </c>
      <c r="Q1199" s="180">
        <f>[35]人員・時間計画!N26</f>
        <v>0</v>
      </c>
    </row>
    <row r="1200" spans="1:17" ht="14.5" hidden="1" thickBot="1">
      <c r="A1200" t="str">
        <f>[35]人員・時間計画!$A$5</f>
        <v>14120000YY</v>
      </c>
      <c r="B1200" t="str">
        <f>[35]人員・時間計画!$B$5</f>
        <v>メカ製造技術4課</v>
      </c>
      <c r="C1200" s="185" t="s">
        <v>71</v>
      </c>
      <c r="D1200" s="202"/>
      <c r="E1200" s="203" t="s">
        <v>138</v>
      </c>
      <c r="F1200" s="180">
        <f>[35]人員・時間計画!C27</f>
        <v>40</v>
      </c>
      <c r="G1200" s="180">
        <f>[35]人員・時間計画!D27</f>
        <v>50</v>
      </c>
      <c r="H1200" s="180">
        <f>[35]人員・時間計画!E27</f>
        <v>42</v>
      </c>
      <c r="I1200" s="180">
        <f>[35]人員・時間計画!F27</f>
        <v>52</v>
      </c>
      <c r="J1200" s="180">
        <f>[35]人員・時間計画!G27</f>
        <v>46</v>
      </c>
      <c r="K1200" s="180">
        <f>[35]人員・時間計画!H27</f>
        <v>38</v>
      </c>
      <c r="L1200" s="180">
        <f>[35]人員・時間計画!I27</f>
        <v>58</v>
      </c>
      <c r="M1200" s="180">
        <f>[35]人員・時間計画!J27</f>
        <v>40</v>
      </c>
      <c r="N1200" s="180">
        <f>[35]人員・時間計画!K27</f>
        <v>50</v>
      </c>
      <c r="O1200" s="180">
        <f>[35]人員・時間計画!L27</f>
        <v>40</v>
      </c>
      <c r="P1200" s="180">
        <f>[35]人員・時間計画!M27</f>
        <v>30</v>
      </c>
      <c r="Q1200" s="180">
        <f>[35]人員・時間計画!N27</f>
        <v>40</v>
      </c>
    </row>
    <row r="1201" spans="1:17" ht="14.5" hidden="1" thickBot="1">
      <c r="A1201" t="str">
        <f>[35]人員・時間計画!$A$5</f>
        <v>14120000YY</v>
      </c>
      <c r="B1201" t="str">
        <f>[35]人員・時間計画!$B$5</f>
        <v>メカ製造技術4課</v>
      </c>
      <c r="C1201" s="185" t="s">
        <v>71</v>
      </c>
      <c r="D1201" s="204" t="s">
        <v>216</v>
      </c>
      <c r="E1201" s="205"/>
      <c r="F1201" s="180">
        <f>[35]人員・時間計画!C28</f>
        <v>40</v>
      </c>
      <c r="G1201" s="180">
        <f>[35]人員・時間計画!D28</f>
        <v>50</v>
      </c>
      <c r="H1201" s="180">
        <f>[35]人員・時間計画!E28</f>
        <v>42</v>
      </c>
      <c r="I1201" s="180">
        <f>[35]人員・時間計画!F28</f>
        <v>52</v>
      </c>
      <c r="J1201" s="180">
        <f>[35]人員・時間計画!G28</f>
        <v>46</v>
      </c>
      <c r="K1201" s="180">
        <f>[35]人員・時間計画!H28</f>
        <v>38</v>
      </c>
      <c r="L1201" s="180">
        <f>[35]人員・時間計画!I28</f>
        <v>58</v>
      </c>
      <c r="M1201" s="180">
        <f>[35]人員・時間計画!J28</f>
        <v>40</v>
      </c>
      <c r="N1201" s="180">
        <f>[35]人員・時間計画!K28</f>
        <v>50</v>
      </c>
      <c r="O1201" s="180">
        <f>[35]人員・時間計画!L28</f>
        <v>40</v>
      </c>
      <c r="P1201" s="180">
        <f>[35]人員・時間計画!M28</f>
        <v>30</v>
      </c>
      <c r="Q1201" s="180">
        <f>[35]人員・時間計画!N28</f>
        <v>40</v>
      </c>
    </row>
    <row r="1202" spans="1:17" ht="14.5" hidden="1" thickBot="1">
      <c r="A1202" t="str">
        <f>[12]人員・時間計画!$A$5</f>
        <v>14120000ZZ</v>
      </c>
      <c r="B1202" t="str">
        <f>[12]人員・時間計画!$B$5</f>
        <v>MD5課</v>
      </c>
      <c r="C1202" s="185" t="s">
        <v>3</v>
      </c>
      <c r="D1202" s="185" t="s">
        <v>3</v>
      </c>
      <c r="E1202" s="186"/>
    </row>
    <row r="1203" spans="1:17" ht="14.5" hidden="1" thickBot="1">
      <c r="A1203" t="str">
        <f>[12]人員・時間計画!$A$5</f>
        <v>14120000ZZ</v>
      </c>
      <c r="B1203" t="str">
        <f>[12]人員・時間計画!$B$5</f>
        <v>MD5課</v>
      </c>
      <c r="C1203" s="185" t="s">
        <v>3</v>
      </c>
      <c r="D1203" s="187" t="s">
        <v>194</v>
      </c>
      <c r="E1203" s="188"/>
      <c r="F1203" s="180">
        <f>[12]人員・時間計画!C10</f>
        <v>1</v>
      </c>
      <c r="G1203" s="180">
        <f>[12]人員・時間計画!D10</f>
        <v>1</v>
      </c>
      <c r="H1203" s="180">
        <f>[12]人員・時間計画!E10</f>
        <v>1</v>
      </c>
      <c r="I1203" s="180">
        <f>[12]人員・時間計画!F10</f>
        <v>1</v>
      </c>
      <c r="J1203" s="180">
        <f>[12]人員・時間計画!G10</f>
        <v>1</v>
      </c>
      <c r="K1203" s="180">
        <f>[12]人員・時間計画!H10</f>
        <v>1</v>
      </c>
      <c r="L1203" s="180">
        <f>[12]人員・時間計画!I10</f>
        <v>1</v>
      </c>
      <c r="M1203" s="180">
        <f>[12]人員・時間計画!J10</f>
        <v>1</v>
      </c>
      <c r="N1203" s="180">
        <f>[12]人員・時間計画!K10</f>
        <v>1</v>
      </c>
      <c r="O1203" s="180">
        <f>[12]人員・時間計画!L10</f>
        <v>1</v>
      </c>
      <c r="P1203" s="180">
        <f>[12]人員・時間計画!M10</f>
        <v>1</v>
      </c>
      <c r="Q1203" s="180">
        <f>[12]人員・時間計画!N10</f>
        <v>1</v>
      </c>
    </row>
    <row r="1204" spans="1:17" ht="14.5" hidden="1" thickBot="1">
      <c r="A1204" t="str">
        <f>[12]人員・時間計画!$A$5</f>
        <v>14120000ZZ</v>
      </c>
      <c r="B1204" t="str">
        <f>[12]人員・時間計画!$B$5</f>
        <v>MD5課</v>
      </c>
      <c r="C1204" s="185" t="s">
        <v>3</v>
      </c>
      <c r="D1204" s="189"/>
      <c r="E1204" s="190" t="s">
        <v>139</v>
      </c>
      <c r="F1204" s="180">
        <f>[12]人員・時間計画!C11</f>
        <v>7</v>
      </c>
      <c r="G1204" s="180">
        <f>[12]人員・時間計画!D11</f>
        <v>7</v>
      </c>
      <c r="H1204" s="180">
        <f>[12]人員・時間計画!E11</f>
        <v>7</v>
      </c>
      <c r="I1204" s="180">
        <f>[12]人員・時間計画!F11</f>
        <v>7</v>
      </c>
      <c r="J1204" s="180">
        <f>[12]人員・時間計画!G11</f>
        <v>7</v>
      </c>
      <c r="K1204" s="180">
        <f>[12]人員・時間計画!H11</f>
        <v>7</v>
      </c>
      <c r="L1204" s="180">
        <f>[12]人員・時間計画!I11</f>
        <v>7</v>
      </c>
      <c r="M1204" s="180">
        <f>[12]人員・時間計画!J11</f>
        <v>7</v>
      </c>
      <c r="N1204" s="180">
        <f>[12]人員・時間計画!K11</f>
        <v>7</v>
      </c>
      <c r="O1204" s="180">
        <f>[12]人員・時間計画!L11</f>
        <v>7</v>
      </c>
      <c r="P1204" s="180">
        <f>[12]人員・時間計画!M11</f>
        <v>7</v>
      </c>
      <c r="Q1204" s="180">
        <f>[12]人員・時間計画!N11</f>
        <v>7</v>
      </c>
    </row>
    <row r="1205" spans="1:17" ht="14.5" thickBot="1">
      <c r="A1205" t="str">
        <f>[12]人員・時間計画!$A$5</f>
        <v>14120000ZZ</v>
      </c>
      <c r="B1205" t="str">
        <f>[12]人員・時間計画!$B$5</f>
        <v>MD5課</v>
      </c>
      <c r="C1205" s="185" t="s">
        <v>3</v>
      </c>
      <c r="D1205" s="191" t="s">
        <v>195</v>
      </c>
      <c r="E1205" s="192" t="s">
        <v>140</v>
      </c>
      <c r="F1205" s="180">
        <f>[12]人員・時間計画!C12</f>
        <v>0</v>
      </c>
      <c r="G1205" s="180">
        <f>[12]人員・時間計画!D12</f>
        <v>0</v>
      </c>
      <c r="H1205" s="180">
        <f>[12]人員・時間計画!E12</f>
        <v>0</v>
      </c>
      <c r="I1205" s="180">
        <f>[12]人員・時間計画!F12</f>
        <v>0</v>
      </c>
      <c r="J1205" s="180">
        <f>[12]人員・時間計画!G12</f>
        <v>0</v>
      </c>
      <c r="K1205" s="180">
        <f>[12]人員・時間計画!H12</f>
        <v>0</v>
      </c>
      <c r="L1205" s="180">
        <f>[12]人員・時間計画!I12</f>
        <v>0</v>
      </c>
      <c r="M1205" s="180">
        <f>[12]人員・時間計画!J12</f>
        <v>0</v>
      </c>
      <c r="N1205" s="180">
        <f>[12]人員・時間計画!K12</f>
        <v>0</v>
      </c>
      <c r="O1205" s="180">
        <f>[12]人員・時間計画!L12</f>
        <v>0</v>
      </c>
      <c r="P1205" s="180">
        <f>[12]人員・時間計画!M12</f>
        <v>0</v>
      </c>
      <c r="Q1205" s="180">
        <f>[12]人員・時間計画!N12</f>
        <v>0</v>
      </c>
    </row>
    <row r="1206" spans="1:17" ht="14.5" hidden="1" thickBot="1">
      <c r="A1206" t="str">
        <f>[12]人員・時間計画!$A$5</f>
        <v>14120000ZZ</v>
      </c>
      <c r="B1206" t="str">
        <f>[12]人員・時間計画!$B$5</f>
        <v>MD5課</v>
      </c>
      <c r="C1206" s="185" t="s">
        <v>3</v>
      </c>
      <c r="D1206" s="193"/>
      <c r="E1206" s="194" t="s">
        <v>138</v>
      </c>
      <c r="F1206" s="180">
        <f>[12]人員・時間計画!C13</f>
        <v>7</v>
      </c>
      <c r="G1206" s="180">
        <f>[12]人員・時間計画!D13</f>
        <v>7</v>
      </c>
      <c r="H1206" s="180">
        <f>[12]人員・時間計画!E13</f>
        <v>7</v>
      </c>
      <c r="I1206" s="180">
        <f>[12]人員・時間計画!F13</f>
        <v>7</v>
      </c>
      <c r="J1206" s="180">
        <f>[12]人員・時間計画!G13</f>
        <v>7</v>
      </c>
      <c r="K1206" s="180">
        <f>[12]人員・時間計画!H13</f>
        <v>7</v>
      </c>
      <c r="L1206" s="180">
        <f>[12]人員・時間計画!I13</f>
        <v>7</v>
      </c>
      <c r="M1206" s="180">
        <f>[12]人員・時間計画!J13</f>
        <v>7</v>
      </c>
      <c r="N1206" s="180">
        <f>[12]人員・時間計画!K13</f>
        <v>7</v>
      </c>
      <c r="O1206" s="180">
        <f>[12]人員・時間計画!L13</f>
        <v>7</v>
      </c>
      <c r="P1206" s="180">
        <f>[12]人員・時間計画!M13</f>
        <v>7</v>
      </c>
      <c r="Q1206" s="180">
        <f>[12]人員・時間計画!N13</f>
        <v>7</v>
      </c>
    </row>
    <row r="1207" spans="1:17" ht="14.5" hidden="1" thickBot="1">
      <c r="A1207" t="str">
        <f>[12]人員・時間計画!$A$5</f>
        <v>14120000ZZ</v>
      </c>
      <c r="B1207" t="str">
        <f>[12]人員・時間計画!$B$5</f>
        <v>MD5課</v>
      </c>
      <c r="C1207" s="185" t="s">
        <v>3</v>
      </c>
      <c r="D1207" s="195" t="s">
        <v>196</v>
      </c>
      <c r="E1207" s="196"/>
      <c r="F1207" s="180">
        <f>[12]人員・時間計画!C14</f>
        <v>8</v>
      </c>
      <c r="G1207" s="180">
        <f>[12]人員・時間計画!D14</f>
        <v>8</v>
      </c>
      <c r="H1207" s="180">
        <f>[12]人員・時間計画!E14</f>
        <v>8</v>
      </c>
      <c r="I1207" s="180">
        <f>[12]人員・時間計画!F14</f>
        <v>8</v>
      </c>
      <c r="J1207" s="180">
        <f>[12]人員・時間計画!G14</f>
        <v>8</v>
      </c>
      <c r="K1207" s="180">
        <f>[12]人員・時間計画!H14</f>
        <v>8</v>
      </c>
      <c r="L1207" s="180">
        <f>[12]人員・時間計画!I14</f>
        <v>8</v>
      </c>
      <c r="M1207" s="180">
        <f>[12]人員・時間計画!J14</f>
        <v>8</v>
      </c>
      <c r="N1207" s="180">
        <f>[12]人員・時間計画!K14</f>
        <v>8</v>
      </c>
      <c r="O1207" s="180">
        <f>[12]人員・時間計画!L14</f>
        <v>8</v>
      </c>
      <c r="P1207" s="180">
        <f>[12]人員・時間計画!M14</f>
        <v>8</v>
      </c>
      <c r="Q1207" s="180">
        <f>[12]人員・時間計画!N14</f>
        <v>8</v>
      </c>
    </row>
    <row r="1208" spans="1:17" ht="14.5" hidden="1" thickBot="1">
      <c r="A1208" t="str">
        <f>[12]人員・時間計画!$A$5</f>
        <v>14120000ZZ</v>
      </c>
      <c r="B1208" t="str">
        <f>[12]人員・時間計画!$B$5</f>
        <v>MD5課</v>
      </c>
      <c r="D1208" s="197"/>
      <c r="E1208" s="197"/>
    </row>
    <row r="1209" spans="1:17" ht="14.5" hidden="1" thickBot="1">
      <c r="A1209" t="str">
        <f>[12]人員・時間計画!$A$5</f>
        <v>14120000ZZ</v>
      </c>
      <c r="B1209" t="str">
        <f>[12]人員・時間計画!$B$5</f>
        <v>MD5課</v>
      </c>
      <c r="C1209" s="185" t="s">
        <v>202</v>
      </c>
      <c r="D1209" s="185" t="s">
        <v>202</v>
      </c>
      <c r="E1209" s="186"/>
    </row>
    <row r="1210" spans="1:17" ht="14.5" hidden="1" thickBot="1">
      <c r="A1210" t="str">
        <f>[12]人員・時間計画!$A$5</f>
        <v>14120000ZZ</v>
      </c>
      <c r="B1210" t="str">
        <f>[12]人員・時間計画!$B$5</f>
        <v>MD5課</v>
      </c>
      <c r="C1210" s="185" t="s">
        <v>202</v>
      </c>
      <c r="D1210" s="198" t="s">
        <v>194</v>
      </c>
      <c r="E1210" s="199"/>
      <c r="F1210" s="180">
        <f>[12]人員・時間計画!C17</f>
        <v>170</v>
      </c>
      <c r="G1210" s="180">
        <f>[12]人員・時間計画!D17</f>
        <v>161.5</v>
      </c>
      <c r="H1210" s="180">
        <f>[12]人員・時間計画!E17</f>
        <v>178.5</v>
      </c>
      <c r="I1210" s="180">
        <f>[12]人員・時間計画!F17</f>
        <v>195.5</v>
      </c>
      <c r="J1210" s="180">
        <f>[12]人員・時間計画!G17</f>
        <v>170</v>
      </c>
      <c r="K1210" s="180">
        <f>[12]人員・時間計画!H17</f>
        <v>161.5</v>
      </c>
      <c r="L1210" s="180">
        <f>[12]人員・時間計画!I17</f>
        <v>195.5</v>
      </c>
      <c r="M1210" s="180">
        <f>[12]人員・時間計画!J17</f>
        <v>170</v>
      </c>
      <c r="N1210" s="180">
        <f>[12]人員・時間計画!K17</f>
        <v>187</v>
      </c>
      <c r="O1210" s="180">
        <f>[12]人員・時間計画!L17</f>
        <v>170</v>
      </c>
      <c r="P1210" s="180">
        <f>[12]人員・時間計画!M17</f>
        <v>127.5</v>
      </c>
      <c r="Q1210" s="180">
        <f>[12]人員・時間計画!N17</f>
        <v>170</v>
      </c>
    </row>
    <row r="1211" spans="1:17" ht="14.5" hidden="1" thickBot="1">
      <c r="A1211" t="str">
        <f>[12]人員・時間計画!$A$5</f>
        <v>14120000ZZ</v>
      </c>
      <c r="B1211" t="str">
        <f>[12]人員・時間計画!$B$5</f>
        <v>MD5課</v>
      </c>
      <c r="C1211" s="185" t="s">
        <v>202</v>
      </c>
      <c r="D1211" s="200"/>
      <c r="E1211" s="190" t="s">
        <v>139</v>
      </c>
      <c r="F1211" s="180">
        <f>[12]人員・時間計画!C18</f>
        <v>1190</v>
      </c>
      <c r="G1211" s="180">
        <f>[12]人員・時間計画!D18</f>
        <v>1130.5</v>
      </c>
      <c r="H1211" s="180">
        <f>[12]人員・時間計画!E18</f>
        <v>1249.5</v>
      </c>
      <c r="I1211" s="180">
        <f>[12]人員・時間計画!F18</f>
        <v>1368.5</v>
      </c>
      <c r="J1211" s="180">
        <f>[12]人員・時間計画!G18</f>
        <v>1190</v>
      </c>
      <c r="K1211" s="180">
        <f>[12]人員・時間計画!H18</f>
        <v>1130.5</v>
      </c>
      <c r="L1211" s="180">
        <f>[12]人員・時間計画!I18</f>
        <v>1368.5</v>
      </c>
      <c r="M1211" s="180">
        <f>[12]人員・時間計画!J18</f>
        <v>1190</v>
      </c>
      <c r="N1211" s="180">
        <f>[12]人員・時間計画!K18</f>
        <v>1309</v>
      </c>
      <c r="O1211" s="180">
        <f>[12]人員・時間計画!L18</f>
        <v>1190</v>
      </c>
      <c r="P1211" s="180">
        <f>[12]人員・時間計画!M18</f>
        <v>892.5</v>
      </c>
      <c r="Q1211" s="180">
        <f>[12]人員・時間計画!N18</f>
        <v>1190</v>
      </c>
    </row>
    <row r="1212" spans="1:17" ht="14.5" thickBot="1">
      <c r="A1212" t="str">
        <f>[12]人員・時間計画!$A$5</f>
        <v>14120000ZZ</v>
      </c>
      <c r="B1212" t="str">
        <f>[12]人員・時間計画!$B$5</f>
        <v>MD5課</v>
      </c>
      <c r="C1212" s="185" t="s">
        <v>202</v>
      </c>
      <c r="D1212" s="201" t="s">
        <v>195</v>
      </c>
      <c r="E1212" s="192" t="s">
        <v>140</v>
      </c>
      <c r="F1212" s="180">
        <f>[12]人員・時間計画!C19</f>
        <v>0</v>
      </c>
      <c r="G1212" s="180">
        <f>[12]人員・時間計画!D19</f>
        <v>0</v>
      </c>
      <c r="H1212" s="180">
        <f>[12]人員・時間計画!E19</f>
        <v>0</v>
      </c>
      <c r="I1212" s="180">
        <f>[12]人員・時間計画!F19</f>
        <v>0</v>
      </c>
      <c r="J1212" s="180">
        <f>[12]人員・時間計画!G19</f>
        <v>0</v>
      </c>
      <c r="K1212" s="180">
        <f>[12]人員・時間計画!H19</f>
        <v>0</v>
      </c>
      <c r="L1212" s="180">
        <f>[12]人員・時間計画!I19</f>
        <v>0</v>
      </c>
      <c r="M1212" s="180">
        <f>[12]人員・時間計画!J19</f>
        <v>0</v>
      </c>
      <c r="N1212" s="180">
        <f>[12]人員・時間計画!K19</f>
        <v>0</v>
      </c>
      <c r="O1212" s="180">
        <f>[12]人員・時間計画!L19</f>
        <v>0</v>
      </c>
      <c r="P1212" s="180">
        <f>[12]人員・時間計画!M19</f>
        <v>0</v>
      </c>
      <c r="Q1212" s="180">
        <f>[12]人員・時間計画!N19</f>
        <v>0</v>
      </c>
    </row>
    <row r="1213" spans="1:17" ht="14.5" hidden="1" thickBot="1">
      <c r="A1213" t="str">
        <f>[12]人員・時間計画!$A$5</f>
        <v>14120000ZZ</v>
      </c>
      <c r="B1213" t="str">
        <f>[12]人員・時間計画!$B$5</f>
        <v>MD5課</v>
      </c>
      <c r="C1213" s="185" t="s">
        <v>202</v>
      </c>
      <c r="D1213" s="202"/>
      <c r="E1213" s="203" t="s">
        <v>138</v>
      </c>
      <c r="F1213" s="180">
        <f>[12]人員・時間計画!C20</f>
        <v>1190</v>
      </c>
      <c r="G1213" s="180">
        <f>[12]人員・時間計画!D20</f>
        <v>1130.5</v>
      </c>
      <c r="H1213" s="180">
        <f>[12]人員・時間計画!E20</f>
        <v>1249.5</v>
      </c>
      <c r="I1213" s="180">
        <f>[12]人員・時間計画!F20</f>
        <v>1368.5</v>
      </c>
      <c r="J1213" s="180">
        <f>[12]人員・時間計画!G20</f>
        <v>1190</v>
      </c>
      <c r="K1213" s="180">
        <f>[12]人員・時間計画!H20</f>
        <v>1130.5</v>
      </c>
      <c r="L1213" s="180">
        <f>[12]人員・時間計画!I20</f>
        <v>1368.5</v>
      </c>
      <c r="M1213" s="180">
        <f>[12]人員・時間計画!J20</f>
        <v>1190</v>
      </c>
      <c r="N1213" s="180">
        <f>[12]人員・時間計画!K20</f>
        <v>1309</v>
      </c>
      <c r="O1213" s="180">
        <f>[12]人員・時間計画!L20</f>
        <v>1190</v>
      </c>
      <c r="P1213" s="180">
        <f>[12]人員・時間計画!M20</f>
        <v>892.5</v>
      </c>
      <c r="Q1213" s="180">
        <f>[12]人員・時間計画!N20</f>
        <v>1190</v>
      </c>
    </row>
    <row r="1214" spans="1:17" ht="14.5" hidden="1" thickBot="1">
      <c r="A1214" t="str">
        <f>[12]人員・時間計画!$A$5</f>
        <v>14120000ZZ</v>
      </c>
      <c r="B1214" t="str">
        <f>[12]人員・時間計画!$B$5</f>
        <v>MD5課</v>
      </c>
      <c r="C1214" s="185" t="s">
        <v>202</v>
      </c>
      <c r="D1214" s="204" t="s">
        <v>215</v>
      </c>
      <c r="E1214" s="205"/>
      <c r="F1214" s="180">
        <f>[12]人員・時間計画!C21</f>
        <v>1360</v>
      </c>
      <c r="G1214" s="180">
        <f>[12]人員・時間計画!D21</f>
        <v>1292</v>
      </c>
      <c r="H1214" s="180">
        <f>[12]人員・時間計画!E21</f>
        <v>1428</v>
      </c>
      <c r="I1214" s="180">
        <f>[12]人員・時間計画!F21</f>
        <v>1564</v>
      </c>
      <c r="J1214" s="180">
        <f>[12]人員・時間計画!G21</f>
        <v>1360</v>
      </c>
      <c r="K1214" s="180">
        <f>[12]人員・時間計画!H21</f>
        <v>1292</v>
      </c>
      <c r="L1214" s="180">
        <f>[12]人員・時間計画!I21</f>
        <v>1564</v>
      </c>
      <c r="M1214" s="180">
        <f>[12]人員・時間計画!J21</f>
        <v>1360</v>
      </c>
      <c r="N1214" s="180">
        <f>[12]人員・時間計画!K21</f>
        <v>1496</v>
      </c>
      <c r="O1214" s="180">
        <f>[12]人員・時間計画!L21</f>
        <v>1360</v>
      </c>
      <c r="P1214" s="180">
        <f>[12]人員・時間計画!M21</f>
        <v>1020</v>
      </c>
      <c r="Q1214" s="180">
        <f>[12]人員・時間計画!N21</f>
        <v>1360</v>
      </c>
    </row>
    <row r="1215" spans="1:17" ht="14.5" hidden="1" thickBot="1">
      <c r="A1215" t="str">
        <f>[12]人員・時間計画!$A$5</f>
        <v>14120000ZZ</v>
      </c>
      <c r="B1215" t="str">
        <f>[12]人員・時間計画!$B$5</f>
        <v>MD5課</v>
      </c>
      <c r="D1215" s="197"/>
      <c r="E1215" s="197"/>
    </row>
    <row r="1216" spans="1:17" ht="14.5" hidden="1" thickBot="1">
      <c r="A1216" t="str">
        <f>[12]人員・時間計画!$A$5</f>
        <v>14120000ZZ</v>
      </c>
      <c r="B1216" t="str">
        <f>[12]人員・時間計画!$B$5</f>
        <v>MD5課</v>
      </c>
      <c r="C1216" s="185" t="s">
        <v>71</v>
      </c>
      <c r="D1216" s="185" t="s">
        <v>71</v>
      </c>
      <c r="E1216" s="186"/>
    </row>
    <row r="1217" spans="1:17" ht="14.5" hidden="1" thickBot="1">
      <c r="A1217" t="str">
        <f>[12]人員・時間計画!$A$5</f>
        <v>14120000ZZ</v>
      </c>
      <c r="B1217" t="str">
        <f>[12]人員・時間計画!$B$5</f>
        <v>MD5課</v>
      </c>
      <c r="C1217" s="185" t="s">
        <v>71</v>
      </c>
      <c r="D1217" s="198" t="s">
        <v>194</v>
      </c>
      <c r="E1217" s="199"/>
      <c r="F1217" s="180">
        <f>[12]人員・時間計画!C24</f>
        <v>40</v>
      </c>
      <c r="G1217" s="180">
        <f>[12]人員・時間計画!D24</f>
        <v>38</v>
      </c>
      <c r="H1217" s="180">
        <f>[12]人員・時間計画!E24</f>
        <v>42</v>
      </c>
      <c r="I1217" s="180">
        <f>[12]人員・時間計画!F24</f>
        <v>46</v>
      </c>
      <c r="J1217" s="180">
        <f>[12]人員・時間計画!G24</f>
        <v>40</v>
      </c>
      <c r="K1217" s="180">
        <f>[12]人員・時間計画!H24</f>
        <v>38</v>
      </c>
      <c r="L1217" s="180">
        <f>[12]人員・時間計画!I24</f>
        <v>46</v>
      </c>
      <c r="M1217" s="180">
        <f>[12]人員・時間計画!J24</f>
        <v>40</v>
      </c>
      <c r="N1217" s="180">
        <f>[12]人員・時間計画!K24</f>
        <v>44</v>
      </c>
      <c r="O1217" s="180">
        <f>[12]人員・時間計画!L24</f>
        <v>40</v>
      </c>
      <c r="P1217" s="180">
        <f>[12]人員・時間計画!M24</f>
        <v>30</v>
      </c>
      <c r="Q1217" s="180">
        <f>[12]人員・時間計画!N24</f>
        <v>40</v>
      </c>
    </row>
    <row r="1218" spans="1:17" ht="14.5" hidden="1" thickBot="1">
      <c r="A1218" t="str">
        <f>[12]人員・時間計画!$A$5</f>
        <v>14120000ZZ</v>
      </c>
      <c r="B1218" t="str">
        <f>[12]人員・時間計画!$B$5</f>
        <v>MD5課</v>
      </c>
      <c r="C1218" s="185" t="s">
        <v>71</v>
      </c>
      <c r="D1218" s="200"/>
      <c r="E1218" s="206" t="s">
        <v>139</v>
      </c>
      <c r="F1218" s="180">
        <f>[12]人員・時間計画!C25</f>
        <v>180</v>
      </c>
      <c r="G1218" s="180">
        <f>[12]人員・時間計画!D25</f>
        <v>171</v>
      </c>
      <c r="H1218" s="180">
        <f>[12]人員・時間計画!E25</f>
        <v>189</v>
      </c>
      <c r="I1218" s="180">
        <f>[12]人員・時間計画!F25</f>
        <v>207</v>
      </c>
      <c r="J1218" s="180">
        <f>[12]人員・時間計画!G25</f>
        <v>180</v>
      </c>
      <c r="K1218" s="180">
        <f>[12]人員・時間計画!H25</f>
        <v>171</v>
      </c>
      <c r="L1218" s="180">
        <f>[12]人員・時間計画!I25</f>
        <v>207</v>
      </c>
      <c r="M1218" s="180">
        <f>[12]人員・時間計画!J25</f>
        <v>180</v>
      </c>
      <c r="N1218" s="180">
        <f>[12]人員・時間計画!K25</f>
        <v>198</v>
      </c>
      <c r="O1218" s="180">
        <f>[12]人員・時間計画!L25</f>
        <v>180</v>
      </c>
      <c r="P1218" s="180">
        <f>[12]人員・時間計画!M25</f>
        <v>135</v>
      </c>
      <c r="Q1218" s="180">
        <f>[12]人員・時間計画!N25</f>
        <v>180</v>
      </c>
    </row>
    <row r="1219" spans="1:17" ht="14">
      <c r="A1219" t="str">
        <f>[12]人員・時間計画!$A$5</f>
        <v>14120000ZZ</v>
      </c>
      <c r="B1219" t="str">
        <f>[12]人員・時間計画!$B$5</f>
        <v>MD5課</v>
      </c>
      <c r="C1219" s="185" t="s">
        <v>71</v>
      </c>
      <c r="D1219" s="201" t="s">
        <v>195</v>
      </c>
      <c r="E1219" s="207" t="s">
        <v>140</v>
      </c>
      <c r="F1219" s="180">
        <f>[12]人員・時間計画!C26</f>
        <v>0</v>
      </c>
      <c r="G1219" s="180">
        <f>[12]人員・時間計画!D26</f>
        <v>0</v>
      </c>
      <c r="H1219" s="180">
        <f>[12]人員・時間計画!E26</f>
        <v>0</v>
      </c>
      <c r="I1219" s="180">
        <f>[12]人員・時間計画!F26</f>
        <v>0</v>
      </c>
      <c r="J1219" s="180">
        <f>[12]人員・時間計画!G26</f>
        <v>0</v>
      </c>
      <c r="K1219" s="180">
        <f>[12]人員・時間計画!H26</f>
        <v>0</v>
      </c>
      <c r="L1219" s="180">
        <f>[12]人員・時間計画!I26</f>
        <v>0</v>
      </c>
      <c r="M1219" s="180">
        <f>[12]人員・時間計画!J26</f>
        <v>0</v>
      </c>
      <c r="N1219" s="180">
        <f>[12]人員・時間計画!K26</f>
        <v>0</v>
      </c>
      <c r="O1219" s="180">
        <f>[12]人員・時間計画!L26</f>
        <v>0</v>
      </c>
      <c r="P1219" s="180">
        <f>[12]人員・時間計画!M26</f>
        <v>0</v>
      </c>
      <c r="Q1219" s="180">
        <f>[12]人員・時間計画!N26</f>
        <v>0</v>
      </c>
    </row>
    <row r="1220" spans="1:17" ht="14" hidden="1">
      <c r="A1220" t="str">
        <f>[12]人員・時間計画!$A$5</f>
        <v>14120000ZZ</v>
      </c>
      <c r="B1220" t="str">
        <f>[12]人員・時間計画!$B$5</f>
        <v>MD5課</v>
      </c>
      <c r="C1220" s="185" t="s">
        <v>71</v>
      </c>
      <c r="D1220" s="202"/>
      <c r="E1220" s="203" t="s">
        <v>138</v>
      </c>
      <c r="F1220" s="180">
        <f>[12]人員・時間計画!C27</f>
        <v>180</v>
      </c>
      <c r="G1220" s="180">
        <f>[12]人員・時間計画!D27</f>
        <v>171</v>
      </c>
      <c r="H1220" s="180">
        <f>[12]人員・時間計画!E27</f>
        <v>189</v>
      </c>
      <c r="I1220" s="180">
        <f>[12]人員・時間計画!F27</f>
        <v>207</v>
      </c>
      <c r="J1220" s="180">
        <f>[12]人員・時間計画!G27</f>
        <v>180</v>
      </c>
      <c r="K1220" s="180">
        <f>[12]人員・時間計画!H27</f>
        <v>171</v>
      </c>
      <c r="L1220" s="180">
        <f>[12]人員・時間計画!I27</f>
        <v>207</v>
      </c>
      <c r="M1220" s="180">
        <f>[12]人員・時間計画!J27</f>
        <v>180</v>
      </c>
      <c r="N1220" s="180">
        <f>[12]人員・時間計画!K27</f>
        <v>198</v>
      </c>
      <c r="O1220" s="180">
        <f>[12]人員・時間計画!L27</f>
        <v>180</v>
      </c>
      <c r="P1220" s="180">
        <f>[12]人員・時間計画!M27</f>
        <v>135</v>
      </c>
      <c r="Q1220" s="180">
        <f>[12]人員・時間計画!N27</f>
        <v>180</v>
      </c>
    </row>
    <row r="1221" spans="1:17" ht="14.5" hidden="1" thickBot="1">
      <c r="A1221" t="str">
        <f>[12]人員・時間計画!$A$5</f>
        <v>14120000ZZ</v>
      </c>
      <c r="B1221" t="str">
        <f>[12]人員・時間計画!$B$5</f>
        <v>MD5課</v>
      </c>
      <c r="C1221" s="185" t="s">
        <v>71</v>
      </c>
      <c r="D1221" s="204" t="s">
        <v>216</v>
      </c>
      <c r="E1221" s="205"/>
      <c r="F1221" s="180">
        <f>[12]人員・時間計画!C28</f>
        <v>220</v>
      </c>
      <c r="G1221" s="180">
        <f>[12]人員・時間計画!D28</f>
        <v>209</v>
      </c>
      <c r="H1221" s="180">
        <f>[12]人員・時間計画!E28</f>
        <v>231</v>
      </c>
      <c r="I1221" s="180">
        <f>[12]人員・時間計画!F28</f>
        <v>253</v>
      </c>
      <c r="J1221" s="180">
        <f>[12]人員・時間計画!G28</f>
        <v>220</v>
      </c>
      <c r="K1221" s="180">
        <f>[12]人員・時間計画!H28</f>
        <v>209</v>
      </c>
      <c r="L1221" s="180">
        <f>[12]人員・時間計画!I28</f>
        <v>253</v>
      </c>
      <c r="M1221" s="180">
        <f>[12]人員・時間計画!J28</f>
        <v>220</v>
      </c>
      <c r="N1221" s="180">
        <f>[12]人員・時間計画!K28</f>
        <v>242</v>
      </c>
      <c r="O1221" s="180">
        <f>[12]人員・時間計画!L28</f>
        <v>220</v>
      </c>
      <c r="P1221" s="180">
        <f>[12]人員・時間計画!M28</f>
        <v>165</v>
      </c>
      <c r="Q1221" s="180">
        <f>[12]人員・時間計画!N28</f>
        <v>220</v>
      </c>
    </row>
  </sheetData>
  <autoFilter ref="A1:Q1221" xr:uid="{BD8D22D7-5F6F-4198-9A1C-4188383CFA58}">
    <filterColumn colId="4">
      <filters>
        <filter val="G7, G6"/>
      </filters>
    </filterColumn>
  </autoFilter>
  <conditionalFormatting sqref="F1:Q1">
    <cfRule type="expression" dxfId="2" priority="1" stopIfTrue="1">
      <formula>MID($A$1,2,1)="B"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855A4CAEEC21034C8ED9FCBE585FE3C8" ma:contentTypeVersion="13" ma:contentTypeDescription="Tạo tài liệu mới." ma:contentTypeScope="" ma:versionID="ed85e4f15aa81c64a816c16494d5304e">
  <xsd:schema xmlns:xsd="http://www.w3.org/2001/XMLSchema" xmlns:xs="http://www.w3.org/2001/XMLSchema" xmlns:p="http://schemas.microsoft.com/office/2006/metadata/properties" xmlns:ns2="92852788-e596-4ab0-9a26-63b7ab9e90c5" targetNamespace="http://schemas.microsoft.com/office/2006/metadata/properties" ma:root="true" ma:fieldsID="0ac383ee391b0efbd6d6c50b612e260e" ns2:_="">
    <xsd:import namespace="92852788-e596-4ab0-9a26-63b7ab9e90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52788-e596-4ab0-9a26-63b7ab9e90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68F101FE-0F29-403D-BEFB-537213D3DD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852788-e596-4ab0-9a26-63b7ab9e9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43937A-9095-4696-AEF9-FAEB3A2549E4}">
  <ds:schemaRefs>
    <ds:schemaRef ds:uri="http://schemas.microsoft.com/office/2006/metadata/properties"/>
    <ds:schemaRef ds:uri="http://schemas.openxmlformats.org/package/2006/metadata/core-properties"/>
    <ds:schemaRef ds:uri="92852788-e596-4ab0-9a26-63b7ab9e90c5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CD69F52-D2ED-4281-81EA-3940A36042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6221</vt:lpstr>
      <vt:lpstr>6371</vt:lpstr>
      <vt:lpstr>6421</vt:lpstr>
      <vt:lpstr>6511</vt:lpstr>
      <vt:lpstr>Sheet1</vt:lpstr>
      <vt:lpstr>Form Số người</vt:lpstr>
      <vt:lpstr>KDTVN</vt:lpstr>
      <vt:lpstr>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Nguyễn Thị Hạ(Nguyen Thi Ha)</dc:creator>
  <cp:lastModifiedBy>Nguyễn Thị Thúy Lan(Nguyen Thi Thuy Lan)</cp:lastModifiedBy>
  <dcterms:created xsi:type="dcterms:W3CDTF">2015-12-18T04:14:36Z</dcterms:created>
  <dcterms:modified xsi:type="dcterms:W3CDTF">2025-01-03T01:25:57Z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0x010100855A4CAEEC21034C8ED9FCBE585FE3C8</vt:lpwstr>
  </property>
  <property fmtid="{D5CDD505-2E9C-101B-9397-08002B2CF9AE}" pid="3" name="Order">
    <vt:r8>30500</vt:r8>
  </property>
</Properties>
</file>