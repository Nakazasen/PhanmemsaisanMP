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yocera\Saisan\Master plan\FY2027\Phân bổ\"/>
    </mc:Choice>
  </mc:AlternateContent>
  <xr:revisionPtr revIDLastSave="0" documentId="13_ncr:1_{67AD3641-0F73-4AAC-A6AF-DDFCFA2EF6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減価償却費（Depreciation）" sheetId="12" r:id="rId1"/>
    <sheet name="固定資産金利（Interest）" sheetId="13" r:id="rId2"/>
    <sheet name="水道光熱費（Electric &amp; Water）" sheetId="14" r:id="rId3"/>
    <sheet name="B&amp;L" sheetId="7" r:id="rId4"/>
    <sheet name="E&amp;W" sheetId="1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__DAT10">#REF!</definedName>
    <definedName name="______dat1000">#REF!</definedName>
    <definedName name="______DAT11">#REF!</definedName>
    <definedName name="______DAT1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DAT10" localSheetId="2">#REF!</definedName>
    <definedName name="_____dat1000" localSheetId="2">#REF!</definedName>
    <definedName name="_____DAT11" localSheetId="2">#REF!</definedName>
    <definedName name="_____DAT12" localSheetId="2">#REF!</definedName>
    <definedName name="_____DAT3" localSheetId="2">#REF!</definedName>
    <definedName name="_____DAT4" localSheetId="2">#REF!</definedName>
    <definedName name="_____DAT5" localSheetId="2">#REF!</definedName>
    <definedName name="_____DAT6" localSheetId="2">#REF!</definedName>
    <definedName name="_____DAT7" localSheetId="2">#REF!</definedName>
    <definedName name="_____DAT8" localSheetId="2">#REF!</definedName>
    <definedName name="_____DAT9" localSheetId="2">#REF!</definedName>
    <definedName name="____DAT10">#REF!</definedName>
    <definedName name="____dat1000">#REF!</definedName>
    <definedName name="____DAT11">#REF!</definedName>
    <definedName name="____DAT1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DAT1">#REF!</definedName>
    <definedName name="___DAT10" localSheetId="1">#REF!</definedName>
    <definedName name="___dat1000" localSheetId="1">#REF!</definedName>
    <definedName name="___DAT11" localSheetId="1">#REF!</definedName>
    <definedName name="___DAT12" localSheetId="1">#REF!</definedName>
    <definedName name="___DAT2">#REF!</definedName>
    <definedName name="___DAT3" localSheetId="1">#REF!</definedName>
    <definedName name="___DAT4" localSheetId="1">#REF!</definedName>
    <definedName name="___DAT5" localSheetId="1">#REF!</definedName>
    <definedName name="___DAT6" localSheetId="1">#REF!</definedName>
    <definedName name="___DAT7" localSheetId="1">#REF!</definedName>
    <definedName name="___DAT8" localSheetId="1">#REF!</definedName>
    <definedName name="___DAT9" localSheetId="1">#REF!</definedName>
    <definedName name="__DAT1">#REF!</definedName>
    <definedName name="__DAT10">#REF!</definedName>
    <definedName name="__dat100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 localSheetId="0">#REF!</definedName>
    <definedName name="_dat1000" localSheetId="0">#REF!</definedName>
    <definedName name="_DAT11" localSheetId="0">#REF!</definedName>
    <definedName name="_DAT12" localSheetId="0">#REF!</definedName>
    <definedName name="_DAT2">#REF!</definedName>
    <definedName name="_DAT3" localSheetId="0">#REF!</definedName>
    <definedName name="_DAT4" localSheetId="0">#REF!</definedName>
    <definedName name="_DAT5" localSheetId="0">#REF!</definedName>
    <definedName name="_DAT6" localSheetId="0">#REF!</definedName>
    <definedName name="_DAT7" localSheetId="0">#REF!</definedName>
    <definedName name="_DAT8" localSheetId="0">#REF!</definedName>
    <definedName name="_DAT9" localSheetId="0">#REF!</definedName>
    <definedName name="_Fill" localSheetId="4" hidden="1">#REF!</definedName>
    <definedName name="_Fill" localSheetId="1" hidden="1">#REF!</definedName>
    <definedName name="_Fill" localSheetId="2" hidden="1">#REF!</definedName>
    <definedName name="_Fill" localSheetId="0" hidden="1">#REF!</definedName>
    <definedName name="_Fill" hidden="1">#REF!</definedName>
    <definedName name="_xlnm._FilterDatabase" localSheetId="3" hidden="1">'B&amp;L'!$A$6:$Z$72</definedName>
    <definedName name="_xlnm._FilterDatabase" localSheetId="4" hidden="1">'E&amp;W'!$A$1:$K$72</definedName>
    <definedName name="_xlnm._FilterDatabase" localSheetId="1" hidden="1">'固定資産金利（Interest）'!$B$2:$B$136</definedName>
    <definedName name="_xlnm._FilterDatabase" localSheetId="2" hidden="1">'水道光熱費（Electric &amp; Water）'!$A$6:$C$85</definedName>
    <definedName name="_xlnm._FilterDatabase" localSheetId="0" hidden="1">'減価償却費（Depreciation）'!$B$2:$B$136</definedName>
    <definedName name="_Key1" localSheetId="4" hidden="1">#REF!</definedName>
    <definedName name="_Key1" localSheetId="1" hidden="1">#REF!</definedName>
    <definedName name="_Key1" localSheetId="2" hidden="1">#REF!</definedName>
    <definedName name="_Key1" localSheetId="0" hidden="1">#REF!</definedName>
    <definedName name="_Key1" hidden="1">#REF!</definedName>
    <definedName name="_Order1" hidden="1">255</definedName>
    <definedName name="_Sort" localSheetId="4" hidden="1">#REF!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a" localSheetId="4">[1]SALＡRY!#REF!</definedName>
    <definedName name="a">[1]SALＡRY!#REF!</definedName>
    <definedName name="B">[2]SALＡRY!#REF!</definedName>
    <definedName name="f">[3]SALＡRY!#REF!</definedName>
    <definedName name="Interest">[3]SALＡRY!#REF!</definedName>
    <definedName name="intereste">[4]SALＡRY!#REF!</definedName>
    <definedName name="NO.1_Factory">[4]SALＡRY!#REF!</definedName>
    <definedName name="NO.1_Factory_">[3]SALＡRY!#REF!</definedName>
    <definedName name="NO.2_Factory_">[3]SALＡRY!#REF!</definedName>
    <definedName name="_xlnm.Print_Area" localSheetId="3">'B&amp;L'!$C$3:$Z$72</definedName>
    <definedName name="_xlnm.Print_Area" localSheetId="4">'E&amp;W'!$A$2:$F$70</definedName>
    <definedName name="Print_Tiles" localSheetId="1">#REF!</definedName>
    <definedName name="Print_Tiles" localSheetId="2">#REF!</definedName>
    <definedName name="Print_Tiles">#REF!</definedName>
    <definedName name="Q_ﾄﾞﾗﾑ社内売_塗工出荷_製品_">#REF!</definedName>
    <definedName name="Q_ドラム総_梱包出荷額_製品_">#REF!</definedName>
    <definedName name="Q_塗工出荷額_製品当り_ﾄﾞﾗﾑ_">#REF!</definedName>
    <definedName name="TEST0">#REF!</definedName>
    <definedName name="TEST1">#REF!</definedName>
    <definedName name="TESTKEYS">#REF!</definedName>
    <definedName name="TESTVKEY">#REF!</definedName>
    <definedName name="V" localSheetId="4">[5]SALＡRY!#REF!</definedName>
    <definedName name="V">[5]SALＡRY!#REF!</definedName>
    <definedName name="X" localSheetId="4">[6]SALＡRY!#REF!</definedName>
    <definedName name="X">[6]SALＡRY!#REF!</definedName>
    <definedName name="クエリー4">#REF!</definedName>
    <definedName name="売上5">#REF!</definedName>
    <definedName name="売上6">#REF!</definedName>
    <definedName name="売上7">#REF!</definedName>
    <definedName name="実績予定表">#REF!</definedName>
    <definedName name="実績予定表1">#REF!</definedName>
    <definedName name="実績予定表2">#REF!</definedName>
    <definedName name="採算表累積表">#REF!</definedName>
    <definedName name="採算表累積表1">#REF!</definedName>
    <definedName name="採算表累積表2">#REF!</definedName>
    <definedName name="採算表累積表3">#REF!</definedName>
    <definedName name="支給率Ａ">4.3</definedName>
    <definedName name="支給率Ｂ">6.3</definedName>
    <definedName name="消費税">-INT(#REF!/1.05*0.05)</definedName>
    <definedName name="消費税率Ａ">1.03</definedName>
    <definedName name="消費税率Ｂ">1.05</definedName>
    <definedName name="生産5">#REF!</definedName>
    <definedName name="生産6">#REF!</definedName>
    <definedName name="生産７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7" l="1"/>
  <c r="G56" i="7"/>
  <c r="BJ56" i="7"/>
  <c r="BE56" i="7"/>
  <c r="AZ57" i="7"/>
  <c r="AZ56" i="7"/>
  <c r="AU56" i="7"/>
  <c r="AP56" i="7"/>
  <c r="AF56" i="7"/>
  <c r="Q56" i="7"/>
  <c r="L56" i="7"/>
  <c r="AF57" i="7"/>
  <c r="BK56" i="7"/>
  <c r="BI56" i="7"/>
  <c r="BH56" i="7"/>
  <c r="BF56" i="7"/>
  <c r="BD56" i="7"/>
  <c r="BC56" i="7"/>
  <c r="BA56" i="7"/>
  <c r="AX56" i="7"/>
  <c r="AV56" i="7"/>
  <c r="AS56" i="7"/>
  <c r="AQ56" i="7"/>
  <c r="AO56" i="7"/>
  <c r="AN56" i="7"/>
  <c r="AK56" i="7"/>
  <c r="AJ56" i="7"/>
  <c r="AI56" i="7"/>
  <c r="AG56" i="7"/>
  <c r="AE56" i="7"/>
  <c r="AD56" i="7"/>
  <c r="AA56" i="7"/>
  <c r="Y56" i="7"/>
  <c r="W56" i="7"/>
  <c r="V56" i="7"/>
  <c r="U56" i="7"/>
  <c r="T56" i="7"/>
  <c r="O56" i="7"/>
  <c r="R56" i="7"/>
  <c r="P56" i="7"/>
  <c r="M56" i="7"/>
  <c r="K56" i="7"/>
  <c r="J56" i="7"/>
  <c r="F56" i="7"/>
  <c r="E56" i="7"/>
  <c r="O71" i="14" l="1"/>
  <c r="N71" i="14"/>
  <c r="M71" i="14"/>
  <c r="L71" i="14"/>
  <c r="K71" i="14"/>
  <c r="J71" i="14"/>
  <c r="I71" i="14"/>
  <c r="H71" i="14"/>
  <c r="G71" i="14"/>
  <c r="F71" i="14"/>
  <c r="E71" i="14"/>
  <c r="D71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D130" i="14" l="1"/>
  <c r="D129" i="14"/>
  <c r="D127" i="14"/>
  <c r="D126" i="14"/>
  <c r="D124" i="14"/>
  <c r="D123" i="14"/>
  <c r="D122" i="14"/>
  <c r="D121" i="14"/>
  <c r="D120" i="14"/>
  <c r="D119" i="14"/>
  <c r="D118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8" i="14"/>
  <c r="D97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Q9" i="7"/>
  <c r="L9" i="7"/>
  <c r="L8" i="7"/>
  <c r="AY56" i="7"/>
  <c r="AT56" i="7"/>
  <c r="AL56" i="7"/>
  <c r="AB56" i="7"/>
  <c r="Z56" i="7"/>
  <c r="B23" i="15" l="1"/>
  <c r="B22" i="15"/>
  <c r="BK23" i="7"/>
  <c r="BJ23" i="7"/>
  <c r="BI23" i="7"/>
  <c r="BH23" i="7"/>
  <c r="BF23" i="7"/>
  <c r="BE23" i="7"/>
  <c r="BD23" i="7"/>
  <c r="BC23" i="7"/>
  <c r="BA23" i="7"/>
  <c r="AZ23" i="7"/>
  <c r="AY23" i="7"/>
  <c r="AX23" i="7"/>
  <c r="AV23" i="7"/>
  <c r="AU23" i="7"/>
  <c r="AT23" i="7"/>
  <c r="AS23" i="7"/>
  <c r="AQ23" i="7"/>
  <c r="AP23" i="7"/>
  <c r="AO23" i="7"/>
  <c r="AN23" i="7"/>
  <c r="AL23" i="7"/>
  <c r="AK23" i="7"/>
  <c r="AJ23" i="7"/>
  <c r="AI23" i="7"/>
  <c r="AG23" i="7"/>
  <c r="AF23" i="7"/>
  <c r="AE23" i="7"/>
  <c r="AD23" i="7"/>
  <c r="AB23" i="7"/>
  <c r="AA23" i="7"/>
  <c r="Z23" i="7"/>
  <c r="Y23" i="7"/>
  <c r="W23" i="7"/>
  <c r="V23" i="7"/>
  <c r="U23" i="7"/>
  <c r="T23" i="7"/>
  <c r="R23" i="7"/>
  <c r="Q23" i="7"/>
  <c r="P23" i="7"/>
  <c r="O23" i="7"/>
  <c r="M23" i="7"/>
  <c r="L23" i="7"/>
  <c r="K23" i="7"/>
  <c r="J23" i="7"/>
  <c r="H23" i="7"/>
  <c r="G23" i="7"/>
  <c r="F23" i="7"/>
  <c r="E23" i="7"/>
  <c r="BK22" i="7"/>
  <c r="O70" i="13" s="1"/>
  <c r="BJ22" i="7"/>
  <c r="O69" i="13" s="1"/>
  <c r="BI22" i="7"/>
  <c r="O70" i="12" s="1"/>
  <c r="BH22" i="7"/>
  <c r="O69" i="12" s="1"/>
  <c r="BF22" i="7"/>
  <c r="N70" i="13" s="1"/>
  <c r="BE22" i="7"/>
  <c r="N69" i="13" s="1"/>
  <c r="BD22" i="7"/>
  <c r="N70" i="12" s="1"/>
  <c r="BC22" i="7"/>
  <c r="N69" i="12" s="1"/>
  <c r="BA22" i="7"/>
  <c r="M70" i="13" s="1"/>
  <c r="AZ22" i="7"/>
  <c r="M69" i="13" s="1"/>
  <c r="AY22" i="7"/>
  <c r="M70" i="12" s="1"/>
  <c r="AX22" i="7"/>
  <c r="M69" i="12" s="1"/>
  <c r="AV22" i="7"/>
  <c r="L70" i="13" s="1"/>
  <c r="AU22" i="7"/>
  <c r="L69" i="13" s="1"/>
  <c r="AT22" i="7"/>
  <c r="L70" i="12" s="1"/>
  <c r="AS22" i="7"/>
  <c r="L69" i="12" s="1"/>
  <c r="AQ22" i="7"/>
  <c r="K70" i="13" s="1"/>
  <c r="AP22" i="7"/>
  <c r="K69" i="13" s="1"/>
  <c r="AO22" i="7"/>
  <c r="K70" i="12" s="1"/>
  <c r="AN22" i="7"/>
  <c r="K69" i="12" s="1"/>
  <c r="AL22" i="7"/>
  <c r="J70" i="13" s="1"/>
  <c r="AK22" i="7"/>
  <c r="J69" i="13" s="1"/>
  <c r="AJ22" i="7"/>
  <c r="J70" i="12" s="1"/>
  <c r="AI22" i="7"/>
  <c r="J69" i="12" s="1"/>
  <c r="AG22" i="7"/>
  <c r="I70" i="13" s="1"/>
  <c r="AF22" i="7"/>
  <c r="I69" i="13" s="1"/>
  <c r="AE22" i="7"/>
  <c r="I70" i="12" s="1"/>
  <c r="AD22" i="7"/>
  <c r="I69" i="12" s="1"/>
  <c r="AB22" i="7"/>
  <c r="H70" i="13" s="1"/>
  <c r="AA22" i="7"/>
  <c r="H69" i="13" s="1"/>
  <c r="Z22" i="7"/>
  <c r="H70" i="12" s="1"/>
  <c r="Y22" i="7"/>
  <c r="H69" i="12" s="1"/>
  <c r="W22" i="7"/>
  <c r="G70" i="13" s="1"/>
  <c r="V22" i="7"/>
  <c r="G69" i="13" s="1"/>
  <c r="U22" i="7"/>
  <c r="G70" i="12" s="1"/>
  <c r="T22" i="7"/>
  <c r="G69" i="12" s="1"/>
  <c r="R22" i="7"/>
  <c r="F70" i="13" s="1"/>
  <c r="Q22" i="7"/>
  <c r="F69" i="13" s="1"/>
  <c r="P22" i="7"/>
  <c r="F70" i="12" s="1"/>
  <c r="O22" i="7"/>
  <c r="F69" i="12" s="1"/>
  <c r="M22" i="7"/>
  <c r="E70" i="13" s="1"/>
  <c r="L22" i="7"/>
  <c r="E69" i="13" s="1"/>
  <c r="K22" i="7"/>
  <c r="E70" i="12" s="1"/>
  <c r="J22" i="7"/>
  <c r="E69" i="12" s="1"/>
  <c r="H22" i="7"/>
  <c r="D70" i="13" s="1"/>
  <c r="G22" i="7"/>
  <c r="D69" i="13" s="1"/>
  <c r="F22" i="7"/>
  <c r="D70" i="12" s="1"/>
  <c r="E22" i="7"/>
  <c r="D69" i="12" s="1"/>
  <c r="O55" i="14"/>
  <c r="N55" i="14"/>
  <c r="M55" i="14"/>
  <c r="L55" i="14"/>
  <c r="K55" i="14"/>
  <c r="J55" i="14"/>
  <c r="I55" i="14"/>
  <c r="H55" i="14"/>
  <c r="G55" i="14"/>
  <c r="F55" i="14"/>
  <c r="E55" i="14"/>
  <c r="O54" i="14"/>
  <c r="N54" i="14"/>
  <c r="M54" i="14"/>
  <c r="L54" i="14"/>
  <c r="K54" i="14"/>
  <c r="J54" i="14"/>
  <c r="I54" i="14"/>
  <c r="H54" i="14"/>
  <c r="G54" i="14"/>
  <c r="F54" i="14"/>
  <c r="E54" i="14"/>
  <c r="O43" i="14"/>
  <c r="N43" i="14"/>
  <c r="M43" i="14"/>
  <c r="L43" i="14"/>
  <c r="K43" i="14"/>
  <c r="J43" i="14"/>
  <c r="I43" i="14"/>
  <c r="H43" i="14"/>
  <c r="G43" i="14"/>
  <c r="F43" i="14"/>
  <c r="E43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O41" i="14"/>
  <c r="N41" i="14"/>
  <c r="M41" i="14"/>
  <c r="L41" i="14"/>
  <c r="K41" i="14"/>
  <c r="J41" i="14"/>
  <c r="I41" i="14"/>
  <c r="H41" i="14"/>
  <c r="G41" i="14"/>
  <c r="F41" i="14"/>
  <c r="E41" i="14"/>
  <c r="O40" i="14"/>
  <c r="N40" i="14"/>
  <c r="M40" i="14"/>
  <c r="L40" i="14"/>
  <c r="K40" i="14"/>
  <c r="J40" i="14"/>
  <c r="I40" i="14"/>
  <c r="H40" i="14"/>
  <c r="G40" i="14"/>
  <c r="F40" i="14"/>
  <c r="E40" i="14"/>
  <c r="BG70" i="7" l="1"/>
  <c r="BB70" i="7"/>
  <c r="AW70" i="7"/>
  <c r="AR70" i="7"/>
  <c r="AH70" i="7"/>
  <c r="AC70" i="7"/>
  <c r="X70" i="7"/>
  <c r="S70" i="7"/>
  <c r="N70" i="7"/>
  <c r="D70" i="7"/>
  <c r="I70" i="7"/>
  <c r="BK31" i="7"/>
  <c r="O56" i="13" s="1"/>
  <c r="BJ31" i="7"/>
  <c r="O55" i="13" s="1"/>
  <c r="BI31" i="7"/>
  <c r="O56" i="12" s="1"/>
  <c r="BH31" i="7"/>
  <c r="O55" i="12" s="1"/>
  <c r="BF31" i="7"/>
  <c r="N56" i="13" s="1"/>
  <c r="BE31" i="7"/>
  <c r="N55" i="13" s="1"/>
  <c r="BD31" i="7"/>
  <c r="N56" i="12" s="1"/>
  <c r="BC31" i="7"/>
  <c r="N55" i="12" s="1"/>
  <c r="BA31" i="7"/>
  <c r="M56" i="13" s="1"/>
  <c r="AZ31" i="7"/>
  <c r="M55" i="13" s="1"/>
  <c r="AY31" i="7"/>
  <c r="M56" i="12" s="1"/>
  <c r="AX31" i="7"/>
  <c r="M55" i="12" s="1"/>
  <c r="AV31" i="7"/>
  <c r="L56" i="13" s="1"/>
  <c r="AU31" i="7"/>
  <c r="L55" i="13" s="1"/>
  <c r="AT31" i="7"/>
  <c r="L56" i="12" s="1"/>
  <c r="AS31" i="7"/>
  <c r="L55" i="12" s="1"/>
  <c r="AQ31" i="7"/>
  <c r="K56" i="13" s="1"/>
  <c r="AP31" i="7"/>
  <c r="K55" i="13" s="1"/>
  <c r="AO31" i="7"/>
  <c r="K56" i="12" s="1"/>
  <c r="AN31" i="7"/>
  <c r="K55" i="12" s="1"/>
  <c r="AL31" i="7"/>
  <c r="J56" i="13" s="1"/>
  <c r="AK31" i="7"/>
  <c r="J55" i="13" s="1"/>
  <c r="AJ31" i="7"/>
  <c r="J56" i="12" s="1"/>
  <c r="AI31" i="7"/>
  <c r="J55" i="12" s="1"/>
  <c r="AG31" i="7"/>
  <c r="I56" i="13" s="1"/>
  <c r="AF31" i="7"/>
  <c r="I55" i="13" s="1"/>
  <c r="AE31" i="7"/>
  <c r="I56" i="12" s="1"/>
  <c r="AD31" i="7"/>
  <c r="I55" i="12" s="1"/>
  <c r="AB31" i="7"/>
  <c r="H56" i="13" s="1"/>
  <c r="AA31" i="7"/>
  <c r="H55" i="13" s="1"/>
  <c r="Z31" i="7"/>
  <c r="H56" i="12" s="1"/>
  <c r="Y31" i="7"/>
  <c r="H55" i="12" s="1"/>
  <c r="W31" i="7"/>
  <c r="G56" i="13" s="1"/>
  <c r="V31" i="7"/>
  <c r="G55" i="13" s="1"/>
  <c r="U31" i="7"/>
  <c r="G56" i="12" s="1"/>
  <c r="T31" i="7"/>
  <c r="G55" i="12" s="1"/>
  <c r="R31" i="7"/>
  <c r="F56" i="13" s="1"/>
  <c r="Q31" i="7"/>
  <c r="F55" i="13" s="1"/>
  <c r="P31" i="7"/>
  <c r="F56" i="12" s="1"/>
  <c r="O31" i="7"/>
  <c r="F55" i="12" s="1"/>
  <c r="M31" i="7"/>
  <c r="E56" i="13" s="1"/>
  <c r="L31" i="7"/>
  <c r="E55" i="13" s="1"/>
  <c r="K31" i="7"/>
  <c r="E56" i="12" s="1"/>
  <c r="J31" i="7"/>
  <c r="E55" i="12" s="1"/>
  <c r="H31" i="7"/>
  <c r="D56" i="13" s="1"/>
  <c r="G31" i="7"/>
  <c r="D55" i="13" s="1"/>
  <c r="F31" i="7"/>
  <c r="D56" i="12" s="1"/>
  <c r="E31" i="7"/>
  <c r="D55" i="12" s="1"/>
  <c r="BK20" i="7" l="1"/>
  <c r="BJ20" i="7"/>
  <c r="BI20" i="7"/>
  <c r="O44" i="12" s="1"/>
  <c r="BH20" i="7"/>
  <c r="O43" i="12" s="1"/>
  <c r="BF20" i="7"/>
  <c r="BE20" i="7"/>
  <c r="BD20" i="7"/>
  <c r="N44" i="12" s="1"/>
  <c r="BC20" i="7"/>
  <c r="N43" i="12" s="1"/>
  <c r="BA20" i="7"/>
  <c r="AZ20" i="7"/>
  <c r="AY20" i="7"/>
  <c r="M44" i="12" s="1"/>
  <c r="AX20" i="7"/>
  <c r="M43" i="12" s="1"/>
  <c r="AV20" i="7"/>
  <c r="AU20" i="7"/>
  <c r="AT20" i="7"/>
  <c r="L44" i="12" s="1"/>
  <c r="AS20" i="7"/>
  <c r="L43" i="12" s="1"/>
  <c r="AQ20" i="7"/>
  <c r="AP20" i="7"/>
  <c r="AO20" i="7"/>
  <c r="K44" i="12" s="1"/>
  <c r="AN20" i="7"/>
  <c r="K43" i="12" s="1"/>
  <c r="AL20" i="7"/>
  <c r="AK20" i="7"/>
  <c r="AJ20" i="7"/>
  <c r="J44" i="12" s="1"/>
  <c r="AI20" i="7"/>
  <c r="J43" i="12" s="1"/>
  <c r="AG20" i="7"/>
  <c r="AF20" i="7"/>
  <c r="AE20" i="7"/>
  <c r="I44" i="12" s="1"/>
  <c r="AD20" i="7"/>
  <c r="I43" i="12" s="1"/>
  <c r="AB20" i="7"/>
  <c r="AA20" i="7"/>
  <c r="Z20" i="7"/>
  <c r="H44" i="12" s="1"/>
  <c r="Y20" i="7"/>
  <c r="H43" i="12" s="1"/>
  <c r="W20" i="7"/>
  <c r="V20" i="7"/>
  <c r="U20" i="7"/>
  <c r="G44" i="12" s="1"/>
  <c r="T20" i="7"/>
  <c r="G43" i="12" s="1"/>
  <c r="R20" i="7"/>
  <c r="Q20" i="7"/>
  <c r="P20" i="7"/>
  <c r="F44" i="12" s="1"/>
  <c r="O20" i="7"/>
  <c r="F43" i="12" s="1"/>
  <c r="M20" i="7"/>
  <c r="L20" i="7"/>
  <c r="K20" i="7"/>
  <c r="E44" i="12" s="1"/>
  <c r="J20" i="7"/>
  <c r="E43" i="12" s="1"/>
  <c r="H20" i="7"/>
  <c r="G20" i="7"/>
  <c r="F20" i="7"/>
  <c r="D44" i="12" s="1"/>
  <c r="E20" i="7"/>
  <c r="D43" i="12" s="1"/>
  <c r="BK19" i="7"/>
  <c r="BJ19" i="7"/>
  <c r="BI19" i="7"/>
  <c r="O42" i="12" s="1"/>
  <c r="BH19" i="7"/>
  <c r="O41" i="12" s="1"/>
  <c r="BF19" i="7"/>
  <c r="BE19" i="7"/>
  <c r="BD19" i="7"/>
  <c r="N42" i="12" s="1"/>
  <c r="BC19" i="7"/>
  <c r="N41" i="12" s="1"/>
  <c r="BA19" i="7"/>
  <c r="AZ19" i="7"/>
  <c r="AY19" i="7"/>
  <c r="M42" i="12" s="1"/>
  <c r="AX19" i="7"/>
  <c r="M41" i="12" s="1"/>
  <c r="AV19" i="7"/>
  <c r="AU19" i="7"/>
  <c r="AT19" i="7"/>
  <c r="L42" i="12" s="1"/>
  <c r="AS19" i="7"/>
  <c r="L41" i="12" s="1"/>
  <c r="AQ19" i="7"/>
  <c r="AP19" i="7"/>
  <c r="AO19" i="7"/>
  <c r="K42" i="12" s="1"/>
  <c r="AN19" i="7"/>
  <c r="K41" i="12" s="1"/>
  <c r="AL19" i="7"/>
  <c r="AK19" i="7"/>
  <c r="AJ19" i="7"/>
  <c r="J42" i="12" s="1"/>
  <c r="AI19" i="7"/>
  <c r="J41" i="12" s="1"/>
  <c r="AG19" i="7"/>
  <c r="AF19" i="7"/>
  <c r="AE19" i="7"/>
  <c r="I42" i="12" s="1"/>
  <c r="AD19" i="7"/>
  <c r="I41" i="12" s="1"/>
  <c r="AB19" i="7"/>
  <c r="AA19" i="7"/>
  <c r="Z19" i="7"/>
  <c r="H42" i="12" s="1"/>
  <c r="Y19" i="7"/>
  <c r="H41" i="12" s="1"/>
  <c r="W19" i="7"/>
  <c r="V19" i="7"/>
  <c r="U19" i="7"/>
  <c r="G42" i="12" s="1"/>
  <c r="T19" i="7"/>
  <c r="G41" i="12" s="1"/>
  <c r="R19" i="7"/>
  <c r="Q19" i="7"/>
  <c r="P19" i="7"/>
  <c r="F42" i="12" s="1"/>
  <c r="O19" i="7"/>
  <c r="F41" i="12" s="1"/>
  <c r="M19" i="7"/>
  <c r="L19" i="7"/>
  <c r="K19" i="7"/>
  <c r="E42" i="12" s="1"/>
  <c r="J19" i="7"/>
  <c r="E41" i="12" s="1"/>
  <c r="H19" i="7"/>
  <c r="G19" i="7"/>
  <c r="F19" i="7"/>
  <c r="D42" i="12" s="1"/>
  <c r="E19" i="7"/>
  <c r="D41" i="12" s="1"/>
  <c r="BJ9" i="7"/>
  <c r="BK9" i="7"/>
  <c r="BJ10" i="7"/>
  <c r="BK10" i="7"/>
  <c r="BJ11" i="7"/>
  <c r="BK11" i="7"/>
  <c r="BJ12" i="7"/>
  <c r="BK12" i="7"/>
  <c r="BJ13" i="7"/>
  <c r="BK13" i="7"/>
  <c r="BJ14" i="7"/>
  <c r="BK14" i="7"/>
  <c r="BJ15" i="7"/>
  <c r="BK15" i="7"/>
  <c r="BJ16" i="7"/>
  <c r="BK16" i="7"/>
  <c r="BJ17" i="7"/>
  <c r="O37" i="13" s="1"/>
  <c r="BK17" i="7"/>
  <c r="O38" i="13" s="1"/>
  <c r="BJ18" i="7"/>
  <c r="O39" i="13" s="1"/>
  <c r="BK18" i="7"/>
  <c r="O40" i="13" s="1"/>
  <c r="BJ21" i="7"/>
  <c r="BK21" i="7"/>
  <c r="BJ24" i="7"/>
  <c r="BK24" i="7"/>
  <c r="BJ25" i="7"/>
  <c r="BK25" i="7"/>
  <c r="BJ26" i="7"/>
  <c r="BK26" i="7"/>
  <c r="BJ27" i="7"/>
  <c r="BK27" i="7"/>
  <c r="BJ28" i="7"/>
  <c r="BK28" i="7"/>
  <c r="BJ29" i="7"/>
  <c r="BK29" i="7"/>
  <c r="BJ30" i="7"/>
  <c r="BK30" i="7"/>
  <c r="BJ32" i="7"/>
  <c r="BK32" i="7"/>
  <c r="BJ33" i="7"/>
  <c r="BK33" i="7"/>
  <c r="BJ34" i="7"/>
  <c r="BK34" i="7"/>
  <c r="BJ35" i="7"/>
  <c r="BK35" i="7"/>
  <c r="BJ36" i="7"/>
  <c r="BK36" i="7"/>
  <c r="BJ37" i="7"/>
  <c r="BK37" i="7"/>
  <c r="BJ38" i="7"/>
  <c r="BK38" i="7"/>
  <c r="BJ39" i="7"/>
  <c r="BK39" i="7"/>
  <c r="BJ40" i="7"/>
  <c r="BK40" i="7"/>
  <c r="BJ41" i="7"/>
  <c r="BK41" i="7"/>
  <c r="BJ42" i="7"/>
  <c r="BK42" i="7"/>
  <c r="BJ43" i="7"/>
  <c r="BK43" i="7"/>
  <c r="BJ44" i="7"/>
  <c r="BK44" i="7"/>
  <c r="BJ45" i="7"/>
  <c r="BK45" i="7"/>
  <c r="BJ46" i="7"/>
  <c r="BK46" i="7"/>
  <c r="BJ47" i="7"/>
  <c r="BK47" i="7"/>
  <c r="BJ48" i="7"/>
  <c r="BK48" i="7"/>
  <c r="BJ49" i="7"/>
  <c r="BK49" i="7"/>
  <c r="BJ50" i="7"/>
  <c r="BK50" i="7"/>
  <c r="BJ51" i="7"/>
  <c r="BK51" i="7"/>
  <c r="BJ52" i="7"/>
  <c r="BK52" i="7"/>
  <c r="BJ53" i="7"/>
  <c r="BK53" i="7"/>
  <c r="BJ54" i="7"/>
  <c r="BK54" i="7"/>
  <c r="BJ55" i="7"/>
  <c r="BK55" i="7"/>
  <c r="BJ57" i="7"/>
  <c r="BK57" i="7"/>
  <c r="BJ58" i="7"/>
  <c r="BK58" i="7"/>
  <c r="BJ59" i="7"/>
  <c r="BK59" i="7"/>
  <c r="BJ60" i="7"/>
  <c r="BK60" i="7"/>
  <c r="BJ61" i="7"/>
  <c r="BK61" i="7"/>
  <c r="BJ62" i="7"/>
  <c r="BK62" i="7"/>
  <c r="BJ63" i="7"/>
  <c r="BK63" i="7"/>
  <c r="BJ64" i="7"/>
  <c r="BK64" i="7"/>
  <c r="BJ65" i="7"/>
  <c r="BK65" i="7"/>
  <c r="BJ66" i="7"/>
  <c r="BK66" i="7"/>
  <c r="BJ67" i="7"/>
  <c r="BK67" i="7"/>
  <c r="BJ68" i="7"/>
  <c r="BK68" i="7"/>
  <c r="BJ69" i="7"/>
  <c r="BK69" i="7"/>
  <c r="BE9" i="7"/>
  <c r="BF9" i="7"/>
  <c r="BE10" i="7"/>
  <c r="BF10" i="7"/>
  <c r="BE11" i="7"/>
  <c r="BF11" i="7"/>
  <c r="BE12" i="7"/>
  <c r="BF12" i="7"/>
  <c r="BE13" i="7"/>
  <c r="BF13" i="7"/>
  <c r="BE14" i="7"/>
  <c r="BF14" i="7"/>
  <c r="BE15" i="7"/>
  <c r="BF15" i="7"/>
  <c r="BE16" i="7"/>
  <c r="BF16" i="7"/>
  <c r="BE17" i="7"/>
  <c r="N37" i="13" s="1"/>
  <c r="BF17" i="7"/>
  <c r="N38" i="13" s="1"/>
  <c r="BE18" i="7"/>
  <c r="N39" i="13" s="1"/>
  <c r="BF18" i="7"/>
  <c r="N40" i="13" s="1"/>
  <c r="BE21" i="7"/>
  <c r="BF21" i="7"/>
  <c r="BE24" i="7"/>
  <c r="BF24" i="7"/>
  <c r="BE25" i="7"/>
  <c r="BF25" i="7"/>
  <c r="BE26" i="7"/>
  <c r="BF26" i="7"/>
  <c r="BE27" i="7"/>
  <c r="BF27" i="7"/>
  <c r="BE28" i="7"/>
  <c r="BF28" i="7"/>
  <c r="BE29" i="7"/>
  <c r="BF29" i="7"/>
  <c r="BE30" i="7"/>
  <c r="BF30" i="7"/>
  <c r="BE32" i="7"/>
  <c r="BF32" i="7"/>
  <c r="BE33" i="7"/>
  <c r="BF33" i="7"/>
  <c r="BE34" i="7"/>
  <c r="BF34" i="7"/>
  <c r="BE35" i="7"/>
  <c r="BF35" i="7"/>
  <c r="BE36" i="7"/>
  <c r="BF36" i="7"/>
  <c r="BE37" i="7"/>
  <c r="BF37" i="7"/>
  <c r="BE38" i="7"/>
  <c r="BF38" i="7"/>
  <c r="BE39" i="7"/>
  <c r="BF39" i="7"/>
  <c r="BE40" i="7"/>
  <c r="BF40" i="7"/>
  <c r="BE41" i="7"/>
  <c r="BF41" i="7"/>
  <c r="BE42" i="7"/>
  <c r="BF42" i="7"/>
  <c r="BE43" i="7"/>
  <c r="BF43" i="7"/>
  <c r="BE44" i="7"/>
  <c r="BF44" i="7"/>
  <c r="BE45" i="7"/>
  <c r="BF45" i="7"/>
  <c r="BE46" i="7"/>
  <c r="BF46" i="7"/>
  <c r="BE47" i="7"/>
  <c r="BF47" i="7"/>
  <c r="BE48" i="7"/>
  <c r="BF48" i="7"/>
  <c r="BE49" i="7"/>
  <c r="BF49" i="7"/>
  <c r="BE50" i="7"/>
  <c r="BF50" i="7"/>
  <c r="BE51" i="7"/>
  <c r="BF51" i="7"/>
  <c r="BE52" i="7"/>
  <c r="BF52" i="7"/>
  <c r="BE53" i="7"/>
  <c r="BF53" i="7"/>
  <c r="BE54" i="7"/>
  <c r="BF54" i="7"/>
  <c r="BE55" i="7"/>
  <c r="BF55" i="7"/>
  <c r="BE57" i="7"/>
  <c r="BF57" i="7"/>
  <c r="BE58" i="7"/>
  <c r="BF58" i="7"/>
  <c r="BE59" i="7"/>
  <c r="BF59" i="7"/>
  <c r="BE60" i="7"/>
  <c r="BF60" i="7"/>
  <c r="BE61" i="7"/>
  <c r="BF61" i="7"/>
  <c r="BE62" i="7"/>
  <c r="BF62" i="7"/>
  <c r="BE63" i="7"/>
  <c r="BF63" i="7"/>
  <c r="BE64" i="7"/>
  <c r="BF64" i="7"/>
  <c r="BE65" i="7"/>
  <c r="BF65" i="7"/>
  <c r="BE66" i="7"/>
  <c r="BF66" i="7"/>
  <c r="BE67" i="7"/>
  <c r="BF67" i="7"/>
  <c r="BE68" i="7"/>
  <c r="BF68" i="7"/>
  <c r="BE69" i="7"/>
  <c r="BF69" i="7"/>
  <c r="AZ9" i="7"/>
  <c r="BA9" i="7"/>
  <c r="AZ10" i="7"/>
  <c r="BA10" i="7"/>
  <c r="AZ11" i="7"/>
  <c r="BA11" i="7"/>
  <c r="AZ12" i="7"/>
  <c r="BA12" i="7"/>
  <c r="AZ13" i="7"/>
  <c r="BA13" i="7"/>
  <c r="AZ14" i="7"/>
  <c r="BA14" i="7"/>
  <c r="AZ15" i="7"/>
  <c r="BA15" i="7"/>
  <c r="AZ16" i="7"/>
  <c r="BA16" i="7"/>
  <c r="AZ17" i="7"/>
  <c r="M37" i="13" s="1"/>
  <c r="BA17" i="7"/>
  <c r="M38" i="13" s="1"/>
  <c r="AZ18" i="7"/>
  <c r="M39" i="13" s="1"/>
  <c r="BA18" i="7"/>
  <c r="M40" i="13" s="1"/>
  <c r="AZ21" i="7"/>
  <c r="BA21" i="7"/>
  <c r="AZ24" i="7"/>
  <c r="BA24" i="7"/>
  <c r="AZ25" i="7"/>
  <c r="BA25" i="7"/>
  <c r="AZ26" i="7"/>
  <c r="BA26" i="7"/>
  <c r="AZ27" i="7"/>
  <c r="BA27" i="7"/>
  <c r="AZ28" i="7"/>
  <c r="BA28" i="7"/>
  <c r="AZ29" i="7"/>
  <c r="BA29" i="7"/>
  <c r="AZ30" i="7"/>
  <c r="BA30" i="7"/>
  <c r="AZ32" i="7"/>
  <c r="BA32" i="7"/>
  <c r="AZ33" i="7"/>
  <c r="BA33" i="7"/>
  <c r="AZ34" i="7"/>
  <c r="BA34" i="7"/>
  <c r="AZ35" i="7"/>
  <c r="BA35" i="7"/>
  <c r="AZ36" i="7"/>
  <c r="BA36" i="7"/>
  <c r="AZ37" i="7"/>
  <c r="BA37" i="7"/>
  <c r="AZ38" i="7"/>
  <c r="BA38" i="7"/>
  <c r="AZ39" i="7"/>
  <c r="BA39" i="7"/>
  <c r="AZ40" i="7"/>
  <c r="BA40" i="7"/>
  <c r="AZ41" i="7"/>
  <c r="BA41" i="7"/>
  <c r="AZ42" i="7"/>
  <c r="BA42" i="7"/>
  <c r="AZ43" i="7"/>
  <c r="BA43" i="7"/>
  <c r="AZ44" i="7"/>
  <c r="BA44" i="7"/>
  <c r="AZ45" i="7"/>
  <c r="BA45" i="7"/>
  <c r="AZ46" i="7"/>
  <c r="BA46" i="7"/>
  <c r="AZ47" i="7"/>
  <c r="BA47" i="7"/>
  <c r="AZ48" i="7"/>
  <c r="BA48" i="7"/>
  <c r="AZ49" i="7"/>
  <c r="BA49" i="7"/>
  <c r="AZ50" i="7"/>
  <c r="BA50" i="7"/>
  <c r="AZ51" i="7"/>
  <c r="BA51" i="7"/>
  <c r="AZ52" i="7"/>
  <c r="BA52" i="7"/>
  <c r="AZ53" i="7"/>
  <c r="BA53" i="7"/>
  <c r="AZ54" i="7"/>
  <c r="BA54" i="7"/>
  <c r="AZ55" i="7"/>
  <c r="BA55" i="7"/>
  <c r="BA57" i="7"/>
  <c r="AZ58" i="7"/>
  <c r="BA58" i="7"/>
  <c r="AZ59" i="7"/>
  <c r="BA59" i="7"/>
  <c r="AZ60" i="7"/>
  <c r="BA60" i="7"/>
  <c r="AZ61" i="7"/>
  <c r="BA61" i="7"/>
  <c r="AZ62" i="7"/>
  <c r="BA62" i="7"/>
  <c r="AZ63" i="7"/>
  <c r="BA63" i="7"/>
  <c r="AZ64" i="7"/>
  <c r="BA64" i="7"/>
  <c r="AZ65" i="7"/>
  <c r="BA65" i="7"/>
  <c r="AZ66" i="7"/>
  <c r="BA66" i="7"/>
  <c r="AZ67" i="7"/>
  <c r="BA67" i="7"/>
  <c r="AZ68" i="7"/>
  <c r="BA68" i="7"/>
  <c r="AZ69" i="7"/>
  <c r="BA69" i="7"/>
  <c r="AU9" i="7"/>
  <c r="AV9" i="7"/>
  <c r="AU10" i="7"/>
  <c r="AV10" i="7"/>
  <c r="AU11" i="7"/>
  <c r="AV11" i="7"/>
  <c r="AU12" i="7"/>
  <c r="AV12" i="7"/>
  <c r="AU13" i="7"/>
  <c r="AV13" i="7"/>
  <c r="AU14" i="7"/>
  <c r="AV14" i="7"/>
  <c r="AU15" i="7"/>
  <c r="AV15" i="7"/>
  <c r="AU16" i="7"/>
  <c r="AV16" i="7"/>
  <c r="AU17" i="7"/>
  <c r="L37" i="13" s="1"/>
  <c r="AV17" i="7"/>
  <c r="L38" i="13" s="1"/>
  <c r="AU18" i="7"/>
  <c r="L39" i="13" s="1"/>
  <c r="AV18" i="7"/>
  <c r="L40" i="13" s="1"/>
  <c r="AU21" i="7"/>
  <c r="AV21" i="7"/>
  <c r="AU24" i="7"/>
  <c r="AV24" i="7"/>
  <c r="AU25" i="7"/>
  <c r="AV25" i="7"/>
  <c r="AU26" i="7"/>
  <c r="AV26" i="7"/>
  <c r="AU27" i="7"/>
  <c r="AV27" i="7"/>
  <c r="AU28" i="7"/>
  <c r="AV28" i="7"/>
  <c r="AU29" i="7"/>
  <c r="AV29" i="7"/>
  <c r="AU30" i="7"/>
  <c r="AV30" i="7"/>
  <c r="AU32" i="7"/>
  <c r="AV32" i="7"/>
  <c r="AU33" i="7"/>
  <c r="AV33" i="7"/>
  <c r="AU34" i="7"/>
  <c r="AV34" i="7"/>
  <c r="AU35" i="7"/>
  <c r="AV35" i="7"/>
  <c r="AU36" i="7"/>
  <c r="AV36" i="7"/>
  <c r="AU37" i="7"/>
  <c r="AV37" i="7"/>
  <c r="AU38" i="7"/>
  <c r="AV38" i="7"/>
  <c r="AU39" i="7"/>
  <c r="AV39" i="7"/>
  <c r="AU40" i="7"/>
  <c r="AV40" i="7"/>
  <c r="AU41" i="7"/>
  <c r="AV41" i="7"/>
  <c r="AU42" i="7"/>
  <c r="AV42" i="7"/>
  <c r="AU43" i="7"/>
  <c r="AV43" i="7"/>
  <c r="AU44" i="7"/>
  <c r="AV44" i="7"/>
  <c r="AU45" i="7"/>
  <c r="AV45" i="7"/>
  <c r="AU46" i="7"/>
  <c r="AV46" i="7"/>
  <c r="AU47" i="7"/>
  <c r="AV47" i="7"/>
  <c r="AU48" i="7"/>
  <c r="AV48" i="7"/>
  <c r="AU49" i="7"/>
  <c r="AV49" i="7"/>
  <c r="AU50" i="7"/>
  <c r="AV50" i="7"/>
  <c r="AU51" i="7"/>
  <c r="AV51" i="7"/>
  <c r="AU52" i="7"/>
  <c r="AV52" i="7"/>
  <c r="AU53" i="7"/>
  <c r="AV53" i="7"/>
  <c r="AU54" i="7"/>
  <c r="AV54" i="7"/>
  <c r="AU55" i="7"/>
  <c r="AV55" i="7"/>
  <c r="AU57" i="7"/>
  <c r="AV57" i="7"/>
  <c r="AU58" i="7"/>
  <c r="AV58" i="7"/>
  <c r="AU59" i="7"/>
  <c r="AV59" i="7"/>
  <c r="AU60" i="7"/>
  <c r="AV60" i="7"/>
  <c r="AU61" i="7"/>
  <c r="AV61" i="7"/>
  <c r="AU62" i="7"/>
  <c r="AV62" i="7"/>
  <c r="AU63" i="7"/>
  <c r="AV63" i="7"/>
  <c r="AU64" i="7"/>
  <c r="AV64" i="7"/>
  <c r="AU65" i="7"/>
  <c r="AV65" i="7"/>
  <c r="AU66" i="7"/>
  <c r="AV66" i="7"/>
  <c r="AU67" i="7"/>
  <c r="AV67" i="7"/>
  <c r="AU68" i="7"/>
  <c r="AV68" i="7"/>
  <c r="AU69" i="7"/>
  <c r="AV69" i="7"/>
  <c r="AP9" i="7"/>
  <c r="AQ9" i="7"/>
  <c r="AP10" i="7"/>
  <c r="AQ10" i="7"/>
  <c r="AP11" i="7"/>
  <c r="AQ11" i="7"/>
  <c r="AP12" i="7"/>
  <c r="AQ12" i="7"/>
  <c r="AP13" i="7"/>
  <c r="AQ13" i="7"/>
  <c r="AP14" i="7"/>
  <c r="AQ14" i="7"/>
  <c r="AP15" i="7"/>
  <c r="AQ15" i="7"/>
  <c r="AP16" i="7"/>
  <c r="AQ16" i="7"/>
  <c r="AP17" i="7"/>
  <c r="K37" i="13" s="1"/>
  <c r="AQ17" i="7"/>
  <c r="K38" i="13" s="1"/>
  <c r="AP18" i="7"/>
  <c r="K39" i="13" s="1"/>
  <c r="AQ18" i="7"/>
  <c r="K40" i="13" s="1"/>
  <c r="AP21" i="7"/>
  <c r="AQ21" i="7"/>
  <c r="AP24" i="7"/>
  <c r="AQ24" i="7"/>
  <c r="AP25" i="7"/>
  <c r="AQ25" i="7"/>
  <c r="AP26" i="7"/>
  <c r="AQ26" i="7"/>
  <c r="AP27" i="7"/>
  <c r="AQ27" i="7"/>
  <c r="AP28" i="7"/>
  <c r="AQ28" i="7"/>
  <c r="AP29" i="7"/>
  <c r="AQ29" i="7"/>
  <c r="AP30" i="7"/>
  <c r="AQ30" i="7"/>
  <c r="AP32" i="7"/>
  <c r="AQ32" i="7"/>
  <c r="AP33" i="7"/>
  <c r="AQ33" i="7"/>
  <c r="AP34" i="7"/>
  <c r="AQ34" i="7"/>
  <c r="AP35" i="7"/>
  <c r="AQ35" i="7"/>
  <c r="AP36" i="7"/>
  <c r="AQ36" i="7"/>
  <c r="AP37" i="7"/>
  <c r="AQ37" i="7"/>
  <c r="AP38" i="7"/>
  <c r="AQ38" i="7"/>
  <c r="AP39" i="7"/>
  <c r="AQ39" i="7"/>
  <c r="AP40" i="7"/>
  <c r="AQ40" i="7"/>
  <c r="AP41" i="7"/>
  <c r="AQ41" i="7"/>
  <c r="AP42" i="7"/>
  <c r="AQ42" i="7"/>
  <c r="AP43" i="7"/>
  <c r="AQ43" i="7"/>
  <c r="AP44" i="7"/>
  <c r="AQ44" i="7"/>
  <c r="AP45" i="7"/>
  <c r="AQ45" i="7"/>
  <c r="AP46" i="7"/>
  <c r="AQ46" i="7"/>
  <c r="AP47" i="7"/>
  <c r="AQ47" i="7"/>
  <c r="AP48" i="7"/>
  <c r="AQ48" i="7"/>
  <c r="AP49" i="7"/>
  <c r="AQ49" i="7"/>
  <c r="AP50" i="7"/>
  <c r="AQ50" i="7"/>
  <c r="AP51" i="7"/>
  <c r="AQ51" i="7"/>
  <c r="AP52" i="7"/>
  <c r="AQ52" i="7"/>
  <c r="AP53" i="7"/>
  <c r="AQ53" i="7"/>
  <c r="AP54" i="7"/>
  <c r="AQ54" i="7"/>
  <c r="AP55" i="7"/>
  <c r="AQ55" i="7"/>
  <c r="AP57" i="7"/>
  <c r="AQ57" i="7"/>
  <c r="AP58" i="7"/>
  <c r="AQ58" i="7"/>
  <c r="AP59" i="7"/>
  <c r="AQ59" i="7"/>
  <c r="AP60" i="7"/>
  <c r="AQ60" i="7"/>
  <c r="AP61" i="7"/>
  <c r="AQ61" i="7"/>
  <c r="AP62" i="7"/>
  <c r="AQ62" i="7"/>
  <c r="AP63" i="7"/>
  <c r="AQ63" i="7"/>
  <c r="AP64" i="7"/>
  <c r="AQ64" i="7"/>
  <c r="AP65" i="7"/>
  <c r="AQ65" i="7"/>
  <c r="AP66" i="7"/>
  <c r="AQ66" i="7"/>
  <c r="AP67" i="7"/>
  <c r="AQ67" i="7"/>
  <c r="AP68" i="7"/>
  <c r="AQ68" i="7"/>
  <c r="AP69" i="7"/>
  <c r="AQ69" i="7"/>
  <c r="AK9" i="7"/>
  <c r="AL9" i="7"/>
  <c r="AK10" i="7"/>
  <c r="AL10" i="7"/>
  <c r="AK11" i="7"/>
  <c r="AL11" i="7"/>
  <c r="AK12" i="7"/>
  <c r="AL12" i="7"/>
  <c r="AK13" i="7"/>
  <c r="AL13" i="7"/>
  <c r="AK14" i="7"/>
  <c r="AL14" i="7"/>
  <c r="AK15" i="7"/>
  <c r="AL15" i="7"/>
  <c r="AK16" i="7"/>
  <c r="AL16" i="7"/>
  <c r="AK17" i="7"/>
  <c r="J37" i="13" s="1"/>
  <c r="AL17" i="7"/>
  <c r="J38" i="13" s="1"/>
  <c r="AK18" i="7"/>
  <c r="J39" i="13" s="1"/>
  <c r="AL18" i="7"/>
  <c r="J40" i="13" s="1"/>
  <c r="AK21" i="7"/>
  <c r="AL21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K47" i="7"/>
  <c r="AL47" i="7"/>
  <c r="AK48" i="7"/>
  <c r="AL48" i="7"/>
  <c r="AK49" i="7"/>
  <c r="AL49" i="7"/>
  <c r="AK50" i="7"/>
  <c r="AL50" i="7"/>
  <c r="AK51" i="7"/>
  <c r="AL51" i="7"/>
  <c r="AK52" i="7"/>
  <c r="AL52" i="7"/>
  <c r="AK53" i="7"/>
  <c r="AL53" i="7"/>
  <c r="AK54" i="7"/>
  <c r="AL54" i="7"/>
  <c r="AK55" i="7"/>
  <c r="AL55" i="7"/>
  <c r="AK57" i="7"/>
  <c r="AL57" i="7"/>
  <c r="AK58" i="7"/>
  <c r="AL58" i="7"/>
  <c r="AK59" i="7"/>
  <c r="AL59" i="7"/>
  <c r="AK60" i="7"/>
  <c r="AL60" i="7"/>
  <c r="AK61" i="7"/>
  <c r="AL61" i="7"/>
  <c r="AK62" i="7"/>
  <c r="AL62" i="7"/>
  <c r="AK63" i="7"/>
  <c r="AL63" i="7"/>
  <c r="AK64" i="7"/>
  <c r="AL64" i="7"/>
  <c r="AK65" i="7"/>
  <c r="AL65" i="7"/>
  <c r="AK66" i="7"/>
  <c r="AL66" i="7"/>
  <c r="AK67" i="7"/>
  <c r="AL67" i="7"/>
  <c r="AK68" i="7"/>
  <c r="AL68" i="7"/>
  <c r="AK69" i="7"/>
  <c r="AL69" i="7"/>
  <c r="AF9" i="7"/>
  <c r="AG9" i="7"/>
  <c r="AF10" i="7"/>
  <c r="AG10" i="7"/>
  <c r="AF11" i="7"/>
  <c r="AG11" i="7"/>
  <c r="AF12" i="7"/>
  <c r="AG12" i="7"/>
  <c r="AF13" i="7"/>
  <c r="AG13" i="7"/>
  <c r="AF14" i="7"/>
  <c r="AG14" i="7"/>
  <c r="AF15" i="7"/>
  <c r="AG15" i="7"/>
  <c r="AF16" i="7"/>
  <c r="AG16" i="7"/>
  <c r="AF17" i="7"/>
  <c r="I37" i="13" s="1"/>
  <c r="AG17" i="7"/>
  <c r="I38" i="13" s="1"/>
  <c r="AF18" i="7"/>
  <c r="I39" i="13" s="1"/>
  <c r="AG18" i="7"/>
  <c r="I40" i="13" s="1"/>
  <c r="AF21" i="7"/>
  <c r="AG21" i="7"/>
  <c r="AF24" i="7"/>
  <c r="AG24" i="7"/>
  <c r="AF25" i="7"/>
  <c r="AG25" i="7"/>
  <c r="AF26" i="7"/>
  <c r="AG26" i="7"/>
  <c r="AF27" i="7"/>
  <c r="AG27" i="7"/>
  <c r="AF28" i="7"/>
  <c r="AG28" i="7"/>
  <c r="AF29" i="7"/>
  <c r="AG29" i="7"/>
  <c r="AF30" i="7"/>
  <c r="AG30" i="7"/>
  <c r="AF32" i="7"/>
  <c r="AG32" i="7"/>
  <c r="AF33" i="7"/>
  <c r="AG33" i="7"/>
  <c r="AF34" i="7"/>
  <c r="AG34" i="7"/>
  <c r="AF35" i="7"/>
  <c r="AG35" i="7"/>
  <c r="AF36" i="7"/>
  <c r="AG36" i="7"/>
  <c r="AF37" i="7"/>
  <c r="AG37" i="7"/>
  <c r="AF38" i="7"/>
  <c r="AG38" i="7"/>
  <c r="AF39" i="7"/>
  <c r="AG39" i="7"/>
  <c r="AF40" i="7"/>
  <c r="AG40" i="7"/>
  <c r="AF41" i="7"/>
  <c r="AG41" i="7"/>
  <c r="AF42" i="7"/>
  <c r="AG42" i="7"/>
  <c r="AF43" i="7"/>
  <c r="AG43" i="7"/>
  <c r="AF44" i="7"/>
  <c r="AG44" i="7"/>
  <c r="AF45" i="7"/>
  <c r="AG45" i="7"/>
  <c r="AF46" i="7"/>
  <c r="AG46" i="7"/>
  <c r="AF47" i="7"/>
  <c r="AG47" i="7"/>
  <c r="AF48" i="7"/>
  <c r="AG48" i="7"/>
  <c r="AF49" i="7"/>
  <c r="AG49" i="7"/>
  <c r="AF50" i="7"/>
  <c r="AG50" i="7"/>
  <c r="AF51" i="7"/>
  <c r="AG51" i="7"/>
  <c r="AF52" i="7"/>
  <c r="AG52" i="7"/>
  <c r="AF53" i="7"/>
  <c r="AG53" i="7"/>
  <c r="AF54" i="7"/>
  <c r="AG54" i="7"/>
  <c r="AF55" i="7"/>
  <c r="AG55" i="7"/>
  <c r="AG57" i="7"/>
  <c r="AF58" i="7"/>
  <c r="AG58" i="7"/>
  <c r="AF59" i="7"/>
  <c r="AG59" i="7"/>
  <c r="AF60" i="7"/>
  <c r="AG60" i="7"/>
  <c r="AF61" i="7"/>
  <c r="AG61" i="7"/>
  <c r="AF62" i="7"/>
  <c r="AG62" i="7"/>
  <c r="AF63" i="7"/>
  <c r="AG63" i="7"/>
  <c r="AF64" i="7"/>
  <c r="AG64" i="7"/>
  <c r="AF65" i="7"/>
  <c r="AG65" i="7"/>
  <c r="AF66" i="7"/>
  <c r="AG66" i="7"/>
  <c r="AF67" i="7"/>
  <c r="AG67" i="7"/>
  <c r="AF68" i="7"/>
  <c r="AG68" i="7"/>
  <c r="AF69" i="7"/>
  <c r="AG69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H37" i="13" s="1"/>
  <c r="AB17" i="7"/>
  <c r="H38" i="13" s="1"/>
  <c r="AA18" i="7"/>
  <c r="H39" i="13" s="1"/>
  <c r="AB18" i="7"/>
  <c r="H40" i="13" s="1"/>
  <c r="AA21" i="7"/>
  <c r="AB21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B53" i="7"/>
  <c r="AA54" i="7"/>
  <c r="AB54" i="7"/>
  <c r="AA55" i="7"/>
  <c r="AB55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AA67" i="7"/>
  <c r="AB67" i="7"/>
  <c r="AA68" i="7"/>
  <c r="AB68" i="7"/>
  <c r="AA69" i="7"/>
  <c r="AB69" i="7"/>
  <c r="V9" i="7"/>
  <c r="W9" i="7"/>
  <c r="V10" i="7"/>
  <c r="W10" i="7"/>
  <c r="V11" i="7"/>
  <c r="W11" i="7"/>
  <c r="V12" i="7"/>
  <c r="W12" i="7"/>
  <c r="V13" i="7"/>
  <c r="W13" i="7"/>
  <c r="V14" i="7"/>
  <c r="W14" i="7"/>
  <c r="V15" i="7"/>
  <c r="W15" i="7"/>
  <c r="V16" i="7"/>
  <c r="W16" i="7"/>
  <c r="V17" i="7"/>
  <c r="G37" i="13" s="1"/>
  <c r="W17" i="7"/>
  <c r="G38" i="13" s="1"/>
  <c r="V18" i="7"/>
  <c r="G39" i="13" s="1"/>
  <c r="W18" i="7"/>
  <c r="G40" i="13" s="1"/>
  <c r="V21" i="7"/>
  <c r="W21" i="7"/>
  <c r="V24" i="7"/>
  <c r="W24" i="7"/>
  <c r="V25" i="7"/>
  <c r="W25" i="7"/>
  <c r="V26" i="7"/>
  <c r="W26" i="7"/>
  <c r="V27" i="7"/>
  <c r="W27" i="7"/>
  <c r="V28" i="7"/>
  <c r="W28" i="7"/>
  <c r="V29" i="7"/>
  <c r="W29" i="7"/>
  <c r="V30" i="7"/>
  <c r="W30" i="7"/>
  <c r="V32" i="7"/>
  <c r="W32" i="7"/>
  <c r="V33" i="7"/>
  <c r="W33" i="7"/>
  <c r="V34" i="7"/>
  <c r="W34" i="7"/>
  <c r="V35" i="7"/>
  <c r="W35" i="7"/>
  <c r="V36" i="7"/>
  <c r="W36" i="7"/>
  <c r="V37" i="7"/>
  <c r="W37" i="7"/>
  <c r="V38" i="7"/>
  <c r="W38" i="7"/>
  <c r="V39" i="7"/>
  <c r="W39" i="7"/>
  <c r="V40" i="7"/>
  <c r="W40" i="7"/>
  <c r="V41" i="7"/>
  <c r="W41" i="7"/>
  <c r="V42" i="7"/>
  <c r="W42" i="7"/>
  <c r="V43" i="7"/>
  <c r="W43" i="7"/>
  <c r="V44" i="7"/>
  <c r="W44" i="7"/>
  <c r="V45" i="7"/>
  <c r="W45" i="7"/>
  <c r="V46" i="7"/>
  <c r="W46" i="7"/>
  <c r="V47" i="7"/>
  <c r="W47" i="7"/>
  <c r="V48" i="7"/>
  <c r="W48" i="7"/>
  <c r="V49" i="7"/>
  <c r="W49" i="7"/>
  <c r="V50" i="7"/>
  <c r="W50" i="7"/>
  <c r="V51" i="7"/>
  <c r="W51" i="7"/>
  <c r="V52" i="7"/>
  <c r="W52" i="7"/>
  <c r="V53" i="7"/>
  <c r="W53" i="7"/>
  <c r="V54" i="7"/>
  <c r="W54" i="7"/>
  <c r="V55" i="7"/>
  <c r="W55" i="7"/>
  <c r="V57" i="7"/>
  <c r="W57" i="7"/>
  <c r="V58" i="7"/>
  <c r="W58" i="7"/>
  <c r="V59" i="7"/>
  <c r="W59" i="7"/>
  <c r="V60" i="7"/>
  <c r="W60" i="7"/>
  <c r="V61" i="7"/>
  <c r="W61" i="7"/>
  <c r="V62" i="7"/>
  <c r="W62" i="7"/>
  <c r="V63" i="7"/>
  <c r="W63" i="7"/>
  <c r="V64" i="7"/>
  <c r="W64" i="7"/>
  <c r="V65" i="7"/>
  <c r="W65" i="7"/>
  <c r="V66" i="7"/>
  <c r="W66" i="7"/>
  <c r="V67" i="7"/>
  <c r="W67" i="7"/>
  <c r="V68" i="7"/>
  <c r="W68" i="7"/>
  <c r="V69" i="7"/>
  <c r="W69" i="7"/>
  <c r="R9" i="7"/>
  <c r="Q10" i="7"/>
  <c r="R10" i="7"/>
  <c r="Q11" i="7"/>
  <c r="R11" i="7"/>
  <c r="Q12" i="7"/>
  <c r="R12" i="7"/>
  <c r="Q13" i="7"/>
  <c r="R13" i="7"/>
  <c r="Q14" i="7"/>
  <c r="R14" i="7"/>
  <c r="Q15" i="7"/>
  <c r="R15" i="7"/>
  <c r="Q16" i="7"/>
  <c r="R16" i="7"/>
  <c r="Q17" i="7"/>
  <c r="F37" i="13" s="1"/>
  <c r="R17" i="7"/>
  <c r="F38" i="13" s="1"/>
  <c r="Q18" i="7"/>
  <c r="F39" i="13" s="1"/>
  <c r="R18" i="7"/>
  <c r="F40" i="13" s="1"/>
  <c r="Q21" i="7"/>
  <c r="R21" i="7"/>
  <c r="Q24" i="7"/>
  <c r="R24" i="7"/>
  <c r="Q25" i="7"/>
  <c r="R25" i="7"/>
  <c r="Q26" i="7"/>
  <c r="R26" i="7"/>
  <c r="Q27" i="7"/>
  <c r="R27" i="7"/>
  <c r="Q28" i="7"/>
  <c r="R28" i="7"/>
  <c r="Q29" i="7"/>
  <c r="R29" i="7"/>
  <c r="Q30" i="7"/>
  <c r="R30" i="7"/>
  <c r="Q32" i="7"/>
  <c r="R32" i="7"/>
  <c r="Q33" i="7"/>
  <c r="R33" i="7"/>
  <c r="Q34" i="7"/>
  <c r="R34" i="7"/>
  <c r="Q35" i="7"/>
  <c r="R35" i="7"/>
  <c r="Q36" i="7"/>
  <c r="R36" i="7"/>
  <c r="Q37" i="7"/>
  <c r="R37" i="7"/>
  <c r="Q38" i="7"/>
  <c r="R38" i="7"/>
  <c r="Q39" i="7"/>
  <c r="R39" i="7"/>
  <c r="Q40" i="7"/>
  <c r="R40" i="7"/>
  <c r="Q41" i="7"/>
  <c r="R41" i="7"/>
  <c r="Q42" i="7"/>
  <c r="R42" i="7"/>
  <c r="Q43" i="7"/>
  <c r="R43" i="7"/>
  <c r="Q44" i="7"/>
  <c r="R44" i="7"/>
  <c r="Q45" i="7"/>
  <c r="R45" i="7"/>
  <c r="Q46" i="7"/>
  <c r="R46" i="7"/>
  <c r="Q47" i="7"/>
  <c r="R47" i="7"/>
  <c r="Q48" i="7"/>
  <c r="R48" i="7"/>
  <c r="Q49" i="7"/>
  <c r="R49" i="7"/>
  <c r="Q50" i="7"/>
  <c r="R50" i="7"/>
  <c r="Q51" i="7"/>
  <c r="R51" i="7"/>
  <c r="Q52" i="7"/>
  <c r="R52" i="7"/>
  <c r="Q53" i="7"/>
  <c r="R53" i="7"/>
  <c r="Q54" i="7"/>
  <c r="R54" i="7"/>
  <c r="Q55" i="7"/>
  <c r="R55" i="7"/>
  <c r="Q57" i="7"/>
  <c r="R57" i="7"/>
  <c r="Q58" i="7"/>
  <c r="R58" i="7"/>
  <c r="Q59" i="7"/>
  <c r="R59" i="7"/>
  <c r="Q60" i="7"/>
  <c r="R60" i="7"/>
  <c r="Q61" i="7"/>
  <c r="R61" i="7"/>
  <c r="Q62" i="7"/>
  <c r="R62" i="7"/>
  <c r="Q63" i="7"/>
  <c r="R63" i="7"/>
  <c r="Q64" i="7"/>
  <c r="R64" i="7"/>
  <c r="Q65" i="7"/>
  <c r="R65" i="7"/>
  <c r="Q66" i="7"/>
  <c r="R66" i="7"/>
  <c r="Q67" i="7"/>
  <c r="R67" i="7"/>
  <c r="Q68" i="7"/>
  <c r="R68" i="7"/>
  <c r="Q69" i="7"/>
  <c r="R69" i="7"/>
  <c r="R8" i="7"/>
  <c r="Q8" i="7"/>
  <c r="R7" i="7"/>
  <c r="Q7" i="7"/>
  <c r="O7" i="7"/>
  <c r="M65" i="7"/>
  <c r="M64" i="7"/>
  <c r="L65" i="7"/>
  <c r="L64" i="7"/>
  <c r="L57" i="7"/>
  <c r="L69" i="7"/>
  <c r="L68" i="7"/>
  <c r="L67" i="7"/>
  <c r="L66" i="7"/>
  <c r="L63" i="7"/>
  <c r="L62" i="7"/>
  <c r="L61" i="7"/>
  <c r="L60" i="7"/>
  <c r="L59" i="7"/>
  <c r="L58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0" i="7"/>
  <c r="L29" i="7"/>
  <c r="L28" i="7"/>
  <c r="L27" i="7"/>
  <c r="L26" i="7"/>
  <c r="L25" i="7"/>
  <c r="L24" i="7"/>
  <c r="L21" i="7"/>
  <c r="L18" i="7"/>
  <c r="E39" i="13" s="1"/>
  <c r="L17" i="7"/>
  <c r="E37" i="13" s="1"/>
  <c r="L16" i="7"/>
  <c r="L15" i="7"/>
  <c r="L14" i="7"/>
  <c r="L13" i="7"/>
  <c r="L12" i="7"/>
  <c r="L11" i="7"/>
  <c r="L10" i="7"/>
  <c r="L7" i="7"/>
  <c r="L70" i="7" l="1"/>
  <c r="M7" i="7"/>
  <c r="O95" i="14"/>
  <c r="N95" i="14"/>
  <c r="M95" i="14"/>
  <c r="L95" i="14"/>
  <c r="K95" i="14"/>
  <c r="J95" i="14"/>
  <c r="I95" i="14"/>
  <c r="H95" i="14"/>
  <c r="G95" i="14"/>
  <c r="F95" i="14"/>
  <c r="E95" i="14"/>
  <c r="O94" i="14"/>
  <c r="N94" i="14"/>
  <c r="M94" i="14"/>
  <c r="L94" i="14"/>
  <c r="K94" i="14"/>
  <c r="J94" i="14"/>
  <c r="I94" i="14"/>
  <c r="H94" i="14"/>
  <c r="G94" i="14"/>
  <c r="F94" i="14"/>
  <c r="E94" i="14"/>
  <c r="O91" i="14"/>
  <c r="N91" i="14"/>
  <c r="M91" i="14"/>
  <c r="L91" i="14"/>
  <c r="K91" i="14"/>
  <c r="J91" i="14"/>
  <c r="I91" i="14"/>
  <c r="H91" i="14"/>
  <c r="G91" i="14"/>
  <c r="F91" i="14"/>
  <c r="E91" i="14"/>
  <c r="O90" i="14"/>
  <c r="N90" i="14"/>
  <c r="M90" i="14"/>
  <c r="L90" i="14"/>
  <c r="K90" i="14"/>
  <c r="J90" i="14"/>
  <c r="I90" i="14"/>
  <c r="H90" i="14"/>
  <c r="G90" i="14"/>
  <c r="F90" i="14"/>
  <c r="E90" i="14"/>
  <c r="H58" i="7" l="1"/>
  <c r="D96" i="13" s="1"/>
  <c r="G58" i="7"/>
  <c r="D95" i="13" s="1"/>
  <c r="F58" i="7"/>
  <c r="D96" i="12" s="1"/>
  <c r="E58" i="7"/>
  <c r="D95" i="12" s="1"/>
  <c r="F65" i="7"/>
  <c r="D92" i="12" s="1"/>
  <c r="E65" i="7"/>
  <c r="D91" i="12" s="1"/>
  <c r="O92" i="13"/>
  <c r="O91" i="13"/>
  <c r="BI65" i="7"/>
  <c r="O92" i="12" s="1"/>
  <c r="BH65" i="7"/>
  <c r="O91" i="12" s="1"/>
  <c r="N92" i="13"/>
  <c r="N91" i="13"/>
  <c r="BD65" i="7"/>
  <c r="N92" i="12" s="1"/>
  <c r="BC65" i="7"/>
  <c r="N91" i="12" s="1"/>
  <c r="M92" i="13"/>
  <c r="M91" i="13"/>
  <c r="AY65" i="7"/>
  <c r="M92" i="12" s="1"/>
  <c r="AX65" i="7"/>
  <c r="M91" i="12" s="1"/>
  <c r="L92" i="13"/>
  <c r="L91" i="13"/>
  <c r="AT65" i="7"/>
  <c r="L92" i="12" s="1"/>
  <c r="AS65" i="7"/>
  <c r="L91" i="12" s="1"/>
  <c r="K92" i="13"/>
  <c r="K91" i="13"/>
  <c r="AO65" i="7"/>
  <c r="K92" i="12" s="1"/>
  <c r="AN65" i="7"/>
  <c r="K91" i="12" s="1"/>
  <c r="J92" i="13"/>
  <c r="J91" i="13"/>
  <c r="AJ65" i="7"/>
  <c r="J92" i="12" s="1"/>
  <c r="AI65" i="7"/>
  <c r="J91" i="12" s="1"/>
  <c r="I92" i="13"/>
  <c r="I91" i="13"/>
  <c r="AE65" i="7"/>
  <c r="I92" i="12" s="1"/>
  <c r="AD65" i="7"/>
  <c r="I91" i="12" s="1"/>
  <c r="H92" i="13"/>
  <c r="H91" i="13"/>
  <c r="Z65" i="7"/>
  <c r="H92" i="12" s="1"/>
  <c r="Y65" i="7"/>
  <c r="H91" i="12" s="1"/>
  <c r="G92" i="13"/>
  <c r="G91" i="13"/>
  <c r="U65" i="7"/>
  <c r="G92" i="12" s="1"/>
  <c r="T65" i="7"/>
  <c r="G91" i="12" s="1"/>
  <c r="F92" i="13"/>
  <c r="F91" i="13"/>
  <c r="P65" i="7"/>
  <c r="F92" i="12" s="1"/>
  <c r="O65" i="7"/>
  <c r="F91" i="12" s="1"/>
  <c r="E92" i="13"/>
  <c r="E91" i="13"/>
  <c r="K65" i="7"/>
  <c r="E92" i="12" s="1"/>
  <c r="J65" i="7"/>
  <c r="E91" i="12" s="1"/>
  <c r="H65" i="7"/>
  <c r="D92" i="13" s="1"/>
  <c r="G65" i="7"/>
  <c r="D91" i="13" s="1"/>
  <c r="O96" i="13"/>
  <c r="O95" i="13"/>
  <c r="BI58" i="7"/>
  <c r="O96" i="12" s="1"/>
  <c r="BH58" i="7"/>
  <c r="O95" i="12" s="1"/>
  <c r="N96" i="13"/>
  <c r="N95" i="13"/>
  <c r="BD58" i="7"/>
  <c r="N96" i="12" s="1"/>
  <c r="BC58" i="7"/>
  <c r="N95" i="12" s="1"/>
  <c r="M96" i="13"/>
  <c r="M95" i="13"/>
  <c r="AY58" i="7"/>
  <c r="M96" i="12" s="1"/>
  <c r="AX58" i="7"/>
  <c r="M95" i="12" s="1"/>
  <c r="L96" i="13"/>
  <c r="L95" i="13"/>
  <c r="AT58" i="7"/>
  <c r="L96" i="12" s="1"/>
  <c r="AS58" i="7"/>
  <c r="L95" i="12" s="1"/>
  <c r="K96" i="13"/>
  <c r="K95" i="13"/>
  <c r="AO58" i="7"/>
  <c r="K96" i="12" s="1"/>
  <c r="AN58" i="7"/>
  <c r="K95" i="12" s="1"/>
  <c r="J96" i="13"/>
  <c r="J95" i="13"/>
  <c r="AJ58" i="7"/>
  <c r="J96" i="12" s="1"/>
  <c r="AI58" i="7"/>
  <c r="J95" i="12" s="1"/>
  <c r="I96" i="13"/>
  <c r="I95" i="13"/>
  <c r="AE58" i="7"/>
  <c r="I96" i="12" s="1"/>
  <c r="AD58" i="7"/>
  <c r="I95" i="12" s="1"/>
  <c r="H96" i="13"/>
  <c r="H95" i="13"/>
  <c r="Z58" i="7"/>
  <c r="H96" i="12" s="1"/>
  <c r="Y58" i="7"/>
  <c r="H95" i="12" s="1"/>
  <c r="G96" i="13"/>
  <c r="G95" i="13"/>
  <c r="U58" i="7"/>
  <c r="G96" i="12" s="1"/>
  <c r="T58" i="7"/>
  <c r="G95" i="12" s="1"/>
  <c r="F96" i="13"/>
  <c r="F95" i="13"/>
  <c r="P58" i="7"/>
  <c r="F96" i="12" s="1"/>
  <c r="O58" i="7"/>
  <c r="F95" i="12" s="1"/>
  <c r="M58" i="7"/>
  <c r="E96" i="13" s="1"/>
  <c r="E95" i="13"/>
  <c r="K58" i="7"/>
  <c r="E96" i="12" s="1"/>
  <c r="J58" i="7"/>
  <c r="E95" i="12" s="1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4" i="14"/>
  <c r="O45" i="14"/>
  <c r="O46" i="14"/>
  <c r="O47" i="14"/>
  <c r="O48" i="14"/>
  <c r="O49" i="14"/>
  <c r="O50" i="14"/>
  <c r="O51" i="14"/>
  <c r="O52" i="14"/>
  <c r="O53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2" i="14"/>
  <c r="O93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7" i="14"/>
  <c r="O6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4" i="14"/>
  <c r="N45" i="14"/>
  <c r="N46" i="14"/>
  <c r="N47" i="14"/>
  <c r="N48" i="14"/>
  <c r="N49" i="14"/>
  <c r="N50" i="14"/>
  <c r="N51" i="14"/>
  <c r="N52" i="14"/>
  <c r="N53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2" i="14"/>
  <c r="N93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7" i="14"/>
  <c r="N6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4" i="14"/>
  <c r="M45" i="14"/>
  <c r="M46" i="14"/>
  <c r="M47" i="14"/>
  <c r="M48" i="14"/>
  <c r="M49" i="14"/>
  <c r="M50" i="14"/>
  <c r="M51" i="14"/>
  <c r="M52" i="14"/>
  <c r="M53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2" i="14"/>
  <c r="M93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7" i="14"/>
  <c r="M6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4" i="14"/>
  <c r="L45" i="14"/>
  <c r="L46" i="14"/>
  <c r="L47" i="14"/>
  <c r="L48" i="14"/>
  <c r="L49" i="14"/>
  <c r="L50" i="14"/>
  <c r="L51" i="14"/>
  <c r="L52" i="14"/>
  <c r="L53" i="14"/>
  <c r="L56" i="14"/>
  <c r="L57" i="14"/>
  <c r="L58" i="14"/>
  <c r="L59" i="14"/>
  <c r="L60" i="14"/>
  <c r="L61" i="14"/>
  <c r="L62" i="14"/>
  <c r="L63" i="14"/>
  <c r="L64" i="14"/>
  <c r="L65" i="14"/>
  <c r="L66" i="14"/>
  <c r="L67" i="14"/>
  <c r="L68" i="14"/>
  <c r="L69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4" i="14"/>
  <c r="L85" i="14"/>
  <c r="L86" i="14"/>
  <c r="L87" i="14"/>
  <c r="L88" i="14"/>
  <c r="L89" i="14"/>
  <c r="L92" i="14"/>
  <c r="L93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L126" i="14"/>
  <c r="L127" i="14"/>
  <c r="L128" i="14"/>
  <c r="L129" i="14"/>
  <c r="L130" i="14"/>
  <c r="L131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4" i="14"/>
  <c r="K45" i="14"/>
  <c r="K46" i="14"/>
  <c r="K47" i="14"/>
  <c r="K48" i="14"/>
  <c r="K49" i="14"/>
  <c r="K50" i="14"/>
  <c r="K51" i="14"/>
  <c r="K52" i="14"/>
  <c r="K53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2" i="14"/>
  <c r="K93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L7" i="14"/>
  <c r="L133" i="14" s="1"/>
  <c r="L6" i="14"/>
  <c r="K7" i="14"/>
  <c r="K6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4" i="14"/>
  <c r="J45" i="14"/>
  <c r="J46" i="14"/>
  <c r="J47" i="14"/>
  <c r="J48" i="14"/>
  <c r="J49" i="14"/>
  <c r="J50" i="14"/>
  <c r="J51" i="14"/>
  <c r="J52" i="14"/>
  <c r="J53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2" i="14"/>
  <c r="J93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7" i="14"/>
  <c r="J133" i="14" s="1"/>
  <c r="J6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4" i="14"/>
  <c r="I45" i="14"/>
  <c r="I46" i="14"/>
  <c r="I47" i="14"/>
  <c r="I48" i="14"/>
  <c r="I49" i="14"/>
  <c r="I50" i="14"/>
  <c r="I51" i="14"/>
  <c r="I52" i="14"/>
  <c r="I53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2" i="14"/>
  <c r="I93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7" i="14"/>
  <c r="I6" i="14"/>
  <c r="L132" i="14" l="1"/>
  <c r="I132" i="14"/>
  <c r="M132" i="14"/>
  <c r="M133" i="14"/>
  <c r="I133" i="14"/>
  <c r="J132" i="14"/>
  <c r="N132" i="14"/>
  <c r="N133" i="14"/>
  <c r="K132" i="14"/>
  <c r="O132" i="14"/>
  <c r="K133" i="14"/>
  <c r="O133" i="14"/>
  <c r="J135" i="14"/>
  <c r="I135" i="14"/>
  <c r="J3" i="7"/>
  <c r="O3" i="7" s="1"/>
  <c r="T3" i="7" s="1"/>
  <c r="Y3" i="7" s="1"/>
  <c r="AD3" i="7" s="1"/>
  <c r="AI3" i="7" s="1"/>
  <c r="AN3" i="7" s="1"/>
  <c r="AS3" i="7" s="1"/>
  <c r="AX3" i="7" s="1"/>
  <c r="BC3" i="7" s="1"/>
  <c r="BH3" i="7" s="1"/>
  <c r="I2" i="15"/>
  <c r="K2" i="15" s="1"/>
  <c r="M2" i="15" s="1"/>
  <c r="O2" i="15" s="1"/>
  <c r="Q2" i="15" s="1"/>
  <c r="S2" i="15" s="1"/>
  <c r="U2" i="15" s="1"/>
  <c r="W2" i="15" s="1"/>
  <c r="Y2" i="15" s="1"/>
  <c r="AA2" i="15" s="1"/>
  <c r="AC2" i="15" s="1"/>
  <c r="E3" i="14"/>
  <c r="AD70" i="15"/>
  <c r="AD71" i="15" s="1"/>
  <c r="AC70" i="15"/>
  <c r="AB70" i="15"/>
  <c r="AB71" i="15" s="1"/>
  <c r="AA70" i="15"/>
  <c r="Z70" i="15"/>
  <c r="Z71" i="15" s="1"/>
  <c r="Y70" i="15"/>
  <c r="W70" i="15"/>
  <c r="U70" i="15"/>
  <c r="S70" i="15"/>
  <c r="Q70" i="15"/>
  <c r="O132" i="13"/>
  <c r="O131" i="13"/>
  <c r="BI69" i="7"/>
  <c r="O132" i="12" s="1"/>
  <c r="BH69" i="7"/>
  <c r="O131" i="12" s="1"/>
  <c r="N132" i="13"/>
  <c r="N131" i="13"/>
  <c r="BD69" i="7"/>
  <c r="N132" i="12" s="1"/>
  <c r="BC69" i="7"/>
  <c r="N131" i="12" s="1"/>
  <c r="M132" i="13"/>
  <c r="M131" i="13"/>
  <c r="AY69" i="7"/>
  <c r="M132" i="12" s="1"/>
  <c r="AX69" i="7"/>
  <c r="M131" i="12" s="1"/>
  <c r="O130" i="13"/>
  <c r="O129" i="13"/>
  <c r="BI68" i="7"/>
  <c r="O130" i="12" s="1"/>
  <c r="BH68" i="7"/>
  <c r="O129" i="12" s="1"/>
  <c r="N130" i="13"/>
  <c r="N129" i="13"/>
  <c r="BD68" i="7"/>
  <c r="N130" i="12" s="1"/>
  <c r="BC68" i="7"/>
  <c r="N129" i="12" s="1"/>
  <c r="M130" i="13"/>
  <c r="M129" i="13"/>
  <c r="AY68" i="7"/>
  <c r="M130" i="12" s="1"/>
  <c r="AX68" i="7"/>
  <c r="M129" i="12" s="1"/>
  <c r="O128" i="13"/>
  <c r="O127" i="13"/>
  <c r="BI67" i="7"/>
  <c r="O128" i="12" s="1"/>
  <c r="BH67" i="7"/>
  <c r="O127" i="12" s="1"/>
  <c r="N128" i="13"/>
  <c r="N127" i="13"/>
  <c r="BD67" i="7"/>
  <c r="N128" i="12" s="1"/>
  <c r="BC67" i="7"/>
  <c r="N127" i="12" s="1"/>
  <c r="M128" i="13"/>
  <c r="M127" i="13"/>
  <c r="AY67" i="7"/>
  <c r="M128" i="12" s="1"/>
  <c r="AX67" i="7"/>
  <c r="M127" i="12" s="1"/>
  <c r="O126" i="13"/>
  <c r="O125" i="13"/>
  <c r="BI66" i="7"/>
  <c r="O126" i="12" s="1"/>
  <c r="BH66" i="7"/>
  <c r="O125" i="12" s="1"/>
  <c r="N126" i="13"/>
  <c r="N125" i="13"/>
  <c r="BD66" i="7"/>
  <c r="N126" i="12" s="1"/>
  <c r="BC66" i="7"/>
  <c r="N125" i="12" s="1"/>
  <c r="M126" i="13"/>
  <c r="M125" i="13"/>
  <c r="AY66" i="7"/>
  <c r="M126" i="12" s="1"/>
  <c r="AX66" i="7"/>
  <c r="M125" i="12" s="1"/>
  <c r="O90" i="13"/>
  <c r="O89" i="13"/>
  <c r="BI64" i="7"/>
  <c r="O90" i="12" s="1"/>
  <c r="BH64" i="7"/>
  <c r="O89" i="12" s="1"/>
  <c r="N90" i="13"/>
  <c r="N89" i="13"/>
  <c r="BD64" i="7"/>
  <c r="N90" i="12" s="1"/>
  <c r="BC64" i="7"/>
  <c r="N89" i="12" s="1"/>
  <c r="M90" i="13"/>
  <c r="M89" i="13"/>
  <c r="AY64" i="7"/>
  <c r="M90" i="12" s="1"/>
  <c r="AX64" i="7"/>
  <c r="M89" i="12" s="1"/>
  <c r="O88" i="13"/>
  <c r="O87" i="13"/>
  <c r="BI63" i="7"/>
  <c r="O88" i="12" s="1"/>
  <c r="BH63" i="7"/>
  <c r="O87" i="12" s="1"/>
  <c r="N88" i="13"/>
  <c r="N87" i="13"/>
  <c r="BD63" i="7"/>
  <c r="N88" i="12" s="1"/>
  <c r="BC63" i="7"/>
  <c r="N87" i="12" s="1"/>
  <c r="M88" i="13"/>
  <c r="M87" i="13"/>
  <c r="AY63" i="7"/>
  <c r="M88" i="12" s="1"/>
  <c r="AX63" i="7"/>
  <c r="M87" i="12" s="1"/>
  <c r="O86" i="13"/>
  <c r="O85" i="13"/>
  <c r="BI62" i="7"/>
  <c r="O86" i="12" s="1"/>
  <c r="BH62" i="7"/>
  <c r="O85" i="12" s="1"/>
  <c r="N86" i="13"/>
  <c r="N85" i="13"/>
  <c r="BD62" i="7"/>
  <c r="N86" i="12" s="1"/>
  <c r="BC62" i="7"/>
  <c r="N85" i="12" s="1"/>
  <c r="M86" i="13"/>
  <c r="M85" i="13"/>
  <c r="AY62" i="7"/>
  <c r="M86" i="12" s="1"/>
  <c r="AX62" i="7"/>
  <c r="M85" i="12" s="1"/>
  <c r="O84" i="13"/>
  <c r="O83" i="13"/>
  <c r="BI61" i="7"/>
  <c r="O84" i="12" s="1"/>
  <c r="BH61" i="7"/>
  <c r="O83" i="12" s="1"/>
  <c r="N84" i="13"/>
  <c r="N83" i="13"/>
  <c r="BD61" i="7"/>
  <c r="N84" i="12" s="1"/>
  <c r="BC61" i="7"/>
  <c r="N83" i="12" s="1"/>
  <c r="M84" i="13"/>
  <c r="M83" i="13"/>
  <c r="AY61" i="7"/>
  <c r="M84" i="12" s="1"/>
  <c r="AX61" i="7"/>
  <c r="M83" i="12" s="1"/>
  <c r="O100" i="13"/>
  <c r="O99" i="13"/>
  <c r="BI60" i="7"/>
  <c r="O100" i="12" s="1"/>
  <c r="BH60" i="7"/>
  <c r="O99" i="12" s="1"/>
  <c r="N100" i="13"/>
  <c r="N99" i="13"/>
  <c r="BD60" i="7"/>
  <c r="N100" i="12" s="1"/>
  <c r="BC60" i="7"/>
  <c r="N99" i="12" s="1"/>
  <c r="M100" i="13"/>
  <c r="M99" i="13"/>
  <c r="AY60" i="7"/>
  <c r="M100" i="12" s="1"/>
  <c r="AX60" i="7"/>
  <c r="M99" i="12" s="1"/>
  <c r="O98" i="13"/>
  <c r="O97" i="13"/>
  <c r="BI59" i="7"/>
  <c r="O98" i="12" s="1"/>
  <c r="BH59" i="7"/>
  <c r="O97" i="12" s="1"/>
  <c r="N98" i="13"/>
  <c r="N97" i="13"/>
  <c r="BD59" i="7"/>
  <c r="N98" i="12" s="1"/>
  <c r="BC59" i="7"/>
  <c r="N97" i="12" s="1"/>
  <c r="M98" i="13"/>
  <c r="M97" i="13"/>
  <c r="AY59" i="7"/>
  <c r="M98" i="12" s="1"/>
  <c r="AX59" i="7"/>
  <c r="M97" i="12" s="1"/>
  <c r="O94" i="13"/>
  <c r="O93" i="13"/>
  <c r="BI57" i="7"/>
  <c r="O94" i="12" s="1"/>
  <c r="BH57" i="7"/>
  <c r="O93" i="12" s="1"/>
  <c r="N94" i="13"/>
  <c r="N93" i="13"/>
  <c r="BD57" i="7"/>
  <c r="N94" i="12" s="1"/>
  <c r="BC57" i="7"/>
  <c r="N93" i="12" s="1"/>
  <c r="M94" i="13"/>
  <c r="M93" i="13"/>
  <c r="AY57" i="7"/>
  <c r="M94" i="12" s="1"/>
  <c r="AX57" i="7"/>
  <c r="M93" i="12" s="1"/>
  <c r="O124" i="13"/>
  <c r="O123" i="13"/>
  <c r="O124" i="12"/>
  <c r="O123" i="12"/>
  <c r="N124" i="13"/>
  <c r="N123" i="13"/>
  <c r="N124" i="12"/>
  <c r="N123" i="12"/>
  <c r="M124" i="13"/>
  <c r="M123" i="13"/>
  <c r="M124" i="12"/>
  <c r="M123" i="12"/>
  <c r="O122" i="13"/>
  <c r="O121" i="13"/>
  <c r="BI55" i="7"/>
  <c r="O122" i="12" s="1"/>
  <c r="BH55" i="7"/>
  <c r="O121" i="12" s="1"/>
  <c r="N122" i="13"/>
  <c r="N121" i="13"/>
  <c r="BD55" i="7"/>
  <c r="N122" i="12" s="1"/>
  <c r="BC55" i="7"/>
  <c r="N121" i="12" s="1"/>
  <c r="M122" i="13"/>
  <c r="M121" i="13"/>
  <c r="AY55" i="7"/>
  <c r="M122" i="12" s="1"/>
  <c r="AX55" i="7"/>
  <c r="M121" i="12" s="1"/>
  <c r="O120" i="13"/>
  <c r="O119" i="13"/>
  <c r="BI54" i="7"/>
  <c r="O120" i="12" s="1"/>
  <c r="BH54" i="7"/>
  <c r="O119" i="12" s="1"/>
  <c r="N120" i="13"/>
  <c r="N119" i="13"/>
  <c r="BD54" i="7"/>
  <c r="N120" i="12" s="1"/>
  <c r="BC54" i="7"/>
  <c r="N119" i="12" s="1"/>
  <c r="M120" i="13"/>
  <c r="M119" i="13"/>
  <c r="AY54" i="7"/>
  <c r="M120" i="12" s="1"/>
  <c r="AX54" i="7"/>
  <c r="M119" i="12" s="1"/>
  <c r="O118" i="13"/>
  <c r="O117" i="13"/>
  <c r="BI53" i="7"/>
  <c r="O118" i="12" s="1"/>
  <c r="BH53" i="7"/>
  <c r="O117" i="12" s="1"/>
  <c r="N118" i="13"/>
  <c r="N117" i="13"/>
  <c r="BD53" i="7"/>
  <c r="N118" i="12" s="1"/>
  <c r="BC53" i="7"/>
  <c r="N117" i="12" s="1"/>
  <c r="M118" i="13"/>
  <c r="M117" i="13"/>
  <c r="AY53" i="7"/>
  <c r="M118" i="12" s="1"/>
  <c r="AX53" i="7"/>
  <c r="M117" i="12" s="1"/>
  <c r="O116" i="13"/>
  <c r="O115" i="13"/>
  <c r="BI52" i="7"/>
  <c r="O116" i="12" s="1"/>
  <c r="BH52" i="7"/>
  <c r="O115" i="12" s="1"/>
  <c r="N116" i="13"/>
  <c r="N115" i="13"/>
  <c r="BD52" i="7"/>
  <c r="N116" i="12" s="1"/>
  <c r="BC52" i="7"/>
  <c r="N115" i="12" s="1"/>
  <c r="M116" i="13"/>
  <c r="M115" i="13"/>
  <c r="AY52" i="7"/>
  <c r="M116" i="12" s="1"/>
  <c r="AX52" i="7"/>
  <c r="M115" i="12" s="1"/>
  <c r="O106" i="13"/>
  <c r="O105" i="13"/>
  <c r="BI51" i="7"/>
  <c r="O106" i="12" s="1"/>
  <c r="BH51" i="7"/>
  <c r="O105" i="12" s="1"/>
  <c r="N106" i="13"/>
  <c r="N105" i="13"/>
  <c r="BD51" i="7"/>
  <c r="N106" i="12" s="1"/>
  <c r="BC51" i="7"/>
  <c r="N105" i="12" s="1"/>
  <c r="M106" i="13"/>
  <c r="M105" i="13"/>
  <c r="AY51" i="7"/>
  <c r="M106" i="12" s="1"/>
  <c r="AX51" i="7"/>
  <c r="M105" i="12" s="1"/>
  <c r="O108" i="13"/>
  <c r="O107" i="13"/>
  <c r="BI50" i="7"/>
  <c r="O108" i="12" s="1"/>
  <c r="BH50" i="7"/>
  <c r="O107" i="12" s="1"/>
  <c r="N108" i="13"/>
  <c r="N107" i="13"/>
  <c r="BD50" i="7"/>
  <c r="N108" i="12" s="1"/>
  <c r="BC50" i="7"/>
  <c r="N107" i="12" s="1"/>
  <c r="M108" i="13"/>
  <c r="M107" i="13"/>
  <c r="AY50" i="7"/>
  <c r="M108" i="12" s="1"/>
  <c r="AX50" i="7"/>
  <c r="M107" i="12" s="1"/>
  <c r="O114" i="13"/>
  <c r="O113" i="13"/>
  <c r="BI49" i="7"/>
  <c r="O114" i="12" s="1"/>
  <c r="BH49" i="7"/>
  <c r="O113" i="12" s="1"/>
  <c r="N114" i="13"/>
  <c r="N113" i="13"/>
  <c r="BD49" i="7"/>
  <c r="N114" i="12" s="1"/>
  <c r="BC49" i="7"/>
  <c r="N113" i="12" s="1"/>
  <c r="M114" i="13"/>
  <c r="M113" i="13"/>
  <c r="AY49" i="7"/>
  <c r="M114" i="12" s="1"/>
  <c r="AX49" i="7"/>
  <c r="M113" i="12" s="1"/>
  <c r="O110" i="13"/>
  <c r="O109" i="13"/>
  <c r="BI48" i="7"/>
  <c r="O110" i="12" s="1"/>
  <c r="BH48" i="7"/>
  <c r="O109" i="12" s="1"/>
  <c r="N110" i="13"/>
  <c r="N109" i="13"/>
  <c r="BD48" i="7"/>
  <c r="N110" i="12" s="1"/>
  <c r="BC48" i="7"/>
  <c r="N109" i="12" s="1"/>
  <c r="M110" i="13"/>
  <c r="M109" i="13"/>
  <c r="AY48" i="7"/>
  <c r="M110" i="12" s="1"/>
  <c r="AX48" i="7"/>
  <c r="M109" i="12" s="1"/>
  <c r="O112" i="13"/>
  <c r="O111" i="13"/>
  <c r="BI47" i="7"/>
  <c r="O112" i="12" s="1"/>
  <c r="BH47" i="7"/>
  <c r="O111" i="12" s="1"/>
  <c r="N112" i="13"/>
  <c r="N111" i="13"/>
  <c r="BD47" i="7"/>
  <c r="N112" i="12" s="1"/>
  <c r="BC47" i="7"/>
  <c r="N111" i="12" s="1"/>
  <c r="M112" i="13"/>
  <c r="M111" i="13"/>
  <c r="AY47" i="7"/>
  <c r="M112" i="12" s="1"/>
  <c r="AX47" i="7"/>
  <c r="M111" i="12" s="1"/>
  <c r="O104" i="13"/>
  <c r="O103" i="13"/>
  <c r="BI46" i="7"/>
  <c r="O104" i="12" s="1"/>
  <c r="BH46" i="7"/>
  <c r="O103" i="12" s="1"/>
  <c r="N104" i="13"/>
  <c r="N103" i="13"/>
  <c r="BD46" i="7"/>
  <c r="N104" i="12" s="1"/>
  <c r="BC46" i="7"/>
  <c r="N103" i="12" s="1"/>
  <c r="M104" i="13"/>
  <c r="M103" i="13"/>
  <c r="AY46" i="7"/>
  <c r="M104" i="12" s="1"/>
  <c r="AX46" i="7"/>
  <c r="M103" i="12" s="1"/>
  <c r="O102" i="13"/>
  <c r="O101" i="13"/>
  <c r="BI45" i="7"/>
  <c r="O102" i="12" s="1"/>
  <c r="BH45" i="7"/>
  <c r="O101" i="12" s="1"/>
  <c r="N102" i="13"/>
  <c r="N101" i="13"/>
  <c r="BD45" i="7"/>
  <c r="N102" i="12" s="1"/>
  <c r="BC45" i="7"/>
  <c r="N101" i="12" s="1"/>
  <c r="M102" i="13"/>
  <c r="M101" i="13"/>
  <c r="AY45" i="7"/>
  <c r="M102" i="12" s="1"/>
  <c r="AX45" i="7"/>
  <c r="M101" i="12" s="1"/>
  <c r="O82" i="13"/>
  <c r="O81" i="13"/>
  <c r="BI44" i="7"/>
  <c r="O82" i="12" s="1"/>
  <c r="BH44" i="7"/>
  <c r="O81" i="12" s="1"/>
  <c r="N82" i="13"/>
  <c r="N81" i="13"/>
  <c r="BD44" i="7"/>
  <c r="N82" i="12" s="1"/>
  <c r="BC44" i="7"/>
  <c r="N81" i="12" s="1"/>
  <c r="M82" i="13"/>
  <c r="M81" i="13"/>
  <c r="AY44" i="7"/>
  <c r="M82" i="12" s="1"/>
  <c r="AX44" i="7"/>
  <c r="M81" i="12" s="1"/>
  <c r="O80" i="13"/>
  <c r="O79" i="13"/>
  <c r="BI43" i="7"/>
  <c r="O80" i="12" s="1"/>
  <c r="BH43" i="7"/>
  <c r="O79" i="12" s="1"/>
  <c r="N80" i="13"/>
  <c r="N79" i="13"/>
  <c r="BD43" i="7"/>
  <c r="N80" i="12" s="1"/>
  <c r="BC43" i="7"/>
  <c r="N79" i="12" s="1"/>
  <c r="M80" i="13"/>
  <c r="M79" i="13"/>
  <c r="AY43" i="7"/>
  <c r="M80" i="12" s="1"/>
  <c r="AX43" i="7"/>
  <c r="M79" i="12" s="1"/>
  <c r="O78" i="13"/>
  <c r="O77" i="13"/>
  <c r="BI42" i="7"/>
  <c r="O78" i="12" s="1"/>
  <c r="BH42" i="7"/>
  <c r="O77" i="12" s="1"/>
  <c r="N78" i="13"/>
  <c r="N77" i="13"/>
  <c r="BD42" i="7"/>
  <c r="N78" i="12" s="1"/>
  <c r="BC42" i="7"/>
  <c r="N77" i="12" s="1"/>
  <c r="M78" i="13"/>
  <c r="M77" i="13"/>
  <c r="AY42" i="7"/>
  <c r="M78" i="12" s="1"/>
  <c r="AX42" i="7"/>
  <c r="M77" i="12" s="1"/>
  <c r="O36" i="13"/>
  <c r="O35" i="13"/>
  <c r="BI41" i="7"/>
  <c r="O36" i="12" s="1"/>
  <c r="BH41" i="7"/>
  <c r="O35" i="12" s="1"/>
  <c r="N36" i="13"/>
  <c r="N35" i="13"/>
  <c r="BD41" i="7"/>
  <c r="N36" i="12" s="1"/>
  <c r="BC41" i="7"/>
  <c r="N35" i="12" s="1"/>
  <c r="M36" i="13"/>
  <c r="M35" i="13"/>
  <c r="AY41" i="7"/>
  <c r="M36" i="12" s="1"/>
  <c r="AX41" i="7"/>
  <c r="M35" i="12" s="1"/>
  <c r="O76" i="13"/>
  <c r="O75" i="13"/>
  <c r="BI40" i="7"/>
  <c r="O76" i="12" s="1"/>
  <c r="BH40" i="7"/>
  <c r="O75" i="12" s="1"/>
  <c r="N76" i="13"/>
  <c r="N75" i="13"/>
  <c r="BD40" i="7"/>
  <c r="N76" i="12" s="1"/>
  <c r="BC40" i="7"/>
  <c r="N75" i="12" s="1"/>
  <c r="M76" i="13"/>
  <c r="M75" i="13"/>
  <c r="AY40" i="7"/>
  <c r="M76" i="12" s="1"/>
  <c r="AX40" i="7"/>
  <c r="M75" i="12" s="1"/>
  <c r="O74" i="13"/>
  <c r="O73" i="13"/>
  <c r="BI39" i="7"/>
  <c r="O74" i="12" s="1"/>
  <c r="BH39" i="7"/>
  <c r="O73" i="12" s="1"/>
  <c r="N74" i="13"/>
  <c r="N73" i="13"/>
  <c r="BD39" i="7"/>
  <c r="N74" i="12" s="1"/>
  <c r="BC39" i="7"/>
  <c r="N73" i="12" s="1"/>
  <c r="M74" i="13"/>
  <c r="M73" i="13"/>
  <c r="AY39" i="7"/>
  <c r="M74" i="12" s="1"/>
  <c r="AX39" i="7"/>
  <c r="M73" i="12" s="1"/>
  <c r="O72" i="13"/>
  <c r="O71" i="13"/>
  <c r="BI38" i="7"/>
  <c r="O72" i="12" s="1"/>
  <c r="BH38" i="7"/>
  <c r="O71" i="12" s="1"/>
  <c r="N72" i="13"/>
  <c r="N71" i="13"/>
  <c r="BD38" i="7"/>
  <c r="N72" i="12" s="1"/>
  <c r="BC38" i="7"/>
  <c r="N71" i="12" s="1"/>
  <c r="M72" i="13"/>
  <c r="M71" i="13"/>
  <c r="AY38" i="7"/>
  <c r="M72" i="12" s="1"/>
  <c r="AX38" i="7"/>
  <c r="M71" i="12" s="1"/>
  <c r="O50" i="13"/>
  <c r="O49" i="13"/>
  <c r="BI37" i="7"/>
  <c r="O50" i="12" s="1"/>
  <c r="BH37" i="7"/>
  <c r="O49" i="12" s="1"/>
  <c r="N50" i="13"/>
  <c r="N49" i="13"/>
  <c r="BD37" i="7"/>
  <c r="N50" i="12" s="1"/>
  <c r="BC37" i="7"/>
  <c r="N49" i="12" s="1"/>
  <c r="M50" i="13"/>
  <c r="M49" i="13"/>
  <c r="AY37" i="7"/>
  <c r="M50" i="12" s="1"/>
  <c r="AX37" i="7"/>
  <c r="M49" i="12" s="1"/>
  <c r="O48" i="13"/>
  <c r="O47" i="13"/>
  <c r="BI36" i="7"/>
  <c r="O48" i="12" s="1"/>
  <c r="BH36" i="7"/>
  <c r="O47" i="12" s="1"/>
  <c r="N48" i="13"/>
  <c r="N47" i="13"/>
  <c r="BD36" i="7"/>
  <c r="N48" i="12" s="1"/>
  <c r="BC36" i="7"/>
  <c r="N47" i="12" s="1"/>
  <c r="M48" i="13"/>
  <c r="M47" i="13"/>
  <c r="AY36" i="7"/>
  <c r="M48" i="12" s="1"/>
  <c r="AX36" i="7"/>
  <c r="M47" i="12" s="1"/>
  <c r="O52" i="13"/>
  <c r="O51" i="13"/>
  <c r="BI35" i="7"/>
  <c r="O52" i="12" s="1"/>
  <c r="BH35" i="7"/>
  <c r="O51" i="12" s="1"/>
  <c r="N52" i="13"/>
  <c r="N51" i="13"/>
  <c r="BD35" i="7"/>
  <c r="N52" i="12" s="1"/>
  <c r="BC35" i="7"/>
  <c r="N51" i="12" s="1"/>
  <c r="M52" i="13"/>
  <c r="M51" i="13"/>
  <c r="AY35" i="7"/>
  <c r="M52" i="12" s="1"/>
  <c r="AX35" i="7"/>
  <c r="M51" i="12" s="1"/>
  <c r="O46" i="13"/>
  <c r="O45" i="13"/>
  <c r="BI34" i="7"/>
  <c r="O46" i="12" s="1"/>
  <c r="BH34" i="7"/>
  <c r="O45" i="12" s="1"/>
  <c r="N46" i="13"/>
  <c r="N45" i="13"/>
  <c r="BD34" i="7"/>
  <c r="N46" i="12" s="1"/>
  <c r="BC34" i="7"/>
  <c r="N45" i="12" s="1"/>
  <c r="M46" i="13"/>
  <c r="M45" i="13"/>
  <c r="AY34" i="7"/>
  <c r="M46" i="12" s="1"/>
  <c r="AX34" i="7"/>
  <c r="M45" i="12" s="1"/>
  <c r="O60" i="13"/>
  <c r="O59" i="13"/>
  <c r="BI33" i="7"/>
  <c r="O60" i="12" s="1"/>
  <c r="BH33" i="7"/>
  <c r="O59" i="12" s="1"/>
  <c r="N60" i="13"/>
  <c r="N59" i="13"/>
  <c r="BD33" i="7"/>
  <c r="N60" i="12" s="1"/>
  <c r="BC33" i="7"/>
  <c r="N59" i="12" s="1"/>
  <c r="M60" i="13"/>
  <c r="M59" i="13"/>
  <c r="AY33" i="7"/>
  <c r="M60" i="12" s="1"/>
  <c r="AX33" i="7"/>
  <c r="M59" i="12" s="1"/>
  <c r="O58" i="13"/>
  <c r="O57" i="13"/>
  <c r="BI32" i="7"/>
  <c r="O58" i="12" s="1"/>
  <c r="BH32" i="7"/>
  <c r="O57" i="12" s="1"/>
  <c r="N58" i="13"/>
  <c r="N57" i="13"/>
  <c r="BD32" i="7"/>
  <c r="N58" i="12" s="1"/>
  <c r="BC32" i="7"/>
  <c r="N57" i="12" s="1"/>
  <c r="M58" i="13"/>
  <c r="M57" i="13"/>
  <c r="AY32" i="7"/>
  <c r="M58" i="12" s="1"/>
  <c r="AX32" i="7"/>
  <c r="M57" i="12" s="1"/>
  <c r="O54" i="13"/>
  <c r="O53" i="13"/>
  <c r="BI30" i="7"/>
  <c r="O54" i="12" s="1"/>
  <c r="BH30" i="7"/>
  <c r="O53" i="12" s="1"/>
  <c r="N54" i="13"/>
  <c r="N53" i="13"/>
  <c r="BD30" i="7"/>
  <c r="N54" i="12" s="1"/>
  <c r="BC30" i="7"/>
  <c r="N53" i="12" s="1"/>
  <c r="M54" i="13"/>
  <c r="M53" i="13"/>
  <c r="AY30" i="7"/>
  <c r="M54" i="12" s="1"/>
  <c r="AX30" i="7"/>
  <c r="M53" i="12" s="1"/>
  <c r="O26" i="13"/>
  <c r="O25" i="13"/>
  <c r="BI29" i="7"/>
  <c r="O26" i="12" s="1"/>
  <c r="BH29" i="7"/>
  <c r="O25" i="12" s="1"/>
  <c r="N26" i="13"/>
  <c r="N25" i="13"/>
  <c r="BD29" i="7"/>
  <c r="N26" i="12" s="1"/>
  <c r="BC29" i="7"/>
  <c r="N25" i="12" s="1"/>
  <c r="M26" i="13"/>
  <c r="M25" i="13"/>
  <c r="AY29" i="7"/>
  <c r="M26" i="12" s="1"/>
  <c r="AX29" i="7"/>
  <c r="M25" i="12" s="1"/>
  <c r="O22" i="13"/>
  <c r="O21" i="13"/>
  <c r="BI28" i="7"/>
  <c r="O22" i="12" s="1"/>
  <c r="BH28" i="7"/>
  <c r="O21" i="12" s="1"/>
  <c r="N22" i="13"/>
  <c r="N21" i="13"/>
  <c r="BD28" i="7"/>
  <c r="N22" i="12" s="1"/>
  <c r="BC28" i="7"/>
  <c r="N21" i="12" s="1"/>
  <c r="M22" i="13"/>
  <c r="M21" i="13"/>
  <c r="AY28" i="7"/>
  <c r="M22" i="12" s="1"/>
  <c r="AX28" i="7"/>
  <c r="M21" i="12" s="1"/>
  <c r="O20" i="13"/>
  <c r="O19" i="13"/>
  <c r="BI27" i="7"/>
  <c r="O20" i="12" s="1"/>
  <c r="BH27" i="7"/>
  <c r="O19" i="12" s="1"/>
  <c r="N20" i="13"/>
  <c r="N19" i="13"/>
  <c r="BD27" i="7"/>
  <c r="N20" i="12" s="1"/>
  <c r="BC27" i="7"/>
  <c r="N19" i="12" s="1"/>
  <c r="M20" i="13"/>
  <c r="M19" i="13"/>
  <c r="AY27" i="7"/>
  <c r="M20" i="12" s="1"/>
  <c r="AX27" i="7"/>
  <c r="M19" i="12" s="1"/>
  <c r="O62" i="13"/>
  <c r="O61" i="13"/>
  <c r="BI26" i="7"/>
  <c r="O62" i="12" s="1"/>
  <c r="BH26" i="7"/>
  <c r="O61" i="12" s="1"/>
  <c r="N62" i="13"/>
  <c r="N61" i="13"/>
  <c r="BD26" i="7"/>
  <c r="N62" i="12" s="1"/>
  <c r="BC26" i="7"/>
  <c r="N61" i="12" s="1"/>
  <c r="M62" i="13"/>
  <c r="M61" i="13"/>
  <c r="AY26" i="7"/>
  <c r="M62" i="12" s="1"/>
  <c r="AX26" i="7"/>
  <c r="M61" i="12" s="1"/>
  <c r="O64" i="13"/>
  <c r="O63" i="13"/>
  <c r="BI25" i="7"/>
  <c r="O68" i="12" s="1"/>
  <c r="BH25" i="7"/>
  <c r="O67" i="12" s="1"/>
  <c r="N64" i="13"/>
  <c r="N63" i="13"/>
  <c r="BD25" i="7"/>
  <c r="N68" i="12" s="1"/>
  <c r="BC25" i="7"/>
  <c r="N67" i="12" s="1"/>
  <c r="M64" i="13"/>
  <c r="M63" i="13"/>
  <c r="AY25" i="7"/>
  <c r="M68" i="12" s="1"/>
  <c r="AX25" i="7"/>
  <c r="M67" i="12" s="1"/>
  <c r="O68" i="13"/>
  <c r="O67" i="13"/>
  <c r="N68" i="13"/>
  <c r="N67" i="13"/>
  <c r="M68" i="13"/>
  <c r="M67" i="13"/>
  <c r="O66" i="13"/>
  <c r="O65" i="13"/>
  <c r="BI24" i="7"/>
  <c r="O66" i="12" s="1"/>
  <c r="BH24" i="7"/>
  <c r="O65" i="12" s="1"/>
  <c r="N66" i="13"/>
  <c r="N65" i="13"/>
  <c r="BD24" i="7"/>
  <c r="N66" i="12" s="1"/>
  <c r="BC24" i="7"/>
  <c r="N65" i="12" s="1"/>
  <c r="M66" i="13"/>
  <c r="M65" i="13"/>
  <c r="AY24" i="7"/>
  <c r="M66" i="12" s="1"/>
  <c r="AX24" i="7"/>
  <c r="M65" i="12" s="1"/>
  <c r="O24" i="13"/>
  <c r="O23" i="13"/>
  <c r="BI21" i="7"/>
  <c r="O24" i="12" s="1"/>
  <c r="BH21" i="7"/>
  <c r="O23" i="12" s="1"/>
  <c r="N24" i="13"/>
  <c r="N23" i="13"/>
  <c r="BD21" i="7"/>
  <c r="N24" i="12" s="1"/>
  <c r="BC21" i="7"/>
  <c r="N23" i="12" s="1"/>
  <c r="M24" i="13"/>
  <c r="M23" i="13"/>
  <c r="AY21" i="7"/>
  <c r="M24" i="12" s="1"/>
  <c r="AX21" i="7"/>
  <c r="M23" i="12" s="1"/>
  <c r="O44" i="13"/>
  <c r="O43" i="13"/>
  <c r="BI18" i="7"/>
  <c r="O40" i="12" s="1"/>
  <c r="BH18" i="7"/>
  <c r="O39" i="12" s="1"/>
  <c r="N44" i="13"/>
  <c r="N43" i="13"/>
  <c r="BD18" i="7"/>
  <c r="N40" i="12" s="1"/>
  <c r="BC18" i="7"/>
  <c r="N39" i="12" s="1"/>
  <c r="M44" i="13"/>
  <c r="M43" i="13"/>
  <c r="AY18" i="7"/>
  <c r="M40" i="12" s="1"/>
  <c r="AX18" i="7"/>
  <c r="M39" i="12" s="1"/>
  <c r="O42" i="13"/>
  <c r="O41" i="13"/>
  <c r="BI17" i="7"/>
  <c r="O38" i="12" s="1"/>
  <c r="BH17" i="7"/>
  <c r="O37" i="12" s="1"/>
  <c r="N42" i="13"/>
  <c r="N41" i="13"/>
  <c r="BD17" i="7"/>
  <c r="N38" i="12" s="1"/>
  <c r="BC17" i="7"/>
  <c r="N37" i="12" s="1"/>
  <c r="M42" i="13"/>
  <c r="M41" i="13"/>
  <c r="AY17" i="7"/>
  <c r="M38" i="12" s="1"/>
  <c r="AX17" i="7"/>
  <c r="M37" i="12" s="1"/>
  <c r="O12" i="13"/>
  <c r="O11" i="13"/>
  <c r="BI16" i="7"/>
  <c r="O12" i="12" s="1"/>
  <c r="BH16" i="7"/>
  <c r="O11" i="12" s="1"/>
  <c r="N12" i="13"/>
  <c r="N11" i="13"/>
  <c r="BD16" i="7"/>
  <c r="N12" i="12" s="1"/>
  <c r="BC16" i="7"/>
  <c r="N11" i="12" s="1"/>
  <c r="M12" i="13"/>
  <c r="M11" i="13"/>
  <c r="AY16" i="7"/>
  <c r="M12" i="12" s="1"/>
  <c r="AX16" i="7"/>
  <c r="M11" i="12" s="1"/>
  <c r="O18" i="13"/>
  <c r="O17" i="13"/>
  <c r="BI15" i="7"/>
  <c r="O18" i="12" s="1"/>
  <c r="BH15" i="7"/>
  <c r="O17" i="12" s="1"/>
  <c r="N18" i="13"/>
  <c r="N17" i="13"/>
  <c r="BD15" i="7"/>
  <c r="N18" i="12" s="1"/>
  <c r="BC15" i="7"/>
  <c r="N17" i="12" s="1"/>
  <c r="M18" i="13"/>
  <c r="M17" i="13"/>
  <c r="AY15" i="7"/>
  <c r="M18" i="12" s="1"/>
  <c r="AX15" i="7"/>
  <c r="M17" i="12" s="1"/>
  <c r="O8" i="13"/>
  <c r="O7" i="13"/>
  <c r="BI14" i="7"/>
  <c r="O8" i="12" s="1"/>
  <c r="BH14" i="7"/>
  <c r="O7" i="12" s="1"/>
  <c r="N8" i="13"/>
  <c r="N7" i="13"/>
  <c r="BD14" i="7"/>
  <c r="N8" i="12" s="1"/>
  <c r="BC14" i="7"/>
  <c r="N7" i="12" s="1"/>
  <c r="M8" i="13"/>
  <c r="M7" i="13"/>
  <c r="AY14" i="7"/>
  <c r="M8" i="12" s="1"/>
  <c r="AX14" i="7"/>
  <c r="M7" i="12" s="1"/>
  <c r="O34" i="13"/>
  <c r="O33" i="13"/>
  <c r="BI13" i="7"/>
  <c r="O34" i="12" s="1"/>
  <c r="BH13" i="7"/>
  <c r="O33" i="12" s="1"/>
  <c r="N34" i="13"/>
  <c r="N33" i="13"/>
  <c r="BD13" i="7"/>
  <c r="N34" i="12" s="1"/>
  <c r="BC13" i="7"/>
  <c r="N33" i="12" s="1"/>
  <c r="M34" i="13"/>
  <c r="M33" i="13"/>
  <c r="AY13" i="7"/>
  <c r="M34" i="12" s="1"/>
  <c r="AX13" i="7"/>
  <c r="M33" i="12" s="1"/>
  <c r="O32" i="13"/>
  <c r="O31" i="13"/>
  <c r="BI12" i="7"/>
  <c r="O32" i="12" s="1"/>
  <c r="BH12" i="7"/>
  <c r="O31" i="12" s="1"/>
  <c r="N32" i="13"/>
  <c r="N31" i="13"/>
  <c r="BD12" i="7"/>
  <c r="N32" i="12" s="1"/>
  <c r="BC12" i="7"/>
  <c r="N31" i="12" s="1"/>
  <c r="M32" i="13"/>
  <c r="M31" i="13"/>
  <c r="AY12" i="7"/>
  <c r="M32" i="12" s="1"/>
  <c r="AX12" i="7"/>
  <c r="M31" i="12" s="1"/>
  <c r="O30" i="13"/>
  <c r="O29" i="13"/>
  <c r="BI11" i="7"/>
  <c r="O30" i="12" s="1"/>
  <c r="BH11" i="7"/>
  <c r="O29" i="12" s="1"/>
  <c r="N30" i="13"/>
  <c r="N29" i="13"/>
  <c r="BD11" i="7"/>
  <c r="N30" i="12" s="1"/>
  <c r="BC11" i="7"/>
  <c r="N29" i="12" s="1"/>
  <c r="M30" i="13"/>
  <c r="M29" i="13"/>
  <c r="AY11" i="7"/>
  <c r="M30" i="12" s="1"/>
  <c r="AX11" i="7"/>
  <c r="M29" i="12" s="1"/>
  <c r="O28" i="13"/>
  <c r="O27" i="13"/>
  <c r="BI10" i="7"/>
  <c r="O28" i="12" s="1"/>
  <c r="BH10" i="7"/>
  <c r="O27" i="12" s="1"/>
  <c r="N28" i="13"/>
  <c r="N27" i="13"/>
  <c r="BD10" i="7"/>
  <c r="N28" i="12" s="1"/>
  <c r="BC10" i="7"/>
  <c r="N27" i="12" s="1"/>
  <c r="M28" i="13"/>
  <c r="M27" i="13"/>
  <c r="AY10" i="7"/>
  <c r="M28" i="12" s="1"/>
  <c r="AX10" i="7"/>
  <c r="M27" i="12" s="1"/>
  <c r="O14" i="13"/>
  <c r="O13" i="13"/>
  <c r="BI9" i="7"/>
  <c r="O14" i="12" s="1"/>
  <c r="BH9" i="7"/>
  <c r="O13" i="12" s="1"/>
  <c r="N14" i="13"/>
  <c r="N13" i="13"/>
  <c r="BD9" i="7"/>
  <c r="N14" i="12" s="1"/>
  <c r="BC9" i="7"/>
  <c r="N13" i="12" s="1"/>
  <c r="M14" i="13"/>
  <c r="M13" i="13"/>
  <c r="AY9" i="7"/>
  <c r="M14" i="12" s="1"/>
  <c r="AX9" i="7"/>
  <c r="M13" i="12" s="1"/>
  <c r="BK8" i="7"/>
  <c r="O16" i="13" s="1"/>
  <c r="BJ8" i="7"/>
  <c r="O15" i="13" s="1"/>
  <c r="BI8" i="7"/>
  <c r="O16" i="12" s="1"/>
  <c r="BH8" i="7"/>
  <c r="O15" i="12" s="1"/>
  <c r="BF8" i="7"/>
  <c r="N16" i="13" s="1"/>
  <c r="BE8" i="7"/>
  <c r="N15" i="13" s="1"/>
  <c r="BD8" i="7"/>
  <c r="N16" i="12" s="1"/>
  <c r="BC8" i="7"/>
  <c r="BA8" i="7"/>
  <c r="M16" i="13" s="1"/>
  <c r="AZ8" i="7"/>
  <c r="M15" i="13" s="1"/>
  <c r="AY8" i="7"/>
  <c r="M16" i="12" s="1"/>
  <c r="AX8" i="7"/>
  <c r="M15" i="12" s="1"/>
  <c r="BK7" i="7"/>
  <c r="O10" i="13" s="1"/>
  <c r="BJ7" i="7"/>
  <c r="BI7" i="7"/>
  <c r="O10" i="12" s="1"/>
  <c r="BH7" i="7"/>
  <c r="BF7" i="7"/>
  <c r="BE7" i="7"/>
  <c r="BD7" i="7"/>
  <c r="BC7" i="7"/>
  <c r="N9" i="12" s="1"/>
  <c r="BA7" i="7"/>
  <c r="AZ7" i="7"/>
  <c r="AY7" i="7"/>
  <c r="AX7" i="7"/>
  <c r="L132" i="13"/>
  <c r="L131" i="13"/>
  <c r="AT69" i="7"/>
  <c r="L132" i="12" s="1"/>
  <c r="AS69" i="7"/>
  <c r="L131" i="12" s="1"/>
  <c r="K132" i="13"/>
  <c r="K131" i="13"/>
  <c r="AO69" i="7"/>
  <c r="K132" i="12" s="1"/>
  <c r="AN69" i="7"/>
  <c r="K131" i="12" s="1"/>
  <c r="J132" i="13"/>
  <c r="J131" i="13"/>
  <c r="AJ69" i="7"/>
  <c r="J132" i="12" s="1"/>
  <c r="AI69" i="7"/>
  <c r="J131" i="12" s="1"/>
  <c r="I132" i="13"/>
  <c r="I131" i="13"/>
  <c r="AE69" i="7"/>
  <c r="I132" i="12" s="1"/>
  <c r="AD69" i="7"/>
  <c r="I131" i="12" s="1"/>
  <c r="L130" i="13"/>
  <c r="L129" i="13"/>
  <c r="AT68" i="7"/>
  <c r="L130" i="12" s="1"/>
  <c r="AS68" i="7"/>
  <c r="L129" i="12" s="1"/>
  <c r="K130" i="13"/>
  <c r="K129" i="13"/>
  <c r="AO68" i="7"/>
  <c r="K130" i="12" s="1"/>
  <c r="AN68" i="7"/>
  <c r="K129" i="12" s="1"/>
  <c r="J130" i="13"/>
  <c r="J129" i="13"/>
  <c r="AJ68" i="7"/>
  <c r="J130" i="12" s="1"/>
  <c r="AI68" i="7"/>
  <c r="J129" i="12" s="1"/>
  <c r="I130" i="13"/>
  <c r="I129" i="13"/>
  <c r="AE68" i="7"/>
  <c r="I130" i="12" s="1"/>
  <c r="AD68" i="7"/>
  <c r="I129" i="12" s="1"/>
  <c r="L128" i="13"/>
  <c r="L127" i="13"/>
  <c r="AT67" i="7"/>
  <c r="L128" i="12" s="1"/>
  <c r="AS67" i="7"/>
  <c r="L127" i="12" s="1"/>
  <c r="K128" i="13"/>
  <c r="K127" i="13"/>
  <c r="AO67" i="7"/>
  <c r="K128" i="12" s="1"/>
  <c r="AN67" i="7"/>
  <c r="K127" i="12" s="1"/>
  <c r="J128" i="13"/>
  <c r="J127" i="13"/>
  <c r="AJ67" i="7"/>
  <c r="J128" i="12" s="1"/>
  <c r="AI67" i="7"/>
  <c r="J127" i="12" s="1"/>
  <c r="I128" i="13"/>
  <c r="I127" i="13"/>
  <c r="AE67" i="7"/>
  <c r="I128" i="12" s="1"/>
  <c r="AD67" i="7"/>
  <c r="I127" i="12" s="1"/>
  <c r="L126" i="13"/>
  <c r="L125" i="13"/>
  <c r="AT66" i="7"/>
  <c r="L126" i="12" s="1"/>
  <c r="AS66" i="7"/>
  <c r="L125" i="12" s="1"/>
  <c r="K126" i="13"/>
  <c r="K125" i="13"/>
  <c r="AO66" i="7"/>
  <c r="K126" i="12" s="1"/>
  <c r="AN66" i="7"/>
  <c r="K125" i="12" s="1"/>
  <c r="J126" i="13"/>
  <c r="J125" i="13"/>
  <c r="AJ66" i="7"/>
  <c r="J126" i="12" s="1"/>
  <c r="AI66" i="7"/>
  <c r="J125" i="12" s="1"/>
  <c r="I126" i="13"/>
  <c r="I125" i="13"/>
  <c r="AE66" i="7"/>
  <c r="I126" i="12" s="1"/>
  <c r="AD66" i="7"/>
  <c r="I125" i="12" s="1"/>
  <c r="L90" i="13"/>
  <c r="L89" i="13"/>
  <c r="AT64" i="7"/>
  <c r="L90" i="12" s="1"/>
  <c r="AS64" i="7"/>
  <c r="L89" i="12" s="1"/>
  <c r="K90" i="13"/>
  <c r="K89" i="13"/>
  <c r="AO64" i="7"/>
  <c r="K90" i="12" s="1"/>
  <c r="AN64" i="7"/>
  <c r="K89" i="12" s="1"/>
  <c r="J90" i="13"/>
  <c r="J89" i="13"/>
  <c r="AJ64" i="7"/>
  <c r="J90" i="12" s="1"/>
  <c r="AI64" i="7"/>
  <c r="J89" i="12" s="1"/>
  <c r="I90" i="13"/>
  <c r="I89" i="13"/>
  <c r="AE64" i="7"/>
  <c r="I90" i="12" s="1"/>
  <c r="AD64" i="7"/>
  <c r="I89" i="12" s="1"/>
  <c r="L88" i="13"/>
  <c r="L87" i="13"/>
  <c r="AT63" i="7"/>
  <c r="L88" i="12" s="1"/>
  <c r="AS63" i="7"/>
  <c r="L87" i="12" s="1"/>
  <c r="K88" i="13"/>
  <c r="K87" i="13"/>
  <c r="AO63" i="7"/>
  <c r="K88" i="12" s="1"/>
  <c r="AN63" i="7"/>
  <c r="K87" i="12" s="1"/>
  <c r="J88" i="13"/>
  <c r="J87" i="13"/>
  <c r="AJ63" i="7"/>
  <c r="J88" i="12" s="1"/>
  <c r="AI63" i="7"/>
  <c r="J87" i="12" s="1"/>
  <c r="I88" i="13"/>
  <c r="I87" i="13"/>
  <c r="AE63" i="7"/>
  <c r="I88" i="12" s="1"/>
  <c r="AD63" i="7"/>
  <c r="I87" i="12" s="1"/>
  <c r="L86" i="13"/>
  <c r="L85" i="13"/>
  <c r="AT62" i="7"/>
  <c r="L86" i="12" s="1"/>
  <c r="AS62" i="7"/>
  <c r="L85" i="12" s="1"/>
  <c r="K86" i="13"/>
  <c r="K85" i="13"/>
  <c r="AO62" i="7"/>
  <c r="K86" i="12" s="1"/>
  <c r="AN62" i="7"/>
  <c r="K85" i="12" s="1"/>
  <c r="J86" i="13"/>
  <c r="J85" i="13"/>
  <c r="AJ62" i="7"/>
  <c r="J86" i="12" s="1"/>
  <c r="AI62" i="7"/>
  <c r="J85" i="12" s="1"/>
  <c r="I86" i="13"/>
  <c r="I85" i="13"/>
  <c r="AE62" i="7"/>
  <c r="I86" i="12" s="1"/>
  <c r="AD62" i="7"/>
  <c r="I85" i="12" s="1"/>
  <c r="L84" i="13"/>
  <c r="L83" i="13"/>
  <c r="AT61" i="7"/>
  <c r="L84" i="12" s="1"/>
  <c r="AS61" i="7"/>
  <c r="L83" i="12" s="1"/>
  <c r="K84" i="13"/>
  <c r="K83" i="13"/>
  <c r="AO61" i="7"/>
  <c r="K84" i="12" s="1"/>
  <c r="AN61" i="7"/>
  <c r="K83" i="12" s="1"/>
  <c r="J84" i="13"/>
  <c r="J83" i="13"/>
  <c r="AJ61" i="7"/>
  <c r="J84" i="12" s="1"/>
  <c r="AI61" i="7"/>
  <c r="J83" i="12" s="1"/>
  <c r="I84" i="13"/>
  <c r="I83" i="13"/>
  <c r="AE61" i="7"/>
  <c r="I84" i="12" s="1"/>
  <c r="AD61" i="7"/>
  <c r="I83" i="12" s="1"/>
  <c r="L100" i="13"/>
  <c r="L99" i="13"/>
  <c r="AT60" i="7"/>
  <c r="L100" i="12" s="1"/>
  <c r="AS60" i="7"/>
  <c r="L99" i="12" s="1"/>
  <c r="K100" i="13"/>
  <c r="K99" i="13"/>
  <c r="AO60" i="7"/>
  <c r="K100" i="12" s="1"/>
  <c r="AN60" i="7"/>
  <c r="K99" i="12" s="1"/>
  <c r="J100" i="13"/>
  <c r="J99" i="13"/>
  <c r="AJ60" i="7"/>
  <c r="J100" i="12" s="1"/>
  <c r="AI60" i="7"/>
  <c r="J99" i="12" s="1"/>
  <c r="I100" i="13"/>
  <c r="I99" i="13"/>
  <c r="AE60" i="7"/>
  <c r="I100" i="12" s="1"/>
  <c r="AD60" i="7"/>
  <c r="I99" i="12" s="1"/>
  <c r="L98" i="13"/>
  <c r="L97" i="13"/>
  <c r="AT59" i="7"/>
  <c r="L98" i="12" s="1"/>
  <c r="AS59" i="7"/>
  <c r="L97" i="12" s="1"/>
  <c r="K98" i="13"/>
  <c r="K97" i="13"/>
  <c r="AO59" i="7"/>
  <c r="K98" i="12" s="1"/>
  <c r="AN59" i="7"/>
  <c r="K97" i="12" s="1"/>
  <c r="J98" i="13"/>
  <c r="J97" i="13"/>
  <c r="AJ59" i="7"/>
  <c r="J98" i="12" s="1"/>
  <c r="AI59" i="7"/>
  <c r="J97" i="12" s="1"/>
  <c r="I98" i="13"/>
  <c r="I97" i="13"/>
  <c r="AE59" i="7"/>
  <c r="I98" i="12" s="1"/>
  <c r="AD59" i="7"/>
  <c r="I97" i="12" s="1"/>
  <c r="L94" i="13"/>
  <c r="L93" i="13"/>
  <c r="AT57" i="7"/>
  <c r="L94" i="12" s="1"/>
  <c r="AS57" i="7"/>
  <c r="L93" i="12" s="1"/>
  <c r="K94" i="13"/>
  <c r="K93" i="13"/>
  <c r="AO57" i="7"/>
  <c r="K94" i="12" s="1"/>
  <c r="AN57" i="7"/>
  <c r="K93" i="12" s="1"/>
  <c r="J94" i="13"/>
  <c r="J93" i="13"/>
  <c r="AJ57" i="7"/>
  <c r="J94" i="12" s="1"/>
  <c r="AI57" i="7"/>
  <c r="J93" i="12" s="1"/>
  <c r="I94" i="13"/>
  <c r="I93" i="13"/>
  <c r="AE57" i="7"/>
  <c r="I94" i="12" s="1"/>
  <c r="AD57" i="7"/>
  <c r="I93" i="12" s="1"/>
  <c r="L124" i="13"/>
  <c r="L123" i="13"/>
  <c r="L124" i="12"/>
  <c r="L123" i="12"/>
  <c r="K124" i="13"/>
  <c r="K123" i="13"/>
  <c r="K124" i="12"/>
  <c r="K123" i="12"/>
  <c r="J124" i="13"/>
  <c r="J123" i="13"/>
  <c r="J124" i="12"/>
  <c r="J123" i="12"/>
  <c r="I124" i="13"/>
  <c r="I123" i="13"/>
  <c r="I124" i="12"/>
  <c r="I123" i="12"/>
  <c r="L122" i="13"/>
  <c r="L121" i="13"/>
  <c r="AT55" i="7"/>
  <c r="L122" i="12" s="1"/>
  <c r="AS55" i="7"/>
  <c r="L121" i="12" s="1"/>
  <c r="K122" i="13"/>
  <c r="K121" i="13"/>
  <c r="AO55" i="7"/>
  <c r="K122" i="12" s="1"/>
  <c r="AN55" i="7"/>
  <c r="K121" i="12" s="1"/>
  <c r="J122" i="13"/>
  <c r="J121" i="13"/>
  <c r="AJ55" i="7"/>
  <c r="J122" i="12" s="1"/>
  <c r="AI55" i="7"/>
  <c r="J121" i="12" s="1"/>
  <c r="I122" i="13"/>
  <c r="I121" i="13"/>
  <c r="AE55" i="7"/>
  <c r="I122" i="12" s="1"/>
  <c r="AD55" i="7"/>
  <c r="I121" i="12" s="1"/>
  <c r="L120" i="13"/>
  <c r="L119" i="13"/>
  <c r="AT54" i="7"/>
  <c r="L120" i="12" s="1"/>
  <c r="AS54" i="7"/>
  <c r="L119" i="12" s="1"/>
  <c r="K120" i="13"/>
  <c r="K119" i="13"/>
  <c r="AO54" i="7"/>
  <c r="K120" i="12" s="1"/>
  <c r="AN54" i="7"/>
  <c r="K119" i="12" s="1"/>
  <c r="J120" i="13"/>
  <c r="J119" i="13"/>
  <c r="AJ54" i="7"/>
  <c r="J120" i="12" s="1"/>
  <c r="AI54" i="7"/>
  <c r="J119" i="12" s="1"/>
  <c r="I120" i="13"/>
  <c r="I119" i="13"/>
  <c r="AE54" i="7"/>
  <c r="I120" i="12" s="1"/>
  <c r="AD54" i="7"/>
  <c r="I119" i="12" s="1"/>
  <c r="L118" i="13"/>
  <c r="L117" i="13"/>
  <c r="AT53" i="7"/>
  <c r="L118" i="12" s="1"/>
  <c r="AS53" i="7"/>
  <c r="L117" i="12" s="1"/>
  <c r="K118" i="13"/>
  <c r="K117" i="13"/>
  <c r="AO53" i="7"/>
  <c r="K118" i="12" s="1"/>
  <c r="AN53" i="7"/>
  <c r="K117" i="12" s="1"/>
  <c r="J118" i="13"/>
  <c r="J117" i="13"/>
  <c r="AJ53" i="7"/>
  <c r="J118" i="12" s="1"/>
  <c r="AI53" i="7"/>
  <c r="J117" i="12" s="1"/>
  <c r="I118" i="13"/>
  <c r="I117" i="13"/>
  <c r="AE53" i="7"/>
  <c r="I118" i="12" s="1"/>
  <c r="AD53" i="7"/>
  <c r="I117" i="12" s="1"/>
  <c r="L116" i="13"/>
  <c r="L115" i="13"/>
  <c r="AT52" i="7"/>
  <c r="L116" i="12" s="1"/>
  <c r="AS52" i="7"/>
  <c r="L115" i="12" s="1"/>
  <c r="K116" i="13"/>
  <c r="K115" i="13"/>
  <c r="AO52" i="7"/>
  <c r="K116" i="12" s="1"/>
  <c r="AN52" i="7"/>
  <c r="K115" i="12" s="1"/>
  <c r="J116" i="13"/>
  <c r="J115" i="13"/>
  <c r="AJ52" i="7"/>
  <c r="J116" i="12" s="1"/>
  <c r="AI52" i="7"/>
  <c r="J115" i="12" s="1"/>
  <c r="I116" i="13"/>
  <c r="I115" i="13"/>
  <c r="AE52" i="7"/>
  <c r="I116" i="12" s="1"/>
  <c r="AD52" i="7"/>
  <c r="I115" i="12" s="1"/>
  <c r="L106" i="13"/>
  <c r="L105" i="13"/>
  <c r="AT51" i="7"/>
  <c r="L106" i="12" s="1"/>
  <c r="AS51" i="7"/>
  <c r="L105" i="12" s="1"/>
  <c r="K106" i="13"/>
  <c r="K105" i="13"/>
  <c r="AO51" i="7"/>
  <c r="K106" i="12" s="1"/>
  <c r="AN51" i="7"/>
  <c r="K105" i="12" s="1"/>
  <c r="J106" i="13"/>
  <c r="J105" i="13"/>
  <c r="AJ51" i="7"/>
  <c r="J106" i="12" s="1"/>
  <c r="AI51" i="7"/>
  <c r="J105" i="12" s="1"/>
  <c r="I106" i="13"/>
  <c r="I105" i="13"/>
  <c r="AE51" i="7"/>
  <c r="I106" i="12" s="1"/>
  <c r="AD51" i="7"/>
  <c r="I105" i="12" s="1"/>
  <c r="L108" i="13"/>
  <c r="L107" i="13"/>
  <c r="AT50" i="7"/>
  <c r="L108" i="12" s="1"/>
  <c r="AS50" i="7"/>
  <c r="L107" i="12" s="1"/>
  <c r="K108" i="13"/>
  <c r="K107" i="13"/>
  <c r="AO50" i="7"/>
  <c r="K108" i="12" s="1"/>
  <c r="AN50" i="7"/>
  <c r="K107" i="12" s="1"/>
  <c r="J108" i="13"/>
  <c r="J107" i="13"/>
  <c r="AJ50" i="7"/>
  <c r="J108" i="12" s="1"/>
  <c r="AI50" i="7"/>
  <c r="J107" i="12" s="1"/>
  <c r="I108" i="13"/>
  <c r="I107" i="13"/>
  <c r="AE50" i="7"/>
  <c r="I108" i="12" s="1"/>
  <c r="AD50" i="7"/>
  <c r="I107" i="12" s="1"/>
  <c r="L114" i="13"/>
  <c r="L113" i="13"/>
  <c r="AT49" i="7"/>
  <c r="L114" i="12" s="1"/>
  <c r="AS49" i="7"/>
  <c r="L113" i="12" s="1"/>
  <c r="K114" i="13"/>
  <c r="K113" i="13"/>
  <c r="AO49" i="7"/>
  <c r="K114" i="12" s="1"/>
  <c r="AN49" i="7"/>
  <c r="K113" i="12" s="1"/>
  <c r="J114" i="13"/>
  <c r="J113" i="13"/>
  <c r="AJ49" i="7"/>
  <c r="J114" i="12" s="1"/>
  <c r="AI49" i="7"/>
  <c r="J113" i="12" s="1"/>
  <c r="I114" i="13"/>
  <c r="I113" i="13"/>
  <c r="AE49" i="7"/>
  <c r="I114" i="12" s="1"/>
  <c r="AD49" i="7"/>
  <c r="I113" i="12" s="1"/>
  <c r="L110" i="13"/>
  <c r="L109" i="13"/>
  <c r="AT48" i="7"/>
  <c r="L110" i="12" s="1"/>
  <c r="AS48" i="7"/>
  <c r="L109" i="12" s="1"/>
  <c r="K110" i="13"/>
  <c r="K109" i="13"/>
  <c r="AO48" i="7"/>
  <c r="K110" i="12" s="1"/>
  <c r="AN48" i="7"/>
  <c r="K109" i="12" s="1"/>
  <c r="J110" i="13"/>
  <c r="J109" i="13"/>
  <c r="AJ48" i="7"/>
  <c r="J110" i="12" s="1"/>
  <c r="AI48" i="7"/>
  <c r="J109" i="12" s="1"/>
  <c r="I110" i="13"/>
  <c r="I109" i="13"/>
  <c r="AE48" i="7"/>
  <c r="I110" i="12" s="1"/>
  <c r="AD48" i="7"/>
  <c r="I109" i="12" s="1"/>
  <c r="L112" i="13"/>
  <c r="L111" i="13"/>
  <c r="AT47" i="7"/>
  <c r="L112" i="12" s="1"/>
  <c r="AS47" i="7"/>
  <c r="L111" i="12" s="1"/>
  <c r="K112" i="13"/>
  <c r="K111" i="13"/>
  <c r="AO47" i="7"/>
  <c r="K112" i="12" s="1"/>
  <c r="AN47" i="7"/>
  <c r="K111" i="12" s="1"/>
  <c r="J112" i="13"/>
  <c r="J111" i="13"/>
  <c r="AJ47" i="7"/>
  <c r="J112" i="12" s="1"/>
  <c r="AI47" i="7"/>
  <c r="J111" i="12" s="1"/>
  <c r="I112" i="13"/>
  <c r="I111" i="13"/>
  <c r="AE47" i="7"/>
  <c r="I112" i="12" s="1"/>
  <c r="AD47" i="7"/>
  <c r="I111" i="12" s="1"/>
  <c r="L104" i="13"/>
  <c r="L103" i="13"/>
  <c r="AT46" i="7"/>
  <c r="L104" i="12" s="1"/>
  <c r="AS46" i="7"/>
  <c r="L103" i="12" s="1"/>
  <c r="K104" i="13"/>
  <c r="K103" i="13"/>
  <c r="AO46" i="7"/>
  <c r="K104" i="12" s="1"/>
  <c r="AN46" i="7"/>
  <c r="K103" i="12" s="1"/>
  <c r="J104" i="13"/>
  <c r="J103" i="13"/>
  <c r="AJ46" i="7"/>
  <c r="J104" i="12" s="1"/>
  <c r="AI46" i="7"/>
  <c r="J103" i="12" s="1"/>
  <c r="I104" i="13"/>
  <c r="I103" i="13"/>
  <c r="AE46" i="7"/>
  <c r="I104" i="12" s="1"/>
  <c r="AD46" i="7"/>
  <c r="I103" i="12" s="1"/>
  <c r="L102" i="13"/>
  <c r="L101" i="13"/>
  <c r="AT45" i="7"/>
  <c r="L102" i="12" s="1"/>
  <c r="AS45" i="7"/>
  <c r="L101" i="12" s="1"/>
  <c r="K102" i="13"/>
  <c r="K101" i="13"/>
  <c r="AO45" i="7"/>
  <c r="K102" i="12" s="1"/>
  <c r="AN45" i="7"/>
  <c r="K101" i="12" s="1"/>
  <c r="J102" i="13"/>
  <c r="J101" i="13"/>
  <c r="AJ45" i="7"/>
  <c r="J102" i="12" s="1"/>
  <c r="AI45" i="7"/>
  <c r="J101" i="12" s="1"/>
  <c r="I102" i="13"/>
  <c r="I101" i="13"/>
  <c r="AE45" i="7"/>
  <c r="I102" i="12" s="1"/>
  <c r="AD45" i="7"/>
  <c r="I101" i="12" s="1"/>
  <c r="L82" i="13"/>
  <c r="L81" i="13"/>
  <c r="AT44" i="7"/>
  <c r="L82" i="12" s="1"/>
  <c r="AS44" i="7"/>
  <c r="L81" i="12" s="1"/>
  <c r="K82" i="13"/>
  <c r="K81" i="13"/>
  <c r="AO44" i="7"/>
  <c r="K82" i="12" s="1"/>
  <c r="AN44" i="7"/>
  <c r="K81" i="12" s="1"/>
  <c r="J82" i="13"/>
  <c r="J81" i="13"/>
  <c r="AJ44" i="7"/>
  <c r="J82" i="12" s="1"/>
  <c r="AI44" i="7"/>
  <c r="J81" i="12" s="1"/>
  <c r="I82" i="13"/>
  <c r="I81" i="13"/>
  <c r="AE44" i="7"/>
  <c r="I82" i="12" s="1"/>
  <c r="AD44" i="7"/>
  <c r="I81" i="12" s="1"/>
  <c r="L80" i="13"/>
  <c r="L79" i="13"/>
  <c r="AT43" i="7"/>
  <c r="L80" i="12" s="1"/>
  <c r="AS43" i="7"/>
  <c r="L79" i="12" s="1"/>
  <c r="K80" i="13"/>
  <c r="K79" i="13"/>
  <c r="AO43" i="7"/>
  <c r="K80" i="12" s="1"/>
  <c r="AN43" i="7"/>
  <c r="K79" i="12" s="1"/>
  <c r="J80" i="13"/>
  <c r="J79" i="13"/>
  <c r="AJ43" i="7"/>
  <c r="J80" i="12" s="1"/>
  <c r="AI43" i="7"/>
  <c r="J79" i="12" s="1"/>
  <c r="I80" i="13"/>
  <c r="I79" i="13"/>
  <c r="AE43" i="7"/>
  <c r="I80" i="12" s="1"/>
  <c r="AD43" i="7"/>
  <c r="I79" i="12" s="1"/>
  <c r="L78" i="13"/>
  <c r="L77" i="13"/>
  <c r="AT42" i="7"/>
  <c r="L78" i="12" s="1"/>
  <c r="AS42" i="7"/>
  <c r="L77" i="12" s="1"/>
  <c r="K78" i="13"/>
  <c r="K77" i="13"/>
  <c r="AO42" i="7"/>
  <c r="K78" i="12" s="1"/>
  <c r="AN42" i="7"/>
  <c r="K77" i="12" s="1"/>
  <c r="J78" i="13"/>
  <c r="J77" i="13"/>
  <c r="AJ42" i="7"/>
  <c r="J78" i="12" s="1"/>
  <c r="AI42" i="7"/>
  <c r="J77" i="12" s="1"/>
  <c r="I78" i="13"/>
  <c r="I77" i="13"/>
  <c r="AE42" i="7"/>
  <c r="I78" i="12" s="1"/>
  <c r="AD42" i="7"/>
  <c r="I77" i="12" s="1"/>
  <c r="L36" i="13"/>
  <c r="L35" i="13"/>
  <c r="AT41" i="7"/>
  <c r="L36" i="12" s="1"/>
  <c r="AS41" i="7"/>
  <c r="L35" i="12" s="1"/>
  <c r="K36" i="13"/>
  <c r="K35" i="13"/>
  <c r="AO41" i="7"/>
  <c r="K36" i="12" s="1"/>
  <c r="AN41" i="7"/>
  <c r="K35" i="12" s="1"/>
  <c r="J36" i="13"/>
  <c r="J35" i="13"/>
  <c r="AJ41" i="7"/>
  <c r="J36" i="12" s="1"/>
  <c r="AI41" i="7"/>
  <c r="J35" i="12" s="1"/>
  <c r="I36" i="13"/>
  <c r="I35" i="13"/>
  <c r="AE41" i="7"/>
  <c r="I36" i="12" s="1"/>
  <c r="AD41" i="7"/>
  <c r="I35" i="12" s="1"/>
  <c r="L76" i="13"/>
  <c r="L75" i="13"/>
  <c r="AT40" i="7"/>
  <c r="L76" i="12" s="1"/>
  <c r="AS40" i="7"/>
  <c r="L75" i="12" s="1"/>
  <c r="K76" i="13"/>
  <c r="K75" i="13"/>
  <c r="AO40" i="7"/>
  <c r="K76" i="12" s="1"/>
  <c r="AN40" i="7"/>
  <c r="K75" i="12" s="1"/>
  <c r="J76" i="13"/>
  <c r="J75" i="13"/>
  <c r="AJ40" i="7"/>
  <c r="J76" i="12" s="1"/>
  <c r="AI40" i="7"/>
  <c r="J75" i="12" s="1"/>
  <c r="I76" i="13"/>
  <c r="I75" i="13"/>
  <c r="AE40" i="7"/>
  <c r="I76" i="12" s="1"/>
  <c r="AD40" i="7"/>
  <c r="I75" i="12" s="1"/>
  <c r="L74" i="13"/>
  <c r="L73" i="13"/>
  <c r="AT39" i="7"/>
  <c r="L74" i="12" s="1"/>
  <c r="AS39" i="7"/>
  <c r="L73" i="12" s="1"/>
  <c r="K74" i="13"/>
  <c r="K73" i="13"/>
  <c r="AO39" i="7"/>
  <c r="K74" i="12" s="1"/>
  <c r="AN39" i="7"/>
  <c r="K73" i="12" s="1"/>
  <c r="J74" i="13"/>
  <c r="J73" i="13"/>
  <c r="AJ39" i="7"/>
  <c r="J74" i="12" s="1"/>
  <c r="AI39" i="7"/>
  <c r="J73" i="12" s="1"/>
  <c r="I74" i="13"/>
  <c r="I73" i="13"/>
  <c r="AE39" i="7"/>
  <c r="I74" i="12" s="1"/>
  <c r="AD39" i="7"/>
  <c r="I73" i="12" s="1"/>
  <c r="L72" i="13"/>
  <c r="L71" i="13"/>
  <c r="AT38" i="7"/>
  <c r="L72" i="12" s="1"/>
  <c r="AS38" i="7"/>
  <c r="L71" i="12" s="1"/>
  <c r="K72" i="13"/>
  <c r="K71" i="13"/>
  <c r="AO38" i="7"/>
  <c r="K72" i="12" s="1"/>
  <c r="AN38" i="7"/>
  <c r="K71" i="12" s="1"/>
  <c r="J72" i="13"/>
  <c r="J71" i="13"/>
  <c r="AJ38" i="7"/>
  <c r="J72" i="12" s="1"/>
  <c r="AI38" i="7"/>
  <c r="J71" i="12" s="1"/>
  <c r="I72" i="13"/>
  <c r="I71" i="13"/>
  <c r="AE38" i="7"/>
  <c r="I72" i="12" s="1"/>
  <c r="AD38" i="7"/>
  <c r="I71" i="12" s="1"/>
  <c r="L50" i="13"/>
  <c r="L49" i="13"/>
  <c r="AT37" i="7"/>
  <c r="L50" i="12" s="1"/>
  <c r="AS37" i="7"/>
  <c r="L49" i="12" s="1"/>
  <c r="K50" i="13"/>
  <c r="K49" i="13"/>
  <c r="AO37" i="7"/>
  <c r="K50" i="12" s="1"/>
  <c r="AN37" i="7"/>
  <c r="K49" i="12" s="1"/>
  <c r="J50" i="13"/>
  <c r="J49" i="13"/>
  <c r="AJ37" i="7"/>
  <c r="J50" i="12" s="1"/>
  <c r="AI37" i="7"/>
  <c r="J49" i="12" s="1"/>
  <c r="I50" i="13"/>
  <c r="I49" i="13"/>
  <c r="AE37" i="7"/>
  <c r="I50" i="12" s="1"/>
  <c r="AD37" i="7"/>
  <c r="I49" i="12" s="1"/>
  <c r="L48" i="13"/>
  <c r="L47" i="13"/>
  <c r="AT36" i="7"/>
  <c r="L48" i="12" s="1"/>
  <c r="AS36" i="7"/>
  <c r="L47" i="12" s="1"/>
  <c r="K48" i="13"/>
  <c r="K47" i="13"/>
  <c r="AO36" i="7"/>
  <c r="K48" i="12" s="1"/>
  <c r="AN36" i="7"/>
  <c r="K47" i="12" s="1"/>
  <c r="J48" i="13"/>
  <c r="J47" i="13"/>
  <c r="AJ36" i="7"/>
  <c r="J48" i="12" s="1"/>
  <c r="AI36" i="7"/>
  <c r="J47" i="12" s="1"/>
  <c r="I48" i="13"/>
  <c r="I47" i="13"/>
  <c r="AE36" i="7"/>
  <c r="I48" i="12" s="1"/>
  <c r="AD36" i="7"/>
  <c r="I47" i="12" s="1"/>
  <c r="L52" i="13"/>
  <c r="L51" i="13"/>
  <c r="AT35" i="7"/>
  <c r="L52" i="12" s="1"/>
  <c r="AS35" i="7"/>
  <c r="L51" i="12" s="1"/>
  <c r="K52" i="13"/>
  <c r="K51" i="13"/>
  <c r="AO35" i="7"/>
  <c r="K52" i="12" s="1"/>
  <c r="AN35" i="7"/>
  <c r="K51" i="12" s="1"/>
  <c r="J52" i="13"/>
  <c r="J51" i="13"/>
  <c r="AJ35" i="7"/>
  <c r="J52" i="12" s="1"/>
  <c r="AI35" i="7"/>
  <c r="J51" i="12" s="1"/>
  <c r="I52" i="13"/>
  <c r="I51" i="13"/>
  <c r="AE35" i="7"/>
  <c r="I52" i="12" s="1"/>
  <c r="AD35" i="7"/>
  <c r="I51" i="12" s="1"/>
  <c r="L46" i="13"/>
  <c r="L45" i="13"/>
  <c r="AT34" i="7"/>
  <c r="L46" i="12" s="1"/>
  <c r="AS34" i="7"/>
  <c r="L45" i="12" s="1"/>
  <c r="K46" i="13"/>
  <c r="K45" i="13"/>
  <c r="AO34" i="7"/>
  <c r="K46" i="12" s="1"/>
  <c r="AN34" i="7"/>
  <c r="K45" i="12" s="1"/>
  <c r="J46" i="13"/>
  <c r="J45" i="13"/>
  <c r="AJ34" i="7"/>
  <c r="J46" i="12" s="1"/>
  <c r="AI34" i="7"/>
  <c r="J45" i="12" s="1"/>
  <c r="I46" i="13"/>
  <c r="I45" i="13"/>
  <c r="AE34" i="7"/>
  <c r="I46" i="12" s="1"/>
  <c r="AD34" i="7"/>
  <c r="I45" i="12" s="1"/>
  <c r="L60" i="13"/>
  <c r="L59" i="13"/>
  <c r="AT33" i="7"/>
  <c r="L60" i="12" s="1"/>
  <c r="AS33" i="7"/>
  <c r="L59" i="12" s="1"/>
  <c r="K60" i="13"/>
  <c r="K59" i="13"/>
  <c r="AO33" i="7"/>
  <c r="K60" i="12" s="1"/>
  <c r="AN33" i="7"/>
  <c r="K59" i="12" s="1"/>
  <c r="J60" i="13"/>
  <c r="J59" i="13"/>
  <c r="AJ33" i="7"/>
  <c r="J60" i="12" s="1"/>
  <c r="AI33" i="7"/>
  <c r="J59" i="12" s="1"/>
  <c r="I60" i="13"/>
  <c r="I59" i="13"/>
  <c r="AE33" i="7"/>
  <c r="I60" i="12" s="1"/>
  <c r="AD33" i="7"/>
  <c r="I59" i="12" s="1"/>
  <c r="L58" i="13"/>
  <c r="L57" i="13"/>
  <c r="AT32" i="7"/>
  <c r="L58" i="12" s="1"/>
  <c r="AS32" i="7"/>
  <c r="L57" i="12" s="1"/>
  <c r="K58" i="13"/>
  <c r="K57" i="13"/>
  <c r="AO32" i="7"/>
  <c r="K58" i="12" s="1"/>
  <c r="AN32" i="7"/>
  <c r="K57" i="12" s="1"/>
  <c r="J58" i="13"/>
  <c r="J57" i="13"/>
  <c r="AJ32" i="7"/>
  <c r="J58" i="12" s="1"/>
  <c r="AI32" i="7"/>
  <c r="J57" i="12" s="1"/>
  <c r="I58" i="13"/>
  <c r="I57" i="13"/>
  <c r="AE32" i="7"/>
  <c r="I58" i="12" s="1"/>
  <c r="AD32" i="7"/>
  <c r="I57" i="12" s="1"/>
  <c r="L54" i="13"/>
  <c r="L53" i="13"/>
  <c r="AT30" i="7"/>
  <c r="L54" i="12" s="1"/>
  <c r="AS30" i="7"/>
  <c r="L53" i="12" s="1"/>
  <c r="K54" i="13"/>
  <c r="K53" i="13"/>
  <c r="AO30" i="7"/>
  <c r="K54" i="12" s="1"/>
  <c r="AN30" i="7"/>
  <c r="K53" i="12" s="1"/>
  <c r="J54" i="13"/>
  <c r="J53" i="13"/>
  <c r="AJ30" i="7"/>
  <c r="J54" i="12" s="1"/>
  <c r="AI30" i="7"/>
  <c r="J53" i="12" s="1"/>
  <c r="I54" i="13"/>
  <c r="I53" i="13"/>
  <c r="AE30" i="7"/>
  <c r="I54" i="12" s="1"/>
  <c r="AD30" i="7"/>
  <c r="I53" i="12" s="1"/>
  <c r="L26" i="13"/>
  <c r="L25" i="13"/>
  <c r="AT29" i="7"/>
  <c r="L26" i="12" s="1"/>
  <c r="AS29" i="7"/>
  <c r="L25" i="12" s="1"/>
  <c r="K26" i="13"/>
  <c r="K25" i="13"/>
  <c r="AO29" i="7"/>
  <c r="K26" i="12" s="1"/>
  <c r="AN29" i="7"/>
  <c r="K25" i="12" s="1"/>
  <c r="J26" i="13"/>
  <c r="J25" i="13"/>
  <c r="AJ29" i="7"/>
  <c r="J26" i="12" s="1"/>
  <c r="AI29" i="7"/>
  <c r="J25" i="12" s="1"/>
  <c r="I26" i="13"/>
  <c r="I25" i="13"/>
  <c r="AE29" i="7"/>
  <c r="I26" i="12" s="1"/>
  <c r="AD29" i="7"/>
  <c r="I25" i="12" s="1"/>
  <c r="L22" i="13"/>
  <c r="L21" i="13"/>
  <c r="AT28" i="7"/>
  <c r="L22" i="12" s="1"/>
  <c r="AS28" i="7"/>
  <c r="L21" i="12" s="1"/>
  <c r="K22" i="13"/>
  <c r="K21" i="13"/>
  <c r="AO28" i="7"/>
  <c r="K22" i="12" s="1"/>
  <c r="AN28" i="7"/>
  <c r="K21" i="12" s="1"/>
  <c r="J22" i="13"/>
  <c r="J21" i="13"/>
  <c r="AJ28" i="7"/>
  <c r="J22" i="12" s="1"/>
  <c r="AI28" i="7"/>
  <c r="J21" i="12" s="1"/>
  <c r="I22" i="13"/>
  <c r="I21" i="13"/>
  <c r="AE28" i="7"/>
  <c r="I22" i="12" s="1"/>
  <c r="AD28" i="7"/>
  <c r="I21" i="12" s="1"/>
  <c r="L20" i="13"/>
  <c r="L19" i="13"/>
  <c r="AT27" i="7"/>
  <c r="L20" i="12" s="1"/>
  <c r="AS27" i="7"/>
  <c r="L19" i="12" s="1"/>
  <c r="K20" i="13"/>
  <c r="K19" i="13"/>
  <c r="AO27" i="7"/>
  <c r="K20" i="12" s="1"/>
  <c r="AN27" i="7"/>
  <c r="K19" i="12" s="1"/>
  <c r="J20" i="13"/>
  <c r="J19" i="13"/>
  <c r="AJ27" i="7"/>
  <c r="J20" i="12" s="1"/>
  <c r="AI27" i="7"/>
  <c r="J19" i="12" s="1"/>
  <c r="I20" i="13"/>
  <c r="I19" i="13"/>
  <c r="AE27" i="7"/>
  <c r="I20" i="12" s="1"/>
  <c r="AD27" i="7"/>
  <c r="I19" i="12" s="1"/>
  <c r="L62" i="13"/>
  <c r="L61" i="13"/>
  <c r="AT26" i="7"/>
  <c r="L62" i="12" s="1"/>
  <c r="AS26" i="7"/>
  <c r="L61" i="12" s="1"/>
  <c r="K62" i="13"/>
  <c r="K61" i="13"/>
  <c r="AO26" i="7"/>
  <c r="K62" i="12" s="1"/>
  <c r="AN26" i="7"/>
  <c r="K61" i="12" s="1"/>
  <c r="J62" i="13"/>
  <c r="J61" i="13"/>
  <c r="AJ26" i="7"/>
  <c r="J62" i="12" s="1"/>
  <c r="AI26" i="7"/>
  <c r="J61" i="12" s="1"/>
  <c r="I62" i="13"/>
  <c r="I61" i="13"/>
  <c r="AE26" i="7"/>
  <c r="I62" i="12" s="1"/>
  <c r="AD26" i="7"/>
  <c r="I61" i="12" s="1"/>
  <c r="L64" i="13"/>
  <c r="L63" i="13"/>
  <c r="AT25" i="7"/>
  <c r="L68" i="12" s="1"/>
  <c r="AS25" i="7"/>
  <c r="L67" i="12" s="1"/>
  <c r="K64" i="13"/>
  <c r="K63" i="13"/>
  <c r="AO25" i="7"/>
  <c r="K68" i="12" s="1"/>
  <c r="AN25" i="7"/>
  <c r="K67" i="12" s="1"/>
  <c r="J64" i="13"/>
  <c r="J63" i="13"/>
  <c r="AJ25" i="7"/>
  <c r="J68" i="12" s="1"/>
  <c r="AI25" i="7"/>
  <c r="J67" i="12" s="1"/>
  <c r="I64" i="13"/>
  <c r="I63" i="13"/>
  <c r="AE25" i="7"/>
  <c r="I68" i="12" s="1"/>
  <c r="AD25" i="7"/>
  <c r="I67" i="12" s="1"/>
  <c r="L68" i="13"/>
  <c r="L67" i="13"/>
  <c r="K68" i="13"/>
  <c r="K67" i="13"/>
  <c r="J68" i="13"/>
  <c r="J67" i="13"/>
  <c r="I68" i="13"/>
  <c r="I67" i="13"/>
  <c r="L66" i="13"/>
  <c r="L65" i="13"/>
  <c r="AT24" i="7"/>
  <c r="L66" i="12" s="1"/>
  <c r="AS24" i="7"/>
  <c r="L65" i="12" s="1"/>
  <c r="K66" i="13"/>
  <c r="K65" i="13"/>
  <c r="AO24" i="7"/>
  <c r="K66" i="12" s="1"/>
  <c r="AN24" i="7"/>
  <c r="K65" i="12" s="1"/>
  <c r="J66" i="13"/>
  <c r="J65" i="13"/>
  <c r="AJ24" i="7"/>
  <c r="J66" i="12" s="1"/>
  <c r="AI24" i="7"/>
  <c r="J65" i="12" s="1"/>
  <c r="I66" i="13"/>
  <c r="I65" i="13"/>
  <c r="AE24" i="7"/>
  <c r="I66" i="12" s="1"/>
  <c r="AD24" i="7"/>
  <c r="I65" i="12" s="1"/>
  <c r="L24" i="13"/>
  <c r="L23" i="13"/>
  <c r="AT21" i="7"/>
  <c r="L24" i="12" s="1"/>
  <c r="AS21" i="7"/>
  <c r="L23" i="12" s="1"/>
  <c r="K24" i="13"/>
  <c r="K23" i="13"/>
  <c r="AO21" i="7"/>
  <c r="K24" i="12" s="1"/>
  <c r="AN21" i="7"/>
  <c r="K23" i="12" s="1"/>
  <c r="J24" i="13"/>
  <c r="J23" i="13"/>
  <c r="AJ21" i="7"/>
  <c r="J24" i="12" s="1"/>
  <c r="AI21" i="7"/>
  <c r="J23" i="12" s="1"/>
  <c r="I24" i="13"/>
  <c r="I23" i="13"/>
  <c r="AE21" i="7"/>
  <c r="I24" i="12" s="1"/>
  <c r="AD21" i="7"/>
  <c r="I23" i="12" s="1"/>
  <c r="L44" i="13"/>
  <c r="L43" i="13"/>
  <c r="AT18" i="7"/>
  <c r="L40" i="12" s="1"/>
  <c r="AS18" i="7"/>
  <c r="L39" i="12" s="1"/>
  <c r="K44" i="13"/>
  <c r="K43" i="13"/>
  <c r="AO18" i="7"/>
  <c r="K40" i="12" s="1"/>
  <c r="AN18" i="7"/>
  <c r="K39" i="12" s="1"/>
  <c r="J44" i="13"/>
  <c r="J43" i="13"/>
  <c r="AJ18" i="7"/>
  <c r="J40" i="12" s="1"/>
  <c r="AI18" i="7"/>
  <c r="J39" i="12" s="1"/>
  <c r="I44" i="13"/>
  <c r="I43" i="13"/>
  <c r="AE18" i="7"/>
  <c r="I40" i="12" s="1"/>
  <c r="AD18" i="7"/>
  <c r="I39" i="12" s="1"/>
  <c r="L42" i="13"/>
  <c r="L41" i="13"/>
  <c r="AT17" i="7"/>
  <c r="L38" i="12" s="1"/>
  <c r="AS17" i="7"/>
  <c r="L37" i="12" s="1"/>
  <c r="K42" i="13"/>
  <c r="K41" i="13"/>
  <c r="AO17" i="7"/>
  <c r="K38" i="12" s="1"/>
  <c r="AN17" i="7"/>
  <c r="K37" i="12" s="1"/>
  <c r="J42" i="13"/>
  <c r="J41" i="13"/>
  <c r="AJ17" i="7"/>
  <c r="J38" i="12" s="1"/>
  <c r="AI17" i="7"/>
  <c r="J37" i="12" s="1"/>
  <c r="I42" i="13"/>
  <c r="I41" i="13"/>
  <c r="AE17" i="7"/>
  <c r="I38" i="12" s="1"/>
  <c r="AD17" i="7"/>
  <c r="I37" i="12" s="1"/>
  <c r="L12" i="13"/>
  <c r="L11" i="13"/>
  <c r="AT16" i="7"/>
  <c r="L12" i="12" s="1"/>
  <c r="AS16" i="7"/>
  <c r="L11" i="12" s="1"/>
  <c r="K12" i="13"/>
  <c r="K11" i="13"/>
  <c r="AO16" i="7"/>
  <c r="K12" i="12" s="1"/>
  <c r="AN16" i="7"/>
  <c r="K11" i="12" s="1"/>
  <c r="J12" i="13"/>
  <c r="J11" i="13"/>
  <c r="AJ16" i="7"/>
  <c r="J12" i="12" s="1"/>
  <c r="AI16" i="7"/>
  <c r="J11" i="12" s="1"/>
  <c r="I12" i="13"/>
  <c r="I11" i="13"/>
  <c r="AE16" i="7"/>
  <c r="I12" i="12" s="1"/>
  <c r="AD16" i="7"/>
  <c r="I11" i="12" s="1"/>
  <c r="L18" i="13"/>
  <c r="L17" i="13"/>
  <c r="AT15" i="7"/>
  <c r="L18" i="12" s="1"/>
  <c r="AS15" i="7"/>
  <c r="L17" i="12" s="1"/>
  <c r="K18" i="13"/>
  <c r="K17" i="13"/>
  <c r="AO15" i="7"/>
  <c r="K18" i="12" s="1"/>
  <c r="AN15" i="7"/>
  <c r="K17" i="12" s="1"/>
  <c r="J18" i="13"/>
  <c r="J17" i="13"/>
  <c r="AJ15" i="7"/>
  <c r="J18" i="12" s="1"/>
  <c r="AI15" i="7"/>
  <c r="J17" i="12" s="1"/>
  <c r="I18" i="13"/>
  <c r="I17" i="13"/>
  <c r="AE15" i="7"/>
  <c r="I18" i="12" s="1"/>
  <c r="AD15" i="7"/>
  <c r="I17" i="12" s="1"/>
  <c r="L8" i="13"/>
  <c r="L7" i="13"/>
  <c r="AT14" i="7"/>
  <c r="L8" i="12" s="1"/>
  <c r="AS14" i="7"/>
  <c r="L7" i="12" s="1"/>
  <c r="K8" i="13"/>
  <c r="K7" i="13"/>
  <c r="AO14" i="7"/>
  <c r="K8" i="12" s="1"/>
  <c r="AN14" i="7"/>
  <c r="K7" i="12" s="1"/>
  <c r="J8" i="13"/>
  <c r="J7" i="13"/>
  <c r="AJ14" i="7"/>
  <c r="J8" i="12" s="1"/>
  <c r="AI14" i="7"/>
  <c r="J7" i="12" s="1"/>
  <c r="I8" i="13"/>
  <c r="I7" i="13"/>
  <c r="AE14" i="7"/>
  <c r="I8" i="12" s="1"/>
  <c r="AD14" i="7"/>
  <c r="I7" i="12" s="1"/>
  <c r="L34" i="13"/>
  <c r="L33" i="13"/>
  <c r="AT13" i="7"/>
  <c r="L34" i="12" s="1"/>
  <c r="AS13" i="7"/>
  <c r="L33" i="12" s="1"/>
  <c r="K34" i="13"/>
  <c r="K33" i="13"/>
  <c r="AO13" i="7"/>
  <c r="K34" i="12" s="1"/>
  <c r="AN13" i="7"/>
  <c r="K33" i="12" s="1"/>
  <c r="J34" i="13"/>
  <c r="J33" i="13"/>
  <c r="AJ13" i="7"/>
  <c r="J34" i="12" s="1"/>
  <c r="AI13" i="7"/>
  <c r="J33" i="12" s="1"/>
  <c r="I34" i="13"/>
  <c r="I33" i="13"/>
  <c r="AE13" i="7"/>
  <c r="I34" i="12" s="1"/>
  <c r="AD13" i="7"/>
  <c r="I33" i="12" s="1"/>
  <c r="L32" i="13"/>
  <c r="L31" i="13"/>
  <c r="AT12" i="7"/>
  <c r="L32" i="12" s="1"/>
  <c r="AS12" i="7"/>
  <c r="L31" i="12" s="1"/>
  <c r="K32" i="13"/>
  <c r="K31" i="13"/>
  <c r="AO12" i="7"/>
  <c r="K32" i="12" s="1"/>
  <c r="AN12" i="7"/>
  <c r="K31" i="12" s="1"/>
  <c r="J32" i="13"/>
  <c r="J31" i="13"/>
  <c r="AJ12" i="7"/>
  <c r="J32" i="12" s="1"/>
  <c r="AI12" i="7"/>
  <c r="J31" i="12" s="1"/>
  <c r="I32" i="13"/>
  <c r="I31" i="13"/>
  <c r="AE12" i="7"/>
  <c r="I32" i="12" s="1"/>
  <c r="AD12" i="7"/>
  <c r="I31" i="12" s="1"/>
  <c r="L30" i="13"/>
  <c r="L29" i="13"/>
  <c r="AT11" i="7"/>
  <c r="L30" i="12" s="1"/>
  <c r="AS11" i="7"/>
  <c r="L29" i="12" s="1"/>
  <c r="K30" i="13"/>
  <c r="K29" i="13"/>
  <c r="AO11" i="7"/>
  <c r="K30" i="12" s="1"/>
  <c r="AN11" i="7"/>
  <c r="K29" i="12" s="1"/>
  <c r="J30" i="13"/>
  <c r="J29" i="13"/>
  <c r="AJ11" i="7"/>
  <c r="J30" i="12" s="1"/>
  <c r="AI11" i="7"/>
  <c r="J29" i="12" s="1"/>
  <c r="I30" i="13"/>
  <c r="I29" i="13"/>
  <c r="AE11" i="7"/>
  <c r="I30" i="12" s="1"/>
  <c r="AD11" i="7"/>
  <c r="I29" i="12" s="1"/>
  <c r="L28" i="13"/>
  <c r="L27" i="13"/>
  <c r="AT10" i="7"/>
  <c r="L28" i="12" s="1"/>
  <c r="AS10" i="7"/>
  <c r="L27" i="12" s="1"/>
  <c r="K28" i="13"/>
  <c r="K27" i="13"/>
  <c r="AO10" i="7"/>
  <c r="K28" i="12" s="1"/>
  <c r="AN10" i="7"/>
  <c r="K27" i="12" s="1"/>
  <c r="J28" i="13"/>
  <c r="J27" i="13"/>
  <c r="AJ10" i="7"/>
  <c r="J28" i="12" s="1"/>
  <c r="AI10" i="7"/>
  <c r="J27" i="12" s="1"/>
  <c r="I28" i="13"/>
  <c r="I27" i="13"/>
  <c r="AE10" i="7"/>
  <c r="I28" i="12" s="1"/>
  <c r="AD10" i="7"/>
  <c r="I27" i="12" s="1"/>
  <c r="L14" i="13"/>
  <c r="L13" i="13"/>
  <c r="AT9" i="7"/>
  <c r="L14" i="12" s="1"/>
  <c r="AS9" i="7"/>
  <c r="L13" i="12" s="1"/>
  <c r="K14" i="13"/>
  <c r="K13" i="13"/>
  <c r="AO9" i="7"/>
  <c r="K14" i="12" s="1"/>
  <c r="AN9" i="7"/>
  <c r="K13" i="12" s="1"/>
  <c r="J14" i="13"/>
  <c r="J13" i="13"/>
  <c r="AJ9" i="7"/>
  <c r="J14" i="12" s="1"/>
  <c r="AI9" i="7"/>
  <c r="J13" i="12" s="1"/>
  <c r="I14" i="13"/>
  <c r="I13" i="13"/>
  <c r="AE9" i="7"/>
  <c r="I14" i="12" s="1"/>
  <c r="AD9" i="7"/>
  <c r="I13" i="12" s="1"/>
  <c r="AV8" i="7"/>
  <c r="L16" i="13" s="1"/>
  <c r="AU8" i="7"/>
  <c r="L15" i="13" s="1"/>
  <c r="AT8" i="7"/>
  <c r="L16" i="12" s="1"/>
  <c r="AS8" i="7"/>
  <c r="L15" i="12" s="1"/>
  <c r="AQ8" i="7"/>
  <c r="K16" i="13" s="1"/>
  <c r="AP8" i="7"/>
  <c r="K15" i="13" s="1"/>
  <c r="AO8" i="7"/>
  <c r="K16" i="12" s="1"/>
  <c r="AN8" i="7"/>
  <c r="K15" i="12" s="1"/>
  <c r="AL8" i="7"/>
  <c r="J16" i="13" s="1"/>
  <c r="AK8" i="7"/>
  <c r="J15" i="13" s="1"/>
  <c r="AJ8" i="7"/>
  <c r="J16" i="12" s="1"/>
  <c r="AI8" i="7"/>
  <c r="J15" i="12" s="1"/>
  <c r="AG8" i="7"/>
  <c r="I16" i="13" s="1"/>
  <c r="AF8" i="7"/>
  <c r="I15" i="13" s="1"/>
  <c r="AE8" i="7"/>
  <c r="I16" i="12" s="1"/>
  <c r="AD8" i="7"/>
  <c r="I15" i="12" s="1"/>
  <c r="AV7" i="7"/>
  <c r="AU7" i="7"/>
  <c r="AT7" i="7"/>
  <c r="AS7" i="7"/>
  <c r="L9" i="12" s="1"/>
  <c r="AQ7" i="7"/>
  <c r="AP7" i="7"/>
  <c r="AO7" i="7"/>
  <c r="AN7" i="7"/>
  <c r="K9" i="12" s="1"/>
  <c r="AL7" i="7"/>
  <c r="AK7" i="7"/>
  <c r="J9" i="13" s="1"/>
  <c r="AJ7" i="7"/>
  <c r="AI7" i="7"/>
  <c r="AG7" i="7"/>
  <c r="AF7" i="7"/>
  <c r="AE7" i="7"/>
  <c r="AD7" i="7"/>
  <c r="E3" i="12"/>
  <c r="O63" i="12" l="1"/>
  <c r="O64" i="12"/>
  <c r="O134" i="12" s="1"/>
  <c r="O136" i="12" s="1"/>
  <c r="N63" i="12"/>
  <c r="N64" i="12"/>
  <c r="M63" i="12"/>
  <c r="M64" i="12"/>
  <c r="L63" i="12"/>
  <c r="L133" i="12" s="1"/>
  <c r="L135" i="12" s="1"/>
  <c r="L64" i="12"/>
  <c r="K63" i="12"/>
  <c r="K133" i="12" s="1"/>
  <c r="K135" i="12" s="1"/>
  <c r="K64" i="12"/>
  <c r="J63" i="12"/>
  <c r="J64" i="12"/>
  <c r="I63" i="12"/>
  <c r="I64" i="12"/>
  <c r="O134" i="13"/>
  <c r="O136" i="13" s="1"/>
  <c r="J133" i="13"/>
  <c r="J135" i="13" s="1"/>
  <c r="AV70" i="7"/>
  <c r="AV71" i="7" s="1"/>
  <c r="J134" i="14"/>
  <c r="I134" i="14"/>
  <c r="Y71" i="15"/>
  <c r="AA71" i="15"/>
  <c r="AC71" i="15"/>
  <c r="Q71" i="15"/>
  <c r="W71" i="15"/>
  <c r="S71" i="15"/>
  <c r="U71" i="15"/>
  <c r="AQ70" i="7"/>
  <c r="AQ71" i="7" s="1"/>
  <c r="AT70" i="7"/>
  <c r="AT71" i="7" s="1"/>
  <c r="AN70" i="7"/>
  <c r="AN71" i="7" s="1"/>
  <c r="AP70" i="7"/>
  <c r="AP71" i="7" s="1"/>
  <c r="AO70" i="7"/>
  <c r="AO71" i="7" s="1"/>
  <c r="BA70" i="7"/>
  <c r="BA71" i="7" s="1"/>
  <c r="BF70" i="7"/>
  <c r="BF71" i="7" s="1"/>
  <c r="AX70" i="7"/>
  <c r="AX71" i="7" s="1"/>
  <c r="AJ70" i="7"/>
  <c r="AJ71" i="7" s="1"/>
  <c r="AF70" i="7"/>
  <c r="AF71" i="7" s="1"/>
  <c r="AG70" i="7"/>
  <c r="AG71" i="7" s="1"/>
  <c r="BC70" i="7"/>
  <c r="BC71" i="7" s="1"/>
  <c r="BD70" i="7"/>
  <c r="BD71" i="7" s="1"/>
  <c r="AZ70" i="7"/>
  <c r="AZ71" i="7" s="1"/>
  <c r="BH70" i="7"/>
  <c r="BH71" i="7" s="1"/>
  <c r="BI70" i="7"/>
  <c r="BI71" i="7" s="1"/>
  <c r="BJ70" i="7"/>
  <c r="BJ71" i="7" s="1"/>
  <c r="N15" i="12"/>
  <c r="BE70" i="7"/>
  <c r="BE71" i="7" s="1"/>
  <c r="AY70" i="7"/>
  <c r="AY71" i="7" s="1"/>
  <c r="AU70" i="7"/>
  <c r="AU71" i="7" s="1"/>
  <c r="AI70" i="7"/>
  <c r="AI71" i="7" s="1"/>
  <c r="AL70" i="7"/>
  <c r="AL71" i="7" s="1"/>
  <c r="AD70" i="7"/>
  <c r="AD71" i="7" s="1"/>
  <c r="AE70" i="7"/>
  <c r="AE71" i="7" s="1"/>
  <c r="O9" i="12"/>
  <c r="BK70" i="7"/>
  <c r="BK71" i="7" s="1"/>
  <c r="O9" i="13"/>
  <c r="O133" i="13" s="1"/>
  <c r="N10" i="12"/>
  <c r="N10" i="13"/>
  <c r="N134" i="13" s="1"/>
  <c r="N9" i="13"/>
  <c r="N133" i="13" s="1"/>
  <c r="M10" i="12"/>
  <c r="M10" i="13"/>
  <c r="M134" i="13" s="1"/>
  <c r="M9" i="12"/>
  <c r="M9" i="13"/>
  <c r="M133" i="13" s="1"/>
  <c r="L10" i="13"/>
  <c r="L134" i="13" s="1"/>
  <c r="L9" i="13"/>
  <c r="L133" i="13" s="1"/>
  <c r="AS70" i="7"/>
  <c r="AS71" i="7" s="1"/>
  <c r="L10" i="12"/>
  <c r="K10" i="12"/>
  <c r="K10" i="13"/>
  <c r="K134" i="13" s="1"/>
  <c r="K9" i="13"/>
  <c r="K133" i="13" s="1"/>
  <c r="J10" i="12"/>
  <c r="AK70" i="7"/>
  <c r="AK71" i="7" s="1"/>
  <c r="J9" i="12"/>
  <c r="J10" i="13"/>
  <c r="J134" i="13" s="1"/>
  <c r="I10" i="13"/>
  <c r="I134" i="13" s="1"/>
  <c r="I9" i="13"/>
  <c r="I133" i="13" s="1"/>
  <c r="I10" i="12"/>
  <c r="I9" i="12"/>
  <c r="F3" i="14"/>
  <c r="G3" i="14" s="1"/>
  <c r="H3" i="14" s="1"/>
  <c r="I3" i="14" s="1"/>
  <c r="J3" i="14" s="1"/>
  <c r="K3" i="14" s="1"/>
  <c r="L3" i="14" s="1"/>
  <c r="M3" i="14" s="1"/>
  <c r="N3" i="14" s="1"/>
  <c r="O3" i="14" s="1"/>
  <c r="E3" i="13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F3" i="12"/>
  <c r="G3" i="12" s="1"/>
  <c r="H3" i="12" s="1"/>
  <c r="I3" i="12" s="1"/>
  <c r="J3" i="12" s="1"/>
  <c r="K3" i="12" s="1"/>
  <c r="L3" i="12" s="1"/>
  <c r="M3" i="12" s="1"/>
  <c r="N3" i="12" s="1"/>
  <c r="O3" i="12" s="1"/>
  <c r="E123" i="12"/>
  <c r="I133" i="12" l="1"/>
  <c r="I135" i="12" s="1"/>
  <c r="M133" i="12"/>
  <c r="M135" i="12" s="1"/>
  <c r="N133" i="12"/>
  <c r="N4" i="12" s="1"/>
  <c r="O133" i="12"/>
  <c r="O135" i="12" s="1"/>
  <c r="I134" i="12"/>
  <c r="I136" i="12" s="1"/>
  <c r="M134" i="12"/>
  <c r="M5" i="12" s="1"/>
  <c r="N134" i="12"/>
  <c r="N5" i="12" s="1"/>
  <c r="K134" i="12"/>
  <c r="K5" i="12" s="1"/>
  <c r="L134" i="12"/>
  <c r="L5" i="12" s="1"/>
  <c r="J133" i="12"/>
  <c r="J135" i="12" s="1"/>
  <c r="J134" i="12"/>
  <c r="J136" i="12" s="1"/>
  <c r="I136" i="13"/>
  <c r="I135" i="13"/>
  <c r="N136" i="13"/>
  <c r="M135" i="13"/>
  <c r="K136" i="13"/>
  <c r="M136" i="13"/>
  <c r="K135" i="13"/>
  <c r="L5" i="13"/>
  <c r="L4" i="13"/>
  <c r="J5" i="13"/>
  <c r="N4" i="13"/>
  <c r="O135" i="13"/>
  <c r="O5" i="12"/>
  <c r="I5" i="13"/>
  <c r="L4" i="12"/>
  <c r="J4" i="13"/>
  <c r="K5" i="13"/>
  <c r="O5" i="13"/>
  <c r="M4" i="13"/>
  <c r="M5" i="13"/>
  <c r="K4" i="12"/>
  <c r="H124" i="13"/>
  <c r="G124" i="13"/>
  <c r="F124" i="13"/>
  <c r="E124" i="13"/>
  <c r="H123" i="13"/>
  <c r="H124" i="12"/>
  <c r="H123" i="12"/>
  <c r="G123" i="13"/>
  <c r="G124" i="12"/>
  <c r="G123" i="12"/>
  <c r="F123" i="13"/>
  <c r="F124" i="12"/>
  <c r="F123" i="12"/>
  <c r="E124" i="12"/>
  <c r="K70" i="15"/>
  <c r="H8" i="14"/>
  <c r="H10" i="14"/>
  <c r="H12" i="14"/>
  <c r="H14" i="14"/>
  <c r="H16" i="14"/>
  <c r="H18" i="14"/>
  <c r="H20" i="14"/>
  <c r="H22" i="14"/>
  <c r="H24" i="14"/>
  <c r="H26" i="14"/>
  <c r="H28" i="14"/>
  <c r="H30" i="14"/>
  <c r="H32" i="14"/>
  <c r="H34" i="14"/>
  <c r="H36" i="14"/>
  <c r="H38" i="14"/>
  <c r="H44" i="14"/>
  <c r="H46" i="14"/>
  <c r="H48" i="14"/>
  <c r="H50" i="14"/>
  <c r="H52" i="14"/>
  <c r="H56" i="14"/>
  <c r="H58" i="14"/>
  <c r="H60" i="14"/>
  <c r="H62" i="14"/>
  <c r="H64" i="14"/>
  <c r="H66" i="14"/>
  <c r="H68" i="14"/>
  <c r="H72" i="14"/>
  <c r="H74" i="14"/>
  <c r="H76" i="14"/>
  <c r="H78" i="14"/>
  <c r="H80" i="14"/>
  <c r="H82" i="14"/>
  <c r="H84" i="14"/>
  <c r="H86" i="14"/>
  <c r="H88" i="14"/>
  <c r="H92" i="14"/>
  <c r="H96" i="14"/>
  <c r="H98" i="14"/>
  <c r="H100" i="14"/>
  <c r="H102" i="14"/>
  <c r="H104" i="14"/>
  <c r="H106" i="14"/>
  <c r="H108" i="14"/>
  <c r="H110" i="14"/>
  <c r="H112" i="14"/>
  <c r="H114" i="14"/>
  <c r="H116" i="14"/>
  <c r="H118" i="14"/>
  <c r="H120" i="14"/>
  <c r="H122" i="14"/>
  <c r="H124" i="14"/>
  <c r="H126" i="14"/>
  <c r="H128" i="14"/>
  <c r="H130" i="14"/>
  <c r="H6" i="14"/>
  <c r="G8" i="14"/>
  <c r="G10" i="14"/>
  <c r="G12" i="14"/>
  <c r="G14" i="14"/>
  <c r="G16" i="14"/>
  <c r="G18" i="14"/>
  <c r="G20" i="14"/>
  <c r="G22" i="14"/>
  <c r="G24" i="14"/>
  <c r="G26" i="14"/>
  <c r="G28" i="14"/>
  <c r="G30" i="14"/>
  <c r="G32" i="14"/>
  <c r="G34" i="14"/>
  <c r="G36" i="14"/>
  <c r="G38" i="14"/>
  <c r="G44" i="14"/>
  <c r="G46" i="14"/>
  <c r="G48" i="14"/>
  <c r="G50" i="14"/>
  <c r="G52" i="14"/>
  <c r="G56" i="14"/>
  <c r="G58" i="14"/>
  <c r="G60" i="14"/>
  <c r="G62" i="14"/>
  <c r="G64" i="14"/>
  <c r="G66" i="14"/>
  <c r="G68" i="14"/>
  <c r="G72" i="14"/>
  <c r="G74" i="14"/>
  <c r="G76" i="14"/>
  <c r="G78" i="14"/>
  <c r="G80" i="14"/>
  <c r="G82" i="14"/>
  <c r="G84" i="14"/>
  <c r="G86" i="14"/>
  <c r="G88" i="14"/>
  <c r="G92" i="14"/>
  <c r="G96" i="14"/>
  <c r="G98" i="14"/>
  <c r="G100" i="14"/>
  <c r="G102" i="14"/>
  <c r="G104" i="14"/>
  <c r="G106" i="14"/>
  <c r="G108" i="14"/>
  <c r="G110" i="14"/>
  <c r="G112" i="14"/>
  <c r="G114" i="14"/>
  <c r="G116" i="14"/>
  <c r="G118" i="14"/>
  <c r="G120" i="14"/>
  <c r="G122" i="14"/>
  <c r="G124" i="14"/>
  <c r="G126" i="14"/>
  <c r="G128" i="14"/>
  <c r="G130" i="14"/>
  <c r="G6" i="14"/>
  <c r="F8" i="14"/>
  <c r="F10" i="14"/>
  <c r="F12" i="14"/>
  <c r="F14" i="14"/>
  <c r="F16" i="14"/>
  <c r="F18" i="14"/>
  <c r="F20" i="14"/>
  <c r="F22" i="14"/>
  <c r="F24" i="14"/>
  <c r="F26" i="14"/>
  <c r="F28" i="14"/>
  <c r="F30" i="14"/>
  <c r="F32" i="14"/>
  <c r="F34" i="14"/>
  <c r="F36" i="14"/>
  <c r="F38" i="14"/>
  <c r="F44" i="14"/>
  <c r="F46" i="14"/>
  <c r="F48" i="14"/>
  <c r="F50" i="14"/>
  <c r="F52" i="14"/>
  <c r="F56" i="14"/>
  <c r="F58" i="14"/>
  <c r="F60" i="14"/>
  <c r="F62" i="14"/>
  <c r="F64" i="14"/>
  <c r="F66" i="14"/>
  <c r="F68" i="14"/>
  <c r="F72" i="14"/>
  <c r="F74" i="14"/>
  <c r="F76" i="14"/>
  <c r="F78" i="14"/>
  <c r="F80" i="14"/>
  <c r="F82" i="14"/>
  <c r="F84" i="14"/>
  <c r="F86" i="14"/>
  <c r="F88" i="14"/>
  <c r="F92" i="14"/>
  <c r="F96" i="14"/>
  <c r="F98" i="14"/>
  <c r="F100" i="14"/>
  <c r="F102" i="14"/>
  <c r="F104" i="14"/>
  <c r="F106" i="14"/>
  <c r="F108" i="14"/>
  <c r="F110" i="14"/>
  <c r="F112" i="14"/>
  <c r="F114" i="14"/>
  <c r="F116" i="14"/>
  <c r="F118" i="14"/>
  <c r="F120" i="14"/>
  <c r="F122" i="14"/>
  <c r="F124" i="14"/>
  <c r="F126" i="14"/>
  <c r="F128" i="14"/>
  <c r="F130" i="14"/>
  <c r="F6" i="14"/>
  <c r="E8" i="14"/>
  <c r="E10" i="14"/>
  <c r="E12" i="14"/>
  <c r="E14" i="14"/>
  <c r="E16" i="14"/>
  <c r="E18" i="14"/>
  <c r="E20" i="14"/>
  <c r="E22" i="14"/>
  <c r="E24" i="14"/>
  <c r="E26" i="14"/>
  <c r="E28" i="14"/>
  <c r="E30" i="14"/>
  <c r="E32" i="14"/>
  <c r="E34" i="14"/>
  <c r="E36" i="14"/>
  <c r="E38" i="14"/>
  <c r="E44" i="14"/>
  <c r="E46" i="14"/>
  <c r="E48" i="14"/>
  <c r="E50" i="14"/>
  <c r="E52" i="14"/>
  <c r="E56" i="14"/>
  <c r="E58" i="14"/>
  <c r="E60" i="14"/>
  <c r="E62" i="14"/>
  <c r="E64" i="14"/>
  <c r="E66" i="14"/>
  <c r="E68" i="14"/>
  <c r="E72" i="14"/>
  <c r="E74" i="14"/>
  <c r="E76" i="14"/>
  <c r="E78" i="14"/>
  <c r="E80" i="14"/>
  <c r="E82" i="14"/>
  <c r="E84" i="14"/>
  <c r="E86" i="14"/>
  <c r="E88" i="14"/>
  <c r="E92" i="14"/>
  <c r="E96" i="14"/>
  <c r="E98" i="14"/>
  <c r="E100" i="14"/>
  <c r="E102" i="14"/>
  <c r="E104" i="14"/>
  <c r="E106" i="14"/>
  <c r="E108" i="14"/>
  <c r="E110" i="14"/>
  <c r="E112" i="14"/>
  <c r="E114" i="14"/>
  <c r="E116" i="14"/>
  <c r="E118" i="14"/>
  <c r="E120" i="14"/>
  <c r="E122" i="14"/>
  <c r="E124" i="14"/>
  <c r="E126" i="14"/>
  <c r="E128" i="14"/>
  <c r="E130" i="14"/>
  <c r="E6" i="14"/>
  <c r="D96" i="14"/>
  <c r="D99" i="14"/>
  <c r="D117" i="14"/>
  <c r="D125" i="14"/>
  <c r="D128" i="14"/>
  <c r="D131" i="14"/>
  <c r="H132" i="14" l="1"/>
  <c r="D133" i="14"/>
  <c r="D132" i="14"/>
  <c r="F132" i="14"/>
  <c r="E132" i="14"/>
  <c r="G132" i="14"/>
  <c r="N135" i="12"/>
  <c r="N136" i="12"/>
  <c r="M136" i="12"/>
  <c r="I5" i="12"/>
  <c r="K136" i="12"/>
  <c r="L136" i="12"/>
  <c r="J5" i="12"/>
  <c r="I4" i="13"/>
  <c r="J136" i="13"/>
  <c r="L135" i="13"/>
  <c r="J4" i="12"/>
  <c r="N135" i="13"/>
  <c r="M4" i="12"/>
  <c r="L136" i="13"/>
  <c r="N5" i="13"/>
  <c r="O4" i="12"/>
  <c r="K4" i="13"/>
  <c r="I4" i="12"/>
  <c r="O4" i="13"/>
  <c r="D70" i="15"/>
  <c r="O70" i="15"/>
  <c r="M70" i="15"/>
  <c r="I70" i="15"/>
  <c r="G70" i="15"/>
  <c r="E70" i="15" l="1"/>
  <c r="K71" i="15"/>
  <c r="O71" i="15"/>
  <c r="G71" i="15"/>
  <c r="M71" i="15"/>
  <c r="I71" i="15"/>
  <c r="H73" i="14" l="1"/>
  <c r="H23" i="14"/>
  <c r="F4" i="15"/>
  <c r="E105" i="14"/>
  <c r="E103" i="14"/>
  <c r="H69" i="14"/>
  <c r="H25" i="14"/>
  <c r="H35" i="14"/>
  <c r="H27" i="14"/>
  <c r="E127" i="14"/>
  <c r="E113" i="14"/>
  <c r="H113" i="14"/>
  <c r="H99" i="14"/>
  <c r="E7" i="14"/>
  <c r="E73" i="14"/>
  <c r="E13" i="14"/>
  <c r="H49" i="14"/>
  <c r="H129" i="14"/>
  <c r="E129" i="14"/>
  <c r="E37" i="14"/>
  <c r="H37" i="14"/>
  <c r="H87" i="14"/>
  <c r="E87" i="14"/>
  <c r="H65" i="14"/>
  <c r="G93" i="14" l="1"/>
  <c r="G127" i="14"/>
  <c r="H105" i="14"/>
  <c r="G25" i="14"/>
  <c r="E23" i="14"/>
  <c r="E93" i="14"/>
  <c r="G87" i="14"/>
  <c r="G37" i="14"/>
  <c r="G113" i="14"/>
  <c r="G35" i="14"/>
  <c r="H93" i="14"/>
  <c r="H127" i="14"/>
  <c r="G129" i="14"/>
  <c r="G49" i="14"/>
  <c r="G13" i="14"/>
  <c r="G7" i="14"/>
  <c r="G99" i="14"/>
  <c r="F70" i="15"/>
  <c r="H103" i="14"/>
  <c r="H7" i="14"/>
  <c r="E99" i="14"/>
  <c r="E85" i="14"/>
  <c r="E27" i="14"/>
  <c r="E49" i="14"/>
  <c r="H13" i="14"/>
  <c r="E35" i="14"/>
  <c r="E25" i="14"/>
  <c r="H85" i="14"/>
  <c r="E69" i="14"/>
  <c r="E65" i="14"/>
  <c r="E83" i="14"/>
  <c r="H83" i="14"/>
  <c r="H59" i="14"/>
  <c r="E59" i="14"/>
  <c r="H75" i="14"/>
  <c r="E75" i="14"/>
  <c r="E131" i="14"/>
  <c r="H131" i="14"/>
  <c r="E33" i="14"/>
  <c r="H33" i="14"/>
  <c r="H97" i="14"/>
  <c r="E97" i="14"/>
  <c r="H89" i="14"/>
  <c r="E89" i="14"/>
  <c r="H109" i="14"/>
  <c r="E109" i="14"/>
  <c r="E47" i="14"/>
  <c r="H47" i="14"/>
  <c r="E9" i="14"/>
  <c r="E133" i="14" s="1"/>
  <c r="H9" i="14"/>
  <c r="H29" i="14"/>
  <c r="E29" i="14"/>
  <c r="H121" i="14"/>
  <c r="E121" i="14"/>
  <c r="E117" i="14"/>
  <c r="H117" i="14"/>
  <c r="E101" i="14"/>
  <c r="H101" i="14"/>
  <c r="H31" i="14"/>
  <c r="E31" i="14"/>
  <c r="E79" i="14"/>
  <c r="H79" i="14"/>
  <c r="E21" i="14"/>
  <c r="H21" i="14"/>
  <c r="H107" i="14"/>
  <c r="E107" i="14"/>
  <c r="H39" i="14"/>
  <c r="E39" i="14"/>
  <c r="H45" i="14"/>
  <c r="E45" i="14"/>
  <c r="H125" i="14"/>
  <c r="E125" i="14"/>
  <c r="H77" i="14"/>
  <c r="E77" i="14"/>
  <c r="H119" i="14"/>
  <c r="E119" i="14"/>
  <c r="H53" i="14"/>
  <c r="E53" i="14"/>
  <c r="H57" i="14"/>
  <c r="E57" i="14"/>
  <c r="H111" i="14"/>
  <c r="E111" i="14"/>
  <c r="E51" i="14"/>
  <c r="H51" i="14"/>
  <c r="E81" i="14"/>
  <c r="H81" i="14"/>
  <c r="E11" i="14"/>
  <c r="H11" i="14"/>
  <c r="E115" i="14"/>
  <c r="H115" i="14"/>
  <c r="E15" i="14"/>
  <c r="H15" i="14"/>
  <c r="H123" i="14"/>
  <c r="E123" i="14"/>
  <c r="E19" i="14"/>
  <c r="H19" i="14"/>
  <c r="H67" i="14"/>
  <c r="E67" i="14"/>
  <c r="E17" i="14"/>
  <c r="H17" i="14"/>
  <c r="E61" i="14"/>
  <c r="H61" i="14"/>
  <c r="H63" i="14"/>
  <c r="E63" i="14"/>
  <c r="H133" i="14" l="1"/>
  <c r="E135" i="14"/>
  <c r="G15" i="14"/>
  <c r="G115" i="14"/>
  <c r="G69" i="14"/>
  <c r="G17" i="14"/>
  <c r="G51" i="14"/>
  <c r="G77" i="14"/>
  <c r="G21" i="14"/>
  <c r="G97" i="14"/>
  <c r="G75" i="14"/>
  <c r="G65" i="14"/>
  <c r="G79" i="14"/>
  <c r="G101" i="14"/>
  <c r="G109" i="14"/>
  <c r="G27" i="14"/>
  <c r="G123" i="14"/>
  <c r="G125" i="14"/>
  <c r="G85" i="14"/>
  <c r="G39" i="14"/>
  <c r="G29" i="14"/>
  <c r="G11" i="14"/>
  <c r="G67" i="14"/>
  <c r="G9" i="14"/>
  <c r="G133" i="14" s="1"/>
  <c r="G23" i="14"/>
  <c r="G63" i="14"/>
  <c r="G53" i="14"/>
  <c r="G107" i="14"/>
  <c r="G31" i="14"/>
  <c r="G117" i="14"/>
  <c r="G33" i="14"/>
  <c r="G103" i="14"/>
  <c r="G105" i="14"/>
  <c r="G131" i="14"/>
  <c r="G59" i="14"/>
  <c r="G61" i="14"/>
  <c r="G111" i="14"/>
  <c r="G119" i="14"/>
  <c r="G19" i="14"/>
  <c r="G81" i="14"/>
  <c r="G57" i="14"/>
  <c r="G45" i="14"/>
  <c r="G121" i="14"/>
  <c r="G47" i="14"/>
  <c r="G89" i="14"/>
  <c r="G83" i="14"/>
  <c r="G73" i="14"/>
  <c r="H70" i="15"/>
  <c r="J70" i="15"/>
  <c r="J71" i="15" s="1"/>
  <c r="N70" i="15"/>
  <c r="N71" i="15" s="1"/>
  <c r="P70" i="15"/>
  <c r="P71" i="15" s="1"/>
  <c r="V70" i="15" l="1"/>
  <c r="V71" i="15" s="1"/>
  <c r="T70" i="15"/>
  <c r="T71" i="15" s="1"/>
  <c r="R70" i="15"/>
  <c r="R71" i="15" s="1"/>
  <c r="H71" i="15"/>
  <c r="X70" i="15"/>
  <c r="X71" i="15" s="1"/>
  <c r="E7" i="13"/>
  <c r="H90" i="13"/>
  <c r="H89" i="13"/>
  <c r="Z64" i="7"/>
  <c r="H90" i="12" s="1"/>
  <c r="Y64" i="7"/>
  <c r="H89" i="12" s="1"/>
  <c r="G90" i="13"/>
  <c r="G89" i="13"/>
  <c r="U64" i="7"/>
  <c r="G90" i="12" s="1"/>
  <c r="T64" i="7"/>
  <c r="G89" i="12" s="1"/>
  <c r="F90" i="13"/>
  <c r="F89" i="13"/>
  <c r="P64" i="7"/>
  <c r="F90" i="12" s="1"/>
  <c r="O64" i="7"/>
  <c r="F89" i="12" s="1"/>
  <c r="E90" i="13"/>
  <c r="E89" i="13"/>
  <c r="K64" i="7"/>
  <c r="E90" i="12" s="1"/>
  <c r="J64" i="7"/>
  <c r="E89" i="12" s="1"/>
  <c r="G134" i="14" l="1"/>
  <c r="H134" i="14"/>
  <c r="G135" i="14"/>
  <c r="E134" i="14"/>
  <c r="H135" i="14"/>
  <c r="F134" i="14"/>
  <c r="H5" i="14" l="1"/>
  <c r="H4" i="14"/>
  <c r="G5" i="14"/>
  <c r="G4" i="14"/>
  <c r="F4" i="14"/>
  <c r="E5" i="14"/>
  <c r="E4" i="14"/>
  <c r="H132" i="13"/>
  <c r="H131" i="13"/>
  <c r="Z69" i="7"/>
  <c r="H132" i="12" s="1"/>
  <c r="Y69" i="7"/>
  <c r="H131" i="12" s="1"/>
  <c r="H130" i="13"/>
  <c r="H129" i="13"/>
  <c r="Z68" i="7"/>
  <c r="H130" i="12" s="1"/>
  <c r="Y68" i="7"/>
  <c r="H129" i="12" s="1"/>
  <c r="H128" i="13"/>
  <c r="H127" i="13"/>
  <c r="Z67" i="7"/>
  <c r="H128" i="12" s="1"/>
  <c r="Y67" i="7"/>
  <c r="H127" i="12" s="1"/>
  <c r="H126" i="13"/>
  <c r="H125" i="13"/>
  <c r="Z66" i="7"/>
  <c r="H126" i="12" s="1"/>
  <c r="Y66" i="7"/>
  <c r="H125" i="12" s="1"/>
  <c r="H88" i="13"/>
  <c r="H87" i="13"/>
  <c r="Z63" i="7"/>
  <c r="H88" i="12" s="1"/>
  <c r="Y63" i="7"/>
  <c r="H87" i="12" s="1"/>
  <c r="H86" i="13"/>
  <c r="H85" i="13"/>
  <c r="Z62" i="7"/>
  <c r="H86" i="12" s="1"/>
  <c r="Y62" i="7"/>
  <c r="H85" i="12" s="1"/>
  <c r="H84" i="13"/>
  <c r="H83" i="13"/>
  <c r="Z61" i="7"/>
  <c r="H84" i="12" s="1"/>
  <c r="Y61" i="7"/>
  <c r="H83" i="12" s="1"/>
  <c r="H100" i="13"/>
  <c r="H99" i="13"/>
  <c r="Z60" i="7"/>
  <c r="H100" i="12" s="1"/>
  <c r="Y60" i="7"/>
  <c r="H99" i="12" s="1"/>
  <c r="H98" i="13"/>
  <c r="H97" i="13"/>
  <c r="Z59" i="7"/>
  <c r="H98" i="12" s="1"/>
  <c r="Y59" i="7"/>
  <c r="H97" i="12" s="1"/>
  <c r="H94" i="13"/>
  <c r="H93" i="13"/>
  <c r="Z57" i="7"/>
  <c r="H94" i="12" s="1"/>
  <c r="Y57" i="7"/>
  <c r="H93" i="12" s="1"/>
  <c r="H122" i="13"/>
  <c r="H121" i="13"/>
  <c r="Z55" i="7"/>
  <c r="H122" i="12" s="1"/>
  <c r="Y55" i="7"/>
  <c r="H121" i="12" s="1"/>
  <c r="H120" i="13"/>
  <c r="H119" i="13"/>
  <c r="Z54" i="7"/>
  <c r="H120" i="12" s="1"/>
  <c r="Y54" i="7"/>
  <c r="H119" i="12" s="1"/>
  <c r="H118" i="13"/>
  <c r="H117" i="13"/>
  <c r="Z53" i="7"/>
  <c r="H118" i="12" s="1"/>
  <c r="Y53" i="7"/>
  <c r="H117" i="12" s="1"/>
  <c r="H116" i="13"/>
  <c r="H115" i="13"/>
  <c r="Z52" i="7"/>
  <c r="H116" i="12" s="1"/>
  <c r="Y52" i="7"/>
  <c r="H115" i="12" s="1"/>
  <c r="H106" i="13"/>
  <c r="H105" i="13"/>
  <c r="Z51" i="7"/>
  <c r="H106" i="12" s="1"/>
  <c r="Y51" i="7"/>
  <c r="H105" i="12" s="1"/>
  <c r="H108" i="13"/>
  <c r="H107" i="13"/>
  <c r="Z50" i="7"/>
  <c r="H108" i="12" s="1"/>
  <c r="Y50" i="7"/>
  <c r="H107" i="12" s="1"/>
  <c r="H114" i="13"/>
  <c r="H113" i="13"/>
  <c r="Z49" i="7"/>
  <c r="H114" i="12" s="1"/>
  <c r="Y49" i="7"/>
  <c r="H113" i="12" s="1"/>
  <c r="H110" i="13"/>
  <c r="H109" i="13"/>
  <c r="Z48" i="7"/>
  <c r="H110" i="12" s="1"/>
  <c r="Y48" i="7"/>
  <c r="H109" i="12" s="1"/>
  <c r="H112" i="13"/>
  <c r="H111" i="13"/>
  <c r="Z47" i="7"/>
  <c r="H112" i="12" s="1"/>
  <c r="Y47" i="7"/>
  <c r="H111" i="12" s="1"/>
  <c r="H104" i="13"/>
  <c r="H103" i="13"/>
  <c r="Z46" i="7"/>
  <c r="H104" i="12" s="1"/>
  <c r="Y46" i="7"/>
  <c r="H103" i="12" s="1"/>
  <c r="H102" i="13"/>
  <c r="H101" i="13"/>
  <c r="Z45" i="7"/>
  <c r="H102" i="12" s="1"/>
  <c r="Y45" i="7"/>
  <c r="H101" i="12" s="1"/>
  <c r="H82" i="13"/>
  <c r="H81" i="13"/>
  <c r="Z44" i="7"/>
  <c r="H82" i="12" s="1"/>
  <c r="Y44" i="7"/>
  <c r="H81" i="12" s="1"/>
  <c r="H80" i="13"/>
  <c r="H79" i="13"/>
  <c r="Z43" i="7"/>
  <c r="H80" i="12" s="1"/>
  <c r="Y43" i="7"/>
  <c r="H79" i="12" s="1"/>
  <c r="H78" i="13"/>
  <c r="H77" i="13"/>
  <c r="Z42" i="7"/>
  <c r="H78" i="12" s="1"/>
  <c r="Y42" i="7"/>
  <c r="H77" i="12" s="1"/>
  <c r="H36" i="13"/>
  <c r="H35" i="13"/>
  <c r="Z41" i="7"/>
  <c r="H36" i="12" s="1"/>
  <c r="Y41" i="7"/>
  <c r="H35" i="12" s="1"/>
  <c r="H76" i="13"/>
  <c r="H75" i="13"/>
  <c r="Z40" i="7"/>
  <c r="H76" i="12" s="1"/>
  <c r="Y40" i="7"/>
  <c r="H75" i="12" s="1"/>
  <c r="H74" i="13"/>
  <c r="H73" i="13"/>
  <c r="Z39" i="7"/>
  <c r="H74" i="12" s="1"/>
  <c r="Y39" i="7"/>
  <c r="H73" i="12" s="1"/>
  <c r="H72" i="13"/>
  <c r="H71" i="13"/>
  <c r="Z38" i="7"/>
  <c r="H72" i="12" s="1"/>
  <c r="Y38" i="7"/>
  <c r="H71" i="12" s="1"/>
  <c r="H50" i="13"/>
  <c r="H49" i="13"/>
  <c r="Z37" i="7"/>
  <c r="H50" i="12" s="1"/>
  <c r="Y37" i="7"/>
  <c r="H49" i="12" s="1"/>
  <c r="H48" i="13"/>
  <c r="H47" i="13"/>
  <c r="Z36" i="7"/>
  <c r="H48" i="12" s="1"/>
  <c r="Y36" i="7"/>
  <c r="H47" i="12" s="1"/>
  <c r="H52" i="13"/>
  <c r="H51" i="13"/>
  <c r="Z35" i="7"/>
  <c r="H52" i="12" s="1"/>
  <c r="Y35" i="7"/>
  <c r="H51" i="12" s="1"/>
  <c r="H46" i="13"/>
  <c r="H45" i="13"/>
  <c r="Z34" i="7"/>
  <c r="H46" i="12" s="1"/>
  <c r="Y34" i="7"/>
  <c r="H45" i="12" s="1"/>
  <c r="H60" i="13"/>
  <c r="H59" i="13"/>
  <c r="Z33" i="7"/>
  <c r="H60" i="12" s="1"/>
  <c r="Y33" i="7"/>
  <c r="H59" i="12" s="1"/>
  <c r="H58" i="13"/>
  <c r="H57" i="13"/>
  <c r="Z32" i="7"/>
  <c r="H58" i="12" s="1"/>
  <c r="Y32" i="7"/>
  <c r="H57" i="12" s="1"/>
  <c r="H54" i="13"/>
  <c r="H53" i="13"/>
  <c r="Z30" i="7"/>
  <c r="H54" i="12" s="1"/>
  <c r="Y30" i="7"/>
  <c r="H53" i="12" s="1"/>
  <c r="H26" i="13"/>
  <c r="H25" i="13"/>
  <c r="Z29" i="7"/>
  <c r="H26" i="12" s="1"/>
  <c r="Y29" i="7"/>
  <c r="H25" i="12" s="1"/>
  <c r="H22" i="13"/>
  <c r="H21" i="13"/>
  <c r="Z28" i="7"/>
  <c r="H22" i="12" s="1"/>
  <c r="Y28" i="7"/>
  <c r="H21" i="12" s="1"/>
  <c r="H20" i="13"/>
  <c r="H19" i="13"/>
  <c r="Z27" i="7"/>
  <c r="H20" i="12" s="1"/>
  <c r="Y27" i="7"/>
  <c r="H19" i="12" s="1"/>
  <c r="H62" i="13"/>
  <c r="H61" i="13"/>
  <c r="Z26" i="7"/>
  <c r="H62" i="12" s="1"/>
  <c r="Y26" i="7"/>
  <c r="H61" i="12" s="1"/>
  <c r="H64" i="13"/>
  <c r="H63" i="13"/>
  <c r="Z25" i="7"/>
  <c r="H68" i="12" s="1"/>
  <c r="Y25" i="7"/>
  <c r="H67" i="12" s="1"/>
  <c r="H68" i="13"/>
  <c r="H67" i="13"/>
  <c r="H66" i="13"/>
  <c r="H65" i="13"/>
  <c r="Z24" i="7"/>
  <c r="H66" i="12" s="1"/>
  <c r="Y24" i="7"/>
  <c r="H65" i="12" s="1"/>
  <c r="H24" i="13"/>
  <c r="H23" i="13"/>
  <c r="Z21" i="7"/>
  <c r="H24" i="12" s="1"/>
  <c r="Y21" i="7"/>
  <c r="H23" i="12" s="1"/>
  <c r="H44" i="13"/>
  <c r="H43" i="13"/>
  <c r="Z18" i="7"/>
  <c r="H40" i="12" s="1"/>
  <c r="Y18" i="7"/>
  <c r="H39" i="12" s="1"/>
  <c r="H42" i="13"/>
  <c r="H41" i="13"/>
  <c r="Z17" i="7"/>
  <c r="H38" i="12" s="1"/>
  <c r="Y17" i="7"/>
  <c r="H37" i="12" s="1"/>
  <c r="H12" i="13"/>
  <c r="H11" i="13"/>
  <c r="Z16" i="7"/>
  <c r="H12" i="12" s="1"/>
  <c r="Y16" i="7"/>
  <c r="H11" i="12" s="1"/>
  <c r="H18" i="13"/>
  <c r="H17" i="13"/>
  <c r="Z15" i="7"/>
  <c r="H18" i="12" s="1"/>
  <c r="Y15" i="7"/>
  <c r="H17" i="12" s="1"/>
  <c r="H8" i="13"/>
  <c r="H7" i="13"/>
  <c r="Z14" i="7"/>
  <c r="H8" i="12" s="1"/>
  <c r="Y14" i="7"/>
  <c r="H7" i="12" s="1"/>
  <c r="H34" i="13"/>
  <c r="H33" i="13"/>
  <c r="Z13" i="7"/>
  <c r="H34" i="12" s="1"/>
  <c r="Y13" i="7"/>
  <c r="H33" i="12" s="1"/>
  <c r="H32" i="13"/>
  <c r="H31" i="13"/>
  <c r="Z12" i="7"/>
  <c r="H32" i="12" s="1"/>
  <c r="Y12" i="7"/>
  <c r="H31" i="12" s="1"/>
  <c r="H30" i="13"/>
  <c r="H29" i="13"/>
  <c r="Z11" i="7"/>
  <c r="H30" i="12" s="1"/>
  <c r="Y11" i="7"/>
  <c r="H29" i="12" s="1"/>
  <c r="H28" i="13"/>
  <c r="H27" i="13"/>
  <c r="Z10" i="7"/>
  <c r="H28" i="12" s="1"/>
  <c r="Y10" i="7"/>
  <c r="H27" i="12" s="1"/>
  <c r="H14" i="13"/>
  <c r="H13" i="13"/>
  <c r="Z9" i="7"/>
  <c r="H14" i="12" s="1"/>
  <c r="Y9" i="7"/>
  <c r="H13" i="12" s="1"/>
  <c r="AB8" i="7"/>
  <c r="H16" i="13" s="1"/>
  <c r="AA8" i="7"/>
  <c r="H15" i="13" s="1"/>
  <c r="Z8" i="7"/>
  <c r="H16" i="12" s="1"/>
  <c r="Y8" i="7"/>
  <c r="H15" i="12" s="1"/>
  <c r="AB7" i="7"/>
  <c r="H10" i="13" s="1"/>
  <c r="AA7" i="7"/>
  <c r="H9" i="13" s="1"/>
  <c r="Z7" i="7"/>
  <c r="H10" i="12" s="1"/>
  <c r="Y7" i="7"/>
  <c r="H9" i="12" s="1"/>
  <c r="D124" i="13"/>
  <c r="D123" i="13"/>
  <c r="D124" i="12"/>
  <c r="D123" i="12"/>
  <c r="E57" i="7"/>
  <c r="D93" i="12" s="1"/>
  <c r="H63" i="12" l="1"/>
  <c r="H133" i="12" s="1"/>
  <c r="H64" i="12"/>
  <c r="H134" i="12" s="1"/>
  <c r="H136" i="12" s="1"/>
  <c r="H133" i="13"/>
  <c r="H4" i="13" s="1"/>
  <c r="H134" i="13"/>
  <c r="H136" i="13" s="1"/>
  <c r="Z70" i="7"/>
  <c r="Z71" i="7" s="1"/>
  <c r="Y70" i="7"/>
  <c r="Y71" i="7" s="1"/>
  <c r="AA70" i="7"/>
  <c r="AA71" i="7" s="1"/>
  <c r="AB70" i="7"/>
  <c r="AB71" i="7" s="1"/>
  <c r="E64" i="7"/>
  <c r="D89" i="12" s="1"/>
  <c r="F64" i="7"/>
  <c r="D90" i="12" s="1"/>
  <c r="G64" i="7"/>
  <c r="D89" i="13" s="1"/>
  <c r="H64" i="7"/>
  <c r="D90" i="13" s="1"/>
  <c r="E66" i="7"/>
  <c r="D125" i="12" s="1"/>
  <c r="F66" i="7"/>
  <c r="D126" i="12" s="1"/>
  <c r="G66" i="7"/>
  <c r="D125" i="13" s="1"/>
  <c r="H66" i="7"/>
  <c r="D126" i="13" s="1"/>
  <c r="E67" i="7"/>
  <c r="D127" i="12" s="1"/>
  <c r="F67" i="7"/>
  <c r="D128" i="12" s="1"/>
  <c r="G67" i="7"/>
  <c r="D127" i="13" s="1"/>
  <c r="H67" i="7"/>
  <c r="D128" i="13" s="1"/>
  <c r="E68" i="7"/>
  <c r="D129" i="12" s="1"/>
  <c r="F68" i="7"/>
  <c r="D130" i="12" s="1"/>
  <c r="G68" i="7"/>
  <c r="D129" i="13" s="1"/>
  <c r="H68" i="7"/>
  <c r="D130" i="13" s="1"/>
  <c r="E69" i="7"/>
  <c r="D131" i="12" s="1"/>
  <c r="F69" i="7"/>
  <c r="D132" i="12" s="1"/>
  <c r="G69" i="7"/>
  <c r="D131" i="13" s="1"/>
  <c r="H69" i="7"/>
  <c r="D132" i="13" s="1"/>
  <c r="H63" i="7"/>
  <c r="D88" i="13" s="1"/>
  <c r="G63" i="7"/>
  <c r="D87" i="13" s="1"/>
  <c r="F63" i="7"/>
  <c r="D88" i="12" s="1"/>
  <c r="E63" i="7"/>
  <c r="D87" i="12" s="1"/>
  <c r="H135" i="13" l="1"/>
  <c r="H5" i="12"/>
  <c r="H5" i="13"/>
  <c r="H135" i="12"/>
  <c r="H4" i="12"/>
  <c r="E123" i="13"/>
  <c r="E9" i="7" l="1"/>
  <c r="D13" i="12" s="1"/>
  <c r="E7" i="7"/>
  <c r="D9" i="12" l="1"/>
  <c r="V8" i="7"/>
  <c r="G15" i="13" s="1"/>
  <c r="G13" i="13"/>
  <c r="G27" i="13"/>
  <c r="G29" i="13"/>
  <c r="G31" i="13"/>
  <c r="G33" i="13"/>
  <c r="G7" i="13"/>
  <c r="G17" i="13"/>
  <c r="G11" i="13"/>
  <c r="G41" i="13"/>
  <c r="G43" i="13"/>
  <c r="G23" i="13"/>
  <c r="G65" i="13"/>
  <c r="G67" i="13"/>
  <c r="G63" i="13"/>
  <c r="G61" i="13"/>
  <c r="G19" i="13"/>
  <c r="G21" i="13"/>
  <c r="G25" i="13"/>
  <c r="G53" i="13"/>
  <c r="G57" i="13"/>
  <c r="G59" i="13"/>
  <c r="G45" i="13"/>
  <c r="G51" i="13"/>
  <c r="G47" i="13"/>
  <c r="G49" i="13"/>
  <c r="G71" i="13"/>
  <c r="G73" i="13"/>
  <c r="G75" i="13"/>
  <c r="G35" i="13"/>
  <c r="G77" i="13"/>
  <c r="G79" i="13"/>
  <c r="G81" i="13"/>
  <c r="G101" i="13"/>
  <c r="G103" i="13"/>
  <c r="G111" i="13"/>
  <c r="G109" i="13"/>
  <c r="G113" i="13"/>
  <c r="G107" i="13"/>
  <c r="G105" i="13"/>
  <c r="G115" i="13"/>
  <c r="G117" i="13"/>
  <c r="G119" i="13"/>
  <c r="G121" i="13"/>
  <c r="G93" i="13"/>
  <c r="G97" i="13"/>
  <c r="G99" i="13"/>
  <c r="G83" i="13"/>
  <c r="G85" i="13"/>
  <c r="G87" i="13"/>
  <c r="G125" i="13"/>
  <c r="G127" i="13"/>
  <c r="G129" i="13"/>
  <c r="G131" i="13"/>
  <c r="V7" i="7"/>
  <c r="G9" i="13" s="1"/>
  <c r="F13" i="13"/>
  <c r="F27" i="13"/>
  <c r="F29" i="13"/>
  <c r="F31" i="13"/>
  <c r="F33" i="13"/>
  <c r="F7" i="13"/>
  <c r="F17" i="13"/>
  <c r="F11" i="13"/>
  <c r="F41" i="13"/>
  <c r="F43" i="13"/>
  <c r="F23" i="13"/>
  <c r="F65" i="13"/>
  <c r="F67" i="13"/>
  <c r="F63" i="13"/>
  <c r="F61" i="13"/>
  <c r="F19" i="13"/>
  <c r="F21" i="13"/>
  <c r="F25" i="13"/>
  <c r="F53" i="13"/>
  <c r="F57" i="13"/>
  <c r="F59" i="13"/>
  <c r="F45" i="13"/>
  <c r="F51" i="13"/>
  <c r="F47" i="13"/>
  <c r="F49" i="13"/>
  <c r="F71" i="13"/>
  <c r="F73" i="13"/>
  <c r="F75" i="13"/>
  <c r="F35" i="13"/>
  <c r="F77" i="13"/>
  <c r="F79" i="13"/>
  <c r="F81" i="13"/>
  <c r="F101" i="13"/>
  <c r="F103" i="13"/>
  <c r="F111" i="13"/>
  <c r="F109" i="13"/>
  <c r="F113" i="13"/>
  <c r="F107" i="13"/>
  <c r="F105" i="13"/>
  <c r="F115" i="13"/>
  <c r="F117" i="13"/>
  <c r="F119" i="13"/>
  <c r="F121" i="13"/>
  <c r="F93" i="13"/>
  <c r="F97" i="13"/>
  <c r="F99" i="13"/>
  <c r="F83" i="13"/>
  <c r="F85" i="13"/>
  <c r="F87" i="13"/>
  <c r="F125" i="13"/>
  <c r="F127" i="13"/>
  <c r="F129" i="13"/>
  <c r="F131" i="13"/>
  <c r="F15" i="13"/>
  <c r="F9" i="13"/>
  <c r="E13" i="13"/>
  <c r="E27" i="13"/>
  <c r="E29" i="13"/>
  <c r="E31" i="13"/>
  <c r="E33" i="13"/>
  <c r="E17" i="13"/>
  <c r="E11" i="13"/>
  <c r="E41" i="13"/>
  <c r="E43" i="13"/>
  <c r="E23" i="13"/>
  <c r="E65" i="13"/>
  <c r="E67" i="13"/>
  <c r="E63" i="13"/>
  <c r="E61" i="13"/>
  <c r="E19" i="13"/>
  <c r="E21" i="13"/>
  <c r="E25" i="13"/>
  <c r="E53" i="13"/>
  <c r="E57" i="13"/>
  <c r="E59" i="13"/>
  <c r="E45" i="13"/>
  <c r="E51" i="13"/>
  <c r="E47" i="13"/>
  <c r="E49" i="13"/>
  <c r="E71" i="13"/>
  <c r="E73" i="13"/>
  <c r="E75" i="13"/>
  <c r="E35" i="13"/>
  <c r="E77" i="13"/>
  <c r="E79" i="13"/>
  <c r="E81" i="13"/>
  <c r="E101" i="13"/>
  <c r="E103" i="13"/>
  <c r="E111" i="13"/>
  <c r="E109" i="13"/>
  <c r="E113" i="13"/>
  <c r="E107" i="13"/>
  <c r="E105" i="13"/>
  <c r="E115" i="13"/>
  <c r="E117" i="13"/>
  <c r="E119" i="13"/>
  <c r="E121" i="13"/>
  <c r="E93" i="13"/>
  <c r="E97" i="13"/>
  <c r="E99" i="13"/>
  <c r="E83" i="13"/>
  <c r="E85" i="13"/>
  <c r="E87" i="13"/>
  <c r="E125" i="13"/>
  <c r="E127" i="13"/>
  <c r="E129" i="13"/>
  <c r="E131" i="13"/>
  <c r="E9" i="13"/>
  <c r="W8" i="7"/>
  <c r="G16" i="13" s="1"/>
  <c r="G14" i="13"/>
  <c r="G28" i="13"/>
  <c r="G30" i="13"/>
  <c r="G32" i="13"/>
  <c r="G34" i="13"/>
  <c r="G8" i="13"/>
  <c r="G18" i="13"/>
  <c r="G12" i="13"/>
  <c r="G42" i="13"/>
  <c r="G44" i="13"/>
  <c r="G24" i="13"/>
  <c r="G66" i="13"/>
  <c r="G68" i="13"/>
  <c r="G64" i="13"/>
  <c r="G62" i="13"/>
  <c r="G20" i="13"/>
  <c r="G22" i="13"/>
  <c r="G26" i="13"/>
  <c r="G54" i="13"/>
  <c r="G58" i="13"/>
  <c r="G60" i="13"/>
  <c r="G46" i="13"/>
  <c r="G52" i="13"/>
  <c r="G48" i="13"/>
  <c r="G50" i="13"/>
  <c r="G72" i="13"/>
  <c r="G74" i="13"/>
  <c r="G76" i="13"/>
  <c r="G36" i="13"/>
  <c r="G78" i="13"/>
  <c r="G80" i="13"/>
  <c r="G82" i="13"/>
  <c r="G102" i="13"/>
  <c r="G104" i="13"/>
  <c r="G112" i="13"/>
  <c r="G110" i="13"/>
  <c r="G114" i="13"/>
  <c r="G108" i="13"/>
  <c r="G106" i="13"/>
  <c r="G116" i="13"/>
  <c r="G118" i="13"/>
  <c r="G120" i="13"/>
  <c r="G122" i="13"/>
  <c r="G94" i="13"/>
  <c r="G98" i="13"/>
  <c r="G100" i="13"/>
  <c r="G84" i="13"/>
  <c r="G86" i="13"/>
  <c r="G88" i="13"/>
  <c r="G126" i="13"/>
  <c r="G128" i="13"/>
  <c r="G130" i="13"/>
  <c r="G132" i="13"/>
  <c r="W7" i="7"/>
  <c r="G10" i="13" s="1"/>
  <c r="F16" i="13"/>
  <c r="F14" i="13"/>
  <c r="F28" i="13"/>
  <c r="F30" i="13"/>
  <c r="F32" i="13"/>
  <c r="F34" i="13"/>
  <c r="F8" i="13"/>
  <c r="F18" i="13"/>
  <c r="F12" i="13"/>
  <c r="F42" i="13"/>
  <c r="F44" i="13"/>
  <c r="F24" i="13"/>
  <c r="F66" i="13"/>
  <c r="F68" i="13"/>
  <c r="F64" i="13"/>
  <c r="F62" i="13"/>
  <c r="F20" i="13"/>
  <c r="F22" i="13"/>
  <c r="F26" i="13"/>
  <c r="F54" i="13"/>
  <c r="F58" i="13"/>
  <c r="F60" i="13"/>
  <c r="F46" i="13"/>
  <c r="F52" i="13"/>
  <c r="F48" i="13"/>
  <c r="F50" i="13"/>
  <c r="F72" i="13"/>
  <c r="F74" i="13"/>
  <c r="F76" i="13"/>
  <c r="F36" i="13"/>
  <c r="F78" i="13"/>
  <c r="F80" i="13"/>
  <c r="F82" i="13"/>
  <c r="F102" i="13"/>
  <c r="F104" i="13"/>
  <c r="F112" i="13"/>
  <c r="F110" i="13"/>
  <c r="F114" i="13"/>
  <c r="F108" i="13"/>
  <c r="F106" i="13"/>
  <c r="F116" i="13"/>
  <c r="F118" i="13"/>
  <c r="F120" i="13"/>
  <c r="F122" i="13"/>
  <c r="F94" i="13"/>
  <c r="F98" i="13"/>
  <c r="F100" i="13"/>
  <c r="F84" i="13"/>
  <c r="F86" i="13"/>
  <c r="F88" i="13"/>
  <c r="F126" i="13"/>
  <c r="F128" i="13"/>
  <c r="F130" i="13"/>
  <c r="F132" i="13"/>
  <c r="F10" i="13"/>
  <c r="M8" i="7"/>
  <c r="E16" i="13" s="1"/>
  <c r="M9" i="7"/>
  <c r="E14" i="13" s="1"/>
  <c r="M10" i="7"/>
  <c r="E28" i="13" s="1"/>
  <c r="M11" i="7"/>
  <c r="E30" i="13" s="1"/>
  <c r="M12" i="7"/>
  <c r="E32" i="13" s="1"/>
  <c r="M13" i="7"/>
  <c r="E34" i="13" s="1"/>
  <c r="M14" i="7"/>
  <c r="E8" i="13" s="1"/>
  <c r="M15" i="7"/>
  <c r="E18" i="13" s="1"/>
  <c r="M16" i="7"/>
  <c r="E12" i="13" s="1"/>
  <c r="M17" i="7"/>
  <c r="M18" i="7"/>
  <c r="M21" i="7"/>
  <c r="E24" i="13" s="1"/>
  <c r="M24" i="7"/>
  <c r="E66" i="13" s="1"/>
  <c r="M25" i="7"/>
  <c r="E68" i="13" s="1"/>
  <c r="M26" i="7"/>
  <c r="E62" i="13" s="1"/>
  <c r="M27" i="7"/>
  <c r="E20" i="13" s="1"/>
  <c r="M28" i="7"/>
  <c r="E22" i="13" s="1"/>
  <c r="M29" i="7"/>
  <c r="E26" i="13" s="1"/>
  <c r="M30" i="7"/>
  <c r="E54" i="13" s="1"/>
  <c r="M32" i="7"/>
  <c r="E58" i="13" s="1"/>
  <c r="M33" i="7"/>
  <c r="E60" i="13" s="1"/>
  <c r="M34" i="7"/>
  <c r="E46" i="13" s="1"/>
  <c r="M35" i="7"/>
  <c r="E52" i="13" s="1"/>
  <c r="M36" i="7"/>
  <c r="E48" i="13" s="1"/>
  <c r="M37" i="7"/>
  <c r="E50" i="13" s="1"/>
  <c r="M38" i="7"/>
  <c r="E72" i="13" s="1"/>
  <c r="M39" i="7"/>
  <c r="E74" i="13" s="1"/>
  <c r="M40" i="7"/>
  <c r="E76" i="13" s="1"/>
  <c r="M41" i="7"/>
  <c r="E36" i="13" s="1"/>
  <c r="M42" i="7"/>
  <c r="E78" i="13" s="1"/>
  <c r="M43" i="7"/>
  <c r="E80" i="13" s="1"/>
  <c r="M44" i="7"/>
  <c r="E82" i="13" s="1"/>
  <c r="M45" i="7"/>
  <c r="E102" i="13" s="1"/>
  <c r="M46" i="7"/>
  <c r="E104" i="13" s="1"/>
  <c r="M47" i="7"/>
  <c r="E112" i="13" s="1"/>
  <c r="M48" i="7"/>
  <c r="E110" i="13" s="1"/>
  <c r="M49" i="7"/>
  <c r="E114" i="13" s="1"/>
  <c r="M50" i="7"/>
  <c r="E108" i="13" s="1"/>
  <c r="M51" i="7"/>
  <c r="E106" i="13" s="1"/>
  <c r="M52" i="7"/>
  <c r="E116" i="13" s="1"/>
  <c r="M53" i="7"/>
  <c r="E118" i="13" s="1"/>
  <c r="M54" i="7"/>
  <c r="E120" i="13" s="1"/>
  <c r="M55" i="7"/>
  <c r="E122" i="13" s="1"/>
  <c r="M57" i="7"/>
  <c r="E94" i="13" s="1"/>
  <c r="M59" i="7"/>
  <c r="E98" i="13" s="1"/>
  <c r="M60" i="7"/>
  <c r="E100" i="13" s="1"/>
  <c r="M61" i="7"/>
  <c r="E84" i="13" s="1"/>
  <c r="M62" i="7"/>
  <c r="E86" i="13" s="1"/>
  <c r="M63" i="7"/>
  <c r="E88" i="13" s="1"/>
  <c r="M66" i="7"/>
  <c r="E126" i="13" s="1"/>
  <c r="M67" i="7"/>
  <c r="E128" i="13" s="1"/>
  <c r="M68" i="7"/>
  <c r="E130" i="13" s="1"/>
  <c r="M69" i="7"/>
  <c r="E132" i="13" s="1"/>
  <c r="E10" i="13"/>
  <c r="E64" i="13" l="1"/>
  <c r="F133" i="13"/>
  <c r="F135" i="13" s="1"/>
  <c r="G133" i="13"/>
  <c r="G4" i="13" s="1"/>
  <c r="G134" i="13"/>
  <c r="G136" i="13" s="1"/>
  <c r="F134" i="13"/>
  <c r="F136" i="13" s="1"/>
  <c r="E44" i="13"/>
  <c r="E40" i="13"/>
  <c r="E42" i="13"/>
  <c r="E38" i="13"/>
  <c r="E15" i="13"/>
  <c r="E133" i="13" s="1"/>
  <c r="U69" i="7"/>
  <c r="G132" i="12" s="1"/>
  <c r="T69" i="7"/>
  <c r="G131" i="12" s="1"/>
  <c r="U68" i="7"/>
  <c r="G130" i="12" s="1"/>
  <c r="T68" i="7"/>
  <c r="G129" i="12" s="1"/>
  <c r="U67" i="7"/>
  <c r="G128" i="12" s="1"/>
  <c r="T67" i="7"/>
  <c r="G127" i="12" s="1"/>
  <c r="U66" i="7"/>
  <c r="G126" i="12" s="1"/>
  <c r="T66" i="7"/>
  <c r="G125" i="12" s="1"/>
  <c r="U63" i="7"/>
  <c r="G88" i="12" s="1"/>
  <c r="T63" i="7"/>
  <c r="G87" i="12" s="1"/>
  <c r="U62" i="7"/>
  <c r="G86" i="12" s="1"/>
  <c r="T62" i="7"/>
  <c r="G85" i="12" s="1"/>
  <c r="U61" i="7"/>
  <c r="G84" i="12" s="1"/>
  <c r="T61" i="7"/>
  <c r="G83" i="12" s="1"/>
  <c r="U60" i="7"/>
  <c r="G100" i="12" s="1"/>
  <c r="T60" i="7"/>
  <c r="G99" i="12" s="1"/>
  <c r="U59" i="7"/>
  <c r="G98" i="12" s="1"/>
  <c r="T59" i="7"/>
  <c r="G97" i="12" s="1"/>
  <c r="U57" i="7"/>
  <c r="G94" i="12" s="1"/>
  <c r="T57" i="7"/>
  <c r="G93" i="12" s="1"/>
  <c r="U55" i="7"/>
  <c r="G122" i="12" s="1"/>
  <c r="T55" i="7"/>
  <c r="G121" i="12" s="1"/>
  <c r="U54" i="7"/>
  <c r="G120" i="12" s="1"/>
  <c r="T54" i="7"/>
  <c r="G119" i="12" s="1"/>
  <c r="U53" i="7"/>
  <c r="G118" i="12" s="1"/>
  <c r="T53" i="7"/>
  <c r="G117" i="12" s="1"/>
  <c r="U52" i="7"/>
  <c r="G116" i="12" s="1"/>
  <c r="T52" i="7"/>
  <c r="G115" i="12" s="1"/>
  <c r="U51" i="7"/>
  <c r="G106" i="12" s="1"/>
  <c r="T51" i="7"/>
  <c r="G105" i="12" s="1"/>
  <c r="U50" i="7"/>
  <c r="G108" i="12" s="1"/>
  <c r="T50" i="7"/>
  <c r="G107" i="12" s="1"/>
  <c r="U49" i="7"/>
  <c r="G114" i="12" s="1"/>
  <c r="T49" i="7"/>
  <c r="G113" i="12" s="1"/>
  <c r="U48" i="7"/>
  <c r="G110" i="12" s="1"/>
  <c r="T48" i="7"/>
  <c r="G109" i="12" s="1"/>
  <c r="U47" i="7"/>
  <c r="G112" i="12" s="1"/>
  <c r="T47" i="7"/>
  <c r="G111" i="12" s="1"/>
  <c r="U46" i="7"/>
  <c r="G104" i="12" s="1"/>
  <c r="T46" i="7"/>
  <c r="G103" i="12" s="1"/>
  <c r="U45" i="7"/>
  <c r="G102" i="12" s="1"/>
  <c r="T45" i="7"/>
  <c r="G101" i="12" s="1"/>
  <c r="U44" i="7"/>
  <c r="G82" i="12" s="1"/>
  <c r="T44" i="7"/>
  <c r="G81" i="12" s="1"/>
  <c r="U43" i="7"/>
  <c r="G80" i="12" s="1"/>
  <c r="T43" i="7"/>
  <c r="G79" i="12" s="1"/>
  <c r="U42" i="7"/>
  <c r="G78" i="12" s="1"/>
  <c r="T42" i="7"/>
  <c r="G77" i="12" s="1"/>
  <c r="U41" i="7"/>
  <c r="G36" i="12" s="1"/>
  <c r="T41" i="7"/>
  <c r="G35" i="12" s="1"/>
  <c r="U40" i="7"/>
  <c r="G76" i="12" s="1"/>
  <c r="T40" i="7"/>
  <c r="G75" i="12" s="1"/>
  <c r="U39" i="7"/>
  <c r="G74" i="12" s="1"/>
  <c r="T39" i="7"/>
  <c r="G73" i="12" s="1"/>
  <c r="U38" i="7"/>
  <c r="G72" i="12" s="1"/>
  <c r="T38" i="7"/>
  <c r="G71" i="12" s="1"/>
  <c r="U37" i="7"/>
  <c r="G50" i="12" s="1"/>
  <c r="T37" i="7"/>
  <c r="G49" i="12" s="1"/>
  <c r="U36" i="7"/>
  <c r="G48" i="12" s="1"/>
  <c r="T36" i="7"/>
  <c r="G47" i="12" s="1"/>
  <c r="U35" i="7"/>
  <c r="G52" i="12" s="1"/>
  <c r="T35" i="7"/>
  <c r="G51" i="12" s="1"/>
  <c r="U34" i="7"/>
  <c r="G46" i="12" s="1"/>
  <c r="T34" i="7"/>
  <c r="G45" i="12" s="1"/>
  <c r="U33" i="7"/>
  <c r="G60" i="12" s="1"/>
  <c r="T33" i="7"/>
  <c r="G59" i="12" s="1"/>
  <c r="U32" i="7"/>
  <c r="G58" i="12" s="1"/>
  <c r="T32" i="7"/>
  <c r="G57" i="12" s="1"/>
  <c r="U30" i="7"/>
  <c r="G54" i="12" s="1"/>
  <c r="T30" i="7"/>
  <c r="G53" i="12" s="1"/>
  <c r="U29" i="7"/>
  <c r="G26" i="12" s="1"/>
  <c r="T29" i="7"/>
  <c r="G25" i="12" s="1"/>
  <c r="U28" i="7"/>
  <c r="G22" i="12" s="1"/>
  <c r="T28" i="7"/>
  <c r="G21" i="12" s="1"/>
  <c r="U27" i="7"/>
  <c r="G20" i="12" s="1"/>
  <c r="T27" i="7"/>
  <c r="G19" i="12" s="1"/>
  <c r="U26" i="7"/>
  <c r="G62" i="12" s="1"/>
  <c r="T26" i="7"/>
  <c r="G61" i="12" s="1"/>
  <c r="U25" i="7"/>
  <c r="G68" i="12" s="1"/>
  <c r="T25" i="7"/>
  <c r="G67" i="12" s="1"/>
  <c r="U24" i="7"/>
  <c r="G66" i="12" s="1"/>
  <c r="T24" i="7"/>
  <c r="G65" i="12" s="1"/>
  <c r="U21" i="7"/>
  <c r="G24" i="12" s="1"/>
  <c r="T21" i="7"/>
  <c r="G23" i="12" s="1"/>
  <c r="U18" i="7"/>
  <c r="G40" i="12" s="1"/>
  <c r="T18" i="7"/>
  <c r="G39" i="12" s="1"/>
  <c r="U17" i="7"/>
  <c r="G38" i="12" s="1"/>
  <c r="T17" i="7"/>
  <c r="G37" i="12" s="1"/>
  <c r="U16" i="7"/>
  <c r="G12" i="12" s="1"/>
  <c r="T16" i="7"/>
  <c r="G11" i="12" s="1"/>
  <c r="U15" i="7"/>
  <c r="G18" i="12" s="1"/>
  <c r="T15" i="7"/>
  <c r="G17" i="12" s="1"/>
  <c r="U14" i="7"/>
  <c r="G8" i="12" s="1"/>
  <c r="T14" i="7"/>
  <c r="G7" i="12" s="1"/>
  <c r="U13" i="7"/>
  <c r="G34" i="12" s="1"/>
  <c r="T13" i="7"/>
  <c r="G33" i="12" s="1"/>
  <c r="U12" i="7"/>
  <c r="G32" i="12" s="1"/>
  <c r="T12" i="7"/>
  <c r="G31" i="12" s="1"/>
  <c r="U11" i="7"/>
  <c r="G30" i="12" s="1"/>
  <c r="T11" i="7"/>
  <c r="G29" i="12" s="1"/>
  <c r="U10" i="7"/>
  <c r="G28" i="12" s="1"/>
  <c r="T10" i="7"/>
  <c r="G27" i="12" s="1"/>
  <c r="U9" i="7"/>
  <c r="G14" i="12" s="1"/>
  <c r="T9" i="7"/>
  <c r="G13" i="12" s="1"/>
  <c r="U8" i="7"/>
  <c r="G16" i="12" s="1"/>
  <c r="T8" i="7"/>
  <c r="G15" i="12" s="1"/>
  <c r="U7" i="7"/>
  <c r="G10" i="12" s="1"/>
  <c r="T7" i="7"/>
  <c r="G9" i="12" s="1"/>
  <c r="P69" i="7"/>
  <c r="F132" i="12" s="1"/>
  <c r="O69" i="7"/>
  <c r="F131" i="12" s="1"/>
  <c r="P68" i="7"/>
  <c r="F130" i="12" s="1"/>
  <c r="O68" i="7"/>
  <c r="F129" i="12" s="1"/>
  <c r="P67" i="7"/>
  <c r="F128" i="12" s="1"/>
  <c r="O67" i="7"/>
  <c r="F127" i="12" s="1"/>
  <c r="P66" i="7"/>
  <c r="F126" i="12" s="1"/>
  <c r="O66" i="7"/>
  <c r="F125" i="12" s="1"/>
  <c r="P63" i="7"/>
  <c r="F88" i="12" s="1"/>
  <c r="O63" i="7"/>
  <c r="F87" i="12" s="1"/>
  <c r="P62" i="7"/>
  <c r="F86" i="12" s="1"/>
  <c r="O62" i="7"/>
  <c r="F85" i="12" s="1"/>
  <c r="P61" i="7"/>
  <c r="F84" i="12" s="1"/>
  <c r="O61" i="7"/>
  <c r="F83" i="12" s="1"/>
  <c r="P60" i="7"/>
  <c r="F100" i="12" s="1"/>
  <c r="O60" i="7"/>
  <c r="F99" i="12" s="1"/>
  <c r="P59" i="7"/>
  <c r="F98" i="12" s="1"/>
  <c r="O59" i="7"/>
  <c r="F97" i="12" s="1"/>
  <c r="P57" i="7"/>
  <c r="F94" i="12" s="1"/>
  <c r="O57" i="7"/>
  <c r="F93" i="12" s="1"/>
  <c r="P55" i="7"/>
  <c r="F122" i="12" s="1"/>
  <c r="O55" i="7"/>
  <c r="F121" i="12" s="1"/>
  <c r="P54" i="7"/>
  <c r="F120" i="12" s="1"/>
  <c r="O54" i="7"/>
  <c r="F119" i="12" s="1"/>
  <c r="P53" i="7"/>
  <c r="F118" i="12" s="1"/>
  <c r="O53" i="7"/>
  <c r="F117" i="12" s="1"/>
  <c r="P52" i="7"/>
  <c r="F116" i="12" s="1"/>
  <c r="O52" i="7"/>
  <c r="F115" i="12" s="1"/>
  <c r="P51" i="7"/>
  <c r="F106" i="12" s="1"/>
  <c r="O51" i="7"/>
  <c r="F105" i="12" s="1"/>
  <c r="P50" i="7"/>
  <c r="F108" i="12" s="1"/>
  <c r="O50" i="7"/>
  <c r="F107" i="12" s="1"/>
  <c r="P49" i="7"/>
  <c r="F114" i="12" s="1"/>
  <c r="O49" i="7"/>
  <c r="F113" i="12" s="1"/>
  <c r="P48" i="7"/>
  <c r="F110" i="12" s="1"/>
  <c r="O48" i="7"/>
  <c r="F109" i="12" s="1"/>
  <c r="P47" i="7"/>
  <c r="F112" i="12" s="1"/>
  <c r="O47" i="7"/>
  <c r="F111" i="12" s="1"/>
  <c r="P46" i="7"/>
  <c r="F104" i="12" s="1"/>
  <c r="O46" i="7"/>
  <c r="F103" i="12" s="1"/>
  <c r="P45" i="7"/>
  <c r="F102" i="12" s="1"/>
  <c r="O45" i="7"/>
  <c r="F101" i="12" s="1"/>
  <c r="P44" i="7"/>
  <c r="F82" i="12" s="1"/>
  <c r="O44" i="7"/>
  <c r="F81" i="12" s="1"/>
  <c r="P43" i="7"/>
  <c r="F80" i="12" s="1"/>
  <c r="O43" i="7"/>
  <c r="F79" i="12" s="1"/>
  <c r="P42" i="7"/>
  <c r="F78" i="12" s="1"/>
  <c r="O42" i="7"/>
  <c r="F77" i="12" s="1"/>
  <c r="P41" i="7"/>
  <c r="F36" i="12" s="1"/>
  <c r="O41" i="7"/>
  <c r="F35" i="12" s="1"/>
  <c r="P40" i="7"/>
  <c r="F76" i="12" s="1"/>
  <c r="O40" i="7"/>
  <c r="F75" i="12" s="1"/>
  <c r="P39" i="7"/>
  <c r="F74" i="12" s="1"/>
  <c r="O39" i="7"/>
  <c r="F73" i="12" s="1"/>
  <c r="P38" i="7"/>
  <c r="F72" i="12" s="1"/>
  <c r="O38" i="7"/>
  <c r="F71" i="12" s="1"/>
  <c r="P37" i="7"/>
  <c r="F50" i="12" s="1"/>
  <c r="O37" i="7"/>
  <c r="F49" i="12" s="1"/>
  <c r="P36" i="7"/>
  <c r="F48" i="12" s="1"/>
  <c r="O36" i="7"/>
  <c r="F47" i="12" s="1"/>
  <c r="P35" i="7"/>
  <c r="F52" i="12" s="1"/>
  <c r="O35" i="7"/>
  <c r="F51" i="12" s="1"/>
  <c r="P34" i="7"/>
  <c r="F46" i="12" s="1"/>
  <c r="O34" i="7"/>
  <c r="F45" i="12" s="1"/>
  <c r="P33" i="7"/>
  <c r="F60" i="12" s="1"/>
  <c r="O33" i="7"/>
  <c r="F59" i="12" s="1"/>
  <c r="P32" i="7"/>
  <c r="F58" i="12" s="1"/>
  <c r="O32" i="7"/>
  <c r="F57" i="12" s="1"/>
  <c r="P30" i="7"/>
  <c r="F54" i="12" s="1"/>
  <c r="O30" i="7"/>
  <c r="F53" i="12" s="1"/>
  <c r="P29" i="7"/>
  <c r="F26" i="12" s="1"/>
  <c r="O29" i="7"/>
  <c r="F25" i="12" s="1"/>
  <c r="P28" i="7"/>
  <c r="F22" i="12" s="1"/>
  <c r="O28" i="7"/>
  <c r="F21" i="12" s="1"/>
  <c r="P27" i="7"/>
  <c r="F20" i="12" s="1"/>
  <c r="O27" i="7"/>
  <c r="F19" i="12" s="1"/>
  <c r="P26" i="7"/>
  <c r="F62" i="12" s="1"/>
  <c r="O26" i="7"/>
  <c r="F61" i="12" s="1"/>
  <c r="P25" i="7"/>
  <c r="F68" i="12" s="1"/>
  <c r="O25" i="7"/>
  <c r="F67" i="12" s="1"/>
  <c r="P24" i="7"/>
  <c r="F66" i="12" s="1"/>
  <c r="O24" i="7"/>
  <c r="F65" i="12" s="1"/>
  <c r="P21" i="7"/>
  <c r="F24" i="12" s="1"/>
  <c r="O21" i="7"/>
  <c r="F23" i="12" s="1"/>
  <c r="P18" i="7"/>
  <c r="F40" i="12" s="1"/>
  <c r="O18" i="7"/>
  <c r="F39" i="12" s="1"/>
  <c r="P17" i="7"/>
  <c r="F38" i="12" s="1"/>
  <c r="O17" i="7"/>
  <c r="F37" i="12" s="1"/>
  <c r="P16" i="7"/>
  <c r="F12" i="12" s="1"/>
  <c r="O16" i="7"/>
  <c r="F11" i="12" s="1"/>
  <c r="P15" i="7"/>
  <c r="F18" i="12" s="1"/>
  <c r="O15" i="7"/>
  <c r="F17" i="12" s="1"/>
  <c r="P14" i="7"/>
  <c r="F8" i="12" s="1"/>
  <c r="O14" i="7"/>
  <c r="F7" i="12" s="1"/>
  <c r="P13" i="7"/>
  <c r="F34" i="12" s="1"/>
  <c r="O13" i="7"/>
  <c r="F33" i="12" s="1"/>
  <c r="P12" i="7"/>
  <c r="F32" i="12" s="1"/>
  <c r="O12" i="7"/>
  <c r="F31" i="12" s="1"/>
  <c r="P11" i="7"/>
  <c r="F30" i="12" s="1"/>
  <c r="O11" i="7"/>
  <c r="F29" i="12" s="1"/>
  <c r="P10" i="7"/>
  <c r="F28" i="12" s="1"/>
  <c r="O10" i="7"/>
  <c r="F27" i="12" s="1"/>
  <c r="P9" i="7"/>
  <c r="F14" i="12" s="1"/>
  <c r="O9" i="7"/>
  <c r="F13" i="12" s="1"/>
  <c r="P8" i="7"/>
  <c r="F16" i="12" s="1"/>
  <c r="O8" i="7"/>
  <c r="F15" i="12" s="1"/>
  <c r="P7" i="7"/>
  <c r="F10" i="12" s="1"/>
  <c r="F9" i="12"/>
  <c r="K69" i="7"/>
  <c r="E132" i="12" s="1"/>
  <c r="J69" i="7"/>
  <c r="E131" i="12" s="1"/>
  <c r="K68" i="7"/>
  <c r="E130" i="12" s="1"/>
  <c r="J68" i="7"/>
  <c r="E129" i="12" s="1"/>
  <c r="K67" i="7"/>
  <c r="E128" i="12" s="1"/>
  <c r="J67" i="7"/>
  <c r="E127" i="12" s="1"/>
  <c r="K66" i="7"/>
  <c r="E126" i="12" s="1"/>
  <c r="J66" i="7"/>
  <c r="E125" i="12" s="1"/>
  <c r="K63" i="7"/>
  <c r="E88" i="12" s="1"/>
  <c r="J63" i="7"/>
  <c r="E87" i="12" s="1"/>
  <c r="K62" i="7"/>
  <c r="E86" i="12" s="1"/>
  <c r="J62" i="7"/>
  <c r="E85" i="12" s="1"/>
  <c r="K61" i="7"/>
  <c r="E84" i="12" s="1"/>
  <c r="J61" i="7"/>
  <c r="E83" i="12" s="1"/>
  <c r="K60" i="7"/>
  <c r="E100" i="12" s="1"/>
  <c r="J60" i="7"/>
  <c r="E99" i="12" s="1"/>
  <c r="K59" i="7"/>
  <c r="E98" i="12" s="1"/>
  <c r="J59" i="7"/>
  <c r="E97" i="12" s="1"/>
  <c r="K57" i="7"/>
  <c r="E94" i="12" s="1"/>
  <c r="J57" i="7"/>
  <c r="E93" i="12" s="1"/>
  <c r="K55" i="7"/>
  <c r="E122" i="12" s="1"/>
  <c r="J55" i="7"/>
  <c r="E121" i="12" s="1"/>
  <c r="K54" i="7"/>
  <c r="E120" i="12" s="1"/>
  <c r="J54" i="7"/>
  <c r="E119" i="12" s="1"/>
  <c r="K53" i="7"/>
  <c r="E118" i="12" s="1"/>
  <c r="J53" i="7"/>
  <c r="E117" i="12" s="1"/>
  <c r="K52" i="7"/>
  <c r="E116" i="12" s="1"/>
  <c r="J52" i="7"/>
  <c r="E115" i="12" s="1"/>
  <c r="K51" i="7"/>
  <c r="E106" i="12" s="1"/>
  <c r="J51" i="7"/>
  <c r="E105" i="12" s="1"/>
  <c r="K50" i="7"/>
  <c r="E108" i="12" s="1"/>
  <c r="J50" i="7"/>
  <c r="E107" i="12" s="1"/>
  <c r="K49" i="7"/>
  <c r="E114" i="12" s="1"/>
  <c r="J49" i="7"/>
  <c r="E113" i="12" s="1"/>
  <c r="K48" i="7"/>
  <c r="E110" i="12" s="1"/>
  <c r="J48" i="7"/>
  <c r="E109" i="12" s="1"/>
  <c r="K47" i="7"/>
  <c r="E112" i="12" s="1"/>
  <c r="J47" i="7"/>
  <c r="E111" i="12" s="1"/>
  <c r="K46" i="7"/>
  <c r="E104" i="12" s="1"/>
  <c r="J46" i="7"/>
  <c r="E103" i="12" s="1"/>
  <c r="K45" i="7"/>
  <c r="E102" i="12" s="1"/>
  <c r="J45" i="7"/>
  <c r="E101" i="12" s="1"/>
  <c r="K44" i="7"/>
  <c r="E82" i="12" s="1"/>
  <c r="J44" i="7"/>
  <c r="E81" i="12" s="1"/>
  <c r="K43" i="7"/>
  <c r="E80" i="12" s="1"/>
  <c r="J43" i="7"/>
  <c r="E79" i="12" s="1"/>
  <c r="K42" i="7"/>
  <c r="E78" i="12" s="1"/>
  <c r="J42" i="7"/>
  <c r="E77" i="12" s="1"/>
  <c r="K41" i="7"/>
  <c r="E36" i="12" s="1"/>
  <c r="J41" i="7"/>
  <c r="E35" i="12" s="1"/>
  <c r="K40" i="7"/>
  <c r="E76" i="12" s="1"/>
  <c r="J40" i="7"/>
  <c r="E75" i="12" s="1"/>
  <c r="K39" i="7"/>
  <c r="E74" i="12" s="1"/>
  <c r="J39" i="7"/>
  <c r="E73" i="12" s="1"/>
  <c r="K38" i="7"/>
  <c r="E72" i="12" s="1"/>
  <c r="J38" i="7"/>
  <c r="E71" i="12" s="1"/>
  <c r="K37" i="7"/>
  <c r="E50" i="12" s="1"/>
  <c r="J37" i="7"/>
  <c r="E49" i="12" s="1"/>
  <c r="K36" i="7"/>
  <c r="E48" i="12" s="1"/>
  <c r="J36" i="7"/>
  <c r="E47" i="12" s="1"/>
  <c r="K35" i="7"/>
  <c r="E52" i="12" s="1"/>
  <c r="J35" i="7"/>
  <c r="E51" i="12" s="1"/>
  <c r="K34" i="7"/>
  <c r="E46" i="12" s="1"/>
  <c r="J34" i="7"/>
  <c r="E45" i="12" s="1"/>
  <c r="K33" i="7"/>
  <c r="E60" i="12" s="1"/>
  <c r="J33" i="7"/>
  <c r="E59" i="12" s="1"/>
  <c r="K32" i="7"/>
  <c r="E58" i="12" s="1"/>
  <c r="J32" i="7"/>
  <c r="E57" i="12" s="1"/>
  <c r="K30" i="7"/>
  <c r="E54" i="12" s="1"/>
  <c r="J30" i="7"/>
  <c r="E53" i="12" s="1"/>
  <c r="K29" i="7"/>
  <c r="E26" i="12" s="1"/>
  <c r="J29" i="7"/>
  <c r="E25" i="12" s="1"/>
  <c r="K28" i="7"/>
  <c r="E22" i="12" s="1"/>
  <c r="J28" i="7"/>
  <c r="E21" i="12" s="1"/>
  <c r="K27" i="7"/>
  <c r="E20" i="12" s="1"/>
  <c r="J27" i="7"/>
  <c r="E19" i="12" s="1"/>
  <c r="K26" i="7"/>
  <c r="E62" i="12" s="1"/>
  <c r="J26" i="7"/>
  <c r="E61" i="12" s="1"/>
  <c r="K25" i="7"/>
  <c r="E68" i="12" s="1"/>
  <c r="J25" i="7"/>
  <c r="E67" i="12" s="1"/>
  <c r="K24" i="7"/>
  <c r="E66" i="12" s="1"/>
  <c r="J24" i="7"/>
  <c r="E65" i="12" s="1"/>
  <c r="K21" i="7"/>
  <c r="E24" i="12" s="1"/>
  <c r="J21" i="7"/>
  <c r="E23" i="12" s="1"/>
  <c r="K18" i="7"/>
  <c r="E40" i="12" s="1"/>
  <c r="J18" i="7"/>
  <c r="E39" i="12" s="1"/>
  <c r="K17" i="7"/>
  <c r="E38" i="12" s="1"/>
  <c r="J17" i="7"/>
  <c r="E37" i="12" s="1"/>
  <c r="K16" i="7"/>
  <c r="E12" i="12" s="1"/>
  <c r="J16" i="7"/>
  <c r="E11" i="12" s="1"/>
  <c r="K15" i="7"/>
  <c r="E18" i="12" s="1"/>
  <c r="J15" i="7"/>
  <c r="E17" i="12" s="1"/>
  <c r="K14" i="7"/>
  <c r="E8" i="12" s="1"/>
  <c r="J14" i="7"/>
  <c r="E7" i="12" s="1"/>
  <c r="K13" i="7"/>
  <c r="E34" i="12" s="1"/>
  <c r="J13" i="7"/>
  <c r="E33" i="12" s="1"/>
  <c r="K12" i="7"/>
  <c r="E32" i="12" s="1"/>
  <c r="J12" i="7"/>
  <c r="E31" i="12" s="1"/>
  <c r="K11" i="7"/>
  <c r="E30" i="12" s="1"/>
  <c r="J11" i="7"/>
  <c r="E29" i="12" s="1"/>
  <c r="K10" i="7"/>
  <c r="E28" i="12" s="1"/>
  <c r="J10" i="7"/>
  <c r="E27" i="12" s="1"/>
  <c r="K9" i="7"/>
  <c r="E14" i="12" s="1"/>
  <c r="J9" i="7"/>
  <c r="E13" i="12" s="1"/>
  <c r="K8" i="7"/>
  <c r="E16" i="12" s="1"/>
  <c r="J8" i="7"/>
  <c r="E15" i="12" s="1"/>
  <c r="K7" i="7"/>
  <c r="E10" i="12" s="1"/>
  <c r="J7" i="7"/>
  <c r="E9" i="12" s="1"/>
  <c r="H7" i="7"/>
  <c r="D10" i="13" s="1"/>
  <c r="H8" i="7"/>
  <c r="D16" i="13" s="1"/>
  <c r="H9" i="7"/>
  <c r="D14" i="13" s="1"/>
  <c r="H10" i="7"/>
  <c r="D28" i="13" s="1"/>
  <c r="H11" i="7"/>
  <c r="D30" i="13" s="1"/>
  <c r="H12" i="7"/>
  <c r="D32" i="13" s="1"/>
  <c r="H13" i="7"/>
  <c r="D34" i="13" s="1"/>
  <c r="H14" i="7"/>
  <c r="D8" i="13" s="1"/>
  <c r="H15" i="7"/>
  <c r="D18" i="13" s="1"/>
  <c r="H16" i="7"/>
  <c r="D12" i="13" s="1"/>
  <c r="H17" i="7"/>
  <c r="H18" i="7"/>
  <c r="H21" i="7"/>
  <c r="D24" i="13" s="1"/>
  <c r="H24" i="7"/>
  <c r="D66" i="13" s="1"/>
  <c r="H25" i="7"/>
  <c r="H26" i="7"/>
  <c r="D62" i="13" s="1"/>
  <c r="H27" i="7"/>
  <c r="D20" i="13" s="1"/>
  <c r="H28" i="7"/>
  <c r="D22" i="13" s="1"/>
  <c r="H29" i="7"/>
  <c r="D26" i="13" s="1"/>
  <c r="H30" i="7"/>
  <c r="D54" i="13" s="1"/>
  <c r="H32" i="7"/>
  <c r="D58" i="13" s="1"/>
  <c r="H33" i="7"/>
  <c r="D60" i="13" s="1"/>
  <c r="H34" i="7"/>
  <c r="D46" i="13" s="1"/>
  <c r="H35" i="7"/>
  <c r="D52" i="13" s="1"/>
  <c r="H36" i="7"/>
  <c r="D48" i="13" s="1"/>
  <c r="H37" i="7"/>
  <c r="D50" i="13" s="1"/>
  <c r="H38" i="7"/>
  <c r="D72" i="13" s="1"/>
  <c r="H39" i="7"/>
  <c r="D74" i="13" s="1"/>
  <c r="H40" i="7"/>
  <c r="D76" i="13" s="1"/>
  <c r="H41" i="7"/>
  <c r="D36" i="13" s="1"/>
  <c r="H42" i="7"/>
  <c r="D78" i="13" s="1"/>
  <c r="H43" i="7"/>
  <c r="D80" i="13" s="1"/>
  <c r="H44" i="7"/>
  <c r="D82" i="13" s="1"/>
  <c r="H45" i="7"/>
  <c r="D102" i="13" s="1"/>
  <c r="H46" i="7"/>
  <c r="D104" i="13" s="1"/>
  <c r="H47" i="7"/>
  <c r="D112" i="13" s="1"/>
  <c r="H48" i="7"/>
  <c r="D110" i="13" s="1"/>
  <c r="H49" i="7"/>
  <c r="D114" i="13" s="1"/>
  <c r="H50" i="7"/>
  <c r="D108" i="13" s="1"/>
  <c r="H51" i="7"/>
  <c r="D106" i="13" s="1"/>
  <c r="H52" i="7"/>
  <c r="D116" i="13" s="1"/>
  <c r="H53" i="7"/>
  <c r="D118" i="13" s="1"/>
  <c r="H54" i="7"/>
  <c r="D120" i="13" s="1"/>
  <c r="H55" i="7"/>
  <c r="D122" i="13" s="1"/>
  <c r="H57" i="7"/>
  <c r="D94" i="13" s="1"/>
  <c r="H59" i="7"/>
  <c r="D98" i="13" s="1"/>
  <c r="H60" i="7"/>
  <c r="D100" i="13" s="1"/>
  <c r="H61" i="7"/>
  <c r="D84" i="13" s="1"/>
  <c r="H62" i="7"/>
  <c r="D86" i="13" s="1"/>
  <c r="D64" i="13" l="1"/>
  <c r="D68" i="13"/>
  <c r="G63" i="12"/>
  <c r="G133" i="12" s="1"/>
  <c r="G135" i="12" s="1"/>
  <c r="G64" i="12"/>
  <c r="G134" i="12" s="1"/>
  <c r="G136" i="12" s="1"/>
  <c r="F63" i="12"/>
  <c r="F133" i="12" s="1"/>
  <c r="F135" i="12" s="1"/>
  <c r="F64" i="12"/>
  <c r="F134" i="12" s="1"/>
  <c r="F136" i="12" s="1"/>
  <c r="E63" i="12"/>
  <c r="E133" i="12" s="1"/>
  <c r="E64" i="12"/>
  <c r="E134" i="12" s="1"/>
  <c r="E136" i="12" s="1"/>
  <c r="E134" i="13"/>
  <c r="E136" i="13" s="1"/>
  <c r="D44" i="13"/>
  <c r="D40" i="13"/>
  <c r="D42" i="13"/>
  <c r="D38" i="13"/>
  <c r="E135" i="13"/>
  <c r="G135" i="13"/>
  <c r="G5" i="13"/>
  <c r="F5" i="13"/>
  <c r="F4" i="13"/>
  <c r="E4" i="13"/>
  <c r="H72" i="7"/>
  <c r="H70" i="7"/>
  <c r="W70" i="7"/>
  <c r="W71" i="7" s="1"/>
  <c r="V70" i="7"/>
  <c r="V71" i="7" s="1"/>
  <c r="T70" i="7"/>
  <c r="T71" i="7" s="1"/>
  <c r="U70" i="7"/>
  <c r="U71" i="7" s="1"/>
  <c r="R70" i="7"/>
  <c r="R71" i="7" s="1"/>
  <c r="M70" i="7"/>
  <c r="M71" i="7" s="1"/>
  <c r="Q70" i="7"/>
  <c r="Q71" i="7" s="1"/>
  <c r="O70" i="7"/>
  <c r="O71" i="7" s="1"/>
  <c r="P70" i="7"/>
  <c r="P71" i="7" s="1"/>
  <c r="K70" i="7"/>
  <c r="K71" i="7" s="1"/>
  <c r="L71" i="7"/>
  <c r="D134" i="13" l="1"/>
  <c r="D5" i="13" s="1"/>
  <c r="E5" i="13"/>
  <c r="E5" i="12"/>
  <c r="G4" i="12"/>
  <c r="F4" i="12"/>
  <c r="G5" i="12"/>
  <c r="F5" i="12"/>
  <c r="H71" i="7"/>
  <c r="D136" i="13" l="1"/>
  <c r="G60" i="7"/>
  <c r="D99" i="13" s="1"/>
  <c r="F60" i="7" l="1"/>
  <c r="D100" i="12" s="1"/>
  <c r="E60" i="7"/>
  <c r="D99" i="12" s="1"/>
  <c r="E39" i="7" l="1"/>
  <c r="D73" i="12" s="1"/>
  <c r="F39" i="7"/>
  <c r="D74" i="12" s="1"/>
  <c r="G39" i="7"/>
  <c r="D73" i="13" s="1"/>
  <c r="F62" i="7"/>
  <c r="D86" i="12" s="1"/>
  <c r="E62" i="7"/>
  <c r="D85" i="12" s="1"/>
  <c r="G62" i="7"/>
  <c r="D85" i="13" s="1"/>
  <c r="F37" i="7"/>
  <c r="D50" i="12" s="1"/>
  <c r="G57" i="7"/>
  <c r="D93" i="13" s="1"/>
  <c r="G37" i="7"/>
  <c r="D49" i="13" s="1"/>
  <c r="E37" i="7"/>
  <c r="D49" i="12" s="1"/>
  <c r="F49" i="7"/>
  <c r="D114" i="12" s="1"/>
  <c r="E35" i="7"/>
  <c r="D51" i="12" s="1"/>
  <c r="F25" i="7"/>
  <c r="D68" i="12" s="1"/>
  <c r="G53" i="7"/>
  <c r="D117" i="13" s="1"/>
  <c r="E47" i="7"/>
  <c r="D111" i="12" s="1"/>
  <c r="F32" i="7"/>
  <c r="D58" i="12" s="1"/>
  <c r="F57" i="7"/>
  <c r="D94" i="12" s="1"/>
  <c r="F28" i="7"/>
  <c r="D22" i="12" s="1"/>
  <c r="G49" i="7" l="1"/>
  <c r="D113" i="13" s="1"/>
  <c r="E49" i="7"/>
  <c r="D113" i="12" s="1"/>
  <c r="G28" i="7"/>
  <c r="D21" i="13" s="1"/>
  <c r="E28" i="7"/>
  <c r="D21" i="12" s="1"/>
  <c r="F35" i="7"/>
  <c r="D52" i="12" s="1"/>
  <c r="E26" i="7"/>
  <c r="D61" i="12" s="1"/>
  <c r="E10" i="7"/>
  <c r="D27" i="12" s="1"/>
  <c r="G61" i="7"/>
  <c r="D83" i="13" s="1"/>
  <c r="F61" i="7"/>
  <c r="D84" i="12" s="1"/>
  <c r="E25" i="7"/>
  <c r="D67" i="12" s="1"/>
  <c r="E61" i="7"/>
  <c r="D83" i="12" s="1"/>
  <c r="E50" i="7"/>
  <c r="D107" i="12" s="1"/>
  <c r="F50" i="7"/>
  <c r="D108" i="12" s="1"/>
  <c r="E33" i="7"/>
  <c r="D59" i="12" s="1"/>
  <c r="E36" i="7"/>
  <c r="D47" i="12" s="1"/>
  <c r="F59" i="7"/>
  <c r="D98" i="12" s="1"/>
  <c r="G33" i="7"/>
  <c r="D59" i="13" s="1"/>
  <c r="G35" i="7"/>
  <c r="D51" i="13" s="1"/>
  <c r="F33" i="7"/>
  <c r="D60" i="12" s="1"/>
  <c r="G59" i="7"/>
  <c r="D97" i="13" s="1"/>
  <c r="F10" i="7"/>
  <c r="D28" i="12" s="1"/>
  <c r="E59" i="7"/>
  <c r="D97" i="12" s="1"/>
  <c r="G10" i="7"/>
  <c r="D27" i="13" s="1"/>
  <c r="E24" i="7"/>
  <c r="D65" i="12" s="1"/>
  <c r="G34" i="7"/>
  <c r="D45" i="13" s="1"/>
  <c r="F24" i="7"/>
  <c r="D66" i="12" s="1"/>
  <c r="E34" i="7"/>
  <c r="D45" i="12" s="1"/>
  <c r="G24" i="7"/>
  <c r="D65" i="13" s="1"/>
  <c r="E32" i="7"/>
  <c r="D57" i="12" s="1"/>
  <c r="F34" i="7"/>
  <c r="D46" i="12" s="1"/>
  <c r="G26" i="7"/>
  <c r="D61" i="13" s="1"/>
  <c r="F47" i="7"/>
  <c r="D112" i="12" s="1"/>
  <c r="F26" i="7"/>
  <c r="D62" i="12" s="1"/>
  <c r="G47" i="7"/>
  <c r="D111" i="13" s="1"/>
  <c r="F53" i="7"/>
  <c r="D118" i="12" s="1"/>
  <c r="G50" i="7"/>
  <c r="D107" i="13" s="1"/>
  <c r="G36" i="7"/>
  <c r="D47" i="13" s="1"/>
  <c r="E53" i="7"/>
  <c r="D117" i="12" s="1"/>
  <c r="F36" i="7"/>
  <c r="D48" i="12" s="1"/>
  <c r="F13" i="7"/>
  <c r="D34" i="12" s="1"/>
  <c r="G25" i="7"/>
  <c r="D67" i="13" s="1"/>
  <c r="G32" i="7"/>
  <c r="D57" i="13" s="1"/>
  <c r="F16" i="7"/>
  <c r="D12" i="12" s="1"/>
  <c r="G54" i="7"/>
  <c r="D119" i="13" s="1"/>
  <c r="G38" i="7"/>
  <c r="D71" i="13" s="1"/>
  <c r="G8" i="7"/>
  <c r="D15" i="13" s="1"/>
  <c r="G48" i="7"/>
  <c r="D109" i="13" s="1"/>
  <c r="F12" i="7"/>
  <c r="D32" i="12" s="1"/>
  <c r="E43" i="7"/>
  <c r="D79" i="12" s="1"/>
  <c r="D63" i="13" l="1"/>
  <c r="D63" i="12"/>
  <c r="D64" i="12"/>
  <c r="G12" i="7"/>
  <c r="D31" i="13" s="1"/>
  <c r="F8" i="7"/>
  <c r="D16" i="12" s="1"/>
  <c r="F52" i="7"/>
  <c r="D116" i="12" s="1"/>
  <c r="E8" i="7"/>
  <c r="G27" i="7"/>
  <c r="D19" i="13" s="1"/>
  <c r="G13" i="7"/>
  <c r="D33" i="13" s="1"/>
  <c r="E27" i="7"/>
  <c r="D19" i="12" s="1"/>
  <c r="E12" i="7"/>
  <c r="D31" i="12" s="1"/>
  <c r="F43" i="7"/>
  <c r="D80" i="12" s="1"/>
  <c r="E18" i="7"/>
  <c r="D39" i="12" s="1"/>
  <c r="G16" i="7"/>
  <c r="D11" i="13" s="1"/>
  <c r="E52" i="7"/>
  <c r="D115" i="12" s="1"/>
  <c r="G43" i="7"/>
  <c r="D79" i="13" s="1"/>
  <c r="E14" i="7"/>
  <c r="D7" i="12" s="1"/>
  <c r="E15" i="7"/>
  <c r="D17" i="12" s="1"/>
  <c r="G14" i="7"/>
  <c r="D7" i="13" s="1"/>
  <c r="F14" i="7"/>
  <c r="D8" i="12" s="1"/>
  <c r="F7" i="7"/>
  <c r="D10" i="12" s="1"/>
  <c r="F44" i="7"/>
  <c r="D82" i="12" s="1"/>
  <c r="E55" i="7"/>
  <c r="D121" i="12" s="1"/>
  <c r="G44" i="7"/>
  <c r="D81" i="13" s="1"/>
  <c r="G55" i="7"/>
  <c r="D121" i="13" s="1"/>
  <c r="G9" i="7"/>
  <c r="D13" i="13" s="1"/>
  <c r="E42" i="7"/>
  <c r="D77" i="12" s="1"/>
  <c r="E21" i="7"/>
  <c r="D23" i="12" s="1"/>
  <c r="E13" i="7"/>
  <c r="D33" i="12" s="1"/>
  <c r="F9" i="7"/>
  <c r="D14" i="12" s="1"/>
  <c r="F27" i="7"/>
  <c r="D20" i="12" s="1"/>
  <c r="E30" i="7"/>
  <c r="D53" i="12" s="1"/>
  <c r="G21" i="7"/>
  <c r="D23" i="13" s="1"/>
  <c r="F42" i="7"/>
  <c r="D78" i="12" s="1"/>
  <c r="F18" i="7"/>
  <c r="D40" i="12" s="1"/>
  <c r="F21" i="7"/>
  <c r="D24" i="12" s="1"/>
  <c r="G7" i="7"/>
  <c r="D9" i="13" s="1"/>
  <c r="E46" i="7"/>
  <c r="D103" i="12" s="1"/>
  <c r="G42" i="7"/>
  <c r="D77" i="13" s="1"/>
  <c r="G18" i="7"/>
  <c r="E38" i="7"/>
  <c r="D71" i="12" s="1"/>
  <c r="F30" i="7"/>
  <c r="D54" i="12" s="1"/>
  <c r="F38" i="7"/>
  <c r="D72" i="12" s="1"/>
  <c r="G30" i="7"/>
  <c r="D53" i="13" s="1"/>
  <c r="G51" i="7"/>
  <c r="D105" i="13" s="1"/>
  <c r="F40" i="7"/>
  <c r="D76" i="12" s="1"/>
  <c r="G52" i="7"/>
  <c r="D115" i="13" s="1"/>
  <c r="E44" i="7"/>
  <c r="D81" i="12" s="1"/>
  <c r="F48" i="7"/>
  <c r="D110" i="12" s="1"/>
  <c r="F17" i="7"/>
  <c r="D38" i="12" s="1"/>
  <c r="G29" i="7"/>
  <c r="D25" i="13" s="1"/>
  <c r="G40" i="7"/>
  <c r="D75" i="13" s="1"/>
  <c r="E41" i="7"/>
  <c r="D35" i="12" s="1"/>
  <c r="F51" i="7"/>
  <c r="D106" i="12" s="1"/>
  <c r="F15" i="7"/>
  <c r="D18" i="12" s="1"/>
  <c r="E17" i="7"/>
  <c r="D37" i="12" s="1"/>
  <c r="F29" i="7"/>
  <c r="D26" i="12" s="1"/>
  <c r="F55" i="7"/>
  <c r="D122" i="12" s="1"/>
  <c r="E48" i="7"/>
  <c r="D109" i="12" s="1"/>
  <c r="F45" i="7"/>
  <c r="D102" i="12" s="1"/>
  <c r="G41" i="7"/>
  <c r="D35" i="13" s="1"/>
  <c r="G17" i="7"/>
  <c r="E40" i="7"/>
  <c r="D75" i="12" s="1"/>
  <c r="F46" i="7"/>
  <c r="D104" i="12" s="1"/>
  <c r="E45" i="7"/>
  <c r="D101" i="12" s="1"/>
  <c r="F41" i="7"/>
  <c r="D36" i="12" s="1"/>
  <c r="G15" i="7"/>
  <c r="D17" i="13" s="1"/>
  <c r="E29" i="7"/>
  <c r="D25" i="12" s="1"/>
  <c r="E51" i="7"/>
  <c r="D105" i="12" s="1"/>
  <c r="G46" i="7"/>
  <c r="D103" i="13" s="1"/>
  <c r="G45" i="7"/>
  <c r="D101" i="13" s="1"/>
  <c r="F11" i="7"/>
  <c r="D30" i="12" s="1"/>
  <c r="G11" i="7"/>
  <c r="D29" i="13" s="1"/>
  <c r="E11" i="7"/>
  <c r="D29" i="12" s="1"/>
  <c r="E54" i="7"/>
  <c r="D119" i="12" s="1"/>
  <c r="F54" i="7"/>
  <c r="D120" i="12" s="1"/>
  <c r="E16" i="7"/>
  <c r="D11" i="12" s="1"/>
  <c r="D134" i="12" l="1"/>
  <c r="D136" i="12" s="1"/>
  <c r="D43" i="13"/>
  <c r="D39" i="13"/>
  <c r="D41" i="13"/>
  <c r="D37" i="13"/>
  <c r="E70" i="7"/>
  <c r="E71" i="7" s="1"/>
  <c r="D15" i="12"/>
  <c r="D133" i="12" s="1"/>
  <c r="G72" i="7"/>
  <c r="G70" i="7"/>
  <c r="F70" i="7"/>
  <c r="F71" i="7" s="1"/>
  <c r="D133" i="13" l="1"/>
  <c r="D5" i="12"/>
  <c r="D4" i="12"/>
  <c r="G71" i="7"/>
  <c r="F77" i="14"/>
  <c r="F35" i="14"/>
  <c r="F59" i="14"/>
  <c r="F131" i="14"/>
  <c r="F15" i="14"/>
  <c r="F87" i="14"/>
  <c r="F47" i="14"/>
  <c r="F111" i="14"/>
  <c r="F63" i="14"/>
  <c r="F53" i="14"/>
  <c r="F93" i="14"/>
  <c r="F79" i="14"/>
  <c r="F125" i="14"/>
  <c r="F45" i="14"/>
  <c r="F39" i="14"/>
  <c r="F33" i="14"/>
  <c r="F81" i="14"/>
  <c r="F21" i="14"/>
  <c r="F25" i="14"/>
  <c r="F23" i="14"/>
  <c r="F13" i="14"/>
  <c r="F75" i="14"/>
  <c r="F17" i="14"/>
  <c r="F117" i="14"/>
  <c r="F37" i="14"/>
  <c r="F107" i="14"/>
  <c r="F85" i="14"/>
  <c r="F83" i="14"/>
  <c r="F11" i="14"/>
  <c r="F127" i="14"/>
  <c r="F61" i="14"/>
  <c r="F99" i="14"/>
  <c r="F65" i="14"/>
  <c r="F115" i="14"/>
  <c r="F113" i="14"/>
  <c r="F51" i="14"/>
  <c r="F19" i="14"/>
  <c r="F57" i="14"/>
  <c r="F67" i="14"/>
  <c r="F89" i="14"/>
  <c r="F31" i="14"/>
  <c r="F109" i="14"/>
  <c r="F69" i="14"/>
  <c r="F7" i="14"/>
  <c r="F49" i="14"/>
  <c r="F129" i="14"/>
  <c r="F103" i="14"/>
  <c r="F101" i="14"/>
  <c r="F123" i="14"/>
  <c r="F119" i="14"/>
  <c r="F97" i="14"/>
  <c r="F73" i="14"/>
  <c r="F121" i="14"/>
  <c r="F105" i="14"/>
  <c r="F29" i="14"/>
  <c r="F9" i="14"/>
  <c r="D135" i="12" l="1"/>
  <c r="L70" i="15"/>
  <c r="L71" i="15" s="1"/>
  <c r="F27" i="14"/>
  <c r="F133" i="14" s="1"/>
  <c r="D135" i="13"/>
  <c r="D4" i="13"/>
  <c r="F135" i="14" l="1"/>
  <c r="L135" i="14"/>
  <c r="K135" i="14"/>
  <c r="L134" i="14"/>
  <c r="K134" i="14"/>
  <c r="J70" i="7"/>
  <c r="J71" i="7" s="1"/>
  <c r="O135" i="14" l="1"/>
  <c r="N135" i="14"/>
  <c r="O134" i="14"/>
  <c r="N134" i="14"/>
  <c r="M134" i="14"/>
  <c r="M135" i="14"/>
  <c r="I5" i="14"/>
  <c r="J5" i="14"/>
  <c r="K5" i="14"/>
  <c r="L5" i="14"/>
  <c r="K4" i="14"/>
  <c r="I4" i="14"/>
  <c r="J4" i="14"/>
  <c r="L4" i="14"/>
  <c r="F5" i="14"/>
  <c r="E135" i="12"/>
  <c r="E4" i="12"/>
  <c r="O4" i="14" l="1"/>
  <c r="M4" i="14"/>
  <c r="N4" i="14"/>
  <c r="N5" i="14"/>
  <c r="O5" i="14"/>
  <c r="M5" i="14"/>
  <c r="D4" i="14" l="1"/>
  <c r="D134" i="14"/>
  <c r="D5" i="14"/>
  <c r="D13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Đinh Văn Chiến(Dinh Van Chien)</author>
    <author>Administrator</author>
    <author>Nguyễn Thị Thiện Duyên(Nguyen Thi Thien Duyen)</author>
  </authors>
  <commentList>
    <comment ref="E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J5" authorId="0" shapeId="0" xr:uid="{B3528548-74D0-41B3-8731-B4782C894DCD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L5" authorId="1" shapeId="0" xr:uid="{52F8D67A-E3FC-4D88-92FC-D1085473AA8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M5" authorId="1" shapeId="0" xr:uid="{20CD80D4-8C52-4888-9083-A0C5D2984BF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 đã giảm còn 26,458.43</t>
        </r>
      </text>
    </comment>
    <comment ref="O5" authorId="0" shapeId="0" xr:uid="{C2D233E4-7C5D-4CE1-BC9B-EAAA8444A083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Q5" authorId="1" shapeId="0" xr:uid="{75B00F41-7894-4EA0-8B3D-E6F5B5F3F12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T5" authorId="0" shapeId="0" xr:uid="{833D2E9D-5456-4F2E-B60C-676680BFCC7B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V5" authorId="1" shapeId="0" xr:uid="{75A5E281-15F5-41BB-9E45-D6F4CE34145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Y5" authorId="0" shapeId="0" xr:uid="{C120EB45-D9E7-4349-846B-FAFDCCFEBC32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A5" authorId="1" shapeId="0" xr:uid="{F7616BD3-4A0E-4D25-B4CE-C2C89082F39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AD5" authorId="0" shapeId="0" xr:uid="{DF63C489-E8A3-48E9-8411-4C663E13B9F4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F5" authorId="1" shapeId="0" xr:uid="{D4DCDE5F-8B6F-479F-8413-328510AB0ED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AI5" authorId="0" shapeId="0" xr:uid="{5734C7B2-4F97-4A60-AC93-4853E933B3B1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K5" authorId="1" shapeId="0" xr:uid="{B72F5B0A-8BE8-4636-B20F-772CF408D04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AN5" authorId="0" shapeId="0" xr:uid="{4B6E67FC-E716-4550-910A-29EA1C969814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P5" authorId="1" shapeId="0" xr:uid="{BE1AD6B9-F400-492F-8BC1-630C4961AC3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AS5" authorId="0" shapeId="0" xr:uid="{35A61D18-F7F4-4F59-99E6-16EEEEEC7381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U5" authorId="1" shapeId="0" xr:uid="{74DDCFDF-6BC6-4DD3-A5F9-5EB8552ED29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AX5" authorId="0" shapeId="0" xr:uid="{94893321-B9FB-49E2-B722-7F68E9E673D0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Z5" authorId="1" shapeId="0" xr:uid="{3177EB09-8E6E-427E-AE61-240277ED6C74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BC5" authorId="0" shapeId="0" xr:uid="{82F586FD-1CD0-4211-9170-46461DC12479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BE5" authorId="1" shapeId="0" xr:uid="{C72FB889-6792-4860-9C75-BAFA9DA0E13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BH5" authorId="0" shapeId="0" xr:uid="{C1FAC0BF-CBC1-4B04-98B4-96076820BB31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BJ5" authorId="1" shapeId="0" xr:uid="{B9E55DEC-B6D7-4FDE-BCB5-5BE93DABBB56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5.2026 còn 196,991.77 USD</t>
        </r>
      </text>
    </comment>
    <comment ref="A6" authorId="2" shapeId="0" xr:uid="{71E9C1BF-DA5E-4260-8A1C-E27CC8EA9FBD}">
      <text>
        <r>
          <rPr>
            <b/>
            <sz val="10"/>
            <color indexed="81"/>
            <rFont val="Tahoma"/>
            <family val="2"/>
          </rPr>
          <t xml:space="preserve">Không tự ý thay đổi thứ tự code phòng chịu chi phí
</t>
        </r>
      </text>
    </comment>
    <comment ref="G7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GIÁ TRỊ NÀY PHẢI BẰNG 0.000</t>
        </r>
      </text>
    </comment>
    <comment ref="H7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GIÁ TRỊ NÀY PHẢI BẰNG 0.000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Đinh Văn Chiến(Dinh Van Chien)</author>
  </authors>
  <commentList>
    <comment ref="F4" authorId="0" shapeId="0" xr:uid="{92A5AC82-AF46-432E-9667-E63FE55EC214}">
      <text>
        <r>
          <rPr>
            <b/>
            <sz val="9"/>
            <color indexed="81"/>
            <rFont val="Tahoma"/>
            <family val="2"/>
          </rPr>
          <t>OK</t>
        </r>
      </text>
    </comment>
    <comment ref="G71" authorId="0" shapeId="0" xr:uid="{F145853A-A074-4E5F-8824-DAF70C14A59F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I71" authorId="0" shapeId="0" xr:uid="{8146CF9F-E4B1-4ADD-BE9B-99E72AEA7593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K71" authorId="0" shapeId="0" xr:uid="{F96E7566-AE91-421E-B642-ABD05B5B13B6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M71" authorId="0" shapeId="0" xr:uid="{A98E41EA-10D4-4CE0-A604-AB2EE24F89D4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O71" authorId="0" shapeId="0" xr:uid="{4B0E5207-1CDC-48A4-AAFA-01F60953AD5D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Q71" authorId="0" shapeId="0" xr:uid="{C88F7A37-3C6D-4773-B9AE-9332A485FB87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S71" authorId="0" shapeId="0" xr:uid="{A9C78FC2-3477-42DC-A26E-BD29D63B68B1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U71" authorId="0" shapeId="0" xr:uid="{B2BF418A-7822-4D3A-98D9-9AE4CAD1FCB4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W71" authorId="0" shapeId="0" xr:uid="{5679A60C-6E67-451E-9BA1-2BE766050135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Y71" authorId="0" shapeId="0" xr:uid="{BF368278-EFAD-48D8-8C2D-3647EFEB790E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AA71" authorId="0" shapeId="0" xr:uid="{77BCE912-6622-40B8-BA98-4A3A2751E240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AC71" authorId="0" shapeId="0" xr:uid="{A1A08CE9-5048-49CD-8A19-055394597127}">
      <text>
        <r>
          <rPr>
            <b/>
            <sz val="9"/>
            <color indexed="81"/>
            <rFont val="Tahoma"/>
            <family val="2"/>
          </rPr>
          <t>GIÁ TRỊ NÀY PHẢI BẰNG 0.</t>
        </r>
      </text>
    </comment>
  </commentList>
</comments>
</file>

<file path=xl/sharedStrings.xml><?xml version="1.0" encoding="utf-8"?>
<sst xmlns="http://schemas.openxmlformats.org/spreadsheetml/2006/main" count="1117" uniqueCount="196">
  <si>
    <t>IT Sec</t>
  </si>
  <si>
    <t>USD</t>
  </si>
  <si>
    <t>メカ製造技術2課</t>
  </si>
  <si>
    <t>メカ製造技術1課</t>
  </si>
  <si>
    <t>マスター管理課</t>
  </si>
  <si>
    <t>人事課</t>
  </si>
  <si>
    <t>施設課</t>
  </si>
  <si>
    <t>会計課</t>
  </si>
  <si>
    <t>経営管理課</t>
  </si>
  <si>
    <t>物流課</t>
  </si>
  <si>
    <t>情報システム課</t>
  </si>
  <si>
    <t>土地</t>
    <rPh sb="0" eb="2">
      <t>トチ</t>
    </rPh>
    <phoneticPr fontId="4"/>
  </si>
  <si>
    <t>総額</t>
    <rPh sb="0" eb="2">
      <t>ソウガク</t>
    </rPh>
    <phoneticPr fontId="4"/>
  </si>
  <si>
    <t>原価ｾﾝﾀ</t>
    <phoneticPr fontId="4"/>
  </si>
  <si>
    <t>原価ｾﾝﾀ名称</t>
    <rPh sb="5" eb="7">
      <t>メイショウ</t>
    </rPh>
    <phoneticPr fontId="4"/>
  </si>
  <si>
    <t>日本語</t>
    <rPh sb="0" eb="3">
      <t>ニホンゴ</t>
    </rPh>
    <phoneticPr fontId="4"/>
  </si>
  <si>
    <t>比率(*1)</t>
    <rPh sb="0" eb="2">
      <t>ヒリツ</t>
    </rPh>
    <phoneticPr fontId="4"/>
  </si>
  <si>
    <t>建物配賦</t>
    <rPh sb="0" eb="2">
      <t>タテモノ</t>
    </rPh>
    <rPh sb="2" eb="4">
      <t>ハイフ</t>
    </rPh>
    <phoneticPr fontId="4"/>
  </si>
  <si>
    <t>土地配賦</t>
    <rPh sb="0" eb="2">
      <t>トチ</t>
    </rPh>
    <rPh sb="2" eb="4">
      <t>ハイフ</t>
    </rPh>
    <phoneticPr fontId="4"/>
  </si>
  <si>
    <t>合計</t>
    <rPh sb="0" eb="2">
      <t>ゴウケイ</t>
    </rPh>
    <phoneticPr fontId="4"/>
  </si>
  <si>
    <t>*1　面積比算出Fy2014、7月～10月予定のデータより</t>
    <rPh sb="3" eb="5">
      <t>メンセキ</t>
    </rPh>
    <rPh sb="5" eb="6">
      <t>ヒ</t>
    </rPh>
    <rPh sb="6" eb="8">
      <t>サンシュツ</t>
    </rPh>
    <rPh sb="16" eb="17">
      <t>ガツ</t>
    </rPh>
    <rPh sb="20" eb="21">
      <t>ガツ</t>
    </rPh>
    <rPh sb="21" eb="23">
      <t>ヨテイ</t>
    </rPh>
    <phoneticPr fontId="4"/>
  </si>
  <si>
    <t>Kỹ thuật khuôn</t>
  </si>
  <si>
    <t>金型技術</t>
  </si>
  <si>
    <t>Chế tạo linh kiện</t>
  </si>
  <si>
    <t>部品製造</t>
  </si>
  <si>
    <t>Kỹ thuật chế tạo điện</t>
  </si>
  <si>
    <t>Kỹ thuật cơ khí 2</t>
  </si>
  <si>
    <t>Chế tạo mực in</t>
  </si>
  <si>
    <t>トナー製造</t>
  </si>
  <si>
    <t>Kỹ thuật SX mực in</t>
  </si>
  <si>
    <t>トナー生産技術</t>
  </si>
  <si>
    <t>Quản lý mực in</t>
  </si>
  <si>
    <t>Quản lý SX (Thạch)</t>
  </si>
  <si>
    <t>生産管理</t>
  </si>
  <si>
    <t>Quản lý dữ liệu (Tsuji)</t>
  </si>
  <si>
    <t>Quản lý lợi nhuận</t>
  </si>
  <si>
    <t>採算管理</t>
  </si>
  <si>
    <t>Kiểm tra linh kiện</t>
  </si>
  <si>
    <t>Đảm bảo chất lượng</t>
  </si>
  <si>
    <t>品質保証</t>
  </si>
  <si>
    <t>品質管理</t>
  </si>
  <si>
    <t>Vật tư 3</t>
  </si>
  <si>
    <t>資材3課</t>
  </si>
  <si>
    <t>Quản lý vật tư</t>
  </si>
  <si>
    <t>資材管理</t>
  </si>
  <si>
    <t>Vật tư 2</t>
  </si>
  <si>
    <t>資材2課</t>
  </si>
  <si>
    <t>資材1課</t>
  </si>
  <si>
    <t>Vật tư 1</t>
  </si>
  <si>
    <t>Hành chính</t>
  </si>
  <si>
    <t>総務</t>
  </si>
  <si>
    <t>Tuyển dụng</t>
  </si>
  <si>
    <t>Nhân sự</t>
  </si>
  <si>
    <t>Thiết bị</t>
  </si>
  <si>
    <t>Kế toán</t>
  </si>
  <si>
    <t>Quản lý kinh doanh</t>
  </si>
  <si>
    <t>Chế tạo RPS</t>
  </si>
  <si>
    <t>RPS製造課</t>
  </si>
  <si>
    <t>建物</t>
  </si>
  <si>
    <t>Kỹ thuật SX 1</t>
  </si>
  <si>
    <t>Kỹ thuật SX 2</t>
  </si>
  <si>
    <t>生産技術 1</t>
  </si>
  <si>
    <t>生産技術 2</t>
  </si>
  <si>
    <t>Vật tư 4</t>
  </si>
  <si>
    <t>資材4課</t>
  </si>
  <si>
    <t>QL XN Hàng hóa</t>
  </si>
  <si>
    <t>物流管理課</t>
  </si>
  <si>
    <t xml:space="preserve">Quản lý hàng ngoài </t>
  </si>
  <si>
    <t xml:space="preserve">外製管理 </t>
  </si>
  <si>
    <t>Đổi mới sản xuất</t>
  </si>
  <si>
    <t>EI 1</t>
  </si>
  <si>
    <t xml:space="preserve">EI1課 </t>
  </si>
  <si>
    <t>EI 2</t>
  </si>
  <si>
    <t>EI2課</t>
  </si>
  <si>
    <t>MD 1</t>
  </si>
  <si>
    <t xml:space="preserve">MD1課 </t>
  </si>
  <si>
    <t>MD 2</t>
  </si>
  <si>
    <t>MD2課</t>
  </si>
  <si>
    <t>建物 Building</t>
  </si>
  <si>
    <t>土地 Land</t>
  </si>
  <si>
    <t>工程品質管理1課</t>
  </si>
  <si>
    <t>工程品質管理2課</t>
  </si>
  <si>
    <t>製品管理課</t>
  </si>
  <si>
    <t>工程品質管理3課</t>
  </si>
  <si>
    <t>Chế tạo máy 2</t>
  </si>
  <si>
    <t>機器製造2課</t>
  </si>
  <si>
    <t>Chế tạo máy 3</t>
  </si>
  <si>
    <t>機器製造3課</t>
  </si>
  <si>
    <t>Chế tạo máy 1</t>
  </si>
  <si>
    <t>機器製造1課</t>
  </si>
  <si>
    <t>Quản lý sản xuất thiết bị</t>
  </si>
  <si>
    <t>機器製造管理課</t>
  </si>
  <si>
    <t>QLCL công đoạn 1</t>
  </si>
  <si>
    <t>QLCL công đoạn 2</t>
  </si>
  <si>
    <t>QLCL công đoạn 3</t>
  </si>
  <si>
    <t xml:space="preserve">Kỹ thuật cơ khí 1 </t>
  </si>
  <si>
    <t>トナー製造管理課</t>
  </si>
  <si>
    <t>Xuất nhập hàng hóa 1</t>
  </si>
  <si>
    <t>Xuất nhập hàng hóa 2</t>
  </si>
  <si>
    <t>Kỹ thuật linh kiện</t>
  </si>
  <si>
    <t>Đảm bảo sản phẩm</t>
  </si>
  <si>
    <t>QL Xuất nhập khẩu</t>
  </si>
  <si>
    <t>MD 3</t>
  </si>
  <si>
    <t>MD3課</t>
  </si>
  <si>
    <t>Kỹ thuật SX 3</t>
  </si>
  <si>
    <t>生産技術 3</t>
  </si>
  <si>
    <t xml:space="preserve">THÁNG 5 HÀNG NĂM LÃI SUẤT SẼ GIẢM </t>
  </si>
  <si>
    <t>Phòng quản lý chế tạo linh kiện</t>
  </si>
  <si>
    <t>Phòng quản lý chất lượng</t>
  </si>
  <si>
    <t>部品製造管理課</t>
  </si>
  <si>
    <t>品質管理課</t>
  </si>
  <si>
    <t>ESD1</t>
  </si>
  <si>
    <t>An ninh</t>
  </si>
  <si>
    <t>保安課</t>
  </si>
  <si>
    <t>Kiểm tra linh kiện 1</t>
  </si>
  <si>
    <t>Kiểm tra linh kiện 2</t>
  </si>
  <si>
    <t>部品検査 1</t>
  </si>
  <si>
    <t>部品検査 2</t>
  </si>
  <si>
    <t xml:space="preserve">部品技術 </t>
  </si>
  <si>
    <t>QL rủi ro</t>
  </si>
  <si>
    <t>ESD2</t>
  </si>
  <si>
    <t>電工製造課</t>
  </si>
  <si>
    <t>MD 4</t>
  </si>
  <si>
    <t>MD4課</t>
  </si>
  <si>
    <t>Phòng chế tạo công cụ điện</t>
  </si>
  <si>
    <t>Phòng quản lý OC</t>
  </si>
  <si>
    <t>Phòng Kỹ thuật linh kiện</t>
  </si>
  <si>
    <t>Quản lý linh kiện</t>
  </si>
  <si>
    <t>Quản lý hàng hóa</t>
  </si>
  <si>
    <t>VND</t>
  </si>
  <si>
    <t>生産管理課</t>
  </si>
  <si>
    <t>採算管理課</t>
  </si>
  <si>
    <t>生産技術1課</t>
  </si>
  <si>
    <t>品質保証課</t>
  </si>
  <si>
    <t>第3資材課</t>
  </si>
  <si>
    <t>資材管理課</t>
  </si>
  <si>
    <t>総務課</t>
  </si>
  <si>
    <t>貿易管理課</t>
  </si>
  <si>
    <t>トナー製造課</t>
  </si>
  <si>
    <t>外製管理課</t>
  </si>
  <si>
    <t>電気製造技術課</t>
  </si>
  <si>
    <t>第2資材課</t>
  </si>
  <si>
    <t>金型技術課</t>
  </si>
  <si>
    <t>トナー品質管理課</t>
  </si>
  <si>
    <t>部品製造課</t>
  </si>
  <si>
    <t>第1資材課</t>
  </si>
  <si>
    <t>部品技術課</t>
  </si>
  <si>
    <t>生産技術2課</t>
  </si>
  <si>
    <t>第4資材課</t>
  </si>
  <si>
    <t>生産技術3課</t>
  </si>
  <si>
    <t>リスクマネジメント課</t>
  </si>
  <si>
    <t>OC管理課</t>
  </si>
  <si>
    <t>Depreciation</t>
    <phoneticPr fontId="1"/>
  </si>
  <si>
    <t>部署</t>
    <rPh sb="0" eb="2">
      <t>ブショ</t>
    </rPh>
    <phoneticPr fontId="1"/>
  </si>
  <si>
    <t>減価償却費</t>
    <rPh sb="0" eb="2">
      <t>ゲンカ</t>
    </rPh>
    <rPh sb="2" eb="4">
      <t>ショウキャク</t>
    </rPh>
    <rPh sb="4" eb="5">
      <t>ヒ</t>
    </rPh>
    <phoneticPr fontId="1"/>
  </si>
  <si>
    <t>振替総額</t>
    <rPh sb="0" eb="2">
      <t>フリカエ</t>
    </rPh>
    <rPh sb="2" eb="4">
      <t>ソウガク</t>
    </rPh>
    <phoneticPr fontId="1"/>
  </si>
  <si>
    <t>建物 Building</t>
    <rPh sb="0" eb="2">
      <t>タテモノ</t>
    </rPh>
    <phoneticPr fontId="1"/>
  </si>
  <si>
    <t>土地 Land</t>
    <rPh sb="0" eb="2">
      <t>トチ</t>
    </rPh>
    <phoneticPr fontId="1"/>
  </si>
  <si>
    <t>OC課</t>
  </si>
  <si>
    <t>部品検査課 1</t>
  </si>
  <si>
    <t>部品検査課 2</t>
  </si>
  <si>
    <t xml:space="preserve">MD2課 </t>
  </si>
  <si>
    <t xml:space="preserve">MD3課 </t>
  </si>
  <si>
    <t xml:space="preserve">MD4課 </t>
  </si>
  <si>
    <t xml:space="preserve">ESD1課 </t>
  </si>
  <si>
    <t xml:space="preserve">ESD2課 </t>
  </si>
  <si>
    <t>合計</t>
    <rPh sb="0" eb="2">
      <t>ゴウケイ</t>
    </rPh>
    <phoneticPr fontId="1"/>
  </si>
  <si>
    <t>Interest</t>
  </si>
  <si>
    <t>固定資産金利</t>
    <rPh sb="0" eb="2">
      <t>コテイ</t>
    </rPh>
    <rPh sb="2" eb="4">
      <t>シサン</t>
    </rPh>
    <rPh sb="4" eb="6">
      <t>キンリ</t>
    </rPh>
    <phoneticPr fontId="1"/>
  </si>
  <si>
    <t>電気代 Electric</t>
    <rPh sb="0" eb="2">
      <t>デンキ</t>
    </rPh>
    <rPh sb="2" eb="3">
      <t>ダイ</t>
    </rPh>
    <phoneticPr fontId="1"/>
  </si>
  <si>
    <t>水道代 Water</t>
    <rPh sb="0" eb="2">
      <t>スイドウ</t>
    </rPh>
    <rPh sb="2" eb="3">
      <t>ダイ</t>
    </rPh>
    <phoneticPr fontId="1"/>
  </si>
  <si>
    <t>電気代 Electric</t>
  </si>
  <si>
    <t>水道代 Water</t>
  </si>
  <si>
    <t>水道光熱費</t>
    <rPh sb="0" eb="2">
      <t>スイドウ</t>
    </rPh>
    <rPh sb="2" eb="5">
      <t>コウネツヒ</t>
    </rPh>
    <phoneticPr fontId="1"/>
  </si>
  <si>
    <t>電気</t>
  </si>
  <si>
    <t>水道</t>
  </si>
  <si>
    <t>電気代</t>
    <rPh sb="0" eb="3">
      <t>デンキダイ</t>
    </rPh>
    <phoneticPr fontId="7"/>
  </si>
  <si>
    <t>人数</t>
  </si>
  <si>
    <t>面積</t>
    <rPh sb="0" eb="2">
      <t>メンセキ</t>
    </rPh>
    <phoneticPr fontId="7"/>
  </si>
  <si>
    <t>比率(*1)</t>
  </si>
  <si>
    <t>人数</t>
    <rPh sb="0" eb="2">
      <t>ニンズウ</t>
    </rPh>
    <phoneticPr fontId="7"/>
  </si>
  <si>
    <t>割合</t>
    <rPh sb="0" eb="2">
      <t>ワリアイ</t>
    </rPh>
    <phoneticPr fontId="7"/>
  </si>
  <si>
    <t>電気代配賦</t>
  </si>
  <si>
    <t>水道代配賦</t>
  </si>
  <si>
    <t xml:space="preserve">EI2課 </t>
  </si>
  <si>
    <t>MD 5</t>
  </si>
  <si>
    <t>MD5課</t>
  </si>
  <si>
    <t xml:space="preserve">MD5課 </t>
  </si>
  <si>
    <t>QLCL công đoạn 4</t>
  </si>
  <si>
    <t>工程品質管理4課</t>
  </si>
  <si>
    <t>Quản lý chất lượng mực</t>
  </si>
  <si>
    <t>部品管理1課</t>
  </si>
  <si>
    <t>部品管理2課</t>
  </si>
  <si>
    <t>製造技術管理課</t>
  </si>
  <si>
    <t>製造システム開発課</t>
  </si>
  <si>
    <t>14120000AB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</si>
</sst>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.000_);[Red]\(#,##0.000\)"/>
    <numFmt numFmtId="165" formatCode="#,##0.00_ "/>
    <numFmt numFmtId="166" formatCode="0_);[Red]\(0\)"/>
    <numFmt numFmtId="167" formatCode="#,##0_ "/>
    <numFmt numFmtId="168" formatCode="mm/yyyy\ &quot;予定&quot;\ "/>
    <numFmt numFmtId="169" formatCode="mm/yyyy"/>
  </numFmts>
  <fonts count="2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6"/>
      <name val="Calibri"/>
      <family val="2"/>
      <charset val="128"/>
      <scheme val="minor"/>
    </font>
    <font>
      <sz val="11"/>
      <name val="ＭＳ 明朝"/>
      <family val="1"/>
      <charset val="128"/>
    </font>
    <font>
      <b/>
      <sz val="10"/>
      <name val="Times New Roman"/>
      <family val="1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17"/>
      <color rgb="FFFF0000"/>
      <name val="Times New Roman"/>
      <family val="1"/>
    </font>
    <font>
      <sz val="11"/>
      <color rgb="FFFF0000"/>
      <name val="Times New Roman"/>
      <family val="1"/>
    </font>
    <font>
      <sz val="11"/>
      <name val="Meiryo UI"/>
      <family val="3"/>
      <charset val="128"/>
    </font>
    <font>
      <sz val="11"/>
      <color indexed="12"/>
      <name val="Times New Roman"/>
      <family val="1"/>
    </font>
    <font>
      <sz val="11"/>
      <color rgb="FF0000FF"/>
      <name val="Meiryo UI"/>
      <family val="3"/>
      <charset val="128"/>
    </font>
    <font>
      <sz val="11"/>
      <color indexed="12"/>
      <name val="Times"/>
      <family val="1"/>
    </font>
    <font>
      <sz val="11"/>
      <name val="Times"/>
      <family val="1"/>
    </font>
    <font>
      <sz val="11"/>
      <color theme="3"/>
      <name val="Times New Roman"/>
      <family val="1"/>
    </font>
    <font>
      <b/>
      <sz val="10"/>
      <color indexed="81"/>
      <name val="Tahoma"/>
      <family val="2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70C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FEE9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1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  <xf numFmtId="38" fontId="3" fillId="0" borderId="0" applyFont="0" applyFill="0" applyBorder="0" applyAlignment="0" applyProtection="0">
      <alignment vertical="center"/>
    </xf>
    <xf numFmtId="40" fontId="3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/>
    <xf numFmtId="0" fontId="11" fillId="0" borderId="0"/>
    <xf numFmtId="0" fontId="3" fillId="0" borderId="0" applyBorder="0"/>
    <xf numFmtId="38" fontId="3" fillId="0" borderId="0" applyFont="0" applyFill="0" applyBorder="0" applyAlignment="0" applyProtection="0"/>
  </cellStyleXfs>
  <cellXfs count="323">
    <xf numFmtId="0" fontId="0" fillId="0" borderId="0" xfId="0">
      <alignment vertical="center"/>
    </xf>
    <xf numFmtId="0" fontId="13" fillId="0" borderId="0" xfId="0" applyFont="1">
      <alignment vertical="center"/>
    </xf>
    <xf numFmtId="0" fontId="13" fillId="3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0" fontId="14" fillId="3" borderId="0" xfId="0" applyFont="1" applyFill="1">
      <alignment vertical="center"/>
    </xf>
    <xf numFmtId="38" fontId="13" fillId="0" borderId="0" xfId="0" applyNumberFormat="1" applyFont="1">
      <alignment vertical="center"/>
    </xf>
    <xf numFmtId="0" fontId="13" fillId="3" borderId="12" xfId="0" applyFont="1" applyFill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3" fillId="3" borderId="9" xfId="0" applyFont="1" applyFill="1" applyBorder="1">
      <alignment vertical="center"/>
    </xf>
    <xf numFmtId="40" fontId="4" fillId="0" borderId="7" xfId="1" applyNumberFormat="1" applyFont="1" applyFill="1" applyBorder="1">
      <alignment vertical="center"/>
    </xf>
    <xf numFmtId="40" fontId="4" fillId="0" borderId="14" xfId="0" applyNumberFormat="1" applyFont="1" applyBorder="1">
      <alignment vertical="center"/>
    </xf>
    <xf numFmtId="40" fontId="15" fillId="3" borderId="7" xfId="1" applyNumberFormat="1" applyFont="1" applyFill="1" applyBorder="1">
      <alignment vertical="center"/>
    </xf>
    <xf numFmtId="40" fontId="15" fillId="3" borderId="14" xfId="0" applyNumberFormat="1" applyFont="1" applyFill="1" applyBorder="1">
      <alignment vertical="center"/>
    </xf>
    <xf numFmtId="0" fontId="13" fillId="0" borderId="5" xfId="0" applyFont="1" applyBorder="1">
      <alignment vertical="center"/>
    </xf>
    <xf numFmtId="0" fontId="13" fillId="3" borderId="5" xfId="0" applyFont="1" applyFill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3" fillId="0" borderId="16" xfId="0" applyFont="1" applyBorder="1">
      <alignment vertical="center"/>
    </xf>
    <xf numFmtId="0" fontId="13" fillId="0" borderId="27" xfId="0" applyFont="1" applyBorder="1">
      <alignment vertical="center"/>
    </xf>
    <xf numFmtId="0" fontId="4" fillId="0" borderId="16" xfId="0" applyFont="1" applyBorder="1">
      <alignment vertical="center"/>
    </xf>
    <xf numFmtId="10" fontId="13" fillId="3" borderId="17" xfId="7" applyNumberFormat="1" applyFont="1" applyFill="1" applyBorder="1">
      <alignment vertical="center"/>
    </xf>
    <xf numFmtId="40" fontId="4" fillId="0" borderId="24" xfId="1" applyNumberFormat="1" applyFont="1" applyFill="1" applyBorder="1">
      <alignment vertical="center"/>
    </xf>
    <xf numFmtId="40" fontId="4" fillId="0" borderId="18" xfId="1" applyNumberFormat="1" applyFont="1" applyFill="1" applyBorder="1">
      <alignment vertical="center"/>
    </xf>
    <xf numFmtId="40" fontId="4" fillId="3" borderId="24" xfId="1" applyNumberFormat="1" applyFont="1" applyFill="1" applyBorder="1">
      <alignment vertical="center"/>
    </xf>
    <xf numFmtId="40" fontId="4" fillId="3" borderId="25" xfId="1" applyNumberFormat="1" applyFont="1" applyFill="1" applyBorder="1">
      <alignment vertical="center"/>
    </xf>
    <xf numFmtId="0" fontId="13" fillId="0" borderId="19" xfId="0" applyFont="1" applyBorder="1">
      <alignment vertical="center"/>
    </xf>
    <xf numFmtId="0" fontId="4" fillId="0" borderId="19" xfId="0" applyFont="1" applyBorder="1">
      <alignment vertical="center"/>
    </xf>
    <xf numFmtId="40" fontId="4" fillId="0" borderId="20" xfId="1" applyNumberFormat="1" applyFont="1" applyFill="1" applyBorder="1">
      <alignment vertical="center"/>
    </xf>
    <xf numFmtId="40" fontId="4" fillId="0" borderId="21" xfId="1" applyNumberFormat="1" applyFont="1" applyFill="1" applyBorder="1">
      <alignment vertical="center"/>
    </xf>
    <xf numFmtId="40" fontId="4" fillId="3" borderId="20" xfId="1" applyNumberFormat="1" applyFont="1" applyFill="1" applyBorder="1">
      <alignment vertical="center"/>
    </xf>
    <xf numFmtId="40" fontId="4" fillId="3" borderId="21" xfId="1" applyNumberFormat="1" applyFont="1" applyFill="1" applyBorder="1">
      <alignment vertical="center"/>
    </xf>
    <xf numFmtId="0" fontId="15" fillId="0" borderId="19" xfId="0" applyFont="1" applyBorder="1">
      <alignment vertical="center"/>
    </xf>
    <xf numFmtId="40" fontId="4" fillId="4" borderId="20" xfId="1" applyNumberFormat="1" applyFont="1" applyFill="1" applyBorder="1">
      <alignment vertical="center"/>
    </xf>
    <xf numFmtId="40" fontId="4" fillId="4" borderId="21" xfId="1" applyNumberFormat="1" applyFont="1" applyFill="1" applyBorder="1">
      <alignment vertical="center"/>
    </xf>
    <xf numFmtId="0" fontId="13" fillId="4" borderId="0" xfId="0" applyFont="1" applyFill="1">
      <alignment vertical="center"/>
    </xf>
    <xf numFmtId="0" fontId="4" fillId="0" borderId="27" xfId="0" applyFont="1" applyBorder="1">
      <alignment vertical="center"/>
    </xf>
    <xf numFmtId="0" fontId="13" fillId="4" borderId="19" xfId="0" applyFont="1" applyFill="1" applyBorder="1">
      <alignment vertical="center"/>
    </xf>
    <xf numFmtId="0" fontId="4" fillId="4" borderId="19" xfId="0" applyFont="1" applyFill="1" applyBorder="1">
      <alignment vertical="center"/>
    </xf>
    <xf numFmtId="0" fontId="13" fillId="0" borderId="28" xfId="0" applyFont="1" applyBorder="1">
      <alignment vertical="center"/>
    </xf>
    <xf numFmtId="0" fontId="13" fillId="6" borderId="19" xfId="0" applyFont="1" applyFill="1" applyBorder="1">
      <alignment vertical="center"/>
    </xf>
    <xf numFmtId="0" fontId="4" fillId="6" borderId="19" xfId="0" applyFont="1" applyFill="1" applyBorder="1">
      <alignment vertical="center"/>
    </xf>
    <xf numFmtId="0" fontId="13" fillId="6" borderId="0" xfId="0" applyFont="1" applyFill="1">
      <alignment vertical="center"/>
    </xf>
    <xf numFmtId="10" fontId="13" fillId="3" borderId="26" xfId="7" applyNumberFormat="1" applyFont="1" applyFill="1" applyBorder="1">
      <alignment vertical="center"/>
    </xf>
    <xf numFmtId="10" fontId="13" fillId="3" borderId="0" xfId="7" applyNumberFormat="1" applyFont="1" applyFill="1">
      <alignment vertical="center"/>
    </xf>
    <xf numFmtId="0" fontId="13" fillId="0" borderId="22" xfId="0" applyFont="1" applyBorder="1">
      <alignment vertical="center"/>
    </xf>
    <xf numFmtId="40" fontId="4" fillId="0" borderId="23" xfId="1" applyNumberFormat="1" applyFont="1" applyFill="1" applyBorder="1">
      <alignment vertical="center"/>
    </xf>
    <xf numFmtId="10" fontId="13" fillId="3" borderId="5" xfId="0" applyNumberFormat="1" applyFont="1" applyFill="1" applyBorder="1">
      <alignment vertical="center"/>
    </xf>
    <xf numFmtId="40" fontId="4" fillId="0" borderId="8" xfId="0" applyNumberFormat="1" applyFont="1" applyBorder="1">
      <alignment vertical="center"/>
    </xf>
    <xf numFmtId="40" fontId="4" fillId="0" borderId="15" xfId="0" applyNumberFormat="1" applyFont="1" applyBorder="1">
      <alignment vertical="center"/>
    </xf>
    <xf numFmtId="40" fontId="4" fillId="3" borderId="8" xfId="0" applyNumberFormat="1" applyFont="1" applyFill="1" applyBorder="1">
      <alignment vertical="center"/>
    </xf>
    <xf numFmtId="40" fontId="4" fillId="3" borderId="15" xfId="0" applyNumberFormat="1" applyFont="1" applyFill="1" applyBorder="1">
      <alignment vertical="center"/>
    </xf>
    <xf numFmtId="164" fontId="13" fillId="0" borderId="8" xfId="0" applyNumberFormat="1" applyFont="1" applyBorder="1" applyAlignment="1">
      <alignment horizontal="center" vertical="center"/>
    </xf>
    <xf numFmtId="164" fontId="13" fillId="0" borderId="15" xfId="0" applyNumberFormat="1" applyFont="1" applyBorder="1" applyAlignment="1">
      <alignment horizontal="center" vertical="center"/>
    </xf>
    <xf numFmtId="164" fontId="13" fillId="3" borderId="8" xfId="0" applyNumberFormat="1" applyFont="1" applyFill="1" applyBorder="1" applyAlignment="1">
      <alignment horizontal="center" vertical="center"/>
    </xf>
    <xf numFmtId="164" fontId="13" fillId="3" borderId="15" xfId="0" applyNumberFormat="1" applyFont="1" applyFill="1" applyBorder="1" applyAlignment="1">
      <alignment horizontal="center" vertical="center"/>
    </xf>
    <xf numFmtId="40" fontId="13" fillId="8" borderId="3" xfId="0" applyNumberFormat="1" applyFont="1" applyFill="1" applyBorder="1">
      <alignment vertical="center"/>
    </xf>
    <xf numFmtId="10" fontId="13" fillId="0" borderId="0" xfId="7" applyNumberFormat="1" applyFont="1">
      <alignment vertical="center"/>
    </xf>
    <xf numFmtId="40" fontId="13" fillId="3" borderId="0" xfId="0" applyNumberFormat="1" applyFont="1" applyFill="1">
      <alignment vertical="center"/>
    </xf>
    <xf numFmtId="0" fontId="13" fillId="7" borderId="19" xfId="0" applyFont="1" applyFill="1" applyBorder="1">
      <alignment vertical="center"/>
    </xf>
    <xf numFmtId="0" fontId="4" fillId="7" borderId="19" xfId="0" applyFont="1" applyFill="1" applyBorder="1">
      <alignment vertical="center"/>
    </xf>
    <xf numFmtId="10" fontId="13" fillId="7" borderId="17" xfId="7" applyNumberFormat="1" applyFont="1" applyFill="1" applyBorder="1">
      <alignment vertical="center"/>
    </xf>
    <xf numFmtId="40" fontId="4" fillId="7" borderId="20" xfId="1" applyNumberFormat="1" applyFont="1" applyFill="1" applyBorder="1">
      <alignment vertical="center"/>
    </xf>
    <xf numFmtId="40" fontId="4" fillId="7" borderId="21" xfId="1" applyNumberFormat="1" applyFont="1" applyFill="1" applyBorder="1">
      <alignment vertical="center"/>
    </xf>
    <xf numFmtId="0" fontId="4" fillId="7" borderId="19" xfId="0" applyFont="1" applyFill="1" applyBorder="1" applyAlignment="1">
      <alignment horizontal="left" vertical="center" indent="1" shrinkToFit="1"/>
    </xf>
    <xf numFmtId="0" fontId="16" fillId="0" borderId="0" xfId="0" applyFont="1" applyAlignment="1" applyProtection="1">
      <protection locked="0"/>
    </xf>
    <xf numFmtId="38" fontId="16" fillId="0" borderId="0" xfId="0" applyNumberFormat="1" applyFont="1" applyAlignment="1" applyProtection="1">
      <protection locked="0"/>
    </xf>
    <xf numFmtId="0" fontId="4" fillId="0" borderId="0" xfId="10" applyFont="1" applyProtection="1">
      <protection locked="0"/>
    </xf>
    <xf numFmtId="0" fontId="17" fillId="0" borderId="0" xfId="10" applyFont="1" applyProtection="1">
      <protection locked="0"/>
    </xf>
    <xf numFmtId="0" fontId="17" fillId="0" borderId="0" xfId="10" applyFont="1" applyAlignment="1" applyProtection="1">
      <alignment horizontal="right" vertical="center"/>
      <protection locked="0"/>
    </xf>
    <xf numFmtId="0" fontId="4" fillId="0" borderId="16" xfId="10" applyFont="1" applyBorder="1" applyAlignment="1" applyProtection="1">
      <alignment horizontal="left" vertical="center"/>
      <protection locked="0"/>
    </xf>
    <xf numFmtId="38" fontId="4" fillId="0" borderId="16" xfId="0" applyNumberFormat="1" applyFont="1" applyBorder="1" applyProtection="1">
      <alignment vertical="center"/>
      <protection locked="0"/>
    </xf>
    <xf numFmtId="167" fontId="4" fillId="0" borderId="16" xfId="10" applyNumberFormat="1" applyFont="1" applyBorder="1" applyAlignment="1" applyProtection="1">
      <alignment horizontal="right" vertical="center"/>
      <protection locked="0"/>
    </xf>
    <xf numFmtId="38" fontId="4" fillId="0" borderId="38" xfId="0" applyNumberFormat="1" applyFont="1" applyBorder="1" applyProtection="1">
      <alignment vertical="center"/>
      <protection locked="0"/>
    </xf>
    <xf numFmtId="0" fontId="4" fillId="0" borderId="35" xfId="10" applyFont="1" applyBorder="1" applyAlignment="1" applyProtection="1">
      <alignment horizontal="center" vertical="center"/>
      <protection locked="0"/>
    </xf>
    <xf numFmtId="0" fontId="4" fillId="0" borderId="35" xfId="10" applyFont="1" applyBorder="1" applyAlignment="1" applyProtection="1">
      <alignment horizontal="left" vertical="center"/>
      <protection locked="0"/>
    </xf>
    <xf numFmtId="0" fontId="4" fillId="0" borderId="12" xfId="10" applyFont="1" applyBorder="1" applyAlignment="1">
      <alignment horizontal="center" vertical="center"/>
    </xf>
    <xf numFmtId="0" fontId="4" fillId="0" borderId="37" xfId="10" applyFont="1" applyBorder="1" applyAlignment="1">
      <alignment horizontal="center" vertical="center"/>
    </xf>
    <xf numFmtId="0" fontId="4" fillId="0" borderId="2" xfId="10" applyFont="1" applyBorder="1" applyAlignment="1" applyProtection="1">
      <alignment horizontal="left" vertical="center"/>
      <protection locked="0"/>
    </xf>
    <xf numFmtId="167" fontId="4" fillId="0" borderId="22" xfId="10" applyNumberFormat="1" applyFont="1" applyBorder="1" applyAlignment="1" applyProtection="1">
      <alignment horizontal="right" vertical="center"/>
      <protection locked="0"/>
    </xf>
    <xf numFmtId="0" fontId="4" fillId="4" borderId="12" xfId="10" applyFont="1" applyFill="1" applyBorder="1" applyAlignment="1">
      <alignment horizontal="center" vertical="center"/>
    </xf>
    <xf numFmtId="0" fontId="4" fillId="4" borderId="16" xfId="10" applyFont="1" applyFill="1" applyBorder="1" applyAlignment="1" applyProtection="1">
      <alignment horizontal="left" vertical="center"/>
      <protection locked="0"/>
    </xf>
    <xf numFmtId="0" fontId="4" fillId="4" borderId="0" xfId="10" applyFont="1" applyFill="1" applyProtection="1">
      <protection locked="0"/>
    </xf>
    <xf numFmtId="0" fontId="4" fillId="4" borderId="37" xfId="10" applyFont="1" applyFill="1" applyBorder="1" applyAlignment="1">
      <alignment horizontal="center" vertical="center"/>
    </xf>
    <xf numFmtId="0" fontId="4" fillId="4" borderId="2" xfId="10" applyFont="1" applyFill="1" applyBorder="1" applyAlignment="1" applyProtection="1">
      <alignment horizontal="left" vertical="center"/>
      <protection locked="0"/>
    </xf>
    <xf numFmtId="0" fontId="4" fillId="0" borderId="27" xfId="10" applyFont="1" applyBorder="1" applyAlignment="1">
      <alignment horizontal="center" vertical="center"/>
    </xf>
    <xf numFmtId="0" fontId="4" fillId="0" borderId="22" xfId="10" applyFont="1" applyBorder="1" applyAlignment="1">
      <alignment horizontal="center" vertical="center"/>
    </xf>
    <xf numFmtId="0" fontId="4" fillId="10" borderId="27" xfId="10" applyFont="1" applyFill="1" applyBorder="1" applyAlignment="1">
      <alignment horizontal="center" vertical="center"/>
    </xf>
    <xf numFmtId="0" fontId="4" fillId="10" borderId="16" xfId="10" applyFont="1" applyFill="1" applyBorder="1" applyAlignment="1" applyProtection="1">
      <alignment horizontal="left" vertical="center"/>
      <protection locked="0"/>
    </xf>
    <xf numFmtId="167" fontId="4" fillId="10" borderId="16" xfId="10" applyNumberFormat="1" applyFont="1" applyFill="1" applyBorder="1" applyAlignment="1" applyProtection="1">
      <alignment horizontal="right" vertical="center"/>
      <protection locked="0"/>
    </xf>
    <xf numFmtId="0" fontId="4" fillId="10" borderId="22" xfId="10" applyFont="1" applyFill="1" applyBorder="1" applyAlignment="1">
      <alignment horizontal="center" vertical="center"/>
    </xf>
    <xf numFmtId="0" fontId="4" fillId="10" borderId="2" xfId="10" applyFont="1" applyFill="1" applyBorder="1" applyAlignment="1" applyProtection="1">
      <alignment horizontal="left" vertical="center"/>
      <protection locked="0"/>
    </xf>
    <xf numFmtId="167" fontId="4" fillId="10" borderId="22" xfId="10" applyNumberFormat="1" applyFont="1" applyFill="1" applyBorder="1" applyAlignment="1" applyProtection="1">
      <alignment horizontal="right" vertical="center"/>
      <protection locked="0"/>
    </xf>
    <xf numFmtId="0" fontId="13" fillId="0" borderId="22" xfId="10" applyFont="1" applyBorder="1" applyAlignment="1">
      <alignment horizontal="center" vertical="center"/>
    </xf>
    <xf numFmtId="0" fontId="4" fillId="4" borderId="27" xfId="10" applyFont="1" applyFill="1" applyBorder="1" applyAlignment="1">
      <alignment horizontal="center" vertical="center"/>
    </xf>
    <xf numFmtId="0" fontId="4" fillId="4" borderId="22" xfId="10" applyFont="1" applyFill="1" applyBorder="1" applyAlignment="1">
      <alignment horizontal="center" vertical="center"/>
    </xf>
    <xf numFmtId="0" fontId="4" fillId="11" borderId="27" xfId="10" applyFont="1" applyFill="1" applyBorder="1" applyAlignment="1">
      <alignment horizontal="center" vertical="center"/>
    </xf>
    <xf numFmtId="0" fontId="4" fillId="11" borderId="16" xfId="10" applyFont="1" applyFill="1" applyBorder="1" applyAlignment="1" applyProtection="1">
      <alignment horizontal="left" vertical="center"/>
      <protection locked="0"/>
    </xf>
    <xf numFmtId="167" fontId="4" fillId="11" borderId="16" xfId="10" applyNumberFormat="1" applyFont="1" applyFill="1" applyBorder="1" applyAlignment="1" applyProtection="1">
      <alignment horizontal="right" vertical="center"/>
      <protection locked="0"/>
    </xf>
    <xf numFmtId="0" fontId="4" fillId="11" borderId="22" xfId="10" applyFont="1" applyFill="1" applyBorder="1" applyAlignment="1">
      <alignment horizontal="center" vertical="center"/>
    </xf>
    <xf numFmtId="0" fontId="4" fillId="11" borderId="2" xfId="10" applyFont="1" applyFill="1" applyBorder="1" applyAlignment="1" applyProtection="1">
      <alignment horizontal="left" vertical="center"/>
      <protection locked="0"/>
    </xf>
    <xf numFmtId="167" fontId="4" fillId="11" borderId="22" xfId="10" applyNumberFormat="1" applyFont="1" applyFill="1" applyBorder="1" applyAlignment="1" applyProtection="1">
      <alignment horizontal="right" vertical="center"/>
      <protection locked="0"/>
    </xf>
    <xf numFmtId="0" fontId="4" fillId="0" borderId="16" xfId="10" applyFont="1" applyBorder="1" applyAlignment="1">
      <alignment horizontal="center" vertical="center"/>
    </xf>
    <xf numFmtId="0" fontId="4" fillId="0" borderId="36" xfId="10" applyFont="1" applyBorder="1" applyAlignment="1" applyProtection="1">
      <alignment horizontal="left" vertical="center"/>
      <protection locked="0"/>
    </xf>
    <xf numFmtId="0" fontId="4" fillId="0" borderId="4" xfId="10" applyFont="1" applyBorder="1" applyAlignment="1" applyProtection="1">
      <alignment horizontal="left" vertical="center"/>
      <protection locked="0"/>
    </xf>
    <xf numFmtId="0" fontId="4" fillId="0" borderId="39" xfId="10" applyFont="1" applyBorder="1" applyAlignment="1">
      <alignment horizontal="center" vertical="center"/>
    </xf>
    <xf numFmtId="0" fontId="4" fillId="0" borderId="30" xfId="10" applyFont="1" applyBorder="1" applyAlignment="1" applyProtection="1">
      <alignment horizontal="center" vertical="center"/>
      <protection locked="0"/>
    </xf>
    <xf numFmtId="167" fontId="4" fillId="0" borderId="0" xfId="10" applyNumberFormat="1" applyFont="1" applyProtection="1">
      <protection locked="0"/>
    </xf>
    <xf numFmtId="0" fontId="4" fillId="0" borderId="0" xfId="10" applyFont="1" applyAlignment="1" applyProtection="1">
      <alignment horizontal="center"/>
      <protection locked="0"/>
    </xf>
    <xf numFmtId="0" fontId="4" fillId="0" borderId="0" xfId="10" applyFont="1" applyBorder="1" applyAlignment="1" applyProtection="1">
      <alignment horizontal="center" vertical="center"/>
      <protection locked="0"/>
    </xf>
    <xf numFmtId="0" fontId="17" fillId="0" borderId="0" xfId="10" applyFont="1" applyAlignment="1" applyProtection="1">
      <alignment horizontal="center" vertical="center"/>
      <protection locked="0"/>
    </xf>
    <xf numFmtId="0" fontId="17" fillId="0" borderId="0" xfId="10" applyFont="1" applyAlignment="1" applyProtection="1">
      <alignment horizontal="left" vertical="center"/>
      <protection locked="0"/>
    </xf>
    <xf numFmtId="0" fontId="4" fillId="0" borderId="0" xfId="0" applyFont="1" applyAlignment="1" applyProtection="1">
      <protection locked="0"/>
    </xf>
    <xf numFmtId="0" fontId="4" fillId="0" borderId="27" xfId="10" applyFont="1" applyBorder="1" applyAlignment="1" applyProtection="1">
      <alignment horizontal="left" vertical="center"/>
      <protection locked="0"/>
    </xf>
    <xf numFmtId="40" fontId="4" fillId="0" borderId="16" xfId="10" applyNumberFormat="1" applyFont="1" applyBorder="1" applyAlignment="1" applyProtection="1">
      <alignment vertical="center"/>
      <protection locked="0"/>
    </xf>
    <xf numFmtId="0" fontId="4" fillId="0" borderId="33" xfId="10" applyFont="1" applyBorder="1" applyAlignment="1" applyProtection="1">
      <alignment horizontal="left" vertical="center"/>
      <protection locked="0"/>
    </xf>
    <xf numFmtId="40" fontId="4" fillId="0" borderId="38" xfId="10" applyNumberFormat="1" applyFont="1" applyBorder="1" applyAlignment="1" applyProtection="1">
      <alignment vertical="center"/>
      <protection locked="0"/>
    </xf>
    <xf numFmtId="0" fontId="4" fillId="0" borderId="34" xfId="10" applyFont="1" applyBorder="1" applyAlignment="1" applyProtection="1">
      <alignment horizontal="center" vertical="center"/>
      <protection locked="0"/>
    </xf>
    <xf numFmtId="40" fontId="4" fillId="0" borderId="35" xfId="10" applyNumberFormat="1" applyFont="1" applyBorder="1" applyAlignment="1" applyProtection="1">
      <alignment vertical="center"/>
      <protection locked="0"/>
    </xf>
    <xf numFmtId="165" fontId="4" fillId="0" borderId="36" xfId="10" applyNumberFormat="1" applyFont="1" applyBorder="1" applyAlignment="1" applyProtection="1">
      <alignment horizontal="right" vertical="center"/>
      <protection locked="0"/>
    </xf>
    <xf numFmtId="165" fontId="4" fillId="0" borderId="2" xfId="10" applyNumberFormat="1" applyFont="1" applyBorder="1" applyAlignment="1" applyProtection="1">
      <alignment horizontal="right" vertical="center"/>
      <protection locked="0"/>
    </xf>
    <xf numFmtId="0" fontId="4" fillId="10" borderId="12" xfId="10" applyFont="1" applyFill="1" applyBorder="1" applyAlignment="1">
      <alignment horizontal="center" vertical="center"/>
    </xf>
    <xf numFmtId="166" fontId="4" fillId="0" borderId="16" xfId="10" applyNumberFormat="1" applyFont="1" applyBorder="1" applyAlignment="1">
      <alignment horizontal="center" vertical="center"/>
    </xf>
    <xf numFmtId="166" fontId="4" fillId="0" borderId="36" xfId="10" applyNumberFormat="1" applyFont="1" applyBorder="1" applyAlignment="1" applyProtection="1">
      <alignment horizontal="left" vertical="center"/>
      <protection locked="0"/>
    </xf>
    <xf numFmtId="40" fontId="4" fillId="0" borderId="0" xfId="10" applyNumberFormat="1" applyFont="1" applyProtection="1">
      <protection locked="0"/>
    </xf>
    <xf numFmtId="0" fontId="16" fillId="4" borderId="0" xfId="0" applyFont="1" applyFill="1" applyAlignment="1" applyProtection="1">
      <protection locked="0"/>
    </xf>
    <xf numFmtId="3" fontId="16" fillId="0" borderId="0" xfId="0" applyNumberFormat="1" applyFont="1" applyAlignment="1" applyProtection="1">
      <protection locked="0"/>
    </xf>
    <xf numFmtId="38" fontId="18" fillId="0" borderId="0" xfId="0" applyNumberFormat="1" applyFont="1" applyAlignment="1" applyProtection="1">
      <protection locked="0"/>
    </xf>
    <xf numFmtId="0" fontId="19" fillId="0" borderId="0" xfId="10" applyFont="1" applyProtection="1">
      <protection locked="0"/>
    </xf>
    <xf numFmtId="0" fontId="19" fillId="0" borderId="0" xfId="10" applyFont="1" applyAlignment="1" applyProtection="1">
      <alignment horizontal="center" vertical="center"/>
      <protection locked="0"/>
    </xf>
    <xf numFmtId="0" fontId="19" fillId="0" borderId="0" xfId="10" applyFont="1" applyAlignment="1" applyProtection="1">
      <alignment horizontal="left" vertical="center"/>
      <protection locked="0"/>
    </xf>
    <xf numFmtId="0" fontId="19" fillId="0" borderId="0" xfId="10" applyFont="1" applyAlignment="1" applyProtection="1">
      <alignment horizontal="right" vertical="center"/>
      <protection locked="0"/>
    </xf>
    <xf numFmtId="0" fontId="20" fillId="0" borderId="0" xfId="10" applyFont="1" applyAlignment="1" applyProtection="1">
      <alignment horizontal="left" vertical="center"/>
      <protection locked="0"/>
    </xf>
    <xf numFmtId="0" fontId="20" fillId="0" borderId="0" xfId="10" applyFont="1" applyProtection="1">
      <protection locked="0"/>
    </xf>
    <xf numFmtId="0" fontId="20" fillId="0" borderId="27" xfId="10" applyFont="1" applyBorder="1" applyAlignment="1" applyProtection="1">
      <alignment horizontal="left" vertical="center"/>
      <protection locked="0"/>
    </xf>
    <xf numFmtId="40" fontId="20" fillId="0" borderId="16" xfId="10" applyNumberFormat="1" applyFont="1" applyBorder="1" applyAlignment="1" applyProtection="1">
      <alignment vertical="center"/>
      <protection locked="0"/>
    </xf>
    <xf numFmtId="40" fontId="20" fillId="0" borderId="0" xfId="10" applyNumberFormat="1" applyFont="1" applyProtection="1">
      <protection locked="0"/>
    </xf>
    <xf numFmtId="0" fontId="20" fillId="0" borderId="33" xfId="10" applyFont="1" applyBorder="1" applyAlignment="1" applyProtection="1">
      <alignment horizontal="left" vertical="center"/>
      <protection locked="0"/>
    </xf>
    <xf numFmtId="0" fontId="20" fillId="0" borderId="34" xfId="10" applyFont="1" applyBorder="1" applyAlignment="1" applyProtection="1">
      <alignment horizontal="center" vertical="center"/>
      <protection locked="0"/>
    </xf>
    <xf numFmtId="0" fontId="20" fillId="0" borderId="35" xfId="10" applyFont="1" applyBorder="1" applyAlignment="1" applyProtection="1">
      <alignment horizontal="center" vertical="center"/>
      <protection locked="0"/>
    </xf>
    <xf numFmtId="0" fontId="20" fillId="0" borderId="35" xfId="10" applyFont="1" applyBorder="1" applyAlignment="1" applyProtection="1">
      <alignment horizontal="left" vertical="center"/>
      <protection locked="0"/>
    </xf>
    <xf numFmtId="40" fontId="20" fillId="0" borderId="35" xfId="10" applyNumberFormat="1" applyFont="1" applyBorder="1" applyAlignment="1" applyProtection="1">
      <alignment vertical="center"/>
      <protection locked="0"/>
    </xf>
    <xf numFmtId="0" fontId="20" fillId="0" borderId="12" xfId="10" applyFont="1" applyBorder="1" applyAlignment="1">
      <alignment horizontal="center" vertical="center"/>
    </xf>
    <xf numFmtId="0" fontId="20" fillId="0" borderId="16" xfId="10" applyFont="1" applyBorder="1" applyAlignment="1" applyProtection="1">
      <alignment horizontal="left" vertical="center"/>
      <protection locked="0"/>
    </xf>
    <xf numFmtId="0" fontId="20" fillId="0" borderId="37" xfId="10" applyFont="1" applyBorder="1" applyAlignment="1">
      <alignment horizontal="center" vertical="center"/>
    </xf>
    <xf numFmtId="0" fontId="20" fillId="0" borderId="2" xfId="10" applyFont="1" applyBorder="1" applyAlignment="1" applyProtection="1">
      <alignment horizontal="left" vertical="center"/>
      <protection locked="0"/>
    </xf>
    <xf numFmtId="0" fontId="20" fillId="4" borderId="12" xfId="10" applyFont="1" applyFill="1" applyBorder="1" applyAlignment="1">
      <alignment horizontal="center" vertical="center"/>
    </xf>
    <xf numFmtId="0" fontId="20" fillId="4" borderId="16" xfId="10" applyFont="1" applyFill="1" applyBorder="1" applyAlignment="1" applyProtection="1">
      <alignment horizontal="left" vertical="center"/>
      <protection locked="0"/>
    </xf>
    <xf numFmtId="0" fontId="20" fillId="4" borderId="0" xfId="10" applyFont="1" applyFill="1" applyProtection="1">
      <protection locked="0"/>
    </xf>
    <xf numFmtId="0" fontId="20" fillId="4" borderId="37" xfId="10" applyFont="1" applyFill="1" applyBorder="1" applyAlignment="1">
      <alignment horizontal="center" vertical="center"/>
    </xf>
    <xf numFmtId="0" fontId="20" fillId="4" borderId="2" xfId="10" applyFont="1" applyFill="1" applyBorder="1" applyAlignment="1" applyProtection="1">
      <alignment horizontal="left" vertical="center"/>
      <protection locked="0"/>
    </xf>
    <xf numFmtId="0" fontId="20" fillId="0" borderId="27" xfId="10" applyFont="1" applyBorder="1" applyAlignment="1">
      <alignment horizontal="center" vertical="center"/>
    </xf>
    <xf numFmtId="0" fontId="20" fillId="0" borderId="22" xfId="10" applyFont="1" applyBorder="1" applyAlignment="1">
      <alignment horizontal="center" vertical="center"/>
    </xf>
    <xf numFmtId="0" fontId="4" fillId="4" borderId="5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left" vertical="center"/>
      <protection locked="0"/>
    </xf>
    <xf numFmtId="0" fontId="4" fillId="0" borderId="33" xfId="0" applyFont="1" applyBorder="1" applyAlignment="1" applyProtection="1">
      <alignment horizontal="left" vertical="center"/>
      <protection locked="0"/>
    </xf>
    <xf numFmtId="3" fontId="13" fillId="0" borderId="0" xfId="0" applyNumberFormat="1" applyFont="1">
      <alignment vertical="center"/>
    </xf>
    <xf numFmtId="3" fontId="13" fillId="0" borderId="0" xfId="1" applyNumberFormat="1" applyFont="1" applyFill="1">
      <alignment vertical="center"/>
    </xf>
    <xf numFmtId="38" fontId="13" fillId="0" borderId="0" xfId="1" applyFont="1" applyFill="1">
      <alignment vertical="center"/>
    </xf>
    <xf numFmtId="38" fontId="13" fillId="0" borderId="0" xfId="1" applyFont="1" applyFill="1" applyBorder="1" applyAlignment="1">
      <alignment horizontal="center" vertical="center"/>
    </xf>
    <xf numFmtId="38" fontId="15" fillId="0" borderId="4" xfId="1" applyFont="1" applyFill="1" applyBorder="1" applyAlignment="1">
      <alignment horizontal="center" vertical="center"/>
    </xf>
    <xf numFmtId="0" fontId="13" fillId="12" borderId="40" xfId="0" applyFont="1" applyFill="1" applyBorder="1" applyAlignment="1">
      <alignment horizontal="center" vertical="center"/>
    </xf>
    <xf numFmtId="0" fontId="13" fillId="12" borderId="14" xfId="0" applyFont="1" applyFill="1" applyBorder="1" applyAlignment="1">
      <alignment horizontal="center" vertical="center"/>
    </xf>
    <xf numFmtId="38" fontId="13" fillId="0" borderId="12" xfId="1" applyFont="1" applyFill="1" applyBorder="1" applyAlignment="1">
      <alignment horizontal="center" vertical="center"/>
    </xf>
    <xf numFmtId="38" fontId="13" fillId="0" borderId="30" xfId="1" applyFont="1" applyFill="1" applyBorder="1" applyAlignment="1">
      <alignment horizontal="center" vertical="center"/>
    </xf>
    <xf numFmtId="38" fontId="15" fillId="0" borderId="31" xfId="1" applyFont="1" applyFill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1" xfId="0" applyFont="1" applyBorder="1" applyAlignment="1">
      <alignment horizontal="right" vertical="center"/>
    </xf>
    <xf numFmtId="38" fontId="13" fillId="0" borderId="4" xfId="1" applyFont="1" applyFill="1" applyBorder="1">
      <alignment vertical="center"/>
    </xf>
    <xf numFmtId="38" fontId="4" fillId="12" borderId="40" xfId="1" applyFont="1" applyFill="1" applyBorder="1">
      <alignment vertical="center"/>
    </xf>
    <xf numFmtId="38" fontId="15" fillId="12" borderId="14" xfId="1" applyFont="1" applyFill="1" applyBorder="1">
      <alignment vertical="center"/>
    </xf>
    <xf numFmtId="38" fontId="13" fillId="13" borderId="10" xfId="1" applyFont="1" applyFill="1" applyBorder="1" applyAlignment="1">
      <alignment horizontal="center" vertical="center"/>
    </xf>
    <xf numFmtId="38" fontId="13" fillId="0" borderId="10" xfId="1" applyFont="1" applyFill="1" applyBorder="1" applyAlignment="1">
      <alignment horizontal="center" vertical="center"/>
    </xf>
    <xf numFmtId="3" fontId="13" fillId="12" borderId="8" xfId="0" applyNumberFormat="1" applyFont="1" applyFill="1" applyBorder="1">
      <alignment vertical="center"/>
    </xf>
    <xf numFmtId="0" fontId="13" fillId="12" borderId="15" xfId="0" applyFont="1" applyFill="1" applyBorder="1">
      <alignment vertical="center"/>
    </xf>
    <xf numFmtId="10" fontId="13" fillId="0" borderId="42" xfId="7" applyNumberFormat="1" applyFont="1" applyFill="1" applyBorder="1">
      <alignment vertical="center"/>
    </xf>
    <xf numFmtId="38" fontId="13" fillId="13" borderId="43" xfId="1" applyFont="1" applyFill="1" applyBorder="1">
      <alignment vertical="center"/>
    </xf>
    <xf numFmtId="10" fontId="13" fillId="0" borderId="43" xfId="7" applyNumberFormat="1" applyFont="1" applyFill="1" applyBorder="1">
      <alignment vertical="center"/>
    </xf>
    <xf numFmtId="38" fontId="13" fillId="12" borderId="45" xfId="1" applyFont="1" applyFill="1" applyBorder="1">
      <alignment vertical="center"/>
    </xf>
    <xf numFmtId="10" fontId="13" fillId="0" borderId="46" xfId="7" applyNumberFormat="1" applyFont="1" applyFill="1" applyBorder="1">
      <alignment vertical="center"/>
    </xf>
    <xf numFmtId="10" fontId="15" fillId="0" borderId="46" xfId="7" applyNumberFormat="1" applyFont="1" applyFill="1" applyBorder="1">
      <alignment vertical="center"/>
    </xf>
    <xf numFmtId="10" fontId="21" fillId="0" borderId="46" xfId="7" applyNumberFormat="1" applyFont="1" applyFill="1" applyBorder="1">
      <alignment vertical="center"/>
    </xf>
    <xf numFmtId="10" fontId="13" fillId="5" borderId="46" xfId="7" applyNumberFormat="1" applyFont="1" applyFill="1" applyBorder="1">
      <alignment vertical="center"/>
    </xf>
    <xf numFmtId="38" fontId="13" fillId="5" borderId="43" xfId="1" applyFont="1" applyFill="1" applyBorder="1">
      <alignment vertical="center"/>
    </xf>
    <xf numFmtId="10" fontId="13" fillId="5" borderId="43" xfId="7" applyNumberFormat="1" applyFont="1" applyFill="1" applyBorder="1">
      <alignment vertical="center"/>
    </xf>
    <xf numFmtId="10" fontId="4" fillId="5" borderId="46" xfId="7" applyNumberFormat="1" applyFont="1" applyFill="1" applyBorder="1">
      <alignment vertical="center"/>
    </xf>
    <xf numFmtId="38" fontId="4" fillId="5" borderId="44" xfId="1" applyFont="1" applyFill="1" applyBorder="1">
      <alignment vertical="center"/>
    </xf>
    <xf numFmtId="10" fontId="13" fillId="2" borderId="46" xfId="7" applyNumberFormat="1" applyFont="1" applyFill="1" applyBorder="1">
      <alignment vertical="center"/>
    </xf>
    <xf numFmtId="38" fontId="13" fillId="2" borderId="43" xfId="1" applyFont="1" applyFill="1" applyBorder="1">
      <alignment vertical="center"/>
    </xf>
    <xf numFmtId="10" fontId="13" fillId="2" borderId="43" xfId="7" applyNumberFormat="1" applyFont="1" applyFill="1" applyBorder="1">
      <alignment vertical="center"/>
    </xf>
    <xf numFmtId="10" fontId="13" fillId="0" borderId="47" xfId="7" applyNumberFormat="1" applyFont="1" applyFill="1" applyBorder="1">
      <alignment vertical="center"/>
    </xf>
    <xf numFmtId="10" fontId="13" fillId="0" borderId="37" xfId="0" applyNumberFormat="1" applyFont="1" applyBorder="1">
      <alignment vertical="center"/>
    </xf>
    <xf numFmtId="38" fontId="13" fillId="13" borderId="5" xfId="1" applyFont="1" applyFill="1" applyBorder="1">
      <alignment vertical="center"/>
    </xf>
    <xf numFmtId="10" fontId="13" fillId="0" borderId="1" xfId="7" applyNumberFormat="1" applyFont="1" applyFill="1" applyBorder="1">
      <alignment vertical="center"/>
    </xf>
    <xf numFmtId="38" fontId="13" fillId="12" borderId="5" xfId="0" applyNumberFormat="1" applyFont="1" applyFill="1" applyBorder="1">
      <alignment vertical="center"/>
    </xf>
    <xf numFmtId="38" fontId="13" fillId="0" borderId="0" xfId="1" applyFont="1">
      <alignment vertical="center"/>
    </xf>
    <xf numFmtId="38" fontId="13" fillId="0" borderId="1" xfId="0" applyNumberFormat="1" applyFont="1" applyBorder="1" applyAlignment="1">
      <alignment horizontal="center" vertical="center"/>
    </xf>
    <xf numFmtId="38" fontId="15" fillId="12" borderId="40" xfId="1" applyFont="1" applyFill="1" applyBorder="1">
      <alignment vertical="center"/>
    </xf>
    <xf numFmtId="0" fontId="20" fillId="0" borderId="5" xfId="10" applyFont="1" applyBorder="1" applyAlignment="1" applyProtection="1">
      <alignment horizontal="center" vertical="center"/>
      <protection locked="0"/>
    </xf>
    <xf numFmtId="165" fontId="20" fillId="0" borderId="48" xfId="10" applyNumberFormat="1" applyFont="1" applyBorder="1" applyAlignment="1" applyProtection="1">
      <alignment horizontal="right" vertical="center"/>
      <protection locked="0"/>
    </xf>
    <xf numFmtId="165" fontId="20" fillId="0" borderId="16" xfId="10" applyNumberFormat="1" applyFont="1" applyBorder="1" applyAlignment="1" applyProtection="1">
      <alignment horizontal="right" vertical="center"/>
      <protection locked="0"/>
    </xf>
    <xf numFmtId="165" fontId="20" fillId="0" borderId="22" xfId="10" applyNumberFormat="1" applyFont="1" applyBorder="1" applyAlignment="1" applyProtection="1">
      <alignment horizontal="right" vertical="center"/>
      <protection locked="0"/>
    </xf>
    <xf numFmtId="40" fontId="20" fillId="0" borderId="27" xfId="10" applyNumberFormat="1" applyFont="1" applyBorder="1" applyAlignment="1" applyProtection="1">
      <alignment vertical="center"/>
      <protection locked="0"/>
    </xf>
    <xf numFmtId="10" fontId="13" fillId="3" borderId="5" xfId="7" applyNumberFormat="1" applyFont="1" applyFill="1" applyBorder="1">
      <alignment vertical="center"/>
    </xf>
    <xf numFmtId="10" fontId="13" fillId="7" borderId="5" xfId="7" applyNumberFormat="1" applyFont="1" applyFill="1" applyBorder="1">
      <alignment vertical="center"/>
    </xf>
    <xf numFmtId="40" fontId="4" fillId="3" borderId="26" xfId="1" applyNumberFormat="1" applyFont="1" applyFill="1" applyBorder="1">
      <alignment vertical="center"/>
    </xf>
    <xf numFmtId="40" fontId="4" fillId="3" borderId="46" xfId="1" applyNumberFormat="1" applyFont="1" applyFill="1" applyBorder="1">
      <alignment vertical="center"/>
    </xf>
    <xf numFmtId="40" fontId="4" fillId="7" borderId="46" xfId="1" applyNumberFormat="1" applyFont="1" applyFill="1" applyBorder="1">
      <alignment vertical="center"/>
    </xf>
    <xf numFmtId="40" fontId="4" fillId="3" borderId="49" xfId="0" applyNumberFormat="1" applyFont="1" applyFill="1" applyBorder="1">
      <alignment vertical="center"/>
    </xf>
    <xf numFmtId="164" fontId="13" fillId="3" borderId="49" xfId="0" applyNumberFormat="1" applyFont="1" applyFill="1" applyBorder="1" applyAlignment="1">
      <alignment horizontal="center" vertical="center"/>
    </xf>
    <xf numFmtId="40" fontId="4" fillId="3" borderId="23" xfId="1" applyNumberFormat="1" applyFont="1" applyFill="1" applyBorder="1">
      <alignment vertical="center"/>
    </xf>
    <xf numFmtId="40" fontId="4" fillId="3" borderId="50" xfId="0" applyNumberFormat="1" applyFont="1" applyFill="1" applyBorder="1">
      <alignment vertical="center"/>
    </xf>
    <xf numFmtId="168" fontId="20" fillId="12" borderId="12" xfId="10" quotePrefix="1" applyNumberFormat="1" applyFont="1" applyFill="1" applyBorder="1" applyAlignment="1" applyProtection="1">
      <alignment horizontal="center" vertical="center" wrapText="1"/>
      <protection locked="0"/>
    </xf>
    <xf numFmtId="168" fontId="20" fillId="7" borderId="12" xfId="10" quotePrefix="1" applyNumberFormat="1" applyFont="1" applyFill="1" applyBorder="1" applyAlignment="1" applyProtection="1">
      <alignment horizontal="center" vertical="center" wrapText="1"/>
      <protection locked="0"/>
    </xf>
    <xf numFmtId="165" fontId="4" fillId="11" borderId="36" xfId="10" applyNumberFormat="1" applyFont="1" applyFill="1" applyBorder="1" applyAlignment="1" applyProtection="1">
      <alignment horizontal="right" vertical="center"/>
      <protection locked="0"/>
    </xf>
    <xf numFmtId="165" fontId="4" fillId="11" borderId="2" xfId="10" applyNumberFormat="1" applyFont="1" applyFill="1" applyBorder="1" applyAlignment="1" applyProtection="1">
      <alignment horizontal="right" vertical="center"/>
      <protection locked="0"/>
    </xf>
    <xf numFmtId="165" fontId="4" fillId="10" borderId="36" xfId="10" applyNumberFormat="1" applyFont="1" applyFill="1" applyBorder="1" applyAlignment="1" applyProtection="1">
      <alignment horizontal="right" vertical="center"/>
      <protection locked="0"/>
    </xf>
    <xf numFmtId="165" fontId="4" fillId="10" borderId="2" xfId="10" applyNumberFormat="1" applyFont="1" applyFill="1" applyBorder="1" applyAlignment="1" applyProtection="1">
      <alignment horizontal="right" vertical="center"/>
      <protection locked="0"/>
    </xf>
    <xf numFmtId="0" fontId="13" fillId="16" borderId="19" xfId="0" applyFont="1" applyFill="1" applyBorder="1">
      <alignment vertical="center"/>
    </xf>
    <xf numFmtId="0" fontId="4" fillId="16" borderId="19" xfId="0" applyFont="1" applyFill="1" applyBorder="1">
      <alignment vertical="center"/>
    </xf>
    <xf numFmtId="10" fontId="13" fillId="16" borderId="46" xfId="7" applyNumberFormat="1" applyFont="1" applyFill="1" applyBorder="1">
      <alignment vertical="center"/>
    </xf>
    <xf numFmtId="38" fontId="13" fillId="16" borderId="43" xfId="1" applyFont="1" applyFill="1" applyBorder="1">
      <alignment vertical="center"/>
    </xf>
    <xf numFmtId="10" fontId="13" fillId="16" borderId="43" xfId="7" applyNumberFormat="1" applyFont="1" applyFill="1" applyBorder="1">
      <alignment vertical="center"/>
    </xf>
    <xf numFmtId="0" fontId="4" fillId="15" borderId="27" xfId="10" applyFont="1" applyFill="1" applyBorder="1" applyAlignment="1">
      <alignment horizontal="center" vertical="center"/>
    </xf>
    <xf numFmtId="0" fontId="4" fillId="15" borderId="16" xfId="10" applyFont="1" applyFill="1" applyBorder="1" applyAlignment="1" applyProtection="1">
      <alignment horizontal="left" vertical="center"/>
      <protection locked="0"/>
    </xf>
    <xf numFmtId="165" fontId="4" fillId="15" borderId="36" xfId="10" applyNumberFormat="1" applyFont="1" applyFill="1" applyBorder="1" applyAlignment="1" applyProtection="1">
      <alignment horizontal="right" vertical="center"/>
      <protection locked="0"/>
    </xf>
    <xf numFmtId="0" fontId="4" fillId="15" borderId="22" xfId="10" applyFont="1" applyFill="1" applyBorder="1" applyAlignment="1">
      <alignment horizontal="center" vertical="center"/>
    </xf>
    <xf numFmtId="0" fontId="4" fillId="15" borderId="2" xfId="10" applyFont="1" applyFill="1" applyBorder="1" applyAlignment="1" applyProtection="1">
      <alignment horizontal="left" vertical="center"/>
      <protection locked="0"/>
    </xf>
    <xf numFmtId="165" fontId="4" fillId="15" borderId="2" xfId="10" applyNumberFormat="1" applyFont="1" applyFill="1" applyBorder="1" applyAlignment="1" applyProtection="1">
      <alignment horizontal="right" vertical="center"/>
      <protection locked="0"/>
    </xf>
    <xf numFmtId="167" fontId="4" fillId="15" borderId="16" xfId="10" applyNumberFormat="1" applyFont="1" applyFill="1" applyBorder="1" applyAlignment="1" applyProtection="1">
      <alignment horizontal="right" vertical="center"/>
      <protection locked="0"/>
    </xf>
    <xf numFmtId="167" fontId="4" fillId="15" borderId="22" xfId="10" applyNumberFormat="1" applyFont="1" applyFill="1" applyBorder="1" applyAlignment="1" applyProtection="1">
      <alignment horizontal="right" vertical="center"/>
      <protection locked="0"/>
    </xf>
    <xf numFmtId="10" fontId="13" fillId="3" borderId="0" xfId="0" applyNumberFormat="1" applyFont="1" applyFill="1">
      <alignment vertical="center"/>
    </xf>
    <xf numFmtId="0" fontId="13" fillId="17" borderId="19" xfId="0" applyFont="1" applyFill="1" applyBorder="1">
      <alignment vertical="center"/>
    </xf>
    <xf numFmtId="0" fontId="4" fillId="17" borderId="19" xfId="0" applyFont="1" applyFill="1" applyBorder="1">
      <alignment vertical="center"/>
    </xf>
    <xf numFmtId="10" fontId="13" fillId="17" borderId="26" xfId="7" applyNumberFormat="1" applyFont="1" applyFill="1" applyBorder="1">
      <alignment vertical="center"/>
    </xf>
    <xf numFmtId="40" fontId="4" fillId="17" borderId="20" xfId="1" applyNumberFormat="1" applyFont="1" applyFill="1" applyBorder="1">
      <alignment vertical="center"/>
    </xf>
    <xf numFmtId="40" fontId="4" fillId="17" borderId="21" xfId="1" applyNumberFormat="1" applyFont="1" applyFill="1" applyBorder="1">
      <alignment vertical="center"/>
    </xf>
    <xf numFmtId="40" fontId="4" fillId="17" borderId="46" xfId="1" applyNumberFormat="1" applyFont="1" applyFill="1" applyBorder="1">
      <alignment vertical="center"/>
    </xf>
    <xf numFmtId="10" fontId="13" fillId="17" borderId="5" xfId="7" applyNumberFormat="1" applyFont="1" applyFill="1" applyBorder="1">
      <alignment vertical="center"/>
    </xf>
    <xf numFmtId="10" fontId="13" fillId="17" borderId="17" xfId="7" applyNumberFormat="1" applyFont="1" applyFill="1" applyBorder="1">
      <alignment vertical="center"/>
    </xf>
    <xf numFmtId="0" fontId="13" fillId="11" borderId="19" xfId="0" applyFont="1" applyFill="1" applyBorder="1">
      <alignment vertical="center"/>
    </xf>
    <xf numFmtId="0" fontId="4" fillId="11" borderId="19" xfId="0" applyFont="1" applyFill="1" applyBorder="1">
      <alignment vertical="center"/>
    </xf>
    <xf numFmtId="10" fontId="13" fillId="11" borderId="17" xfId="7" applyNumberFormat="1" applyFont="1" applyFill="1" applyBorder="1">
      <alignment vertical="center"/>
    </xf>
    <xf numFmtId="40" fontId="4" fillId="11" borderId="20" xfId="1" applyNumberFormat="1" applyFont="1" applyFill="1" applyBorder="1">
      <alignment vertical="center"/>
    </xf>
    <xf numFmtId="40" fontId="4" fillId="11" borderId="21" xfId="1" applyNumberFormat="1" applyFont="1" applyFill="1" applyBorder="1">
      <alignment vertical="center"/>
    </xf>
    <xf numFmtId="40" fontId="4" fillId="11" borderId="46" xfId="1" applyNumberFormat="1" applyFont="1" applyFill="1" applyBorder="1">
      <alignment vertical="center"/>
    </xf>
    <xf numFmtId="10" fontId="13" fillId="11" borderId="5" xfId="7" applyNumberFormat="1" applyFont="1" applyFill="1" applyBorder="1">
      <alignment vertical="center"/>
    </xf>
    <xf numFmtId="0" fontId="13" fillId="18" borderId="19" xfId="0" applyFont="1" applyFill="1" applyBorder="1">
      <alignment vertical="center"/>
    </xf>
    <xf numFmtId="0" fontId="4" fillId="18" borderId="19" xfId="0" applyFont="1" applyFill="1" applyBorder="1">
      <alignment vertical="center"/>
    </xf>
    <xf numFmtId="166" fontId="20" fillId="0" borderId="16" xfId="10" applyNumberFormat="1" applyFont="1" applyBorder="1" applyAlignment="1">
      <alignment horizontal="center" vertical="center"/>
    </xf>
    <xf numFmtId="166" fontId="20" fillId="0" borderId="36" xfId="10" applyNumberFormat="1" applyFont="1" applyBorder="1" applyAlignment="1" applyProtection="1">
      <alignment horizontal="left" vertical="center"/>
      <protection locked="0"/>
    </xf>
    <xf numFmtId="0" fontId="20" fillId="0" borderId="4" xfId="10" applyFont="1" applyBorder="1" applyAlignment="1" applyProtection="1">
      <alignment horizontal="left" vertical="center"/>
      <protection locked="0"/>
    </xf>
    <xf numFmtId="0" fontId="20" fillId="0" borderId="9" xfId="10" applyFont="1" applyBorder="1" applyAlignment="1">
      <alignment horizontal="center" vertical="center"/>
    </xf>
    <xf numFmtId="0" fontId="20" fillId="18" borderId="27" xfId="10" applyFont="1" applyFill="1" applyBorder="1" applyAlignment="1">
      <alignment horizontal="center" vertical="center"/>
    </xf>
    <xf numFmtId="0" fontId="20" fillId="18" borderId="16" xfId="10" applyFont="1" applyFill="1" applyBorder="1" applyAlignment="1" applyProtection="1">
      <alignment horizontal="left" vertical="center"/>
      <protection locked="0"/>
    </xf>
    <xf numFmtId="165" fontId="20" fillId="18" borderId="16" xfId="10" applyNumberFormat="1" applyFont="1" applyFill="1" applyBorder="1" applyAlignment="1" applyProtection="1">
      <alignment horizontal="right" vertical="center"/>
      <protection locked="0"/>
    </xf>
    <xf numFmtId="0" fontId="20" fillId="18" borderId="22" xfId="10" applyFont="1" applyFill="1" applyBorder="1" applyAlignment="1">
      <alignment horizontal="center" vertical="center"/>
    </xf>
    <xf numFmtId="0" fontId="20" fillId="18" borderId="2" xfId="10" applyFont="1" applyFill="1" applyBorder="1" applyAlignment="1" applyProtection="1">
      <alignment horizontal="left" vertical="center"/>
      <protection locked="0"/>
    </xf>
    <xf numFmtId="165" fontId="20" fillId="18" borderId="48" xfId="10" applyNumberFormat="1" applyFont="1" applyFill="1" applyBorder="1" applyAlignment="1" applyProtection="1">
      <alignment horizontal="right" vertical="center"/>
      <protection locked="0"/>
    </xf>
    <xf numFmtId="0" fontId="4" fillId="18" borderId="27" xfId="10" applyFont="1" applyFill="1" applyBorder="1" applyAlignment="1">
      <alignment horizontal="center" vertical="center"/>
    </xf>
    <xf numFmtId="0" fontId="4" fillId="18" borderId="16" xfId="10" applyFont="1" applyFill="1" applyBorder="1" applyAlignment="1" applyProtection="1">
      <alignment horizontal="left" vertical="center"/>
      <protection locked="0"/>
    </xf>
    <xf numFmtId="165" fontId="4" fillId="18" borderId="36" xfId="10" applyNumberFormat="1" applyFont="1" applyFill="1" applyBorder="1" applyAlignment="1" applyProtection="1">
      <alignment horizontal="right" vertical="center"/>
      <protection locked="0"/>
    </xf>
    <xf numFmtId="0" fontId="4" fillId="18" borderId="22" xfId="10" applyFont="1" applyFill="1" applyBorder="1" applyAlignment="1">
      <alignment horizontal="center" vertical="center"/>
    </xf>
    <xf numFmtId="0" fontId="4" fillId="18" borderId="2" xfId="10" applyFont="1" applyFill="1" applyBorder="1" applyAlignment="1" applyProtection="1">
      <alignment horizontal="left" vertical="center"/>
      <protection locked="0"/>
    </xf>
    <xf numFmtId="165" fontId="4" fillId="18" borderId="2" xfId="10" applyNumberFormat="1" applyFont="1" applyFill="1" applyBorder="1" applyAlignment="1" applyProtection="1">
      <alignment horizontal="right" vertical="center"/>
      <protection locked="0"/>
    </xf>
    <xf numFmtId="167" fontId="4" fillId="18" borderId="16" xfId="10" applyNumberFormat="1" applyFont="1" applyFill="1" applyBorder="1" applyAlignment="1" applyProtection="1">
      <alignment horizontal="right" vertical="center"/>
      <protection locked="0"/>
    </xf>
    <xf numFmtId="167" fontId="4" fillId="18" borderId="22" xfId="10" applyNumberFormat="1" applyFont="1" applyFill="1" applyBorder="1" applyAlignment="1" applyProtection="1">
      <alignment horizontal="right" vertical="center"/>
      <protection locked="0"/>
    </xf>
    <xf numFmtId="38" fontId="4" fillId="12" borderId="44" xfId="1" applyFont="1" applyFill="1" applyBorder="1">
      <alignment vertical="center"/>
    </xf>
    <xf numFmtId="38" fontId="4" fillId="12" borderId="45" xfId="1" applyFont="1" applyFill="1" applyBorder="1">
      <alignment vertical="center"/>
    </xf>
    <xf numFmtId="38" fontId="4" fillId="2" borderId="44" xfId="1" applyFont="1" applyFill="1" applyBorder="1">
      <alignment vertical="center"/>
    </xf>
    <xf numFmtId="38" fontId="4" fillId="2" borderId="45" xfId="1" applyFont="1" applyFill="1" applyBorder="1">
      <alignment vertical="center"/>
    </xf>
    <xf numFmtId="38" fontId="4" fillId="16" borderId="44" xfId="1" applyFont="1" applyFill="1" applyBorder="1">
      <alignment vertical="center"/>
    </xf>
    <xf numFmtId="38" fontId="4" fillId="16" borderId="45" xfId="1" applyFont="1" applyFill="1" applyBorder="1">
      <alignment vertical="center"/>
    </xf>
    <xf numFmtId="38" fontId="4" fillId="5" borderId="45" xfId="1" applyFont="1" applyFill="1" applyBorder="1">
      <alignment vertical="center"/>
    </xf>
    <xf numFmtId="0" fontId="13" fillId="7" borderId="0" xfId="0" applyFont="1" applyFill="1" applyAlignment="1">
      <alignment horizontal="center" vertical="center"/>
    </xf>
    <xf numFmtId="0" fontId="24" fillId="7" borderId="0" xfId="0" applyFont="1" applyFill="1">
      <alignment vertical="center"/>
    </xf>
    <xf numFmtId="0" fontId="20" fillId="7" borderId="27" xfId="10" applyFont="1" applyFill="1" applyBorder="1" applyAlignment="1">
      <alignment horizontal="center" vertical="center"/>
    </xf>
    <xf numFmtId="0" fontId="20" fillId="7" borderId="16" xfId="10" applyFont="1" applyFill="1" applyBorder="1" applyAlignment="1" applyProtection="1">
      <alignment horizontal="left" vertical="center"/>
      <protection locked="0"/>
    </xf>
    <xf numFmtId="165" fontId="20" fillId="7" borderId="16" xfId="10" applyNumberFormat="1" applyFont="1" applyFill="1" applyBorder="1" applyAlignment="1" applyProtection="1">
      <alignment horizontal="right" vertical="center"/>
      <protection locked="0"/>
    </xf>
    <xf numFmtId="0" fontId="20" fillId="7" borderId="22" xfId="10" applyFont="1" applyFill="1" applyBorder="1" applyAlignment="1">
      <alignment horizontal="center" vertical="center"/>
    </xf>
    <xf numFmtId="0" fontId="20" fillId="7" borderId="2" xfId="10" applyFont="1" applyFill="1" applyBorder="1" applyAlignment="1" applyProtection="1">
      <alignment horizontal="left" vertical="center"/>
      <protection locked="0"/>
    </xf>
    <xf numFmtId="165" fontId="20" fillId="7" borderId="48" xfId="10" applyNumberFormat="1" applyFont="1" applyFill="1" applyBorder="1" applyAlignment="1" applyProtection="1">
      <alignment horizontal="right" vertical="center"/>
      <protection locked="0"/>
    </xf>
    <xf numFmtId="0" fontId="4" fillId="7" borderId="16" xfId="10" applyFont="1" applyFill="1" applyBorder="1" applyAlignment="1" applyProtection="1">
      <alignment horizontal="left" vertical="center"/>
      <protection locked="0"/>
    </xf>
    <xf numFmtId="165" fontId="4" fillId="7" borderId="36" xfId="10" applyNumberFormat="1" applyFont="1" applyFill="1" applyBorder="1" applyAlignment="1" applyProtection="1">
      <alignment horizontal="right" vertical="center"/>
      <protection locked="0"/>
    </xf>
    <xf numFmtId="0" fontId="4" fillId="7" borderId="2" xfId="10" applyFont="1" applyFill="1" applyBorder="1" applyAlignment="1" applyProtection="1">
      <alignment horizontal="left" vertical="center"/>
      <protection locked="0"/>
    </xf>
    <xf numFmtId="165" fontId="4" fillId="7" borderId="2" xfId="10" applyNumberFormat="1" applyFont="1" applyFill="1" applyBorder="1" applyAlignment="1" applyProtection="1">
      <alignment horizontal="right" vertical="center"/>
      <protection locked="0"/>
    </xf>
    <xf numFmtId="167" fontId="4" fillId="7" borderId="16" xfId="10" applyNumberFormat="1" applyFont="1" applyFill="1" applyBorder="1" applyAlignment="1" applyProtection="1">
      <alignment horizontal="right" vertical="center"/>
      <protection locked="0"/>
    </xf>
    <xf numFmtId="167" fontId="4" fillId="7" borderId="22" xfId="10" applyNumberFormat="1" applyFont="1" applyFill="1" applyBorder="1" applyAlignment="1" applyProtection="1">
      <alignment horizontal="right" vertical="center"/>
      <protection locked="0"/>
    </xf>
    <xf numFmtId="0" fontId="25" fillId="0" borderId="0" xfId="0" applyFont="1">
      <alignment vertical="center"/>
    </xf>
    <xf numFmtId="10" fontId="13" fillId="0" borderId="0" xfId="0" applyNumberFormat="1" applyFont="1">
      <alignment vertical="center"/>
    </xf>
    <xf numFmtId="0" fontId="20" fillId="0" borderId="12" xfId="10" applyFont="1" applyBorder="1" applyAlignment="1" applyProtection="1">
      <alignment horizontal="center" vertical="center"/>
      <protection locked="0"/>
    </xf>
    <xf numFmtId="0" fontId="20" fillId="0" borderId="37" xfId="10" applyFont="1" applyBorder="1" applyAlignment="1" applyProtection="1">
      <alignment horizontal="center" vertical="center"/>
      <protection locked="0"/>
    </xf>
    <xf numFmtId="0" fontId="20" fillId="0" borderId="30" xfId="10" applyFont="1" applyBorder="1" applyAlignment="1" applyProtection="1">
      <alignment horizontal="center" vertical="center"/>
      <protection locked="0"/>
    </xf>
    <xf numFmtId="0" fontId="20" fillId="0" borderId="31" xfId="10" applyFont="1" applyBorder="1" applyAlignment="1" applyProtection="1">
      <alignment horizontal="center" vertical="center"/>
      <protection locked="0"/>
    </xf>
    <xf numFmtId="0" fontId="20" fillId="0" borderId="1" xfId="10" applyFont="1" applyBorder="1" applyAlignment="1" applyProtection="1">
      <alignment horizontal="center" vertical="center"/>
      <protection locked="0"/>
    </xf>
    <xf numFmtId="0" fontId="20" fillId="0" borderId="2" xfId="10" applyFont="1" applyBorder="1" applyAlignment="1" applyProtection="1">
      <alignment horizontal="center" vertical="center"/>
      <protection locked="0"/>
    </xf>
    <xf numFmtId="0" fontId="20" fillId="0" borderId="5" xfId="10" applyFont="1" applyBorder="1" applyAlignment="1" applyProtection="1">
      <alignment horizontal="center" vertical="center"/>
      <protection locked="0"/>
    </xf>
    <xf numFmtId="0" fontId="20" fillId="4" borderId="5" xfId="10" applyFont="1" applyFill="1" applyBorder="1" applyAlignment="1" applyProtection="1">
      <alignment horizontal="center" vertical="center"/>
      <protection locked="0"/>
    </xf>
    <xf numFmtId="0" fontId="20" fillId="0" borderId="32" xfId="10" applyFont="1" applyBorder="1" applyAlignment="1" applyProtection="1">
      <alignment horizontal="center" vertical="center"/>
      <protection locked="0"/>
    </xf>
    <xf numFmtId="0" fontId="4" fillId="0" borderId="30" xfId="10" applyFont="1" applyBorder="1" applyAlignment="1" applyProtection="1">
      <alignment horizontal="center" vertical="center"/>
      <protection locked="0"/>
    </xf>
    <xf numFmtId="0" fontId="4" fillId="0" borderId="31" xfId="10" applyFont="1" applyBorder="1" applyAlignment="1" applyProtection="1">
      <alignment horizontal="center" vertical="center"/>
      <protection locked="0"/>
    </xf>
    <xf numFmtId="0" fontId="4" fillId="0" borderId="1" xfId="10" applyFont="1" applyBorder="1" applyAlignment="1" applyProtection="1">
      <alignment horizontal="center" vertical="center"/>
      <protection locked="0"/>
    </xf>
    <xf numFmtId="0" fontId="4" fillId="0" borderId="2" xfId="10" applyFont="1" applyBorder="1" applyAlignment="1" applyProtection="1">
      <alignment horizontal="center" vertical="center"/>
      <protection locked="0"/>
    </xf>
    <xf numFmtId="0" fontId="4" fillId="0" borderId="5" xfId="10" applyFont="1" applyBorder="1" applyAlignment="1" applyProtection="1">
      <alignment horizontal="center" vertical="center"/>
      <protection locked="0"/>
    </xf>
    <xf numFmtId="0" fontId="4" fillId="4" borderId="5" xfId="10" applyFont="1" applyFill="1" applyBorder="1" applyAlignment="1" applyProtection="1">
      <alignment horizontal="center" vertical="center"/>
      <protection locked="0"/>
    </xf>
    <xf numFmtId="0" fontId="4" fillId="0" borderId="12" xfId="10" applyFont="1" applyBorder="1" applyAlignment="1" applyProtection="1">
      <alignment horizontal="center" vertical="center"/>
      <protection locked="0"/>
    </xf>
    <xf numFmtId="0" fontId="4" fillId="0" borderId="37" xfId="10" applyFont="1" applyBorder="1" applyAlignment="1" applyProtection="1">
      <alignment horizontal="center" vertical="center"/>
      <protection locked="0"/>
    </xf>
    <xf numFmtId="0" fontId="4" fillId="0" borderId="32" xfId="10" applyFont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/>
      <protection locked="0"/>
    </xf>
    <xf numFmtId="0" fontId="4" fillId="4" borderId="32" xfId="0" applyFont="1" applyFill="1" applyBorder="1" applyAlignment="1" applyProtection="1">
      <alignment horizont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38" xfId="0" applyFont="1" applyBorder="1" applyAlignment="1" applyProtection="1">
      <alignment horizontal="center" vertical="center"/>
      <protection locked="0"/>
    </xf>
    <xf numFmtId="169" fontId="12" fillId="9" borderId="29" xfId="9" applyNumberFormat="1" applyFont="1" applyFill="1" applyBorder="1" applyAlignment="1">
      <alignment horizontal="center"/>
    </xf>
    <xf numFmtId="169" fontId="12" fillId="9" borderId="2" xfId="9" applyNumberFormat="1" applyFont="1" applyFill="1" applyBorder="1" applyAlignment="1">
      <alignment horizontal="center"/>
    </xf>
    <xf numFmtId="169" fontId="23" fillId="6" borderId="10" xfId="0" applyNumberFormat="1" applyFont="1" applyFill="1" applyBorder="1" applyAlignment="1">
      <alignment horizontal="center" vertical="center"/>
    </xf>
    <xf numFmtId="169" fontId="23" fillId="6" borderId="11" xfId="0" applyNumberFormat="1" applyFont="1" applyFill="1" applyBorder="1" applyAlignment="1">
      <alignment horizontal="center" vertical="center"/>
    </xf>
    <xf numFmtId="169" fontId="23" fillId="14" borderId="10" xfId="0" applyNumberFormat="1" applyFont="1" applyFill="1" applyBorder="1" applyAlignment="1">
      <alignment horizontal="center" vertical="center"/>
    </xf>
    <xf numFmtId="169" fontId="23" fillId="14" borderId="11" xfId="0" applyNumberFormat="1" applyFont="1" applyFill="1" applyBorder="1" applyAlignment="1">
      <alignment horizontal="center" vertical="center"/>
    </xf>
  </cellXfs>
  <cellStyles count="12">
    <cellStyle name="Comma [0]" xfId="1" builtinId="6"/>
    <cellStyle name="Comma [0] 2" xfId="11" xr:uid="{7F5BE46C-B752-4B30-A76A-9604DF6ED4CF}"/>
    <cellStyle name="Comma [0] 2 2" xfId="9" xr:uid="{A621490B-64AE-4871-AE40-C4B02739E80E}"/>
    <cellStyle name="Normal" xfId="0" builtinId="0"/>
    <cellStyle name="Normal 2" xfId="8" xr:uid="{00000000-0005-0000-0000-000003000000}"/>
    <cellStyle name="Normal 3" xfId="10" xr:uid="{53C15D3F-9D20-4F66-A3A3-77B5DD99C643}"/>
    <cellStyle name="Percent" xfId="7" builtinId="5"/>
    <cellStyle name="桁区切り [0.00] 2" xfId="5" xr:uid="{00000000-0005-0000-0000-000005000000}"/>
    <cellStyle name="桁区切り 2" xfId="4" xr:uid="{00000000-0005-0000-0000-000006000000}"/>
    <cellStyle name="桁区切り 2 2" xfId="6" xr:uid="{00000000-0005-0000-0000-000007000000}"/>
    <cellStyle name="標準 2" xfId="2" xr:uid="{00000000-0005-0000-0000-000008000000}"/>
    <cellStyle name="標準_KMHK新フォーム_20050724" xfId="3" xr:uid="{00000000-0005-0000-0000-000009000000}"/>
  </cellStyles>
  <dxfs count="0"/>
  <tableStyles count="1" defaultTableStyle="TableStyleMedium2" defaultPivotStyle="PivotStyleLight16">
    <tableStyle name="Invisible" pivot="0" table="0" count="0" xr9:uid="{09BE8AB2-A946-4E61-A5F0-87D6DBEC797C}"/>
  </tableStyles>
  <colors>
    <mruColors>
      <color rgb="FFBFEE90"/>
      <color rgb="FFFFCCFF"/>
      <color rgb="FF00FF99"/>
      <color rgb="FFDA3BFF"/>
      <color rgb="FFCC00FF"/>
      <color rgb="FFFF99CC"/>
      <color rgb="FF66FF66"/>
      <color rgb="FFFFFFCC"/>
      <color rgb="FF97E4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TVN01\Data\temp\morita\&#24341;&#32153;&#12366;\&#26085;&#26412;&#20154;&#32102;&#19982;\SAL-HK2004.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square.kdtvn.local/temp/morita/&#24341;&#32153;&#12366;/&#26085;&#26412;&#20154;&#32102;&#19982;/SAL-HK2004.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tvn01\Data\temp\morita\&#24341;&#32153;&#12366;\&#26085;&#26412;&#20154;&#32102;&#19982;\SAL-HK2004.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tvn01\Data\temp\morita\&#24341;&#32153;&#12366;\&#26085;&#26412;&#20154;&#32102;&#19982;\SAL-HK2005.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square.kdtvn.local/temp/morita/&#24341;&#32153;&#12366;/&#26085;&#26412;&#20154;&#32102;&#19982;/SAL-HK2005.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square.kdtvn.local/temp/morita/&#24341;&#32153;&#12366;/&#26085;&#26412;&#20154;&#32102;&#19982;/SAL-HK2004.4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yocera\Saisan\Master%20plan\FY2027\Ph&#226;n%20b&#7893;\Ratio%20Calculate%20MP%20FY2027.xlsm" TargetMode="External"/><Relationship Id="rId1" Type="http://schemas.openxmlformats.org/officeDocument/2006/relationships/externalLinkPath" Target="Ratio%20Calculate%20MP%20FY202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  <sheetName val="Adjustment_(2)"/>
      <sheetName val="Adjustment_(3)"/>
      <sheetName val="Transfer_Slip-HK_POSTAGE"/>
      <sheetName val="Transfer_Slip-HK"/>
      <sheetName val="Transfer_Slip-JPN"/>
      <sheetName val="Transfer_Slip-JPN_(2)"/>
      <sheetName val="Transfer_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Adjustment (4)"/>
      <sheetName val="Adjustment (5)"/>
      <sheetName val="Adjustment (6)"/>
      <sheetName val="SALＡRY"/>
      <sheetName val="Transfer Slip-HK POSTAGE"/>
      <sheetName val="Transfer Slip-HK"/>
      <sheetName val="Transfer Slip-JPN"/>
      <sheetName val="Transfer Slip-JPN (2)"/>
      <sheetName val="Transfer Slip-rental"/>
      <sheetName val="Adjustment_(2)"/>
      <sheetName val="Adjustment_(3)"/>
      <sheetName val="Adjustment_(4)"/>
      <sheetName val="Adjustment_(5)"/>
      <sheetName val="Adjustment_(6)"/>
      <sheetName val="Transfer_Slip-HK_POSTAGE"/>
      <sheetName val="Transfer_Slip-HK"/>
      <sheetName val="Transfer_Slip-JPN"/>
      <sheetName val="Transfer_Slip-JPN_(2)"/>
      <sheetName val="Transfer_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Adjustment (4)"/>
      <sheetName val="Adjustment (5)"/>
      <sheetName val="Adjustment (6)"/>
      <sheetName val="SALＡRY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考え方"/>
      <sheetName val="配賦面積201210予定"/>
      <sheetName val="担当場所リスト"/>
      <sheetName val="予定"/>
      <sheetName val="People"/>
      <sheetName val="%"/>
      <sheetName val="list cost ce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 t="str">
            <v>原価センCost centerタ</v>
          </cell>
          <cell r="C1" t="str">
            <v>Cost center name (JP1)</v>
          </cell>
        </row>
        <row r="2">
          <cell r="B2">
            <v>1412000001</v>
          </cell>
          <cell r="C2" t="str">
            <v>取締役共通</v>
          </cell>
        </row>
        <row r="3">
          <cell r="B3">
            <v>1412000002</v>
          </cell>
          <cell r="C3" t="str">
            <v>製造本部</v>
          </cell>
        </row>
        <row r="4">
          <cell r="B4">
            <v>1412000003</v>
          </cell>
          <cell r="C4" t="str">
            <v>機器製造部</v>
          </cell>
        </row>
        <row r="5">
          <cell r="B5">
            <v>1412000004</v>
          </cell>
          <cell r="C5" t="str">
            <v>機器製造1課</v>
          </cell>
        </row>
        <row r="6">
          <cell r="B6">
            <v>1412000005</v>
          </cell>
          <cell r="C6" t="str">
            <v>機器製造2課</v>
          </cell>
        </row>
        <row r="7">
          <cell r="B7">
            <v>1412000006</v>
          </cell>
          <cell r="C7" t="str">
            <v>メカ製造技術1課</v>
          </cell>
        </row>
        <row r="8">
          <cell r="B8">
            <v>1412000007</v>
          </cell>
          <cell r="C8" t="str">
            <v>生産管理部</v>
          </cell>
        </row>
        <row r="9">
          <cell r="B9">
            <v>1412000008</v>
          </cell>
          <cell r="C9" t="str">
            <v>生産管理課</v>
          </cell>
        </row>
        <row r="10">
          <cell r="B10">
            <v>1412000010</v>
          </cell>
          <cell r="C10" t="str">
            <v>採算管理課</v>
          </cell>
        </row>
        <row r="11">
          <cell r="B11">
            <v>1412000012</v>
          </cell>
          <cell r="C11" t="str">
            <v>部品品質管理部</v>
          </cell>
        </row>
        <row r="12">
          <cell r="B12">
            <v>1412000013</v>
          </cell>
          <cell r="C12" t="str">
            <v>部品検査1課</v>
          </cell>
        </row>
        <row r="13">
          <cell r="B13">
            <v>1412000015</v>
          </cell>
          <cell r="C13" t="str">
            <v>生産技術部</v>
          </cell>
        </row>
        <row r="14">
          <cell r="B14">
            <v>1412000016</v>
          </cell>
          <cell r="C14" t="str">
            <v>生産技術1課</v>
          </cell>
        </row>
        <row r="15">
          <cell r="B15">
            <v>1412000017</v>
          </cell>
          <cell r="C15" t="str">
            <v>品質保証部</v>
          </cell>
        </row>
        <row r="16">
          <cell r="B16">
            <v>1412000018</v>
          </cell>
          <cell r="C16" t="str">
            <v>品質保証課</v>
          </cell>
        </row>
        <row r="17">
          <cell r="B17">
            <v>1412000019</v>
          </cell>
          <cell r="C17" t="str">
            <v>製品保証課</v>
          </cell>
        </row>
        <row r="18">
          <cell r="B18">
            <v>1412000020</v>
          </cell>
          <cell r="C18" t="str">
            <v>資材部</v>
          </cell>
        </row>
        <row r="19">
          <cell r="B19">
            <v>1412000021</v>
          </cell>
          <cell r="C19" t="str">
            <v>第3資材課</v>
          </cell>
        </row>
        <row r="20">
          <cell r="B20">
            <v>1412000022</v>
          </cell>
          <cell r="C20" t="str">
            <v>資材管理課</v>
          </cell>
        </row>
        <row r="21">
          <cell r="B21">
            <v>1412000023</v>
          </cell>
          <cell r="C21" t="str">
            <v>総務人事部</v>
          </cell>
        </row>
        <row r="22">
          <cell r="B22">
            <v>1412000024</v>
          </cell>
          <cell r="C22" t="str">
            <v>総務課</v>
          </cell>
        </row>
        <row r="23">
          <cell r="B23">
            <v>1412000025</v>
          </cell>
          <cell r="C23" t="str">
            <v>人事課</v>
          </cell>
        </row>
        <row r="24">
          <cell r="B24">
            <v>1412000026</v>
          </cell>
          <cell r="C24" t="str">
            <v>施設課</v>
          </cell>
        </row>
        <row r="25">
          <cell r="B25">
            <v>1412000027</v>
          </cell>
          <cell r="C25" t="str">
            <v>経営管理部</v>
          </cell>
        </row>
        <row r="26">
          <cell r="B26">
            <v>1412000028</v>
          </cell>
          <cell r="C26" t="str">
            <v>会計課</v>
          </cell>
        </row>
        <row r="27">
          <cell r="B27">
            <v>1412000029</v>
          </cell>
          <cell r="C27" t="str">
            <v>経営管理課</v>
          </cell>
        </row>
        <row r="28">
          <cell r="B28">
            <v>1412000030</v>
          </cell>
          <cell r="C28" t="str">
            <v>貿易管理課</v>
          </cell>
        </row>
        <row r="29">
          <cell r="B29">
            <v>1412000033</v>
          </cell>
          <cell r="C29" t="str">
            <v>トナー製造部</v>
          </cell>
        </row>
        <row r="30">
          <cell r="B30">
            <v>1412000034</v>
          </cell>
          <cell r="C30" t="str">
            <v>トナー製造課</v>
          </cell>
        </row>
        <row r="31">
          <cell r="B31">
            <v>1412000035</v>
          </cell>
          <cell r="C31" t="str">
            <v>部品品質管理課</v>
          </cell>
        </row>
        <row r="32">
          <cell r="B32">
            <v>1412000036</v>
          </cell>
          <cell r="C32" t="str">
            <v>部品管理1課</v>
          </cell>
        </row>
        <row r="33">
          <cell r="B33">
            <v>1412000038</v>
          </cell>
          <cell r="C33" t="str">
            <v>製造技術部</v>
          </cell>
        </row>
        <row r="34">
          <cell r="B34">
            <v>1412000039</v>
          </cell>
          <cell r="C34" t="str">
            <v>製造技術管理課</v>
          </cell>
        </row>
        <row r="35">
          <cell r="B35">
            <v>1412000040</v>
          </cell>
          <cell r="C35" t="str">
            <v>電気製造技術課</v>
          </cell>
        </row>
        <row r="36">
          <cell r="B36">
            <v>1412000042</v>
          </cell>
          <cell r="C36" t="str">
            <v>第2資材課</v>
          </cell>
        </row>
        <row r="37">
          <cell r="B37">
            <v>1412000043</v>
          </cell>
          <cell r="C37" t="str">
            <v>部品製造部</v>
          </cell>
        </row>
        <row r="38">
          <cell r="B38">
            <v>1412000044</v>
          </cell>
          <cell r="C38" t="str">
            <v>金型技術課</v>
          </cell>
        </row>
        <row r="39">
          <cell r="B39">
            <v>1412000046</v>
          </cell>
          <cell r="C39" t="str">
            <v>生産技術本部</v>
          </cell>
        </row>
        <row r="40">
          <cell r="B40">
            <v>1412000048</v>
          </cell>
          <cell r="C40" t="str">
            <v>トナー生産技術課</v>
          </cell>
        </row>
        <row r="41">
          <cell r="B41">
            <v>1412000049</v>
          </cell>
          <cell r="C41" t="str">
            <v>製品開発部</v>
          </cell>
        </row>
        <row r="42">
          <cell r="B42">
            <v>1412000050</v>
          </cell>
          <cell r="C42" t="str">
            <v>MD1課</v>
          </cell>
        </row>
        <row r="43">
          <cell r="B43">
            <v>1412000052</v>
          </cell>
          <cell r="C43" t="str">
            <v>機器工程品質管理部</v>
          </cell>
        </row>
        <row r="44">
          <cell r="B44">
            <v>1412000053</v>
          </cell>
          <cell r="C44" t="str">
            <v>工程品質管理1課</v>
          </cell>
        </row>
        <row r="45">
          <cell r="B45">
            <v>1412000054</v>
          </cell>
          <cell r="C45" t="str">
            <v>マスター管理課</v>
          </cell>
        </row>
        <row r="46">
          <cell r="B46">
            <v>1412000055</v>
          </cell>
          <cell r="C46" t="str">
            <v>トナー品質管理課</v>
          </cell>
        </row>
        <row r="47">
          <cell r="B47">
            <v>1412000056</v>
          </cell>
          <cell r="C47" t="str">
            <v>部品製造課</v>
          </cell>
        </row>
        <row r="48">
          <cell r="B48">
            <v>1412000057</v>
          </cell>
          <cell r="C48" t="str">
            <v>EI1課</v>
          </cell>
        </row>
        <row r="49">
          <cell r="B49">
            <v>1412000058</v>
          </cell>
          <cell r="C49" t="str">
            <v>第1資材課</v>
          </cell>
        </row>
        <row r="50">
          <cell r="B50">
            <v>1412000062</v>
          </cell>
          <cell r="C50" t="str">
            <v>機器製造管理課</v>
          </cell>
        </row>
        <row r="51">
          <cell r="B51">
            <v>1412000063</v>
          </cell>
          <cell r="C51" t="str">
            <v>トナー製造管理課</v>
          </cell>
        </row>
        <row r="52">
          <cell r="B52">
            <v>1412000066</v>
          </cell>
          <cell r="C52" t="str">
            <v>RPS製造課</v>
          </cell>
        </row>
        <row r="53">
          <cell r="B53">
            <v>1412000069</v>
          </cell>
          <cell r="C53" t="str">
            <v>生産技術2課</v>
          </cell>
        </row>
        <row r="54">
          <cell r="B54">
            <v>1412000070</v>
          </cell>
          <cell r="C54" t="str">
            <v>第4資材課</v>
          </cell>
        </row>
        <row r="55">
          <cell r="B55">
            <v>1412000071</v>
          </cell>
          <cell r="C55" t="str">
            <v>物流部</v>
          </cell>
        </row>
        <row r="56">
          <cell r="B56">
            <v>1412000072</v>
          </cell>
          <cell r="C56" t="str">
            <v>製品管理課</v>
          </cell>
        </row>
        <row r="57">
          <cell r="B57">
            <v>1412000073</v>
          </cell>
          <cell r="C57" t="str">
            <v>物流管理課</v>
          </cell>
        </row>
        <row r="58">
          <cell r="B58">
            <v>1412000075</v>
          </cell>
          <cell r="C58" t="str">
            <v>工程品質管理4課</v>
          </cell>
        </row>
        <row r="59">
          <cell r="B59">
            <v>1412000077</v>
          </cell>
          <cell r="C59" t="str">
            <v>MD2課</v>
          </cell>
        </row>
        <row r="60">
          <cell r="B60">
            <v>1412000078</v>
          </cell>
          <cell r="C60" t="str">
            <v>ESD1課</v>
          </cell>
        </row>
        <row r="61">
          <cell r="B61">
            <v>1412000079</v>
          </cell>
          <cell r="C61" t="str">
            <v>部品技術部</v>
          </cell>
        </row>
        <row r="62">
          <cell r="B62">
            <v>1412000080</v>
          </cell>
          <cell r="C62" t="str">
            <v>部品技術課</v>
          </cell>
        </row>
        <row r="63">
          <cell r="B63">
            <v>1412000081</v>
          </cell>
          <cell r="C63" t="str">
            <v>機器製造3課</v>
          </cell>
        </row>
        <row r="64">
          <cell r="B64">
            <v>1412000083</v>
          </cell>
          <cell r="C64" t="str">
            <v>MD3課</v>
          </cell>
        </row>
        <row r="65">
          <cell r="B65">
            <v>1412000084</v>
          </cell>
          <cell r="C65" t="str">
            <v>生産技術3課</v>
          </cell>
        </row>
        <row r="66">
          <cell r="B66">
            <v>1412000085</v>
          </cell>
          <cell r="C66" t="str">
            <v>ITソリューション推進部</v>
          </cell>
        </row>
        <row r="67">
          <cell r="B67">
            <v>1412000086</v>
          </cell>
          <cell r="C67" t="str">
            <v>情報システム課</v>
          </cell>
        </row>
        <row r="68">
          <cell r="B68">
            <v>1412000087</v>
          </cell>
          <cell r="C68" t="str">
            <v>部品製造管理課</v>
          </cell>
        </row>
        <row r="69">
          <cell r="B69">
            <v>1412000088</v>
          </cell>
          <cell r="C69" t="str">
            <v>品質管理課</v>
          </cell>
        </row>
        <row r="70">
          <cell r="B70">
            <v>1412000089</v>
          </cell>
          <cell r="C70" t="str">
            <v>メカ製造技術2課</v>
          </cell>
        </row>
        <row r="71">
          <cell r="B71">
            <v>1412000090</v>
          </cell>
          <cell r="C71" t="str">
            <v>製品開発本部</v>
          </cell>
        </row>
        <row r="72">
          <cell r="B72">
            <v>1412000091</v>
          </cell>
          <cell r="C72" t="str">
            <v>保安課</v>
          </cell>
        </row>
        <row r="73">
          <cell r="B73">
            <v>1412000092</v>
          </cell>
          <cell r="C73" t="str">
            <v>部品検査2課</v>
          </cell>
        </row>
        <row r="74">
          <cell r="B74">
            <v>1412000093</v>
          </cell>
          <cell r="C74" t="str">
            <v>リスクマネジメント課</v>
          </cell>
        </row>
        <row r="75">
          <cell r="B75">
            <v>1412000094</v>
          </cell>
          <cell r="C75" t="str">
            <v>部品在庫管理課</v>
          </cell>
        </row>
        <row r="76">
          <cell r="B76">
            <v>1412000096</v>
          </cell>
          <cell r="C76" t="str">
            <v>ESD2課</v>
          </cell>
        </row>
        <row r="77">
          <cell r="B77">
            <v>1412000097</v>
          </cell>
          <cell r="C77" t="str">
            <v>電工製造部</v>
          </cell>
        </row>
        <row r="78">
          <cell r="B78">
            <v>1412000098</v>
          </cell>
          <cell r="C78" t="str">
            <v>電工製造課</v>
          </cell>
        </row>
        <row r="79">
          <cell r="B79">
            <v>1412000099</v>
          </cell>
          <cell r="C79" t="str">
            <v>MD4課</v>
          </cell>
        </row>
        <row r="80">
          <cell r="B80">
            <v>1412000100</v>
          </cell>
          <cell r="C80" t="str">
            <v>MD5課</v>
          </cell>
        </row>
        <row r="81">
          <cell r="B81">
            <v>1412000101</v>
          </cell>
          <cell r="C81" t="str">
            <v>EI2課</v>
          </cell>
        </row>
        <row r="82">
          <cell r="B82">
            <v>1412000102</v>
          </cell>
          <cell r="C82" t="str">
            <v>メカ製造技術4課</v>
          </cell>
        </row>
        <row r="83">
          <cell r="B83">
            <v>1412000103</v>
          </cell>
          <cell r="C83" t="str">
            <v>部品管理2課</v>
          </cell>
        </row>
        <row r="84">
          <cell r="B84">
            <v>1412000104</v>
          </cell>
          <cell r="C84" t="str">
            <v>工程品質管理2課</v>
          </cell>
        </row>
        <row r="85">
          <cell r="B85">
            <v>1412000105</v>
          </cell>
          <cell r="C85" t="str">
            <v>工程品質管理3課</v>
          </cell>
        </row>
        <row r="86">
          <cell r="B86" t="str">
            <v>14120000AB</v>
          </cell>
          <cell r="C86" t="str">
            <v>製造システム開発課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D121-D3F8-4C91-ADE4-DFEBC051F862}">
  <sheetPr codeName="Sheet1">
    <pageSetUpPr fitToPage="1"/>
  </sheetPr>
  <dimension ref="A2:O136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7" sqref="C17"/>
    </sheetView>
  </sheetViews>
  <sheetFormatPr defaultColWidth="9" defaultRowHeight="14"/>
  <cols>
    <col min="1" max="1" width="4.08984375" style="137" customWidth="1"/>
    <col min="2" max="2" width="23" style="137" bestFit="1" customWidth="1"/>
    <col min="3" max="3" width="17.26953125" style="137" customWidth="1"/>
    <col min="4" max="15" width="18.7265625" style="137" customWidth="1"/>
    <col min="16" max="256" width="9" style="137"/>
    <col min="257" max="257" width="4.08984375" style="137" customWidth="1"/>
    <col min="258" max="258" width="23" style="137" bestFit="1" customWidth="1"/>
    <col min="259" max="259" width="17.26953125" style="137" customWidth="1"/>
    <col min="260" max="264" width="18.7265625" style="137" customWidth="1"/>
    <col min="265" max="265" width="18.08984375" style="137" bestFit="1" customWidth="1"/>
    <col min="266" max="266" width="13.26953125" style="137" bestFit="1" customWidth="1"/>
    <col min="267" max="267" width="12" style="137" bestFit="1" customWidth="1"/>
    <col min="268" max="268" width="13.26953125" style="137" bestFit="1" customWidth="1"/>
    <col min="269" max="269" width="14.453125" style="137" bestFit="1" customWidth="1"/>
    <col min="270" max="512" width="9" style="137"/>
    <col min="513" max="513" width="4.08984375" style="137" customWidth="1"/>
    <col min="514" max="514" width="23" style="137" bestFit="1" customWidth="1"/>
    <col min="515" max="515" width="17.26953125" style="137" customWidth="1"/>
    <col min="516" max="520" width="18.7265625" style="137" customWidth="1"/>
    <col min="521" max="521" width="18.08984375" style="137" bestFit="1" customWidth="1"/>
    <col min="522" max="522" width="13.26953125" style="137" bestFit="1" customWidth="1"/>
    <col min="523" max="523" width="12" style="137" bestFit="1" customWidth="1"/>
    <col min="524" max="524" width="13.26953125" style="137" bestFit="1" customWidth="1"/>
    <col min="525" max="525" width="14.453125" style="137" bestFit="1" customWidth="1"/>
    <col min="526" max="768" width="9" style="137"/>
    <col min="769" max="769" width="4.08984375" style="137" customWidth="1"/>
    <col min="770" max="770" width="23" style="137" bestFit="1" customWidth="1"/>
    <col min="771" max="771" width="17.26953125" style="137" customWidth="1"/>
    <col min="772" max="776" width="18.7265625" style="137" customWidth="1"/>
    <col min="777" max="777" width="18.08984375" style="137" bestFit="1" customWidth="1"/>
    <col min="778" max="778" width="13.26953125" style="137" bestFit="1" customWidth="1"/>
    <col min="779" max="779" width="12" style="137" bestFit="1" customWidth="1"/>
    <col min="780" max="780" width="13.26953125" style="137" bestFit="1" customWidth="1"/>
    <col min="781" max="781" width="14.453125" style="137" bestFit="1" customWidth="1"/>
    <col min="782" max="1024" width="9" style="137"/>
    <col min="1025" max="1025" width="4.08984375" style="137" customWidth="1"/>
    <col min="1026" max="1026" width="23" style="137" bestFit="1" customWidth="1"/>
    <col min="1027" max="1027" width="17.26953125" style="137" customWidth="1"/>
    <col min="1028" max="1032" width="18.7265625" style="137" customWidth="1"/>
    <col min="1033" max="1033" width="18.08984375" style="137" bestFit="1" customWidth="1"/>
    <col min="1034" max="1034" width="13.26953125" style="137" bestFit="1" customWidth="1"/>
    <col min="1035" max="1035" width="12" style="137" bestFit="1" customWidth="1"/>
    <col min="1036" max="1036" width="13.26953125" style="137" bestFit="1" customWidth="1"/>
    <col min="1037" max="1037" width="14.453125" style="137" bestFit="1" customWidth="1"/>
    <col min="1038" max="1280" width="9" style="137"/>
    <col min="1281" max="1281" width="4.08984375" style="137" customWidth="1"/>
    <col min="1282" max="1282" width="23" style="137" bestFit="1" customWidth="1"/>
    <col min="1283" max="1283" width="17.26953125" style="137" customWidth="1"/>
    <col min="1284" max="1288" width="18.7265625" style="137" customWidth="1"/>
    <col min="1289" max="1289" width="18.08984375" style="137" bestFit="1" customWidth="1"/>
    <col min="1290" max="1290" width="13.26953125" style="137" bestFit="1" customWidth="1"/>
    <col min="1291" max="1291" width="12" style="137" bestFit="1" customWidth="1"/>
    <col min="1292" max="1292" width="13.26953125" style="137" bestFit="1" customWidth="1"/>
    <col min="1293" max="1293" width="14.453125" style="137" bestFit="1" customWidth="1"/>
    <col min="1294" max="1536" width="9" style="137"/>
    <col min="1537" max="1537" width="4.08984375" style="137" customWidth="1"/>
    <col min="1538" max="1538" width="23" style="137" bestFit="1" customWidth="1"/>
    <col min="1539" max="1539" width="17.26953125" style="137" customWidth="1"/>
    <col min="1540" max="1544" width="18.7265625" style="137" customWidth="1"/>
    <col min="1545" max="1545" width="18.08984375" style="137" bestFit="1" customWidth="1"/>
    <col min="1546" max="1546" width="13.26953125" style="137" bestFit="1" customWidth="1"/>
    <col min="1547" max="1547" width="12" style="137" bestFit="1" customWidth="1"/>
    <col min="1548" max="1548" width="13.26953125" style="137" bestFit="1" customWidth="1"/>
    <col min="1549" max="1549" width="14.453125" style="137" bestFit="1" customWidth="1"/>
    <col min="1550" max="1792" width="9" style="137"/>
    <col min="1793" max="1793" width="4.08984375" style="137" customWidth="1"/>
    <col min="1794" max="1794" width="23" style="137" bestFit="1" customWidth="1"/>
    <col min="1795" max="1795" width="17.26953125" style="137" customWidth="1"/>
    <col min="1796" max="1800" width="18.7265625" style="137" customWidth="1"/>
    <col min="1801" max="1801" width="18.08984375" style="137" bestFit="1" customWidth="1"/>
    <col min="1802" max="1802" width="13.26953125" style="137" bestFit="1" customWidth="1"/>
    <col min="1803" max="1803" width="12" style="137" bestFit="1" customWidth="1"/>
    <col min="1804" max="1804" width="13.26953125" style="137" bestFit="1" customWidth="1"/>
    <col min="1805" max="1805" width="14.453125" style="137" bestFit="1" customWidth="1"/>
    <col min="1806" max="2048" width="9" style="137"/>
    <col min="2049" max="2049" width="4.08984375" style="137" customWidth="1"/>
    <col min="2050" max="2050" width="23" style="137" bestFit="1" customWidth="1"/>
    <col min="2051" max="2051" width="17.26953125" style="137" customWidth="1"/>
    <col min="2052" max="2056" width="18.7265625" style="137" customWidth="1"/>
    <col min="2057" max="2057" width="18.08984375" style="137" bestFit="1" customWidth="1"/>
    <col min="2058" max="2058" width="13.26953125" style="137" bestFit="1" customWidth="1"/>
    <col min="2059" max="2059" width="12" style="137" bestFit="1" customWidth="1"/>
    <col min="2060" max="2060" width="13.26953125" style="137" bestFit="1" customWidth="1"/>
    <col min="2061" max="2061" width="14.453125" style="137" bestFit="1" customWidth="1"/>
    <col min="2062" max="2304" width="9" style="137"/>
    <col min="2305" max="2305" width="4.08984375" style="137" customWidth="1"/>
    <col min="2306" max="2306" width="23" style="137" bestFit="1" customWidth="1"/>
    <col min="2307" max="2307" width="17.26953125" style="137" customWidth="1"/>
    <col min="2308" max="2312" width="18.7265625" style="137" customWidth="1"/>
    <col min="2313" max="2313" width="18.08984375" style="137" bestFit="1" customWidth="1"/>
    <col min="2314" max="2314" width="13.26953125" style="137" bestFit="1" customWidth="1"/>
    <col min="2315" max="2315" width="12" style="137" bestFit="1" customWidth="1"/>
    <col min="2316" max="2316" width="13.26953125" style="137" bestFit="1" customWidth="1"/>
    <col min="2317" max="2317" width="14.453125" style="137" bestFit="1" customWidth="1"/>
    <col min="2318" max="2560" width="9" style="137"/>
    <col min="2561" max="2561" width="4.08984375" style="137" customWidth="1"/>
    <col min="2562" max="2562" width="23" style="137" bestFit="1" customWidth="1"/>
    <col min="2563" max="2563" width="17.26953125" style="137" customWidth="1"/>
    <col min="2564" max="2568" width="18.7265625" style="137" customWidth="1"/>
    <col min="2569" max="2569" width="18.08984375" style="137" bestFit="1" customWidth="1"/>
    <col min="2570" max="2570" width="13.26953125" style="137" bestFit="1" customWidth="1"/>
    <col min="2571" max="2571" width="12" style="137" bestFit="1" customWidth="1"/>
    <col min="2572" max="2572" width="13.26953125" style="137" bestFit="1" customWidth="1"/>
    <col min="2573" max="2573" width="14.453125" style="137" bestFit="1" customWidth="1"/>
    <col min="2574" max="2816" width="9" style="137"/>
    <col min="2817" max="2817" width="4.08984375" style="137" customWidth="1"/>
    <col min="2818" max="2818" width="23" style="137" bestFit="1" customWidth="1"/>
    <col min="2819" max="2819" width="17.26953125" style="137" customWidth="1"/>
    <col min="2820" max="2824" width="18.7265625" style="137" customWidth="1"/>
    <col min="2825" max="2825" width="18.08984375" style="137" bestFit="1" customWidth="1"/>
    <col min="2826" max="2826" width="13.26953125" style="137" bestFit="1" customWidth="1"/>
    <col min="2827" max="2827" width="12" style="137" bestFit="1" customWidth="1"/>
    <col min="2828" max="2828" width="13.26953125" style="137" bestFit="1" customWidth="1"/>
    <col min="2829" max="2829" width="14.453125" style="137" bestFit="1" customWidth="1"/>
    <col min="2830" max="3072" width="9" style="137"/>
    <col min="3073" max="3073" width="4.08984375" style="137" customWidth="1"/>
    <col min="3074" max="3074" width="23" style="137" bestFit="1" customWidth="1"/>
    <col min="3075" max="3075" width="17.26953125" style="137" customWidth="1"/>
    <col min="3076" max="3080" width="18.7265625" style="137" customWidth="1"/>
    <col min="3081" max="3081" width="18.08984375" style="137" bestFit="1" customWidth="1"/>
    <col min="3082" max="3082" width="13.26953125" style="137" bestFit="1" customWidth="1"/>
    <col min="3083" max="3083" width="12" style="137" bestFit="1" customWidth="1"/>
    <col min="3084" max="3084" width="13.26953125" style="137" bestFit="1" customWidth="1"/>
    <col min="3085" max="3085" width="14.453125" style="137" bestFit="1" customWidth="1"/>
    <col min="3086" max="3328" width="9" style="137"/>
    <col min="3329" max="3329" width="4.08984375" style="137" customWidth="1"/>
    <col min="3330" max="3330" width="23" style="137" bestFit="1" customWidth="1"/>
    <col min="3331" max="3331" width="17.26953125" style="137" customWidth="1"/>
    <col min="3332" max="3336" width="18.7265625" style="137" customWidth="1"/>
    <col min="3337" max="3337" width="18.08984375" style="137" bestFit="1" customWidth="1"/>
    <col min="3338" max="3338" width="13.26953125" style="137" bestFit="1" customWidth="1"/>
    <col min="3339" max="3339" width="12" style="137" bestFit="1" customWidth="1"/>
    <col min="3340" max="3340" width="13.26953125" style="137" bestFit="1" customWidth="1"/>
    <col min="3341" max="3341" width="14.453125" style="137" bestFit="1" customWidth="1"/>
    <col min="3342" max="3584" width="9" style="137"/>
    <col min="3585" max="3585" width="4.08984375" style="137" customWidth="1"/>
    <col min="3586" max="3586" width="23" style="137" bestFit="1" customWidth="1"/>
    <col min="3587" max="3587" width="17.26953125" style="137" customWidth="1"/>
    <col min="3588" max="3592" width="18.7265625" style="137" customWidth="1"/>
    <col min="3593" max="3593" width="18.08984375" style="137" bestFit="1" customWidth="1"/>
    <col min="3594" max="3594" width="13.26953125" style="137" bestFit="1" customWidth="1"/>
    <col min="3595" max="3595" width="12" style="137" bestFit="1" customWidth="1"/>
    <col min="3596" max="3596" width="13.26953125" style="137" bestFit="1" customWidth="1"/>
    <col min="3597" max="3597" width="14.453125" style="137" bestFit="1" customWidth="1"/>
    <col min="3598" max="3840" width="9" style="137"/>
    <col min="3841" max="3841" width="4.08984375" style="137" customWidth="1"/>
    <col min="3842" max="3842" width="23" style="137" bestFit="1" customWidth="1"/>
    <col min="3843" max="3843" width="17.26953125" style="137" customWidth="1"/>
    <col min="3844" max="3848" width="18.7265625" style="137" customWidth="1"/>
    <col min="3849" max="3849" width="18.08984375" style="137" bestFit="1" customWidth="1"/>
    <col min="3850" max="3850" width="13.26953125" style="137" bestFit="1" customWidth="1"/>
    <col min="3851" max="3851" width="12" style="137" bestFit="1" customWidth="1"/>
    <col min="3852" max="3852" width="13.26953125" style="137" bestFit="1" customWidth="1"/>
    <col min="3853" max="3853" width="14.453125" style="137" bestFit="1" customWidth="1"/>
    <col min="3854" max="4096" width="9" style="137"/>
    <col min="4097" max="4097" width="4.08984375" style="137" customWidth="1"/>
    <col min="4098" max="4098" width="23" style="137" bestFit="1" customWidth="1"/>
    <col min="4099" max="4099" width="17.26953125" style="137" customWidth="1"/>
    <col min="4100" max="4104" width="18.7265625" style="137" customWidth="1"/>
    <col min="4105" max="4105" width="18.08984375" style="137" bestFit="1" customWidth="1"/>
    <col min="4106" max="4106" width="13.26953125" style="137" bestFit="1" customWidth="1"/>
    <col min="4107" max="4107" width="12" style="137" bestFit="1" customWidth="1"/>
    <col min="4108" max="4108" width="13.26953125" style="137" bestFit="1" customWidth="1"/>
    <col min="4109" max="4109" width="14.453125" style="137" bestFit="1" customWidth="1"/>
    <col min="4110" max="4352" width="9" style="137"/>
    <col min="4353" max="4353" width="4.08984375" style="137" customWidth="1"/>
    <col min="4354" max="4354" width="23" style="137" bestFit="1" customWidth="1"/>
    <col min="4355" max="4355" width="17.26953125" style="137" customWidth="1"/>
    <col min="4356" max="4360" width="18.7265625" style="137" customWidth="1"/>
    <col min="4361" max="4361" width="18.08984375" style="137" bestFit="1" customWidth="1"/>
    <col min="4362" max="4362" width="13.26953125" style="137" bestFit="1" customWidth="1"/>
    <col min="4363" max="4363" width="12" style="137" bestFit="1" customWidth="1"/>
    <col min="4364" max="4364" width="13.26953125" style="137" bestFit="1" customWidth="1"/>
    <col min="4365" max="4365" width="14.453125" style="137" bestFit="1" customWidth="1"/>
    <col min="4366" max="4608" width="9" style="137"/>
    <col min="4609" max="4609" width="4.08984375" style="137" customWidth="1"/>
    <col min="4610" max="4610" width="23" style="137" bestFit="1" customWidth="1"/>
    <col min="4611" max="4611" width="17.26953125" style="137" customWidth="1"/>
    <col min="4612" max="4616" width="18.7265625" style="137" customWidth="1"/>
    <col min="4617" max="4617" width="18.08984375" style="137" bestFit="1" customWidth="1"/>
    <col min="4618" max="4618" width="13.26953125" style="137" bestFit="1" customWidth="1"/>
    <col min="4619" max="4619" width="12" style="137" bestFit="1" customWidth="1"/>
    <col min="4620" max="4620" width="13.26953125" style="137" bestFit="1" customWidth="1"/>
    <col min="4621" max="4621" width="14.453125" style="137" bestFit="1" customWidth="1"/>
    <col min="4622" max="4864" width="9" style="137"/>
    <col min="4865" max="4865" width="4.08984375" style="137" customWidth="1"/>
    <col min="4866" max="4866" width="23" style="137" bestFit="1" customWidth="1"/>
    <col min="4867" max="4867" width="17.26953125" style="137" customWidth="1"/>
    <col min="4868" max="4872" width="18.7265625" style="137" customWidth="1"/>
    <col min="4873" max="4873" width="18.08984375" style="137" bestFit="1" customWidth="1"/>
    <col min="4874" max="4874" width="13.26953125" style="137" bestFit="1" customWidth="1"/>
    <col min="4875" max="4875" width="12" style="137" bestFit="1" customWidth="1"/>
    <col min="4876" max="4876" width="13.26953125" style="137" bestFit="1" customWidth="1"/>
    <col min="4877" max="4877" width="14.453125" style="137" bestFit="1" customWidth="1"/>
    <col min="4878" max="5120" width="9" style="137"/>
    <col min="5121" max="5121" width="4.08984375" style="137" customWidth="1"/>
    <col min="5122" max="5122" width="23" style="137" bestFit="1" customWidth="1"/>
    <col min="5123" max="5123" width="17.26953125" style="137" customWidth="1"/>
    <col min="5124" max="5128" width="18.7265625" style="137" customWidth="1"/>
    <col min="5129" max="5129" width="18.08984375" style="137" bestFit="1" customWidth="1"/>
    <col min="5130" max="5130" width="13.26953125" style="137" bestFit="1" customWidth="1"/>
    <col min="5131" max="5131" width="12" style="137" bestFit="1" customWidth="1"/>
    <col min="5132" max="5132" width="13.26953125" style="137" bestFit="1" customWidth="1"/>
    <col min="5133" max="5133" width="14.453125" style="137" bestFit="1" customWidth="1"/>
    <col min="5134" max="5376" width="9" style="137"/>
    <col min="5377" max="5377" width="4.08984375" style="137" customWidth="1"/>
    <col min="5378" max="5378" width="23" style="137" bestFit="1" customWidth="1"/>
    <col min="5379" max="5379" width="17.26953125" style="137" customWidth="1"/>
    <col min="5380" max="5384" width="18.7265625" style="137" customWidth="1"/>
    <col min="5385" max="5385" width="18.08984375" style="137" bestFit="1" customWidth="1"/>
    <col min="5386" max="5386" width="13.26953125" style="137" bestFit="1" customWidth="1"/>
    <col min="5387" max="5387" width="12" style="137" bestFit="1" customWidth="1"/>
    <col min="5388" max="5388" width="13.26953125" style="137" bestFit="1" customWidth="1"/>
    <col min="5389" max="5389" width="14.453125" style="137" bestFit="1" customWidth="1"/>
    <col min="5390" max="5632" width="9" style="137"/>
    <col min="5633" max="5633" width="4.08984375" style="137" customWidth="1"/>
    <col min="5634" max="5634" width="23" style="137" bestFit="1" customWidth="1"/>
    <col min="5635" max="5635" width="17.26953125" style="137" customWidth="1"/>
    <col min="5636" max="5640" width="18.7265625" style="137" customWidth="1"/>
    <col min="5641" max="5641" width="18.08984375" style="137" bestFit="1" customWidth="1"/>
    <col min="5642" max="5642" width="13.26953125" style="137" bestFit="1" customWidth="1"/>
    <col min="5643" max="5643" width="12" style="137" bestFit="1" customWidth="1"/>
    <col min="5644" max="5644" width="13.26953125" style="137" bestFit="1" customWidth="1"/>
    <col min="5645" max="5645" width="14.453125" style="137" bestFit="1" customWidth="1"/>
    <col min="5646" max="5888" width="9" style="137"/>
    <col min="5889" max="5889" width="4.08984375" style="137" customWidth="1"/>
    <col min="5890" max="5890" width="23" style="137" bestFit="1" customWidth="1"/>
    <col min="5891" max="5891" width="17.26953125" style="137" customWidth="1"/>
    <col min="5892" max="5896" width="18.7265625" style="137" customWidth="1"/>
    <col min="5897" max="5897" width="18.08984375" style="137" bestFit="1" customWidth="1"/>
    <col min="5898" max="5898" width="13.26953125" style="137" bestFit="1" customWidth="1"/>
    <col min="5899" max="5899" width="12" style="137" bestFit="1" customWidth="1"/>
    <col min="5900" max="5900" width="13.26953125" style="137" bestFit="1" customWidth="1"/>
    <col min="5901" max="5901" width="14.453125" style="137" bestFit="1" customWidth="1"/>
    <col min="5902" max="6144" width="9" style="137"/>
    <col min="6145" max="6145" width="4.08984375" style="137" customWidth="1"/>
    <col min="6146" max="6146" width="23" style="137" bestFit="1" customWidth="1"/>
    <col min="6147" max="6147" width="17.26953125" style="137" customWidth="1"/>
    <col min="6148" max="6152" width="18.7265625" style="137" customWidth="1"/>
    <col min="6153" max="6153" width="18.08984375" style="137" bestFit="1" customWidth="1"/>
    <col min="6154" max="6154" width="13.26953125" style="137" bestFit="1" customWidth="1"/>
    <col min="6155" max="6155" width="12" style="137" bestFit="1" customWidth="1"/>
    <col min="6156" max="6156" width="13.26953125" style="137" bestFit="1" customWidth="1"/>
    <col min="6157" max="6157" width="14.453125" style="137" bestFit="1" customWidth="1"/>
    <col min="6158" max="6400" width="9" style="137"/>
    <col min="6401" max="6401" width="4.08984375" style="137" customWidth="1"/>
    <col min="6402" max="6402" width="23" style="137" bestFit="1" customWidth="1"/>
    <col min="6403" max="6403" width="17.26953125" style="137" customWidth="1"/>
    <col min="6404" max="6408" width="18.7265625" style="137" customWidth="1"/>
    <col min="6409" max="6409" width="18.08984375" style="137" bestFit="1" customWidth="1"/>
    <col min="6410" max="6410" width="13.26953125" style="137" bestFit="1" customWidth="1"/>
    <col min="6411" max="6411" width="12" style="137" bestFit="1" customWidth="1"/>
    <col min="6412" max="6412" width="13.26953125" style="137" bestFit="1" customWidth="1"/>
    <col min="6413" max="6413" width="14.453125" style="137" bestFit="1" customWidth="1"/>
    <col min="6414" max="6656" width="9" style="137"/>
    <col min="6657" max="6657" width="4.08984375" style="137" customWidth="1"/>
    <col min="6658" max="6658" width="23" style="137" bestFit="1" customWidth="1"/>
    <col min="6659" max="6659" width="17.26953125" style="137" customWidth="1"/>
    <col min="6660" max="6664" width="18.7265625" style="137" customWidth="1"/>
    <col min="6665" max="6665" width="18.08984375" style="137" bestFit="1" customWidth="1"/>
    <col min="6666" max="6666" width="13.26953125" style="137" bestFit="1" customWidth="1"/>
    <col min="6667" max="6667" width="12" style="137" bestFit="1" customWidth="1"/>
    <col min="6668" max="6668" width="13.26953125" style="137" bestFit="1" customWidth="1"/>
    <col min="6669" max="6669" width="14.453125" style="137" bestFit="1" customWidth="1"/>
    <col min="6670" max="6912" width="9" style="137"/>
    <col min="6913" max="6913" width="4.08984375" style="137" customWidth="1"/>
    <col min="6914" max="6914" width="23" style="137" bestFit="1" customWidth="1"/>
    <col min="6915" max="6915" width="17.26953125" style="137" customWidth="1"/>
    <col min="6916" max="6920" width="18.7265625" style="137" customWidth="1"/>
    <col min="6921" max="6921" width="18.08984375" style="137" bestFit="1" customWidth="1"/>
    <col min="6922" max="6922" width="13.26953125" style="137" bestFit="1" customWidth="1"/>
    <col min="6923" max="6923" width="12" style="137" bestFit="1" customWidth="1"/>
    <col min="6924" max="6924" width="13.26953125" style="137" bestFit="1" customWidth="1"/>
    <col min="6925" max="6925" width="14.453125" style="137" bestFit="1" customWidth="1"/>
    <col min="6926" max="7168" width="9" style="137"/>
    <col min="7169" max="7169" width="4.08984375" style="137" customWidth="1"/>
    <col min="7170" max="7170" width="23" style="137" bestFit="1" customWidth="1"/>
    <col min="7171" max="7171" width="17.26953125" style="137" customWidth="1"/>
    <col min="7172" max="7176" width="18.7265625" style="137" customWidth="1"/>
    <col min="7177" max="7177" width="18.08984375" style="137" bestFit="1" customWidth="1"/>
    <col min="7178" max="7178" width="13.26953125" style="137" bestFit="1" customWidth="1"/>
    <col min="7179" max="7179" width="12" style="137" bestFit="1" customWidth="1"/>
    <col min="7180" max="7180" width="13.26953125" style="137" bestFit="1" customWidth="1"/>
    <col min="7181" max="7181" width="14.453125" style="137" bestFit="1" customWidth="1"/>
    <col min="7182" max="7424" width="9" style="137"/>
    <col min="7425" max="7425" width="4.08984375" style="137" customWidth="1"/>
    <col min="7426" max="7426" width="23" style="137" bestFit="1" customWidth="1"/>
    <col min="7427" max="7427" width="17.26953125" style="137" customWidth="1"/>
    <col min="7428" max="7432" width="18.7265625" style="137" customWidth="1"/>
    <col min="7433" max="7433" width="18.08984375" style="137" bestFit="1" customWidth="1"/>
    <col min="7434" max="7434" width="13.26953125" style="137" bestFit="1" customWidth="1"/>
    <col min="7435" max="7435" width="12" style="137" bestFit="1" customWidth="1"/>
    <col min="7436" max="7436" width="13.26953125" style="137" bestFit="1" customWidth="1"/>
    <col min="7437" max="7437" width="14.453125" style="137" bestFit="1" customWidth="1"/>
    <col min="7438" max="7680" width="9" style="137"/>
    <col min="7681" max="7681" width="4.08984375" style="137" customWidth="1"/>
    <col min="7682" max="7682" width="23" style="137" bestFit="1" customWidth="1"/>
    <col min="7683" max="7683" width="17.26953125" style="137" customWidth="1"/>
    <col min="7684" max="7688" width="18.7265625" style="137" customWidth="1"/>
    <col min="7689" max="7689" width="18.08984375" style="137" bestFit="1" customWidth="1"/>
    <col min="7690" max="7690" width="13.26953125" style="137" bestFit="1" customWidth="1"/>
    <col min="7691" max="7691" width="12" style="137" bestFit="1" customWidth="1"/>
    <col min="7692" max="7692" width="13.26953125" style="137" bestFit="1" customWidth="1"/>
    <col min="7693" max="7693" width="14.453125" style="137" bestFit="1" customWidth="1"/>
    <col min="7694" max="7936" width="9" style="137"/>
    <col min="7937" max="7937" width="4.08984375" style="137" customWidth="1"/>
    <col min="7938" max="7938" width="23" style="137" bestFit="1" customWidth="1"/>
    <col min="7939" max="7939" width="17.26953125" style="137" customWidth="1"/>
    <col min="7940" max="7944" width="18.7265625" style="137" customWidth="1"/>
    <col min="7945" max="7945" width="18.08984375" style="137" bestFit="1" customWidth="1"/>
    <col min="7946" max="7946" width="13.26953125" style="137" bestFit="1" customWidth="1"/>
    <col min="7947" max="7947" width="12" style="137" bestFit="1" customWidth="1"/>
    <col min="7948" max="7948" width="13.26953125" style="137" bestFit="1" customWidth="1"/>
    <col min="7949" max="7949" width="14.453125" style="137" bestFit="1" customWidth="1"/>
    <col min="7950" max="8192" width="9" style="137"/>
    <col min="8193" max="8193" width="4.08984375" style="137" customWidth="1"/>
    <col min="8194" max="8194" width="23" style="137" bestFit="1" customWidth="1"/>
    <col min="8195" max="8195" width="17.26953125" style="137" customWidth="1"/>
    <col min="8196" max="8200" width="18.7265625" style="137" customWidth="1"/>
    <col min="8201" max="8201" width="18.08984375" style="137" bestFit="1" customWidth="1"/>
    <col min="8202" max="8202" width="13.26953125" style="137" bestFit="1" customWidth="1"/>
    <col min="8203" max="8203" width="12" style="137" bestFit="1" customWidth="1"/>
    <col min="8204" max="8204" width="13.26953125" style="137" bestFit="1" customWidth="1"/>
    <col min="8205" max="8205" width="14.453125" style="137" bestFit="1" customWidth="1"/>
    <col min="8206" max="8448" width="9" style="137"/>
    <col min="8449" max="8449" width="4.08984375" style="137" customWidth="1"/>
    <col min="8450" max="8450" width="23" style="137" bestFit="1" customWidth="1"/>
    <col min="8451" max="8451" width="17.26953125" style="137" customWidth="1"/>
    <col min="8452" max="8456" width="18.7265625" style="137" customWidth="1"/>
    <col min="8457" max="8457" width="18.08984375" style="137" bestFit="1" customWidth="1"/>
    <col min="8458" max="8458" width="13.26953125" style="137" bestFit="1" customWidth="1"/>
    <col min="8459" max="8459" width="12" style="137" bestFit="1" customWidth="1"/>
    <col min="8460" max="8460" width="13.26953125" style="137" bestFit="1" customWidth="1"/>
    <col min="8461" max="8461" width="14.453125" style="137" bestFit="1" customWidth="1"/>
    <col min="8462" max="8704" width="9" style="137"/>
    <col min="8705" max="8705" width="4.08984375" style="137" customWidth="1"/>
    <col min="8706" max="8706" width="23" style="137" bestFit="1" customWidth="1"/>
    <col min="8707" max="8707" width="17.26953125" style="137" customWidth="1"/>
    <col min="8708" max="8712" width="18.7265625" style="137" customWidth="1"/>
    <col min="8713" max="8713" width="18.08984375" style="137" bestFit="1" customWidth="1"/>
    <col min="8714" max="8714" width="13.26953125" style="137" bestFit="1" customWidth="1"/>
    <col min="8715" max="8715" width="12" style="137" bestFit="1" customWidth="1"/>
    <col min="8716" max="8716" width="13.26953125" style="137" bestFit="1" customWidth="1"/>
    <col min="8717" max="8717" width="14.453125" style="137" bestFit="1" customWidth="1"/>
    <col min="8718" max="8960" width="9" style="137"/>
    <col min="8961" max="8961" width="4.08984375" style="137" customWidth="1"/>
    <col min="8962" max="8962" width="23" style="137" bestFit="1" customWidth="1"/>
    <col min="8963" max="8963" width="17.26953125" style="137" customWidth="1"/>
    <col min="8964" max="8968" width="18.7265625" style="137" customWidth="1"/>
    <col min="8969" max="8969" width="18.08984375" style="137" bestFit="1" customWidth="1"/>
    <col min="8970" max="8970" width="13.26953125" style="137" bestFit="1" customWidth="1"/>
    <col min="8971" max="8971" width="12" style="137" bestFit="1" customWidth="1"/>
    <col min="8972" max="8972" width="13.26953125" style="137" bestFit="1" customWidth="1"/>
    <col min="8973" max="8973" width="14.453125" style="137" bestFit="1" customWidth="1"/>
    <col min="8974" max="9216" width="9" style="137"/>
    <col min="9217" max="9217" width="4.08984375" style="137" customWidth="1"/>
    <col min="9218" max="9218" width="23" style="137" bestFit="1" customWidth="1"/>
    <col min="9219" max="9219" width="17.26953125" style="137" customWidth="1"/>
    <col min="9220" max="9224" width="18.7265625" style="137" customWidth="1"/>
    <col min="9225" max="9225" width="18.08984375" style="137" bestFit="1" customWidth="1"/>
    <col min="9226" max="9226" width="13.26953125" style="137" bestFit="1" customWidth="1"/>
    <col min="9227" max="9227" width="12" style="137" bestFit="1" customWidth="1"/>
    <col min="9228" max="9228" width="13.26953125" style="137" bestFit="1" customWidth="1"/>
    <col min="9229" max="9229" width="14.453125" style="137" bestFit="1" customWidth="1"/>
    <col min="9230" max="9472" width="9" style="137"/>
    <col min="9473" max="9473" width="4.08984375" style="137" customWidth="1"/>
    <col min="9474" max="9474" width="23" style="137" bestFit="1" customWidth="1"/>
    <col min="9475" max="9475" width="17.26953125" style="137" customWidth="1"/>
    <col min="9476" max="9480" width="18.7265625" style="137" customWidth="1"/>
    <col min="9481" max="9481" width="18.08984375" style="137" bestFit="1" customWidth="1"/>
    <col min="9482" max="9482" width="13.26953125" style="137" bestFit="1" customWidth="1"/>
    <col min="9483" max="9483" width="12" style="137" bestFit="1" customWidth="1"/>
    <col min="9484" max="9484" width="13.26953125" style="137" bestFit="1" customWidth="1"/>
    <col min="9485" max="9485" width="14.453125" style="137" bestFit="1" customWidth="1"/>
    <col min="9486" max="9728" width="9" style="137"/>
    <col min="9729" max="9729" width="4.08984375" style="137" customWidth="1"/>
    <col min="9730" max="9730" width="23" style="137" bestFit="1" customWidth="1"/>
    <col min="9731" max="9731" width="17.26953125" style="137" customWidth="1"/>
    <col min="9732" max="9736" width="18.7265625" style="137" customWidth="1"/>
    <col min="9737" max="9737" width="18.08984375" style="137" bestFit="1" customWidth="1"/>
    <col min="9738" max="9738" width="13.26953125" style="137" bestFit="1" customWidth="1"/>
    <col min="9739" max="9739" width="12" style="137" bestFit="1" customWidth="1"/>
    <col min="9740" max="9740" width="13.26953125" style="137" bestFit="1" customWidth="1"/>
    <col min="9741" max="9741" width="14.453125" style="137" bestFit="1" customWidth="1"/>
    <col min="9742" max="9984" width="9" style="137"/>
    <col min="9985" max="9985" width="4.08984375" style="137" customWidth="1"/>
    <col min="9986" max="9986" width="23" style="137" bestFit="1" customWidth="1"/>
    <col min="9987" max="9987" width="17.26953125" style="137" customWidth="1"/>
    <col min="9988" max="9992" width="18.7265625" style="137" customWidth="1"/>
    <col min="9993" max="9993" width="18.08984375" style="137" bestFit="1" customWidth="1"/>
    <col min="9994" max="9994" width="13.26953125" style="137" bestFit="1" customWidth="1"/>
    <col min="9995" max="9995" width="12" style="137" bestFit="1" customWidth="1"/>
    <col min="9996" max="9996" width="13.26953125" style="137" bestFit="1" customWidth="1"/>
    <col min="9997" max="9997" width="14.453125" style="137" bestFit="1" customWidth="1"/>
    <col min="9998" max="10240" width="9" style="137"/>
    <col min="10241" max="10241" width="4.08984375" style="137" customWidth="1"/>
    <col min="10242" max="10242" width="23" style="137" bestFit="1" customWidth="1"/>
    <col min="10243" max="10243" width="17.26953125" style="137" customWidth="1"/>
    <col min="10244" max="10248" width="18.7265625" style="137" customWidth="1"/>
    <col min="10249" max="10249" width="18.08984375" style="137" bestFit="1" customWidth="1"/>
    <col min="10250" max="10250" width="13.26953125" style="137" bestFit="1" customWidth="1"/>
    <col min="10251" max="10251" width="12" style="137" bestFit="1" customWidth="1"/>
    <col min="10252" max="10252" width="13.26953125" style="137" bestFit="1" customWidth="1"/>
    <col min="10253" max="10253" width="14.453125" style="137" bestFit="1" customWidth="1"/>
    <col min="10254" max="10496" width="9" style="137"/>
    <col min="10497" max="10497" width="4.08984375" style="137" customWidth="1"/>
    <col min="10498" max="10498" width="23" style="137" bestFit="1" customWidth="1"/>
    <col min="10499" max="10499" width="17.26953125" style="137" customWidth="1"/>
    <col min="10500" max="10504" width="18.7265625" style="137" customWidth="1"/>
    <col min="10505" max="10505" width="18.08984375" style="137" bestFit="1" customWidth="1"/>
    <col min="10506" max="10506" width="13.26953125" style="137" bestFit="1" customWidth="1"/>
    <col min="10507" max="10507" width="12" style="137" bestFit="1" customWidth="1"/>
    <col min="10508" max="10508" width="13.26953125" style="137" bestFit="1" customWidth="1"/>
    <col min="10509" max="10509" width="14.453125" style="137" bestFit="1" customWidth="1"/>
    <col min="10510" max="10752" width="9" style="137"/>
    <col min="10753" max="10753" width="4.08984375" style="137" customWidth="1"/>
    <col min="10754" max="10754" width="23" style="137" bestFit="1" customWidth="1"/>
    <col min="10755" max="10755" width="17.26953125" style="137" customWidth="1"/>
    <col min="10756" max="10760" width="18.7265625" style="137" customWidth="1"/>
    <col min="10761" max="10761" width="18.08984375" style="137" bestFit="1" customWidth="1"/>
    <col min="10762" max="10762" width="13.26953125" style="137" bestFit="1" customWidth="1"/>
    <col min="10763" max="10763" width="12" style="137" bestFit="1" customWidth="1"/>
    <col min="10764" max="10764" width="13.26953125" style="137" bestFit="1" customWidth="1"/>
    <col min="10765" max="10765" width="14.453125" style="137" bestFit="1" customWidth="1"/>
    <col min="10766" max="11008" width="9" style="137"/>
    <col min="11009" max="11009" width="4.08984375" style="137" customWidth="1"/>
    <col min="11010" max="11010" width="23" style="137" bestFit="1" customWidth="1"/>
    <col min="11011" max="11011" width="17.26953125" style="137" customWidth="1"/>
    <col min="11012" max="11016" width="18.7265625" style="137" customWidth="1"/>
    <col min="11017" max="11017" width="18.08984375" style="137" bestFit="1" customWidth="1"/>
    <col min="11018" max="11018" width="13.26953125" style="137" bestFit="1" customWidth="1"/>
    <col min="11019" max="11019" width="12" style="137" bestFit="1" customWidth="1"/>
    <col min="11020" max="11020" width="13.26953125" style="137" bestFit="1" customWidth="1"/>
    <col min="11021" max="11021" width="14.453125" style="137" bestFit="1" customWidth="1"/>
    <col min="11022" max="11264" width="9" style="137"/>
    <col min="11265" max="11265" width="4.08984375" style="137" customWidth="1"/>
    <col min="11266" max="11266" width="23" style="137" bestFit="1" customWidth="1"/>
    <col min="11267" max="11267" width="17.26953125" style="137" customWidth="1"/>
    <col min="11268" max="11272" width="18.7265625" style="137" customWidth="1"/>
    <col min="11273" max="11273" width="18.08984375" style="137" bestFit="1" customWidth="1"/>
    <col min="11274" max="11274" width="13.26953125" style="137" bestFit="1" customWidth="1"/>
    <col min="11275" max="11275" width="12" style="137" bestFit="1" customWidth="1"/>
    <col min="11276" max="11276" width="13.26953125" style="137" bestFit="1" customWidth="1"/>
    <col min="11277" max="11277" width="14.453125" style="137" bestFit="1" customWidth="1"/>
    <col min="11278" max="11520" width="9" style="137"/>
    <col min="11521" max="11521" width="4.08984375" style="137" customWidth="1"/>
    <col min="11522" max="11522" width="23" style="137" bestFit="1" customWidth="1"/>
    <col min="11523" max="11523" width="17.26953125" style="137" customWidth="1"/>
    <col min="11524" max="11528" width="18.7265625" style="137" customWidth="1"/>
    <col min="11529" max="11529" width="18.08984375" style="137" bestFit="1" customWidth="1"/>
    <col min="11530" max="11530" width="13.26953125" style="137" bestFit="1" customWidth="1"/>
    <col min="11531" max="11531" width="12" style="137" bestFit="1" customWidth="1"/>
    <col min="11532" max="11532" width="13.26953125" style="137" bestFit="1" customWidth="1"/>
    <col min="11533" max="11533" width="14.453125" style="137" bestFit="1" customWidth="1"/>
    <col min="11534" max="11776" width="9" style="137"/>
    <col min="11777" max="11777" width="4.08984375" style="137" customWidth="1"/>
    <col min="11778" max="11778" width="23" style="137" bestFit="1" customWidth="1"/>
    <col min="11779" max="11779" width="17.26953125" style="137" customWidth="1"/>
    <col min="11780" max="11784" width="18.7265625" style="137" customWidth="1"/>
    <col min="11785" max="11785" width="18.08984375" style="137" bestFit="1" customWidth="1"/>
    <col min="11786" max="11786" width="13.26953125" style="137" bestFit="1" customWidth="1"/>
    <col min="11787" max="11787" width="12" style="137" bestFit="1" customWidth="1"/>
    <col min="11788" max="11788" width="13.26953125" style="137" bestFit="1" customWidth="1"/>
    <col min="11789" max="11789" width="14.453125" style="137" bestFit="1" customWidth="1"/>
    <col min="11790" max="12032" width="9" style="137"/>
    <col min="12033" max="12033" width="4.08984375" style="137" customWidth="1"/>
    <col min="12034" max="12034" width="23" style="137" bestFit="1" customWidth="1"/>
    <col min="12035" max="12035" width="17.26953125" style="137" customWidth="1"/>
    <col min="12036" max="12040" width="18.7265625" style="137" customWidth="1"/>
    <col min="12041" max="12041" width="18.08984375" style="137" bestFit="1" customWidth="1"/>
    <col min="12042" max="12042" width="13.26953125" style="137" bestFit="1" customWidth="1"/>
    <col min="12043" max="12043" width="12" style="137" bestFit="1" customWidth="1"/>
    <col min="12044" max="12044" width="13.26953125" style="137" bestFit="1" customWidth="1"/>
    <col min="12045" max="12045" width="14.453125" style="137" bestFit="1" customWidth="1"/>
    <col min="12046" max="12288" width="9" style="137"/>
    <col min="12289" max="12289" width="4.08984375" style="137" customWidth="1"/>
    <col min="12290" max="12290" width="23" style="137" bestFit="1" customWidth="1"/>
    <col min="12291" max="12291" width="17.26953125" style="137" customWidth="1"/>
    <col min="12292" max="12296" width="18.7265625" style="137" customWidth="1"/>
    <col min="12297" max="12297" width="18.08984375" style="137" bestFit="1" customWidth="1"/>
    <col min="12298" max="12298" width="13.26953125" style="137" bestFit="1" customWidth="1"/>
    <col min="12299" max="12299" width="12" style="137" bestFit="1" customWidth="1"/>
    <col min="12300" max="12300" width="13.26953125" style="137" bestFit="1" customWidth="1"/>
    <col min="12301" max="12301" width="14.453125" style="137" bestFit="1" customWidth="1"/>
    <col min="12302" max="12544" width="9" style="137"/>
    <col min="12545" max="12545" width="4.08984375" style="137" customWidth="1"/>
    <col min="12546" max="12546" width="23" style="137" bestFit="1" customWidth="1"/>
    <col min="12547" max="12547" width="17.26953125" style="137" customWidth="1"/>
    <col min="12548" max="12552" width="18.7265625" style="137" customWidth="1"/>
    <col min="12553" max="12553" width="18.08984375" style="137" bestFit="1" customWidth="1"/>
    <col min="12554" max="12554" width="13.26953125" style="137" bestFit="1" customWidth="1"/>
    <col min="12555" max="12555" width="12" style="137" bestFit="1" customWidth="1"/>
    <col min="12556" max="12556" width="13.26953125" style="137" bestFit="1" customWidth="1"/>
    <col min="12557" max="12557" width="14.453125" style="137" bestFit="1" customWidth="1"/>
    <col min="12558" max="12800" width="9" style="137"/>
    <col min="12801" max="12801" width="4.08984375" style="137" customWidth="1"/>
    <col min="12802" max="12802" width="23" style="137" bestFit="1" customWidth="1"/>
    <col min="12803" max="12803" width="17.26953125" style="137" customWidth="1"/>
    <col min="12804" max="12808" width="18.7265625" style="137" customWidth="1"/>
    <col min="12809" max="12809" width="18.08984375" style="137" bestFit="1" customWidth="1"/>
    <col min="12810" max="12810" width="13.26953125" style="137" bestFit="1" customWidth="1"/>
    <col min="12811" max="12811" width="12" style="137" bestFit="1" customWidth="1"/>
    <col min="12812" max="12812" width="13.26953125" style="137" bestFit="1" customWidth="1"/>
    <col min="12813" max="12813" width="14.453125" style="137" bestFit="1" customWidth="1"/>
    <col min="12814" max="13056" width="9" style="137"/>
    <col min="13057" max="13057" width="4.08984375" style="137" customWidth="1"/>
    <col min="13058" max="13058" width="23" style="137" bestFit="1" customWidth="1"/>
    <col min="13059" max="13059" width="17.26953125" style="137" customWidth="1"/>
    <col min="13060" max="13064" width="18.7265625" style="137" customWidth="1"/>
    <col min="13065" max="13065" width="18.08984375" style="137" bestFit="1" customWidth="1"/>
    <col min="13066" max="13066" width="13.26953125" style="137" bestFit="1" customWidth="1"/>
    <col min="13067" max="13067" width="12" style="137" bestFit="1" customWidth="1"/>
    <col min="13068" max="13068" width="13.26953125" style="137" bestFit="1" customWidth="1"/>
    <col min="13069" max="13069" width="14.453125" style="137" bestFit="1" customWidth="1"/>
    <col min="13070" max="13312" width="9" style="137"/>
    <col min="13313" max="13313" width="4.08984375" style="137" customWidth="1"/>
    <col min="13314" max="13314" width="23" style="137" bestFit="1" customWidth="1"/>
    <col min="13315" max="13315" width="17.26953125" style="137" customWidth="1"/>
    <col min="13316" max="13320" width="18.7265625" style="137" customWidth="1"/>
    <col min="13321" max="13321" width="18.08984375" style="137" bestFit="1" customWidth="1"/>
    <col min="13322" max="13322" width="13.26953125" style="137" bestFit="1" customWidth="1"/>
    <col min="13323" max="13323" width="12" style="137" bestFit="1" customWidth="1"/>
    <col min="13324" max="13324" width="13.26953125" style="137" bestFit="1" customWidth="1"/>
    <col min="13325" max="13325" width="14.453125" style="137" bestFit="1" customWidth="1"/>
    <col min="13326" max="13568" width="9" style="137"/>
    <col min="13569" max="13569" width="4.08984375" style="137" customWidth="1"/>
    <col min="13570" max="13570" width="23" style="137" bestFit="1" customWidth="1"/>
    <col min="13571" max="13571" width="17.26953125" style="137" customWidth="1"/>
    <col min="13572" max="13576" width="18.7265625" style="137" customWidth="1"/>
    <col min="13577" max="13577" width="18.08984375" style="137" bestFit="1" customWidth="1"/>
    <col min="13578" max="13578" width="13.26953125" style="137" bestFit="1" customWidth="1"/>
    <col min="13579" max="13579" width="12" style="137" bestFit="1" customWidth="1"/>
    <col min="13580" max="13580" width="13.26953125" style="137" bestFit="1" customWidth="1"/>
    <col min="13581" max="13581" width="14.453125" style="137" bestFit="1" customWidth="1"/>
    <col min="13582" max="13824" width="9" style="137"/>
    <col min="13825" max="13825" width="4.08984375" style="137" customWidth="1"/>
    <col min="13826" max="13826" width="23" style="137" bestFit="1" customWidth="1"/>
    <col min="13827" max="13827" width="17.26953125" style="137" customWidth="1"/>
    <col min="13828" max="13832" width="18.7265625" style="137" customWidth="1"/>
    <col min="13833" max="13833" width="18.08984375" style="137" bestFit="1" customWidth="1"/>
    <col min="13834" max="13834" width="13.26953125" style="137" bestFit="1" customWidth="1"/>
    <col min="13835" max="13835" width="12" style="137" bestFit="1" customWidth="1"/>
    <col min="13836" max="13836" width="13.26953125" style="137" bestFit="1" customWidth="1"/>
    <col min="13837" max="13837" width="14.453125" style="137" bestFit="1" customWidth="1"/>
    <col min="13838" max="14080" width="9" style="137"/>
    <col min="14081" max="14081" width="4.08984375" style="137" customWidth="1"/>
    <col min="14082" max="14082" width="23" style="137" bestFit="1" customWidth="1"/>
    <col min="14083" max="14083" width="17.26953125" style="137" customWidth="1"/>
    <col min="14084" max="14088" width="18.7265625" style="137" customWidth="1"/>
    <col min="14089" max="14089" width="18.08984375" style="137" bestFit="1" customWidth="1"/>
    <col min="14090" max="14090" width="13.26953125" style="137" bestFit="1" customWidth="1"/>
    <col min="14091" max="14091" width="12" style="137" bestFit="1" customWidth="1"/>
    <col min="14092" max="14092" width="13.26953125" style="137" bestFit="1" customWidth="1"/>
    <col min="14093" max="14093" width="14.453125" style="137" bestFit="1" customWidth="1"/>
    <col min="14094" max="14336" width="9" style="137"/>
    <col min="14337" max="14337" width="4.08984375" style="137" customWidth="1"/>
    <col min="14338" max="14338" width="23" style="137" bestFit="1" customWidth="1"/>
    <col min="14339" max="14339" width="17.26953125" style="137" customWidth="1"/>
    <col min="14340" max="14344" width="18.7265625" style="137" customWidth="1"/>
    <col min="14345" max="14345" width="18.08984375" style="137" bestFit="1" customWidth="1"/>
    <col min="14346" max="14346" width="13.26953125" style="137" bestFit="1" customWidth="1"/>
    <col min="14347" max="14347" width="12" style="137" bestFit="1" customWidth="1"/>
    <col min="14348" max="14348" width="13.26953125" style="137" bestFit="1" customWidth="1"/>
    <col min="14349" max="14349" width="14.453125" style="137" bestFit="1" customWidth="1"/>
    <col min="14350" max="14592" width="9" style="137"/>
    <col min="14593" max="14593" width="4.08984375" style="137" customWidth="1"/>
    <col min="14594" max="14594" width="23" style="137" bestFit="1" customWidth="1"/>
    <col min="14595" max="14595" width="17.26953125" style="137" customWidth="1"/>
    <col min="14596" max="14600" width="18.7265625" style="137" customWidth="1"/>
    <col min="14601" max="14601" width="18.08984375" style="137" bestFit="1" customWidth="1"/>
    <col min="14602" max="14602" width="13.26953125" style="137" bestFit="1" customWidth="1"/>
    <col min="14603" max="14603" width="12" style="137" bestFit="1" customWidth="1"/>
    <col min="14604" max="14604" width="13.26953125" style="137" bestFit="1" customWidth="1"/>
    <col min="14605" max="14605" width="14.453125" style="137" bestFit="1" customWidth="1"/>
    <col min="14606" max="14848" width="9" style="137"/>
    <col min="14849" max="14849" width="4.08984375" style="137" customWidth="1"/>
    <col min="14850" max="14850" width="23" style="137" bestFit="1" customWidth="1"/>
    <col min="14851" max="14851" width="17.26953125" style="137" customWidth="1"/>
    <col min="14852" max="14856" width="18.7265625" style="137" customWidth="1"/>
    <col min="14857" max="14857" width="18.08984375" style="137" bestFit="1" customWidth="1"/>
    <col min="14858" max="14858" width="13.26953125" style="137" bestFit="1" customWidth="1"/>
    <col min="14859" max="14859" width="12" style="137" bestFit="1" customWidth="1"/>
    <col min="14860" max="14860" width="13.26953125" style="137" bestFit="1" customWidth="1"/>
    <col min="14861" max="14861" width="14.453125" style="137" bestFit="1" customWidth="1"/>
    <col min="14862" max="15104" width="9" style="137"/>
    <col min="15105" max="15105" width="4.08984375" style="137" customWidth="1"/>
    <col min="15106" max="15106" width="23" style="137" bestFit="1" customWidth="1"/>
    <col min="15107" max="15107" width="17.26953125" style="137" customWidth="1"/>
    <col min="15108" max="15112" width="18.7265625" style="137" customWidth="1"/>
    <col min="15113" max="15113" width="18.08984375" style="137" bestFit="1" customWidth="1"/>
    <col min="15114" max="15114" width="13.26953125" style="137" bestFit="1" customWidth="1"/>
    <col min="15115" max="15115" width="12" style="137" bestFit="1" customWidth="1"/>
    <col min="15116" max="15116" width="13.26953125" style="137" bestFit="1" customWidth="1"/>
    <col min="15117" max="15117" width="14.453125" style="137" bestFit="1" customWidth="1"/>
    <col min="15118" max="15360" width="9" style="137"/>
    <col min="15361" max="15361" width="4.08984375" style="137" customWidth="1"/>
    <col min="15362" max="15362" width="23" style="137" bestFit="1" customWidth="1"/>
    <col min="15363" max="15363" width="17.26953125" style="137" customWidth="1"/>
    <col min="15364" max="15368" width="18.7265625" style="137" customWidth="1"/>
    <col min="15369" max="15369" width="18.08984375" style="137" bestFit="1" customWidth="1"/>
    <col min="15370" max="15370" width="13.26953125" style="137" bestFit="1" customWidth="1"/>
    <col min="15371" max="15371" width="12" style="137" bestFit="1" customWidth="1"/>
    <col min="15372" max="15372" width="13.26953125" style="137" bestFit="1" customWidth="1"/>
    <col min="15373" max="15373" width="14.453125" style="137" bestFit="1" customWidth="1"/>
    <col min="15374" max="15616" width="9" style="137"/>
    <col min="15617" max="15617" width="4.08984375" style="137" customWidth="1"/>
    <col min="15618" max="15618" width="23" style="137" bestFit="1" customWidth="1"/>
    <col min="15619" max="15619" width="17.26953125" style="137" customWidth="1"/>
    <col min="15620" max="15624" width="18.7265625" style="137" customWidth="1"/>
    <col min="15625" max="15625" width="18.08984375" style="137" bestFit="1" customWidth="1"/>
    <col min="15626" max="15626" width="13.26953125" style="137" bestFit="1" customWidth="1"/>
    <col min="15627" max="15627" width="12" style="137" bestFit="1" customWidth="1"/>
    <col min="15628" max="15628" width="13.26953125" style="137" bestFit="1" customWidth="1"/>
    <col min="15629" max="15629" width="14.453125" style="137" bestFit="1" customWidth="1"/>
    <col min="15630" max="15872" width="9" style="137"/>
    <col min="15873" max="15873" width="4.08984375" style="137" customWidth="1"/>
    <col min="15874" max="15874" width="23" style="137" bestFit="1" customWidth="1"/>
    <col min="15875" max="15875" width="17.26953125" style="137" customWidth="1"/>
    <col min="15876" max="15880" width="18.7265625" style="137" customWidth="1"/>
    <col min="15881" max="15881" width="18.08984375" style="137" bestFit="1" customWidth="1"/>
    <col min="15882" max="15882" width="13.26953125" style="137" bestFit="1" customWidth="1"/>
    <col min="15883" max="15883" width="12" style="137" bestFit="1" customWidth="1"/>
    <col min="15884" max="15884" width="13.26953125" style="137" bestFit="1" customWidth="1"/>
    <col min="15885" max="15885" width="14.453125" style="137" bestFit="1" customWidth="1"/>
    <col min="15886" max="16128" width="9" style="137"/>
    <col min="16129" max="16129" width="4.08984375" style="137" customWidth="1"/>
    <col min="16130" max="16130" width="23" style="137" bestFit="1" customWidth="1"/>
    <col min="16131" max="16131" width="17.26953125" style="137" customWidth="1"/>
    <col min="16132" max="16136" width="18.7265625" style="137" customWidth="1"/>
    <col min="16137" max="16137" width="18.08984375" style="137" bestFit="1" customWidth="1"/>
    <col min="16138" max="16138" width="13.26953125" style="137" bestFit="1" customWidth="1"/>
    <col min="16139" max="16139" width="12" style="137" bestFit="1" customWidth="1"/>
    <col min="16140" max="16140" width="13.26953125" style="137" bestFit="1" customWidth="1"/>
    <col min="16141" max="16141" width="14.453125" style="137" bestFit="1" customWidth="1"/>
    <col min="16142" max="16384" width="9" style="137"/>
  </cols>
  <sheetData>
    <row r="2" spans="1:15" s="132" customFormat="1">
      <c r="C2" s="133" t="s">
        <v>152</v>
      </c>
      <c r="D2" s="134"/>
      <c r="E2" s="135" t="s">
        <v>1</v>
      </c>
      <c r="F2" s="136"/>
      <c r="I2" s="135" t="s">
        <v>1</v>
      </c>
      <c r="J2" s="136"/>
      <c r="M2" s="135" t="s">
        <v>1</v>
      </c>
      <c r="N2" s="136"/>
    </row>
    <row r="3" spans="1:15" ht="28.9" customHeight="1">
      <c r="A3" s="297" t="s">
        <v>153</v>
      </c>
      <c r="B3" s="298"/>
      <c r="C3" s="203" t="s">
        <v>154</v>
      </c>
      <c r="D3" s="217">
        <v>46113</v>
      </c>
      <c r="E3" s="218">
        <f>IF(MONTH(D3)=12,EDATE(D3,1),EDATE(D3,1))</f>
        <v>46143</v>
      </c>
      <c r="F3" s="217">
        <f t="shared" ref="F3:H3" si="0">IF(MONTH(E3)=12,EDATE(E3,1),EDATE(E3,1))</f>
        <v>46174</v>
      </c>
      <c r="G3" s="218">
        <f t="shared" si="0"/>
        <v>46204</v>
      </c>
      <c r="H3" s="217">
        <f t="shared" si="0"/>
        <v>46235</v>
      </c>
      <c r="I3" s="218">
        <f>IF(MONTH(H3)=12,EDATE(H3,1),EDATE(H3,1))</f>
        <v>46266</v>
      </c>
      <c r="J3" s="217">
        <f t="shared" ref="J3" si="1">IF(MONTH(I3)=12,EDATE(I3,1),EDATE(I3,1))</f>
        <v>46296</v>
      </c>
      <c r="K3" s="218">
        <f t="shared" ref="K3" si="2">IF(MONTH(J3)=12,EDATE(J3,1),EDATE(J3,1))</f>
        <v>46327</v>
      </c>
      <c r="L3" s="217">
        <f t="shared" ref="L3" si="3">IF(MONTH(K3)=12,EDATE(K3,1),EDATE(K3,1))</f>
        <v>46357</v>
      </c>
      <c r="M3" s="218">
        <f>IF(MONTH(L3)=12,EDATE(L3,1),EDATE(L3,1))</f>
        <v>46388</v>
      </c>
      <c r="N3" s="217">
        <f t="shared" ref="N3" si="4">IF(MONTH(M3)=12,EDATE(M3,1),EDATE(M3,1))</f>
        <v>46419</v>
      </c>
      <c r="O3" s="218">
        <f t="shared" ref="O3" si="5">IF(MONTH(N3)=12,EDATE(N3,1),EDATE(N3,1))</f>
        <v>46447</v>
      </c>
    </row>
    <row r="4" spans="1:15" ht="15" customHeight="1">
      <c r="A4" s="301" t="s">
        <v>155</v>
      </c>
      <c r="B4" s="301"/>
      <c r="C4" s="138" t="s">
        <v>156</v>
      </c>
      <c r="D4" s="139">
        <f t="shared" ref="D4:G5" si="6">D133</f>
        <v>324649.60000000009</v>
      </c>
      <c r="E4" s="139">
        <f t="shared" si="6"/>
        <v>324649.59999999998</v>
      </c>
      <c r="F4" s="139">
        <f t="shared" si="6"/>
        <v>324649.59999999998</v>
      </c>
      <c r="G4" s="139">
        <f t="shared" si="6"/>
        <v>324649.60000000009</v>
      </c>
      <c r="H4" s="139">
        <f>H133</f>
        <v>324649.60000000003</v>
      </c>
      <c r="I4" s="139">
        <f t="shared" ref="I4:K4" si="7">I133</f>
        <v>324649.60000000003</v>
      </c>
      <c r="J4" s="139">
        <f t="shared" si="7"/>
        <v>324649.59999999992</v>
      </c>
      <c r="K4" s="139">
        <f t="shared" si="7"/>
        <v>324649.60000000009</v>
      </c>
      <c r="L4" s="139">
        <f>L133</f>
        <v>324649.59999999986</v>
      </c>
      <c r="M4" s="139">
        <f t="shared" ref="M4:O4" si="8">M133</f>
        <v>324649.60000000009</v>
      </c>
      <c r="N4" s="139">
        <f t="shared" si="8"/>
        <v>324649.59999999998</v>
      </c>
      <c r="O4" s="139">
        <f t="shared" si="8"/>
        <v>324649.60000000009</v>
      </c>
    </row>
    <row r="5" spans="1:15" ht="15" customHeight="1" thickBot="1">
      <c r="A5" s="303"/>
      <c r="B5" s="303"/>
      <c r="C5" s="141" t="s">
        <v>157</v>
      </c>
      <c r="D5" s="207">
        <f t="shared" si="6"/>
        <v>21912.570000000011</v>
      </c>
      <c r="E5" s="207">
        <f t="shared" si="6"/>
        <v>21912.570000000007</v>
      </c>
      <c r="F5" s="207">
        <f t="shared" si="6"/>
        <v>21912.57</v>
      </c>
      <c r="G5" s="207">
        <f t="shared" si="6"/>
        <v>21912.57</v>
      </c>
      <c r="H5" s="207">
        <f>H134</f>
        <v>21912.569999999996</v>
      </c>
      <c r="I5" s="207">
        <f t="shared" ref="I5:K5" si="9">I134</f>
        <v>21912.570000000003</v>
      </c>
      <c r="J5" s="207">
        <f t="shared" si="9"/>
        <v>21912.570000000007</v>
      </c>
      <c r="K5" s="207">
        <f t="shared" si="9"/>
        <v>21912.570000000011</v>
      </c>
      <c r="L5" s="207">
        <f>L134</f>
        <v>21912.569999999996</v>
      </c>
      <c r="M5" s="207">
        <f t="shared" ref="M5:O5" si="10">M134</f>
        <v>21912.569999999996</v>
      </c>
      <c r="N5" s="207">
        <f t="shared" si="10"/>
        <v>21912.570000000007</v>
      </c>
      <c r="O5" s="207">
        <f t="shared" si="10"/>
        <v>21912.569999999996</v>
      </c>
    </row>
    <row r="6" spans="1:15" ht="15" customHeight="1" thickTop="1">
      <c r="A6" s="142"/>
      <c r="B6" s="143"/>
      <c r="C6" s="144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</row>
    <row r="7" spans="1:15" ht="15" customHeight="1">
      <c r="A7" s="301">
        <v>1</v>
      </c>
      <c r="B7" s="146" t="s">
        <v>89</v>
      </c>
      <c r="C7" s="147" t="s">
        <v>156</v>
      </c>
      <c r="D7" s="205">
        <f>VLOOKUP(B8,'B&amp;L'!$A$7:$BK$69,5,0)</f>
        <v>13120.54</v>
      </c>
      <c r="E7" s="205">
        <f>VLOOKUP(B8,'B&amp;L'!$A$7:$BK$69,10,0)</f>
        <v>13142.14</v>
      </c>
      <c r="F7" s="205">
        <f>VLOOKUP(B8,'B&amp;L'!$A$7:$BK$69,15,0)</f>
        <v>12885.42</v>
      </c>
      <c r="G7" s="205">
        <f>VLOOKUP(B8,'B&amp;L'!$A$7:$BK$69,20,0)</f>
        <v>13112.58</v>
      </c>
      <c r="H7" s="205">
        <f>VLOOKUP(B8,'B&amp;L'!$A$7:$BK$69,25,0)</f>
        <v>13414.69</v>
      </c>
      <c r="I7" s="205">
        <f>VLOOKUP(B8,'B&amp;L'!$A$7:$BK$69,30,0)</f>
        <v>13414.5</v>
      </c>
      <c r="J7" s="205">
        <f>VLOOKUP(B8,'B&amp;L'!$A$7:$BK$69,35,0)</f>
        <v>13111.32</v>
      </c>
      <c r="K7" s="205">
        <f>VLOOKUP(B8,'B&amp;L'!$A$7:$BK$69,40,0)</f>
        <v>13294.21</v>
      </c>
      <c r="L7" s="205">
        <f>VLOOKUP(B8,'B&amp;L'!$A$7:$BK$69,45,0)</f>
        <v>13323.41</v>
      </c>
      <c r="M7" s="205">
        <f>VLOOKUP(B8,'B&amp;L'!$A$7:$BK$69,50,0)</f>
        <v>13484.92</v>
      </c>
      <c r="N7" s="205">
        <f>VLOOKUP(B8,'B&amp;L'!$A$7:$BK$69,55,0)</f>
        <v>14223.59</v>
      </c>
      <c r="O7" s="205">
        <f>VLOOKUP(B8,'B&amp;L'!$A$7:$BK$69,60,0)</f>
        <v>13277.16</v>
      </c>
    </row>
    <row r="8" spans="1:15" ht="15" customHeight="1">
      <c r="A8" s="301"/>
      <c r="B8" s="148">
        <v>1412000004</v>
      </c>
      <c r="C8" s="149" t="s">
        <v>157</v>
      </c>
      <c r="D8" s="204">
        <f>VLOOKUP(B8,'B&amp;L'!$A$7:$BK$69,6,0)</f>
        <v>885.58</v>
      </c>
      <c r="E8" s="204">
        <f>VLOOKUP(B8,'B&amp;L'!$A$7:$BK$69,11,0)</f>
        <v>887.04</v>
      </c>
      <c r="F8" s="204">
        <f>VLOOKUP(B8,'B&amp;L'!$A$7:$BK$69,16,0)</f>
        <v>869.72</v>
      </c>
      <c r="G8" s="204">
        <f>VLOOKUP(B8,'B&amp;L'!$A$7:$BK$69,21,0)</f>
        <v>885.05</v>
      </c>
      <c r="H8" s="204">
        <f>VLOOKUP(B8,'B&amp;L'!$A$7:$BK$69,26,0)</f>
        <v>905.44</v>
      </c>
      <c r="I8" s="204">
        <f>VLOOKUP(B8,'B&amp;L'!$A$7:$BK$69,31,0)</f>
        <v>905.43</v>
      </c>
      <c r="J8" s="204">
        <f>VLOOKUP(B8,'B&amp;L'!$A$7:$BK$69,36,0)</f>
        <v>884.96</v>
      </c>
      <c r="K8" s="204">
        <f>VLOOKUP(B8,'B&amp;L'!$A$7:$BK$69,41,0)</f>
        <v>897.31</v>
      </c>
      <c r="L8" s="204">
        <f>VLOOKUP(B8,'B&amp;L'!$A$7:$BK$69,46,0)</f>
        <v>899.28</v>
      </c>
      <c r="M8" s="204">
        <f>VLOOKUP(B8,'B&amp;L'!$A$7:$BK$69,51,0)</f>
        <v>910.18</v>
      </c>
      <c r="N8" s="204">
        <f>VLOOKUP(B8,'B&amp;L'!$A$7:$BK$69,56,0)</f>
        <v>960.04</v>
      </c>
      <c r="O8" s="204">
        <f>VLOOKUP(B8,'B&amp;L'!$A$7:$BK$69,61,0)</f>
        <v>896.16</v>
      </c>
    </row>
    <row r="9" spans="1:15" s="152" customFormat="1" ht="15" customHeight="1">
      <c r="A9" s="302">
        <v>2</v>
      </c>
      <c r="B9" s="150" t="s">
        <v>85</v>
      </c>
      <c r="C9" s="151" t="s">
        <v>156</v>
      </c>
      <c r="D9" s="205">
        <f>VLOOKUP(B10,'B&amp;L'!$A$7:$BK$69,5,0)</f>
        <v>17807.79</v>
      </c>
      <c r="E9" s="205">
        <f>VLOOKUP(B10,'B&amp;L'!$A$7:$BK$69,10,0)</f>
        <v>17919.89</v>
      </c>
      <c r="F9" s="205">
        <f>VLOOKUP(B10,'B&amp;L'!$A$7:$BK$69,15,0)</f>
        <v>17978.32</v>
      </c>
      <c r="G9" s="205">
        <f>VLOOKUP(B10,'B&amp;L'!$A$7:$BK$69,20,0)</f>
        <v>17998.68</v>
      </c>
      <c r="H9" s="205">
        <f>VLOOKUP(B10,'B&amp;L'!$A$7:$BK$69,25,0)</f>
        <v>17958.43</v>
      </c>
      <c r="I9" s="205">
        <f>VLOOKUP(B10,'B&amp;L'!$A$7:$BK$69,30,0)</f>
        <v>17963.93</v>
      </c>
      <c r="J9" s="205">
        <f>VLOOKUP(B10,'B&amp;L'!$A$7:$BK$69,35,0)</f>
        <v>17945.57</v>
      </c>
      <c r="K9" s="205">
        <f>VLOOKUP(B10,'B&amp;L'!$A$7:$BK$69,40,0)</f>
        <v>17916.400000000001</v>
      </c>
      <c r="L9" s="205">
        <f>VLOOKUP(B10,'B&amp;L'!$A$7:$BK$69,45,0)</f>
        <v>17802.57</v>
      </c>
      <c r="M9" s="205">
        <f>VLOOKUP(B10,'B&amp;L'!$A$7:$BK$69,50,0)</f>
        <v>17884.689999999999</v>
      </c>
      <c r="N9" s="205">
        <f>VLOOKUP(B10,'B&amp;L'!$A$7:$BK$69,55,0)</f>
        <v>18164.77</v>
      </c>
      <c r="O9" s="205">
        <f>VLOOKUP(B10,'B&amp;L'!$A$7:$BK$69,60,0)</f>
        <v>17840.02</v>
      </c>
    </row>
    <row r="10" spans="1:15" s="152" customFormat="1" ht="15" customHeight="1">
      <c r="A10" s="302"/>
      <c r="B10" s="153">
        <v>1412000005</v>
      </c>
      <c r="C10" s="154" t="s">
        <v>157</v>
      </c>
      <c r="D10" s="204">
        <f>VLOOKUP(B10,'B&amp;L'!$A$7:$BK$69,6,0)</f>
        <v>1201.96</v>
      </c>
      <c r="E10" s="204">
        <f>VLOOKUP(B10,'B&amp;L'!$A$7:$BK$69,11,0)</f>
        <v>1209.52</v>
      </c>
      <c r="F10" s="204">
        <f>VLOOKUP(B10,'B&amp;L'!$A$7:$BK$69,16,0)</f>
        <v>1213.47</v>
      </c>
      <c r="G10" s="204">
        <f>VLOOKUP(B10,'B&amp;L'!$A$7:$BK$69,21,0)</f>
        <v>1214.8399999999999</v>
      </c>
      <c r="H10" s="204">
        <f>VLOOKUP(B10,'B&amp;L'!$A$7:$BK$69,26,0)</f>
        <v>1212.1199999999999</v>
      </c>
      <c r="I10" s="204">
        <f>VLOOKUP(B10,'B&amp;L'!$A$7:$BK$69,31,0)</f>
        <v>1212.49</v>
      </c>
      <c r="J10" s="204">
        <f>VLOOKUP(B10,'B&amp;L'!$A$7:$BK$69,36,0)</f>
        <v>1211.26</v>
      </c>
      <c r="K10" s="204">
        <f>VLOOKUP(B10,'B&amp;L'!$A$7:$BK$69,41,0)</f>
        <v>1209.29</v>
      </c>
      <c r="L10" s="204">
        <f>VLOOKUP(B10,'B&amp;L'!$A$7:$BK$69,46,0)</f>
        <v>1201.5999999999999</v>
      </c>
      <c r="M10" s="204">
        <f>VLOOKUP(B10,'B&amp;L'!$A$7:$BK$69,51,0)</f>
        <v>1207.1500000000001</v>
      </c>
      <c r="N10" s="204">
        <f>VLOOKUP(B10,'B&amp;L'!$A$7:$BK$69,56,0)</f>
        <v>1226.05</v>
      </c>
      <c r="O10" s="204">
        <f>VLOOKUP(B10,'B&amp;L'!$A$7:$BK$69,61,0)</f>
        <v>1204.1300000000001</v>
      </c>
    </row>
    <row r="11" spans="1:15" ht="15" customHeight="1">
      <c r="A11" s="295">
        <v>3</v>
      </c>
      <c r="B11" s="155" t="s">
        <v>91</v>
      </c>
      <c r="C11" s="147" t="s">
        <v>156</v>
      </c>
      <c r="D11" s="205">
        <f>VLOOKUP(B12,'B&amp;L'!$A$7:$BK$69,5,0)</f>
        <v>244.52</v>
      </c>
      <c r="E11" s="205">
        <f>VLOOKUP(B12,'B&amp;L'!$A$7:$BK$69,10,0)</f>
        <v>250.28</v>
      </c>
      <c r="F11" s="205">
        <f>VLOOKUP(B12,'B&amp;L'!$A$7:$BK$69,15,0)</f>
        <v>265.57</v>
      </c>
      <c r="G11" s="205">
        <f>VLOOKUP(B12,'B&amp;L'!$A$7:$BK$69,20,0)</f>
        <v>250.31</v>
      </c>
      <c r="H11" s="205">
        <f>VLOOKUP(B12,'B&amp;L'!$A$7:$BK$69,25,0)</f>
        <v>239.84</v>
      </c>
      <c r="I11" s="205">
        <f>VLOOKUP(B12,'B&amp;L'!$A$7:$BK$69,30,0)</f>
        <v>244.06</v>
      </c>
      <c r="J11" s="205">
        <f>VLOOKUP(B12,'B&amp;L'!$A$7:$BK$69,35,0)</f>
        <v>251.25</v>
      </c>
      <c r="K11" s="205">
        <f>VLOOKUP(B12,'B&amp;L'!$A$7:$BK$69,40,0)</f>
        <v>248.2</v>
      </c>
      <c r="L11" s="205">
        <f>VLOOKUP(B12,'B&amp;L'!$A$7:$BK$69,45,0)</f>
        <v>246.25</v>
      </c>
      <c r="M11" s="205">
        <f>VLOOKUP(B12,'B&amp;L'!$A$7:$BK$69,50,0)</f>
        <v>238.68</v>
      </c>
      <c r="N11" s="205">
        <f>VLOOKUP(B12,'B&amp;L'!$A$7:$BK$69,55,0)</f>
        <v>220.76</v>
      </c>
      <c r="O11" s="205">
        <f>VLOOKUP(B12,'B&amp;L'!$A$7:$BK$69,60,0)</f>
        <v>244.54</v>
      </c>
    </row>
    <row r="12" spans="1:15" ht="15" customHeight="1">
      <c r="A12" s="296"/>
      <c r="B12" s="156">
        <v>1412000062</v>
      </c>
      <c r="C12" s="149" t="s">
        <v>157</v>
      </c>
      <c r="D12" s="204">
        <f>VLOOKUP(B12,'B&amp;L'!$A$7:$BK$69,6,0)</f>
        <v>16.5</v>
      </c>
      <c r="E12" s="204">
        <f>VLOOKUP(B12,'B&amp;L'!$A$7:$BK$69,11,0)</f>
        <v>16.89</v>
      </c>
      <c r="F12" s="204">
        <f>VLOOKUP(B12,'B&amp;L'!$A$7:$BK$69,16,0)</f>
        <v>17.920000000000002</v>
      </c>
      <c r="G12" s="204">
        <f>VLOOKUP(B12,'B&amp;L'!$A$7:$BK$69,21,0)</f>
        <v>16.899999999999999</v>
      </c>
      <c r="H12" s="204">
        <f>VLOOKUP(B12,'B&amp;L'!$A$7:$BK$69,26,0)</f>
        <v>16.190000000000001</v>
      </c>
      <c r="I12" s="204">
        <f>VLOOKUP(B12,'B&amp;L'!$A$7:$BK$69,31,0)</f>
        <v>16.47</v>
      </c>
      <c r="J12" s="204">
        <f>VLOOKUP(B12,'B&amp;L'!$A$7:$BK$69,36,0)</f>
        <v>16.96</v>
      </c>
      <c r="K12" s="204">
        <f>VLOOKUP(B12,'B&amp;L'!$A$7:$BK$69,41,0)</f>
        <v>16.75</v>
      </c>
      <c r="L12" s="204">
        <f>VLOOKUP(B12,'B&amp;L'!$A$7:$BK$69,46,0)</f>
        <v>16.62</v>
      </c>
      <c r="M12" s="204">
        <f>VLOOKUP(B12,'B&amp;L'!$A$7:$BK$69,51,0)</f>
        <v>16.11</v>
      </c>
      <c r="N12" s="204">
        <f>VLOOKUP(B12,'B&amp;L'!$A$7:$BK$69,56,0)</f>
        <v>14.9</v>
      </c>
      <c r="O12" s="204">
        <f>VLOOKUP(B12,'B&amp;L'!$A$7:$BK$69,61,0)</f>
        <v>16.510000000000002</v>
      </c>
    </row>
    <row r="13" spans="1:15" ht="15" customHeight="1">
      <c r="A13" s="295">
        <v>4</v>
      </c>
      <c r="B13" s="155" t="s">
        <v>57</v>
      </c>
      <c r="C13" s="147" t="s">
        <v>156</v>
      </c>
      <c r="D13" s="205">
        <f>VLOOKUP(B14,'B&amp;L'!$A$7:$BK$69,5,0)</f>
        <v>6380.12</v>
      </c>
      <c r="E13" s="205">
        <f>VLOOKUP(B14,'B&amp;L'!$A$7:$BK$69,10,0)</f>
        <v>6380.12</v>
      </c>
      <c r="F13" s="205">
        <f>VLOOKUP(B14,'B&amp;L'!$A$7:$BK$69,15,0)</f>
        <v>6380.12</v>
      </c>
      <c r="G13" s="205">
        <f>VLOOKUP(B14,'B&amp;L'!$A$7:$BK$69,20,0)</f>
        <v>6380.12</v>
      </c>
      <c r="H13" s="205">
        <f>VLOOKUP(B14,'B&amp;L'!$A$7:$BK$69,25,0)</f>
        <v>6380.12</v>
      </c>
      <c r="I13" s="205">
        <f>VLOOKUP(B14,'B&amp;L'!$A$7:$BK$69,30,0)</f>
        <v>6380.12</v>
      </c>
      <c r="J13" s="205">
        <f>VLOOKUP(B14,'B&amp;L'!$A$7:$BK$69,35,0)</f>
        <v>6380.12</v>
      </c>
      <c r="K13" s="205">
        <f>VLOOKUP(B14,'B&amp;L'!$A$7:$BK$69,40,0)</f>
        <v>6380.12</v>
      </c>
      <c r="L13" s="205">
        <f>VLOOKUP(B14,'B&amp;L'!$A$7:$BK$69,45,0)</f>
        <v>6380.12</v>
      </c>
      <c r="M13" s="205">
        <f>VLOOKUP(B14,'B&amp;L'!$A$7:$BK$69,50,0)</f>
        <v>6380.12</v>
      </c>
      <c r="N13" s="205">
        <f>VLOOKUP(B14,'B&amp;L'!$A$7:$BK$69,55,0)</f>
        <v>6380.12</v>
      </c>
      <c r="O13" s="205">
        <f>VLOOKUP(B14,'B&amp;L'!$A$7:$BK$69,60,0)</f>
        <v>6380.12</v>
      </c>
    </row>
    <row r="14" spans="1:15" ht="15" customHeight="1">
      <c r="A14" s="296"/>
      <c r="B14" s="156">
        <v>1412000066</v>
      </c>
      <c r="C14" s="149" t="s">
        <v>157</v>
      </c>
      <c r="D14" s="204">
        <f>VLOOKUP(B14,'B&amp;L'!$A$7:$BK$69,6,0)</f>
        <v>430.63</v>
      </c>
      <c r="E14" s="204">
        <f>VLOOKUP(B14,'B&amp;L'!$A$7:$BK$69,11,0)</f>
        <v>430.63</v>
      </c>
      <c r="F14" s="204">
        <f>VLOOKUP(B14,'B&amp;L'!$A$7:$BK$69,16,0)</f>
        <v>430.63</v>
      </c>
      <c r="G14" s="204">
        <f>VLOOKUP(B14,'B&amp;L'!$A$7:$BK$69,21,0)</f>
        <v>430.63</v>
      </c>
      <c r="H14" s="204">
        <f>VLOOKUP(B14,'B&amp;L'!$A$7:$BK$69,26,0)</f>
        <v>430.63</v>
      </c>
      <c r="I14" s="204">
        <f>VLOOKUP(B14,'B&amp;L'!$A$7:$BK$69,31,0)</f>
        <v>430.63</v>
      </c>
      <c r="J14" s="204">
        <f>VLOOKUP(B14,'B&amp;L'!$A$7:$BK$69,36,0)</f>
        <v>430.63</v>
      </c>
      <c r="K14" s="204">
        <f>VLOOKUP(B14,'B&amp;L'!$A$7:$BK$69,41,0)</f>
        <v>430.63</v>
      </c>
      <c r="L14" s="204">
        <f>VLOOKUP(B14,'B&amp;L'!$A$7:$BK$69,46,0)</f>
        <v>430.63</v>
      </c>
      <c r="M14" s="204">
        <f>VLOOKUP(B14,'B&amp;L'!$A$7:$BK$69,51,0)</f>
        <v>430.63</v>
      </c>
      <c r="N14" s="204">
        <f>VLOOKUP(B14,'B&amp;L'!$A$7:$BK$69,56,0)</f>
        <v>430.63</v>
      </c>
      <c r="O14" s="204">
        <f>VLOOKUP(B14,'B&amp;L'!$A$7:$BK$69,61,0)</f>
        <v>430.63</v>
      </c>
    </row>
    <row r="15" spans="1:15" ht="15" customHeight="1">
      <c r="A15" s="295">
        <v>5</v>
      </c>
      <c r="B15" s="155" t="s">
        <v>87</v>
      </c>
      <c r="C15" s="147" t="s">
        <v>156</v>
      </c>
      <c r="D15" s="205">
        <f>VLOOKUP(B16,'B&amp;L'!$A$7:$BK$69,5,0)</f>
        <v>47907.49</v>
      </c>
      <c r="E15" s="205">
        <f>VLOOKUP(B16,'B&amp;L'!$A$7:$BK$69,10,0)</f>
        <v>47628</v>
      </c>
      <c r="F15" s="205">
        <f>VLOOKUP(B16,'B&amp;L'!$A$7:$BK$69,15,0)</f>
        <v>47217.51</v>
      </c>
      <c r="G15" s="205">
        <f>VLOOKUP(B16,'B&amp;L'!$A$7:$BK$69,20,0)</f>
        <v>47502.29</v>
      </c>
      <c r="H15" s="205">
        <f>VLOOKUP(B16,'B&amp;L'!$A$7:$BK$69,25,0)</f>
        <v>47724.65</v>
      </c>
      <c r="I15" s="205">
        <f>VLOOKUP(B16,'B&amp;L'!$A$7:$BK$69,30,0)</f>
        <v>47612.51</v>
      </c>
      <c r="J15" s="205">
        <f>VLOOKUP(B16,'B&amp;L'!$A$7:$BK$69,35,0)</f>
        <v>47402.45</v>
      </c>
      <c r="K15" s="205">
        <f>VLOOKUP(B16,'B&amp;L'!$A$7:$BK$69,40,0)</f>
        <v>47494.1</v>
      </c>
      <c r="L15" s="205">
        <f>VLOOKUP(B16,'B&amp;L'!$A$7:$BK$69,45,0)</f>
        <v>47651.73</v>
      </c>
      <c r="M15" s="205">
        <f>VLOOKUP(B16,'B&amp;L'!$A$7:$BK$69,50,0)</f>
        <v>47742.78</v>
      </c>
      <c r="N15" s="205">
        <f>VLOOKUP(B16,'B&amp;L'!$A$7:$BK$69,55,0)</f>
        <v>47858.19</v>
      </c>
      <c r="O15" s="205">
        <f>VLOOKUP(B16,'B&amp;L'!$A$7:$BK$69,60,0)</f>
        <v>47661.03</v>
      </c>
    </row>
    <row r="16" spans="1:15" ht="15" customHeight="1">
      <c r="A16" s="296"/>
      <c r="B16" s="156">
        <v>1412000081</v>
      </c>
      <c r="C16" s="149" t="s">
        <v>157</v>
      </c>
      <c r="D16" s="204">
        <f>VLOOKUP(B16,'B&amp;L'!$A$7:$BK$69,6,0)</f>
        <v>3233.57</v>
      </c>
      <c r="E16" s="204">
        <f>VLOOKUP(B16,'B&amp;L'!$A$7:$BK$69,11,0)</f>
        <v>3214.7</v>
      </c>
      <c r="F16" s="204">
        <f>VLOOKUP(B16,'B&amp;L'!$A$7:$BK$69,16,0)</f>
        <v>3187</v>
      </c>
      <c r="G16" s="204">
        <f>VLOOKUP(B16,'B&amp;L'!$A$7:$BK$69,21,0)</f>
        <v>3206.22</v>
      </c>
      <c r="H16" s="204">
        <f>VLOOKUP(B16,'B&amp;L'!$A$7:$BK$69,26,0)</f>
        <v>3221.23</v>
      </c>
      <c r="I16" s="204">
        <f>VLOOKUP(B16,'B&amp;L'!$A$7:$BK$69,31,0)</f>
        <v>3213.66</v>
      </c>
      <c r="J16" s="204">
        <f>VLOOKUP(B16,'B&amp;L'!$A$7:$BK$69,36,0)</f>
        <v>3199.48</v>
      </c>
      <c r="K16" s="204">
        <f>VLOOKUP(B16,'B&amp;L'!$A$7:$BK$69,41,0)</f>
        <v>3205.66</v>
      </c>
      <c r="L16" s="204">
        <f>VLOOKUP(B16,'B&amp;L'!$A$7:$BK$69,46,0)</f>
        <v>3216.3</v>
      </c>
      <c r="M16" s="204">
        <f>VLOOKUP(B16,'B&amp;L'!$A$7:$BK$69,51,0)</f>
        <v>3222.45</v>
      </c>
      <c r="N16" s="204">
        <f>VLOOKUP(B16,'B&amp;L'!$A$7:$BK$69,56,0)</f>
        <v>3230.24</v>
      </c>
      <c r="O16" s="204">
        <f>VLOOKUP(B16,'B&amp;L'!$A$7:$BK$69,61,0)</f>
        <v>3216.93</v>
      </c>
    </row>
    <row r="17" spans="1:15" ht="15" customHeight="1">
      <c r="A17" s="301">
        <v>6</v>
      </c>
      <c r="B17" s="155" t="s">
        <v>121</v>
      </c>
      <c r="C17" s="147" t="s">
        <v>156</v>
      </c>
      <c r="D17" s="205">
        <f>VLOOKUP(B18,'B&amp;L'!$A$7:$BK$69,5,0)</f>
        <v>5396.22</v>
      </c>
      <c r="E17" s="205">
        <f>VLOOKUP(B18,'B&amp;L'!$A$7:$BK$69,10,0)</f>
        <v>5395.95</v>
      </c>
      <c r="F17" s="205">
        <f>VLOOKUP(B18,'B&amp;L'!$A$7:$BK$69,15,0)</f>
        <v>5409.44</v>
      </c>
      <c r="G17" s="205">
        <f>VLOOKUP(B18,'B&amp;L'!$A$7:$BK$69,20,0)</f>
        <v>5396.13</v>
      </c>
      <c r="H17" s="205">
        <f>VLOOKUP(B18,'B&amp;L'!$A$7:$BK$69,25,0)</f>
        <v>5382.73</v>
      </c>
      <c r="I17" s="205">
        <f>VLOOKUP(B18,'B&amp;L'!$A$7:$BK$69,30,0)</f>
        <v>5384.14</v>
      </c>
      <c r="J17" s="205">
        <f>VLOOKUP(B18,'B&amp;L'!$A$7:$BK$69,35,0)</f>
        <v>5398.11</v>
      </c>
      <c r="K17" s="205">
        <f>VLOOKUP(B18,'B&amp;L'!$A$7:$BK$69,40,0)</f>
        <v>5389.64</v>
      </c>
      <c r="L17" s="205">
        <f>VLOOKUP(B18,'B&amp;L'!$A$7:$BK$69,45,0)</f>
        <v>5388.28</v>
      </c>
      <c r="M17" s="205">
        <f>VLOOKUP(B18,'B&amp;L'!$A$7:$BK$69,50,0)</f>
        <v>5369.23</v>
      </c>
      <c r="N17" s="205">
        <f>VLOOKUP(B18,'B&amp;L'!$A$7:$BK$69,55,0)</f>
        <v>5336.15</v>
      </c>
      <c r="O17" s="205">
        <f>VLOOKUP(B18,'B&amp;L'!$A$7:$BK$69,60,0)</f>
        <v>5379.14</v>
      </c>
    </row>
    <row r="18" spans="1:15" ht="15" customHeight="1">
      <c r="A18" s="301"/>
      <c r="B18" s="156">
        <v>1412000098</v>
      </c>
      <c r="C18" s="149" t="s">
        <v>157</v>
      </c>
      <c r="D18" s="204">
        <f>VLOOKUP(B18,'B&amp;L'!$A$7:$BK$69,6,0)</f>
        <v>364.22</v>
      </c>
      <c r="E18" s="204">
        <f>VLOOKUP(B18,'B&amp;L'!$A$7:$BK$69,11,0)</f>
        <v>364.21</v>
      </c>
      <c r="F18" s="204">
        <f>VLOOKUP(B18,'B&amp;L'!$A$7:$BK$69,16,0)</f>
        <v>365.12</v>
      </c>
      <c r="G18" s="204">
        <f>VLOOKUP(B18,'B&amp;L'!$A$7:$BK$69,21,0)</f>
        <v>364.22</v>
      </c>
      <c r="H18" s="204">
        <f>VLOOKUP(B18,'B&amp;L'!$A$7:$BK$69,26,0)</f>
        <v>363.31</v>
      </c>
      <c r="I18" s="204">
        <f>VLOOKUP(B18,'B&amp;L'!$A$7:$BK$69,31,0)</f>
        <v>363.41</v>
      </c>
      <c r="J18" s="204">
        <f>VLOOKUP(B18,'B&amp;L'!$A$7:$BK$69,36,0)</f>
        <v>364.35</v>
      </c>
      <c r="K18" s="204">
        <f>VLOOKUP(B18,'B&amp;L'!$A$7:$BK$69,41,0)</f>
        <v>363.78</v>
      </c>
      <c r="L18" s="204">
        <f>VLOOKUP(B18,'B&amp;L'!$A$7:$BK$69,46,0)</f>
        <v>363.69</v>
      </c>
      <c r="M18" s="204">
        <f>VLOOKUP(B18,'B&amp;L'!$A$7:$BK$69,51,0)</f>
        <v>362.4</v>
      </c>
      <c r="N18" s="204">
        <f>VLOOKUP(B18,'B&amp;L'!$A$7:$BK$69,56,0)</f>
        <v>360.17</v>
      </c>
      <c r="O18" s="204">
        <f>VLOOKUP(B18,'B&amp;L'!$A$7:$BK$69,61,0)</f>
        <v>363.07</v>
      </c>
    </row>
    <row r="19" spans="1:15" ht="15" customHeight="1">
      <c r="A19" s="302">
        <v>7</v>
      </c>
      <c r="B19" s="155" t="s">
        <v>138</v>
      </c>
      <c r="C19" s="147" t="s">
        <v>156</v>
      </c>
      <c r="D19" s="205">
        <f>VLOOKUP(B20,'B&amp;L'!$A$7:$BK$69,5,0)</f>
        <v>9615.17</v>
      </c>
      <c r="E19" s="205">
        <f>VLOOKUP(B20,'B&amp;L'!$A$7:$BK$69,10,0)</f>
        <v>9671.6200000000008</v>
      </c>
      <c r="F19" s="205">
        <f>VLOOKUP(B20,'B&amp;L'!$A$7:$BK$69,15,0)</f>
        <v>9804.64</v>
      </c>
      <c r="G19" s="205">
        <f>VLOOKUP(B20,'B&amp;L'!$A$7:$BK$69,20,0)</f>
        <v>9678.64</v>
      </c>
      <c r="H19" s="205">
        <f>VLOOKUP(B20,'B&amp;L'!$A$7:$BK$69,25,0)</f>
        <v>9616.83</v>
      </c>
      <c r="I19" s="205">
        <f>VLOOKUP(B20,'B&amp;L'!$A$7:$BK$69,30,0)</f>
        <v>9655.23</v>
      </c>
      <c r="J19" s="205">
        <f>VLOOKUP(B20,'B&amp;L'!$A$7:$BK$69,35,0)</f>
        <v>9801.82</v>
      </c>
      <c r="K19" s="205">
        <f>VLOOKUP(B20,'B&amp;L'!$A$7:$BK$69,40,0)</f>
        <v>9771.68</v>
      </c>
      <c r="L19" s="205">
        <f>VLOOKUP(B20,'B&amp;L'!$A$7:$BK$69,45,0)</f>
        <v>9752.3700000000008</v>
      </c>
      <c r="M19" s="205">
        <f>VLOOKUP(B20,'B&amp;L'!$A$7:$BK$69,50,0)</f>
        <v>9677.42</v>
      </c>
      <c r="N19" s="205">
        <f>VLOOKUP(B20,'B&amp;L'!$A$7:$BK$69,55,0)</f>
        <v>9500</v>
      </c>
      <c r="O19" s="205">
        <f>VLOOKUP(B20,'B&amp;L'!$A$7:$BK$69,60,0)</f>
        <v>9735.43</v>
      </c>
    </row>
    <row r="20" spans="1:15" ht="15" customHeight="1">
      <c r="A20" s="302"/>
      <c r="B20" s="156">
        <v>1412000034</v>
      </c>
      <c r="C20" s="149" t="s">
        <v>157</v>
      </c>
      <c r="D20" s="204">
        <f>VLOOKUP(B20,'B&amp;L'!$A$7:$BK$69,6,0)</f>
        <v>648.99</v>
      </c>
      <c r="E20" s="204">
        <f>VLOOKUP(B20,'B&amp;L'!$A$7:$BK$69,11,0)</f>
        <v>652.79999999999995</v>
      </c>
      <c r="F20" s="204">
        <f>VLOOKUP(B20,'B&amp;L'!$A$7:$BK$69,16,0)</f>
        <v>661.77</v>
      </c>
      <c r="G20" s="204">
        <f>VLOOKUP(B20,'B&amp;L'!$A$7:$BK$69,21,0)</f>
        <v>653.27</v>
      </c>
      <c r="H20" s="204">
        <f>VLOOKUP(B20,'B&amp;L'!$A$7:$BK$69,26,0)</f>
        <v>649.1</v>
      </c>
      <c r="I20" s="204">
        <f>VLOOKUP(B20,'B&amp;L'!$A$7:$BK$69,31,0)</f>
        <v>651.69000000000005</v>
      </c>
      <c r="J20" s="204">
        <f>VLOOKUP(B20,'B&amp;L'!$A$7:$BK$69,36,0)</f>
        <v>661.58</v>
      </c>
      <c r="K20" s="204">
        <f>VLOOKUP(B20,'B&amp;L'!$A$7:$BK$69,41,0)</f>
        <v>659.55</v>
      </c>
      <c r="L20" s="204">
        <f>VLOOKUP(B20,'B&amp;L'!$A$7:$BK$69,46,0)</f>
        <v>658.25</v>
      </c>
      <c r="M20" s="204">
        <f>VLOOKUP(B20,'B&amp;L'!$A$7:$BK$69,51,0)</f>
        <v>653.19000000000005</v>
      </c>
      <c r="N20" s="204">
        <f>VLOOKUP(B20,'B&amp;L'!$A$7:$BK$69,56,0)</f>
        <v>641.21</v>
      </c>
      <c r="O20" s="204">
        <f>VLOOKUP(B20,'B&amp;L'!$A$7:$BK$69,61,0)</f>
        <v>657.1</v>
      </c>
    </row>
    <row r="21" spans="1:15" ht="15" customHeight="1">
      <c r="A21" s="295">
        <v>8</v>
      </c>
      <c r="B21" s="155" t="s">
        <v>30</v>
      </c>
      <c r="C21" s="147" t="s">
        <v>156</v>
      </c>
      <c r="D21" s="205">
        <f>VLOOKUP(B22,'B&amp;L'!$A$7:$BK$69,5,0)</f>
        <v>303.31</v>
      </c>
      <c r="E21" s="205">
        <f>VLOOKUP(B22,'B&amp;L'!$A$7:$BK$69,10,0)</f>
        <v>307.92</v>
      </c>
      <c r="F21" s="205">
        <f>VLOOKUP(B22,'B&amp;L'!$A$7:$BK$69,15,0)</f>
        <v>320.14999999999998</v>
      </c>
      <c r="G21" s="205">
        <f>VLOOKUP(B22,'B&amp;L'!$A$7:$BK$69,20,0)</f>
        <v>307.95</v>
      </c>
      <c r="H21" s="205">
        <f>VLOOKUP(B22,'B&amp;L'!$A$7:$BK$69,25,0)</f>
        <v>299.57</v>
      </c>
      <c r="I21" s="205">
        <f>VLOOKUP(B22,'B&amp;L'!$A$7:$BK$69,30,0)</f>
        <v>302.94</v>
      </c>
      <c r="J21" s="205">
        <f>VLOOKUP(B22,'B&amp;L'!$A$7:$BK$69,35,0)</f>
        <v>308.69</v>
      </c>
      <c r="K21" s="205">
        <f>VLOOKUP(B22,'B&amp;L'!$A$7:$BK$69,40,0)</f>
        <v>306.26</v>
      </c>
      <c r="L21" s="205">
        <f>VLOOKUP(B22,'B&amp;L'!$A$7:$BK$69,45,0)</f>
        <v>304.7</v>
      </c>
      <c r="M21" s="205">
        <f>VLOOKUP(B22,'B&amp;L'!$A$7:$BK$69,50,0)</f>
        <v>298.64</v>
      </c>
      <c r="N21" s="205">
        <f>VLOOKUP(B22,'B&amp;L'!$A$7:$BK$69,55,0)</f>
        <v>284.3</v>
      </c>
      <c r="O21" s="205">
        <f>VLOOKUP(B22,'B&amp;L'!$A$7:$BK$69,60,0)</f>
        <v>303.33</v>
      </c>
    </row>
    <row r="22" spans="1:15" ht="15" customHeight="1">
      <c r="A22" s="296"/>
      <c r="B22" s="156">
        <v>1412000048</v>
      </c>
      <c r="C22" s="149" t="s">
        <v>157</v>
      </c>
      <c r="D22" s="204">
        <f>VLOOKUP(B22,'B&amp;L'!$A$7:$BK$69,6,0)</f>
        <v>20.47</v>
      </c>
      <c r="E22" s="204">
        <f>VLOOKUP(B22,'B&amp;L'!$A$7:$BK$69,11,0)</f>
        <v>20.78</v>
      </c>
      <c r="F22" s="204">
        <f>VLOOKUP(B22,'B&amp;L'!$A$7:$BK$69,16,0)</f>
        <v>21.61</v>
      </c>
      <c r="G22" s="204">
        <f>VLOOKUP(B22,'B&amp;L'!$A$7:$BK$69,21,0)</f>
        <v>20.79</v>
      </c>
      <c r="H22" s="204">
        <f>VLOOKUP(B22,'B&amp;L'!$A$7:$BK$69,26,0)</f>
        <v>20.22</v>
      </c>
      <c r="I22" s="204">
        <f>VLOOKUP(B22,'B&amp;L'!$A$7:$BK$69,31,0)</f>
        <v>20.45</v>
      </c>
      <c r="J22" s="204">
        <f>VLOOKUP(B22,'B&amp;L'!$A$7:$BK$69,36,0)</f>
        <v>20.84</v>
      </c>
      <c r="K22" s="204">
        <f>VLOOKUP(B22,'B&amp;L'!$A$7:$BK$69,41,0)</f>
        <v>20.67</v>
      </c>
      <c r="L22" s="204">
        <f>VLOOKUP(B22,'B&amp;L'!$A$7:$BK$69,46,0)</f>
        <v>20.57</v>
      </c>
      <c r="M22" s="204">
        <f>VLOOKUP(B22,'B&amp;L'!$A$7:$BK$69,51,0)</f>
        <v>20.16</v>
      </c>
      <c r="N22" s="204">
        <f>VLOOKUP(B22,'B&amp;L'!$A$7:$BK$69,56,0)</f>
        <v>19.190000000000001</v>
      </c>
      <c r="O22" s="204">
        <f>VLOOKUP(B22,'B&amp;L'!$A$7:$BK$69,61,0)</f>
        <v>20.47</v>
      </c>
    </row>
    <row r="23" spans="1:15" ht="15" customHeight="1">
      <c r="A23" s="295">
        <v>9</v>
      </c>
      <c r="B23" s="155" t="s">
        <v>143</v>
      </c>
      <c r="C23" s="147" t="s">
        <v>156</v>
      </c>
      <c r="D23" s="205">
        <f>VLOOKUP(B24,'B&amp;L'!$A$7:$BK$69,5,0)</f>
        <v>202.25</v>
      </c>
      <c r="E23" s="205">
        <f>VLOOKUP(B24,'B&amp;L'!$A$7:$BK$69,10,0)</f>
        <v>206.67</v>
      </c>
      <c r="F23" s="205">
        <f>VLOOKUP(B24,'B&amp;L'!$A$7:$BK$69,15,0)</f>
        <v>218.39</v>
      </c>
      <c r="G23" s="205">
        <f>VLOOKUP(B24,'B&amp;L'!$A$7:$BK$69,20,0)</f>
        <v>206.69</v>
      </c>
      <c r="H23" s="205">
        <f>VLOOKUP(B24,'B&amp;L'!$A$7:$BK$69,25,0)</f>
        <v>201.66</v>
      </c>
      <c r="I23" s="205">
        <f>VLOOKUP(B24,'B&amp;L'!$A$7:$BK$69,30,0)</f>
        <v>205.04</v>
      </c>
      <c r="J23" s="205">
        <f>VLOOKUP(B24,'B&amp;L'!$A$7:$BK$69,35,0)</f>
        <v>210.79</v>
      </c>
      <c r="K23" s="205">
        <f>VLOOKUP(B24,'B&amp;L'!$A$7:$BK$69,40,0)</f>
        <v>208.35</v>
      </c>
      <c r="L23" s="205">
        <f>VLOOKUP(B24,'B&amp;L'!$A$7:$BK$69,45,0)</f>
        <v>206.79</v>
      </c>
      <c r="M23" s="205">
        <f>VLOOKUP(B24,'B&amp;L'!$A$7:$BK$69,50,0)</f>
        <v>200.74</v>
      </c>
      <c r="N23" s="205">
        <f>VLOOKUP(B24,'B&amp;L'!$A$7:$BK$69,55,0)</f>
        <v>186.4</v>
      </c>
      <c r="O23" s="205">
        <f>VLOOKUP(B24,'B&amp;L'!$A$7:$BK$69,60,0)</f>
        <v>205.42</v>
      </c>
    </row>
    <row r="24" spans="1:15" ht="15" customHeight="1">
      <c r="A24" s="296"/>
      <c r="B24" s="156">
        <v>1412000055</v>
      </c>
      <c r="C24" s="149" t="s">
        <v>157</v>
      </c>
      <c r="D24" s="204">
        <f>VLOOKUP(B24,'B&amp;L'!$A$7:$BK$69,6,0)</f>
        <v>13.65</v>
      </c>
      <c r="E24" s="204">
        <f>VLOOKUP(B24,'B&amp;L'!$A$7:$BK$69,11,0)</f>
        <v>13.95</v>
      </c>
      <c r="F24" s="204">
        <f>VLOOKUP(B24,'B&amp;L'!$A$7:$BK$69,16,0)</f>
        <v>14.74</v>
      </c>
      <c r="G24" s="204">
        <f>VLOOKUP(B24,'B&amp;L'!$A$7:$BK$69,21,0)</f>
        <v>13.95</v>
      </c>
      <c r="H24" s="204">
        <f>VLOOKUP(B24,'B&amp;L'!$A$7:$BK$69,26,0)</f>
        <v>13.61</v>
      </c>
      <c r="I24" s="204">
        <f>VLOOKUP(B24,'B&amp;L'!$A$7:$BK$69,31,0)</f>
        <v>13.84</v>
      </c>
      <c r="J24" s="204">
        <f>VLOOKUP(B24,'B&amp;L'!$A$7:$BK$69,36,0)</f>
        <v>14.23</v>
      </c>
      <c r="K24" s="204">
        <f>VLOOKUP(B24,'B&amp;L'!$A$7:$BK$69,41,0)</f>
        <v>14.06</v>
      </c>
      <c r="L24" s="204">
        <f>VLOOKUP(B24,'B&amp;L'!$A$7:$BK$69,46,0)</f>
        <v>13.96</v>
      </c>
      <c r="M24" s="204">
        <f>VLOOKUP(B24,'B&amp;L'!$A$7:$BK$69,51,0)</f>
        <v>13.55</v>
      </c>
      <c r="N24" s="204">
        <f>VLOOKUP(B24,'B&amp;L'!$A$7:$BK$69,56,0)</f>
        <v>12.58</v>
      </c>
      <c r="O24" s="204">
        <f>VLOOKUP(B24,'B&amp;L'!$A$7:$BK$69,61,0)</f>
        <v>13.87</v>
      </c>
    </row>
    <row r="25" spans="1:15" ht="15" customHeight="1">
      <c r="A25" s="295">
        <v>10</v>
      </c>
      <c r="B25" s="155" t="s">
        <v>96</v>
      </c>
      <c r="C25" s="147" t="s">
        <v>156</v>
      </c>
      <c r="D25" s="205">
        <f>VLOOKUP(B26,'B&amp;L'!$A$7:$BK$69,5,0)</f>
        <v>37.770000000000003</v>
      </c>
      <c r="E25" s="205">
        <f>VLOOKUP(B26,'B&amp;L'!$A$7:$BK$69,10,0)</f>
        <v>36.340000000000003</v>
      </c>
      <c r="F25" s="205">
        <f>VLOOKUP(B26,'B&amp;L'!$A$7:$BK$69,15,0)</f>
        <v>40.92</v>
      </c>
      <c r="G25" s="205">
        <f>VLOOKUP(B26,'B&amp;L'!$A$7:$BK$69,20,0)</f>
        <v>43.05</v>
      </c>
      <c r="H25" s="205">
        <f>VLOOKUP(B26,'B&amp;L'!$A$7:$BK$69,25,0)</f>
        <v>39.21</v>
      </c>
      <c r="I25" s="205">
        <f>VLOOKUP(B26,'B&amp;L'!$A$7:$BK$69,30,0)</f>
        <v>47.04</v>
      </c>
      <c r="J25" s="205">
        <f>VLOOKUP(B26,'B&amp;L'!$A$7:$BK$69,35,0)</f>
        <v>46.78</v>
      </c>
      <c r="K25" s="205">
        <f>VLOOKUP(B26,'B&amp;L'!$A$7:$BK$69,40,0)</f>
        <v>45.56</v>
      </c>
      <c r="L25" s="205">
        <f>VLOOKUP(B26,'B&amp;L'!$A$7:$BK$69,45,0)</f>
        <v>41.56</v>
      </c>
      <c r="M25" s="205">
        <f>VLOOKUP(B26,'B&amp;L'!$A$7:$BK$69,50,0)</f>
        <v>38.79</v>
      </c>
      <c r="N25" s="205">
        <f>VLOOKUP(B26,'B&amp;L'!$A$7:$BK$69,55,0)</f>
        <v>29.85</v>
      </c>
      <c r="O25" s="205">
        <f>VLOOKUP(B26,'B&amp;L'!$A$7:$BK$69,60,0)</f>
        <v>37.78</v>
      </c>
    </row>
    <row r="26" spans="1:15" ht="15" customHeight="1">
      <c r="A26" s="296"/>
      <c r="B26" s="156">
        <v>1412000063</v>
      </c>
      <c r="C26" s="149" t="s">
        <v>157</v>
      </c>
      <c r="D26" s="204">
        <f>VLOOKUP(B26,'B&amp;L'!$A$7:$BK$69,6,0)</f>
        <v>2.5499999999999998</v>
      </c>
      <c r="E26" s="204">
        <f>VLOOKUP(B26,'B&amp;L'!$A$7:$BK$69,11,0)</f>
        <v>2.4500000000000002</v>
      </c>
      <c r="F26" s="204">
        <f>VLOOKUP(B26,'B&amp;L'!$A$7:$BK$69,16,0)</f>
        <v>2.76</v>
      </c>
      <c r="G26" s="204">
        <f>VLOOKUP(B26,'B&amp;L'!$A$7:$BK$69,21,0)</f>
        <v>2.91</v>
      </c>
      <c r="H26" s="204">
        <f>VLOOKUP(B26,'B&amp;L'!$A$7:$BK$69,26,0)</f>
        <v>2.65</v>
      </c>
      <c r="I26" s="204">
        <f>VLOOKUP(B26,'B&amp;L'!$A$7:$BK$69,31,0)</f>
        <v>3.18</v>
      </c>
      <c r="J26" s="204">
        <f>VLOOKUP(B26,'B&amp;L'!$A$7:$BK$69,36,0)</f>
        <v>3.16</v>
      </c>
      <c r="K26" s="204">
        <f>VLOOKUP(B26,'B&amp;L'!$A$7:$BK$69,41,0)</f>
        <v>3.08</v>
      </c>
      <c r="L26" s="204">
        <f>VLOOKUP(B26,'B&amp;L'!$A$7:$BK$69,46,0)</f>
        <v>2.81</v>
      </c>
      <c r="M26" s="204">
        <f>VLOOKUP(B26,'B&amp;L'!$A$7:$BK$69,51,0)</f>
        <v>2.62</v>
      </c>
      <c r="N26" s="204">
        <f>VLOOKUP(B26,'B&amp;L'!$A$7:$BK$69,56,0)</f>
        <v>2.0099999999999998</v>
      </c>
      <c r="O26" s="204">
        <f>VLOOKUP(B26,'B&amp;L'!$A$7:$BK$69,61,0)</f>
        <v>2.5499999999999998</v>
      </c>
    </row>
    <row r="27" spans="1:15" ht="15" customHeight="1">
      <c r="A27" s="301">
        <v>11</v>
      </c>
      <c r="B27" s="155" t="s">
        <v>142</v>
      </c>
      <c r="C27" s="147" t="s">
        <v>156</v>
      </c>
      <c r="D27" s="205">
        <f>VLOOKUP(B28,'B&amp;L'!$A$7:$BK$69,5,0)</f>
        <v>1618.4</v>
      </c>
      <c r="E27" s="205">
        <f>VLOOKUP(B28,'B&amp;L'!$A$7:$BK$69,10,0)</f>
        <v>1626.59</v>
      </c>
      <c r="F27" s="205">
        <f>VLOOKUP(B28,'B&amp;L'!$A$7:$BK$69,15,0)</f>
        <v>1634.58</v>
      </c>
      <c r="G27" s="205">
        <f>VLOOKUP(B28,'B&amp;L'!$A$7:$BK$69,20,0)</f>
        <v>1626.7</v>
      </c>
      <c r="H27" s="205">
        <f>VLOOKUP(B28,'B&amp;L'!$A$7:$BK$69,25,0)</f>
        <v>1618.77</v>
      </c>
      <c r="I27" s="205">
        <f>VLOOKUP(B28,'B&amp;L'!$A$7:$BK$69,30,0)</f>
        <v>1619.6</v>
      </c>
      <c r="J27" s="205">
        <f>VLOOKUP(B28,'B&amp;L'!$A$7:$BK$69,35,0)</f>
        <v>1627.87</v>
      </c>
      <c r="K27" s="205">
        <f>VLOOKUP(B28,'B&amp;L'!$A$7:$BK$69,40,0)</f>
        <v>1622.86</v>
      </c>
      <c r="L27" s="205">
        <f>VLOOKUP(B28,'B&amp;L'!$A$7:$BK$69,45,0)</f>
        <v>1622.05</v>
      </c>
      <c r="M27" s="205">
        <f>VLOOKUP(B28,'B&amp;L'!$A$7:$BK$69,50,0)</f>
        <v>1617.63</v>
      </c>
      <c r="N27" s="205">
        <f>VLOOKUP(B28,'B&amp;L'!$A$7:$BK$69,55,0)</f>
        <v>1596.78</v>
      </c>
      <c r="O27" s="205">
        <f>VLOOKUP(B28,'B&amp;L'!$A$7:$BK$69,60,0)</f>
        <v>1623.88</v>
      </c>
    </row>
    <row r="28" spans="1:15" ht="15" customHeight="1">
      <c r="A28" s="301"/>
      <c r="B28" s="156">
        <v>1412000044</v>
      </c>
      <c r="C28" s="149" t="s">
        <v>157</v>
      </c>
      <c r="D28" s="204">
        <f>VLOOKUP(B28,'B&amp;L'!$A$7:$BK$69,6,0)</f>
        <v>109.24</v>
      </c>
      <c r="E28" s="204">
        <f>VLOOKUP(B28,'B&amp;L'!$A$7:$BK$69,11,0)</f>
        <v>109.79</v>
      </c>
      <c r="F28" s="204">
        <f>VLOOKUP(B28,'B&amp;L'!$A$7:$BK$69,16,0)</f>
        <v>110.33</v>
      </c>
      <c r="G28" s="204">
        <f>VLOOKUP(B28,'B&amp;L'!$A$7:$BK$69,21,0)</f>
        <v>109.8</v>
      </c>
      <c r="H28" s="204">
        <f>VLOOKUP(B28,'B&amp;L'!$A$7:$BK$69,26,0)</f>
        <v>109.26</v>
      </c>
      <c r="I28" s="204">
        <f>VLOOKUP(B28,'B&amp;L'!$A$7:$BK$69,31,0)</f>
        <v>109.32</v>
      </c>
      <c r="J28" s="204">
        <f>VLOOKUP(B28,'B&amp;L'!$A$7:$BK$69,36,0)</f>
        <v>109.88</v>
      </c>
      <c r="K28" s="204">
        <f>VLOOKUP(B28,'B&amp;L'!$A$7:$BK$69,41,0)</f>
        <v>109.54</v>
      </c>
      <c r="L28" s="204">
        <f>VLOOKUP(B28,'B&amp;L'!$A$7:$BK$69,46,0)</f>
        <v>109.48</v>
      </c>
      <c r="M28" s="204">
        <f>VLOOKUP(B28,'B&amp;L'!$A$7:$BK$69,51,0)</f>
        <v>109.18</v>
      </c>
      <c r="N28" s="204">
        <f>VLOOKUP(B28,'B&amp;L'!$A$7:$BK$69,56,0)</f>
        <v>107.78</v>
      </c>
      <c r="O28" s="204">
        <f>VLOOKUP(B28,'B&amp;L'!$A$7:$BK$69,61,0)</f>
        <v>109.61</v>
      </c>
    </row>
    <row r="29" spans="1:15" ht="15" customHeight="1">
      <c r="A29" s="302">
        <v>12</v>
      </c>
      <c r="B29" s="155" t="s">
        <v>109</v>
      </c>
      <c r="C29" s="147" t="s">
        <v>156</v>
      </c>
      <c r="D29" s="205">
        <f>VLOOKUP(B30,'B&amp;L'!$A$7:$BK$69,5,0)</f>
        <v>110.03</v>
      </c>
      <c r="E29" s="205">
        <f>VLOOKUP(B30,'B&amp;L'!$A$7:$BK$69,10,0)</f>
        <v>109.98</v>
      </c>
      <c r="F29" s="205">
        <f>VLOOKUP(B30,'B&amp;L'!$A$7:$BK$69,15,0)</f>
        <v>112.19</v>
      </c>
      <c r="G29" s="205">
        <f>VLOOKUP(B30,'B&amp;L'!$A$7:$BK$69,20,0)</f>
        <v>110.01</v>
      </c>
      <c r="H29" s="205">
        <f>VLOOKUP(B30,'B&amp;L'!$A$7:$BK$69,25,0)</f>
        <v>107.83</v>
      </c>
      <c r="I29" s="205">
        <f>VLOOKUP(B30,'B&amp;L'!$A$7:$BK$69,30,0)</f>
        <v>108.06</v>
      </c>
      <c r="J29" s="205">
        <f>VLOOKUP(B30,'B&amp;L'!$A$7:$BK$69,35,0)</f>
        <v>110.34</v>
      </c>
      <c r="K29" s="205">
        <f>VLOOKUP(B30,'B&amp;L'!$A$7:$BK$69,40,0)</f>
        <v>108.95</v>
      </c>
      <c r="L29" s="205">
        <f>VLOOKUP(B30,'B&amp;L'!$A$7:$BK$69,45,0)</f>
        <v>108.73</v>
      </c>
      <c r="M29" s="205">
        <f>VLOOKUP(B30,'B&amp;L'!$A$7:$BK$69,50,0)</f>
        <v>107.51</v>
      </c>
      <c r="N29" s="205">
        <f>VLOOKUP(B30,'B&amp;L'!$A$7:$BK$69,55,0)</f>
        <v>101.76</v>
      </c>
      <c r="O29" s="205">
        <f>VLOOKUP(B30,'B&amp;L'!$A$7:$BK$69,60,0)</f>
        <v>109.24</v>
      </c>
    </row>
    <row r="30" spans="1:15" ht="15" customHeight="1">
      <c r="A30" s="302"/>
      <c r="B30" s="156">
        <v>1412000087</v>
      </c>
      <c r="C30" s="149" t="s">
        <v>157</v>
      </c>
      <c r="D30" s="204">
        <f>VLOOKUP(B30,'B&amp;L'!$A$7:$BK$69,6,0)</f>
        <v>7.43</v>
      </c>
      <c r="E30" s="204">
        <f>VLOOKUP(B30,'B&amp;L'!$A$7:$BK$69,11,0)</f>
        <v>7.42</v>
      </c>
      <c r="F30" s="204">
        <f>VLOOKUP(B30,'B&amp;L'!$A$7:$BK$69,16,0)</f>
        <v>7.57</v>
      </c>
      <c r="G30" s="204">
        <f>VLOOKUP(B30,'B&amp;L'!$A$7:$BK$69,21,0)</f>
        <v>7.43</v>
      </c>
      <c r="H30" s="204">
        <f>VLOOKUP(B30,'B&amp;L'!$A$7:$BK$69,26,0)</f>
        <v>7.28</v>
      </c>
      <c r="I30" s="204">
        <f>VLOOKUP(B30,'B&amp;L'!$A$7:$BK$69,31,0)</f>
        <v>7.29</v>
      </c>
      <c r="J30" s="204">
        <f>VLOOKUP(B30,'B&amp;L'!$A$7:$BK$69,36,0)</f>
        <v>7.45</v>
      </c>
      <c r="K30" s="204">
        <f>VLOOKUP(B30,'B&amp;L'!$A$7:$BK$69,41,0)</f>
        <v>7.35</v>
      </c>
      <c r="L30" s="204">
        <f>VLOOKUP(B30,'B&amp;L'!$A$7:$BK$69,46,0)</f>
        <v>7.34</v>
      </c>
      <c r="M30" s="204">
        <f>VLOOKUP(B30,'B&amp;L'!$A$7:$BK$69,51,0)</f>
        <v>7.26</v>
      </c>
      <c r="N30" s="204">
        <f>VLOOKUP(B30,'B&amp;L'!$A$7:$BK$69,56,0)</f>
        <v>6.87</v>
      </c>
      <c r="O30" s="204">
        <f>VLOOKUP(B30,'B&amp;L'!$A$7:$BK$69,61,0)</f>
        <v>7.37</v>
      </c>
    </row>
    <row r="31" spans="1:15" ht="15" customHeight="1">
      <c r="A31" s="295">
        <v>13</v>
      </c>
      <c r="B31" s="155" t="s">
        <v>110</v>
      </c>
      <c r="C31" s="147" t="s">
        <v>156</v>
      </c>
      <c r="D31" s="205">
        <f>VLOOKUP(B32,'B&amp;L'!$A$7:$BK$69,5,0)</f>
        <v>364.57</v>
      </c>
      <c r="E31" s="205">
        <f>VLOOKUP(B32,'B&amp;L'!$A$7:$BK$69,10,0)</f>
        <v>364.43</v>
      </c>
      <c r="F31" s="205">
        <f>VLOOKUP(B32,'B&amp;L'!$A$7:$BK$69,15,0)</f>
        <v>371.04</v>
      </c>
      <c r="G31" s="205">
        <f>VLOOKUP(B32,'B&amp;L'!$A$7:$BK$69,20,0)</f>
        <v>364.52</v>
      </c>
      <c r="H31" s="205">
        <f>VLOOKUP(B32,'B&amp;L'!$A$7:$BK$69,25,0)</f>
        <v>357.96</v>
      </c>
      <c r="I31" s="205">
        <f>VLOOKUP(B32,'B&amp;L'!$A$7:$BK$69,30,0)</f>
        <v>358.65</v>
      </c>
      <c r="J31" s="205">
        <f>VLOOKUP(B32,'B&amp;L'!$A$7:$BK$69,35,0)</f>
        <v>365.49</v>
      </c>
      <c r="K31" s="205">
        <f>VLOOKUP(B32,'B&amp;L'!$A$7:$BK$69,40,0)</f>
        <v>361.34</v>
      </c>
      <c r="L31" s="205">
        <f>VLOOKUP(B32,'B&amp;L'!$A$7:$BK$69,45,0)</f>
        <v>360.68</v>
      </c>
      <c r="M31" s="205">
        <f>VLOOKUP(B32,'B&amp;L'!$A$7:$BK$69,50,0)</f>
        <v>357.02</v>
      </c>
      <c r="N31" s="205">
        <f>VLOOKUP(B32,'B&amp;L'!$A$7:$BK$69,55,0)</f>
        <v>339.76</v>
      </c>
      <c r="O31" s="205">
        <f>VLOOKUP(B32,'B&amp;L'!$A$7:$BK$69,60,0)</f>
        <v>362.19</v>
      </c>
    </row>
    <row r="32" spans="1:15" ht="15" customHeight="1">
      <c r="A32" s="296"/>
      <c r="B32" s="156">
        <v>1412000088</v>
      </c>
      <c r="C32" s="149" t="s">
        <v>157</v>
      </c>
      <c r="D32" s="204">
        <f>VLOOKUP(B32,'B&amp;L'!$A$7:$BK$69,6,0)</f>
        <v>24.61</v>
      </c>
      <c r="E32" s="204">
        <f>VLOOKUP(B32,'B&amp;L'!$A$7:$BK$69,11,0)</f>
        <v>24.6</v>
      </c>
      <c r="F32" s="204">
        <f>VLOOKUP(B32,'B&amp;L'!$A$7:$BK$69,16,0)</f>
        <v>25.04</v>
      </c>
      <c r="G32" s="204">
        <f>VLOOKUP(B32,'B&amp;L'!$A$7:$BK$69,21,0)</f>
        <v>24.6</v>
      </c>
      <c r="H32" s="204">
        <f>VLOOKUP(B32,'B&amp;L'!$A$7:$BK$69,26,0)</f>
        <v>24.16</v>
      </c>
      <c r="I32" s="204">
        <f>VLOOKUP(B32,'B&amp;L'!$A$7:$BK$69,31,0)</f>
        <v>24.21</v>
      </c>
      <c r="J32" s="204">
        <f>VLOOKUP(B32,'B&amp;L'!$A$7:$BK$69,36,0)</f>
        <v>24.67</v>
      </c>
      <c r="K32" s="204">
        <f>VLOOKUP(B32,'B&amp;L'!$A$7:$BK$69,41,0)</f>
        <v>24.39</v>
      </c>
      <c r="L32" s="204">
        <f>VLOOKUP(B32,'B&amp;L'!$A$7:$BK$69,46,0)</f>
        <v>24.34</v>
      </c>
      <c r="M32" s="204">
        <f>VLOOKUP(B32,'B&amp;L'!$A$7:$BK$69,51,0)</f>
        <v>24.1</v>
      </c>
      <c r="N32" s="204">
        <f>VLOOKUP(B32,'B&amp;L'!$A$7:$BK$69,56,0)</f>
        <v>22.93</v>
      </c>
      <c r="O32" s="204">
        <f>VLOOKUP(B32,'B&amp;L'!$A$7:$BK$69,61,0)</f>
        <v>24.45</v>
      </c>
    </row>
    <row r="33" spans="1:15" ht="15" customHeight="1">
      <c r="A33" s="295">
        <v>14</v>
      </c>
      <c r="B33" s="155" t="s">
        <v>144</v>
      </c>
      <c r="C33" s="147" t="s">
        <v>156</v>
      </c>
      <c r="D33" s="205">
        <f>VLOOKUP(B34,'B&amp;L'!$A$7:$BK$69,5,0)</f>
        <v>11479.77</v>
      </c>
      <c r="E33" s="205">
        <f>VLOOKUP(B34,'B&amp;L'!$A$7:$BK$69,10,0)</f>
        <v>11474.95</v>
      </c>
      <c r="F33" s="205">
        <f>VLOOKUP(B34,'B&amp;L'!$A$7:$BK$69,15,0)</f>
        <v>11502.72</v>
      </c>
      <c r="G33" s="205">
        <f>VLOOKUP(B34,'B&amp;L'!$A$7:$BK$69,20,0)</f>
        <v>11467.04</v>
      </c>
      <c r="H33" s="205">
        <f>VLOOKUP(B34,'B&amp;L'!$A$7:$BK$69,25,0)</f>
        <v>11431.69</v>
      </c>
      <c r="I33" s="205">
        <f>VLOOKUP(B34,'B&amp;L'!$A$7:$BK$69,30,0)</f>
        <v>11438.89</v>
      </c>
      <c r="J33" s="205">
        <f>VLOOKUP(B34,'B&amp;L'!$A$7:$BK$69,35,0)</f>
        <v>11475.9</v>
      </c>
      <c r="K33" s="205">
        <f>VLOOKUP(B34,'B&amp;L'!$A$7:$BK$69,40,0)</f>
        <v>11459.89</v>
      </c>
      <c r="L33" s="205">
        <f>VLOOKUP(B34,'B&amp;L'!$A$7:$BK$69,45,0)</f>
        <v>11460.65</v>
      </c>
      <c r="M33" s="205">
        <f>VLOOKUP(B34,'B&amp;L'!$A$7:$BK$69,50,0)</f>
        <v>11442.67</v>
      </c>
      <c r="N33" s="205">
        <f>VLOOKUP(B34,'B&amp;L'!$A$7:$BK$69,55,0)</f>
        <v>11357.81</v>
      </c>
      <c r="O33" s="205">
        <f>VLOOKUP(B34,'B&amp;L'!$A$7:$BK$69,60,0)</f>
        <v>11468.08</v>
      </c>
    </row>
    <row r="34" spans="1:15" ht="15" customHeight="1">
      <c r="A34" s="296"/>
      <c r="B34" s="156">
        <v>1412000056</v>
      </c>
      <c r="C34" s="149" t="s">
        <v>157</v>
      </c>
      <c r="D34" s="204">
        <f>VLOOKUP(B34,'B&amp;L'!$A$7:$BK$69,6,0)</f>
        <v>774.84</v>
      </c>
      <c r="E34" s="204">
        <f>VLOOKUP(B34,'B&amp;L'!$A$7:$BK$69,11,0)</f>
        <v>774.51</v>
      </c>
      <c r="F34" s="204">
        <f>VLOOKUP(B34,'B&amp;L'!$A$7:$BK$69,16,0)</f>
        <v>776.39</v>
      </c>
      <c r="G34" s="204">
        <f>VLOOKUP(B34,'B&amp;L'!$A$7:$BK$69,21,0)</f>
        <v>773.98</v>
      </c>
      <c r="H34" s="204">
        <f>VLOOKUP(B34,'B&amp;L'!$A$7:$BK$69,26,0)</f>
        <v>771.59</v>
      </c>
      <c r="I34" s="204">
        <f>VLOOKUP(B34,'B&amp;L'!$A$7:$BK$69,31,0)</f>
        <v>772.08</v>
      </c>
      <c r="J34" s="204">
        <f>VLOOKUP(B34,'B&amp;L'!$A$7:$BK$69,36,0)</f>
        <v>774.58</v>
      </c>
      <c r="K34" s="204">
        <f>VLOOKUP(B34,'B&amp;L'!$A$7:$BK$69,41,0)</f>
        <v>773.5</v>
      </c>
      <c r="L34" s="204">
        <f>VLOOKUP(B34,'B&amp;L'!$A$7:$BK$69,46,0)</f>
        <v>773.55</v>
      </c>
      <c r="M34" s="204">
        <f>VLOOKUP(B34,'B&amp;L'!$A$7:$BK$69,51,0)</f>
        <v>772.34</v>
      </c>
      <c r="N34" s="204">
        <f>VLOOKUP(B34,'B&amp;L'!$A$7:$BK$69,56,0)</f>
        <v>766.61</v>
      </c>
      <c r="O34" s="204">
        <f>VLOOKUP(B34,'B&amp;L'!$A$7:$BK$69,61,0)</f>
        <v>774.05</v>
      </c>
    </row>
    <row r="35" spans="1:15" ht="15" customHeight="1">
      <c r="A35" s="295">
        <v>15</v>
      </c>
      <c r="B35" s="155" t="s">
        <v>146</v>
      </c>
      <c r="C35" s="147" t="s">
        <v>156</v>
      </c>
      <c r="D35" s="205">
        <f>VLOOKUP(B36,'B&amp;L'!$A$7:$BK$69,5,0)</f>
        <v>285.47000000000003</v>
      </c>
      <c r="E35" s="205">
        <f>VLOOKUP(B36,'B&amp;L'!$A$7:$BK$69,10,0)</f>
        <v>285.26</v>
      </c>
      <c r="F35" s="205">
        <f>VLOOKUP(B36,'B&amp;L'!$A$7:$BK$69,15,0)</f>
        <v>285.76</v>
      </c>
      <c r="G35" s="205">
        <f>VLOOKUP(B36,'B&amp;L'!$A$7:$BK$69,20,0)</f>
        <v>285.08</v>
      </c>
      <c r="H35" s="205">
        <f>VLOOKUP(B36,'B&amp;L'!$A$7:$BK$69,25,0)</f>
        <v>296.95</v>
      </c>
      <c r="I35" s="205">
        <f>VLOOKUP(B36,'B&amp;L'!$A$7:$BK$69,30,0)</f>
        <v>297.07</v>
      </c>
      <c r="J35" s="205">
        <f>VLOOKUP(B36,'B&amp;L'!$A$7:$BK$69,35,0)</f>
        <v>297.43</v>
      </c>
      <c r="K35" s="205">
        <f>VLOOKUP(B36,'B&amp;L'!$A$7:$BK$69,40,0)</f>
        <v>297.25</v>
      </c>
      <c r="L35" s="205">
        <f>VLOOKUP(B36,'B&amp;L'!$A$7:$BK$69,45,0)</f>
        <v>303.31</v>
      </c>
      <c r="M35" s="205">
        <f>VLOOKUP(B36,'B&amp;L'!$A$7:$BK$69,50,0)</f>
        <v>303</v>
      </c>
      <c r="N35" s="205">
        <f>VLOOKUP(B36,'B&amp;L'!$A$7:$BK$69,55,0)</f>
        <v>302.02</v>
      </c>
      <c r="O35" s="205">
        <f>VLOOKUP(B36,'B&amp;L'!$A$7:$BK$69,60,0)</f>
        <v>303.29000000000002</v>
      </c>
    </row>
    <row r="36" spans="1:15" ht="15" customHeight="1">
      <c r="A36" s="296"/>
      <c r="B36" s="156">
        <v>1412000080</v>
      </c>
      <c r="C36" s="149" t="s">
        <v>157</v>
      </c>
      <c r="D36" s="204">
        <f>VLOOKUP(B36,'B&amp;L'!$A$7:$BK$69,6,0)</f>
        <v>19.27</v>
      </c>
      <c r="E36" s="204">
        <f>VLOOKUP(B36,'B&amp;L'!$A$7:$BK$69,11,0)</f>
        <v>19.25</v>
      </c>
      <c r="F36" s="204">
        <f>VLOOKUP(B36,'B&amp;L'!$A$7:$BK$69,16,0)</f>
        <v>19.29</v>
      </c>
      <c r="G36" s="204">
        <f>VLOOKUP(B36,'B&amp;L'!$A$7:$BK$69,21,0)</f>
        <v>19.239999999999998</v>
      </c>
      <c r="H36" s="204">
        <f>VLOOKUP(B36,'B&amp;L'!$A$7:$BK$69,26,0)</f>
        <v>20.04</v>
      </c>
      <c r="I36" s="204">
        <f>VLOOKUP(B36,'B&amp;L'!$A$7:$BK$69,31,0)</f>
        <v>20.05</v>
      </c>
      <c r="J36" s="204">
        <f>VLOOKUP(B36,'B&amp;L'!$A$7:$BK$69,36,0)</f>
        <v>20.079999999999998</v>
      </c>
      <c r="K36" s="204">
        <f>VLOOKUP(B36,'B&amp;L'!$A$7:$BK$69,41,0)</f>
        <v>20.059999999999999</v>
      </c>
      <c r="L36" s="204">
        <f>VLOOKUP(B36,'B&amp;L'!$A$7:$BK$69,46,0)</f>
        <v>20.47</v>
      </c>
      <c r="M36" s="204">
        <f>VLOOKUP(B36,'B&amp;L'!$A$7:$BK$69,51,0)</f>
        <v>20.45</v>
      </c>
      <c r="N36" s="204">
        <f>VLOOKUP(B36,'B&amp;L'!$A$7:$BK$69,56,0)</f>
        <v>20.38</v>
      </c>
      <c r="O36" s="204">
        <f>VLOOKUP(B36,'B&amp;L'!$A$7:$BK$69,61,0)</f>
        <v>20.47</v>
      </c>
    </row>
    <row r="37" spans="1:15" ht="15" customHeight="1">
      <c r="A37" s="301">
        <v>16</v>
      </c>
      <c r="B37" s="258" t="s">
        <v>80</v>
      </c>
      <c r="C37" s="259" t="s">
        <v>156</v>
      </c>
      <c r="D37" s="260">
        <f>VLOOKUP(B38,'B&amp;L'!$A$7:$BK$69,5,0)</f>
        <v>515.11</v>
      </c>
      <c r="E37" s="260">
        <f>VLOOKUP(B38,'B&amp;L'!$A$7:$BK$69,10,0)</f>
        <v>517.01</v>
      </c>
      <c r="F37" s="260">
        <f>VLOOKUP(B38,'B&amp;L'!$A$7:$BK$69,15,0)</f>
        <v>528.79</v>
      </c>
      <c r="G37" s="260">
        <f>VLOOKUP(B38,'B&amp;L'!$A$7:$BK$69,20,0)</f>
        <v>537.95000000000005</v>
      </c>
      <c r="H37" s="260">
        <f>VLOOKUP(B38,'B&amp;L'!$A$7:$BK$69,25,0)</f>
        <v>527.24</v>
      </c>
      <c r="I37" s="260">
        <f>VLOOKUP(B38,'B&amp;L'!$A$7:$BK$69,30,0)</f>
        <v>529.91999999999996</v>
      </c>
      <c r="J37" s="260">
        <f>VLOOKUP(B38,'B&amp;L'!$A$7:$BK$69,35,0)</f>
        <v>547.65</v>
      </c>
      <c r="K37" s="260">
        <f>VLOOKUP(B38,'B&amp;L'!$A$7:$BK$69,40,0)</f>
        <v>542.32000000000005</v>
      </c>
      <c r="L37" s="260">
        <f>VLOOKUP(B38,'B&amp;L'!$A$7:$BK$69,45,0)</f>
        <v>540.74</v>
      </c>
      <c r="M37" s="260">
        <f>VLOOKUP(B38,'B&amp;L'!$A$7:$BK$69,50,0)</f>
        <v>533.6</v>
      </c>
      <c r="N37" s="260">
        <f>VLOOKUP(B38,'B&amp;L'!$A$7:$BK$69,55,0)</f>
        <v>508.82</v>
      </c>
      <c r="O37" s="260">
        <f>VLOOKUP(B38,'B&amp;L'!$A$7:$BK$69,60,0)</f>
        <v>541.27</v>
      </c>
    </row>
    <row r="38" spans="1:15" ht="15" customHeight="1">
      <c r="A38" s="301"/>
      <c r="B38" s="261">
        <v>1412000053</v>
      </c>
      <c r="C38" s="262" t="s">
        <v>157</v>
      </c>
      <c r="D38" s="263">
        <f>VLOOKUP(B38,'B&amp;L'!$A$7:$BK$69,6,0)</f>
        <v>34.770000000000003</v>
      </c>
      <c r="E38" s="263">
        <f>VLOOKUP(B38,'B&amp;L'!$A$7:$BK$69,11,0)</f>
        <v>34.9</v>
      </c>
      <c r="F38" s="263">
        <f>VLOOKUP(B38,'B&amp;L'!$A$7:$BK$69,16,0)</f>
        <v>35.69</v>
      </c>
      <c r="G38" s="263">
        <f>VLOOKUP(B38,'B&amp;L'!$A$7:$BK$69,21,0)</f>
        <v>36.31</v>
      </c>
      <c r="H38" s="263">
        <f>VLOOKUP(B38,'B&amp;L'!$A$7:$BK$69,26,0)</f>
        <v>35.590000000000003</v>
      </c>
      <c r="I38" s="263">
        <f>VLOOKUP(B38,'B&amp;L'!$A$7:$BK$69,31,0)</f>
        <v>35.770000000000003</v>
      </c>
      <c r="J38" s="263">
        <f>VLOOKUP(B38,'B&amp;L'!$A$7:$BK$69,36,0)</f>
        <v>36.96</v>
      </c>
      <c r="K38" s="263">
        <f>VLOOKUP(B38,'B&amp;L'!$A$7:$BK$69,41,0)</f>
        <v>36.6</v>
      </c>
      <c r="L38" s="263">
        <f>VLOOKUP(B38,'B&amp;L'!$A$7:$BK$69,46,0)</f>
        <v>36.5</v>
      </c>
      <c r="M38" s="263">
        <f>VLOOKUP(B38,'B&amp;L'!$A$7:$BK$69,51,0)</f>
        <v>36.020000000000003</v>
      </c>
      <c r="N38" s="263">
        <f>VLOOKUP(B38,'B&amp;L'!$A$7:$BK$69,56,0)</f>
        <v>34.340000000000003</v>
      </c>
      <c r="O38" s="263">
        <f>VLOOKUP(B38,'B&amp;L'!$A$7:$BK$69,61,0)</f>
        <v>36.53</v>
      </c>
    </row>
    <row r="39" spans="1:15" ht="15" customHeight="1">
      <c r="A39" s="302">
        <v>17</v>
      </c>
      <c r="B39" s="258" t="s">
        <v>81</v>
      </c>
      <c r="C39" s="259" t="s">
        <v>156</v>
      </c>
      <c r="D39" s="260">
        <f>VLOOKUP(B40,'B&amp;L'!$A$7:$BK$69,5,0)</f>
        <v>1356.41</v>
      </c>
      <c r="E39" s="260">
        <f>VLOOKUP(B40,'B&amp;L'!$A$7:$BK$69,10,0)</f>
        <v>1357.9</v>
      </c>
      <c r="F39" s="260">
        <f>VLOOKUP(B40,'B&amp;L'!$A$7:$BK$69,15,0)</f>
        <v>1404.02</v>
      </c>
      <c r="G39" s="260">
        <f>VLOOKUP(B40,'B&amp;L'!$A$7:$BK$69,20,0)</f>
        <v>1358.44</v>
      </c>
      <c r="H39" s="260">
        <f>VLOOKUP(B40,'B&amp;L'!$A$7:$BK$69,25,0)</f>
        <v>1315.31</v>
      </c>
      <c r="I39" s="260">
        <f>VLOOKUP(B40,'B&amp;L'!$A$7:$BK$69,30,0)</f>
        <v>1321.6</v>
      </c>
      <c r="J39" s="260">
        <f>VLOOKUP(B40,'B&amp;L'!$A$7:$BK$69,35,0)</f>
        <v>1364.46</v>
      </c>
      <c r="K39" s="260">
        <f>VLOOKUP(B40,'B&amp;L'!$A$7:$BK$69,40,0)</f>
        <v>1339.22</v>
      </c>
      <c r="L39" s="260">
        <f>VLOOKUP(B40,'B&amp;L'!$A$7:$BK$69,45,0)</f>
        <v>1334.34</v>
      </c>
      <c r="M39" s="260">
        <f>VLOOKUP(B40,'B&amp;L'!$A$7:$BK$69,50,0)</f>
        <v>1309.33</v>
      </c>
      <c r="N39" s="260">
        <f>VLOOKUP(B40,'B&amp;L'!$A$7:$BK$69,55,0)</f>
        <v>1201.3699999999999</v>
      </c>
      <c r="O39" s="260">
        <f>VLOOKUP(B40,'B&amp;L'!$A$7:$BK$69,60,0)</f>
        <v>1341.93</v>
      </c>
    </row>
    <row r="40" spans="1:15" ht="15" customHeight="1">
      <c r="A40" s="302"/>
      <c r="B40" s="261">
        <v>1412000104</v>
      </c>
      <c r="C40" s="262" t="s">
        <v>157</v>
      </c>
      <c r="D40" s="263">
        <f>VLOOKUP(B40,'B&amp;L'!$A$7:$BK$69,6,0)</f>
        <v>91.55</v>
      </c>
      <c r="E40" s="263">
        <f>VLOOKUP(B40,'B&amp;L'!$A$7:$BK$69,11,0)</f>
        <v>91.65</v>
      </c>
      <c r="F40" s="263">
        <f>VLOOKUP(B40,'B&amp;L'!$A$7:$BK$69,16,0)</f>
        <v>94.77</v>
      </c>
      <c r="G40" s="263">
        <f>VLOOKUP(B40,'B&amp;L'!$A$7:$BK$69,21,0)</f>
        <v>91.69</v>
      </c>
      <c r="H40" s="263">
        <f>VLOOKUP(B40,'B&amp;L'!$A$7:$BK$69,26,0)</f>
        <v>88.78</v>
      </c>
      <c r="I40" s="263">
        <f>VLOOKUP(B40,'B&amp;L'!$A$7:$BK$69,31,0)</f>
        <v>89.2</v>
      </c>
      <c r="J40" s="263">
        <f>VLOOKUP(B40,'B&amp;L'!$A$7:$BK$69,36,0)</f>
        <v>92.1</v>
      </c>
      <c r="K40" s="263">
        <f>VLOOKUP(B40,'B&amp;L'!$A$7:$BK$69,41,0)</f>
        <v>90.39</v>
      </c>
      <c r="L40" s="263">
        <f>VLOOKUP(B40,'B&amp;L'!$A$7:$BK$69,46,0)</f>
        <v>90.06</v>
      </c>
      <c r="M40" s="263">
        <f>VLOOKUP(B40,'B&amp;L'!$A$7:$BK$69,51,0)</f>
        <v>88.37</v>
      </c>
      <c r="N40" s="263">
        <f>VLOOKUP(B40,'B&amp;L'!$A$7:$BK$69,56,0)</f>
        <v>81.09</v>
      </c>
      <c r="O40" s="263">
        <f>VLOOKUP(B40,'B&amp;L'!$A$7:$BK$69,61,0)</f>
        <v>90.58</v>
      </c>
    </row>
    <row r="41" spans="1:15" ht="15" customHeight="1">
      <c r="A41" s="295">
        <v>18</v>
      </c>
      <c r="B41" s="258" t="s">
        <v>83</v>
      </c>
      <c r="C41" s="259" t="s">
        <v>156</v>
      </c>
      <c r="D41" s="260">
        <f>VLOOKUP(B42,'B&amp;L'!$A$7:$BK$69,5,0)</f>
        <v>319.76</v>
      </c>
      <c r="E41" s="260">
        <f>VLOOKUP(B42,'B&amp;L'!$A$7:$BK$69,10,0)</f>
        <v>320.2</v>
      </c>
      <c r="F41" s="260">
        <f>VLOOKUP(B42,'B&amp;L'!$A$7:$BK$69,15,0)</f>
        <v>326.64</v>
      </c>
      <c r="G41" s="260">
        <f>VLOOKUP(B42,'B&amp;L'!$A$7:$BK$69,20,0)</f>
        <v>320.26</v>
      </c>
      <c r="H41" s="260">
        <f>VLOOKUP(B42,'B&amp;L'!$A$7:$BK$69,25,0)</f>
        <v>314.49</v>
      </c>
      <c r="I41" s="260">
        <f>VLOOKUP(B42,'B&amp;L'!$A$7:$BK$69,30,0)</f>
        <v>315.51</v>
      </c>
      <c r="J41" s="260">
        <f>VLOOKUP(B42,'B&amp;L'!$A$7:$BK$69,35,0)</f>
        <v>321.02999999999997</v>
      </c>
      <c r="K41" s="260">
        <f>VLOOKUP(B42,'B&amp;L'!$A$7:$BK$69,40,0)</f>
        <v>317.86</v>
      </c>
      <c r="L41" s="260">
        <f>VLOOKUP(B42,'B&amp;L'!$A$7:$BK$69,45,0)</f>
        <v>317.16000000000003</v>
      </c>
      <c r="M41" s="260">
        <f>VLOOKUP(B42,'B&amp;L'!$A$7:$BK$69,50,0)</f>
        <v>313.70999999999998</v>
      </c>
      <c r="N41" s="260">
        <f>VLOOKUP(B42,'B&amp;L'!$A$7:$BK$69,55,0)</f>
        <v>299.81</v>
      </c>
      <c r="O41" s="260">
        <f>VLOOKUP(B42,'B&amp;L'!$A$7:$BK$69,60,0)</f>
        <v>317.94</v>
      </c>
    </row>
    <row r="42" spans="1:15" ht="15" customHeight="1">
      <c r="A42" s="296"/>
      <c r="B42" s="261">
        <v>1412000105</v>
      </c>
      <c r="C42" s="262" t="s">
        <v>157</v>
      </c>
      <c r="D42" s="263">
        <f>VLOOKUP(B42,'B&amp;L'!$A$7:$BK$69,6,0)</f>
        <v>21.58</v>
      </c>
      <c r="E42" s="263">
        <f>VLOOKUP(B42,'B&amp;L'!$A$7:$BK$69,11,0)</f>
        <v>21.61</v>
      </c>
      <c r="F42" s="263">
        <f>VLOOKUP(B42,'B&amp;L'!$A$7:$BK$69,16,0)</f>
        <v>22.05</v>
      </c>
      <c r="G42" s="263">
        <f>VLOOKUP(B42,'B&amp;L'!$A$7:$BK$69,21,0)</f>
        <v>21.62</v>
      </c>
      <c r="H42" s="263">
        <f>VLOOKUP(B42,'B&amp;L'!$A$7:$BK$69,26,0)</f>
        <v>21.23</v>
      </c>
      <c r="I42" s="263">
        <f>VLOOKUP(B42,'B&amp;L'!$A$7:$BK$69,31,0)</f>
        <v>21.3</v>
      </c>
      <c r="J42" s="263">
        <f>VLOOKUP(B42,'B&amp;L'!$A$7:$BK$69,36,0)</f>
        <v>21.67</v>
      </c>
      <c r="K42" s="263">
        <f>VLOOKUP(B42,'B&amp;L'!$A$7:$BK$69,41,0)</f>
        <v>21.45</v>
      </c>
      <c r="L42" s="263">
        <f>VLOOKUP(B42,'B&amp;L'!$A$7:$BK$69,46,0)</f>
        <v>21.41</v>
      </c>
      <c r="M42" s="263">
        <f>VLOOKUP(B42,'B&amp;L'!$A$7:$BK$69,51,0)</f>
        <v>21.17</v>
      </c>
      <c r="N42" s="263">
        <f>VLOOKUP(B42,'B&amp;L'!$A$7:$BK$69,56,0)</f>
        <v>20.239999999999998</v>
      </c>
      <c r="O42" s="263">
        <f>VLOOKUP(B42,'B&amp;L'!$A$7:$BK$69,61,0)</f>
        <v>21.46</v>
      </c>
    </row>
    <row r="43" spans="1:15" ht="15" customHeight="1">
      <c r="A43" s="295">
        <v>19</v>
      </c>
      <c r="B43" s="155" t="s">
        <v>189</v>
      </c>
      <c r="C43" s="147" t="s">
        <v>156</v>
      </c>
      <c r="D43" s="205">
        <f>VLOOKUP(B44,'B&amp;L'!$A$7:$BK$69,5,0)</f>
        <v>107.26</v>
      </c>
      <c r="E43" s="205">
        <f>VLOOKUP(B44,'B&amp;L'!$A$7:$BK$69,10,0)</f>
        <v>117.36</v>
      </c>
      <c r="F43" s="205">
        <f>VLOOKUP(B44,'B&amp;L'!$A$7:$BK$69,15,0)</f>
        <v>124.5</v>
      </c>
      <c r="G43" s="205">
        <f>VLOOKUP(B44,'B&amp;L'!$A$7:$BK$69,20,0)</f>
        <v>117.38</v>
      </c>
      <c r="H43" s="205">
        <f>VLOOKUP(B44,'B&amp;L'!$A$7:$BK$69,25,0)</f>
        <v>112.49</v>
      </c>
      <c r="I43" s="205">
        <f>VLOOKUP(B44,'B&amp;L'!$A$7:$BK$69,30,0)</f>
        <v>114.46</v>
      </c>
      <c r="J43" s="205">
        <f>VLOOKUP(B44,'B&amp;L'!$A$7:$BK$69,35,0)</f>
        <v>117.81</v>
      </c>
      <c r="K43" s="205">
        <f>VLOOKUP(B44,'B&amp;L'!$A$7:$BK$69,40,0)</f>
        <v>116.39</v>
      </c>
      <c r="L43" s="205">
        <f>VLOOKUP(B44,'B&amp;L'!$A$7:$BK$69,45,0)</f>
        <v>115.48</v>
      </c>
      <c r="M43" s="205">
        <f>VLOOKUP(B44,'B&amp;L'!$A$7:$BK$69,50,0)</f>
        <v>111.95</v>
      </c>
      <c r="N43" s="205">
        <f>VLOOKUP(B44,'B&amp;L'!$A$7:$BK$69,55,0)</f>
        <v>103.59</v>
      </c>
      <c r="O43" s="205">
        <f>VLOOKUP(B44,'B&amp;L'!$A$7:$BK$69,60,0)</f>
        <v>114.69</v>
      </c>
    </row>
    <row r="44" spans="1:15" ht="15" customHeight="1">
      <c r="A44" s="296"/>
      <c r="B44" s="156">
        <v>1412000075</v>
      </c>
      <c r="C44" s="149" t="s">
        <v>157</v>
      </c>
      <c r="D44" s="204">
        <f>VLOOKUP(B44,'B&amp;L'!$A$7:$BK$69,6,0)</f>
        <v>7.24</v>
      </c>
      <c r="E44" s="204">
        <f>VLOOKUP(B44,'B&amp;L'!$A$7:$BK$69,11,0)</f>
        <v>7.92</v>
      </c>
      <c r="F44" s="204">
        <f>VLOOKUP(B44,'B&amp;L'!$A$7:$BK$69,16,0)</f>
        <v>8.4</v>
      </c>
      <c r="G44" s="204">
        <f>VLOOKUP(B44,'B&amp;L'!$A$7:$BK$69,21,0)</f>
        <v>7.92</v>
      </c>
      <c r="H44" s="204">
        <f>VLOOKUP(B44,'B&amp;L'!$A$7:$BK$69,26,0)</f>
        <v>7.59</v>
      </c>
      <c r="I44" s="204">
        <f>VLOOKUP(B44,'B&amp;L'!$A$7:$BK$69,31,0)</f>
        <v>7.73</v>
      </c>
      <c r="J44" s="204">
        <f>VLOOKUP(B44,'B&amp;L'!$A$7:$BK$69,36,0)</f>
        <v>7.95</v>
      </c>
      <c r="K44" s="204">
        <f>VLOOKUP(B44,'B&amp;L'!$A$7:$BK$69,41,0)</f>
        <v>7.86</v>
      </c>
      <c r="L44" s="204">
        <f>VLOOKUP(B44,'B&amp;L'!$A$7:$BK$69,46,0)</f>
        <v>7.79</v>
      </c>
      <c r="M44" s="204">
        <f>VLOOKUP(B44,'B&amp;L'!$A$7:$BK$69,51,0)</f>
        <v>7.56</v>
      </c>
      <c r="N44" s="204">
        <f>VLOOKUP(B44,'B&amp;L'!$A$7:$BK$69,56,0)</f>
        <v>6.99</v>
      </c>
      <c r="O44" s="204">
        <f>VLOOKUP(B44,'B&amp;L'!$A$7:$BK$69,61,0)</f>
        <v>7.74</v>
      </c>
    </row>
    <row r="45" spans="1:15" ht="15" customHeight="1">
      <c r="A45" s="295">
        <v>20</v>
      </c>
      <c r="B45" s="155" t="s">
        <v>130</v>
      </c>
      <c r="C45" s="147" t="s">
        <v>156</v>
      </c>
      <c r="D45" s="205">
        <f>VLOOKUP(B46,'B&amp;L'!$A$7:$BK$69,5,0)</f>
        <v>82.51</v>
      </c>
      <c r="E45" s="205">
        <f>VLOOKUP(B46,'B&amp;L'!$A$7:$BK$69,10,0)</f>
        <v>83.83</v>
      </c>
      <c r="F45" s="205">
        <f>VLOOKUP(B46,'B&amp;L'!$A$7:$BK$69,15,0)</f>
        <v>88.93</v>
      </c>
      <c r="G45" s="205">
        <f>VLOOKUP(B46,'B&amp;L'!$A$7:$BK$69,20,0)</f>
        <v>83.84</v>
      </c>
      <c r="H45" s="205">
        <f>VLOOKUP(B46,'B&amp;L'!$A$7:$BK$69,25,0)</f>
        <v>80.349999999999994</v>
      </c>
      <c r="I45" s="205">
        <f>VLOOKUP(B46,'B&amp;L'!$A$7:$BK$69,30,0)</f>
        <v>81.760000000000005</v>
      </c>
      <c r="J45" s="205">
        <f>VLOOKUP(B46,'B&amp;L'!$A$7:$BK$69,35,0)</f>
        <v>84.15</v>
      </c>
      <c r="K45" s="205">
        <f>VLOOKUP(B46,'B&amp;L'!$A$7:$BK$69,40,0)</f>
        <v>83.14</v>
      </c>
      <c r="L45" s="205">
        <f>VLOOKUP(B46,'B&amp;L'!$A$7:$BK$69,45,0)</f>
        <v>82.49</v>
      </c>
      <c r="M45" s="205">
        <f>VLOOKUP(B46,'B&amp;L'!$A$7:$BK$69,50,0)</f>
        <v>79.959999999999994</v>
      </c>
      <c r="N45" s="205">
        <f>VLOOKUP(B46,'B&amp;L'!$A$7:$BK$69,55,0)</f>
        <v>73.989999999999995</v>
      </c>
      <c r="O45" s="205">
        <f>VLOOKUP(B46,'B&amp;L'!$A$7:$BK$69,60,0)</f>
        <v>81.92</v>
      </c>
    </row>
    <row r="46" spans="1:15" ht="15" customHeight="1">
      <c r="A46" s="296"/>
      <c r="B46" s="156">
        <v>1412000008</v>
      </c>
      <c r="C46" s="149" t="s">
        <v>157</v>
      </c>
      <c r="D46" s="204">
        <f>VLOOKUP(B46,'B&amp;L'!$A$7:$BK$69,6,0)</f>
        <v>5.57</v>
      </c>
      <c r="E46" s="204">
        <f>VLOOKUP(B46,'B&amp;L'!$A$7:$BK$69,11,0)</f>
        <v>5.66</v>
      </c>
      <c r="F46" s="204">
        <f>VLOOKUP(B46,'B&amp;L'!$A$7:$BK$69,16,0)</f>
        <v>6</v>
      </c>
      <c r="G46" s="204">
        <f>VLOOKUP(B46,'B&amp;L'!$A$7:$BK$69,21,0)</f>
        <v>5.66</v>
      </c>
      <c r="H46" s="204">
        <f>VLOOKUP(B46,'B&amp;L'!$A$7:$BK$69,26,0)</f>
        <v>5.42</v>
      </c>
      <c r="I46" s="204">
        <f>VLOOKUP(B46,'B&amp;L'!$A$7:$BK$69,31,0)</f>
        <v>5.52</v>
      </c>
      <c r="J46" s="204">
        <f>VLOOKUP(B46,'B&amp;L'!$A$7:$BK$69,36,0)</f>
        <v>5.68</v>
      </c>
      <c r="K46" s="204">
        <f>VLOOKUP(B46,'B&amp;L'!$A$7:$BK$69,41,0)</f>
        <v>5.61</v>
      </c>
      <c r="L46" s="204">
        <f>VLOOKUP(B46,'B&amp;L'!$A$7:$BK$69,46,0)</f>
        <v>5.57</v>
      </c>
      <c r="M46" s="204">
        <f>VLOOKUP(B46,'B&amp;L'!$A$7:$BK$69,51,0)</f>
        <v>5.4</v>
      </c>
      <c r="N46" s="204">
        <f>VLOOKUP(B46,'B&amp;L'!$A$7:$BK$69,56,0)</f>
        <v>4.99</v>
      </c>
      <c r="O46" s="204">
        <f>VLOOKUP(B46,'B&amp;L'!$A$7:$BK$69,61,0)</f>
        <v>5.53</v>
      </c>
    </row>
    <row r="47" spans="1:15" ht="15" customHeight="1">
      <c r="A47" s="301">
        <v>21</v>
      </c>
      <c r="B47" s="155" t="s">
        <v>131</v>
      </c>
      <c r="C47" s="147" t="s">
        <v>156</v>
      </c>
      <c r="D47" s="205">
        <f>VLOOKUP(B48,'B&amp;L'!$A$7:$BK$69,5,0)</f>
        <v>49.51</v>
      </c>
      <c r="E47" s="205">
        <f>VLOOKUP(B48,'B&amp;L'!$A$7:$BK$69,10,0)</f>
        <v>50.3</v>
      </c>
      <c r="F47" s="205">
        <f>VLOOKUP(B48,'B&amp;L'!$A$7:$BK$69,15,0)</f>
        <v>53.36</v>
      </c>
      <c r="G47" s="205">
        <f>VLOOKUP(B48,'B&amp;L'!$A$7:$BK$69,20,0)</f>
        <v>50.31</v>
      </c>
      <c r="H47" s="205">
        <f>VLOOKUP(B48,'B&amp;L'!$A$7:$BK$69,25,0)</f>
        <v>48.21</v>
      </c>
      <c r="I47" s="205">
        <f>VLOOKUP(B48,'B&amp;L'!$A$7:$BK$69,30,0)</f>
        <v>49.05</v>
      </c>
      <c r="J47" s="205">
        <f>VLOOKUP(B48,'B&amp;L'!$A$7:$BK$69,35,0)</f>
        <v>50.49</v>
      </c>
      <c r="K47" s="205">
        <f>VLOOKUP(B48,'B&amp;L'!$A$7:$BK$69,40,0)</f>
        <v>49.88</v>
      </c>
      <c r="L47" s="205">
        <f>VLOOKUP(B48,'B&amp;L'!$A$7:$BK$69,45,0)</f>
        <v>49.49</v>
      </c>
      <c r="M47" s="205">
        <f>VLOOKUP(B48,'B&amp;L'!$A$7:$BK$69,50,0)</f>
        <v>47.98</v>
      </c>
      <c r="N47" s="205">
        <f>VLOOKUP(B48,'B&amp;L'!$A$7:$BK$69,55,0)</f>
        <v>44.39</v>
      </c>
      <c r="O47" s="205">
        <f>VLOOKUP(B48,'B&amp;L'!$A$7:$BK$69,60,0)</f>
        <v>49.15</v>
      </c>
    </row>
    <row r="48" spans="1:15" ht="15" customHeight="1">
      <c r="A48" s="301"/>
      <c r="B48" s="156">
        <v>1412000010</v>
      </c>
      <c r="C48" s="149" t="s">
        <v>157</v>
      </c>
      <c r="D48" s="204">
        <f>VLOOKUP(B48,'B&amp;L'!$A$7:$BK$69,6,0)</f>
        <v>3.34</v>
      </c>
      <c r="E48" s="204">
        <f>VLOOKUP(B48,'B&amp;L'!$A$7:$BK$69,11,0)</f>
        <v>3.39</v>
      </c>
      <c r="F48" s="204">
        <f>VLOOKUP(B48,'B&amp;L'!$A$7:$BK$69,16,0)</f>
        <v>3.6</v>
      </c>
      <c r="G48" s="204">
        <f>VLOOKUP(B48,'B&amp;L'!$A$7:$BK$69,21,0)</f>
        <v>3.4</v>
      </c>
      <c r="H48" s="204">
        <f>VLOOKUP(B48,'B&amp;L'!$A$7:$BK$69,26,0)</f>
        <v>3.25</v>
      </c>
      <c r="I48" s="204">
        <f>VLOOKUP(B48,'B&amp;L'!$A$7:$BK$69,31,0)</f>
        <v>3.31</v>
      </c>
      <c r="J48" s="204">
        <f>VLOOKUP(B48,'B&amp;L'!$A$7:$BK$69,36,0)</f>
        <v>3.41</v>
      </c>
      <c r="K48" s="204">
        <f>VLOOKUP(B48,'B&amp;L'!$A$7:$BK$69,41,0)</f>
        <v>3.37</v>
      </c>
      <c r="L48" s="204">
        <f>VLOOKUP(B48,'B&amp;L'!$A$7:$BK$69,46,0)</f>
        <v>3.34</v>
      </c>
      <c r="M48" s="204">
        <f>VLOOKUP(B48,'B&amp;L'!$A$7:$BK$69,51,0)</f>
        <v>3.24</v>
      </c>
      <c r="N48" s="204">
        <f>VLOOKUP(B48,'B&amp;L'!$A$7:$BK$69,56,0)</f>
        <v>3</v>
      </c>
      <c r="O48" s="204">
        <f>VLOOKUP(B48,'B&amp;L'!$A$7:$BK$69,61,0)</f>
        <v>3.32</v>
      </c>
    </row>
    <row r="49" spans="1:15" s="152" customFormat="1" ht="15" customHeight="1">
      <c r="A49" s="302">
        <v>22</v>
      </c>
      <c r="B49" s="155" t="s">
        <v>158</v>
      </c>
      <c r="C49" s="147" t="s">
        <v>156</v>
      </c>
      <c r="D49" s="205">
        <f>VLOOKUP(B50,'B&amp;L'!$A$7:$BK$69,5,0)</f>
        <v>41.25</v>
      </c>
      <c r="E49" s="205">
        <f>VLOOKUP(B50,'B&amp;L'!$A$7:$BK$69,10,0)</f>
        <v>41.92</v>
      </c>
      <c r="F49" s="205">
        <f>VLOOKUP(B50,'B&amp;L'!$A$7:$BK$69,15,0)</f>
        <v>44.46</v>
      </c>
      <c r="G49" s="205">
        <f>VLOOKUP(B50,'B&amp;L'!$A$7:$BK$69,20,0)</f>
        <v>41.92</v>
      </c>
      <c r="H49" s="205">
        <f>VLOOKUP(B50,'B&amp;L'!$A$7:$BK$69,25,0)</f>
        <v>40.18</v>
      </c>
      <c r="I49" s="205">
        <f>VLOOKUP(B50,'B&amp;L'!$A$7:$BK$69,30,0)</f>
        <v>40.880000000000003</v>
      </c>
      <c r="J49" s="205">
        <f>VLOOKUP(B50,'B&amp;L'!$A$7:$BK$69,35,0)</f>
        <v>42.08</v>
      </c>
      <c r="K49" s="205">
        <f>VLOOKUP(B50,'B&amp;L'!$A$7:$BK$69,40,0)</f>
        <v>41.57</v>
      </c>
      <c r="L49" s="205">
        <f>VLOOKUP(B50,'B&amp;L'!$A$7:$BK$69,45,0)</f>
        <v>41.24</v>
      </c>
      <c r="M49" s="205">
        <f>VLOOKUP(B50,'B&amp;L'!$A$7:$BK$69,50,0)</f>
        <v>39.979999999999997</v>
      </c>
      <c r="N49" s="205">
        <f>VLOOKUP(B50,'B&amp;L'!$A$7:$BK$69,55,0)</f>
        <v>37</v>
      </c>
      <c r="O49" s="205">
        <f>VLOOKUP(B50,'B&amp;L'!$A$7:$BK$69,60,0)</f>
        <v>40.96</v>
      </c>
    </row>
    <row r="50" spans="1:15" s="152" customFormat="1" ht="15" customHeight="1">
      <c r="A50" s="302"/>
      <c r="B50" s="156">
        <v>1412000094</v>
      </c>
      <c r="C50" s="149" t="s">
        <v>157</v>
      </c>
      <c r="D50" s="204">
        <f>VLOOKUP(B50,'B&amp;L'!$A$7:$BK$69,6,0)</f>
        <v>2.78</v>
      </c>
      <c r="E50" s="204">
        <f>VLOOKUP(B50,'B&amp;L'!$A$7:$BK$69,11,0)</f>
        <v>2.83</v>
      </c>
      <c r="F50" s="204">
        <f>VLOOKUP(B50,'B&amp;L'!$A$7:$BK$69,16,0)</f>
        <v>3</v>
      </c>
      <c r="G50" s="204">
        <f>VLOOKUP(B50,'B&amp;L'!$A$7:$BK$69,21,0)</f>
        <v>2.83</v>
      </c>
      <c r="H50" s="204">
        <f>VLOOKUP(B50,'B&amp;L'!$A$7:$BK$69,26,0)</f>
        <v>2.71</v>
      </c>
      <c r="I50" s="204">
        <f>VLOOKUP(B50,'B&amp;L'!$A$7:$BK$69,31,0)</f>
        <v>2.76</v>
      </c>
      <c r="J50" s="204">
        <f>VLOOKUP(B50,'B&amp;L'!$A$7:$BK$69,36,0)</f>
        <v>2.84</v>
      </c>
      <c r="K50" s="204">
        <f>VLOOKUP(B50,'B&amp;L'!$A$7:$BK$69,41,0)</f>
        <v>2.81</v>
      </c>
      <c r="L50" s="204">
        <f>VLOOKUP(B50,'B&amp;L'!$A$7:$BK$69,46,0)</f>
        <v>2.78</v>
      </c>
      <c r="M50" s="204">
        <f>VLOOKUP(B50,'B&amp;L'!$A$7:$BK$69,51,0)</f>
        <v>2.7</v>
      </c>
      <c r="N50" s="204">
        <f>VLOOKUP(B50,'B&amp;L'!$A$7:$BK$69,56,0)</f>
        <v>2.5</v>
      </c>
      <c r="O50" s="204">
        <f>VLOOKUP(B50,'B&amp;L'!$A$7:$BK$69,61,0)</f>
        <v>2.76</v>
      </c>
    </row>
    <row r="51" spans="1:15" ht="15" customHeight="1">
      <c r="A51" s="295">
        <v>23</v>
      </c>
      <c r="B51" s="155" t="s">
        <v>4</v>
      </c>
      <c r="C51" s="147" t="s">
        <v>156</v>
      </c>
      <c r="D51" s="205">
        <f>VLOOKUP(B52,'B&amp;L'!$A$7:$BK$69,5,0)</f>
        <v>115.51</v>
      </c>
      <c r="E51" s="205">
        <f>VLOOKUP(B52,'B&amp;L'!$A$7:$BK$69,10,0)</f>
        <v>117.36</v>
      </c>
      <c r="F51" s="205">
        <f>VLOOKUP(B52,'B&amp;L'!$A$7:$BK$69,15,0)</f>
        <v>124.5</v>
      </c>
      <c r="G51" s="205">
        <f>VLOOKUP(B52,'B&amp;L'!$A$7:$BK$69,20,0)</f>
        <v>117.38</v>
      </c>
      <c r="H51" s="205">
        <f>VLOOKUP(B52,'B&amp;L'!$A$7:$BK$69,25,0)</f>
        <v>112.49</v>
      </c>
      <c r="I51" s="205">
        <f>VLOOKUP(B52,'B&amp;L'!$A$7:$BK$69,30,0)</f>
        <v>114.46</v>
      </c>
      <c r="J51" s="205">
        <f>VLOOKUP(B52,'B&amp;L'!$A$7:$BK$69,35,0)</f>
        <v>117.81</v>
      </c>
      <c r="K51" s="205">
        <f>VLOOKUP(B52,'B&amp;L'!$A$7:$BK$69,40,0)</f>
        <v>116.39</v>
      </c>
      <c r="L51" s="205">
        <f>VLOOKUP(B52,'B&amp;L'!$A$7:$BK$69,45,0)</f>
        <v>115.48</v>
      </c>
      <c r="M51" s="205">
        <f>VLOOKUP(B52,'B&amp;L'!$A$7:$BK$69,50,0)</f>
        <v>111.95</v>
      </c>
      <c r="N51" s="205">
        <f>VLOOKUP(B52,'B&amp;L'!$A$7:$BK$69,55,0)</f>
        <v>103.59</v>
      </c>
      <c r="O51" s="205">
        <f>VLOOKUP(B52,'B&amp;L'!$A$7:$BK$69,60,0)</f>
        <v>114.69</v>
      </c>
    </row>
    <row r="52" spans="1:15" ht="15" customHeight="1">
      <c r="A52" s="296"/>
      <c r="B52" s="156">
        <v>1412000054</v>
      </c>
      <c r="C52" s="149" t="s">
        <v>157</v>
      </c>
      <c r="D52" s="204">
        <f>VLOOKUP(B52,'B&amp;L'!$A$7:$BK$69,6,0)</f>
        <v>7.8</v>
      </c>
      <c r="E52" s="204">
        <f>VLOOKUP(B52,'B&amp;L'!$A$7:$BK$69,11,0)</f>
        <v>7.92</v>
      </c>
      <c r="F52" s="204">
        <f>VLOOKUP(B52,'B&amp;L'!$A$7:$BK$69,16,0)</f>
        <v>8.4</v>
      </c>
      <c r="G52" s="204">
        <f>VLOOKUP(B52,'B&amp;L'!$A$7:$BK$69,21,0)</f>
        <v>7.92</v>
      </c>
      <c r="H52" s="204">
        <f>VLOOKUP(B52,'B&amp;L'!$A$7:$BK$69,26,0)</f>
        <v>7.59</v>
      </c>
      <c r="I52" s="204">
        <f>VLOOKUP(B52,'B&amp;L'!$A$7:$BK$69,31,0)</f>
        <v>7.73</v>
      </c>
      <c r="J52" s="204">
        <f>VLOOKUP(B52,'B&amp;L'!$A$7:$BK$69,36,0)</f>
        <v>7.95</v>
      </c>
      <c r="K52" s="204">
        <f>VLOOKUP(B52,'B&amp;L'!$A$7:$BK$69,41,0)</f>
        <v>7.86</v>
      </c>
      <c r="L52" s="204">
        <f>VLOOKUP(B52,'B&amp;L'!$A$7:$BK$69,46,0)</f>
        <v>7.79</v>
      </c>
      <c r="M52" s="204">
        <f>VLOOKUP(B52,'B&amp;L'!$A$7:$BK$69,51,0)</f>
        <v>7.56</v>
      </c>
      <c r="N52" s="204">
        <f>VLOOKUP(B52,'B&amp;L'!$A$7:$BK$69,56,0)</f>
        <v>6.99</v>
      </c>
      <c r="O52" s="204">
        <f>VLOOKUP(B52,'B&amp;L'!$A$7:$BK$69,61,0)</f>
        <v>7.74</v>
      </c>
    </row>
    <row r="53" spans="1:15" ht="15" customHeight="1">
      <c r="A53" s="295">
        <v>24</v>
      </c>
      <c r="B53" s="155" t="s">
        <v>191</v>
      </c>
      <c r="C53" s="147" t="s">
        <v>156</v>
      </c>
      <c r="D53" s="205">
        <f>VLOOKUP(B54,'B&amp;L'!$A$7:$BK$69,5,0)</f>
        <v>30651.3</v>
      </c>
      <c r="E53" s="205">
        <f>VLOOKUP(B54,'B&amp;L'!$A$7:$BK$69,10,0)</f>
        <v>30651.11</v>
      </c>
      <c r="F53" s="205">
        <f>VLOOKUP(B54,'B&amp;L'!$A$7:$BK$69,15,0)</f>
        <v>30681.83</v>
      </c>
      <c r="G53" s="205">
        <f>VLOOKUP(B54,'B&amp;L'!$A$7:$BK$69,20,0)</f>
        <v>30647.34</v>
      </c>
      <c r="H53" s="205">
        <f>VLOOKUP(B54,'B&amp;L'!$A$7:$BK$69,25,0)</f>
        <v>30590.28</v>
      </c>
      <c r="I53" s="205">
        <f>VLOOKUP(B54,'B&amp;L'!$A$7:$BK$69,30,0)</f>
        <v>30589.59</v>
      </c>
      <c r="J53" s="205">
        <f>VLOOKUP(B54,'B&amp;L'!$A$7:$BK$69,35,0)</f>
        <v>30613.759999999998</v>
      </c>
      <c r="K53" s="205">
        <f>VLOOKUP(B54,'B&amp;L'!$A$7:$BK$69,40,0)</f>
        <v>30596.86</v>
      </c>
      <c r="L53" s="205">
        <f>VLOOKUP(B54,'B&amp;L'!$A$7:$BK$69,45,0)</f>
        <v>30594</v>
      </c>
      <c r="M53" s="205">
        <f>VLOOKUP(B54,'B&amp;L'!$A$7:$BK$69,50,0)</f>
        <v>30578.61</v>
      </c>
      <c r="N53" s="205">
        <f>VLOOKUP(B54,'B&amp;L'!$A$7:$BK$69,55,0)</f>
        <v>30507.78</v>
      </c>
      <c r="O53" s="205">
        <f>VLOOKUP(B54,'B&amp;L'!$A$7:$BK$69,60,0)</f>
        <v>30595.8</v>
      </c>
    </row>
    <row r="54" spans="1:15" ht="15" customHeight="1">
      <c r="A54" s="296"/>
      <c r="B54" s="156">
        <v>1412000036</v>
      </c>
      <c r="C54" s="149" t="s">
        <v>157</v>
      </c>
      <c r="D54" s="204">
        <f>VLOOKUP(B54,'B&amp;L'!$A$7:$BK$69,6,0)</f>
        <v>2068.84</v>
      </c>
      <c r="E54" s="204">
        <f>VLOOKUP(B54,'B&amp;L'!$A$7:$BK$69,11,0)</f>
        <v>2068.83</v>
      </c>
      <c r="F54" s="204">
        <f>VLOOKUP(B54,'B&amp;L'!$A$7:$BK$69,16,0)</f>
        <v>2070.9</v>
      </c>
      <c r="G54" s="204">
        <f>VLOOKUP(B54,'B&amp;L'!$A$7:$BK$69,21,0)</f>
        <v>2068.5700000000002</v>
      </c>
      <c r="H54" s="204">
        <f>VLOOKUP(B54,'B&amp;L'!$A$7:$BK$69,26,0)</f>
        <v>2064.7199999999998</v>
      </c>
      <c r="I54" s="204">
        <f>VLOOKUP(B54,'B&amp;L'!$A$7:$BK$69,31,0)</f>
        <v>2064.6799999999998</v>
      </c>
      <c r="J54" s="204">
        <f>VLOOKUP(B54,'B&amp;L'!$A$7:$BK$69,36,0)</f>
        <v>2066.31</v>
      </c>
      <c r="K54" s="204">
        <f>VLOOKUP(B54,'B&amp;L'!$A$7:$BK$69,41,0)</f>
        <v>2065.17</v>
      </c>
      <c r="L54" s="204">
        <f>VLOOKUP(B54,'B&amp;L'!$A$7:$BK$69,46,0)</f>
        <v>2064.9699999999998</v>
      </c>
      <c r="M54" s="204">
        <f>VLOOKUP(B54,'B&amp;L'!$A$7:$BK$69,51,0)</f>
        <v>2063.94</v>
      </c>
      <c r="N54" s="204">
        <f>VLOOKUP(B54,'B&amp;L'!$A$7:$BK$69,56,0)</f>
        <v>2059.16</v>
      </c>
      <c r="O54" s="204">
        <f>VLOOKUP(B54,'B&amp;L'!$A$7:$BK$69,61,0)</f>
        <v>2065.1</v>
      </c>
    </row>
    <row r="55" spans="1:15" ht="15" customHeight="1">
      <c r="A55" s="295">
        <v>25</v>
      </c>
      <c r="B55" s="258" t="s">
        <v>192</v>
      </c>
      <c r="C55" s="259" t="s">
        <v>156</v>
      </c>
      <c r="D55" s="260">
        <f>VLOOKUP(B56,'B&amp;L'!$A$7:$BK$69,5,0)</f>
        <v>51406.91</v>
      </c>
      <c r="E55" s="260">
        <f>VLOOKUP(B56,'B&amp;L'!$A$7:$BK$69,10,0)</f>
        <v>51402.36</v>
      </c>
      <c r="F55" s="260">
        <f>VLOOKUP(B56,'B&amp;L'!$A$7:$BK$69,15,0)</f>
        <v>51464.1</v>
      </c>
      <c r="G55" s="260">
        <f>VLOOKUP(B56,'B&amp;L'!$A$7:$BK$69,20,0)</f>
        <v>51394.85</v>
      </c>
      <c r="H55" s="260">
        <f>VLOOKUP(B56,'B&amp;L'!$A$7:$BK$69,25,0)</f>
        <v>51330.71</v>
      </c>
      <c r="I55" s="260">
        <f>VLOOKUP(B56,'B&amp;L'!$A$7:$BK$69,30,0)</f>
        <v>51322.46</v>
      </c>
      <c r="J55" s="260">
        <f>VLOOKUP(B56,'B&amp;L'!$A$7:$BK$69,35,0)</f>
        <v>51383.03</v>
      </c>
      <c r="K55" s="260">
        <f>VLOOKUP(B56,'B&amp;L'!$A$7:$BK$69,40,0)</f>
        <v>51340.21</v>
      </c>
      <c r="L55" s="260">
        <f>VLOOKUP(B56,'B&amp;L'!$A$7:$BK$69,45,0)</f>
        <v>51329.61</v>
      </c>
      <c r="M55" s="260">
        <f>VLOOKUP(B56,'B&amp;L'!$A$7:$BK$69,50,0)</f>
        <v>51290.71</v>
      </c>
      <c r="N55" s="260">
        <f>VLOOKUP(B56,'B&amp;L'!$A$7:$BK$69,55,0)</f>
        <v>51130.29</v>
      </c>
      <c r="O55" s="260">
        <f>VLOOKUP(B56,'B&amp;L'!$A$7:$BK$69,60,0)</f>
        <v>51334.78</v>
      </c>
    </row>
    <row r="56" spans="1:15" ht="15" customHeight="1">
      <c r="A56" s="296"/>
      <c r="B56" s="261">
        <v>1412000103</v>
      </c>
      <c r="C56" s="262" t="s">
        <v>157</v>
      </c>
      <c r="D56" s="263">
        <f>VLOOKUP(B56,'B&amp;L'!$A$7:$BK$69,6,0)</f>
        <v>3469.76</v>
      </c>
      <c r="E56" s="263">
        <f>VLOOKUP(B56,'B&amp;L'!$A$7:$BK$69,11,0)</f>
        <v>3469.46</v>
      </c>
      <c r="F56" s="263">
        <f>VLOOKUP(B56,'B&amp;L'!$A$7:$BK$69,16,0)</f>
        <v>3473.62</v>
      </c>
      <c r="G56" s="263">
        <f>VLOOKUP(B56,'B&amp;L'!$A$7:$BK$69,21,0)</f>
        <v>3468.95</v>
      </c>
      <c r="H56" s="263">
        <f>VLOOKUP(B56,'B&amp;L'!$A$7:$BK$69,26,0)</f>
        <v>3464.62</v>
      </c>
      <c r="I56" s="263">
        <f>VLOOKUP(B56,'B&amp;L'!$A$7:$BK$69,31,0)</f>
        <v>3464.06</v>
      </c>
      <c r="J56" s="263">
        <f>VLOOKUP(B56,'B&amp;L'!$A$7:$BK$69,36,0)</f>
        <v>3468.15</v>
      </c>
      <c r="K56" s="263">
        <f>VLOOKUP(B56,'B&amp;L'!$A$7:$BK$69,41,0)</f>
        <v>3465.26</v>
      </c>
      <c r="L56" s="263">
        <f>VLOOKUP(B56,'B&amp;L'!$A$7:$BK$69,46,0)</f>
        <v>3464.55</v>
      </c>
      <c r="M56" s="263">
        <f>VLOOKUP(B56,'B&amp;L'!$A$7:$BK$69,51,0)</f>
        <v>3461.92</v>
      </c>
      <c r="N56" s="263">
        <f>VLOOKUP(B56,'B&amp;L'!$A$7:$BK$69,56,0)</f>
        <v>3451.09</v>
      </c>
      <c r="O56" s="263">
        <f>VLOOKUP(B56,'B&amp;L'!$A$7:$BK$69,61,0)</f>
        <v>3464.9</v>
      </c>
    </row>
    <row r="57" spans="1:15" ht="15" customHeight="1">
      <c r="A57" s="301">
        <v>26</v>
      </c>
      <c r="B57" s="155" t="s">
        <v>82</v>
      </c>
      <c r="C57" s="147" t="s">
        <v>156</v>
      </c>
      <c r="D57" s="205">
        <f>VLOOKUP(B58,'B&amp;L'!$A$7:$BK$69,5,0)</f>
        <v>36364.5</v>
      </c>
      <c r="E57" s="205">
        <f>VLOOKUP(B58,'B&amp;L'!$A$7:$BK$69,10,0)</f>
        <v>36365.300000000003</v>
      </c>
      <c r="F57" s="205">
        <f>VLOOKUP(B58,'B&amp;L'!$A$7:$BK$69,15,0)</f>
        <v>36381.26</v>
      </c>
      <c r="G57" s="205">
        <f>VLOOKUP(B58,'B&amp;L'!$A$7:$BK$69,20,0)</f>
        <v>36361.279999999999</v>
      </c>
      <c r="H57" s="205">
        <f>VLOOKUP(B58,'B&amp;L'!$A$7:$BK$69,25,0)</f>
        <v>36350.839999999997</v>
      </c>
      <c r="I57" s="205">
        <f>VLOOKUP(B58,'B&amp;L'!$A$7:$BK$69,30,0)</f>
        <v>36349.279999999999</v>
      </c>
      <c r="J57" s="205">
        <f>VLOOKUP(B58,'B&amp;L'!$A$7:$BK$69,35,0)</f>
        <v>36363.199999999997</v>
      </c>
      <c r="K57" s="205">
        <f>VLOOKUP(B58,'B&amp;L'!$A$7:$BK$69,40,0)</f>
        <v>36355.120000000003</v>
      </c>
      <c r="L57" s="205">
        <f>VLOOKUP(B58,'B&amp;L'!$A$7:$BK$69,45,0)</f>
        <v>36349.4</v>
      </c>
      <c r="M57" s="205">
        <f>VLOOKUP(B58,'B&amp;L'!$A$7:$BK$69,50,0)</f>
        <v>36341.11</v>
      </c>
      <c r="N57" s="205">
        <f>VLOOKUP(B58,'B&amp;L'!$A$7:$BK$69,55,0)</f>
        <v>36306.769999999997</v>
      </c>
      <c r="O57" s="205">
        <f>VLOOKUP(B58,'B&amp;L'!$A$7:$BK$69,60,0)</f>
        <v>36347.449999999997</v>
      </c>
    </row>
    <row r="58" spans="1:15" ht="15" customHeight="1">
      <c r="A58" s="301"/>
      <c r="B58" s="156">
        <v>1412000072</v>
      </c>
      <c r="C58" s="149" t="s">
        <v>157</v>
      </c>
      <c r="D58" s="204">
        <f>VLOOKUP(B58,'B&amp;L'!$A$7:$BK$69,6,0)</f>
        <v>2454.46</v>
      </c>
      <c r="E58" s="204">
        <f>VLOOKUP(B58,'B&amp;L'!$A$7:$BK$69,11,0)</f>
        <v>2454.5100000000002</v>
      </c>
      <c r="F58" s="204">
        <f>VLOOKUP(B58,'B&amp;L'!$A$7:$BK$69,16,0)</f>
        <v>2455.59</v>
      </c>
      <c r="G58" s="204">
        <f>VLOOKUP(B58,'B&amp;L'!$A$7:$BK$69,21,0)</f>
        <v>2454.2399999999998</v>
      </c>
      <c r="H58" s="204">
        <f>VLOOKUP(B58,'B&amp;L'!$A$7:$BK$69,26,0)</f>
        <v>2453.54</v>
      </c>
      <c r="I58" s="204">
        <f>VLOOKUP(B58,'B&amp;L'!$A$7:$BK$69,31,0)</f>
        <v>2453.4299999999998</v>
      </c>
      <c r="J58" s="204">
        <f>VLOOKUP(B58,'B&amp;L'!$A$7:$BK$69,36,0)</f>
        <v>2454.37</v>
      </c>
      <c r="K58" s="204">
        <f>VLOOKUP(B58,'B&amp;L'!$A$7:$BK$69,41,0)</f>
        <v>2453.83</v>
      </c>
      <c r="L58" s="204">
        <f>VLOOKUP(B58,'B&amp;L'!$A$7:$BK$69,46,0)</f>
        <v>2453.44</v>
      </c>
      <c r="M58" s="204">
        <f>VLOOKUP(B58,'B&amp;L'!$A$7:$BK$69,51,0)</f>
        <v>2452.88</v>
      </c>
      <c r="N58" s="204">
        <f>VLOOKUP(B58,'B&amp;L'!$A$7:$BK$69,56,0)</f>
        <v>2450.56</v>
      </c>
      <c r="O58" s="204">
        <f>VLOOKUP(B58,'B&amp;L'!$A$7:$BK$69,61,0)</f>
        <v>2453.31</v>
      </c>
    </row>
    <row r="59" spans="1:15" ht="15" customHeight="1">
      <c r="A59" s="302">
        <v>27</v>
      </c>
      <c r="B59" s="155" t="s">
        <v>66</v>
      </c>
      <c r="C59" s="147" t="s">
        <v>156</v>
      </c>
      <c r="D59" s="205">
        <f>VLOOKUP(B60,'B&amp;L'!$A$7:$BK$69,5,0)</f>
        <v>123.76</v>
      </c>
      <c r="E59" s="205">
        <f>VLOOKUP(B60,'B&amp;L'!$A$7:$BK$69,10,0)</f>
        <v>125.75</v>
      </c>
      <c r="F59" s="205">
        <f>VLOOKUP(B60,'B&amp;L'!$A$7:$BK$69,15,0)</f>
        <v>133.38999999999999</v>
      </c>
      <c r="G59" s="205">
        <f>VLOOKUP(B60,'B&amp;L'!$A$7:$BK$69,20,0)</f>
        <v>125.76</v>
      </c>
      <c r="H59" s="205">
        <f>VLOOKUP(B60,'B&amp;L'!$A$7:$BK$69,25,0)</f>
        <v>120.53</v>
      </c>
      <c r="I59" s="205">
        <f>VLOOKUP(B60,'B&amp;L'!$A$7:$BK$69,30,0)</f>
        <v>122.64</v>
      </c>
      <c r="J59" s="205">
        <f>VLOOKUP(B60,'B&amp;L'!$A$7:$BK$69,35,0)</f>
        <v>126.23</v>
      </c>
      <c r="K59" s="205">
        <f>VLOOKUP(B60,'B&amp;L'!$A$7:$BK$69,40,0)</f>
        <v>124.71</v>
      </c>
      <c r="L59" s="205">
        <f>VLOOKUP(B60,'B&amp;L'!$A$7:$BK$69,45,0)</f>
        <v>123.73</v>
      </c>
      <c r="M59" s="205">
        <f>VLOOKUP(B60,'B&amp;L'!$A$7:$BK$69,50,0)</f>
        <v>119.95</v>
      </c>
      <c r="N59" s="205">
        <f>VLOOKUP(B60,'B&amp;L'!$A$7:$BK$69,55,0)</f>
        <v>110.99</v>
      </c>
      <c r="O59" s="205">
        <f>VLOOKUP(B60,'B&amp;L'!$A$7:$BK$69,60,0)</f>
        <v>122.88</v>
      </c>
    </row>
    <row r="60" spans="1:15" ht="15" customHeight="1">
      <c r="A60" s="302"/>
      <c r="B60" s="156">
        <v>1412000073</v>
      </c>
      <c r="C60" s="149" t="s">
        <v>157</v>
      </c>
      <c r="D60" s="204">
        <f>VLOOKUP(B60,'B&amp;L'!$A$7:$BK$69,6,0)</f>
        <v>8.35</v>
      </c>
      <c r="E60" s="204">
        <f>VLOOKUP(B60,'B&amp;L'!$A$7:$BK$69,11,0)</f>
        <v>8.49</v>
      </c>
      <c r="F60" s="204">
        <f>VLOOKUP(B60,'B&amp;L'!$A$7:$BK$69,16,0)</f>
        <v>9</v>
      </c>
      <c r="G60" s="204">
        <f>VLOOKUP(B60,'B&amp;L'!$A$7:$BK$69,21,0)</f>
        <v>8.49</v>
      </c>
      <c r="H60" s="204">
        <f>VLOOKUP(B60,'B&amp;L'!$A$7:$BK$69,26,0)</f>
        <v>8.14</v>
      </c>
      <c r="I60" s="204">
        <f>VLOOKUP(B60,'B&amp;L'!$A$7:$BK$69,31,0)</f>
        <v>8.2799999999999994</v>
      </c>
      <c r="J60" s="204">
        <f>VLOOKUP(B60,'B&amp;L'!$A$7:$BK$69,36,0)</f>
        <v>8.52</v>
      </c>
      <c r="K60" s="204">
        <f>VLOOKUP(B60,'B&amp;L'!$A$7:$BK$69,41,0)</f>
        <v>8.42</v>
      </c>
      <c r="L60" s="204">
        <f>VLOOKUP(B60,'B&amp;L'!$A$7:$BK$69,46,0)</f>
        <v>8.35</v>
      </c>
      <c r="M60" s="204">
        <f>VLOOKUP(B60,'B&amp;L'!$A$7:$BK$69,51,0)</f>
        <v>8.1</v>
      </c>
      <c r="N60" s="204">
        <f>VLOOKUP(B60,'B&amp;L'!$A$7:$BK$69,56,0)</f>
        <v>7.49</v>
      </c>
      <c r="O60" s="204">
        <f>VLOOKUP(B60,'B&amp;L'!$A$7:$BK$69,61,0)</f>
        <v>8.2899999999999991</v>
      </c>
    </row>
    <row r="61" spans="1:15" ht="15" customHeight="1">
      <c r="A61" s="295">
        <v>28</v>
      </c>
      <c r="B61" s="155" t="s">
        <v>3</v>
      </c>
      <c r="C61" s="147" t="s">
        <v>156</v>
      </c>
      <c r="D61" s="205">
        <f>VLOOKUP(B62,'B&amp;L'!$A$7:$BK$69,5,0)</f>
        <v>244.09</v>
      </c>
      <c r="E61" s="205">
        <f>VLOOKUP(B62,'B&amp;L'!$A$7:$BK$69,10,0)</f>
        <v>245.37</v>
      </c>
      <c r="F61" s="205">
        <f>VLOOKUP(B62,'B&amp;L'!$A$7:$BK$69,15,0)</f>
        <v>283.68</v>
      </c>
      <c r="G61" s="205">
        <f>VLOOKUP(B62,'B&amp;L'!$A$7:$BK$69,20,0)</f>
        <v>275.75</v>
      </c>
      <c r="H61" s="205">
        <f>VLOOKUP(B62,'B&amp;L'!$A$7:$BK$69,25,0)</f>
        <v>266.32</v>
      </c>
      <c r="I61" s="205">
        <f>VLOOKUP(B62,'B&amp;L'!$A$7:$BK$69,30,0)</f>
        <v>270.12</v>
      </c>
      <c r="J61" s="205">
        <f>VLOOKUP(B62,'B&amp;L'!$A$7:$BK$69,35,0)</f>
        <v>276.58999999999997</v>
      </c>
      <c r="K61" s="205">
        <f>VLOOKUP(B62,'B&amp;L'!$A$7:$BK$69,40,0)</f>
        <v>273.85000000000002</v>
      </c>
      <c r="L61" s="205">
        <f>VLOOKUP(B62,'B&amp;L'!$A$7:$BK$69,45,0)</f>
        <v>272.08999999999997</v>
      </c>
      <c r="M61" s="205">
        <f>VLOOKUP(B62,'B&amp;L'!$A$7:$BK$69,50,0)</f>
        <v>271.55</v>
      </c>
      <c r="N61" s="205">
        <f>VLOOKUP(B62,'B&amp;L'!$A$7:$BK$69,55,0)</f>
        <v>254.83</v>
      </c>
      <c r="O61" s="205">
        <f>VLOOKUP(B62,'B&amp;L'!$A$7:$BK$69,60,0)</f>
        <v>277.02</v>
      </c>
    </row>
    <row r="62" spans="1:15" ht="15" customHeight="1">
      <c r="A62" s="296"/>
      <c r="B62" s="156">
        <v>1412000006</v>
      </c>
      <c r="C62" s="149" t="s">
        <v>157</v>
      </c>
      <c r="D62" s="204">
        <f>VLOOKUP(B62,'B&amp;L'!$A$7:$BK$69,6,0)</f>
        <v>16.48</v>
      </c>
      <c r="E62" s="204">
        <f>VLOOKUP(B62,'B&amp;L'!$A$7:$BK$69,11,0)</f>
        <v>16.559999999999999</v>
      </c>
      <c r="F62" s="204">
        <f>VLOOKUP(B62,'B&amp;L'!$A$7:$BK$69,16,0)</f>
        <v>19.149999999999999</v>
      </c>
      <c r="G62" s="204">
        <f>VLOOKUP(B62,'B&amp;L'!$A$7:$BK$69,21,0)</f>
        <v>18.61</v>
      </c>
      <c r="H62" s="204">
        <f>VLOOKUP(B62,'B&amp;L'!$A$7:$BK$69,26,0)</f>
        <v>17.98</v>
      </c>
      <c r="I62" s="204">
        <f>VLOOKUP(B62,'B&amp;L'!$A$7:$BK$69,31,0)</f>
        <v>18.23</v>
      </c>
      <c r="J62" s="204">
        <f>VLOOKUP(B62,'B&amp;L'!$A$7:$BK$69,36,0)</f>
        <v>18.670000000000002</v>
      </c>
      <c r="K62" s="204">
        <f>VLOOKUP(B62,'B&amp;L'!$A$7:$BK$69,41,0)</f>
        <v>18.48</v>
      </c>
      <c r="L62" s="204">
        <f>VLOOKUP(B62,'B&amp;L'!$A$7:$BK$69,46,0)</f>
        <v>18.37</v>
      </c>
      <c r="M62" s="204">
        <f>VLOOKUP(B62,'B&amp;L'!$A$7:$BK$69,51,0)</f>
        <v>18.329999999999998</v>
      </c>
      <c r="N62" s="204">
        <f>VLOOKUP(B62,'B&amp;L'!$A$7:$BK$69,56,0)</f>
        <v>17.2</v>
      </c>
      <c r="O62" s="204">
        <f>VLOOKUP(B62,'B&amp;L'!$A$7:$BK$69,61,0)</f>
        <v>18.7</v>
      </c>
    </row>
    <row r="63" spans="1:15" ht="15" customHeight="1">
      <c r="A63" s="295">
        <v>29</v>
      </c>
      <c r="B63" s="155" t="s">
        <v>2</v>
      </c>
      <c r="C63" s="147" t="s">
        <v>156</v>
      </c>
      <c r="D63" s="205">
        <f>VLOOKUP(B64,'B&amp;L'!$A$7:$BK$69,5,0)</f>
        <v>207.78</v>
      </c>
      <c r="E63" s="205">
        <f>VLOOKUP(B64,'B&amp;L'!$A$7:$BK$69,10,0)</f>
        <v>209</v>
      </c>
      <c r="F63" s="205">
        <f>VLOOKUP(B64,'B&amp;L'!$A$7:$BK$69,15,0)</f>
        <v>229.61</v>
      </c>
      <c r="G63" s="205">
        <f>VLOOKUP(B64,'B&amp;L'!$A$7:$BK$69,20,0)</f>
        <v>215.38</v>
      </c>
      <c r="H63" s="205">
        <f>VLOOKUP(B64,'B&amp;L'!$A$7:$BK$69,25,0)</f>
        <v>207.34</v>
      </c>
      <c r="I63" s="205">
        <f>VLOOKUP(B64,'B&amp;L'!$A$7:$BK$69,30,0)</f>
        <v>210.58</v>
      </c>
      <c r="J63" s="205">
        <f>VLOOKUP(B64,'B&amp;L'!$A$7:$BK$69,35,0)</f>
        <v>216.09</v>
      </c>
      <c r="K63" s="205">
        <f>VLOOKUP(B64,'B&amp;L'!$A$7:$BK$69,40,0)</f>
        <v>213.76</v>
      </c>
      <c r="L63" s="205">
        <f>VLOOKUP(B64,'B&amp;L'!$A$7:$BK$69,45,0)</f>
        <v>212.26</v>
      </c>
      <c r="M63" s="205">
        <f>VLOOKUP(B64,'B&amp;L'!$A$7:$BK$69,50,0)</f>
        <v>205.23</v>
      </c>
      <c r="N63" s="205">
        <f>VLOOKUP(B64,'B&amp;L'!$A$7:$BK$69,55,0)</f>
        <v>191.49</v>
      </c>
      <c r="O63" s="205">
        <f>VLOOKUP(B64,'B&amp;L'!$A$7:$BK$69,60,0)</f>
        <v>209.72</v>
      </c>
    </row>
    <row r="64" spans="1:15" ht="15" customHeight="1">
      <c r="A64" s="296"/>
      <c r="B64" s="156">
        <v>1412000089</v>
      </c>
      <c r="C64" s="149" t="s">
        <v>157</v>
      </c>
      <c r="D64" s="204">
        <f>VLOOKUP(B64,'B&amp;L'!$A$7:$BK$69,6,0)</f>
        <v>14.02</v>
      </c>
      <c r="E64" s="204">
        <f>VLOOKUP(B64,'B&amp;L'!$A$7:$BK$69,11,0)</f>
        <v>14.11</v>
      </c>
      <c r="F64" s="204">
        <f>VLOOKUP(B64,'B&amp;L'!$A$7:$BK$69,16,0)</f>
        <v>15.5</v>
      </c>
      <c r="G64" s="204">
        <f>VLOOKUP(B64,'B&amp;L'!$A$7:$BK$69,21,0)</f>
        <v>14.54</v>
      </c>
      <c r="H64" s="204">
        <f>VLOOKUP(B64,'B&amp;L'!$A$7:$BK$69,26,0)</f>
        <v>13.99</v>
      </c>
      <c r="I64" s="204">
        <f>VLOOKUP(B64,'B&amp;L'!$A$7:$BK$69,31,0)</f>
        <v>14.21</v>
      </c>
      <c r="J64" s="204">
        <f>VLOOKUP(B64,'B&amp;L'!$A$7:$BK$69,36,0)</f>
        <v>14.59</v>
      </c>
      <c r="K64" s="204">
        <f>VLOOKUP(B64,'B&amp;L'!$A$7:$BK$69,41,0)</f>
        <v>14.43</v>
      </c>
      <c r="L64" s="204">
        <f>VLOOKUP(B64,'B&amp;L'!$A$7:$BK$69,46,0)</f>
        <v>14.33</v>
      </c>
      <c r="M64" s="204">
        <f>VLOOKUP(B64,'B&amp;L'!$A$7:$BK$69,51,0)</f>
        <v>13.85</v>
      </c>
      <c r="N64" s="204">
        <f>VLOOKUP(B64,'B&amp;L'!$A$7:$BK$69,56,0)</f>
        <v>12.92</v>
      </c>
      <c r="O64" s="204">
        <f>VLOOKUP(B64,'B&amp;L'!$A$7:$BK$69,61,0)</f>
        <v>14.16</v>
      </c>
    </row>
    <row r="65" spans="1:15" ht="15" customHeight="1">
      <c r="A65" s="295">
        <v>30</v>
      </c>
      <c r="B65" s="155" t="s">
        <v>140</v>
      </c>
      <c r="C65" s="147" t="s">
        <v>156</v>
      </c>
      <c r="D65" s="205">
        <f>VLOOKUP(B66,'B&amp;L'!$A$7:$BK$69,5,0)</f>
        <v>293.02</v>
      </c>
      <c r="E65" s="205">
        <f>VLOOKUP(B66,'B&amp;L'!$A$7:$BK$69,10,0)</f>
        <v>294.07</v>
      </c>
      <c r="F65" s="205">
        <f>VLOOKUP(B66,'B&amp;L'!$A$7:$BK$69,15,0)</f>
        <v>296.68</v>
      </c>
      <c r="G65" s="205">
        <f>VLOOKUP(B66,'B&amp;L'!$A$7:$BK$69,20,0)</f>
        <v>293.7</v>
      </c>
      <c r="H65" s="205">
        <f>VLOOKUP(B66,'B&amp;L'!$A$7:$BK$69,25,0)</f>
        <v>287.07</v>
      </c>
      <c r="I65" s="205">
        <f>VLOOKUP(B66,'B&amp;L'!$A$7:$BK$69,30,0)</f>
        <v>289.74</v>
      </c>
      <c r="J65" s="205">
        <f>VLOOKUP(B66,'B&amp;L'!$A$7:$BK$69,35,0)</f>
        <v>294.29000000000002</v>
      </c>
      <c r="K65" s="205">
        <f>VLOOKUP(B66,'B&amp;L'!$A$7:$BK$69,40,0)</f>
        <v>292.36</v>
      </c>
      <c r="L65" s="205">
        <f>VLOOKUP(B66,'B&amp;L'!$A$7:$BK$69,45,0)</f>
        <v>291.13</v>
      </c>
      <c r="M65" s="205">
        <f>VLOOKUP(B66,'B&amp;L'!$A$7:$BK$69,50,0)</f>
        <v>285.32</v>
      </c>
      <c r="N65" s="205">
        <f>VLOOKUP(B66,'B&amp;L'!$A$7:$BK$69,55,0)</f>
        <v>273.97000000000003</v>
      </c>
      <c r="O65" s="205">
        <f>VLOOKUP(B66,'B&amp;L'!$A$7:$BK$69,60,0)</f>
        <v>289.02999999999997</v>
      </c>
    </row>
    <row r="66" spans="1:15" ht="15" customHeight="1">
      <c r="A66" s="296"/>
      <c r="B66" s="156">
        <v>1412000040</v>
      </c>
      <c r="C66" s="149" t="s">
        <v>157</v>
      </c>
      <c r="D66" s="204">
        <f>VLOOKUP(B66,'B&amp;L'!$A$7:$BK$69,6,0)</f>
        <v>19.78</v>
      </c>
      <c r="E66" s="204">
        <f>VLOOKUP(B66,'B&amp;L'!$A$7:$BK$69,11,0)</f>
        <v>19.850000000000001</v>
      </c>
      <c r="F66" s="204">
        <f>VLOOKUP(B66,'B&amp;L'!$A$7:$BK$69,16,0)</f>
        <v>20.03</v>
      </c>
      <c r="G66" s="204">
        <f>VLOOKUP(B66,'B&amp;L'!$A$7:$BK$69,21,0)</f>
        <v>19.82</v>
      </c>
      <c r="H66" s="204">
        <f>VLOOKUP(B66,'B&amp;L'!$A$7:$BK$69,26,0)</f>
        <v>19.38</v>
      </c>
      <c r="I66" s="204">
        <f>VLOOKUP(B66,'B&amp;L'!$A$7:$BK$69,31,0)</f>
        <v>19.559999999999999</v>
      </c>
      <c r="J66" s="204">
        <f>VLOOKUP(B66,'B&amp;L'!$A$7:$BK$69,36,0)</f>
        <v>19.86</v>
      </c>
      <c r="K66" s="204">
        <f>VLOOKUP(B66,'B&amp;L'!$A$7:$BK$69,41,0)</f>
        <v>19.73</v>
      </c>
      <c r="L66" s="204">
        <f>VLOOKUP(B66,'B&amp;L'!$A$7:$BK$69,46,0)</f>
        <v>19.649999999999999</v>
      </c>
      <c r="M66" s="204">
        <f>VLOOKUP(B66,'B&amp;L'!$A$7:$BK$69,51,0)</f>
        <v>19.260000000000002</v>
      </c>
      <c r="N66" s="204">
        <f>VLOOKUP(B66,'B&amp;L'!$A$7:$BK$69,56,0)</f>
        <v>18.489999999999998</v>
      </c>
      <c r="O66" s="204">
        <f>VLOOKUP(B66,'B&amp;L'!$A$7:$BK$69,61,0)</f>
        <v>19.510000000000002</v>
      </c>
    </row>
    <row r="67" spans="1:15" ht="15" customHeight="1">
      <c r="A67" s="295">
        <v>31</v>
      </c>
      <c r="B67" s="281" t="s">
        <v>194</v>
      </c>
      <c r="C67" s="282" t="s">
        <v>156</v>
      </c>
      <c r="D67" s="283">
        <f>VLOOKUP(B68,'B&amp;L'!$A$7:$BK$69,5,0)</f>
        <v>122.05</v>
      </c>
      <c r="E67" s="283">
        <f>VLOOKUP(B68,'B&amp;L'!$A$7:$BK$69,10,0)</f>
        <v>122.69</v>
      </c>
      <c r="F67" s="283">
        <f>VLOOKUP(B68,'B&amp;L'!$A$7:$BK$69,15,0)</f>
        <v>124.29</v>
      </c>
      <c r="G67" s="283">
        <f>VLOOKUP(B68,'B&amp;L'!$A$7:$BK$69,20,0)</f>
        <v>117.48</v>
      </c>
      <c r="H67" s="283">
        <f>VLOOKUP(B68,'B&amp;L'!$A$7:$BK$69,25,0)</f>
        <v>113.64</v>
      </c>
      <c r="I67" s="283">
        <f>VLOOKUP(B68,'B&amp;L'!$A$7:$BK$69,30,0)</f>
        <v>115.19</v>
      </c>
      <c r="J67" s="283">
        <f>VLOOKUP(B68,'B&amp;L'!$A$7:$BK$69,35,0)</f>
        <v>117.82</v>
      </c>
      <c r="K67" s="283">
        <f>VLOOKUP(B68,'B&amp;L'!$A$7:$BK$69,40,0)</f>
        <v>116.7</v>
      </c>
      <c r="L67" s="283">
        <f>VLOOKUP(B68,'B&amp;L'!$A$7:$BK$69,45,0)</f>
        <v>115.99</v>
      </c>
      <c r="M67" s="283">
        <f>VLOOKUP(B68,'B&amp;L'!$A$7:$BK$69,50,0)</f>
        <v>112.63</v>
      </c>
      <c r="N67" s="283">
        <f>VLOOKUP(B68,'B&amp;L'!$A$7:$BK$69,55,0)</f>
        <v>106.05</v>
      </c>
      <c r="O67" s="283">
        <f>VLOOKUP(B68,'B&amp;L'!$A$7:$BK$69,60,0)</f>
        <v>114.77</v>
      </c>
    </row>
    <row r="68" spans="1:15" ht="15" customHeight="1">
      <c r="A68" s="296"/>
      <c r="B68" s="284">
        <v>1412000039</v>
      </c>
      <c r="C68" s="285" t="s">
        <v>157</v>
      </c>
      <c r="D68" s="286">
        <f>VLOOKUP(B68,'B&amp;L'!$A$7:$BK$69,6,0)</f>
        <v>8.24</v>
      </c>
      <c r="E68" s="286">
        <f>VLOOKUP(B68,'B&amp;L'!$A$7:$BK$69,11,0)</f>
        <v>8.2799999999999994</v>
      </c>
      <c r="F68" s="286">
        <f>VLOOKUP(B68,'B&amp;L'!$A$7:$BK$69,16,0)</f>
        <v>8.39</v>
      </c>
      <c r="G68" s="286">
        <f>VLOOKUP(B68,'B&amp;L'!$A$7:$BK$69,21,0)</f>
        <v>7.93</v>
      </c>
      <c r="H68" s="286">
        <f>VLOOKUP(B68,'B&amp;L'!$A$7:$BK$69,26,0)</f>
        <v>7.67</v>
      </c>
      <c r="I68" s="286">
        <f>VLOOKUP(B68,'B&amp;L'!$A$7:$BK$69,31,0)</f>
        <v>7.77</v>
      </c>
      <c r="J68" s="286">
        <f>VLOOKUP(B68,'B&amp;L'!$A$7:$BK$69,36,0)</f>
        <v>7.95</v>
      </c>
      <c r="K68" s="286">
        <f>VLOOKUP(B68,'B&amp;L'!$A$7:$BK$69,41,0)</f>
        <v>7.88</v>
      </c>
      <c r="L68" s="286">
        <f>VLOOKUP(B68,'B&amp;L'!$A$7:$BK$69,46,0)</f>
        <v>7.83</v>
      </c>
      <c r="M68" s="286">
        <f>VLOOKUP(B68,'B&amp;L'!$A$7:$BK$69,51,0)</f>
        <v>7.6</v>
      </c>
      <c r="N68" s="286">
        <f>VLOOKUP(B68,'B&amp;L'!$A$7:$BK$69,56,0)</f>
        <v>7.16</v>
      </c>
      <c r="O68" s="286">
        <f>VLOOKUP(B68,'B&amp;L'!$A$7:$BK$69,61,0)</f>
        <v>7.75</v>
      </c>
    </row>
    <row r="69" spans="1:15" ht="15" customHeight="1">
      <c r="A69" s="295">
        <v>32</v>
      </c>
      <c r="B69" s="281" t="s">
        <v>193</v>
      </c>
      <c r="C69" s="282" t="s">
        <v>156</v>
      </c>
      <c r="D69" s="283">
        <f>VLOOKUP(B70,'B&amp;L'!$A$7:$BK$69,5,0)</f>
        <v>87.75</v>
      </c>
      <c r="E69" s="283">
        <f>VLOOKUP(B70,'B&amp;L'!$A$7:$BK$69,10,0)</f>
        <v>105.42</v>
      </c>
      <c r="F69" s="283">
        <f>VLOOKUP(B70,'B&amp;L'!$A$7:$BK$69,15,0)</f>
        <v>106.73</v>
      </c>
      <c r="G69" s="283">
        <f>VLOOKUP(B70,'B&amp;L'!$A$7:$BK$69,20,0)</f>
        <v>101.16</v>
      </c>
      <c r="H69" s="283">
        <f>VLOOKUP(B70,'B&amp;L'!$A$7:$BK$69,25,0)</f>
        <v>98.02</v>
      </c>
      <c r="I69" s="283">
        <f>VLOOKUP(B70,'B&amp;L'!$A$7:$BK$69,30,0)</f>
        <v>99.29</v>
      </c>
      <c r="J69" s="283">
        <f>VLOOKUP(B70,'B&amp;L'!$A$7:$BK$69,35,0)</f>
        <v>101.44</v>
      </c>
      <c r="K69" s="283">
        <f>VLOOKUP(B70,'B&amp;L'!$A$7:$BK$69,40,0)</f>
        <v>100.53</v>
      </c>
      <c r="L69" s="283">
        <f>VLOOKUP(B70,'B&amp;L'!$A$7:$BK$69,45,0)</f>
        <v>99.94</v>
      </c>
      <c r="M69" s="283">
        <f>VLOOKUP(B70,'B&amp;L'!$A$7:$BK$69,50,0)</f>
        <v>97.19</v>
      </c>
      <c r="N69" s="283">
        <f>VLOOKUP(B70,'B&amp;L'!$A$7:$BK$69,55,0)</f>
        <v>91.82</v>
      </c>
      <c r="O69" s="283">
        <f>VLOOKUP(B70,'B&amp;L'!$A$7:$BK$69,60,0)</f>
        <v>98.95</v>
      </c>
    </row>
    <row r="70" spans="1:15" ht="15" customHeight="1">
      <c r="A70" s="296"/>
      <c r="B70" s="284" t="s">
        <v>195</v>
      </c>
      <c r="C70" s="285" t="s">
        <v>157</v>
      </c>
      <c r="D70" s="286">
        <f>VLOOKUP(B70,'B&amp;L'!$A$7:$BK$69,6,0)</f>
        <v>5.92</v>
      </c>
      <c r="E70" s="286">
        <f>VLOOKUP(B70,'B&amp;L'!$A$7:$BK$69,11,0)</f>
        <v>7.12</v>
      </c>
      <c r="F70" s="286">
        <f>VLOOKUP(B70,'B&amp;L'!$A$7:$BK$69,16,0)</f>
        <v>7.2</v>
      </c>
      <c r="G70" s="286">
        <f>VLOOKUP(B70,'B&amp;L'!$A$7:$BK$69,21,0)</f>
        <v>6.83</v>
      </c>
      <c r="H70" s="286">
        <f>VLOOKUP(B70,'B&amp;L'!$A$7:$BK$69,26,0)</f>
        <v>6.62</v>
      </c>
      <c r="I70" s="286">
        <f>VLOOKUP(B70,'B&amp;L'!$A$7:$BK$69,31,0)</f>
        <v>6.7</v>
      </c>
      <c r="J70" s="286">
        <f>VLOOKUP(B70,'B&amp;L'!$A$7:$BK$69,36,0)</f>
        <v>6.85</v>
      </c>
      <c r="K70" s="286">
        <f>VLOOKUP(B70,'B&amp;L'!$A$7:$BK$69,41,0)</f>
        <v>6.79</v>
      </c>
      <c r="L70" s="286">
        <f>VLOOKUP(B70,'B&amp;L'!$A$7:$BK$69,46,0)</f>
        <v>6.75</v>
      </c>
      <c r="M70" s="286">
        <f>VLOOKUP(B70,'B&amp;L'!$A$7:$BK$69,51,0)</f>
        <v>6.56</v>
      </c>
      <c r="N70" s="286">
        <f>VLOOKUP(B70,'B&amp;L'!$A$7:$BK$69,56,0)</f>
        <v>6.2</v>
      </c>
      <c r="O70" s="286">
        <f>VLOOKUP(B70,'B&amp;L'!$A$7:$BK$69,61,0)</f>
        <v>6.68</v>
      </c>
    </row>
    <row r="71" spans="1:15" ht="15" customHeight="1">
      <c r="A71" s="295">
        <v>33</v>
      </c>
      <c r="B71" s="155" t="s">
        <v>159</v>
      </c>
      <c r="C71" s="147" t="s">
        <v>156</v>
      </c>
      <c r="D71" s="205">
        <f>VLOOKUP(B72,'B&amp;L'!$A$7:$BK$69,5,0)</f>
        <v>1423.45</v>
      </c>
      <c r="E71" s="205">
        <f>VLOOKUP(B72,'B&amp;L'!$A$7:$BK$69,10,0)</f>
        <v>1422.89</v>
      </c>
      <c r="F71" s="205">
        <f>VLOOKUP(B72,'B&amp;L'!$A$7:$BK$69,15,0)</f>
        <v>1450.7</v>
      </c>
      <c r="G71" s="205">
        <f>VLOOKUP(B72,'B&amp;L'!$A$7:$BK$69,20,0)</f>
        <v>1444.13</v>
      </c>
      <c r="H71" s="205">
        <f>VLOOKUP(B72,'B&amp;L'!$A$7:$BK$69,25,0)</f>
        <v>1415.14</v>
      </c>
      <c r="I71" s="205">
        <f>VLOOKUP(B72,'B&amp;L'!$A$7:$BK$69,30,0)</f>
        <v>1418.18</v>
      </c>
      <c r="J71" s="205">
        <f>VLOOKUP(B72,'B&amp;L'!$A$7:$BK$69,35,0)</f>
        <v>1448.41</v>
      </c>
      <c r="K71" s="205">
        <f>VLOOKUP(B72,'B&amp;L'!$A$7:$BK$69,40,0)</f>
        <v>1430.09</v>
      </c>
      <c r="L71" s="205">
        <f>VLOOKUP(B72,'B&amp;L'!$A$7:$BK$69,45,0)</f>
        <v>1427.14</v>
      </c>
      <c r="M71" s="205">
        <f>VLOOKUP(B72,'B&amp;L'!$A$7:$BK$69,50,0)</f>
        <v>1410.99</v>
      </c>
      <c r="N71" s="205">
        <f>VLOOKUP(B72,'B&amp;L'!$A$7:$BK$69,55,0)</f>
        <v>1334.76</v>
      </c>
      <c r="O71" s="205">
        <f>VLOOKUP(B72,'B&amp;L'!$A$7:$BK$69,60,0)</f>
        <v>1433.82</v>
      </c>
    </row>
    <row r="72" spans="1:15" ht="15" customHeight="1">
      <c r="A72" s="296"/>
      <c r="B72" s="156">
        <v>1412000013</v>
      </c>
      <c r="C72" s="149" t="s">
        <v>157</v>
      </c>
      <c r="D72" s="204">
        <f>VLOOKUP(B72,'B&amp;L'!$A$7:$BK$69,6,0)</f>
        <v>96.08</v>
      </c>
      <c r="E72" s="204">
        <f>VLOOKUP(B72,'B&amp;L'!$A$7:$BK$69,11,0)</f>
        <v>96.04</v>
      </c>
      <c r="F72" s="204">
        <f>VLOOKUP(B72,'B&amp;L'!$A$7:$BK$69,16,0)</f>
        <v>97.92</v>
      </c>
      <c r="G72" s="204">
        <f>VLOOKUP(B72,'B&amp;L'!$A$7:$BK$69,21,0)</f>
        <v>97.47</v>
      </c>
      <c r="H72" s="204">
        <f>VLOOKUP(B72,'B&amp;L'!$A$7:$BK$69,26,0)</f>
        <v>95.52</v>
      </c>
      <c r="I72" s="204">
        <f>VLOOKUP(B72,'B&amp;L'!$A$7:$BK$69,31,0)</f>
        <v>95.72</v>
      </c>
      <c r="J72" s="204">
        <f>VLOOKUP(B72,'B&amp;L'!$A$7:$BK$69,36,0)</f>
        <v>97.76</v>
      </c>
      <c r="K72" s="204">
        <f>VLOOKUP(B72,'B&amp;L'!$A$7:$BK$69,41,0)</f>
        <v>96.53</v>
      </c>
      <c r="L72" s="204">
        <f>VLOOKUP(B72,'B&amp;L'!$A$7:$BK$69,46,0)</f>
        <v>96.33</v>
      </c>
      <c r="M72" s="204">
        <f>VLOOKUP(B72,'B&amp;L'!$A$7:$BK$69,51,0)</f>
        <v>95.24</v>
      </c>
      <c r="N72" s="204">
        <f>VLOOKUP(B72,'B&amp;L'!$A$7:$BK$69,56,0)</f>
        <v>90.09</v>
      </c>
      <c r="O72" s="204">
        <f>VLOOKUP(B72,'B&amp;L'!$A$7:$BK$69,61,0)</f>
        <v>96.78</v>
      </c>
    </row>
    <row r="73" spans="1:15" ht="15" customHeight="1">
      <c r="A73" s="295">
        <v>34</v>
      </c>
      <c r="B73" s="155" t="s">
        <v>160</v>
      </c>
      <c r="C73" s="147" t="s">
        <v>156</v>
      </c>
      <c r="D73" s="205">
        <f>VLOOKUP(B74,'B&amp;L'!$A$7:$BK$69,5,0)</f>
        <v>1024.19</v>
      </c>
      <c r="E73" s="205">
        <f>VLOOKUP(B74,'B&amp;L'!$A$7:$BK$69,10,0)</f>
        <v>1023.94</v>
      </c>
      <c r="F73" s="205">
        <f>VLOOKUP(B74,'B&amp;L'!$A$7:$BK$69,15,0)</f>
        <v>1036.6099999999999</v>
      </c>
      <c r="G73" s="205">
        <f>VLOOKUP(B74,'B&amp;L'!$A$7:$BK$69,20,0)</f>
        <v>1032.46</v>
      </c>
      <c r="H73" s="205">
        <f>VLOOKUP(B74,'B&amp;L'!$A$7:$BK$69,25,0)</f>
        <v>1019.33</v>
      </c>
      <c r="I73" s="205">
        <f>VLOOKUP(B74,'B&amp;L'!$A$7:$BK$69,30,0)</f>
        <v>1020.71</v>
      </c>
      <c r="J73" s="205">
        <f>VLOOKUP(B74,'B&amp;L'!$A$7:$BK$69,35,0)</f>
        <v>1034.4000000000001</v>
      </c>
      <c r="K73" s="205">
        <f>VLOOKUP(B74,'B&amp;L'!$A$7:$BK$69,40,0)</f>
        <v>1026.0999999999999</v>
      </c>
      <c r="L73" s="205">
        <f>VLOOKUP(B74,'B&amp;L'!$A$7:$BK$69,45,0)</f>
        <v>1024.77</v>
      </c>
      <c r="M73" s="205">
        <f>VLOOKUP(B74,'B&amp;L'!$A$7:$BK$69,50,0)</f>
        <v>1017.45</v>
      </c>
      <c r="N73" s="205">
        <f>VLOOKUP(B74,'B&amp;L'!$A$7:$BK$69,55,0)</f>
        <v>982.93</v>
      </c>
      <c r="O73" s="205">
        <f>VLOOKUP(B74,'B&amp;L'!$A$7:$BK$69,60,0)</f>
        <v>1027.79</v>
      </c>
    </row>
    <row r="74" spans="1:15" ht="15" customHeight="1">
      <c r="A74" s="296"/>
      <c r="B74" s="156">
        <v>1412000092</v>
      </c>
      <c r="C74" s="149" t="s">
        <v>157</v>
      </c>
      <c r="D74" s="204">
        <f>VLOOKUP(B74,'B&amp;L'!$A$7:$BK$69,6,0)</f>
        <v>69.13</v>
      </c>
      <c r="E74" s="204">
        <f>VLOOKUP(B74,'B&amp;L'!$A$7:$BK$69,11,0)</f>
        <v>69.11</v>
      </c>
      <c r="F74" s="204">
        <f>VLOOKUP(B74,'B&amp;L'!$A$7:$BK$69,16,0)</f>
        <v>69.97</v>
      </c>
      <c r="G74" s="204">
        <f>VLOOKUP(B74,'B&amp;L'!$A$7:$BK$69,21,0)</f>
        <v>69.69</v>
      </c>
      <c r="H74" s="204">
        <f>VLOOKUP(B74,'B&amp;L'!$A$7:$BK$69,26,0)</f>
        <v>68.8</v>
      </c>
      <c r="I74" s="204">
        <f>VLOOKUP(B74,'B&amp;L'!$A$7:$BK$69,31,0)</f>
        <v>68.89</v>
      </c>
      <c r="J74" s="204">
        <f>VLOOKUP(B74,'B&amp;L'!$A$7:$BK$69,36,0)</f>
        <v>69.819999999999993</v>
      </c>
      <c r="K74" s="204">
        <f>VLOOKUP(B74,'B&amp;L'!$A$7:$BK$69,41,0)</f>
        <v>69.260000000000005</v>
      </c>
      <c r="L74" s="204">
        <f>VLOOKUP(B74,'B&amp;L'!$A$7:$BK$69,46,0)</f>
        <v>69.17</v>
      </c>
      <c r="M74" s="204">
        <f>VLOOKUP(B74,'B&amp;L'!$A$7:$BK$69,51,0)</f>
        <v>68.67</v>
      </c>
      <c r="N74" s="204">
        <f>VLOOKUP(B74,'B&amp;L'!$A$7:$BK$69,56,0)</f>
        <v>66.34</v>
      </c>
      <c r="O74" s="204">
        <f>VLOOKUP(B74,'B&amp;L'!$A$7:$BK$69,61,0)</f>
        <v>69.37</v>
      </c>
    </row>
    <row r="75" spans="1:15" ht="15" customHeight="1">
      <c r="A75" s="295">
        <v>35</v>
      </c>
      <c r="B75" s="155" t="s">
        <v>139</v>
      </c>
      <c r="C75" s="147" t="s">
        <v>156</v>
      </c>
      <c r="D75" s="205">
        <f>VLOOKUP(B76,'B&amp;L'!$A$7:$BK$69,5,0)</f>
        <v>487.99</v>
      </c>
      <c r="E75" s="205">
        <f>VLOOKUP(B76,'B&amp;L'!$A$7:$BK$69,10,0)</f>
        <v>499.69</v>
      </c>
      <c r="F75" s="205">
        <f>VLOOKUP(B76,'B&amp;L'!$A$7:$BK$69,15,0)</f>
        <v>513.96</v>
      </c>
      <c r="G75" s="205">
        <f>VLOOKUP(B76,'B&amp;L'!$A$7:$BK$69,20,0)</f>
        <v>499.72</v>
      </c>
      <c r="H75" s="205">
        <f>VLOOKUP(B76,'B&amp;L'!$A$7:$BK$69,25,0)</f>
        <v>489.94</v>
      </c>
      <c r="I75" s="205">
        <f>VLOOKUP(B76,'B&amp;L'!$A$7:$BK$69,30,0)</f>
        <v>493.88</v>
      </c>
      <c r="J75" s="205">
        <f>VLOOKUP(B76,'B&amp;L'!$A$7:$BK$69,35,0)</f>
        <v>500.59</v>
      </c>
      <c r="K75" s="205">
        <f>VLOOKUP(B76,'B&amp;L'!$A$7:$BK$69,40,0)</f>
        <v>497.75</v>
      </c>
      <c r="L75" s="205">
        <f>VLOOKUP(B76,'B&amp;L'!$A$7:$BK$69,45,0)</f>
        <v>495.93</v>
      </c>
      <c r="M75" s="205">
        <f>VLOOKUP(B76,'B&amp;L'!$A$7:$BK$69,50,0)</f>
        <v>488.86</v>
      </c>
      <c r="N75" s="205">
        <f>VLOOKUP(B76,'B&amp;L'!$A$7:$BK$69,55,0)</f>
        <v>472.14</v>
      </c>
      <c r="O75" s="205">
        <f>VLOOKUP(B76,'B&amp;L'!$A$7:$BK$69,60,0)</f>
        <v>494.33</v>
      </c>
    </row>
    <row r="76" spans="1:15" ht="15" customHeight="1">
      <c r="A76" s="296"/>
      <c r="B76" s="156">
        <v>1412000035</v>
      </c>
      <c r="C76" s="149" t="s">
        <v>157</v>
      </c>
      <c r="D76" s="204">
        <f>VLOOKUP(B76,'B&amp;L'!$A$7:$BK$69,6,0)</f>
        <v>32.94</v>
      </c>
      <c r="E76" s="204">
        <f>VLOOKUP(B76,'B&amp;L'!$A$7:$BK$69,11,0)</f>
        <v>33.729999999999997</v>
      </c>
      <c r="F76" s="204">
        <f>VLOOKUP(B76,'B&amp;L'!$A$7:$BK$69,16,0)</f>
        <v>34.69</v>
      </c>
      <c r="G76" s="204">
        <f>VLOOKUP(B76,'B&amp;L'!$A$7:$BK$69,21,0)</f>
        <v>33.729999999999997</v>
      </c>
      <c r="H76" s="204">
        <f>VLOOKUP(B76,'B&amp;L'!$A$7:$BK$69,26,0)</f>
        <v>33.07</v>
      </c>
      <c r="I76" s="204">
        <f>VLOOKUP(B76,'B&amp;L'!$A$7:$BK$69,31,0)</f>
        <v>33.340000000000003</v>
      </c>
      <c r="J76" s="204">
        <f>VLOOKUP(B76,'B&amp;L'!$A$7:$BK$69,36,0)</f>
        <v>33.79</v>
      </c>
      <c r="K76" s="204">
        <f>VLOOKUP(B76,'B&amp;L'!$A$7:$BK$69,41,0)</f>
        <v>33.6</v>
      </c>
      <c r="L76" s="204">
        <f>VLOOKUP(B76,'B&amp;L'!$A$7:$BK$69,46,0)</f>
        <v>33.47</v>
      </c>
      <c r="M76" s="204">
        <f>VLOOKUP(B76,'B&amp;L'!$A$7:$BK$69,51,0)</f>
        <v>33</v>
      </c>
      <c r="N76" s="204">
        <f>VLOOKUP(B76,'B&amp;L'!$A$7:$BK$69,56,0)</f>
        <v>31.87</v>
      </c>
      <c r="O76" s="204">
        <f>VLOOKUP(B76,'B&amp;L'!$A$7:$BK$69,61,0)</f>
        <v>33.369999999999997</v>
      </c>
    </row>
    <row r="77" spans="1:15">
      <c r="A77" s="295">
        <v>36</v>
      </c>
      <c r="B77" s="155" t="s">
        <v>132</v>
      </c>
      <c r="C77" s="147" t="s">
        <v>156</v>
      </c>
      <c r="D77" s="205">
        <f>VLOOKUP(B78,'B&amp;L'!$A$7:$BK$69,5,0)</f>
        <v>486.97</v>
      </c>
      <c r="E77" s="205">
        <f>VLOOKUP(B78,'B&amp;L'!$A$7:$BK$69,10,0)</f>
        <v>496.83</v>
      </c>
      <c r="F77" s="205">
        <f>VLOOKUP(B78,'B&amp;L'!$A$7:$BK$69,15,0)</f>
        <v>497.26</v>
      </c>
      <c r="G77" s="205">
        <f>VLOOKUP(B78,'B&amp;L'!$A$7:$BK$69,20,0)</f>
        <v>491.45</v>
      </c>
      <c r="H77" s="205">
        <f>VLOOKUP(B78,'B&amp;L'!$A$7:$BK$69,25,0)</f>
        <v>490.78</v>
      </c>
      <c r="I77" s="205">
        <f>VLOOKUP(B78,'B&amp;L'!$A$7:$BK$69,30,0)</f>
        <v>490.89</v>
      </c>
      <c r="J77" s="205">
        <f>VLOOKUP(B78,'B&amp;L'!$A$7:$BK$69,35,0)</f>
        <v>491.17</v>
      </c>
      <c r="K77" s="205">
        <f>VLOOKUP(B78,'B&amp;L'!$A$7:$BK$69,40,0)</f>
        <v>491.03</v>
      </c>
      <c r="L77" s="205">
        <f>VLOOKUP(B78,'B&amp;L'!$A$7:$BK$69,45,0)</f>
        <v>490.82</v>
      </c>
      <c r="M77" s="205">
        <f>VLOOKUP(B78,'B&amp;L'!$A$7:$BK$69,50,0)</f>
        <v>490.58</v>
      </c>
      <c r="N77" s="205">
        <f>VLOOKUP(B78,'B&amp;L'!$A$7:$BK$69,55,0)</f>
        <v>489.82</v>
      </c>
      <c r="O77" s="205">
        <f>VLOOKUP(B78,'B&amp;L'!$A$7:$BK$69,60,0)</f>
        <v>490.81</v>
      </c>
    </row>
    <row r="78" spans="1:15">
      <c r="A78" s="296"/>
      <c r="B78" s="156">
        <v>1412000016</v>
      </c>
      <c r="C78" s="149" t="s">
        <v>157</v>
      </c>
      <c r="D78" s="204">
        <f>VLOOKUP(B78,'B&amp;L'!$A$7:$BK$69,6,0)</f>
        <v>32.869999999999997</v>
      </c>
      <c r="E78" s="204">
        <f>VLOOKUP(B78,'B&amp;L'!$A$7:$BK$69,11,0)</f>
        <v>33.53</v>
      </c>
      <c r="F78" s="204">
        <f>VLOOKUP(B78,'B&amp;L'!$A$7:$BK$69,16,0)</f>
        <v>33.56</v>
      </c>
      <c r="G78" s="204">
        <f>VLOOKUP(B78,'B&amp;L'!$A$7:$BK$69,21,0)</f>
        <v>33.17</v>
      </c>
      <c r="H78" s="204">
        <f>VLOOKUP(B78,'B&amp;L'!$A$7:$BK$69,26,0)</f>
        <v>33.130000000000003</v>
      </c>
      <c r="I78" s="204">
        <f>VLOOKUP(B78,'B&amp;L'!$A$7:$BK$69,31,0)</f>
        <v>33.130000000000003</v>
      </c>
      <c r="J78" s="204">
        <f>VLOOKUP(B78,'B&amp;L'!$A$7:$BK$69,36,0)</f>
        <v>33.15</v>
      </c>
      <c r="K78" s="204">
        <f>VLOOKUP(B78,'B&amp;L'!$A$7:$BK$69,41,0)</f>
        <v>33.14</v>
      </c>
      <c r="L78" s="204">
        <f>VLOOKUP(B78,'B&amp;L'!$A$7:$BK$69,46,0)</f>
        <v>33.130000000000003</v>
      </c>
      <c r="M78" s="204">
        <f>VLOOKUP(B78,'B&amp;L'!$A$7:$BK$69,51,0)</f>
        <v>33.11</v>
      </c>
      <c r="N78" s="204">
        <f>VLOOKUP(B78,'B&amp;L'!$A$7:$BK$69,56,0)</f>
        <v>33.06</v>
      </c>
      <c r="O78" s="204">
        <f>VLOOKUP(B78,'B&amp;L'!$A$7:$BK$69,61,0)</f>
        <v>33.130000000000003</v>
      </c>
    </row>
    <row r="79" spans="1:15">
      <c r="A79" s="295">
        <v>37</v>
      </c>
      <c r="B79" s="155" t="s">
        <v>147</v>
      </c>
      <c r="C79" s="147" t="s">
        <v>156</v>
      </c>
      <c r="D79" s="205">
        <f>VLOOKUP(B80,'B&amp;L'!$A$7:$BK$69,5,0)</f>
        <v>339.53</v>
      </c>
      <c r="E79" s="205">
        <f>VLOOKUP(B80,'B&amp;L'!$A$7:$BK$69,10,0)</f>
        <v>353.12</v>
      </c>
      <c r="F79" s="205">
        <f>VLOOKUP(B80,'B&amp;L'!$A$7:$BK$69,15,0)</f>
        <v>353.41</v>
      </c>
      <c r="G79" s="205">
        <f>VLOOKUP(B80,'B&amp;L'!$A$7:$BK$69,20,0)</f>
        <v>349.53</v>
      </c>
      <c r="H79" s="205">
        <f>VLOOKUP(B80,'B&amp;L'!$A$7:$BK$69,25,0)</f>
        <v>349.09</v>
      </c>
      <c r="I79" s="205">
        <f>VLOOKUP(B80,'B&amp;L'!$A$7:$BK$69,30,0)</f>
        <v>349.16</v>
      </c>
      <c r="J79" s="205">
        <f>VLOOKUP(B80,'B&amp;L'!$A$7:$BK$69,35,0)</f>
        <v>349.35</v>
      </c>
      <c r="K79" s="205">
        <f>VLOOKUP(B80,'B&amp;L'!$A$7:$BK$69,40,0)</f>
        <v>349.25</v>
      </c>
      <c r="L79" s="205">
        <f>VLOOKUP(B80,'B&amp;L'!$A$7:$BK$69,45,0)</f>
        <v>349.11</v>
      </c>
      <c r="M79" s="205">
        <f>VLOOKUP(B80,'B&amp;L'!$A$7:$BK$69,50,0)</f>
        <v>348.95</v>
      </c>
      <c r="N79" s="205">
        <f>VLOOKUP(B80,'B&amp;L'!$A$7:$BK$69,55,0)</f>
        <v>348.45</v>
      </c>
      <c r="O79" s="205">
        <f>VLOOKUP(B80,'B&amp;L'!$A$7:$BK$69,60,0)</f>
        <v>349.11</v>
      </c>
    </row>
    <row r="80" spans="1:15">
      <c r="A80" s="296"/>
      <c r="B80" s="156">
        <v>1412000069</v>
      </c>
      <c r="C80" s="149" t="s">
        <v>157</v>
      </c>
      <c r="D80" s="204">
        <f>VLOOKUP(B80,'B&amp;L'!$A$7:$BK$69,6,0)</f>
        <v>22.92</v>
      </c>
      <c r="E80" s="204">
        <f>VLOOKUP(B80,'B&amp;L'!$A$7:$BK$69,11,0)</f>
        <v>23.83</v>
      </c>
      <c r="F80" s="204">
        <f>VLOOKUP(B80,'B&amp;L'!$A$7:$BK$69,16,0)</f>
        <v>23.85</v>
      </c>
      <c r="G80" s="204">
        <f>VLOOKUP(B80,'B&amp;L'!$A$7:$BK$69,21,0)</f>
        <v>23.59</v>
      </c>
      <c r="H80" s="204">
        <f>VLOOKUP(B80,'B&amp;L'!$A$7:$BK$69,26,0)</f>
        <v>23.56</v>
      </c>
      <c r="I80" s="204">
        <f>VLOOKUP(B80,'B&amp;L'!$A$7:$BK$69,31,0)</f>
        <v>23.57</v>
      </c>
      <c r="J80" s="204">
        <f>VLOOKUP(B80,'B&amp;L'!$A$7:$BK$69,36,0)</f>
        <v>23.58</v>
      </c>
      <c r="K80" s="204">
        <f>VLOOKUP(B80,'B&amp;L'!$A$7:$BK$69,41,0)</f>
        <v>23.57</v>
      </c>
      <c r="L80" s="204">
        <f>VLOOKUP(B80,'B&amp;L'!$A$7:$BK$69,46,0)</f>
        <v>23.56</v>
      </c>
      <c r="M80" s="204">
        <f>VLOOKUP(B80,'B&amp;L'!$A$7:$BK$69,51,0)</f>
        <v>23.55</v>
      </c>
      <c r="N80" s="204">
        <f>VLOOKUP(B80,'B&amp;L'!$A$7:$BK$69,56,0)</f>
        <v>23.52</v>
      </c>
      <c r="O80" s="204">
        <f>VLOOKUP(B80,'B&amp;L'!$A$7:$BK$69,61,0)</f>
        <v>23.56</v>
      </c>
    </row>
    <row r="81" spans="1:15">
      <c r="A81" s="295">
        <v>38</v>
      </c>
      <c r="B81" s="155" t="s">
        <v>149</v>
      </c>
      <c r="C81" s="147" t="s">
        <v>156</v>
      </c>
      <c r="D81" s="205">
        <f>VLOOKUP(B82,'B&amp;L'!$A$7:$BK$69,5,0)</f>
        <v>508.03</v>
      </c>
      <c r="E81" s="205">
        <f>VLOOKUP(B82,'B&amp;L'!$A$7:$BK$69,10,0)</f>
        <v>496.83</v>
      </c>
      <c r="F81" s="205">
        <f>VLOOKUP(B82,'B&amp;L'!$A$7:$BK$69,15,0)</f>
        <v>497.26</v>
      </c>
      <c r="G81" s="205">
        <f>VLOOKUP(B82,'B&amp;L'!$A$7:$BK$69,20,0)</f>
        <v>511.72</v>
      </c>
      <c r="H81" s="205">
        <f>VLOOKUP(B82,'B&amp;L'!$A$7:$BK$69,25,0)</f>
        <v>511.02</v>
      </c>
      <c r="I81" s="205">
        <f>VLOOKUP(B82,'B&amp;L'!$A$7:$BK$69,30,0)</f>
        <v>511.13</v>
      </c>
      <c r="J81" s="205">
        <f>VLOOKUP(B82,'B&amp;L'!$A$7:$BK$69,35,0)</f>
        <v>511.43</v>
      </c>
      <c r="K81" s="205">
        <f>VLOOKUP(B82,'B&amp;L'!$A$7:$BK$69,40,0)</f>
        <v>511.28</v>
      </c>
      <c r="L81" s="205">
        <f>VLOOKUP(B82,'B&amp;L'!$A$7:$BK$69,45,0)</f>
        <v>511.06</v>
      </c>
      <c r="M81" s="205">
        <f>VLOOKUP(B82,'B&amp;L'!$A$7:$BK$69,50,0)</f>
        <v>510.81</v>
      </c>
      <c r="N81" s="205">
        <f>VLOOKUP(B82,'B&amp;L'!$A$7:$BK$69,55,0)</f>
        <v>510.02</v>
      </c>
      <c r="O81" s="205">
        <f>VLOOKUP(B82,'B&amp;L'!$A$7:$BK$69,60,0)</f>
        <v>511.05</v>
      </c>
    </row>
    <row r="82" spans="1:15">
      <c r="A82" s="296"/>
      <c r="B82" s="156">
        <v>1412000084</v>
      </c>
      <c r="C82" s="149" t="s">
        <v>157</v>
      </c>
      <c r="D82" s="204">
        <f>VLOOKUP(B82,'B&amp;L'!$A$7:$BK$69,6,0)</f>
        <v>34.29</v>
      </c>
      <c r="E82" s="204">
        <f>VLOOKUP(B82,'B&amp;L'!$A$7:$BK$69,11,0)</f>
        <v>33.53</v>
      </c>
      <c r="F82" s="204">
        <f>VLOOKUP(B82,'B&amp;L'!$A$7:$BK$69,16,0)</f>
        <v>33.56</v>
      </c>
      <c r="G82" s="204">
        <f>VLOOKUP(B82,'B&amp;L'!$A$7:$BK$69,21,0)</f>
        <v>34.54</v>
      </c>
      <c r="H82" s="204">
        <f>VLOOKUP(B82,'B&amp;L'!$A$7:$BK$69,26,0)</f>
        <v>34.49</v>
      </c>
      <c r="I82" s="204">
        <f>VLOOKUP(B82,'B&amp;L'!$A$7:$BK$69,31,0)</f>
        <v>34.5</v>
      </c>
      <c r="J82" s="204">
        <f>VLOOKUP(B82,'B&amp;L'!$A$7:$BK$69,36,0)</f>
        <v>34.520000000000003</v>
      </c>
      <c r="K82" s="204">
        <f>VLOOKUP(B82,'B&amp;L'!$A$7:$BK$69,41,0)</f>
        <v>34.51</v>
      </c>
      <c r="L82" s="204">
        <f>VLOOKUP(B82,'B&amp;L'!$A$7:$BK$69,46,0)</f>
        <v>34.49</v>
      </c>
      <c r="M82" s="204">
        <f>VLOOKUP(B82,'B&amp;L'!$A$7:$BK$69,51,0)</f>
        <v>34.479999999999997</v>
      </c>
      <c r="N82" s="204">
        <f>VLOOKUP(B82,'B&amp;L'!$A$7:$BK$69,56,0)</f>
        <v>34.42</v>
      </c>
      <c r="O82" s="204">
        <f>VLOOKUP(B82,'B&amp;L'!$A$7:$BK$69,61,0)</f>
        <v>34.49</v>
      </c>
    </row>
    <row r="83" spans="1:15" ht="15" customHeight="1">
      <c r="A83" s="295">
        <v>39</v>
      </c>
      <c r="B83" s="155" t="s">
        <v>75</v>
      </c>
      <c r="C83" s="147" t="s">
        <v>156</v>
      </c>
      <c r="D83" s="205">
        <f>VLOOKUP(B84,'B&amp;L'!$A$7:$BK$69,5,0)</f>
        <v>246.2</v>
      </c>
      <c r="E83" s="205">
        <f>VLOOKUP(B84,'B&amp;L'!$A$7:$BK$69,10,0)</f>
        <v>246.29</v>
      </c>
      <c r="F83" s="205">
        <f>VLOOKUP(B84,'B&amp;L'!$A$7:$BK$69,15,0)</f>
        <v>245.4</v>
      </c>
      <c r="G83" s="205">
        <f>VLOOKUP(B84,'B&amp;L'!$A$7:$BK$69,20,0)</f>
        <v>243.34</v>
      </c>
      <c r="H83" s="205">
        <f>VLOOKUP(B84,'B&amp;L'!$A$7:$BK$69,25,0)</f>
        <v>243.08</v>
      </c>
      <c r="I83" s="205">
        <f>VLOOKUP(B84,'B&amp;L'!$A$7:$BK$69,30,0)</f>
        <v>272.58999999999997</v>
      </c>
      <c r="J83" s="205">
        <f>VLOOKUP(B84,'B&amp;L'!$A$7:$BK$69,35,0)</f>
        <v>262.39999999999998</v>
      </c>
      <c r="K83" s="205">
        <f>VLOOKUP(B84,'B&amp;L'!$A$7:$BK$69,40,0)</f>
        <v>262.29000000000002</v>
      </c>
      <c r="L83" s="205">
        <f>VLOOKUP(B84,'B&amp;L'!$A$7:$BK$69,45,0)</f>
        <v>262.66000000000003</v>
      </c>
      <c r="M83" s="205">
        <f>VLOOKUP(B84,'B&amp;L'!$A$7:$BK$69,50,0)</f>
        <v>262.47000000000003</v>
      </c>
      <c r="N83" s="205">
        <f>VLOOKUP(B84,'B&amp;L'!$A$7:$BK$69,55,0)</f>
        <v>258.39</v>
      </c>
      <c r="O83" s="205">
        <f>VLOOKUP(B84,'B&amp;L'!$A$7:$BK$69,60,0)</f>
        <v>262.64999999999998</v>
      </c>
    </row>
    <row r="84" spans="1:15" ht="15" customHeight="1">
      <c r="A84" s="296"/>
      <c r="B84" s="156">
        <v>1412000050</v>
      </c>
      <c r="C84" s="149" t="s">
        <v>157</v>
      </c>
      <c r="D84" s="204">
        <f>VLOOKUP(B84,'B&amp;L'!$A$7:$BK$69,6,0)</f>
        <v>16.62</v>
      </c>
      <c r="E84" s="204">
        <f>VLOOKUP(B84,'B&amp;L'!$A$7:$BK$69,11,0)</f>
        <v>16.62</v>
      </c>
      <c r="F84" s="204">
        <f>VLOOKUP(B84,'B&amp;L'!$A$7:$BK$69,16,0)</f>
        <v>16.559999999999999</v>
      </c>
      <c r="G84" s="204">
        <f>VLOOKUP(B84,'B&amp;L'!$A$7:$BK$69,21,0)</f>
        <v>16.420000000000002</v>
      </c>
      <c r="H84" s="204">
        <f>VLOOKUP(B84,'B&amp;L'!$A$7:$BK$69,26,0)</f>
        <v>16.41</v>
      </c>
      <c r="I84" s="204">
        <f>VLOOKUP(B84,'B&amp;L'!$A$7:$BK$69,31,0)</f>
        <v>18.399999999999999</v>
      </c>
      <c r="J84" s="204">
        <f>VLOOKUP(B84,'B&amp;L'!$A$7:$BK$69,36,0)</f>
        <v>17.71</v>
      </c>
      <c r="K84" s="204">
        <f>VLOOKUP(B84,'B&amp;L'!$A$7:$BK$69,41,0)</f>
        <v>17.7</v>
      </c>
      <c r="L84" s="204">
        <f>VLOOKUP(B84,'B&amp;L'!$A$7:$BK$69,46,0)</f>
        <v>17.73</v>
      </c>
      <c r="M84" s="204">
        <f>VLOOKUP(B84,'B&amp;L'!$A$7:$BK$69,51,0)</f>
        <v>17.72</v>
      </c>
      <c r="N84" s="204">
        <f>VLOOKUP(B84,'B&amp;L'!$A$7:$BK$69,56,0)</f>
        <v>17.440000000000001</v>
      </c>
      <c r="O84" s="204">
        <f>VLOOKUP(B84,'B&amp;L'!$A$7:$BK$69,61,0)</f>
        <v>17.73</v>
      </c>
    </row>
    <row r="85" spans="1:15" ht="15" customHeight="1">
      <c r="A85" s="295">
        <v>40</v>
      </c>
      <c r="B85" s="155" t="s">
        <v>161</v>
      </c>
      <c r="C85" s="147" t="s">
        <v>156</v>
      </c>
      <c r="D85" s="205">
        <f>VLOOKUP(B86,'B&amp;L'!$A$7:$BK$69,5,0)</f>
        <v>180.54</v>
      </c>
      <c r="E85" s="205">
        <f>VLOOKUP(B86,'B&amp;L'!$A$7:$BK$69,10,0)</f>
        <v>180.61</v>
      </c>
      <c r="F85" s="205">
        <f>VLOOKUP(B86,'B&amp;L'!$A$7:$BK$69,15,0)</f>
        <v>179.96</v>
      </c>
      <c r="G85" s="205">
        <f>VLOOKUP(B86,'B&amp;L'!$A$7:$BK$69,20,0)</f>
        <v>178.45</v>
      </c>
      <c r="H85" s="205">
        <f>VLOOKUP(B86,'B&amp;L'!$A$7:$BK$69,25,0)</f>
        <v>178.26</v>
      </c>
      <c r="I85" s="205">
        <f>VLOOKUP(B86,'B&amp;L'!$A$7:$BK$69,30,0)</f>
        <v>166.58</v>
      </c>
      <c r="J85" s="205">
        <f>VLOOKUP(B86,'B&amp;L'!$A$7:$BK$69,35,0)</f>
        <v>169.79</v>
      </c>
      <c r="K85" s="205">
        <f>VLOOKUP(B86,'B&amp;L'!$A$7:$BK$69,40,0)</f>
        <v>169.71</v>
      </c>
      <c r="L85" s="205">
        <f>VLOOKUP(B86,'B&amp;L'!$A$7:$BK$69,45,0)</f>
        <v>169.96</v>
      </c>
      <c r="M85" s="205">
        <f>VLOOKUP(B86,'B&amp;L'!$A$7:$BK$69,50,0)</f>
        <v>169.83</v>
      </c>
      <c r="N85" s="205">
        <f>VLOOKUP(B86,'B&amp;L'!$A$7:$BK$69,55,0)</f>
        <v>167.2</v>
      </c>
      <c r="O85" s="205">
        <f>VLOOKUP(B86,'B&amp;L'!$A$7:$BK$69,60,0)</f>
        <v>169.95</v>
      </c>
    </row>
    <row r="86" spans="1:15" ht="15" customHeight="1">
      <c r="A86" s="296"/>
      <c r="B86" s="156">
        <v>1412000077</v>
      </c>
      <c r="C86" s="149" t="s">
        <v>157</v>
      </c>
      <c r="D86" s="204">
        <f>VLOOKUP(B86,'B&amp;L'!$A$7:$BK$69,6,0)</f>
        <v>12.19</v>
      </c>
      <c r="E86" s="204">
        <f>VLOOKUP(B86,'B&amp;L'!$A$7:$BK$69,11,0)</f>
        <v>12.19</v>
      </c>
      <c r="F86" s="204">
        <f>VLOOKUP(B86,'B&amp;L'!$A$7:$BK$69,16,0)</f>
        <v>12.15</v>
      </c>
      <c r="G86" s="204">
        <f>VLOOKUP(B86,'B&amp;L'!$A$7:$BK$69,21,0)</f>
        <v>12.04</v>
      </c>
      <c r="H86" s="204">
        <f>VLOOKUP(B86,'B&amp;L'!$A$7:$BK$69,26,0)</f>
        <v>12.03</v>
      </c>
      <c r="I86" s="204">
        <f>VLOOKUP(B86,'B&amp;L'!$A$7:$BK$69,31,0)</f>
        <v>11.24</v>
      </c>
      <c r="J86" s="204">
        <f>VLOOKUP(B86,'B&amp;L'!$A$7:$BK$69,36,0)</f>
        <v>11.46</v>
      </c>
      <c r="K86" s="204">
        <f>VLOOKUP(B86,'B&amp;L'!$A$7:$BK$69,41,0)</f>
        <v>11.46</v>
      </c>
      <c r="L86" s="204">
        <f>VLOOKUP(B86,'B&amp;L'!$A$7:$BK$69,46,0)</f>
        <v>11.47</v>
      </c>
      <c r="M86" s="204">
        <f>VLOOKUP(B86,'B&amp;L'!$A$7:$BK$69,51,0)</f>
        <v>11.46</v>
      </c>
      <c r="N86" s="204">
        <f>VLOOKUP(B86,'B&amp;L'!$A$7:$BK$69,56,0)</f>
        <v>11.29</v>
      </c>
      <c r="O86" s="204">
        <f>VLOOKUP(B86,'B&amp;L'!$A$7:$BK$69,61,0)</f>
        <v>11.47</v>
      </c>
    </row>
    <row r="87" spans="1:15">
      <c r="A87" s="295">
        <v>41</v>
      </c>
      <c r="B87" s="155" t="s">
        <v>162</v>
      </c>
      <c r="C87" s="147" t="s">
        <v>156</v>
      </c>
      <c r="D87" s="205">
        <f>VLOOKUP(B88,'B&amp;L'!$A$7:$BK$69,5,0)</f>
        <v>164.13</v>
      </c>
      <c r="E87" s="205">
        <f>VLOOKUP(B88,'B&amp;L'!$A$7:$BK$69,10,0)</f>
        <v>164.19</v>
      </c>
      <c r="F87" s="205">
        <f>VLOOKUP(B88,'B&amp;L'!$A$7:$BK$69,15,0)</f>
        <v>163.6</v>
      </c>
      <c r="G87" s="205">
        <f>VLOOKUP(B88,'B&amp;L'!$A$7:$BK$69,20,0)</f>
        <v>162.22999999999999</v>
      </c>
      <c r="H87" s="205">
        <f>VLOOKUP(B88,'B&amp;L'!$A$7:$BK$69,25,0)</f>
        <v>162.06</v>
      </c>
      <c r="I87" s="205">
        <f>VLOOKUP(B88,'B&amp;L'!$A$7:$BK$69,30,0)</f>
        <v>151.44</v>
      </c>
      <c r="J87" s="205">
        <f>VLOOKUP(B88,'B&amp;L'!$A$7:$BK$69,35,0)</f>
        <v>154.35</v>
      </c>
      <c r="K87" s="205">
        <f>VLOOKUP(B88,'B&amp;L'!$A$7:$BK$69,40,0)</f>
        <v>154.29</v>
      </c>
      <c r="L87" s="205">
        <f>VLOOKUP(B88,'B&amp;L'!$A$7:$BK$69,45,0)</f>
        <v>154.51</v>
      </c>
      <c r="M87" s="205">
        <f>VLOOKUP(B88,'B&amp;L'!$A$7:$BK$69,50,0)</f>
        <v>154.38999999999999</v>
      </c>
      <c r="N87" s="205">
        <f>VLOOKUP(B88,'B&amp;L'!$A$7:$BK$69,55,0)</f>
        <v>152</v>
      </c>
      <c r="O87" s="205">
        <f>VLOOKUP(B88,'B&amp;L'!$A$7:$BK$69,60,0)</f>
        <v>139.05000000000001</v>
      </c>
    </row>
    <row r="88" spans="1:15">
      <c r="A88" s="296"/>
      <c r="B88" s="156">
        <v>1412000083</v>
      </c>
      <c r="C88" s="149" t="s">
        <v>157</v>
      </c>
      <c r="D88" s="204">
        <f>VLOOKUP(B88,'B&amp;L'!$A$7:$BK$69,6,0)</f>
        <v>11.08</v>
      </c>
      <c r="E88" s="204">
        <f>VLOOKUP(B88,'B&amp;L'!$A$7:$BK$69,11,0)</f>
        <v>11.08</v>
      </c>
      <c r="F88" s="204">
        <f>VLOOKUP(B88,'B&amp;L'!$A$7:$BK$69,16,0)</f>
        <v>11.04</v>
      </c>
      <c r="G88" s="204">
        <f>VLOOKUP(B88,'B&amp;L'!$A$7:$BK$69,21,0)</f>
        <v>10.95</v>
      </c>
      <c r="H88" s="204">
        <f>VLOOKUP(B88,'B&amp;L'!$A$7:$BK$69,26,0)</f>
        <v>10.94</v>
      </c>
      <c r="I88" s="204">
        <f>VLOOKUP(B88,'B&amp;L'!$A$7:$BK$69,31,0)</f>
        <v>10.220000000000001</v>
      </c>
      <c r="J88" s="204">
        <f>VLOOKUP(B88,'B&amp;L'!$A$7:$BK$69,36,0)</f>
        <v>10.42</v>
      </c>
      <c r="K88" s="204">
        <f>VLOOKUP(B88,'B&amp;L'!$A$7:$BK$69,41,0)</f>
        <v>10.41</v>
      </c>
      <c r="L88" s="204">
        <f>VLOOKUP(B88,'B&amp;L'!$A$7:$BK$69,46,0)</f>
        <v>10.43</v>
      </c>
      <c r="M88" s="204">
        <f>VLOOKUP(B88,'B&amp;L'!$A$7:$BK$69,51,0)</f>
        <v>10.42</v>
      </c>
      <c r="N88" s="204">
        <f>VLOOKUP(B88,'B&amp;L'!$A$7:$BK$69,56,0)</f>
        <v>10.26</v>
      </c>
      <c r="O88" s="204">
        <f>VLOOKUP(B88,'B&amp;L'!$A$7:$BK$69,61,0)</f>
        <v>9.39</v>
      </c>
    </row>
    <row r="89" spans="1:15">
      <c r="A89" s="295">
        <v>42</v>
      </c>
      <c r="B89" s="155" t="s">
        <v>163</v>
      </c>
      <c r="C89" s="147" t="s">
        <v>156</v>
      </c>
      <c r="D89" s="205">
        <f>VLOOKUP(B90,'B&amp;L'!$A$7:$BK$69,5,0)</f>
        <v>164.13</v>
      </c>
      <c r="E89" s="205">
        <f>VLOOKUP(B90,'B&amp;L'!$A$7:$BK$69,10,0)</f>
        <v>164.19</v>
      </c>
      <c r="F89" s="205">
        <f>VLOOKUP(B90,'B&amp;L'!$A$7:$BK$69,15,0)</f>
        <v>163.6</v>
      </c>
      <c r="G89" s="205">
        <f>VLOOKUP(B90,'B&amp;L'!$A$7:$BK$69,20,0)</f>
        <v>178.45</v>
      </c>
      <c r="H89" s="205">
        <f>VLOOKUP(B90,'B&amp;L'!$A$7:$BK$69,25,0)</f>
        <v>178.26</v>
      </c>
      <c r="I89" s="205">
        <f>VLOOKUP(B90,'B&amp;L'!$A$7:$BK$69,30,0)</f>
        <v>166.58</v>
      </c>
      <c r="J89" s="205">
        <f>VLOOKUP(B90,'B&amp;L'!$A$7:$BK$69,35,0)</f>
        <v>169.79</v>
      </c>
      <c r="K89" s="205">
        <f>VLOOKUP(B90,'B&amp;L'!$A$7:$BK$69,40,0)</f>
        <v>169.71</v>
      </c>
      <c r="L89" s="205">
        <f>VLOOKUP(B90,'B&amp;L'!$A$7:$BK$69,45,0)</f>
        <v>169.96</v>
      </c>
      <c r="M89" s="205">
        <f>VLOOKUP(B90,'B&amp;L'!$A$7:$BK$69,50,0)</f>
        <v>169.83</v>
      </c>
      <c r="N89" s="205">
        <f>VLOOKUP(B90,'B&amp;L'!$A$7:$BK$69,55,0)</f>
        <v>167.2</v>
      </c>
      <c r="O89" s="205">
        <f>VLOOKUP(B90,'B&amp;L'!$A$7:$BK$69,60,0)</f>
        <v>169.95</v>
      </c>
    </row>
    <row r="90" spans="1:15">
      <c r="A90" s="296"/>
      <c r="B90" s="156">
        <v>1412000099</v>
      </c>
      <c r="C90" s="149" t="s">
        <v>157</v>
      </c>
      <c r="D90" s="204">
        <f>VLOOKUP(B90,'B&amp;L'!$A$7:$BK$69,6,0)</f>
        <v>11.08</v>
      </c>
      <c r="E90" s="204">
        <f>VLOOKUP(B90,'B&amp;L'!$A$7:$BK$69,11,0)</f>
        <v>11.08</v>
      </c>
      <c r="F90" s="204">
        <f>VLOOKUP(B90,'B&amp;L'!$A$7:$BK$69,16,0)</f>
        <v>11.04</v>
      </c>
      <c r="G90" s="204">
        <f>VLOOKUP(B90,'B&amp;L'!$A$7:$BK$69,21,0)</f>
        <v>12.04</v>
      </c>
      <c r="H90" s="204">
        <f>VLOOKUP(B90,'B&amp;L'!$A$7:$BK$69,26,0)</f>
        <v>12.03</v>
      </c>
      <c r="I90" s="204">
        <f>VLOOKUP(B90,'B&amp;L'!$A$7:$BK$69,31,0)</f>
        <v>11.24</v>
      </c>
      <c r="J90" s="204">
        <f>VLOOKUP(B90,'B&amp;L'!$A$7:$BK$69,36,0)</f>
        <v>11.46</v>
      </c>
      <c r="K90" s="204">
        <f>VLOOKUP(B90,'B&amp;L'!$A$7:$BK$69,41,0)</f>
        <v>11.46</v>
      </c>
      <c r="L90" s="204">
        <f>VLOOKUP(B90,'B&amp;L'!$A$7:$BK$69,46,0)</f>
        <v>11.47</v>
      </c>
      <c r="M90" s="204">
        <f>VLOOKUP(B90,'B&amp;L'!$A$7:$BK$69,51,0)</f>
        <v>11.46</v>
      </c>
      <c r="N90" s="204">
        <f>VLOOKUP(B90,'B&amp;L'!$A$7:$BK$69,56,0)</f>
        <v>11.29</v>
      </c>
      <c r="O90" s="204">
        <f>VLOOKUP(B90,'B&amp;L'!$A$7:$BK$69,61,0)</f>
        <v>11.47</v>
      </c>
    </row>
    <row r="91" spans="1:15">
      <c r="A91" s="295">
        <v>43</v>
      </c>
      <c r="B91" s="155" t="s">
        <v>187</v>
      </c>
      <c r="C91" s="147" t="s">
        <v>156</v>
      </c>
      <c r="D91" s="205">
        <f>VLOOKUP(B92,'B&amp;L'!$A$7:$BK$69,5,0)</f>
        <v>131.31</v>
      </c>
      <c r="E91" s="205">
        <f>VLOOKUP(B92,'B&amp;L'!$A$7:$BK$69,10,0)</f>
        <v>131.35</v>
      </c>
      <c r="F91" s="205">
        <f>VLOOKUP(B92,'B&amp;L'!$A$7:$BK$69,15,0)</f>
        <v>130.88</v>
      </c>
      <c r="G91" s="205">
        <f>VLOOKUP(B92,'B&amp;L'!$A$7:$BK$69,20,0)</f>
        <v>129.78</v>
      </c>
      <c r="H91" s="205">
        <f>VLOOKUP(B92,'B&amp;L'!$A$7:$BK$69,25,0)</f>
        <v>129.63999999999999</v>
      </c>
      <c r="I91" s="205">
        <f>VLOOKUP(B92,'B&amp;L'!$A$7:$BK$69,30,0)</f>
        <v>121.15</v>
      </c>
      <c r="J91" s="205">
        <f>VLOOKUP(B92,'B&amp;L'!$A$7:$BK$69,35,0)</f>
        <v>123.48</v>
      </c>
      <c r="K91" s="205">
        <f>VLOOKUP(B92,'B&amp;L'!$A$7:$BK$69,40,0)</f>
        <v>123.43</v>
      </c>
      <c r="L91" s="205">
        <f>VLOOKUP(B92,'B&amp;L'!$A$7:$BK$69,45,0)</f>
        <v>123.61</v>
      </c>
      <c r="M91" s="205">
        <f>VLOOKUP(B92,'B&amp;L'!$A$7:$BK$69,50,0)</f>
        <v>123.51</v>
      </c>
      <c r="N91" s="205">
        <f>VLOOKUP(B92,'B&amp;L'!$A$7:$BK$69,55,0)</f>
        <v>136.80000000000001</v>
      </c>
      <c r="O91" s="205">
        <f>VLOOKUP(B92,'B&amp;L'!$A$7:$BK$69,60,0)</f>
        <v>154.5</v>
      </c>
    </row>
    <row r="92" spans="1:15">
      <c r="A92" s="296"/>
      <c r="B92" s="156">
        <v>1412000100</v>
      </c>
      <c r="C92" s="149" t="s">
        <v>157</v>
      </c>
      <c r="D92" s="204">
        <f>VLOOKUP(B92,'B&amp;L'!$A$7:$BK$69,6,0)</f>
        <v>8.86</v>
      </c>
      <c r="E92" s="204">
        <f>VLOOKUP(B92,'B&amp;L'!$A$7:$BK$69,11,0)</f>
        <v>8.8699999999999992</v>
      </c>
      <c r="F92" s="204">
        <f>VLOOKUP(B92,'B&amp;L'!$A$7:$BK$69,16,0)</f>
        <v>8.83</v>
      </c>
      <c r="G92" s="204">
        <f>VLOOKUP(B92,'B&amp;L'!$A$7:$BK$69,21,0)</f>
        <v>8.76</v>
      </c>
      <c r="H92" s="204">
        <f>VLOOKUP(B92,'B&amp;L'!$A$7:$BK$69,26,0)</f>
        <v>8.75</v>
      </c>
      <c r="I92" s="204">
        <f>VLOOKUP(B92,'B&amp;L'!$A$7:$BK$69,31,0)</f>
        <v>8.18</v>
      </c>
      <c r="J92" s="204">
        <f>VLOOKUP(B92,'B&amp;L'!$A$7:$BK$69,36,0)</f>
        <v>8.33</v>
      </c>
      <c r="K92" s="204">
        <f>VLOOKUP(B92,'B&amp;L'!$A$7:$BK$69,41,0)</f>
        <v>8.33</v>
      </c>
      <c r="L92" s="204">
        <f>VLOOKUP(B92,'B&amp;L'!$A$7:$BK$69,46,0)</f>
        <v>8.34</v>
      </c>
      <c r="M92" s="204">
        <f>VLOOKUP(B92,'B&amp;L'!$A$7:$BK$69,51,0)</f>
        <v>8.34</v>
      </c>
      <c r="N92" s="204">
        <f>VLOOKUP(B92,'B&amp;L'!$A$7:$BK$69,56,0)</f>
        <v>9.23</v>
      </c>
      <c r="O92" s="204">
        <f>VLOOKUP(B92,'B&amp;L'!$A$7:$BK$69,61,0)</f>
        <v>10.43</v>
      </c>
    </row>
    <row r="93" spans="1:15">
      <c r="A93" s="295">
        <v>44</v>
      </c>
      <c r="B93" s="155" t="s">
        <v>71</v>
      </c>
      <c r="C93" s="147" t="s">
        <v>156</v>
      </c>
      <c r="D93" s="205">
        <f>VLOOKUP(B94,'B&amp;L'!$A$7:$BK$69,5,0)</f>
        <v>147.72</v>
      </c>
      <c r="E93" s="205">
        <f>VLOOKUP(B94,'B&amp;L'!$A$7:$BK$69,10,0)</f>
        <v>147.77000000000001</v>
      </c>
      <c r="F93" s="205">
        <f>VLOOKUP(B94,'B&amp;L'!$A$7:$BK$69,15,0)</f>
        <v>147.24</v>
      </c>
      <c r="G93" s="205">
        <f>VLOOKUP(B94,'B&amp;L'!$A$7:$BK$69,20,0)</f>
        <v>146</v>
      </c>
      <c r="H93" s="205">
        <f>VLOOKUP(B94,'B&amp;L'!$A$7:$BK$69,25,0)</f>
        <v>145.85</v>
      </c>
      <c r="I93" s="205">
        <f>VLOOKUP(B94,'B&amp;L'!$A$7:$BK$69,30,0)</f>
        <v>181.73</v>
      </c>
      <c r="J93" s="205">
        <f>VLOOKUP(B94,'B&amp;L'!$A$7:$BK$69,35,0)</f>
        <v>169.79</v>
      </c>
      <c r="K93" s="205">
        <f>VLOOKUP(B94,'B&amp;L'!$A$7:$BK$69,40,0)</f>
        <v>169.71</v>
      </c>
      <c r="L93" s="205">
        <f>VLOOKUP(B94,'B&amp;L'!$A$7:$BK$69,45,0)</f>
        <v>169.96</v>
      </c>
      <c r="M93" s="205">
        <f>VLOOKUP(B94,'B&amp;L'!$A$7:$BK$69,50,0)</f>
        <v>169.83</v>
      </c>
      <c r="N93" s="205">
        <f>VLOOKUP(B94,'B&amp;L'!$A$7:$BK$69,55,0)</f>
        <v>167.2</v>
      </c>
      <c r="O93" s="205">
        <f>VLOOKUP(B94,'B&amp;L'!$A$7:$BK$69,60,0)</f>
        <v>169.95</v>
      </c>
    </row>
    <row r="94" spans="1:15">
      <c r="A94" s="296"/>
      <c r="B94" s="156">
        <v>1412000057</v>
      </c>
      <c r="C94" s="149" t="s">
        <v>157</v>
      </c>
      <c r="D94" s="204">
        <f>VLOOKUP(B94,'B&amp;L'!$A$7:$BK$69,6,0)</f>
        <v>9.9700000000000006</v>
      </c>
      <c r="E94" s="204">
        <f>VLOOKUP(B94,'B&amp;L'!$A$7:$BK$69,11,0)</f>
        <v>9.9700000000000006</v>
      </c>
      <c r="F94" s="204">
        <f>VLOOKUP(B94,'B&amp;L'!$A$7:$BK$69,16,0)</f>
        <v>9.94</v>
      </c>
      <c r="G94" s="204">
        <f>VLOOKUP(B94,'B&amp;L'!$A$7:$BK$69,21,0)</f>
        <v>9.85</v>
      </c>
      <c r="H94" s="204">
        <f>VLOOKUP(B94,'B&amp;L'!$A$7:$BK$69,26,0)</f>
        <v>9.84</v>
      </c>
      <c r="I94" s="204">
        <f>VLOOKUP(B94,'B&amp;L'!$A$7:$BK$69,31,0)</f>
        <v>12.27</v>
      </c>
      <c r="J94" s="204">
        <f>VLOOKUP(B94,'B&amp;L'!$A$7:$BK$69,36,0)</f>
        <v>11.46</v>
      </c>
      <c r="K94" s="204">
        <f>VLOOKUP(B94,'B&amp;L'!$A$7:$BK$69,41,0)</f>
        <v>11.46</v>
      </c>
      <c r="L94" s="204">
        <f>VLOOKUP(B94,'B&amp;L'!$A$7:$BK$69,46,0)</f>
        <v>11.47</v>
      </c>
      <c r="M94" s="204">
        <f>VLOOKUP(B94,'B&amp;L'!$A$7:$BK$69,51,0)</f>
        <v>11.46</v>
      </c>
      <c r="N94" s="204">
        <f>VLOOKUP(B94,'B&amp;L'!$A$7:$BK$69,56,0)</f>
        <v>11.29</v>
      </c>
      <c r="O94" s="204">
        <f>VLOOKUP(B94,'B&amp;L'!$A$7:$BK$69,61,0)</f>
        <v>11.47</v>
      </c>
    </row>
    <row r="95" spans="1:15">
      <c r="A95" s="295">
        <v>45</v>
      </c>
      <c r="B95" s="155" t="s">
        <v>184</v>
      </c>
      <c r="C95" s="147" t="s">
        <v>156</v>
      </c>
      <c r="D95" s="205">
        <f>VLOOKUP(B96,'B&amp;L'!$A$7:$BK$69,5,0)</f>
        <v>213.37</v>
      </c>
      <c r="E95" s="205">
        <f>VLOOKUP(B96,'B&amp;L'!$A$7:$BK$69,10,0)</f>
        <v>213.45</v>
      </c>
      <c r="F95" s="205">
        <f>VLOOKUP(B96,'B&amp;L'!$A$7:$BK$69,15,0)</f>
        <v>212.68</v>
      </c>
      <c r="G95" s="205">
        <f>VLOOKUP(B96,'B&amp;L'!$A$7:$BK$69,20,0)</f>
        <v>210.89</v>
      </c>
      <c r="H95" s="205">
        <f>VLOOKUP(B96,'B&amp;L'!$A$7:$BK$69,25,0)</f>
        <v>210.67</v>
      </c>
      <c r="I95" s="205">
        <f>VLOOKUP(B96,'B&amp;L'!$A$7:$BK$69,30,0)</f>
        <v>196.87</v>
      </c>
      <c r="J95" s="205">
        <f>VLOOKUP(B96,'B&amp;L'!$A$7:$BK$69,35,0)</f>
        <v>200.66</v>
      </c>
      <c r="K95" s="205">
        <f>VLOOKUP(B96,'B&amp;L'!$A$7:$BK$69,40,0)</f>
        <v>200.57</v>
      </c>
      <c r="L95" s="205">
        <f>VLOOKUP(B96,'B&amp;L'!$A$7:$BK$69,45,0)</f>
        <v>200.86</v>
      </c>
      <c r="M95" s="205">
        <f>VLOOKUP(B96,'B&amp;L'!$A$7:$BK$69,50,0)</f>
        <v>200.71</v>
      </c>
      <c r="N95" s="205">
        <f>VLOOKUP(B96,'B&amp;L'!$A$7:$BK$69,55,0)</f>
        <v>197.6</v>
      </c>
      <c r="O95" s="205">
        <f>VLOOKUP(B96,'B&amp;L'!$A$7:$BK$69,60,0)</f>
        <v>185.4</v>
      </c>
    </row>
    <row r="96" spans="1:15">
      <c r="A96" s="296"/>
      <c r="B96" s="156">
        <v>1412000101</v>
      </c>
      <c r="C96" s="149" t="s">
        <v>157</v>
      </c>
      <c r="D96" s="204">
        <f>VLOOKUP(B96,'B&amp;L'!$A$7:$BK$69,6,0)</f>
        <v>14.4</v>
      </c>
      <c r="E96" s="204">
        <f>VLOOKUP(B96,'B&amp;L'!$A$7:$BK$69,11,0)</f>
        <v>14.41</v>
      </c>
      <c r="F96" s="204">
        <f>VLOOKUP(B96,'B&amp;L'!$A$7:$BK$69,16,0)</f>
        <v>14.36</v>
      </c>
      <c r="G96" s="204">
        <f>VLOOKUP(B96,'B&amp;L'!$A$7:$BK$69,21,0)</f>
        <v>14.23</v>
      </c>
      <c r="H96" s="204">
        <f>VLOOKUP(B96,'B&amp;L'!$A$7:$BK$69,26,0)</f>
        <v>14.22</v>
      </c>
      <c r="I96" s="204">
        <f>VLOOKUP(B96,'B&amp;L'!$A$7:$BK$69,31,0)</f>
        <v>13.29</v>
      </c>
      <c r="J96" s="204">
        <f>VLOOKUP(B96,'B&amp;L'!$A$7:$BK$69,36,0)</f>
        <v>13.54</v>
      </c>
      <c r="K96" s="204">
        <f>VLOOKUP(B96,'B&amp;L'!$A$7:$BK$69,41,0)</f>
        <v>13.54</v>
      </c>
      <c r="L96" s="204">
        <f>VLOOKUP(B96,'B&amp;L'!$A$7:$BK$69,46,0)</f>
        <v>13.56</v>
      </c>
      <c r="M96" s="204">
        <f>VLOOKUP(B96,'B&amp;L'!$A$7:$BK$69,51,0)</f>
        <v>13.55</v>
      </c>
      <c r="N96" s="204">
        <f>VLOOKUP(B96,'B&amp;L'!$A$7:$BK$69,56,0)</f>
        <v>13.34</v>
      </c>
      <c r="O96" s="204">
        <f>VLOOKUP(B96,'B&amp;L'!$A$7:$BK$69,61,0)</f>
        <v>12.51</v>
      </c>
    </row>
    <row r="97" spans="1:15">
      <c r="A97" s="295">
        <v>46</v>
      </c>
      <c r="B97" s="155" t="s">
        <v>164</v>
      </c>
      <c r="C97" s="147" t="s">
        <v>156</v>
      </c>
      <c r="D97" s="205">
        <f>VLOOKUP(B98,'B&amp;L'!$A$7:$BK$69,5,0)</f>
        <v>213.37</v>
      </c>
      <c r="E97" s="205">
        <f>VLOOKUP(B98,'B&amp;L'!$A$7:$BK$69,10,0)</f>
        <v>213.45</v>
      </c>
      <c r="F97" s="205">
        <f>VLOOKUP(B98,'B&amp;L'!$A$7:$BK$69,15,0)</f>
        <v>212.68</v>
      </c>
      <c r="G97" s="205">
        <f>VLOOKUP(B98,'B&amp;L'!$A$7:$BK$69,20,0)</f>
        <v>210.89</v>
      </c>
      <c r="H97" s="205">
        <f>VLOOKUP(B98,'B&amp;L'!$A$7:$BK$69,25,0)</f>
        <v>210.67</v>
      </c>
      <c r="I97" s="205">
        <f>VLOOKUP(B98,'B&amp;L'!$A$7:$BK$69,30,0)</f>
        <v>257.45</v>
      </c>
      <c r="J97" s="205">
        <f>VLOOKUP(B98,'B&amp;L'!$A$7:$BK$69,35,0)</f>
        <v>246.97</v>
      </c>
      <c r="K97" s="205">
        <f>VLOOKUP(B98,'B&amp;L'!$A$7:$BK$69,40,0)</f>
        <v>246.86</v>
      </c>
      <c r="L97" s="205">
        <f>VLOOKUP(B98,'B&amp;L'!$A$7:$BK$69,45,0)</f>
        <v>247.21</v>
      </c>
      <c r="M97" s="205">
        <f>VLOOKUP(B98,'B&amp;L'!$A$7:$BK$69,50,0)</f>
        <v>247.03</v>
      </c>
      <c r="N97" s="205">
        <f>VLOOKUP(B98,'B&amp;L'!$A$7:$BK$69,55,0)</f>
        <v>243.2</v>
      </c>
      <c r="O97" s="205">
        <f>VLOOKUP(B98,'B&amp;L'!$A$7:$BK$69,60,0)</f>
        <v>247.2</v>
      </c>
    </row>
    <row r="98" spans="1:15">
      <c r="A98" s="296"/>
      <c r="B98" s="156">
        <v>1412000078</v>
      </c>
      <c r="C98" s="149" t="s">
        <v>157</v>
      </c>
      <c r="D98" s="204">
        <f>VLOOKUP(B98,'B&amp;L'!$A$7:$BK$69,6,0)</f>
        <v>14.4</v>
      </c>
      <c r="E98" s="204">
        <f>VLOOKUP(B98,'B&amp;L'!$A$7:$BK$69,11,0)</f>
        <v>14.41</v>
      </c>
      <c r="F98" s="204">
        <f>VLOOKUP(B98,'B&amp;L'!$A$7:$BK$69,16,0)</f>
        <v>14.36</v>
      </c>
      <c r="G98" s="204">
        <f>VLOOKUP(B98,'B&amp;L'!$A$7:$BK$69,21,0)</f>
        <v>14.23</v>
      </c>
      <c r="H98" s="204">
        <f>VLOOKUP(B98,'B&amp;L'!$A$7:$BK$69,26,0)</f>
        <v>14.22</v>
      </c>
      <c r="I98" s="204">
        <f>VLOOKUP(B98,'B&amp;L'!$A$7:$BK$69,31,0)</f>
        <v>17.38</v>
      </c>
      <c r="J98" s="204">
        <f>VLOOKUP(B98,'B&amp;L'!$A$7:$BK$69,36,0)</f>
        <v>16.670000000000002</v>
      </c>
      <c r="K98" s="204">
        <f>VLOOKUP(B98,'B&amp;L'!$A$7:$BK$69,41,0)</f>
        <v>16.66</v>
      </c>
      <c r="L98" s="204">
        <f>VLOOKUP(B98,'B&amp;L'!$A$7:$BK$69,46,0)</f>
        <v>16.690000000000001</v>
      </c>
      <c r="M98" s="204">
        <f>VLOOKUP(B98,'B&amp;L'!$A$7:$BK$69,51,0)</f>
        <v>16.670000000000002</v>
      </c>
      <c r="N98" s="204">
        <f>VLOOKUP(B98,'B&amp;L'!$A$7:$BK$69,56,0)</f>
        <v>16.41</v>
      </c>
      <c r="O98" s="204">
        <f>VLOOKUP(B98,'B&amp;L'!$A$7:$BK$69,61,0)</f>
        <v>16.690000000000001</v>
      </c>
    </row>
    <row r="99" spans="1:15">
      <c r="A99" s="295">
        <v>47</v>
      </c>
      <c r="B99" s="155" t="s">
        <v>165</v>
      </c>
      <c r="C99" s="147" t="s">
        <v>156</v>
      </c>
      <c r="D99" s="205">
        <f>VLOOKUP(B100,'B&amp;L'!$A$7:$BK$69,5,0)</f>
        <v>229.78</v>
      </c>
      <c r="E99" s="205">
        <f>VLOOKUP(B100,'B&amp;L'!$A$7:$BK$69,10,0)</f>
        <v>229.87</v>
      </c>
      <c r="F99" s="205">
        <f>VLOOKUP(B100,'B&amp;L'!$A$7:$BK$69,15,0)</f>
        <v>229.04</v>
      </c>
      <c r="G99" s="205">
        <f>VLOOKUP(B100,'B&amp;L'!$A$7:$BK$69,20,0)</f>
        <v>227.12</v>
      </c>
      <c r="H99" s="205">
        <f>VLOOKUP(B100,'B&amp;L'!$A$7:$BK$69,25,0)</f>
        <v>226.88</v>
      </c>
      <c r="I99" s="205">
        <f>VLOOKUP(B100,'B&amp;L'!$A$7:$BK$69,30,0)</f>
        <v>212.01</v>
      </c>
      <c r="J99" s="205">
        <f>VLOOKUP(B100,'B&amp;L'!$A$7:$BK$69,35,0)</f>
        <v>216.1</v>
      </c>
      <c r="K99" s="205">
        <f>VLOOKUP(B100,'B&amp;L'!$A$7:$BK$69,40,0)</f>
        <v>216</v>
      </c>
      <c r="L99" s="205">
        <f>VLOOKUP(B100,'B&amp;L'!$A$7:$BK$69,45,0)</f>
        <v>216.31</v>
      </c>
      <c r="M99" s="205">
        <f>VLOOKUP(B100,'B&amp;L'!$A$7:$BK$69,50,0)</f>
        <v>216.15</v>
      </c>
      <c r="N99" s="205">
        <f>VLOOKUP(B100,'B&amp;L'!$A$7:$BK$69,55,0)</f>
        <v>228</v>
      </c>
      <c r="O99" s="205">
        <f>VLOOKUP(B100,'B&amp;L'!$A$7:$BK$69,60,0)</f>
        <v>216.3</v>
      </c>
    </row>
    <row r="100" spans="1:15">
      <c r="A100" s="296"/>
      <c r="B100" s="156">
        <v>1412000096</v>
      </c>
      <c r="C100" s="149" t="s">
        <v>157</v>
      </c>
      <c r="D100" s="204">
        <f>VLOOKUP(B100,'B&amp;L'!$A$7:$BK$69,6,0)</f>
        <v>15.51</v>
      </c>
      <c r="E100" s="204">
        <f>VLOOKUP(B100,'B&amp;L'!$A$7:$BK$69,11,0)</f>
        <v>15.52</v>
      </c>
      <c r="F100" s="204">
        <f>VLOOKUP(B100,'B&amp;L'!$A$7:$BK$69,16,0)</f>
        <v>15.46</v>
      </c>
      <c r="G100" s="204">
        <f>VLOOKUP(B100,'B&amp;L'!$A$7:$BK$69,21,0)</f>
        <v>15.33</v>
      </c>
      <c r="H100" s="204">
        <f>VLOOKUP(B100,'B&amp;L'!$A$7:$BK$69,26,0)</f>
        <v>15.31</v>
      </c>
      <c r="I100" s="204">
        <f>VLOOKUP(B100,'B&amp;L'!$A$7:$BK$69,31,0)</f>
        <v>14.31</v>
      </c>
      <c r="J100" s="204">
        <f>VLOOKUP(B100,'B&amp;L'!$A$7:$BK$69,36,0)</f>
        <v>14.59</v>
      </c>
      <c r="K100" s="204">
        <f>VLOOKUP(B100,'B&amp;L'!$A$7:$BK$69,41,0)</f>
        <v>14.58</v>
      </c>
      <c r="L100" s="204">
        <f>VLOOKUP(B100,'B&amp;L'!$A$7:$BK$69,46,0)</f>
        <v>14.6</v>
      </c>
      <c r="M100" s="204">
        <f>VLOOKUP(B100,'B&amp;L'!$A$7:$BK$69,51,0)</f>
        <v>14.59</v>
      </c>
      <c r="N100" s="204">
        <f>VLOOKUP(B100,'B&amp;L'!$A$7:$BK$69,56,0)</f>
        <v>15.39</v>
      </c>
      <c r="O100" s="204">
        <f>VLOOKUP(B100,'B&amp;L'!$A$7:$BK$69,61,0)</f>
        <v>14.6</v>
      </c>
    </row>
    <row r="101" spans="1:15">
      <c r="A101" s="295">
        <v>48</v>
      </c>
      <c r="B101" s="155" t="s">
        <v>133</v>
      </c>
      <c r="C101" s="147" t="s">
        <v>156</v>
      </c>
      <c r="D101" s="205">
        <f>VLOOKUP(B102,'B&amp;L'!$A$7:$BK$69,5,0)</f>
        <v>866.9</v>
      </c>
      <c r="E101" s="205">
        <f>VLOOKUP(B102,'B&amp;L'!$A$7:$BK$69,10,0)</f>
        <v>877.66</v>
      </c>
      <c r="F101" s="205">
        <f>VLOOKUP(B102,'B&amp;L'!$A$7:$BK$69,15,0)</f>
        <v>887.34</v>
      </c>
      <c r="G101" s="205">
        <f>VLOOKUP(B102,'B&amp;L'!$A$7:$BK$69,20,0)</f>
        <v>877.68</v>
      </c>
      <c r="H101" s="205">
        <f>VLOOKUP(B102,'B&amp;L'!$A$7:$BK$69,25,0)</f>
        <v>871.05</v>
      </c>
      <c r="I101" s="205">
        <f>VLOOKUP(B102,'B&amp;L'!$A$7:$BK$69,30,0)</f>
        <v>873.72</v>
      </c>
      <c r="J101" s="205">
        <f>VLOOKUP(B102,'B&amp;L'!$A$7:$BK$69,35,0)</f>
        <v>878.27</v>
      </c>
      <c r="K101" s="205">
        <f>VLOOKUP(B102,'B&amp;L'!$A$7:$BK$69,40,0)</f>
        <v>876.35</v>
      </c>
      <c r="L101" s="205">
        <f>VLOOKUP(B102,'B&amp;L'!$A$7:$BK$69,45,0)</f>
        <v>875.11</v>
      </c>
      <c r="M101" s="205">
        <f>VLOOKUP(B102,'B&amp;L'!$A$7:$BK$69,50,0)</f>
        <v>870.32</v>
      </c>
      <c r="N101" s="205">
        <f>VLOOKUP(B102,'B&amp;L'!$A$7:$BK$69,55,0)</f>
        <v>858.97</v>
      </c>
      <c r="O101" s="205">
        <f>VLOOKUP(B102,'B&amp;L'!$A$7:$BK$69,60,0)</f>
        <v>874.03</v>
      </c>
    </row>
    <row r="102" spans="1:15">
      <c r="A102" s="296"/>
      <c r="B102" s="156">
        <v>1412000018</v>
      </c>
      <c r="C102" s="149" t="s">
        <v>157</v>
      </c>
      <c r="D102" s="204">
        <f>VLOOKUP(B102,'B&amp;L'!$A$7:$BK$69,6,0)</f>
        <v>58.51</v>
      </c>
      <c r="E102" s="204">
        <f>VLOOKUP(B102,'B&amp;L'!$A$7:$BK$69,11,0)</f>
        <v>59.24</v>
      </c>
      <c r="F102" s="204">
        <f>VLOOKUP(B102,'B&amp;L'!$A$7:$BK$69,16,0)</f>
        <v>59.89</v>
      </c>
      <c r="G102" s="204">
        <f>VLOOKUP(B102,'B&amp;L'!$A$7:$BK$69,21,0)</f>
        <v>59.24</v>
      </c>
      <c r="H102" s="204">
        <f>VLOOKUP(B102,'B&amp;L'!$A$7:$BK$69,26,0)</f>
        <v>58.79</v>
      </c>
      <c r="I102" s="204">
        <f>VLOOKUP(B102,'B&amp;L'!$A$7:$BK$69,31,0)</f>
        <v>58.97</v>
      </c>
      <c r="J102" s="204">
        <f>VLOOKUP(B102,'B&amp;L'!$A$7:$BK$69,36,0)</f>
        <v>59.28</v>
      </c>
      <c r="K102" s="204">
        <f>VLOOKUP(B102,'B&amp;L'!$A$7:$BK$69,41,0)</f>
        <v>59.15</v>
      </c>
      <c r="L102" s="204">
        <f>VLOOKUP(B102,'B&amp;L'!$A$7:$BK$69,46,0)</f>
        <v>59.07</v>
      </c>
      <c r="M102" s="204">
        <f>VLOOKUP(B102,'B&amp;L'!$A$7:$BK$69,51,0)</f>
        <v>58.74</v>
      </c>
      <c r="N102" s="204">
        <f>VLOOKUP(B102,'B&amp;L'!$A$7:$BK$69,56,0)</f>
        <v>57.98</v>
      </c>
      <c r="O102" s="204">
        <f>VLOOKUP(B102,'B&amp;L'!$A$7:$BK$69,61,0)</f>
        <v>58.99</v>
      </c>
    </row>
    <row r="103" spans="1:15">
      <c r="A103" s="295">
        <v>49</v>
      </c>
      <c r="B103" s="155" t="s">
        <v>110</v>
      </c>
      <c r="C103" s="147" t="s">
        <v>156</v>
      </c>
      <c r="D103" s="205">
        <f>VLOOKUP(B104,'B&amp;L'!$A$7:$BK$69,5,0)</f>
        <v>1606.35</v>
      </c>
      <c r="E103" s="205">
        <f>VLOOKUP(B104,'B&amp;L'!$A$7:$BK$69,10,0)</f>
        <v>1606.1</v>
      </c>
      <c r="F103" s="205">
        <f>VLOOKUP(B104,'B&amp;L'!$A$7:$BK$69,15,0)</f>
        <v>1618.49</v>
      </c>
      <c r="G103" s="205">
        <f>VLOOKUP(B104,'B&amp;L'!$A$7:$BK$69,20,0)</f>
        <v>1606.27</v>
      </c>
      <c r="H103" s="205">
        <f>VLOOKUP(B104,'B&amp;L'!$A$7:$BK$69,25,0)</f>
        <v>1593.96</v>
      </c>
      <c r="I103" s="205">
        <f>VLOOKUP(B104,'B&amp;L'!$A$7:$BK$69,30,0)</f>
        <v>1595.25</v>
      </c>
      <c r="J103" s="205">
        <f>VLOOKUP(B104,'B&amp;L'!$A$7:$BK$69,35,0)</f>
        <v>1612.3</v>
      </c>
      <c r="K103" s="205">
        <f>VLOOKUP(B104,'B&amp;L'!$A$7:$BK$69,40,0)</f>
        <v>1604.35</v>
      </c>
      <c r="L103" s="205">
        <f>VLOOKUP(B104,'B&amp;L'!$A$7:$BK$69,45,0)</f>
        <v>1603.07</v>
      </c>
      <c r="M103" s="205">
        <f>VLOOKUP(B104,'B&amp;L'!$A$7:$BK$69,50,0)</f>
        <v>1596.06</v>
      </c>
      <c r="N103" s="205">
        <f>VLOOKUP(B104,'B&amp;L'!$A$7:$BK$69,55,0)</f>
        <v>1562.98</v>
      </c>
      <c r="O103" s="205">
        <f>VLOOKUP(B104,'B&amp;L'!$A$7:$BK$69,60,0)</f>
        <v>1605.97</v>
      </c>
    </row>
    <row r="104" spans="1:15">
      <c r="A104" s="296"/>
      <c r="B104" s="156">
        <v>1412000019</v>
      </c>
      <c r="C104" s="149" t="s">
        <v>157</v>
      </c>
      <c r="D104" s="204">
        <f>VLOOKUP(B104,'B&amp;L'!$A$7:$BK$69,6,0)</f>
        <v>108.42</v>
      </c>
      <c r="E104" s="204">
        <f>VLOOKUP(B104,'B&amp;L'!$A$7:$BK$69,11,0)</f>
        <v>108.41</v>
      </c>
      <c r="F104" s="204">
        <f>VLOOKUP(B104,'B&amp;L'!$A$7:$BK$69,16,0)</f>
        <v>109.24</v>
      </c>
      <c r="G104" s="204">
        <f>VLOOKUP(B104,'B&amp;L'!$A$7:$BK$69,21,0)</f>
        <v>108.42</v>
      </c>
      <c r="H104" s="204">
        <f>VLOOKUP(B104,'B&amp;L'!$A$7:$BK$69,26,0)</f>
        <v>107.59</v>
      </c>
      <c r="I104" s="204">
        <f>VLOOKUP(B104,'B&amp;L'!$A$7:$BK$69,31,0)</f>
        <v>107.67</v>
      </c>
      <c r="J104" s="204">
        <f>VLOOKUP(B104,'B&amp;L'!$A$7:$BK$69,36,0)</f>
        <v>108.82</v>
      </c>
      <c r="K104" s="204">
        <f>VLOOKUP(B104,'B&amp;L'!$A$7:$BK$69,41,0)</f>
        <v>108.29</v>
      </c>
      <c r="L104" s="204">
        <f>VLOOKUP(B104,'B&amp;L'!$A$7:$BK$69,46,0)</f>
        <v>108.2</v>
      </c>
      <c r="M104" s="204">
        <f>VLOOKUP(B104,'B&amp;L'!$A$7:$BK$69,51,0)</f>
        <v>107.73</v>
      </c>
      <c r="N104" s="204">
        <f>VLOOKUP(B104,'B&amp;L'!$A$7:$BK$69,56,0)</f>
        <v>105.5</v>
      </c>
      <c r="O104" s="204">
        <f>VLOOKUP(B104,'B&amp;L'!$A$7:$BK$69,61,0)</f>
        <v>108.4</v>
      </c>
    </row>
    <row r="105" spans="1:15">
      <c r="A105" s="295">
        <v>50</v>
      </c>
      <c r="B105" s="155" t="s">
        <v>145</v>
      </c>
      <c r="C105" s="147" t="s">
        <v>156</v>
      </c>
      <c r="D105" s="205">
        <f>VLOOKUP(B106,'B&amp;L'!$A$7:$BK$69,5,0)</f>
        <v>410</v>
      </c>
      <c r="E105" s="205">
        <f>VLOOKUP(B106,'B&amp;L'!$A$7:$BK$69,10,0)</f>
        <v>410.11</v>
      </c>
      <c r="F105" s="205">
        <f>VLOOKUP(B106,'B&amp;L'!$A$7:$BK$69,15,0)</f>
        <v>404.73</v>
      </c>
      <c r="G105" s="205">
        <f>VLOOKUP(B106,'B&amp;L'!$A$7:$BK$69,20,0)</f>
        <v>403.88</v>
      </c>
      <c r="H105" s="205">
        <f>VLOOKUP(B106,'B&amp;L'!$A$7:$BK$69,25,0)</f>
        <v>403.57</v>
      </c>
      <c r="I105" s="205">
        <f>VLOOKUP(B106,'B&amp;L'!$A$7:$BK$69,30,0)</f>
        <v>399.12</v>
      </c>
      <c r="J105" s="205">
        <f>VLOOKUP(B106,'B&amp;L'!$A$7:$BK$69,35,0)</f>
        <v>398.84</v>
      </c>
      <c r="K105" s="205">
        <f>VLOOKUP(B106,'B&amp;L'!$A$7:$BK$69,40,0)</f>
        <v>398.72</v>
      </c>
      <c r="L105" s="205">
        <f>VLOOKUP(B106,'B&amp;L'!$A$7:$BK$69,45,0)</f>
        <v>400.52</v>
      </c>
      <c r="M105" s="205">
        <f>VLOOKUP(B106,'B&amp;L'!$A$7:$BK$69,50,0)</f>
        <v>400.32</v>
      </c>
      <c r="N105" s="205">
        <f>VLOOKUP(B106,'B&amp;L'!$A$7:$BK$69,55,0)</f>
        <v>398.78</v>
      </c>
      <c r="O105" s="205">
        <f>VLOOKUP(B106,'B&amp;L'!$A$7:$BK$69,60,0)</f>
        <v>400.51</v>
      </c>
    </row>
    <row r="106" spans="1:15">
      <c r="A106" s="296"/>
      <c r="B106" s="156">
        <v>1412000058</v>
      </c>
      <c r="C106" s="149" t="s">
        <v>157</v>
      </c>
      <c r="D106" s="204">
        <f>VLOOKUP(B106,'B&amp;L'!$A$7:$BK$69,6,0)</f>
        <v>27.67</v>
      </c>
      <c r="E106" s="204">
        <f>VLOOKUP(B106,'B&amp;L'!$A$7:$BK$69,11,0)</f>
        <v>27.68</v>
      </c>
      <c r="F106" s="204">
        <f>VLOOKUP(B106,'B&amp;L'!$A$7:$BK$69,16,0)</f>
        <v>27.32</v>
      </c>
      <c r="G106" s="204">
        <f>VLOOKUP(B106,'B&amp;L'!$A$7:$BK$69,21,0)</f>
        <v>27.26</v>
      </c>
      <c r="H106" s="204">
        <f>VLOOKUP(B106,'B&amp;L'!$A$7:$BK$69,26,0)</f>
        <v>27.24</v>
      </c>
      <c r="I106" s="204">
        <f>VLOOKUP(B106,'B&amp;L'!$A$7:$BK$69,31,0)</f>
        <v>26.94</v>
      </c>
      <c r="J106" s="204">
        <f>VLOOKUP(B106,'B&amp;L'!$A$7:$BK$69,36,0)</f>
        <v>26.92</v>
      </c>
      <c r="K106" s="204">
        <f>VLOOKUP(B106,'B&amp;L'!$A$7:$BK$69,41,0)</f>
        <v>26.91</v>
      </c>
      <c r="L106" s="204">
        <f>VLOOKUP(B106,'B&amp;L'!$A$7:$BK$69,46,0)</f>
        <v>27.03</v>
      </c>
      <c r="M106" s="204">
        <f>VLOOKUP(B106,'B&amp;L'!$A$7:$BK$69,51,0)</f>
        <v>27.02</v>
      </c>
      <c r="N106" s="204">
        <f>VLOOKUP(B106,'B&amp;L'!$A$7:$BK$69,56,0)</f>
        <v>26.92</v>
      </c>
      <c r="O106" s="204">
        <f>VLOOKUP(B106,'B&amp;L'!$A$7:$BK$69,61,0)</f>
        <v>27.03</v>
      </c>
    </row>
    <row r="107" spans="1:15">
      <c r="A107" s="295">
        <v>51</v>
      </c>
      <c r="B107" s="155" t="s">
        <v>141</v>
      </c>
      <c r="C107" s="147" t="s">
        <v>156</v>
      </c>
      <c r="D107" s="205">
        <f>VLOOKUP(B108,'B&amp;L'!$A$7:$BK$69,5,0)</f>
        <v>95.98</v>
      </c>
      <c r="E107" s="205">
        <f>VLOOKUP(B108,'B&amp;L'!$A$7:$BK$69,10,0)</f>
        <v>96.01</v>
      </c>
      <c r="F107" s="205">
        <f>VLOOKUP(B108,'B&amp;L'!$A$7:$BK$69,15,0)</f>
        <v>94.52</v>
      </c>
      <c r="G107" s="205">
        <f>VLOOKUP(B108,'B&amp;L'!$A$7:$BK$69,20,0)</f>
        <v>94.28</v>
      </c>
      <c r="H107" s="205">
        <f>VLOOKUP(B108,'B&amp;L'!$A$7:$BK$69,25,0)</f>
        <v>94.2</v>
      </c>
      <c r="I107" s="205">
        <f>VLOOKUP(B108,'B&amp;L'!$A$7:$BK$69,30,0)</f>
        <v>92.96</v>
      </c>
      <c r="J107" s="205">
        <f>VLOOKUP(B108,'B&amp;L'!$A$7:$BK$69,35,0)</f>
        <v>92.88</v>
      </c>
      <c r="K107" s="205">
        <f>VLOOKUP(B108,'B&amp;L'!$A$7:$BK$69,40,0)</f>
        <v>92.85</v>
      </c>
      <c r="L107" s="205">
        <f>VLOOKUP(B108,'B&amp;L'!$A$7:$BK$69,45,0)</f>
        <v>93.35</v>
      </c>
      <c r="M107" s="205">
        <f>VLOOKUP(B108,'B&amp;L'!$A$7:$BK$69,50,0)</f>
        <v>93.29</v>
      </c>
      <c r="N107" s="205">
        <f>VLOOKUP(B108,'B&amp;L'!$A$7:$BK$69,55,0)</f>
        <v>92.86</v>
      </c>
      <c r="O107" s="205">
        <f>VLOOKUP(B108,'B&amp;L'!$A$7:$BK$69,60,0)</f>
        <v>93.35</v>
      </c>
    </row>
    <row r="108" spans="1:15">
      <c r="A108" s="296"/>
      <c r="B108" s="156">
        <v>1412000042</v>
      </c>
      <c r="C108" s="149" t="s">
        <v>157</v>
      </c>
      <c r="D108" s="204">
        <f>VLOOKUP(B108,'B&amp;L'!$A$7:$BK$69,6,0)</f>
        <v>6.48</v>
      </c>
      <c r="E108" s="204">
        <f>VLOOKUP(B108,'B&amp;L'!$A$7:$BK$69,11,0)</f>
        <v>6.48</v>
      </c>
      <c r="F108" s="204">
        <f>VLOOKUP(B108,'B&amp;L'!$A$7:$BK$69,16,0)</f>
        <v>6.38</v>
      </c>
      <c r="G108" s="204">
        <f>VLOOKUP(B108,'B&amp;L'!$A$7:$BK$69,21,0)</f>
        <v>6.36</v>
      </c>
      <c r="H108" s="204">
        <f>VLOOKUP(B108,'B&amp;L'!$A$7:$BK$69,26,0)</f>
        <v>6.36</v>
      </c>
      <c r="I108" s="204">
        <f>VLOOKUP(B108,'B&amp;L'!$A$7:$BK$69,31,0)</f>
        <v>6.27</v>
      </c>
      <c r="J108" s="204">
        <f>VLOOKUP(B108,'B&amp;L'!$A$7:$BK$69,36,0)</f>
        <v>6.27</v>
      </c>
      <c r="K108" s="204">
        <f>VLOOKUP(B108,'B&amp;L'!$A$7:$BK$69,41,0)</f>
        <v>6.27</v>
      </c>
      <c r="L108" s="204">
        <f>VLOOKUP(B108,'B&amp;L'!$A$7:$BK$69,46,0)</f>
        <v>6.3</v>
      </c>
      <c r="M108" s="204">
        <f>VLOOKUP(B108,'B&amp;L'!$A$7:$BK$69,51,0)</f>
        <v>6.3</v>
      </c>
      <c r="N108" s="204">
        <f>VLOOKUP(B108,'B&amp;L'!$A$7:$BK$69,56,0)</f>
        <v>6.27</v>
      </c>
      <c r="O108" s="204">
        <f>VLOOKUP(B108,'B&amp;L'!$A$7:$BK$69,61,0)</f>
        <v>6.3</v>
      </c>
    </row>
    <row r="109" spans="1:15">
      <c r="A109" s="295">
        <v>52</v>
      </c>
      <c r="B109" s="155" t="s">
        <v>134</v>
      </c>
      <c r="C109" s="147" t="s">
        <v>156</v>
      </c>
      <c r="D109" s="205">
        <f>VLOOKUP(B110,'B&amp;L'!$A$7:$BK$69,5,0)</f>
        <v>134.38</v>
      </c>
      <c r="E109" s="205">
        <f>VLOOKUP(B110,'B&amp;L'!$A$7:$BK$69,10,0)</f>
        <v>134.41999999999999</v>
      </c>
      <c r="F109" s="205">
        <f>VLOOKUP(B110,'B&amp;L'!$A$7:$BK$69,15,0)</f>
        <v>132.32</v>
      </c>
      <c r="G109" s="205">
        <f>VLOOKUP(B110,'B&amp;L'!$A$7:$BK$69,20,0)</f>
        <v>131.99</v>
      </c>
      <c r="H109" s="205">
        <f>VLOOKUP(B110,'B&amp;L'!$A$7:$BK$69,25,0)</f>
        <v>131.87</v>
      </c>
      <c r="I109" s="205">
        <f>VLOOKUP(B110,'B&amp;L'!$A$7:$BK$69,30,0)</f>
        <v>130.15</v>
      </c>
      <c r="J109" s="205">
        <f>VLOOKUP(B110,'B&amp;L'!$A$7:$BK$69,35,0)</f>
        <v>130.04</v>
      </c>
      <c r="K109" s="205">
        <f>VLOOKUP(B110,'B&amp;L'!$A$7:$BK$69,40,0)</f>
        <v>129.99</v>
      </c>
      <c r="L109" s="205">
        <f>VLOOKUP(B110,'B&amp;L'!$A$7:$BK$69,45,0)</f>
        <v>130.69</v>
      </c>
      <c r="M109" s="205">
        <f>VLOOKUP(B110,'B&amp;L'!$A$7:$BK$69,50,0)</f>
        <v>130.61000000000001</v>
      </c>
      <c r="N109" s="205">
        <f>VLOOKUP(B110,'B&amp;L'!$A$7:$BK$69,55,0)</f>
        <v>130.01</v>
      </c>
      <c r="O109" s="205">
        <f>VLOOKUP(B110,'B&amp;L'!$A$7:$BK$69,60,0)</f>
        <v>130.69</v>
      </c>
    </row>
    <row r="110" spans="1:15">
      <c r="A110" s="296"/>
      <c r="B110" s="156">
        <v>1412000021</v>
      </c>
      <c r="C110" s="149" t="s">
        <v>157</v>
      </c>
      <c r="D110" s="204">
        <f>VLOOKUP(B110,'B&amp;L'!$A$7:$BK$69,6,0)</f>
        <v>9.07</v>
      </c>
      <c r="E110" s="204">
        <f>VLOOKUP(B110,'B&amp;L'!$A$7:$BK$69,11,0)</f>
        <v>9.07</v>
      </c>
      <c r="F110" s="204">
        <f>VLOOKUP(B110,'B&amp;L'!$A$7:$BK$69,16,0)</f>
        <v>8.93</v>
      </c>
      <c r="G110" s="204">
        <f>VLOOKUP(B110,'B&amp;L'!$A$7:$BK$69,21,0)</f>
        <v>8.91</v>
      </c>
      <c r="H110" s="204">
        <f>VLOOKUP(B110,'B&amp;L'!$A$7:$BK$69,26,0)</f>
        <v>8.9</v>
      </c>
      <c r="I110" s="204">
        <f>VLOOKUP(B110,'B&amp;L'!$A$7:$BK$69,31,0)</f>
        <v>8.7799999999999994</v>
      </c>
      <c r="J110" s="204">
        <f>VLOOKUP(B110,'B&amp;L'!$A$7:$BK$69,36,0)</f>
        <v>8.7799999999999994</v>
      </c>
      <c r="K110" s="204">
        <f>VLOOKUP(B110,'B&amp;L'!$A$7:$BK$69,41,0)</f>
        <v>8.77</v>
      </c>
      <c r="L110" s="204">
        <f>VLOOKUP(B110,'B&amp;L'!$A$7:$BK$69,46,0)</f>
        <v>8.82</v>
      </c>
      <c r="M110" s="204">
        <f>VLOOKUP(B110,'B&amp;L'!$A$7:$BK$69,51,0)</f>
        <v>8.82</v>
      </c>
      <c r="N110" s="204">
        <f>VLOOKUP(B110,'B&amp;L'!$A$7:$BK$69,56,0)</f>
        <v>8.7799999999999994</v>
      </c>
      <c r="O110" s="204">
        <f>VLOOKUP(B110,'B&amp;L'!$A$7:$BK$69,61,0)</f>
        <v>8.82</v>
      </c>
    </row>
    <row r="111" spans="1:15">
      <c r="A111" s="295">
        <v>53</v>
      </c>
      <c r="B111" s="155" t="s">
        <v>148</v>
      </c>
      <c r="C111" s="147" t="s">
        <v>156</v>
      </c>
      <c r="D111" s="205">
        <f>VLOOKUP(B112,'B&amp;L'!$A$7:$BK$69,5,0)</f>
        <v>153.57</v>
      </c>
      <c r="E111" s="205">
        <f>VLOOKUP(B112,'B&amp;L'!$A$7:$BK$69,10,0)</f>
        <v>153.62</v>
      </c>
      <c r="F111" s="205">
        <f>VLOOKUP(B112,'B&amp;L'!$A$7:$BK$69,15,0)</f>
        <v>151.22999999999999</v>
      </c>
      <c r="G111" s="205">
        <f>VLOOKUP(B112,'B&amp;L'!$A$7:$BK$69,20,0)</f>
        <v>150.85</v>
      </c>
      <c r="H111" s="205">
        <f>VLOOKUP(B112,'B&amp;L'!$A$7:$BK$69,25,0)</f>
        <v>150.71</v>
      </c>
      <c r="I111" s="205">
        <f>VLOOKUP(B112,'B&amp;L'!$A$7:$BK$69,30,0)</f>
        <v>148.74</v>
      </c>
      <c r="J111" s="205">
        <f>VLOOKUP(B112,'B&amp;L'!$A$7:$BK$69,35,0)</f>
        <v>148.61000000000001</v>
      </c>
      <c r="K111" s="205">
        <f>VLOOKUP(B112,'B&amp;L'!$A$7:$BK$69,40,0)</f>
        <v>148.56</v>
      </c>
      <c r="L111" s="205">
        <f>VLOOKUP(B112,'B&amp;L'!$A$7:$BK$69,45,0)</f>
        <v>149.36000000000001</v>
      </c>
      <c r="M111" s="205">
        <f>VLOOKUP(B112,'B&amp;L'!$A$7:$BK$69,50,0)</f>
        <v>149.27000000000001</v>
      </c>
      <c r="N111" s="205">
        <f>VLOOKUP(B112,'B&amp;L'!$A$7:$BK$69,55,0)</f>
        <v>148.58000000000001</v>
      </c>
      <c r="O111" s="205">
        <f>VLOOKUP(B112,'B&amp;L'!$A$7:$BK$69,60,0)</f>
        <v>149.35</v>
      </c>
    </row>
    <row r="112" spans="1:15">
      <c r="A112" s="296"/>
      <c r="B112" s="156">
        <v>1412000070</v>
      </c>
      <c r="C112" s="149" t="s">
        <v>157</v>
      </c>
      <c r="D112" s="204">
        <f>VLOOKUP(B112,'B&amp;L'!$A$7:$BK$69,6,0)</f>
        <v>10.37</v>
      </c>
      <c r="E112" s="204">
        <f>VLOOKUP(B112,'B&amp;L'!$A$7:$BK$69,11,0)</f>
        <v>10.37</v>
      </c>
      <c r="F112" s="204">
        <f>VLOOKUP(B112,'B&amp;L'!$A$7:$BK$69,16,0)</f>
        <v>10.210000000000001</v>
      </c>
      <c r="G112" s="204">
        <f>VLOOKUP(B112,'B&amp;L'!$A$7:$BK$69,21,0)</f>
        <v>10.18</v>
      </c>
      <c r="H112" s="204">
        <f>VLOOKUP(B112,'B&amp;L'!$A$7:$BK$69,26,0)</f>
        <v>10.17</v>
      </c>
      <c r="I112" s="204">
        <f>VLOOKUP(B112,'B&amp;L'!$A$7:$BK$69,31,0)</f>
        <v>10.039999999999999</v>
      </c>
      <c r="J112" s="204">
        <f>VLOOKUP(B112,'B&amp;L'!$A$7:$BK$69,36,0)</f>
        <v>10.029999999999999</v>
      </c>
      <c r="K112" s="204">
        <f>VLOOKUP(B112,'B&amp;L'!$A$7:$BK$69,41,0)</f>
        <v>10.029999999999999</v>
      </c>
      <c r="L112" s="204">
        <f>VLOOKUP(B112,'B&amp;L'!$A$7:$BK$69,46,0)</f>
        <v>10.08</v>
      </c>
      <c r="M112" s="204">
        <f>VLOOKUP(B112,'B&amp;L'!$A$7:$BK$69,51,0)</f>
        <v>10.07</v>
      </c>
      <c r="N112" s="204">
        <f>VLOOKUP(B112,'B&amp;L'!$A$7:$BK$69,56,0)</f>
        <v>10.029999999999999</v>
      </c>
      <c r="O112" s="204">
        <f>VLOOKUP(B112,'B&amp;L'!$A$7:$BK$69,61,0)</f>
        <v>10.08</v>
      </c>
    </row>
    <row r="113" spans="1:15">
      <c r="A113" s="295">
        <v>54</v>
      </c>
      <c r="B113" s="155" t="s">
        <v>135</v>
      </c>
      <c r="C113" s="147" t="s">
        <v>156</v>
      </c>
      <c r="D113" s="205">
        <f>VLOOKUP(B114,'B&amp;L'!$A$7:$BK$69,5,0)</f>
        <v>115.18</v>
      </c>
      <c r="E113" s="205">
        <f>VLOOKUP(B114,'B&amp;L'!$A$7:$BK$69,10,0)</f>
        <v>115.22</v>
      </c>
      <c r="F113" s="205">
        <f>VLOOKUP(B114,'B&amp;L'!$A$7:$BK$69,15,0)</f>
        <v>132.32</v>
      </c>
      <c r="G113" s="205">
        <f>VLOOKUP(B114,'B&amp;L'!$A$7:$BK$69,20,0)</f>
        <v>131.99</v>
      </c>
      <c r="H113" s="205">
        <f>VLOOKUP(B114,'B&amp;L'!$A$7:$BK$69,25,0)</f>
        <v>131.87</v>
      </c>
      <c r="I113" s="205">
        <f>VLOOKUP(B114,'B&amp;L'!$A$7:$BK$69,30,0)</f>
        <v>130.15</v>
      </c>
      <c r="J113" s="205">
        <f>VLOOKUP(B114,'B&amp;L'!$A$7:$BK$69,35,0)</f>
        <v>148.61000000000001</v>
      </c>
      <c r="K113" s="205">
        <f>VLOOKUP(B114,'B&amp;L'!$A$7:$BK$69,40,0)</f>
        <v>148.56</v>
      </c>
      <c r="L113" s="205">
        <f>VLOOKUP(B114,'B&amp;L'!$A$7:$BK$69,45,0)</f>
        <v>130.69</v>
      </c>
      <c r="M113" s="205">
        <f>VLOOKUP(B114,'B&amp;L'!$A$7:$BK$69,50,0)</f>
        <v>130.61000000000001</v>
      </c>
      <c r="N113" s="205">
        <f>VLOOKUP(B114,'B&amp;L'!$A$7:$BK$69,55,0)</f>
        <v>130.01</v>
      </c>
      <c r="O113" s="205">
        <f>VLOOKUP(B114,'B&amp;L'!$A$7:$BK$69,60,0)</f>
        <v>130.69</v>
      </c>
    </row>
    <row r="114" spans="1:15">
      <c r="A114" s="296"/>
      <c r="B114" s="156">
        <v>1412000022</v>
      </c>
      <c r="C114" s="149" t="s">
        <v>157</v>
      </c>
      <c r="D114" s="204">
        <f>VLOOKUP(B114,'B&amp;L'!$A$7:$BK$69,6,0)</f>
        <v>7.77</v>
      </c>
      <c r="E114" s="204">
        <f>VLOOKUP(B114,'B&amp;L'!$A$7:$BK$69,11,0)</f>
        <v>7.78</v>
      </c>
      <c r="F114" s="204">
        <f>VLOOKUP(B114,'B&amp;L'!$A$7:$BK$69,16,0)</f>
        <v>8.93</v>
      </c>
      <c r="G114" s="204">
        <f>VLOOKUP(B114,'B&amp;L'!$A$7:$BK$69,21,0)</f>
        <v>8.91</v>
      </c>
      <c r="H114" s="204">
        <f>VLOOKUP(B114,'B&amp;L'!$A$7:$BK$69,26,0)</f>
        <v>8.9</v>
      </c>
      <c r="I114" s="204">
        <f>VLOOKUP(B114,'B&amp;L'!$A$7:$BK$69,31,0)</f>
        <v>8.7799999999999994</v>
      </c>
      <c r="J114" s="204">
        <f>VLOOKUP(B114,'B&amp;L'!$A$7:$BK$69,36,0)</f>
        <v>10.029999999999999</v>
      </c>
      <c r="K114" s="204">
        <f>VLOOKUP(B114,'B&amp;L'!$A$7:$BK$69,41,0)</f>
        <v>10.029999999999999</v>
      </c>
      <c r="L114" s="204">
        <f>VLOOKUP(B114,'B&amp;L'!$A$7:$BK$69,46,0)</f>
        <v>8.82</v>
      </c>
      <c r="M114" s="204">
        <f>VLOOKUP(B114,'B&amp;L'!$A$7:$BK$69,51,0)</f>
        <v>8.82</v>
      </c>
      <c r="N114" s="204">
        <f>VLOOKUP(B114,'B&amp;L'!$A$7:$BK$69,56,0)</f>
        <v>8.7799999999999994</v>
      </c>
      <c r="O114" s="204">
        <f>VLOOKUP(B114,'B&amp;L'!$A$7:$BK$69,61,0)</f>
        <v>8.82</v>
      </c>
    </row>
    <row r="115" spans="1:15">
      <c r="A115" s="295">
        <v>55</v>
      </c>
      <c r="B115" s="155" t="s">
        <v>136</v>
      </c>
      <c r="C115" s="147" t="s">
        <v>156</v>
      </c>
      <c r="D115" s="205">
        <f>VLOOKUP(B116,'B&amp;L'!$A$7:$BK$69,5,0)</f>
        <v>18263.77</v>
      </c>
      <c r="E115" s="205">
        <f>VLOOKUP(B116,'B&amp;L'!$A$7:$BK$69,10,0)</f>
        <v>18263.88</v>
      </c>
      <c r="F115" s="205">
        <f>VLOOKUP(B116,'B&amp;L'!$A$7:$BK$69,15,0)</f>
        <v>18258.490000000002</v>
      </c>
      <c r="G115" s="205">
        <f>VLOOKUP(B116,'B&amp;L'!$A$7:$BK$69,20,0)</f>
        <v>18257.64</v>
      </c>
      <c r="H115" s="205">
        <f>VLOOKUP(B116,'B&amp;L'!$A$7:$BK$69,25,0)</f>
        <v>18257.34</v>
      </c>
      <c r="I115" s="205">
        <f>VLOOKUP(B116,'B&amp;L'!$A$7:$BK$69,30,0)</f>
        <v>18252.89</v>
      </c>
      <c r="J115" s="205">
        <f>VLOOKUP(B116,'B&amp;L'!$A$7:$BK$69,35,0)</f>
        <v>18252.61</v>
      </c>
      <c r="K115" s="205">
        <f>VLOOKUP(B116,'B&amp;L'!$A$7:$BK$69,40,0)</f>
        <v>18252.490000000002</v>
      </c>
      <c r="L115" s="205">
        <f>VLOOKUP(B116,'B&amp;L'!$A$7:$BK$69,45,0)</f>
        <v>18254.29</v>
      </c>
      <c r="M115" s="205">
        <f>VLOOKUP(B116,'B&amp;L'!$A$7:$BK$69,50,0)</f>
        <v>18254.080000000002</v>
      </c>
      <c r="N115" s="205">
        <f>VLOOKUP(B116,'B&amp;L'!$A$7:$BK$69,55,0)</f>
        <v>18252.55</v>
      </c>
      <c r="O115" s="205">
        <f>VLOOKUP(B116,'B&amp;L'!$A$7:$BK$69,60,0)</f>
        <v>18254.28</v>
      </c>
    </row>
    <row r="116" spans="1:15">
      <c r="A116" s="296"/>
      <c r="B116" s="156">
        <v>1412000024</v>
      </c>
      <c r="C116" s="149" t="s">
        <v>157</v>
      </c>
      <c r="D116" s="204">
        <f>VLOOKUP(B116,'B&amp;L'!$A$7:$BK$69,6,0)</f>
        <v>1232.73</v>
      </c>
      <c r="E116" s="204">
        <f>VLOOKUP(B116,'B&amp;L'!$A$7:$BK$69,11,0)</f>
        <v>1232.74</v>
      </c>
      <c r="F116" s="204">
        <f>VLOOKUP(B116,'B&amp;L'!$A$7:$BK$69,16,0)</f>
        <v>1232.3800000000001</v>
      </c>
      <c r="G116" s="204">
        <f>VLOOKUP(B116,'B&amp;L'!$A$7:$BK$69,21,0)</f>
        <v>1232.32</v>
      </c>
      <c r="H116" s="204">
        <f>VLOOKUP(B116,'B&amp;L'!$A$7:$BK$69,26,0)</f>
        <v>1232.3</v>
      </c>
      <c r="I116" s="204">
        <f>VLOOKUP(B116,'B&amp;L'!$A$7:$BK$69,31,0)</f>
        <v>1232</v>
      </c>
      <c r="J116" s="204">
        <f>VLOOKUP(B116,'B&amp;L'!$A$7:$BK$69,36,0)</f>
        <v>1231.98</v>
      </c>
      <c r="K116" s="204">
        <f>VLOOKUP(B116,'B&amp;L'!$A$7:$BK$69,41,0)</f>
        <v>1231.97</v>
      </c>
      <c r="L116" s="204">
        <f>VLOOKUP(B116,'B&amp;L'!$A$7:$BK$69,46,0)</f>
        <v>1232.0899999999999</v>
      </c>
      <c r="M116" s="204">
        <f>VLOOKUP(B116,'B&amp;L'!$A$7:$BK$69,51,0)</f>
        <v>1232.08</v>
      </c>
      <c r="N116" s="204">
        <f>VLOOKUP(B116,'B&amp;L'!$A$7:$BK$69,56,0)</f>
        <v>1231.97</v>
      </c>
      <c r="O116" s="204">
        <f>VLOOKUP(B116,'B&amp;L'!$A$7:$BK$69,61,0)</f>
        <v>1232.0899999999999</v>
      </c>
    </row>
    <row r="117" spans="1:15">
      <c r="A117" s="295">
        <v>56</v>
      </c>
      <c r="B117" s="155" t="s">
        <v>5</v>
      </c>
      <c r="C117" s="147" t="s">
        <v>156</v>
      </c>
      <c r="D117" s="205">
        <f>VLOOKUP(B118,'B&amp;L'!$A$7:$BK$69,5,0)</f>
        <v>1088.99</v>
      </c>
      <c r="E117" s="205">
        <f>VLOOKUP(B118,'B&amp;L'!$A$7:$BK$69,10,0)</f>
        <v>1089.08</v>
      </c>
      <c r="F117" s="205">
        <f>VLOOKUP(B118,'B&amp;L'!$A$7:$BK$69,15,0)</f>
        <v>1084.5899999999999</v>
      </c>
      <c r="G117" s="205">
        <f>VLOOKUP(B118,'B&amp;L'!$A$7:$BK$69,20,0)</f>
        <v>1083.8800000000001</v>
      </c>
      <c r="H117" s="205">
        <f>VLOOKUP(B118,'B&amp;L'!$A$7:$BK$69,25,0)</f>
        <v>1083.6300000000001</v>
      </c>
      <c r="I117" s="205">
        <f>VLOOKUP(B118,'B&amp;L'!$A$7:$BK$69,30,0)</f>
        <v>1079.92</v>
      </c>
      <c r="J117" s="205">
        <f>VLOOKUP(B118,'B&amp;L'!$A$7:$BK$69,35,0)</f>
        <v>1079.69</v>
      </c>
      <c r="K117" s="205">
        <f>VLOOKUP(B118,'B&amp;L'!$A$7:$BK$69,40,0)</f>
        <v>1079.5899999999999</v>
      </c>
      <c r="L117" s="205">
        <f>VLOOKUP(B118,'B&amp;L'!$A$7:$BK$69,45,0)</f>
        <v>1081.0899999999999</v>
      </c>
      <c r="M117" s="205">
        <f>VLOOKUP(B118,'B&amp;L'!$A$7:$BK$69,50,0)</f>
        <v>1080.92</v>
      </c>
      <c r="N117" s="205">
        <f>VLOOKUP(B118,'B&amp;L'!$A$7:$BK$69,55,0)</f>
        <v>1079.6300000000001</v>
      </c>
      <c r="O117" s="205">
        <f>VLOOKUP(B118,'B&amp;L'!$A$7:$BK$69,60,0)</f>
        <v>1081.08</v>
      </c>
    </row>
    <row r="118" spans="1:15">
      <c r="A118" s="296"/>
      <c r="B118" s="156">
        <v>1412000025</v>
      </c>
      <c r="C118" s="149" t="s">
        <v>157</v>
      </c>
      <c r="D118" s="204">
        <f>VLOOKUP(B118,'B&amp;L'!$A$7:$BK$69,6,0)</f>
        <v>73.5</v>
      </c>
      <c r="E118" s="204">
        <f>VLOOKUP(B118,'B&amp;L'!$A$7:$BK$69,11,0)</f>
        <v>73.510000000000005</v>
      </c>
      <c r="F118" s="204">
        <f>VLOOKUP(B118,'B&amp;L'!$A$7:$BK$69,16,0)</f>
        <v>73.209999999999994</v>
      </c>
      <c r="G118" s="204">
        <f>VLOOKUP(B118,'B&amp;L'!$A$7:$BK$69,21,0)</f>
        <v>73.16</v>
      </c>
      <c r="H118" s="204">
        <f>VLOOKUP(B118,'B&amp;L'!$A$7:$BK$69,26,0)</f>
        <v>73.14</v>
      </c>
      <c r="I118" s="204">
        <f>VLOOKUP(B118,'B&amp;L'!$A$7:$BK$69,31,0)</f>
        <v>72.89</v>
      </c>
      <c r="J118" s="204">
        <f>VLOOKUP(B118,'B&amp;L'!$A$7:$BK$69,36,0)</f>
        <v>72.87</v>
      </c>
      <c r="K118" s="204">
        <f>VLOOKUP(B118,'B&amp;L'!$A$7:$BK$69,41,0)</f>
        <v>72.87</v>
      </c>
      <c r="L118" s="204">
        <f>VLOOKUP(B118,'B&amp;L'!$A$7:$BK$69,46,0)</f>
        <v>72.97</v>
      </c>
      <c r="M118" s="204">
        <f>VLOOKUP(B118,'B&amp;L'!$A$7:$BK$69,51,0)</f>
        <v>72.959999999999994</v>
      </c>
      <c r="N118" s="204">
        <f>VLOOKUP(B118,'B&amp;L'!$A$7:$BK$69,56,0)</f>
        <v>72.87</v>
      </c>
      <c r="O118" s="204">
        <f>VLOOKUP(B118,'B&amp;L'!$A$7:$BK$69,61,0)</f>
        <v>72.97</v>
      </c>
    </row>
    <row r="119" spans="1:15">
      <c r="A119" s="295">
        <v>57</v>
      </c>
      <c r="B119" s="155" t="s">
        <v>113</v>
      </c>
      <c r="C119" s="147" t="s">
        <v>156</v>
      </c>
      <c r="D119" s="205">
        <f>VLOOKUP(B120,'B&amp;L'!$A$7:$BK$69,5,0)</f>
        <v>460.78</v>
      </c>
      <c r="E119" s="205">
        <f>VLOOKUP(B120,'B&amp;L'!$A$7:$BK$69,10,0)</f>
        <v>460.42</v>
      </c>
      <c r="F119" s="205">
        <f>VLOOKUP(B120,'B&amp;L'!$A$7:$BK$69,15,0)</f>
        <v>478.54</v>
      </c>
      <c r="G119" s="205">
        <f>VLOOKUP(B120,'B&amp;L'!$A$7:$BK$69,20,0)</f>
        <v>459.98</v>
      </c>
      <c r="H119" s="205">
        <f>VLOOKUP(B120,'B&amp;L'!$A$7:$BK$69,25,0)</f>
        <v>441.35</v>
      </c>
      <c r="I119" s="205">
        <f>VLOOKUP(B120,'B&amp;L'!$A$7:$BK$69,30,0)</f>
        <v>442.8</v>
      </c>
      <c r="J119" s="205">
        <f>VLOOKUP(B120,'B&amp;L'!$A$7:$BK$69,35,0)</f>
        <v>462.17</v>
      </c>
      <c r="K119" s="205">
        <f>VLOOKUP(B120,'B&amp;L'!$A$7:$BK$69,40,0)</f>
        <v>450.4</v>
      </c>
      <c r="L119" s="205">
        <f>VLOOKUP(B120,'B&amp;L'!$A$7:$BK$69,45,0)</f>
        <v>448.71</v>
      </c>
      <c r="M119" s="205">
        <f>VLOOKUP(B120,'B&amp;L'!$A$7:$BK$69,50,0)</f>
        <v>438.32</v>
      </c>
      <c r="N119" s="205">
        <f>VLOOKUP(B120,'B&amp;L'!$A$7:$BK$69,55,0)</f>
        <v>389.25</v>
      </c>
      <c r="O119" s="205">
        <f>VLOOKUP(B120,'B&amp;L'!$A$7:$BK$69,60,0)</f>
        <v>452.99</v>
      </c>
    </row>
    <row r="120" spans="1:15">
      <c r="A120" s="296"/>
      <c r="B120" s="156">
        <v>1412000091</v>
      </c>
      <c r="C120" s="149" t="s">
        <v>157</v>
      </c>
      <c r="D120" s="204">
        <f>VLOOKUP(B120,'B&amp;L'!$A$7:$BK$69,6,0)</f>
        <v>31.1</v>
      </c>
      <c r="E120" s="204">
        <f>VLOOKUP(B120,'B&amp;L'!$A$7:$BK$69,11,0)</f>
        <v>31.08</v>
      </c>
      <c r="F120" s="204">
        <f>VLOOKUP(B120,'B&amp;L'!$A$7:$BK$69,16,0)</f>
        <v>32.299999999999997</v>
      </c>
      <c r="G120" s="204">
        <f>VLOOKUP(B120,'B&amp;L'!$A$7:$BK$69,21,0)</f>
        <v>31.05</v>
      </c>
      <c r="H120" s="204">
        <f>VLOOKUP(B120,'B&amp;L'!$A$7:$BK$69,26,0)</f>
        <v>29.79</v>
      </c>
      <c r="I120" s="204">
        <f>VLOOKUP(B120,'B&amp;L'!$A$7:$BK$69,31,0)</f>
        <v>29.89</v>
      </c>
      <c r="J120" s="204">
        <f>VLOOKUP(B120,'B&amp;L'!$A$7:$BK$69,36,0)</f>
        <v>31.19</v>
      </c>
      <c r="K120" s="204">
        <f>VLOOKUP(B120,'B&amp;L'!$A$7:$BK$69,41,0)</f>
        <v>30.4</v>
      </c>
      <c r="L120" s="204">
        <f>VLOOKUP(B120,'B&amp;L'!$A$7:$BK$69,46,0)</f>
        <v>30.29</v>
      </c>
      <c r="M120" s="204">
        <f>VLOOKUP(B120,'B&amp;L'!$A$7:$BK$69,51,0)</f>
        <v>29.59</v>
      </c>
      <c r="N120" s="204">
        <f>VLOOKUP(B120,'B&amp;L'!$A$7:$BK$69,56,0)</f>
        <v>26.27</v>
      </c>
      <c r="O120" s="204">
        <f>VLOOKUP(B120,'B&amp;L'!$A$7:$BK$69,61,0)</f>
        <v>30.57</v>
      </c>
    </row>
    <row r="121" spans="1:15">
      <c r="A121" s="295">
        <v>58</v>
      </c>
      <c r="B121" s="155" t="s">
        <v>150</v>
      </c>
      <c r="C121" s="147" t="s">
        <v>156</v>
      </c>
      <c r="D121" s="205">
        <f>VLOOKUP(B122,'B&amp;L'!$A$7:$BK$69,5,0)</f>
        <v>153.57</v>
      </c>
      <c r="E121" s="205">
        <f>VLOOKUP(B122,'B&amp;L'!$A$7:$BK$69,10,0)</f>
        <v>153.62</v>
      </c>
      <c r="F121" s="205">
        <f>VLOOKUP(B122,'B&amp;L'!$A$7:$BK$69,15,0)</f>
        <v>151.22999999999999</v>
      </c>
      <c r="G121" s="205">
        <f>VLOOKUP(B122,'B&amp;L'!$A$7:$BK$69,20,0)</f>
        <v>150.85</v>
      </c>
      <c r="H121" s="205">
        <f>VLOOKUP(B122,'B&amp;L'!$A$7:$BK$69,25,0)</f>
        <v>150.71</v>
      </c>
      <c r="I121" s="205">
        <f>VLOOKUP(B122,'B&amp;L'!$A$7:$BK$69,30,0)</f>
        <v>148.74</v>
      </c>
      <c r="J121" s="205">
        <f>VLOOKUP(B122,'B&amp;L'!$A$7:$BK$69,35,0)</f>
        <v>148.61000000000001</v>
      </c>
      <c r="K121" s="205">
        <f>VLOOKUP(B122,'B&amp;L'!$A$7:$BK$69,40,0)</f>
        <v>148.56</v>
      </c>
      <c r="L121" s="205">
        <f>VLOOKUP(B122,'B&amp;L'!$A$7:$BK$69,45,0)</f>
        <v>149.36000000000001</v>
      </c>
      <c r="M121" s="205">
        <f>VLOOKUP(B122,'B&amp;L'!$A$7:$BK$69,50,0)</f>
        <v>149.27000000000001</v>
      </c>
      <c r="N121" s="205">
        <f>VLOOKUP(B122,'B&amp;L'!$A$7:$BK$69,55,0)</f>
        <v>148.58000000000001</v>
      </c>
      <c r="O121" s="205">
        <f>VLOOKUP(B122,'B&amp;L'!$A$7:$BK$69,60,0)</f>
        <v>149.35</v>
      </c>
    </row>
    <row r="122" spans="1:15">
      <c r="A122" s="296"/>
      <c r="B122" s="156">
        <v>1412000093</v>
      </c>
      <c r="C122" s="149" t="s">
        <v>157</v>
      </c>
      <c r="D122" s="204">
        <f>VLOOKUP(B122,'B&amp;L'!$A$7:$BK$69,6,0)</f>
        <v>10.37</v>
      </c>
      <c r="E122" s="204">
        <f>VLOOKUP(B122,'B&amp;L'!$A$7:$BK$69,11,0)</f>
        <v>10.37</v>
      </c>
      <c r="F122" s="204">
        <f>VLOOKUP(B122,'B&amp;L'!$A$7:$BK$69,16,0)</f>
        <v>10.210000000000001</v>
      </c>
      <c r="G122" s="204">
        <f>VLOOKUP(B122,'B&amp;L'!$A$7:$BK$69,21,0)</f>
        <v>10.18</v>
      </c>
      <c r="H122" s="204">
        <f>VLOOKUP(B122,'B&amp;L'!$A$7:$BK$69,26,0)</f>
        <v>10.17</v>
      </c>
      <c r="I122" s="204">
        <f>VLOOKUP(B122,'B&amp;L'!$A$7:$BK$69,31,0)</f>
        <v>10.039999999999999</v>
      </c>
      <c r="J122" s="204">
        <f>VLOOKUP(B122,'B&amp;L'!$A$7:$BK$69,36,0)</f>
        <v>10.029999999999999</v>
      </c>
      <c r="K122" s="204">
        <f>VLOOKUP(B122,'B&amp;L'!$A$7:$BK$69,41,0)</f>
        <v>10.029999999999999</v>
      </c>
      <c r="L122" s="204">
        <f>VLOOKUP(B122,'B&amp;L'!$A$7:$BK$69,46,0)</f>
        <v>10.08</v>
      </c>
      <c r="M122" s="204">
        <f>VLOOKUP(B122,'B&amp;L'!$A$7:$BK$69,51,0)</f>
        <v>10.07</v>
      </c>
      <c r="N122" s="204">
        <f>VLOOKUP(B122,'B&amp;L'!$A$7:$BK$69,56,0)</f>
        <v>10.029999999999999</v>
      </c>
      <c r="O122" s="204">
        <f>VLOOKUP(B122,'B&amp;L'!$A$7:$BK$69,61,0)</f>
        <v>10.08</v>
      </c>
    </row>
    <row r="123" spans="1:15">
      <c r="A123" s="295">
        <v>59</v>
      </c>
      <c r="B123" s="254" t="s">
        <v>6</v>
      </c>
      <c r="C123" s="255" t="s">
        <v>156</v>
      </c>
      <c r="D123" s="205">
        <f>VLOOKUP(B124,'B&amp;L'!$A$7:$BK$69,5,0)</f>
        <v>56933.239999999991</v>
      </c>
      <c r="E123" s="205">
        <f>VLOOKUP(B124,'B&amp;L'!$A$7:$BK$69,10,0)</f>
        <v>56933.35</v>
      </c>
      <c r="F123" s="205">
        <f>VLOOKUP(B124,'B&amp;L'!$A$7:$BK$69,15,0)</f>
        <v>56929.16</v>
      </c>
      <c r="G123" s="205">
        <f>VLOOKUP(B124,'B&amp;L'!$A$7:$BK$69,20,0)</f>
        <v>56928.54</v>
      </c>
      <c r="H123" s="205">
        <f>VLOOKUP(B124,'B&amp;L'!$A$7:$BK$69,25,0)</f>
        <v>56928.259999999995</v>
      </c>
      <c r="I123" s="205">
        <f>VLOOKUP(B124,'B&amp;L'!$A$7:$BK$69,30,0)</f>
        <v>56924.799999999996</v>
      </c>
      <c r="J123" s="205">
        <f>VLOOKUP(B124,'B&amp;L'!$A$7:$BK$69,35,0)</f>
        <v>56924.639999999999</v>
      </c>
      <c r="K123" s="205">
        <f>VLOOKUP(B124,'B&amp;L'!$A$7:$BK$69,40,0)</f>
        <v>56924.51</v>
      </c>
      <c r="L123" s="205">
        <f>VLOOKUP(B124,'B&amp;L'!$A$7:$BK$69,45,0)</f>
        <v>56925.880000000005</v>
      </c>
      <c r="M123" s="205">
        <f>VLOOKUP(B124,'B&amp;L'!$A$7:$BK$69,50,0)</f>
        <v>56925.72</v>
      </c>
      <c r="N123" s="205">
        <f>VLOOKUP(B124,'B&amp;L'!$A$7:$BK$69,55,0)</f>
        <v>56924.5</v>
      </c>
      <c r="O123" s="205">
        <f>VLOOKUP(B124,'B&amp;L'!$A$7:$BK$69,60,0)</f>
        <v>56925.84</v>
      </c>
    </row>
    <row r="124" spans="1:15">
      <c r="A124" s="296"/>
      <c r="B124" s="148">
        <v>1412000026</v>
      </c>
      <c r="C124" s="256" t="s">
        <v>157</v>
      </c>
      <c r="D124" s="204">
        <f>VLOOKUP(B124,'B&amp;L'!$A$7:$BK$69,6,0)</f>
        <v>3842.7699999999995</v>
      </c>
      <c r="E124" s="204">
        <f>VLOOKUP(B124,'B&amp;L'!$A$7:$BK$69,11,0)</f>
        <v>3842.7900000000004</v>
      </c>
      <c r="F124" s="204">
        <f>VLOOKUP(B124,'B&amp;L'!$A$7:$BK$69,16,0)</f>
        <v>3842.4999999999995</v>
      </c>
      <c r="G124" s="204">
        <f>VLOOKUP(B124,'B&amp;L'!$A$7:$BK$69,21,0)</f>
        <v>3842.46</v>
      </c>
      <c r="H124" s="204">
        <f>VLOOKUP(B124,'B&amp;L'!$A$7:$BK$69,26,0)</f>
        <v>3842.44</v>
      </c>
      <c r="I124" s="204">
        <f>VLOOKUP(B124,'B&amp;L'!$A$7:$BK$69,31,0)</f>
        <v>3842.1899999999996</v>
      </c>
      <c r="J124" s="204">
        <f>VLOOKUP(B124,'B&amp;L'!$A$7:$BK$69,36,0)</f>
        <v>3842.18</v>
      </c>
      <c r="K124" s="204">
        <f>VLOOKUP(B124,'B&amp;L'!$A$7:$BK$69,41,0)</f>
        <v>3842.1499999999996</v>
      </c>
      <c r="L124" s="204">
        <f>VLOOKUP(B124,'B&amp;L'!$A$7:$BK$69,46,0)</f>
        <v>3842.27</v>
      </c>
      <c r="M124" s="204">
        <f>VLOOKUP(B124,'B&amp;L'!$A$7:$BK$69,51,0)</f>
        <v>3842.2400000000002</v>
      </c>
      <c r="N124" s="204">
        <f>VLOOKUP(B124,'B&amp;L'!$A$7:$BK$69,56,0)</f>
        <v>3842.16</v>
      </c>
      <c r="O124" s="204">
        <f>VLOOKUP(B124,'B&amp;L'!$A$7:$BK$69,61,0)</f>
        <v>3842.25</v>
      </c>
    </row>
    <row r="125" spans="1:15">
      <c r="A125" s="295">
        <v>60</v>
      </c>
      <c r="B125" s="155" t="s">
        <v>7</v>
      </c>
      <c r="C125" s="147" t="s">
        <v>156</v>
      </c>
      <c r="D125" s="205">
        <f>VLOOKUP(B126,'B&amp;L'!$A$7:$BK$69,5,0)</f>
        <v>278.25</v>
      </c>
      <c r="E125" s="205">
        <f>VLOOKUP(B126,'B&amp;L'!$A$7:$BK$69,10,0)</f>
        <v>278.32</v>
      </c>
      <c r="F125" s="205">
        <f>VLOOKUP(B126,'B&amp;L'!$A$7:$BK$69,15,0)</f>
        <v>274.73</v>
      </c>
      <c r="G125" s="205">
        <f>VLOOKUP(B126,'B&amp;L'!$A$7:$BK$69,20,0)</f>
        <v>274.16000000000003</v>
      </c>
      <c r="H125" s="205">
        <f>VLOOKUP(B126,'B&amp;L'!$A$7:$BK$69,25,0)</f>
        <v>273.95999999999998</v>
      </c>
      <c r="I125" s="205">
        <f>VLOOKUP(B126,'B&amp;L'!$A$7:$BK$69,30,0)</f>
        <v>270.99</v>
      </c>
      <c r="J125" s="205">
        <f>VLOOKUP(B126,'B&amp;L'!$A$7:$BK$69,35,0)</f>
        <v>270.81</v>
      </c>
      <c r="K125" s="205">
        <f>VLOOKUP(B126,'B&amp;L'!$A$7:$BK$69,40,0)</f>
        <v>270.73</v>
      </c>
      <c r="L125" s="205">
        <f>VLOOKUP(B126,'B&amp;L'!$A$7:$BK$69,45,0)</f>
        <v>271.93</v>
      </c>
      <c r="M125" s="205">
        <f>VLOOKUP(B126,'B&amp;L'!$A$7:$BK$69,50,0)</f>
        <v>271.79000000000002</v>
      </c>
      <c r="N125" s="205">
        <f>VLOOKUP(B126,'B&amp;L'!$A$7:$BK$69,55,0)</f>
        <v>270.76</v>
      </c>
      <c r="O125" s="205">
        <f>VLOOKUP(B126,'B&amp;L'!$A$7:$BK$69,60,0)</f>
        <v>271.92</v>
      </c>
    </row>
    <row r="126" spans="1:15">
      <c r="A126" s="296"/>
      <c r="B126" s="156">
        <v>1412000028</v>
      </c>
      <c r="C126" s="149" t="s">
        <v>157</v>
      </c>
      <c r="D126" s="204">
        <f>VLOOKUP(B126,'B&amp;L'!$A$7:$BK$69,6,0)</f>
        <v>18.78</v>
      </c>
      <c r="E126" s="204">
        <f>VLOOKUP(B126,'B&amp;L'!$A$7:$BK$69,11,0)</f>
        <v>18.79</v>
      </c>
      <c r="F126" s="204">
        <f>VLOOKUP(B126,'B&amp;L'!$A$7:$BK$69,16,0)</f>
        <v>18.54</v>
      </c>
      <c r="G126" s="204">
        <f>VLOOKUP(B126,'B&amp;L'!$A$7:$BK$69,21,0)</f>
        <v>18.5</v>
      </c>
      <c r="H126" s="204">
        <f>VLOOKUP(B126,'B&amp;L'!$A$7:$BK$69,26,0)</f>
        <v>18.489999999999998</v>
      </c>
      <c r="I126" s="204">
        <f>VLOOKUP(B126,'B&amp;L'!$A$7:$BK$69,31,0)</f>
        <v>18.29</v>
      </c>
      <c r="J126" s="204">
        <f>VLOOKUP(B126,'B&amp;L'!$A$7:$BK$69,36,0)</f>
        <v>18.28</v>
      </c>
      <c r="K126" s="204">
        <f>VLOOKUP(B126,'B&amp;L'!$A$7:$BK$69,41,0)</f>
        <v>18.27</v>
      </c>
      <c r="L126" s="204">
        <f>VLOOKUP(B126,'B&amp;L'!$A$7:$BK$69,46,0)</f>
        <v>18.350000000000001</v>
      </c>
      <c r="M126" s="204">
        <f>VLOOKUP(B126,'B&amp;L'!$A$7:$BK$69,51,0)</f>
        <v>18.34</v>
      </c>
      <c r="N126" s="204">
        <f>VLOOKUP(B126,'B&amp;L'!$A$7:$BK$69,56,0)</f>
        <v>18.28</v>
      </c>
      <c r="O126" s="204">
        <f>VLOOKUP(B126,'B&amp;L'!$A$7:$BK$69,61,0)</f>
        <v>18.350000000000001</v>
      </c>
    </row>
    <row r="127" spans="1:15">
      <c r="A127" s="295">
        <v>61</v>
      </c>
      <c r="B127" s="155" t="s">
        <v>8</v>
      </c>
      <c r="C127" s="147" t="s">
        <v>156</v>
      </c>
      <c r="D127" s="205">
        <f>VLOOKUP(B128,'B&amp;L'!$A$7:$BK$69,5,0)</f>
        <v>284.36</v>
      </c>
      <c r="E127" s="205">
        <f>VLOOKUP(B128,'B&amp;L'!$A$7:$BK$69,10,0)</f>
        <v>284.38</v>
      </c>
      <c r="F127" s="205">
        <f>VLOOKUP(B128,'B&amp;L'!$A$7:$BK$69,15,0)</f>
        <v>283.41000000000003</v>
      </c>
      <c r="G127" s="205">
        <f>VLOOKUP(B128,'B&amp;L'!$A$7:$BK$69,20,0)</f>
        <v>282.31</v>
      </c>
      <c r="H127" s="205">
        <f>VLOOKUP(B128,'B&amp;L'!$A$7:$BK$69,25,0)</f>
        <v>281.39</v>
      </c>
      <c r="I127" s="205">
        <f>VLOOKUP(B128,'B&amp;L'!$A$7:$BK$69,30,0)</f>
        <v>279.99</v>
      </c>
      <c r="J127" s="205">
        <f>VLOOKUP(B128,'B&amp;L'!$A$7:$BK$69,35,0)</f>
        <v>280.75</v>
      </c>
      <c r="K127" s="205">
        <f>VLOOKUP(B128,'B&amp;L'!$A$7:$BK$69,40,0)</f>
        <v>280.19</v>
      </c>
      <c r="L127" s="205">
        <f>VLOOKUP(B128,'B&amp;L'!$A$7:$BK$69,45,0)</f>
        <v>280.70999999999998</v>
      </c>
      <c r="M127" s="205">
        <f>VLOOKUP(B128,'B&amp;L'!$A$7:$BK$69,50,0)</f>
        <v>280.19</v>
      </c>
      <c r="N127" s="205">
        <f>VLOOKUP(B128,'B&amp;L'!$A$7:$BK$69,55,0)</f>
        <v>277.52</v>
      </c>
      <c r="O127" s="205">
        <f>VLOOKUP(B128,'B&amp;L'!$A$7:$BK$69,60,0)</f>
        <v>280.89999999999998</v>
      </c>
    </row>
    <row r="128" spans="1:15">
      <c r="A128" s="296"/>
      <c r="B128" s="156">
        <v>1412000029</v>
      </c>
      <c r="C128" s="149" t="s">
        <v>157</v>
      </c>
      <c r="D128" s="204">
        <f>VLOOKUP(B128,'B&amp;L'!$A$7:$BK$69,6,0)</f>
        <v>19.190000000000001</v>
      </c>
      <c r="E128" s="204">
        <f>VLOOKUP(B128,'B&amp;L'!$A$7:$BK$69,11,0)</f>
        <v>19.190000000000001</v>
      </c>
      <c r="F128" s="204">
        <f>VLOOKUP(B128,'B&amp;L'!$A$7:$BK$69,16,0)</f>
        <v>19.13</v>
      </c>
      <c r="G128" s="204">
        <f>VLOOKUP(B128,'B&amp;L'!$A$7:$BK$69,21,0)</f>
        <v>19.05</v>
      </c>
      <c r="H128" s="204">
        <f>VLOOKUP(B128,'B&amp;L'!$A$7:$BK$69,26,0)</f>
        <v>18.989999999999998</v>
      </c>
      <c r="I128" s="204">
        <f>VLOOKUP(B128,'B&amp;L'!$A$7:$BK$69,31,0)</f>
        <v>18.899999999999999</v>
      </c>
      <c r="J128" s="204">
        <f>VLOOKUP(B128,'B&amp;L'!$A$7:$BK$69,36,0)</f>
        <v>18.95</v>
      </c>
      <c r="K128" s="204">
        <f>VLOOKUP(B128,'B&amp;L'!$A$7:$BK$69,41,0)</f>
        <v>18.91</v>
      </c>
      <c r="L128" s="204">
        <f>VLOOKUP(B128,'B&amp;L'!$A$7:$BK$69,46,0)</f>
        <v>18.95</v>
      </c>
      <c r="M128" s="204">
        <f>VLOOKUP(B128,'B&amp;L'!$A$7:$BK$69,51,0)</f>
        <v>18.91</v>
      </c>
      <c r="N128" s="204">
        <f>VLOOKUP(B128,'B&amp;L'!$A$7:$BK$69,56,0)</f>
        <v>18.73</v>
      </c>
      <c r="O128" s="204">
        <f>VLOOKUP(B128,'B&amp;L'!$A$7:$BK$69,61,0)</f>
        <v>18.96</v>
      </c>
    </row>
    <row r="129" spans="1:15">
      <c r="A129" s="295">
        <v>62</v>
      </c>
      <c r="B129" s="254" t="s">
        <v>137</v>
      </c>
      <c r="C129" s="255" t="s">
        <v>156</v>
      </c>
      <c r="D129" s="205">
        <f>VLOOKUP(B130,'B&amp;L'!$A$7:$BK$69,5,0)</f>
        <v>390.41</v>
      </c>
      <c r="E129" s="205">
        <f>VLOOKUP(B130,'B&amp;L'!$A$7:$BK$69,10,0)</f>
        <v>390.51</v>
      </c>
      <c r="F129" s="205">
        <f>VLOOKUP(B130,'B&amp;L'!$A$7:$BK$69,15,0)</f>
        <v>385.42</v>
      </c>
      <c r="G129" s="205">
        <f>VLOOKUP(B130,'B&amp;L'!$A$7:$BK$69,20,0)</f>
        <v>384.62</v>
      </c>
      <c r="H129" s="205">
        <f>VLOOKUP(B130,'B&amp;L'!$A$7:$BK$69,25,0)</f>
        <v>384.33</v>
      </c>
      <c r="I129" s="205">
        <f>VLOOKUP(B130,'B&amp;L'!$A$7:$BK$69,30,0)</f>
        <v>380.13</v>
      </c>
      <c r="J129" s="205">
        <f>VLOOKUP(B130,'B&amp;L'!$A$7:$BK$69,35,0)</f>
        <v>379.87</v>
      </c>
      <c r="K129" s="205">
        <f>VLOOKUP(B130,'B&amp;L'!$A$7:$BK$69,40,0)</f>
        <v>379.75</v>
      </c>
      <c r="L129" s="205">
        <f>VLOOKUP(B130,'B&amp;L'!$A$7:$BK$69,45,0)</f>
        <v>381.45</v>
      </c>
      <c r="M129" s="205">
        <f>VLOOKUP(B130,'B&amp;L'!$A$7:$BK$69,50,0)</f>
        <v>381.26</v>
      </c>
      <c r="N129" s="205">
        <f>VLOOKUP(B130,'B&amp;L'!$A$7:$BK$69,55,0)</f>
        <v>379.8</v>
      </c>
      <c r="O129" s="205">
        <f>VLOOKUP(B130,'B&amp;L'!$A$7:$BK$69,60,0)</f>
        <v>381.44</v>
      </c>
    </row>
    <row r="130" spans="1:15">
      <c r="A130" s="296"/>
      <c r="B130" s="148">
        <v>1412000030</v>
      </c>
      <c r="C130" s="256" t="s">
        <v>157</v>
      </c>
      <c r="D130" s="204">
        <f>VLOOKUP(B130,'B&amp;L'!$A$7:$BK$69,6,0)</f>
        <v>26.35</v>
      </c>
      <c r="E130" s="204">
        <f>VLOOKUP(B130,'B&amp;L'!$A$7:$BK$69,11,0)</f>
        <v>26.36</v>
      </c>
      <c r="F130" s="204">
        <f>VLOOKUP(B130,'B&amp;L'!$A$7:$BK$69,16,0)</f>
        <v>26.01</v>
      </c>
      <c r="G130" s="204">
        <f>VLOOKUP(B130,'B&amp;L'!$A$7:$BK$69,21,0)</f>
        <v>25.96</v>
      </c>
      <c r="H130" s="204">
        <f>VLOOKUP(B130,'B&amp;L'!$A$7:$BK$69,26,0)</f>
        <v>25.94</v>
      </c>
      <c r="I130" s="204">
        <f>VLOOKUP(B130,'B&amp;L'!$A$7:$BK$69,31,0)</f>
        <v>25.66</v>
      </c>
      <c r="J130" s="204">
        <f>VLOOKUP(B130,'B&amp;L'!$A$7:$BK$69,36,0)</f>
        <v>25.64</v>
      </c>
      <c r="K130" s="204">
        <f>VLOOKUP(B130,'B&amp;L'!$A$7:$BK$69,41,0)</f>
        <v>25.63</v>
      </c>
      <c r="L130" s="204">
        <f>VLOOKUP(B130,'B&amp;L'!$A$7:$BK$69,46,0)</f>
        <v>25.75</v>
      </c>
      <c r="M130" s="204">
        <f>VLOOKUP(B130,'B&amp;L'!$A$7:$BK$69,51,0)</f>
        <v>25.73</v>
      </c>
      <c r="N130" s="204">
        <f>VLOOKUP(B130,'B&amp;L'!$A$7:$BK$69,56,0)</f>
        <v>25.64</v>
      </c>
      <c r="O130" s="204">
        <f>VLOOKUP(B130,'B&amp;L'!$A$7:$BK$69,61,0)</f>
        <v>25.75</v>
      </c>
    </row>
    <row r="131" spans="1:15">
      <c r="A131" s="295">
        <v>63</v>
      </c>
      <c r="B131" s="155" t="s">
        <v>10</v>
      </c>
      <c r="C131" s="147" t="s">
        <v>156</v>
      </c>
      <c r="D131" s="205">
        <f>VLOOKUP(B132,'B&amp;L'!$A$7:$BK$69,5,0)</f>
        <v>491.26</v>
      </c>
      <c r="E131" s="205">
        <f>VLOOKUP(B132,'B&amp;L'!$A$7:$BK$69,10,0)</f>
        <v>491.34</v>
      </c>
      <c r="F131" s="205">
        <f>VLOOKUP(B132,'B&amp;L'!$A$7:$BK$69,15,0)</f>
        <v>525.26</v>
      </c>
      <c r="G131" s="205">
        <f>VLOOKUP(B132,'B&amp;L'!$A$7:$BK$69,20,0)</f>
        <v>524.54999999999995</v>
      </c>
      <c r="H131" s="205">
        <f>VLOOKUP(B132,'B&amp;L'!$A$7:$BK$69,25,0)</f>
        <v>524.29</v>
      </c>
      <c r="I131" s="205">
        <f>VLOOKUP(B132,'B&amp;L'!$A$7:$BK$69,30,0)</f>
        <v>520.59</v>
      </c>
      <c r="J131" s="205">
        <f>VLOOKUP(B132,'B&amp;L'!$A$7:$BK$69,35,0)</f>
        <v>520.36</v>
      </c>
      <c r="K131" s="205">
        <f>VLOOKUP(B132,'B&amp;L'!$A$7:$BK$69,40,0)</f>
        <v>520.25</v>
      </c>
      <c r="L131" s="205">
        <f>VLOOKUP(B132,'B&amp;L'!$A$7:$BK$69,45,0)</f>
        <v>521.75</v>
      </c>
      <c r="M131" s="205">
        <f>VLOOKUP(B132,'B&amp;L'!$A$7:$BK$69,50,0)</f>
        <v>521.58000000000004</v>
      </c>
      <c r="N131" s="205">
        <f>VLOOKUP(B132,'B&amp;L'!$A$7:$BK$69,55,0)</f>
        <v>520.29999999999995</v>
      </c>
      <c r="O131" s="205">
        <f>VLOOKUP(B132,'B&amp;L'!$A$7:$BK$69,60,0)</f>
        <v>521.75</v>
      </c>
    </row>
    <row r="132" spans="1:15">
      <c r="A132" s="296"/>
      <c r="B132" s="257">
        <v>1412000086</v>
      </c>
      <c r="C132" s="149" t="s">
        <v>157</v>
      </c>
      <c r="D132" s="204">
        <f>VLOOKUP(B132,'B&amp;L'!$A$7:$BK$69,6,0)</f>
        <v>33.159999999999997</v>
      </c>
      <c r="E132" s="204">
        <f>VLOOKUP(B132,'B&amp;L'!$A$7:$BK$69,11,0)</f>
        <v>33.159999999999997</v>
      </c>
      <c r="F132" s="204">
        <f>VLOOKUP(B132,'B&amp;L'!$A$7:$BK$69,16,0)</f>
        <v>35.450000000000003</v>
      </c>
      <c r="G132" s="204">
        <f>VLOOKUP(B132,'B&amp;L'!$A$7:$BK$69,21,0)</f>
        <v>35.409999999999997</v>
      </c>
      <c r="H132" s="204">
        <f>VLOOKUP(B132,'B&amp;L'!$A$7:$BK$69,26,0)</f>
        <v>35.39</v>
      </c>
      <c r="I132" s="204">
        <f>VLOOKUP(B132,'B&amp;L'!$A$7:$BK$69,31,0)</f>
        <v>35.14</v>
      </c>
      <c r="J132" s="204">
        <f>VLOOKUP(B132,'B&amp;L'!$A$7:$BK$69,36,0)</f>
        <v>35.119999999999997</v>
      </c>
      <c r="K132" s="204">
        <f>VLOOKUP(B132,'B&amp;L'!$A$7:$BK$69,41,0)</f>
        <v>35.119999999999997</v>
      </c>
      <c r="L132" s="204">
        <f>VLOOKUP(B132,'B&amp;L'!$A$7:$BK$69,46,0)</f>
        <v>35.22</v>
      </c>
      <c r="M132" s="204">
        <f>VLOOKUP(B132,'B&amp;L'!$A$7:$BK$69,51,0)</f>
        <v>35.200000000000003</v>
      </c>
      <c r="N132" s="204">
        <f>VLOOKUP(B132,'B&amp;L'!$A$7:$BK$69,56,0)</f>
        <v>35.119999999999997</v>
      </c>
      <c r="O132" s="204">
        <f>VLOOKUP(B132,'B&amp;L'!$A$7:$BK$69,61,0)</f>
        <v>35.22</v>
      </c>
    </row>
    <row r="133" spans="1:15">
      <c r="A133" s="297" t="s">
        <v>166</v>
      </c>
      <c r="B133" s="298"/>
      <c r="C133" s="147" t="s">
        <v>156</v>
      </c>
      <c r="D133" s="205">
        <f>D7+D11+D13+D15+D17+D19+D21+D23+D25+D27+D29+D31+D33+D35+D37+D39+D45+D49+D51+D53+D57+D59+D61+D65+D71+D73+D75+D77+D79+D81+D83+D85+D87+D93+D97+D101+D103+D105+D107+D109+D111+D113+D115+D117+D125+D127+D129+D131+D67+D69+D63+D119+D121+D123+D47+D9+D99+D89+D95+D91+D55+D41+D43</f>
        <v>324649.60000000009</v>
      </c>
      <c r="E133" s="205">
        <f t="shared" ref="E133:O133" si="11">E7+E11+E13+E15+E17+E19+E21+E23+E25+E27+E29+E31+E33+E35+E37+E39+E45+E49+E51+E53+E57+E59+E61+E65+E71+E73+E75+E77+E79+E81+E83+E85+E87+E93+E97+E101+E103+E105+E107+E109+E111+E113+E115+E117+E125+E127+E129+E131+E67+E69+E63+E119+E121+E123+E47+E9+E99+E89+E95+E91+E55+E41+E43</f>
        <v>324649.59999999998</v>
      </c>
      <c r="F133" s="205">
        <f t="shared" si="11"/>
        <v>324649.59999999998</v>
      </c>
      <c r="G133" s="205">
        <f t="shared" si="11"/>
        <v>324649.60000000009</v>
      </c>
      <c r="H133" s="205">
        <f t="shared" si="11"/>
        <v>324649.60000000003</v>
      </c>
      <c r="I133" s="205">
        <f t="shared" si="11"/>
        <v>324649.60000000003</v>
      </c>
      <c r="J133" s="205">
        <f t="shared" si="11"/>
        <v>324649.59999999992</v>
      </c>
      <c r="K133" s="205">
        <f t="shared" si="11"/>
        <v>324649.60000000009</v>
      </c>
      <c r="L133" s="205">
        <f t="shared" si="11"/>
        <v>324649.59999999986</v>
      </c>
      <c r="M133" s="205">
        <f t="shared" si="11"/>
        <v>324649.60000000009</v>
      </c>
      <c r="N133" s="205">
        <f t="shared" si="11"/>
        <v>324649.59999999998</v>
      </c>
      <c r="O133" s="205">
        <f t="shared" si="11"/>
        <v>324649.60000000009</v>
      </c>
    </row>
    <row r="134" spans="1:15">
      <c r="A134" s="299"/>
      <c r="B134" s="300"/>
      <c r="C134" s="149" t="s">
        <v>157</v>
      </c>
      <c r="D134" s="206">
        <f>D8+D12+D14+D16+D18+D20+D22+D24+D26+D28+D30+D32+D34+D36+D38+D40+D46+D50+D52+D54+D58+D60+D62+D66+D72+D74+D76+D78+D80+D82+D84+D86+D88+D94+D98+D102+D104+D106+D108+D110+D112+D114+D116+D118+D126+D128+D130+D132+D68+D70+D64+D120+D122+D124+D48+D10+D100+D90+D96+D92+D56+D44+D42</f>
        <v>21912.570000000011</v>
      </c>
      <c r="E134" s="206">
        <f t="shared" ref="E134:O134" si="12">E8+E12+E14+E16+E18+E20+E22+E24+E26+E28+E30+E32+E34+E36+E38+E40+E46+E50+E52+E54+E58+E60+E62+E66+E72+E74+E76+E78+E80+E82+E84+E86+E88+E94+E98+E102+E104+E106+E108+E110+E112+E114+E116+E118+E126+E128+E130+E132+E68+E70+E64+E120+E122+E124+E48+E10+E100+E90+E96+E92+E56+E44+E42</f>
        <v>21912.570000000007</v>
      </c>
      <c r="F134" s="206">
        <f t="shared" si="12"/>
        <v>21912.57</v>
      </c>
      <c r="G134" s="206">
        <f t="shared" si="12"/>
        <v>21912.57</v>
      </c>
      <c r="H134" s="206">
        <f t="shared" si="12"/>
        <v>21912.569999999996</v>
      </c>
      <c r="I134" s="206">
        <f t="shared" si="12"/>
        <v>21912.570000000003</v>
      </c>
      <c r="J134" s="206">
        <f t="shared" si="12"/>
        <v>21912.570000000007</v>
      </c>
      <c r="K134" s="206">
        <f t="shared" si="12"/>
        <v>21912.570000000011</v>
      </c>
      <c r="L134" s="206">
        <f t="shared" si="12"/>
        <v>21912.569999999996</v>
      </c>
      <c r="M134" s="206">
        <f t="shared" si="12"/>
        <v>21912.569999999996</v>
      </c>
      <c r="N134" s="206">
        <f t="shared" si="12"/>
        <v>21912.570000000007</v>
      </c>
      <c r="O134" s="206">
        <f t="shared" si="12"/>
        <v>21912.569999999996</v>
      </c>
    </row>
    <row r="135" spans="1:15">
      <c r="D135" s="140">
        <f>D133-'B&amp;L'!E5</f>
        <v>0</v>
      </c>
      <c r="E135" s="140">
        <f>E133-'B&amp;L'!J5</f>
        <v>0</v>
      </c>
      <c r="F135" s="140">
        <f>F133-'B&amp;L'!O5</f>
        <v>0</v>
      </c>
      <c r="G135" s="140">
        <f>G133-'B&amp;L'!T5</f>
        <v>0</v>
      </c>
      <c r="H135" s="140">
        <f>H133-'B&amp;L'!Y5</f>
        <v>0</v>
      </c>
      <c r="I135" s="140">
        <f>I133-'B&amp;L'!AD5</f>
        <v>0</v>
      </c>
      <c r="J135" s="140">
        <f>J133-'B&amp;L'!AI5</f>
        <v>0</v>
      </c>
      <c r="K135" s="140">
        <f>K133-'B&amp;L'!AN5</f>
        <v>0</v>
      </c>
      <c r="L135" s="140">
        <f>L133-'B&amp;L'!AS5</f>
        <v>0</v>
      </c>
      <c r="M135" s="140">
        <f>M133-'B&amp;L'!AX5</f>
        <v>0</v>
      </c>
      <c r="N135" s="140">
        <f>N133-'B&amp;L'!BC5</f>
        <v>0</v>
      </c>
      <c r="O135" s="140">
        <f>O133-'B&amp;L'!BH5</f>
        <v>0</v>
      </c>
    </row>
    <row r="136" spans="1:15">
      <c r="D136" s="140">
        <f>D134-'B&amp;L'!F5</f>
        <v>0</v>
      </c>
      <c r="E136" s="140">
        <f>E134-'B&amp;L'!K5</f>
        <v>0</v>
      </c>
      <c r="F136" s="140">
        <f>F134-'B&amp;L'!P5</f>
        <v>0</v>
      </c>
      <c r="G136" s="140">
        <f>G134-'B&amp;L'!U5</f>
        <v>0</v>
      </c>
      <c r="H136" s="140">
        <f>H134-'B&amp;L'!Z5</f>
        <v>0</v>
      </c>
      <c r="I136" s="140">
        <f>I134-'B&amp;L'!AE5</f>
        <v>0</v>
      </c>
      <c r="J136" s="140">
        <f>J134-'B&amp;L'!AJ5</f>
        <v>0</v>
      </c>
      <c r="K136" s="140">
        <f>K134-'B&amp;L'!AO5</f>
        <v>0</v>
      </c>
      <c r="L136" s="140">
        <f>L134-'B&amp;L'!AT5</f>
        <v>0</v>
      </c>
      <c r="M136" s="140">
        <f>M134-'B&amp;L'!AY5</f>
        <v>0</v>
      </c>
      <c r="N136" s="140">
        <f>N134-'B&amp;L'!BD5</f>
        <v>0</v>
      </c>
      <c r="O136" s="140">
        <f>O134-'B&amp;L'!BI5</f>
        <v>0</v>
      </c>
    </row>
  </sheetData>
  <autoFilter ref="B2:B136" xr:uid="{BC1ADDFD-BD17-49AA-855F-2F2FE3E31EE1}"/>
  <mergeCells count="66">
    <mergeCell ref="A27:A28"/>
    <mergeCell ref="A29:A30"/>
    <mergeCell ref="A31:A32"/>
    <mergeCell ref="A25:A26"/>
    <mergeCell ref="A3:B3"/>
    <mergeCell ref="A4:B5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33:A34"/>
    <mergeCell ref="A35:A36"/>
    <mergeCell ref="A37:A38"/>
    <mergeCell ref="A39:A40"/>
    <mergeCell ref="A45:A46"/>
    <mergeCell ref="A47:A48"/>
    <mergeCell ref="A49:A50"/>
    <mergeCell ref="A41:A42"/>
    <mergeCell ref="A43:A44"/>
    <mergeCell ref="A51:A52"/>
    <mergeCell ref="A81:A82"/>
    <mergeCell ref="A57:A58"/>
    <mergeCell ref="A59:A60"/>
    <mergeCell ref="A61:A62"/>
    <mergeCell ref="A63:A64"/>
    <mergeCell ref="A65:A66"/>
    <mergeCell ref="A71:A72"/>
    <mergeCell ref="A73:A74"/>
    <mergeCell ref="A75:A76"/>
    <mergeCell ref="A77:A78"/>
    <mergeCell ref="A79:A80"/>
    <mergeCell ref="A69:A70"/>
    <mergeCell ref="A55:A56"/>
    <mergeCell ref="A53:A54"/>
    <mergeCell ref="A67:A68"/>
    <mergeCell ref="A109:A110"/>
    <mergeCell ref="A83:A84"/>
    <mergeCell ref="A85:A86"/>
    <mergeCell ref="A87:A88"/>
    <mergeCell ref="A89:A90"/>
    <mergeCell ref="A93:A94"/>
    <mergeCell ref="A97:A98"/>
    <mergeCell ref="A99:A100"/>
    <mergeCell ref="A101:A102"/>
    <mergeCell ref="A103:A104"/>
    <mergeCell ref="A105:A106"/>
    <mergeCell ref="A107:A108"/>
    <mergeCell ref="A91:A92"/>
    <mergeCell ref="A95:A96"/>
    <mergeCell ref="A133:B134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</mergeCells>
  <pageMargins left="0.15748031496062992" right="0.15748031496062992" top="0.19685039370078741" bottom="0.19685039370078741" header="0.51181102362204722" footer="0.51181102362204722"/>
  <pageSetup paperSize="9" scale="5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D45D-2F5C-48FA-A7D7-CAB92A5ECE5B}">
  <sheetPr codeName="Sheet2">
    <pageSetUpPr fitToPage="1"/>
  </sheetPr>
  <dimension ref="A2:O136"/>
  <sheetViews>
    <sheetView zoomScaleNormal="100" workbookViewId="0">
      <pane xSplit="2" ySplit="3" topLeftCell="C4" activePane="bottomRight" state="frozen"/>
      <selection pane="topRight" activeCell="C1" sqref="C1"/>
      <selection pane="bottomLeft" activeCell="A7" sqref="A7"/>
      <selection pane="bottomRight" activeCell="F21" sqref="F21"/>
    </sheetView>
  </sheetViews>
  <sheetFormatPr defaultColWidth="9" defaultRowHeight="14"/>
  <cols>
    <col min="1" max="1" width="4.08984375" style="71" customWidth="1"/>
    <col min="2" max="2" width="23" style="71" bestFit="1" customWidth="1"/>
    <col min="3" max="3" width="19.453125" style="71" bestFit="1" customWidth="1"/>
    <col min="4" max="15" width="19.08984375" style="71" customWidth="1"/>
    <col min="16" max="256" width="9" style="71"/>
    <col min="257" max="257" width="4.08984375" style="71" customWidth="1"/>
    <col min="258" max="258" width="23" style="71" bestFit="1" customWidth="1"/>
    <col min="259" max="259" width="19.453125" style="71" bestFit="1" customWidth="1"/>
    <col min="260" max="264" width="19.08984375" style="71" customWidth="1"/>
    <col min="265" max="265" width="14.453125" style="71" customWidth="1"/>
    <col min="266" max="512" width="9" style="71"/>
    <col min="513" max="513" width="4.08984375" style="71" customWidth="1"/>
    <col min="514" max="514" width="23" style="71" bestFit="1" customWidth="1"/>
    <col min="515" max="515" width="19.453125" style="71" bestFit="1" customWidth="1"/>
    <col min="516" max="520" width="19.08984375" style="71" customWidth="1"/>
    <col min="521" max="521" width="14.453125" style="71" customWidth="1"/>
    <col min="522" max="768" width="9" style="71"/>
    <col min="769" max="769" width="4.08984375" style="71" customWidth="1"/>
    <col min="770" max="770" width="23" style="71" bestFit="1" customWidth="1"/>
    <col min="771" max="771" width="19.453125" style="71" bestFit="1" customWidth="1"/>
    <col min="772" max="776" width="19.08984375" style="71" customWidth="1"/>
    <col min="777" max="777" width="14.453125" style="71" customWidth="1"/>
    <col min="778" max="1024" width="9" style="71"/>
    <col min="1025" max="1025" width="4.08984375" style="71" customWidth="1"/>
    <col min="1026" max="1026" width="23" style="71" bestFit="1" customWidth="1"/>
    <col min="1027" max="1027" width="19.453125" style="71" bestFit="1" customWidth="1"/>
    <col min="1028" max="1032" width="19.08984375" style="71" customWidth="1"/>
    <col min="1033" max="1033" width="14.453125" style="71" customWidth="1"/>
    <col min="1034" max="1280" width="9" style="71"/>
    <col min="1281" max="1281" width="4.08984375" style="71" customWidth="1"/>
    <col min="1282" max="1282" width="23" style="71" bestFit="1" customWidth="1"/>
    <col min="1283" max="1283" width="19.453125" style="71" bestFit="1" customWidth="1"/>
    <col min="1284" max="1288" width="19.08984375" style="71" customWidth="1"/>
    <col min="1289" max="1289" width="14.453125" style="71" customWidth="1"/>
    <col min="1290" max="1536" width="9" style="71"/>
    <col min="1537" max="1537" width="4.08984375" style="71" customWidth="1"/>
    <col min="1538" max="1538" width="23" style="71" bestFit="1" customWidth="1"/>
    <col min="1539" max="1539" width="19.453125" style="71" bestFit="1" customWidth="1"/>
    <col min="1540" max="1544" width="19.08984375" style="71" customWidth="1"/>
    <col min="1545" max="1545" width="14.453125" style="71" customWidth="1"/>
    <col min="1546" max="1792" width="9" style="71"/>
    <col min="1793" max="1793" width="4.08984375" style="71" customWidth="1"/>
    <col min="1794" max="1794" width="23" style="71" bestFit="1" customWidth="1"/>
    <col min="1795" max="1795" width="19.453125" style="71" bestFit="1" customWidth="1"/>
    <col min="1796" max="1800" width="19.08984375" style="71" customWidth="1"/>
    <col min="1801" max="1801" width="14.453125" style="71" customWidth="1"/>
    <col min="1802" max="2048" width="9" style="71"/>
    <col min="2049" max="2049" width="4.08984375" style="71" customWidth="1"/>
    <col min="2050" max="2050" width="23" style="71" bestFit="1" customWidth="1"/>
    <col min="2051" max="2051" width="19.453125" style="71" bestFit="1" customWidth="1"/>
    <col min="2052" max="2056" width="19.08984375" style="71" customWidth="1"/>
    <col min="2057" max="2057" width="14.453125" style="71" customWidth="1"/>
    <col min="2058" max="2304" width="9" style="71"/>
    <col min="2305" max="2305" width="4.08984375" style="71" customWidth="1"/>
    <col min="2306" max="2306" width="23" style="71" bestFit="1" customWidth="1"/>
    <col min="2307" max="2307" width="19.453125" style="71" bestFit="1" customWidth="1"/>
    <col min="2308" max="2312" width="19.08984375" style="71" customWidth="1"/>
    <col min="2313" max="2313" width="14.453125" style="71" customWidth="1"/>
    <col min="2314" max="2560" width="9" style="71"/>
    <col min="2561" max="2561" width="4.08984375" style="71" customWidth="1"/>
    <col min="2562" max="2562" width="23" style="71" bestFit="1" customWidth="1"/>
    <col min="2563" max="2563" width="19.453125" style="71" bestFit="1" customWidth="1"/>
    <col min="2564" max="2568" width="19.08984375" style="71" customWidth="1"/>
    <col min="2569" max="2569" width="14.453125" style="71" customWidth="1"/>
    <col min="2570" max="2816" width="9" style="71"/>
    <col min="2817" max="2817" width="4.08984375" style="71" customWidth="1"/>
    <col min="2818" max="2818" width="23" style="71" bestFit="1" customWidth="1"/>
    <col min="2819" max="2819" width="19.453125" style="71" bestFit="1" customWidth="1"/>
    <col min="2820" max="2824" width="19.08984375" style="71" customWidth="1"/>
    <col min="2825" max="2825" width="14.453125" style="71" customWidth="1"/>
    <col min="2826" max="3072" width="9" style="71"/>
    <col min="3073" max="3073" width="4.08984375" style="71" customWidth="1"/>
    <col min="3074" max="3074" width="23" style="71" bestFit="1" customWidth="1"/>
    <col min="3075" max="3075" width="19.453125" style="71" bestFit="1" customWidth="1"/>
    <col min="3076" max="3080" width="19.08984375" style="71" customWidth="1"/>
    <col min="3081" max="3081" width="14.453125" style="71" customWidth="1"/>
    <col min="3082" max="3328" width="9" style="71"/>
    <col min="3329" max="3329" width="4.08984375" style="71" customWidth="1"/>
    <col min="3330" max="3330" width="23" style="71" bestFit="1" customWidth="1"/>
    <col min="3331" max="3331" width="19.453125" style="71" bestFit="1" customWidth="1"/>
    <col min="3332" max="3336" width="19.08984375" style="71" customWidth="1"/>
    <col min="3337" max="3337" width="14.453125" style="71" customWidth="1"/>
    <col min="3338" max="3584" width="9" style="71"/>
    <col min="3585" max="3585" width="4.08984375" style="71" customWidth="1"/>
    <col min="3586" max="3586" width="23" style="71" bestFit="1" customWidth="1"/>
    <col min="3587" max="3587" width="19.453125" style="71" bestFit="1" customWidth="1"/>
    <col min="3588" max="3592" width="19.08984375" style="71" customWidth="1"/>
    <col min="3593" max="3593" width="14.453125" style="71" customWidth="1"/>
    <col min="3594" max="3840" width="9" style="71"/>
    <col min="3841" max="3841" width="4.08984375" style="71" customWidth="1"/>
    <col min="3842" max="3842" width="23" style="71" bestFit="1" customWidth="1"/>
    <col min="3843" max="3843" width="19.453125" style="71" bestFit="1" customWidth="1"/>
    <col min="3844" max="3848" width="19.08984375" style="71" customWidth="1"/>
    <col min="3849" max="3849" width="14.453125" style="71" customWidth="1"/>
    <col min="3850" max="4096" width="9" style="71"/>
    <col min="4097" max="4097" width="4.08984375" style="71" customWidth="1"/>
    <col min="4098" max="4098" width="23" style="71" bestFit="1" customWidth="1"/>
    <col min="4099" max="4099" width="19.453125" style="71" bestFit="1" customWidth="1"/>
    <col min="4100" max="4104" width="19.08984375" style="71" customWidth="1"/>
    <col min="4105" max="4105" width="14.453125" style="71" customWidth="1"/>
    <col min="4106" max="4352" width="9" style="71"/>
    <col min="4353" max="4353" width="4.08984375" style="71" customWidth="1"/>
    <col min="4354" max="4354" width="23" style="71" bestFit="1" customWidth="1"/>
    <col min="4355" max="4355" width="19.453125" style="71" bestFit="1" customWidth="1"/>
    <col min="4356" max="4360" width="19.08984375" style="71" customWidth="1"/>
    <col min="4361" max="4361" width="14.453125" style="71" customWidth="1"/>
    <col min="4362" max="4608" width="9" style="71"/>
    <col min="4609" max="4609" width="4.08984375" style="71" customWidth="1"/>
    <col min="4610" max="4610" width="23" style="71" bestFit="1" customWidth="1"/>
    <col min="4611" max="4611" width="19.453125" style="71" bestFit="1" customWidth="1"/>
    <col min="4612" max="4616" width="19.08984375" style="71" customWidth="1"/>
    <col min="4617" max="4617" width="14.453125" style="71" customWidth="1"/>
    <col min="4618" max="4864" width="9" style="71"/>
    <col min="4865" max="4865" width="4.08984375" style="71" customWidth="1"/>
    <col min="4866" max="4866" width="23" style="71" bestFit="1" customWidth="1"/>
    <col min="4867" max="4867" width="19.453125" style="71" bestFit="1" customWidth="1"/>
    <col min="4868" max="4872" width="19.08984375" style="71" customWidth="1"/>
    <col min="4873" max="4873" width="14.453125" style="71" customWidth="1"/>
    <col min="4874" max="5120" width="9" style="71"/>
    <col min="5121" max="5121" width="4.08984375" style="71" customWidth="1"/>
    <col min="5122" max="5122" width="23" style="71" bestFit="1" customWidth="1"/>
    <col min="5123" max="5123" width="19.453125" style="71" bestFit="1" customWidth="1"/>
    <col min="5124" max="5128" width="19.08984375" style="71" customWidth="1"/>
    <col min="5129" max="5129" width="14.453125" style="71" customWidth="1"/>
    <col min="5130" max="5376" width="9" style="71"/>
    <col min="5377" max="5377" width="4.08984375" style="71" customWidth="1"/>
    <col min="5378" max="5378" width="23" style="71" bestFit="1" customWidth="1"/>
    <col min="5379" max="5379" width="19.453125" style="71" bestFit="1" customWidth="1"/>
    <col min="5380" max="5384" width="19.08984375" style="71" customWidth="1"/>
    <col min="5385" max="5385" width="14.453125" style="71" customWidth="1"/>
    <col min="5386" max="5632" width="9" style="71"/>
    <col min="5633" max="5633" width="4.08984375" style="71" customWidth="1"/>
    <col min="5634" max="5634" width="23" style="71" bestFit="1" customWidth="1"/>
    <col min="5635" max="5635" width="19.453125" style="71" bestFit="1" customWidth="1"/>
    <col min="5636" max="5640" width="19.08984375" style="71" customWidth="1"/>
    <col min="5641" max="5641" width="14.453125" style="71" customWidth="1"/>
    <col min="5642" max="5888" width="9" style="71"/>
    <col min="5889" max="5889" width="4.08984375" style="71" customWidth="1"/>
    <col min="5890" max="5890" width="23" style="71" bestFit="1" customWidth="1"/>
    <col min="5891" max="5891" width="19.453125" style="71" bestFit="1" customWidth="1"/>
    <col min="5892" max="5896" width="19.08984375" style="71" customWidth="1"/>
    <col min="5897" max="5897" width="14.453125" style="71" customWidth="1"/>
    <col min="5898" max="6144" width="9" style="71"/>
    <col min="6145" max="6145" width="4.08984375" style="71" customWidth="1"/>
    <col min="6146" max="6146" width="23" style="71" bestFit="1" customWidth="1"/>
    <col min="6147" max="6147" width="19.453125" style="71" bestFit="1" customWidth="1"/>
    <col min="6148" max="6152" width="19.08984375" style="71" customWidth="1"/>
    <col min="6153" max="6153" width="14.453125" style="71" customWidth="1"/>
    <col min="6154" max="6400" width="9" style="71"/>
    <col min="6401" max="6401" width="4.08984375" style="71" customWidth="1"/>
    <col min="6402" max="6402" width="23" style="71" bestFit="1" customWidth="1"/>
    <col min="6403" max="6403" width="19.453125" style="71" bestFit="1" customWidth="1"/>
    <col min="6404" max="6408" width="19.08984375" style="71" customWidth="1"/>
    <col min="6409" max="6409" width="14.453125" style="71" customWidth="1"/>
    <col min="6410" max="6656" width="9" style="71"/>
    <col min="6657" max="6657" width="4.08984375" style="71" customWidth="1"/>
    <col min="6658" max="6658" width="23" style="71" bestFit="1" customWidth="1"/>
    <col min="6659" max="6659" width="19.453125" style="71" bestFit="1" customWidth="1"/>
    <col min="6660" max="6664" width="19.08984375" style="71" customWidth="1"/>
    <col min="6665" max="6665" width="14.453125" style="71" customWidth="1"/>
    <col min="6666" max="6912" width="9" style="71"/>
    <col min="6913" max="6913" width="4.08984375" style="71" customWidth="1"/>
    <col min="6914" max="6914" width="23" style="71" bestFit="1" customWidth="1"/>
    <col min="6915" max="6915" width="19.453125" style="71" bestFit="1" customWidth="1"/>
    <col min="6916" max="6920" width="19.08984375" style="71" customWidth="1"/>
    <col min="6921" max="6921" width="14.453125" style="71" customWidth="1"/>
    <col min="6922" max="7168" width="9" style="71"/>
    <col min="7169" max="7169" width="4.08984375" style="71" customWidth="1"/>
    <col min="7170" max="7170" width="23" style="71" bestFit="1" customWidth="1"/>
    <col min="7171" max="7171" width="19.453125" style="71" bestFit="1" customWidth="1"/>
    <col min="7172" max="7176" width="19.08984375" style="71" customWidth="1"/>
    <col min="7177" max="7177" width="14.453125" style="71" customWidth="1"/>
    <col min="7178" max="7424" width="9" style="71"/>
    <col min="7425" max="7425" width="4.08984375" style="71" customWidth="1"/>
    <col min="7426" max="7426" width="23" style="71" bestFit="1" customWidth="1"/>
    <col min="7427" max="7427" width="19.453125" style="71" bestFit="1" customWidth="1"/>
    <col min="7428" max="7432" width="19.08984375" style="71" customWidth="1"/>
    <col min="7433" max="7433" width="14.453125" style="71" customWidth="1"/>
    <col min="7434" max="7680" width="9" style="71"/>
    <col min="7681" max="7681" width="4.08984375" style="71" customWidth="1"/>
    <col min="7682" max="7682" width="23" style="71" bestFit="1" customWidth="1"/>
    <col min="7683" max="7683" width="19.453125" style="71" bestFit="1" customWidth="1"/>
    <col min="7684" max="7688" width="19.08984375" style="71" customWidth="1"/>
    <col min="7689" max="7689" width="14.453125" style="71" customWidth="1"/>
    <col min="7690" max="7936" width="9" style="71"/>
    <col min="7937" max="7937" width="4.08984375" style="71" customWidth="1"/>
    <col min="7938" max="7938" width="23" style="71" bestFit="1" customWidth="1"/>
    <col min="7939" max="7939" width="19.453125" style="71" bestFit="1" customWidth="1"/>
    <col min="7940" max="7944" width="19.08984375" style="71" customWidth="1"/>
    <col min="7945" max="7945" width="14.453125" style="71" customWidth="1"/>
    <col min="7946" max="8192" width="9" style="71"/>
    <col min="8193" max="8193" width="4.08984375" style="71" customWidth="1"/>
    <col min="8194" max="8194" width="23" style="71" bestFit="1" customWidth="1"/>
    <col min="8195" max="8195" width="19.453125" style="71" bestFit="1" customWidth="1"/>
    <col min="8196" max="8200" width="19.08984375" style="71" customWidth="1"/>
    <col min="8201" max="8201" width="14.453125" style="71" customWidth="1"/>
    <col min="8202" max="8448" width="9" style="71"/>
    <col min="8449" max="8449" width="4.08984375" style="71" customWidth="1"/>
    <col min="8450" max="8450" width="23" style="71" bestFit="1" customWidth="1"/>
    <col min="8451" max="8451" width="19.453125" style="71" bestFit="1" customWidth="1"/>
    <col min="8452" max="8456" width="19.08984375" style="71" customWidth="1"/>
    <col min="8457" max="8457" width="14.453125" style="71" customWidth="1"/>
    <col min="8458" max="8704" width="9" style="71"/>
    <col min="8705" max="8705" width="4.08984375" style="71" customWidth="1"/>
    <col min="8706" max="8706" width="23" style="71" bestFit="1" customWidth="1"/>
    <col min="8707" max="8707" width="19.453125" style="71" bestFit="1" customWidth="1"/>
    <col min="8708" max="8712" width="19.08984375" style="71" customWidth="1"/>
    <col min="8713" max="8713" width="14.453125" style="71" customWidth="1"/>
    <col min="8714" max="8960" width="9" style="71"/>
    <col min="8961" max="8961" width="4.08984375" style="71" customWidth="1"/>
    <col min="8962" max="8962" width="23" style="71" bestFit="1" customWidth="1"/>
    <col min="8963" max="8963" width="19.453125" style="71" bestFit="1" customWidth="1"/>
    <col min="8964" max="8968" width="19.08984375" style="71" customWidth="1"/>
    <col min="8969" max="8969" width="14.453125" style="71" customWidth="1"/>
    <col min="8970" max="9216" width="9" style="71"/>
    <col min="9217" max="9217" width="4.08984375" style="71" customWidth="1"/>
    <col min="9218" max="9218" width="23" style="71" bestFit="1" customWidth="1"/>
    <col min="9219" max="9219" width="19.453125" style="71" bestFit="1" customWidth="1"/>
    <col min="9220" max="9224" width="19.08984375" style="71" customWidth="1"/>
    <col min="9225" max="9225" width="14.453125" style="71" customWidth="1"/>
    <col min="9226" max="9472" width="9" style="71"/>
    <col min="9473" max="9473" width="4.08984375" style="71" customWidth="1"/>
    <col min="9474" max="9474" width="23" style="71" bestFit="1" customWidth="1"/>
    <col min="9475" max="9475" width="19.453125" style="71" bestFit="1" customWidth="1"/>
    <col min="9476" max="9480" width="19.08984375" style="71" customWidth="1"/>
    <col min="9481" max="9481" width="14.453125" style="71" customWidth="1"/>
    <col min="9482" max="9728" width="9" style="71"/>
    <col min="9729" max="9729" width="4.08984375" style="71" customWidth="1"/>
    <col min="9730" max="9730" width="23" style="71" bestFit="1" customWidth="1"/>
    <col min="9731" max="9731" width="19.453125" style="71" bestFit="1" customWidth="1"/>
    <col min="9732" max="9736" width="19.08984375" style="71" customWidth="1"/>
    <col min="9737" max="9737" width="14.453125" style="71" customWidth="1"/>
    <col min="9738" max="9984" width="9" style="71"/>
    <col min="9985" max="9985" width="4.08984375" style="71" customWidth="1"/>
    <col min="9986" max="9986" width="23" style="71" bestFit="1" customWidth="1"/>
    <col min="9987" max="9987" width="19.453125" style="71" bestFit="1" customWidth="1"/>
    <col min="9988" max="9992" width="19.08984375" style="71" customWidth="1"/>
    <col min="9993" max="9993" width="14.453125" style="71" customWidth="1"/>
    <col min="9994" max="10240" width="9" style="71"/>
    <col min="10241" max="10241" width="4.08984375" style="71" customWidth="1"/>
    <col min="10242" max="10242" width="23" style="71" bestFit="1" customWidth="1"/>
    <col min="10243" max="10243" width="19.453125" style="71" bestFit="1" customWidth="1"/>
    <col min="10244" max="10248" width="19.08984375" style="71" customWidth="1"/>
    <col min="10249" max="10249" width="14.453125" style="71" customWidth="1"/>
    <col min="10250" max="10496" width="9" style="71"/>
    <col min="10497" max="10497" width="4.08984375" style="71" customWidth="1"/>
    <col min="10498" max="10498" width="23" style="71" bestFit="1" customWidth="1"/>
    <col min="10499" max="10499" width="19.453125" style="71" bestFit="1" customWidth="1"/>
    <col min="10500" max="10504" width="19.08984375" style="71" customWidth="1"/>
    <col min="10505" max="10505" width="14.453125" style="71" customWidth="1"/>
    <col min="10506" max="10752" width="9" style="71"/>
    <col min="10753" max="10753" width="4.08984375" style="71" customWidth="1"/>
    <col min="10754" max="10754" width="23" style="71" bestFit="1" customWidth="1"/>
    <col min="10755" max="10755" width="19.453125" style="71" bestFit="1" customWidth="1"/>
    <col min="10756" max="10760" width="19.08984375" style="71" customWidth="1"/>
    <col min="10761" max="10761" width="14.453125" style="71" customWidth="1"/>
    <col min="10762" max="11008" width="9" style="71"/>
    <col min="11009" max="11009" width="4.08984375" style="71" customWidth="1"/>
    <col min="11010" max="11010" width="23" style="71" bestFit="1" customWidth="1"/>
    <col min="11011" max="11011" width="19.453125" style="71" bestFit="1" customWidth="1"/>
    <col min="11012" max="11016" width="19.08984375" style="71" customWidth="1"/>
    <col min="11017" max="11017" width="14.453125" style="71" customWidth="1"/>
    <col min="11018" max="11264" width="9" style="71"/>
    <col min="11265" max="11265" width="4.08984375" style="71" customWidth="1"/>
    <col min="11266" max="11266" width="23" style="71" bestFit="1" customWidth="1"/>
    <col min="11267" max="11267" width="19.453125" style="71" bestFit="1" customWidth="1"/>
    <col min="11268" max="11272" width="19.08984375" style="71" customWidth="1"/>
    <col min="11273" max="11273" width="14.453125" style="71" customWidth="1"/>
    <col min="11274" max="11520" width="9" style="71"/>
    <col min="11521" max="11521" width="4.08984375" style="71" customWidth="1"/>
    <col min="11522" max="11522" width="23" style="71" bestFit="1" customWidth="1"/>
    <col min="11523" max="11523" width="19.453125" style="71" bestFit="1" customWidth="1"/>
    <col min="11524" max="11528" width="19.08984375" style="71" customWidth="1"/>
    <col min="11529" max="11529" width="14.453125" style="71" customWidth="1"/>
    <col min="11530" max="11776" width="9" style="71"/>
    <col min="11777" max="11777" width="4.08984375" style="71" customWidth="1"/>
    <col min="11778" max="11778" width="23" style="71" bestFit="1" customWidth="1"/>
    <col min="11779" max="11779" width="19.453125" style="71" bestFit="1" customWidth="1"/>
    <col min="11780" max="11784" width="19.08984375" style="71" customWidth="1"/>
    <col min="11785" max="11785" width="14.453125" style="71" customWidth="1"/>
    <col min="11786" max="12032" width="9" style="71"/>
    <col min="12033" max="12033" width="4.08984375" style="71" customWidth="1"/>
    <col min="12034" max="12034" width="23" style="71" bestFit="1" customWidth="1"/>
    <col min="12035" max="12035" width="19.453125" style="71" bestFit="1" customWidth="1"/>
    <col min="12036" max="12040" width="19.08984375" style="71" customWidth="1"/>
    <col min="12041" max="12041" width="14.453125" style="71" customWidth="1"/>
    <col min="12042" max="12288" width="9" style="71"/>
    <col min="12289" max="12289" width="4.08984375" style="71" customWidth="1"/>
    <col min="12290" max="12290" width="23" style="71" bestFit="1" customWidth="1"/>
    <col min="12291" max="12291" width="19.453125" style="71" bestFit="1" customWidth="1"/>
    <col min="12292" max="12296" width="19.08984375" style="71" customWidth="1"/>
    <col min="12297" max="12297" width="14.453125" style="71" customWidth="1"/>
    <col min="12298" max="12544" width="9" style="71"/>
    <col min="12545" max="12545" width="4.08984375" style="71" customWidth="1"/>
    <col min="12546" max="12546" width="23" style="71" bestFit="1" customWidth="1"/>
    <col min="12547" max="12547" width="19.453125" style="71" bestFit="1" customWidth="1"/>
    <col min="12548" max="12552" width="19.08984375" style="71" customWidth="1"/>
    <col min="12553" max="12553" width="14.453125" style="71" customWidth="1"/>
    <col min="12554" max="12800" width="9" style="71"/>
    <col min="12801" max="12801" width="4.08984375" style="71" customWidth="1"/>
    <col min="12802" max="12802" width="23" style="71" bestFit="1" customWidth="1"/>
    <col min="12803" max="12803" width="19.453125" style="71" bestFit="1" customWidth="1"/>
    <col min="12804" max="12808" width="19.08984375" style="71" customWidth="1"/>
    <col min="12809" max="12809" width="14.453125" style="71" customWidth="1"/>
    <col min="12810" max="13056" width="9" style="71"/>
    <col min="13057" max="13057" width="4.08984375" style="71" customWidth="1"/>
    <col min="13058" max="13058" width="23" style="71" bestFit="1" customWidth="1"/>
    <col min="13059" max="13059" width="19.453125" style="71" bestFit="1" customWidth="1"/>
    <col min="13060" max="13064" width="19.08984375" style="71" customWidth="1"/>
    <col min="13065" max="13065" width="14.453125" style="71" customWidth="1"/>
    <col min="13066" max="13312" width="9" style="71"/>
    <col min="13313" max="13313" width="4.08984375" style="71" customWidth="1"/>
    <col min="13314" max="13314" width="23" style="71" bestFit="1" customWidth="1"/>
    <col min="13315" max="13315" width="19.453125" style="71" bestFit="1" customWidth="1"/>
    <col min="13316" max="13320" width="19.08984375" style="71" customWidth="1"/>
    <col min="13321" max="13321" width="14.453125" style="71" customWidth="1"/>
    <col min="13322" max="13568" width="9" style="71"/>
    <col min="13569" max="13569" width="4.08984375" style="71" customWidth="1"/>
    <col min="13570" max="13570" width="23" style="71" bestFit="1" customWidth="1"/>
    <col min="13571" max="13571" width="19.453125" style="71" bestFit="1" customWidth="1"/>
    <col min="13572" max="13576" width="19.08984375" style="71" customWidth="1"/>
    <col min="13577" max="13577" width="14.453125" style="71" customWidth="1"/>
    <col min="13578" max="13824" width="9" style="71"/>
    <col min="13825" max="13825" width="4.08984375" style="71" customWidth="1"/>
    <col min="13826" max="13826" width="23" style="71" bestFit="1" customWidth="1"/>
    <col min="13827" max="13827" width="19.453125" style="71" bestFit="1" customWidth="1"/>
    <col min="13828" max="13832" width="19.08984375" style="71" customWidth="1"/>
    <col min="13833" max="13833" width="14.453125" style="71" customWidth="1"/>
    <col min="13834" max="14080" width="9" style="71"/>
    <col min="14081" max="14081" width="4.08984375" style="71" customWidth="1"/>
    <col min="14082" max="14082" width="23" style="71" bestFit="1" customWidth="1"/>
    <col min="14083" max="14083" width="19.453125" style="71" bestFit="1" customWidth="1"/>
    <col min="14084" max="14088" width="19.08984375" style="71" customWidth="1"/>
    <col min="14089" max="14089" width="14.453125" style="71" customWidth="1"/>
    <col min="14090" max="14336" width="9" style="71"/>
    <col min="14337" max="14337" width="4.08984375" style="71" customWidth="1"/>
    <col min="14338" max="14338" width="23" style="71" bestFit="1" customWidth="1"/>
    <col min="14339" max="14339" width="19.453125" style="71" bestFit="1" customWidth="1"/>
    <col min="14340" max="14344" width="19.08984375" style="71" customWidth="1"/>
    <col min="14345" max="14345" width="14.453125" style="71" customWidth="1"/>
    <col min="14346" max="14592" width="9" style="71"/>
    <col min="14593" max="14593" width="4.08984375" style="71" customWidth="1"/>
    <col min="14594" max="14594" width="23" style="71" bestFit="1" customWidth="1"/>
    <col min="14595" max="14595" width="19.453125" style="71" bestFit="1" customWidth="1"/>
    <col min="14596" max="14600" width="19.08984375" style="71" customWidth="1"/>
    <col min="14601" max="14601" width="14.453125" style="71" customWidth="1"/>
    <col min="14602" max="14848" width="9" style="71"/>
    <col min="14849" max="14849" width="4.08984375" style="71" customWidth="1"/>
    <col min="14850" max="14850" width="23" style="71" bestFit="1" customWidth="1"/>
    <col min="14851" max="14851" width="19.453125" style="71" bestFit="1" customWidth="1"/>
    <col min="14852" max="14856" width="19.08984375" style="71" customWidth="1"/>
    <col min="14857" max="14857" width="14.453125" style="71" customWidth="1"/>
    <col min="14858" max="15104" width="9" style="71"/>
    <col min="15105" max="15105" width="4.08984375" style="71" customWidth="1"/>
    <col min="15106" max="15106" width="23" style="71" bestFit="1" customWidth="1"/>
    <col min="15107" max="15107" width="19.453125" style="71" bestFit="1" customWidth="1"/>
    <col min="15108" max="15112" width="19.08984375" style="71" customWidth="1"/>
    <col min="15113" max="15113" width="14.453125" style="71" customWidth="1"/>
    <col min="15114" max="15360" width="9" style="71"/>
    <col min="15361" max="15361" width="4.08984375" style="71" customWidth="1"/>
    <col min="15362" max="15362" width="23" style="71" bestFit="1" customWidth="1"/>
    <col min="15363" max="15363" width="19.453125" style="71" bestFit="1" customWidth="1"/>
    <col min="15364" max="15368" width="19.08984375" style="71" customWidth="1"/>
    <col min="15369" max="15369" width="14.453125" style="71" customWidth="1"/>
    <col min="15370" max="15616" width="9" style="71"/>
    <col min="15617" max="15617" width="4.08984375" style="71" customWidth="1"/>
    <col min="15618" max="15618" width="23" style="71" bestFit="1" customWidth="1"/>
    <col min="15619" max="15619" width="19.453125" style="71" bestFit="1" customWidth="1"/>
    <col min="15620" max="15624" width="19.08984375" style="71" customWidth="1"/>
    <col min="15625" max="15625" width="14.453125" style="71" customWidth="1"/>
    <col min="15626" max="15872" width="9" style="71"/>
    <col min="15873" max="15873" width="4.08984375" style="71" customWidth="1"/>
    <col min="15874" max="15874" width="23" style="71" bestFit="1" customWidth="1"/>
    <col min="15875" max="15875" width="19.453125" style="71" bestFit="1" customWidth="1"/>
    <col min="15876" max="15880" width="19.08984375" style="71" customWidth="1"/>
    <col min="15881" max="15881" width="14.453125" style="71" customWidth="1"/>
    <col min="15882" max="16128" width="9" style="71"/>
    <col min="16129" max="16129" width="4.08984375" style="71" customWidth="1"/>
    <col min="16130" max="16130" width="23" style="71" bestFit="1" customWidth="1"/>
    <col min="16131" max="16131" width="19.453125" style="71" bestFit="1" customWidth="1"/>
    <col min="16132" max="16136" width="19.08984375" style="71" customWidth="1"/>
    <col min="16137" max="16137" width="14.453125" style="71" customWidth="1"/>
    <col min="16138" max="16384" width="9" style="71"/>
  </cols>
  <sheetData>
    <row r="2" spans="1:15" s="72" customFormat="1">
      <c r="C2" s="114" t="s">
        <v>167</v>
      </c>
      <c r="D2" s="115"/>
      <c r="E2" s="73" t="s">
        <v>1</v>
      </c>
      <c r="F2" s="115"/>
      <c r="G2" s="115"/>
      <c r="H2" s="115"/>
      <c r="I2" s="73" t="s">
        <v>1</v>
      </c>
      <c r="J2" s="115"/>
      <c r="K2" s="115"/>
      <c r="L2" s="115"/>
      <c r="M2" s="115"/>
      <c r="N2" s="115"/>
      <c r="O2" s="115"/>
    </row>
    <row r="3" spans="1:15" ht="28.9" customHeight="1">
      <c r="A3" s="304" t="s">
        <v>153</v>
      </c>
      <c r="B3" s="305"/>
      <c r="C3" s="110" t="s">
        <v>168</v>
      </c>
      <c r="D3" s="217">
        <v>46113</v>
      </c>
      <c r="E3" s="218">
        <f>IF(MONTH(D3)=12,EDATE(D3,1),EDATE(D3,1))</f>
        <v>46143</v>
      </c>
      <c r="F3" s="217">
        <f t="shared" ref="F3:H3" si="0">IF(MONTH(E3)=12,EDATE(E3,1),EDATE(E3,1))</f>
        <v>46174</v>
      </c>
      <c r="G3" s="218">
        <f t="shared" si="0"/>
        <v>46204</v>
      </c>
      <c r="H3" s="217">
        <f t="shared" si="0"/>
        <v>46235</v>
      </c>
      <c r="I3" s="218">
        <f>IF(MONTH(H3)=12,EDATE(H3,1),EDATE(H3,1))</f>
        <v>46266</v>
      </c>
      <c r="J3" s="217">
        <f t="shared" ref="J3" si="1">IF(MONTH(I3)=12,EDATE(I3,1),EDATE(I3,1))</f>
        <v>46296</v>
      </c>
      <c r="K3" s="218">
        <f t="shared" ref="K3" si="2">IF(MONTH(J3)=12,EDATE(J3,1),EDATE(J3,1))</f>
        <v>46327</v>
      </c>
      <c r="L3" s="217">
        <f t="shared" ref="L3" si="3">IF(MONTH(K3)=12,EDATE(K3,1),EDATE(K3,1))</f>
        <v>46357</v>
      </c>
      <c r="M3" s="218">
        <f t="shared" ref="M3" si="4">IF(MONTH(L3)=12,EDATE(L3,1),EDATE(L3,1))</f>
        <v>46388</v>
      </c>
      <c r="N3" s="217">
        <f t="shared" ref="N3" si="5">IF(MONTH(M3)=12,EDATE(M3,1),EDATE(M3,1))</f>
        <v>46419</v>
      </c>
      <c r="O3" s="218">
        <f t="shared" ref="O3" si="6">IF(MONTH(N3)=12,EDATE(N3,1),EDATE(N3,1))</f>
        <v>46447</v>
      </c>
    </row>
    <row r="4" spans="1:15" ht="15" customHeight="1">
      <c r="A4" s="308" t="s">
        <v>155</v>
      </c>
      <c r="B4" s="308"/>
      <c r="C4" s="117" t="s">
        <v>156</v>
      </c>
      <c r="D4" s="118">
        <f t="shared" ref="D4:G5" si="7">D133</f>
        <v>208679.16</v>
      </c>
      <c r="E4" s="118">
        <f t="shared" si="7"/>
        <v>196991.77000000005</v>
      </c>
      <c r="F4" s="118">
        <f t="shared" si="7"/>
        <v>196991.77000000002</v>
      </c>
      <c r="G4" s="118">
        <f>G133</f>
        <v>196991.77000000002</v>
      </c>
      <c r="H4" s="118">
        <f>H133</f>
        <v>196991.77000000002</v>
      </c>
      <c r="I4" s="118">
        <f t="shared" ref="I4:J4" si="8">I133</f>
        <v>196991.77000000002</v>
      </c>
      <c r="J4" s="118">
        <f t="shared" si="8"/>
        <v>196991.76999999996</v>
      </c>
      <c r="K4" s="118">
        <f>K133</f>
        <v>196991.77000000002</v>
      </c>
      <c r="L4" s="118">
        <f>L133</f>
        <v>196991.77000000014</v>
      </c>
      <c r="M4" s="118">
        <f t="shared" ref="M4" si="9">M133</f>
        <v>196991.77</v>
      </c>
      <c r="N4" s="118">
        <f>N133</f>
        <v>196991.77000000008</v>
      </c>
      <c r="O4" s="118">
        <f>O133</f>
        <v>196991.76999999996</v>
      </c>
    </row>
    <row r="5" spans="1:15" ht="15" customHeight="1" thickBot="1">
      <c r="A5" s="312"/>
      <c r="B5" s="312"/>
      <c r="C5" s="119" t="s">
        <v>157</v>
      </c>
      <c r="D5" s="120">
        <f t="shared" si="7"/>
        <v>26458.43</v>
      </c>
      <c r="E5" s="120">
        <f>E134</f>
        <v>25669.570000000003</v>
      </c>
      <c r="F5" s="120">
        <f t="shared" si="7"/>
        <v>25669.569999999992</v>
      </c>
      <c r="G5" s="120">
        <f t="shared" si="7"/>
        <v>25669.570000000003</v>
      </c>
      <c r="H5" s="120">
        <f>H134</f>
        <v>25669.57</v>
      </c>
      <c r="I5" s="120">
        <f>I134</f>
        <v>25669.57</v>
      </c>
      <c r="J5" s="120">
        <f t="shared" ref="J5:K5" si="10">J134</f>
        <v>25669.570000000007</v>
      </c>
      <c r="K5" s="120">
        <f t="shared" si="10"/>
        <v>25669.570000000003</v>
      </c>
      <c r="L5" s="120">
        <f>L134</f>
        <v>25669.570000000003</v>
      </c>
      <c r="M5" s="120">
        <f t="shared" ref="M5:N5" si="11">M134</f>
        <v>25669.569999999989</v>
      </c>
      <c r="N5" s="120">
        <f t="shared" si="11"/>
        <v>25669.569999999989</v>
      </c>
      <c r="O5" s="120">
        <f>O134</f>
        <v>25669.569999999992</v>
      </c>
    </row>
    <row r="6" spans="1:15" ht="15" customHeight="1" thickTop="1">
      <c r="A6" s="121"/>
      <c r="B6" s="78"/>
      <c r="C6" s="79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</row>
    <row r="7" spans="1:15" ht="15" customHeight="1">
      <c r="A7" s="308">
        <v>1</v>
      </c>
      <c r="B7" s="80" t="s">
        <v>89</v>
      </c>
      <c r="C7" s="74" t="s">
        <v>156</v>
      </c>
      <c r="D7" s="123">
        <f>VLOOKUP(B8,'B&amp;L'!$A$7:$BK$69,7,0)</f>
        <v>8433.66</v>
      </c>
      <c r="E7" s="123">
        <f>VLOOKUP(B8,'B&amp;L'!$A$7:$BK$69,12,0)</f>
        <v>7974.42</v>
      </c>
      <c r="F7" s="123">
        <f>VLOOKUP(B8,'B&amp;L'!$A$7:$BK$69,17,0)</f>
        <v>7818.65</v>
      </c>
      <c r="G7" s="123">
        <f>VLOOKUP(B8,'B&amp;L'!$A$7:$BK$69,22,0)</f>
        <v>7956.49</v>
      </c>
      <c r="H7" s="123">
        <f>VLOOKUP(B8,'B&amp;L'!$A$7:$BK$69,27,0)</f>
        <v>8139.8</v>
      </c>
      <c r="I7" s="123">
        <f>VLOOKUP(B8,'B&amp;L'!$A$7:$BK$69,32,0)</f>
        <v>8139.69</v>
      </c>
      <c r="J7" s="123">
        <f>VLOOKUP(B8,'B&amp;L'!$A$7:$BK$69,37,0)</f>
        <v>7955.72</v>
      </c>
      <c r="K7" s="123">
        <f>VLOOKUP(B8,'B&amp;L'!$A$7:$BK$69,42,0)</f>
        <v>8066.7</v>
      </c>
      <c r="L7" s="123">
        <f>VLOOKUP(B8,'B&amp;L'!$A$7:$BK$69,47,0)</f>
        <v>8084.42</v>
      </c>
      <c r="M7" s="123">
        <f>VLOOKUP(B8,'B&amp;L'!$A$7:$BK$69,52,0)</f>
        <v>8182.42</v>
      </c>
      <c r="N7" s="123">
        <f>VLOOKUP(B8,'B&amp;L'!$A$7:$BK$69,57,0)</f>
        <v>8630.6299999999992</v>
      </c>
      <c r="O7" s="123">
        <f>VLOOKUP(B8,'B&amp;L'!$A$7:$BK$69,62,0)</f>
        <v>8056.35</v>
      </c>
    </row>
    <row r="8" spans="1:15" ht="15" customHeight="1">
      <c r="A8" s="308"/>
      <c r="B8" s="81">
        <v>1412000004</v>
      </c>
      <c r="C8" s="82" t="s">
        <v>157</v>
      </c>
      <c r="D8" s="124">
        <f>VLOOKUP(B8,'B&amp;L'!$A$7:$BK$69,8,0)</f>
        <v>1069.3</v>
      </c>
      <c r="E8" s="124">
        <f>VLOOKUP(B8,'B&amp;L'!$A$7:$BK$69,13,0)</f>
        <v>1039.1300000000001</v>
      </c>
      <c r="F8" s="124">
        <f>VLOOKUP(B8,'B&amp;L'!$A$7:$BK$69,18,0)</f>
        <v>1018.83</v>
      </c>
      <c r="G8" s="124">
        <f>VLOOKUP(B8,'B&amp;L'!$A$7:$BK$69,23,0)</f>
        <v>1036.79</v>
      </c>
      <c r="H8" s="124">
        <f>VLOOKUP(B8,'B&amp;L'!$A$7:$BK$69,28,0)</f>
        <v>1060.68</v>
      </c>
      <c r="I8" s="124">
        <f>VLOOKUP(B8,'B&amp;L'!$A$7:$BK$69,33,0)</f>
        <v>1060.67</v>
      </c>
      <c r="J8" s="124">
        <f>VLOOKUP(B8,'B&amp;L'!$A$7:$BK$69,38,0)</f>
        <v>1036.69</v>
      </c>
      <c r="K8" s="124">
        <f>VLOOKUP(B8,'B&amp;L'!$A$7:$BK$69,43,0)</f>
        <v>1051.1500000000001</v>
      </c>
      <c r="L8" s="124">
        <f>VLOOKUP(B8,'B&amp;L'!$A$7:$BK$69,48,0)</f>
        <v>1053.46</v>
      </c>
      <c r="M8" s="124">
        <f>VLOOKUP(B8,'B&amp;L'!$A$7:$BK$69,53,0)</f>
        <v>1066.23</v>
      </c>
      <c r="N8" s="124">
        <f>VLOOKUP(B8,'B&amp;L'!$A$7:$BK$69,58,0)</f>
        <v>1124.6400000000001</v>
      </c>
      <c r="O8" s="124">
        <f>VLOOKUP(B8,'B&amp;L'!$A$7:$BK$69,63,0)</f>
        <v>1049.81</v>
      </c>
    </row>
    <row r="9" spans="1:15" s="86" customFormat="1" ht="15" customHeight="1">
      <c r="A9" s="309">
        <v>2</v>
      </c>
      <c r="B9" s="89" t="s">
        <v>85</v>
      </c>
      <c r="C9" s="85" t="s">
        <v>156</v>
      </c>
      <c r="D9" s="123">
        <f>VLOOKUP(B10,'B&amp;L'!$A$7:$BK$69,7,0)</f>
        <v>11446.54</v>
      </c>
      <c r="E9" s="123">
        <f>VLOOKUP(B10,'B&amp;L'!$A$7:$BK$69,12,0)</f>
        <v>10873.48</v>
      </c>
      <c r="F9" s="123">
        <f>VLOOKUP(B10,'B&amp;L'!$A$7:$BK$69,17,0)</f>
        <v>10908.94</v>
      </c>
      <c r="G9" s="123">
        <f>VLOOKUP(B10,'B&amp;L'!$A$7:$BK$69,22,0)</f>
        <v>10921.29</v>
      </c>
      <c r="H9" s="123">
        <f>VLOOKUP(B10,'B&amp;L'!$A$7:$BK$69,27,0)</f>
        <v>10896.86</v>
      </c>
      <c r="I9" s="123">
        <f>VLOOKUP(B10,'B&amp;L'!$A$7:$BK$69,32,0)</f>
        <v>10900.2</v>
      </c>
      <c r="J9" s="123">
        <f>VLOOKUP(B10,'B&amp;L'!$A$7:$BK$69,37,0)</f>
        <v>10889.06</v>
      </c>
      <c r="K9" s="123">
        <f>VLOOKUP(B10,'B&amp;L'!$A$7:$BK$69,42,0)</f>
        <v>10871.36</v>
      </c>
      <c r="L9" s="123">
        <f>VLOOKUP(B10,'B&amp;L'!$A$7:$BK$69,47,0)</f>
        <v>10802.29</v>
      </c>
      <c r="M9" s="123">
        <f>VLOOKUP(B10,'B&amp;L'!$A$7:$BK$69,52,0)</f>
        <v>10852.12</v>
      </c>
      <c r="N9" s="123">
        <f>VLOOKUP(B10,'B&amp;L'!$A$7:$BK$69,57,0)</f>
        <v>11022.07</v>
      </c>
      <c r="O9" s="123">
        <f>VLOOKUP(B10,'B&amp;L'!$A$7:$BK$69,62,0)</f>
        <v>10825.02</v>
      </c>
    </row>
    <row r="10" spans="1:15" s="86" customFormat="1" ht="15" customHeight="1">
      <c r="A10" s="309"/>
      <c r="B10" s="90">
        <v>1412000005</v>
      </c>
      <c r="C10" s="88" t="s">
        <v>157</v>
      </c>
      <c r="D10" s="124">
        <f>VLOOKUP(B10,'B&amp;L'!$A$7:$BK$69,8,0)</f>
        <v>1451.31</v>
      </c>
      <c r="E10" s="124">
        <f>VLOOKUP(B10,'B&amp;L'!$A$7:$BK$69,13,0)</f>
        <v>1416.9</v>
      </c>
      <c r="F10" s="124">
        <f>VLOOKUP(B10,'B&amp;L'!$A$7:$BK$69,18,0)</f>
        <v>1421.52</v>
      </c>
      <c r="G10" s="124">
        <f>VLOOKUP(B10,'B&amp;L'!$A$7:$BK$69,23,0)</f>
        <v>1423.13</v>
      </c>
      <c r="H10" s="124">
        <f>VLOOKUP(B10,'B&amp;L'!$A$7:$BK$69,28,0)</f>
        <v>1419.95</v>
      </c>
      <c r="I10" s="124">
        <f>VLOOKUP(B10,'B&amp;L'!$A$7:$BK$69,33,0)</f>
        <v>1420.38</v>
      </c>
      <c r="J10" s="124">
        <f>VLOOKUP(B10,'B&amp;L'!$A$7:$BK$69,38,0)</f>
        <v>1418.93</v>
      </c>
      <c r="K10" s="124">
        <f>VLOOKUP(B10,'B&amp;L'!$A$7:$BK$69,43,0)</f>
        <v>1416.62</v>
      </c>
      <c r="L10" s="124">
        <f>VLOOKUP(B10,'B&amp;L'!$A$7:$BK$69,48,0)</f>
        <v>1407.62</v>
      </c>
      <c r="M10" s="124">
        <f>VLOOKUP(B10,'B&amp;L'!$A$7:$BK$69,53,0)</f>
        <v>1414.12</v>
      </c>
      <c r="N10" s="124">
        <f>VLOOKUP(B10,'B&amp;L'!$A$7:$BK$69,58,0)</f>
        <v>1436.26</v>
      </c>
      <c r="O10" s="124">
        <f>VLOOKUP(B10,'B&amp;L'!$A$7:$BK$69,63,0)</f>
        <v>1410.58</v>
      </c>
    </row>
    <row r="11" spans="1:15" ht="15" customHeight="1">
      <c r="A11" s="310">
        <v>3</v>
      </c>
      <c r="B11" s="89" t="s">
        <v>91</v>
      </c>
      <c r="C11" s="74" t="s">
        <v>156</v>
      </c>
      <c r="D11" s="123">
        <f>VLOOKUP(B12,'B&amp;L'!$A$7:$BK$69,7,0)</f>
        <v>157.16999999999999</v>
      </c>
      <c r="E11" s="123">
        <f>VLOOKUP(B12,'B&amp;L'!$A$7:$BK$69,12,0)</f>
        <v>151.86000000000001</v>
      </c>
      <c r="F11" s="123">
        <f>VLOOKUP(B12,'B&amp;L'!$A$7:$BK$69,17,0)</f>
        <v>161.13999999999999</v>
      </c>
      <c r="G11" s="123">
        <f>VLOOKUP(B12,'B&amp;L'!$A$7:$BK$69,22,0)</f>
        <v>151.88999999999999</v>
      </c>
      <c r="H11" s="123">
        <f>VLOOKUP(B12,'B&amp;L'!$A$7:$BK$69,27,0)</f>
        <v>145.53</v>
      </c>
      <c r="I11" s="123">
        <f>VLOOKUP(B12,'B&amp;L'!$A$7:$BK$69,32,0)</f>
        <v>148.09</v>
      </c>
      <c r="J11" s="123">
        <f>VLOOKUP(B12,'B&amp;L'!$A$7:$BK$69,37,0)</f>
        <v>152.44999999999999</v>
      </c>
      <c r="K11" s="123">
        <f>VLOOKUP(B12,'B&amp;L'!$A$7:$BK$69,42,0)</f>
        <v>150.6</v>
      </c>
      <c r="L11" s="123">
        <f>VLOOKUP(B12,'B&amp;L'!$A$7:$BK$69,47,0)</f>
        <v>149.41999999999999</v>
      </c>
      <c r="M11" s="123">
        <f>VLOOKUP(B12,'B&amp;L'!$A$7:$BK$69,52,0)</f>
        <v>144.83000000000001</v>
      </c>
      <c r="N11" s="123">
        <f>VLOOKUP(B12,'B&amp;L'!$A$7:$BK$69,57,0)</f>
        <v>133.94999999999999</v>
      </c>
      <c r="O11" s="123">
        <f>VLOOKUP(B12,'B&amp;L'!$A$7:$BK$69,62,0)</f>
        <v>148.38</v>
      </c>
    </row>
    <row r="12" spans="1:15" ht="15" customHeight="1">
      <c r="A12" s="311"/>
      <c r="B12" s="90">
        <v>1412000062</v>
      </c>
      <c r="C12" s="82" t="s">
        <v>157</v>
      </c>
      <c r="D12" s="124">
        <f>VLOOKUP(B12,'B&amp;L'!$A$7:$BK$69,8,0)</f>
        <v>19.93</v>
      </c>
      <c r="E12" s="124">
        <f>VLOOKUP(B12,'B&amp;L'!$A$7:$BK$69,13,0)</f>
        <v>19.79</v>
      </c>
      <c r="F12" s="124">
        <f>VLOOKUP(B12,'B&amp;L'!$A$7:$BK$69,18,0)</f>
        <v>21</v>
      </c>
      <c r="G12" s="124">
        <f>VLOOKUP(B12,'B&amp;L'!$A$7:$BK$69,23,0)</f>
        <v>19.79</v>
      </c>
      <c r="H12" s="124">
        <f>VLOOKUP(B12,'B&amp;L'!$A$7:$BK$69,28,0)</f>
        <v>18.96</v>
      </c>
      <c r="I12" s="124">
        <f>VLOOKUP(B12,'B&amp;L'!$A$7:$BK$69,33,0)</f>
        <v>19.3</v>
      </c>
      <c r="J12" s="124">
        <f>VLOOKUP(B12,'B&amp;L'!$A$7:$BK$69,38,0)</f>
        <v>19.87</v>
      </c>
      <c r="K12" s="124">
        <f>VLOOKUP(B12,'B&amp;L'!$A$7:$BK$69,43,0)</f>
        <v>19.62</v>
      </c>
      <c r="L12" s="124">
        <f>VLOOKUP(B12,'B&amp;L'!$A$7:$BK$69,48,0)</f>
        <v>19.47</v>
      </c>
      <c r="M12" s="124">
        <f>VLOOKUP(B12,'B&amp;L'!$A$7:$BK$69,53,0)</f>
        <v>18.87</v>
      </c>
      <c r="N12" s="124">
        <f>VLOOKUP(B12,'B&amp;L'!$A$7:$BK$69,58,0)</f>
        <v>17.46</v>
      </c>
      <c r="O12" s="124">
        <f>VLOOKUP(B12,'B&amp;L'!$A$7:$BK$69,63,0)</f>
        <v>19.34</v>
      </c>
    </row>
    <row r="13" spans="1:15" ht="15" customHeight="1">
      <c r="A13" s="310">
        <v>4</v>
      </c>
      <c r="B13" s="89" t="s">
        <v>57</v>
      </c>
      <c r="C13" s="74" t="s">
        <v>156</v>
      </c>
      <c r="D13" s="123">
        <f>VLOOKUP(B14,'B&amp;L'!$A$7:$BK$69,7,0)</f>
        <v>4101.03</v>
      </c>
      <c r="E13" s="123">
        <f>VLOOKUP(B14,'B&amp;L'!$A$7:$BK$69,12,0)</f>
        <v>3871.34</v>
      </c>
      <c r="F13" s="123">
        <f>VLOOKUP(B14,'B&amp;L'!$A$7:$BK$69,17,0)</f>
        <v>3871.34</v>
      </c>
      <c r="G13" s="123">
        <f>VLOOKUP(B14,'B&amp;L'!$A$7:$BK$69,22,0)</f>
        <v>3871.34</v>
      </c>
      <c r="H13" s="123">
        <f>VLOOKUP(B14,'B&amp;L'!$A$7:$BK$69,27,0)</f>
        <v>3871.34</v>
      </c>
      <c r="I13" s="123">
        <f>VLOOKUP(B14,'B&amp;L'!$A$7:$BK$69,32,0)</f>
        <v>3871.34</v>
      </c>
      <c r="J13" s="123">
        <f>VLOOKUP(B14,'B&amp;L'!$A$7:$BK$69,37,0)</f>
        <v>3871.34</v>
      </c>
      <c r="K13" s="123">
        <f>VLOOKUP(B14,'B&amp;L'!$A$7:$BK$69,42,0)</f>
        <v>3871.34</v>
      </c>
      <c r="L13" s="123">
        <f>VLOOKUP(B14,'B&amp;L'!$A$7:$BK$69,47,0)</f>
        <v>3871.34</v>
      </c>
      <c r="M13" s="123">
        <f>VLOOKUP(B14,'B&amp;L'!$A$7:$BK$69,52,0)</f>
        <v>3871.34</v>
      </c>
      <c r="N13" s="123">
        <f>VLOOKUP(B14,'B&amp;L'!$A$7:$BK$69,57,0)</f>
        <v>3871.34</v>
      </c>
      <c r="O13" s="123">
        <f>VLOOKUP(B14,'B&amp;L'!$A$7:$BK$69,62,0)</f>
        <v>3871.34</v>
      </c>
    </row>
    <row r="14" spans="1:15" ht="15" customHeight="1">
      <c r="A14" s="311"/>
      <c r="B14" s="90">
        <v>1412000066</v>
      </c>
      <c r="C14" s="82" t="s">
        <v>157</v>
      </c>
      <c r="D14" s="124">
        <f>VLOOKUP(B14,'B&amp;L'!$A$7:$BK$69,8,0)</f>
        <v>519.97</v>
      </c>
      <c r="E14" s="124">
        <f>VLOOKUP(B14,'B&amp;L'!$A$7:$BK$69,13,0)</f>
        <v>504.47</v>
      </c>
      <c r="F14" s="124">
        <f>VLOOKUP(B14,'B&amp;L'!$A$7:$BK$69,18,0)</f>
        <v>504.47</v>
      </c>
      <c r="G14" s="124">
        <f>VLOOKUP(B14,'B&amp;L'!$A$7:$BK$69,23,0)</f>
        <v>504.47</v>
      </c>
      <c r="H14" s="124">
        <f>VLOOKUP(B14,'B&amp;L'!$A$7:$BK$69,28,0)</f>
        <v>504.47</v>
      </c>
      <c r="I14" s="124">
        <f>VLOOKUP(B14,'B&amp;L'!$A$7:$BK$69,33,0)</f>
        <v>504.47</v>
      </c>
      <c r="J14" s="124">
        <f>VLOOKUP(B14,'B&amp;L'!$A$7:$BK$69,38,0)</f>
        <v>504.47</v>
      </c>
      <c r="K14" s="124">
        <f>VLOOKUP(B14,'B&amp;L'!$A$7:$BK$69,43,0)</f>
        <v>504.47</v>
      </c>
      <c r="L14" s="124">
        <f>VLOOKUP(B14,'B&amp;L'!$A$7:$BK$69,48,0)</f>
        <v>504.47</v>
      </c>
      <c r="M14" s="124">
        <f>VLOOKUP(B14,'B&amp;L'!$A$7:$BK$69,53,0)</f>
        <v>504.47</v>
      </c>
      <c r="N14" s="124">
        <f>VLOOKUP(B14,'B&amp;L'!$A$7:$BK$69,58,0)</f>
        <v>504.47</v>
      </c>
      <c r="O14" s="124">
        <f>VLOOKUP(B14,'B&amp;L'!$A$7:$BK$69,63,0)</f>
        <v>504.47</v>
      </c>
    </row>
    <row r="15" spans="1:15" ht="15" customHeight="1">
      <c r="A15" s="310">
        <v>5</v>
      </c>
      <c r="B15" s="89" t="s">
        <v>87</v>
      </c>
      <c r="C15" s="74" t="s">
        <v>156</v>
      </c>
      <c r="D15" s="123">
        <f>VLOOKUP(B16,'B&amp;L'!$A$7:$BK$69,7,0)</f>
        <v>30794.11</v>
      </c>
      <c r="E15" s="123">
        <f>VLOOKUP(B16,'B&amp;L'!$A$7:$BK$69,12,0)</f>
        <v>28899.84</v>
      </c>
      <c r="F15" s="123">
        <f>VLOOKUP(B16,'B&amp;L'!$A$7:$BK$69,17,0)</f>
        <v>28650.77</v>
      </c>
      <c r="G15" s="123">
        <f>VLOOKUP(B16,'B&amp;L'!$A$7:$BK$69,22,0)</f>
        <v>28823.57</v>
      </c>
      <c r="H15" s="123">
        <f>VLOOKUP(B16,'B&amp;L'!$A$7:$BK$69,27,0)</f>
        <v>28958.5</v>
      </c>
      <c r="I15" s="123">
        <f>VLOOKUP(B16,'B&amp;L'!$A$7:$BK$69,32,0)</f>
        <v>28890.45</v>
      </c>
      <c r="J15" s="123">
        <f>VLOOKUP(B16,'B&amp;L'!$A$7:$BK$69,37,0)</f>
        <v>28762.99</v>
      </c>
      <c r="K15" s="123">
        <f>VLOOKUP(B16,'B&amp;L'!$A$7:$BK$69,42,0)</f>
        <v>28818.6</v>
      </c>
      <c r="L15" s="123">
        <f>VLOOKUP(B16,'B&amp;L'!$A$7:$BK$69,47,0)</f>
        <v>28914.25</v>
      </c>
      <c r="M15" s="123">
        <f>VLOOKUP(B16,'B&amp;L'!$A$7:$BK$69,52,0)</f>
        <v>28969.5</v>
      </c>
      <c r="N15" s="123">
        <f>VLOOKUP(B16,'B&amp;L'!$A$7:$BK$69,57,0)</f>
        <v>29039.52</v>
      </c>
      <c r="O15" s="123">
        <f>VLOOKUP(B16,'B&amp;L'!$A$7:$BK$69,62,0)</f>
        <v>28919.89</v>
      </c>
    </row>
    <row r="16" spans="1:15" ht="15" customHeight="1">
      <c r="A16" s="311"/>
      <c r="B16" s="90">
        <v>1412000081</v>
      </c>
      <c r="C16" s="82" t="s">
        <v>157</v>
      </c>
      <c r="D16" s="124">
        <f>VLOOKUP(B16,'B&amp;L'!$A$7:$BK$69,8,0)</f>
        <v>3904.38</v>
      </c>
      <c r="E16" s="124">
        <f>VLOOKUP(B16,'B&amp;L'!$A$7:$BK$69,13,0)</f>
        <v>3765.88</v>
      </c>
      <c r="F16" s="124">
        <f>VLOOKUP(B16,'B&amp;L'!$A$7:$BK$69,18,0)</f>
        <v>3733.42</v>
      </c>
      <c r="G16" s="124">
        <f>VLOOKUP(B16,'B&amp;L'!$A$7:$BK$69,23,0)</f>
        <v>3755.94</v>
      </c>
      <c r="H16" s="124">
        <f>VLOOKUP(B16,'B&amp;L'!$A$7:$BK$69,28,0)</f>
        <v>3773.52</v>
      </c>
      <c r="I16" s="124">
        <f>VLOOKUP(B16,'B&amp;L'!$A$7:$BK$69,33,0)</f>
        <v>3764.65</v>
      </c>
      <c r="J16" s="124">
        <f>VLOOKUP(B16,'B&amp;L'!$A$7:$BK$69,38,0)</f>
        <v>3748.04</v>
      </c>
      <c r="K16" s="124">
        <f>VLOOKUP(B16,'B&amp;L'!$A$7:$BK$69,43,0)</f>
        <v>3755.29</v>
      </c>
      <c r="L16" s="124">
        <f>VLOOKUP(B16,'B&amp;L'!$A$7:$BK$69,48,0)</f>
        <v>3767.75</v>
      </c>
      <c r="M16" s="124">
        <f>VLOOKUP(B16,'B&amp;L'!$A$7:$BK$69,53,0)</f>
        <v>3774.95</v>
      </c>
      <c r="N16" s="124">
        <f>VLOOKUP(B16,'B&amp;L'!$A$7:$BK$69,58,0)</f>
        <v>3784.08</v>
      </c>
      <c r="O16" s="124">
        <f>VLOOKUP(B16,'B&amp;L'!$A$7:$BK$69,63,0)</f>
        <v>3768.49</v>
      </c>
    </row>
    <row r="17" spans="1:15" ht="15" customHeight="1">
      <c r="A17" s="308">
        <v>6</v>
      </c>
      <c r="B17" s="125" t="s">
        <v>121</v>
      </c>
      <c r="C17" s="92" t="s">
        <v>156</v>
      </c>
      <c r="D17" s="221">
        <f>VLOOKUP(B18,'B&amp;L'!$A$7:$BK$69,7,0)</f>
        <v>3468.6</v>
      </c>
      <c r="E17" s="221">
        <f>VLOOKUP(B18,'B&amp;L'!$A$7:$BK$69,12,0)</f>
        <v>3274.17</v>
      </c>
      <c r="F17" s="221">
        <f>VLOOKUP(B18,'B&amp;L'!$A$7:$BK$69,17,0)</f>
        <v>3282.36</v>
      </c>
      <c r="G17" s="221">
        <f>VLOOKUP(B18,'B&amp;L'!$A$7:$BK$69,22,0)</f>
        <v>3274.28</v>
      </c>
      <c r="H17" s="221">
        <f>VLOOKUP(B18,'B&amp;L'!$A$7:$BK$69,27,0)</f>
        <v>3266.15</v>
      </c>
      <c r="I17" s="221">
        <f>VLOOKUP(B18,'B&amp;L'!$A$7:$BK$69,32,0)</f>
        <v>3267</v>
      </c>
      <c r="J17" s="221">
        <f>VLOOKUP(B18,'B&amp;L'!$A$7:$BK$69,37,0)</f>
        <v>3275.48</v>
      </c>
      <c r="K17" s="221">
        <f>VLOOKUP(B18,'B&amp;L'!$A$7:$BK$69,42,0)</f>
        <v>3270.34</v>
      </c>
      <c r="L17" s="221">
        <f>VLOOKUP(B18,'B&amp;L'!$A$7:$BK$69,47,0)</f>
        <v>3269.51</v>
      </c>
      <c r="M17" s="221">
        <f>VLOOKUP(B18,'B&amp;L'!$A$7:$BK$69,52,0)</f>
        <v>3257.96</v>
      </c>
      <c r="N17" s="221">
        <f>VLOOKUP(B18,'B&amp;L'!$A$7:$BK$69,57,0)</f>
        <v>3237.89</v>
      </c>
      <c r="O17" s="221">
        <f>VLOOKUP(B18,'B&amp;L'!$A$7:$BK$69,62,0)</f>
        <v>3263.97</v>
      </c>
    </row>
    <row r="18" spans="1:15" ht="15" customHeight="1">
      <c r="A18" s="308"/>
      <c r="B18" s="94">
        <v>1412000098</v>
      </c>
      <c r="C18" s="95" t="s">
        <v>157</v>
      </c>
      <c r="D18" s="222">
        <f>VLOOKUP(B18,'B&amp;L'!$A$7:$BK$69,8,0)</f>
        <v>439.78</v>
      </c>
      <c r="E18" s="222">
        <f>VLOOKUP(B18,'B&amp;L'!$A$7:$BK$69,13,0)</f>
        <v>426.65</v>
      </c>
      <c r="F18" s="222">
        <f>VLOOKUP(B18,'B&amp;L'!$A$7:$BK$69,18,0)</f>
        <v>427.72</v>
      </c>
      <c r="G18" s="222">
        <f>VLOOKUP(B18,'B&amp;L'!$A$7:$BK$69,23,0)</f>
        <v>426.66</v>
      </c>
      <c r="H18" s="222">
        <f>VLOOKUP(B18,'B&amp;L'!$A$7:$BK$69,28,0)</f>
        <v>425.6</v>
      </c>
      <c r="I18" s="222">
        <f>VLOOKUP(B18,'B&amp;L'!$A$7:$BK$69,33,0)</f>
        <v>425.72</v>
      </c>
      <c r="J18" s="222">
        <f>VLOOKUP(B18,'B&amp;L'!$A$7:$BK$69,38,0)</f>
        <v>426.82</v>
      </c>
      <c r="K18" s="222">
        <f>VLOOKUP(B18,'B&amp;L'!$A$7:$BK$69,43,0)</f>
        <v>426.15</v>
      </c>
      <c r="L18" s="222">
        <f>VLOOKUP(B18,'B&amp;L'!$A$7:$BK$69,48,0)</f>
        <v>426.04</v>
      </c>
      <c r="M18" s="222">
        <f>VLOOKUP(B18,'B&amp;L'!$A$7:$BK$69,53,0)</f>
        <v>424.54</v>
      </c>
      <c r="N18" s="222">
        <f>VLOOKUP(B18,'B&amp;L'!$A$7:$BK$69,58,0)</f>
        <v>421.92</v>
      </c>
      <c r="O18" s="222">
        <f>VLOOKUP(B18,'B&amp;L'!$A$7:$BK$69,63,0)</f>
        <v>425.32</v>
      </c>
    </row>
    <row r="19" spans="1:15" ht="15" customHeight="1">
      <c r="A19" s="309">
        <v>7</v>
      </c>
      <c r="B19" s="89" t="s">
        <v>138</v>
      </c>
      <c r="C19" s="74" t="s">
        <v>156</v>
      </c>
      <c r="D19" s="123">
        <f>VLOOKUP(B20,'B&amp;L'!$A$7:$BK$69,7,0)</f>
        <v>6180.47</v>
      </c>
      <c r="E19" s="123">
        <f>VLOOKUP(B20,'B&amp;L'!$A$7:$BK$69,12,0)</f>
        <v>5868.57</v>
      </c>
      <c r="F19" s="123">
        <f>VLOOKUP(B20,'B&amp;L'!$A$7:$BK$69,17,0)</f>
        <v>5949.28</v>
      </c>
      <c r="G19" s="123">
        <f>VLOOKUP(B20,'B&amp;L'!$A$7:$BK$69,22,0)</f>
        <v>5872.83</v>
      </c>
      <c r="H19" s="123">
        <f>VLOOKUP(B20,'B&amp;L'!$A$7:$BK$69,27,0)</f>
        <v>5835.32</v>
      </c>
      <c r="I19" s="123">
        <f>VLOOKUP(B20,'B&amp;L'!$A$7:$BK$69,32,0)</f>
        <v>5858.63</v>
      </c>
      <c r="J19" s="123">
        <f>VLOOKUP(B20,'B&amp;L'!$A$7:$BK$69,37,0)</f>
        <v>5947.58</v>
      </c>
      <c r="K19" s="123">
        <f>VLOOKUP(B20,'B&amp;L'!$A$7:$BK$69,42,0)</f>
        <v>5929.29</v>
      </c>
      <c r="L19" s="123">
        <f>VLOOKUP(B20,'B&amp;L'!$A$7:$BK$69,47,0)</f>
        <v>5917.57</v>
      </c>
      <c r="M19" s="123">
        <f>VLOOKUP(B20,'B&amp;L'!$A$7:$BK$69,52,0)</f>
        <v>5872.09</v>
      </c>
      <c r="N19" s="123">
        <f>VLOOKUP(B20,'B&amp;L'!$A$7:$BK$69,57,0)</f>
        <v>5764.43</v>
      </c>
      <c r="O19" s="123">
        <f>VLOOKUP(B20,'B&amp;L'!$A$7:$BK$69,62,0)</f>
        <v>5907.29</v>
      </c>
    </row>
    <row r="20" spans="1:15" ht="15" customHeight="1">
      <c r="A20" s="309"/>
      <c r="B20" s="90">
        <v>1412000034</v>
      </c>
      <c r="C20" s="82" t="s">
        <v>157</v>
      </c>
      <c r="D20" s="124">
        <f>VLOOKUP(B20,'B&amp;L'!$A$7:$BK$69,8,0)</f>
        <v>783.62</v>
      </c>
      <c r="E20" s="124">
        <f>VLOOKUP(B20,'B&amp;L'!$A$7:$BK$69,13,0)</f>
        <v>764.72</v>
      </c>
      <c r="F20" s="124">
        <f>VLOOKUP(B20,'B&amp;L'!$A$7:$BK$69,18,0)</f>
        <v>775.24</v>
      </c>
      <c r="G20" s="124">
        <f>VLOOKUP(B20,'B&amp;L'!$A$7:$BK$69,23,0)</f>
        <v>765.28</v>
      </c>
      <c r="H20" s="124">
        <f>VLOOKUP(B20,'B&amp;L'!$A$7:$BK$69,28,0)</f>
        <v>760.39</v>
      </c>
      <c r="I20" s="124">
        <f>VLOOKUP(B20,'B&amp;L'!$A$7:$BK$69,33,0)</f>
        <v>763.43</v>
      </c>
      <c r="J20" s="124">
        <f>VLOOKUP(B20,'B&amp;L'!$A$7:$BK$69,38,0)</f>
        <v>775.02</v>
      </c>
      <c r="K20" s="124">
        <f>VLOOKUP(B20,'B&amp;L'!$A$7:$BK$69,43,0)</f>
        <v>772.63</v>
      </c>
      <c r="L20" s="124">
        <f>VLOOKUP(B20,'B&amp;L'!$A$7:$BK$69,48,0)</f>
        <v>771.11</v>
      </c>
      <c r="M20" s="124">
        <f>VLOOKUP(B20,'B&amp;L'!$A$7:$BK$69,53,0)</f>
        <v>765.18</v>
      </c>
      <c r="N20" s="124">
        <f>VLOOKUP(B20,'B&amp;L'!$A$7:$BK$69,58,0)</f>
        <v>751.15</v>
      </c>
      <c r="O20" s="124">
        <f>VLOOKUP(B20,'B&amp;L'!$A$7:$BK$69,63,0)</f>
        <v>769.77</v>
      </c>
    </row>
    <row r="21" spans="1:15" ht="15" customHeight="1">
      <c r="A21" s="310">
        <v>8</v>
      </c>
      <c r="B21" s="89" t="s">
        <v>30</v>
      </c>
      <c r="C21" s="74" t="s">
        <v>156</v>
      </c>
      <c r="D21" s="123">
        <f>VLOOKUP(B22,'B&amp;L'!$A$7:$BK$69,7,0)</f>
        <v>194.96</v>
      </c>
      <c r="E21" s="123">
        <f>VLOOKUP(B22,'B&amp;L'!$A$7:$BK$69,12,0)</f>
        <v>186.84</v>
      </c>
      <c r="F21" s="123">
        <f>VLOOKUP(B22,'B&amp;L'!$A$7:$BK$69,17,0)</f>
        <v>194.26</v>
      </c>
      <c r="G21" s="123">
        <f>VLOOKUP(B22,'B&amp;L'!$A$7:$BK$69,22,0)</f>
        <v>186.86</v>
      </c>
      <c r="H21" s="123">
        <f>VLOOKUP(B22,'B&amp;L'!$A$7:$BK$69,27,0)</f>
        <v>181.77</v>
      </c>
      <c r="I21" s="123">
        <f>VLOOKUP(B22,'B&amp;L'!$A$7:$BK$69,32,0)</f>
        <v>183.82</v>
      </c>
      <c r="J21" s="123">
        <f>VLOOKUP(B22,'B&amp;L'!$A$7:$BK$69,37,0)</f>
        <v>187.31</v>
      </c>
      <c r="K21" s="123">
        <f>VLOOKUP(B22,'B&amp;L'!$A$7:$BK$69,42,0)</f>
        <v>185.83</v>
      </c>
      <c r="L21" s="123">
        <f>VLOOKUP(B22,'B&amp;L'!$A$7:$BK$69,47,0)</f>
        <v>184.89</v>
      </c>
      <c r="M21" s="123">
        <f>VLOOKUP(B22,'B&amp;L'!$A$7:$BK$69,52,0)</f>
        <v>181.21</v>
      </c>
      <c r="N21" s="123">
        <f>VLOOKUP(B22,'B&amp;L'!$A$7:$BK$69,57,0)</f>
        <v>172.51</v>
      </c>
      <c r="O21" s="123">
        <f>VLOOKUP(B22,'B&amp;L'!$A$7:$BK$69,62,0)</f>
        <v>184.06</v>
      </c>
    </row>
    <row r="22" spans="1:15" ht="15" customHeight="1">
      <c r="A22" s="311"/>
      <c r="B22" s="90">
        <v>1412000048</v>
      </c>
      <c r="C22" s="82" t="s">
        <v>157</v>
      </c>
      <c r="D22" s="124">
        <f>VLOOKUP(B22,'B&amp;L'!$A$7:$BK$69,8,0)</f>
        <v>24.72</v>
      </c>
      <c r="E22" s="124">
        <f>VLOOKUP(B22,'B&amp;L'!$A$7:$BK$69,13,0)</f>
        <v>24.35</v>
      </c>
      <c r="F22" s="124">
        <f>VLOOKUP(B22,'B&amp;L'!$A$7:$BK$69,18,0)</f>
        <v>25.31</v>
      </c>
      <c r="G22" s="124">
        <f>VLOOKUP(B22,'B&amp;L'!$A$7:$BK$69,23,0)</f>
        <v>24.35</v>
      </c>
      <c r="H22" s="124">
        <f>VLOOKUP(B22,'B&amp;L'!$A$7:$BK$69,28,0)</f>
        <v>23.69</v>
      </c>
      <c r="I22" s="124">
        <f>VLOOKUP(B22,'B&amp;L'!$A$7:$BK$69,33,0)</f>
        <v>23.95</v>
      </c>
      <c r="J22" s="124">
        <f>VLOOKUP(B22,'B&amp;L'!$A$7:$BK$69,38,0)</f>
        <v>24.41</v>
      </c>
      <c r="K22" s="124">
        <f>VLOOKUP(B22,'B&amp;L'!$A$7:$BK$69,43,0)</f>
        <v>24.22</v>
      </c>
      <c r="L22" s="124">
        <f>VLOOKUP(B22,'B&amp;L'!$A$7:$BK$69,48,0)</f>
        <v>24.09</v>
      </c>
      <c r="M22" s="124">
        <f>VLOOKUP(B22,'B&amp;L'!$A$7:$BK$69,53,0)</f>
        <v>23.61</v>
      </c>
      <c r="N22" s="124">
        <f>VLOOKUP(B22,'B&amp;L'!$A$7:$BK$69,58,0)</f>
        <v>22.48</v>
      </c>
      <c r="O22" s="124">
        <f>VLOOKUP(B22,'B&amp;L'!$A$7:$BK$69,63,0)</f>
        <v>23.98</v>
      </c>
    </row>
    <row r="23" spans="1:15" ht="15" customHeight="1">
      <c r="A23" s="310">
        <v>9</v>
      </c>
      <c r="B23" s="89" t="s">
        <v>143</v>
      </c>
      <c r="C23" s="74" t="s">
        <v>156</v>
      </c>
      <c r="D23" s="123">
        <f>VLOOKUP(B24,'B&amp;L'!$A$7:$BK$69,7,0)</f>
        <v>130</v>
      </c>
      <c r="E23" s="123">
        <f>VLOOKUP(B24,'B&amp;L'!$A$7:$BK$69,12,0)</f>
        <v>125.4</v>
      </c>
      <c r="F23" s="123">
        <f>VLOOKUP(B24,'B&amp;L'!$A$7:$BK$69,17,0)</f>
        <v>132.51</v>
      </c>
      <c r="G23" s="123">
        <f>VLOOKUP(B24,'B&amp;L'!$A$7:$BK$69,22,0)</f>
        <v>125.42</v>
      </c>
      <c r="H23" s="123">
        <f>VLOOKUP(B24,'B&amp;L'!$A$7:$BK$69,27,0)</f>
        <v>122.37</v>
      </c>
      <c r="I23" s="123">
        <f>VLOOKUP(B24,'B&amp;L'!$A$7:$BK$69,32,0)</f>
        <v>124.41</v>
      </c>
      <c r="J23" s="123">
        <f>VLOOKUP(B24,'B&amp;L'!$A$7:$BK$69,37,0)</f>
        <v>127.9</v>
      </c>
      <c r="K23" s="123">
        <f>VLOOKUP(B24,'B&amp;L'!$A$7:$BK$69,42,0)</f>
        <v>126.43</v>
      </c>
      <c r="L23" s="123">
        <f>VLOOKUP(B24,'B&amp;L'!$A$7:$BK$69,47,0)</f>
        <v>125.48</v>
      </c>
      <c r="M23" s="123">
        <f>VLOOKUP(B24,'B&amp;L'!$A$7:$BK$69,52,0)</f>
        <v>121.8</v>
      </c>
      <c r="N23" s="123">
        <f>VLOOKUP(B24,'B&amp;L'!$A$7:$BK$69,57,0)</f>
        <v>113.1</v>
      </c>
      <c r="O23" s="123">
        <f>VLOOKUP(B24,'B&amp;L'!$A$7:$BK$69,62,0)</f>
        <v>124.65</v>
      </c>
    </row>
    <row r="24" spans="1:15" ht="15" customHeight="1">
      <c r="A24" s="311"/>
      <c r="B24" s="90">
        <v>1412000055</v>
      </c>
      <c r="C24" s="82" t="s">
        <v>157</v>
      </c>
      <c r="D24" s="124">
        <f>VLOOKUP(B24,'B&amp;L'!$A$7:$BK$69,8,0)</f>
        <v>16.48</v>
      </c>
      <c r="E24" s="124">
        <f>VLOOKUP(B24,'B&amp;L'!$A$7:$BK$69,13,0)</f>
        <v>16.34</v>
      </c>
      <c r="F24" s="124">
        <f>VLOOKUP(B24,'B&amp;L'!$A$7:$BK$69,18,0)</f>
        <v>17.27</v>
      </c>
      <c r="G24" s="124">
        <f>VLOOKUP(B24,'B&amp;L'!$A$7:$BK$69,23,0)</f>
        <v>16.34</v>
      </c>
      <c r="H24" s="124">
        <f>VLOOKUP(B24,'B&amp;L'!$A$7:$BK$69,28,0)</f>
        <v>15.95</v>
      </c>
      <c r="I24" s="124">
        <f>VLOOKUP(B24,'B&amp;L'!$A$7:$BK$69,33,0)</f>
        <v>16.21</v>
      </c>
      <c r="J24" s="124">
        <f>VLOOKUP(B24,'B&amp;L'!$A$7:$BK$69,38,0)</f>
        <v>16.670000000000002</v>
      </c>
      <c r="K24" s="124">
        <f>VLOOKUP(B24,'B&amp;L'!$A$7:$BK$69,43,0)</f>
        <v>16.47</v>
      </c>
      <c r="L24" s="124">
        <f>VLOOKUP(B24,'B&amp;L'!$A$7:$BK$69,48,0)</f>
        <v>16.350000000000001</v>
      </c>
      <c r="M24" s="124">
        <f>VLOOKUP(B24,'B&amp;L'!$A$7:$BK$69,53,0)</f>
        <v>15.87</v>
      </c>
      <c r="N24" s="124">
        <f>VLOOKUP(B24,'B&amp;L'!$A$7:$BK$69,58,0)</f>
        <v>14.74</v>
      </c>
      <c r="O24" s="124">
        <f>VLOOKUP(B24,'B&amp;L'!$A$7:$BK$69,63,0)</f>
        <v>16.239999999999998</v>
      </c>
    </row>
    <row r="25" spans="1:15" ht="15" customHeight="1">
      <c r="A25" s="310">
        <v>10</v>
      </c>
      <c r="B25" s="89" t="s">
        <v>96</v>
      </c>
      <c r="C25" s="74" t="s">
        <v>156</v>
      </c>
      <c r="D25" s="123">
        <f>VLOOKUP(B26,'B&amp;L'!$A$7:$BK$69,7,0)</f>
        <v>24.28</v>
      </c>
      <c r="E25" s="123">
        <f>VLOOKUP(B26,'B&amp;L'!$A$7:$BK$69,12,0)</f>
        <v>22.05</v>
      </c>
      <c r="F25" s="123">
        <f>VLOOKUP(B26,'B&amp;L'!$A$7:$BK$69,17,0)</f>
        <v>24.83</v>
      </c>
      <c r="G25" s="123">
        <f>VLOOKUP(B26,'B&amp;L'!$A$7:$BK$69,22,0)</f>
        <v>26.12</v>
      </c>
      <c r="H25" s="123">
        <f>VLOOKUP(B26,'B&amp;L'!$A$7:$BK$69,27,0)</f>
        <v>23.79</v>
      </c>
      <c r="I25" s="123">
        <f>VLOOKUP(B26,'B&amp;L'!$A$7:$BK$69,32,0)</f>
        <v>28.55</v>
      </c>
      <c r="J25" s="123">
        <f>VLOOKUP(B26,'B&amp;L'!$A$7:$BK$69,37,0)</f>
        <v>28.38</v>
      </c>
      <c r="K25" s="123">
        <f>VLOOKUP(B26,'B&amp;L'!$A$7:$BK$69,42,0)</f>
        <v>27.64</v>
      </c>
      <c r="L25" s="123">
        <f>VLOOKUP(B26,'B&amp;L'!$A$7:$BK$69,47,0)</f>
        <v>25.22</v>
      </c>
      <c r="M25" s="123">
        <f>VLOOKUP(B26,'B&amp;L'!$A$7:$BK$69,52,0)</f>
        <v>23.53</v>
      </c>
      <c r="N25" s="123">
        <f>VLOOKUP(B26,'B&amp;L'!$A$7:$BK$69,57,0)</f>
        <v>18.11</v>
      </c>
      <c r="O25" s="123">
        <f>VLOOKUP(B26,'B&amp;L'!$A$7:$BK$69,62,0)</f>
        <v>22.92</v>
      </c>
    </row>
    <row r="26" spans="1:15" ht="15" customHeight="1">
      <c r="A26" s="311"/>
      <c r="B26" s="90">
        <v>1412000063</v>
      </c>
      <c r="C26" s="82" t="s">
        <v>157</v>
      </c>
      <c r="D26" s="124">
        <f>VLOOKUP(B26,'B&amp;L'!$A$7:$BK$69,8,0)</f>
        <v>3.08</v>
      </c>
      <c r="E26" s="124">
        <f>VLOOKUP(B26,'B&amp;L'!$A$7:$BK$69,13,0)</f>
        <v>2.87</v>
      </c>
      <c r="F26" s="124">
        <f>VLOOKUP(B26,'B&amp;L'!$A$7:$BK$69,18,0)</f>
        <v>3.24</v>
      </c>
      <c r="G26" s="124">
        <f>VLOOKUP(B26,'B&amp;L'!$A$7:$BK$69,23,0)</f>
        <v>3.4</v>
      </c>
      <c r="H26" s="124">
        <f>VLOOKUP(B26,'B&amp;L'!$A$7:$BK$69,28,0)</f>
        <v>3.1</v>
      </c>
      <c r="I26" s="124">
        <f>VLOOKUP(B26,'B&amp;L'!$A$7:$BK$69,33,0)</f>
        <v>3.72</v>
      </c>
      <c r="J26" s="124">
        <f>VLOOKUP(B26,'B&amp;L'!$A$7:$BK$69,38,0)</f>
        <v>3.7</v>
      </c>
      <c r="K26" s="124">
        <f>VLOOKUP(B26,'B&amp;L'!$A$7:$BK$69,43,0)</f>
        <v>3.6</v>
      </c>
      <c r="L26" s="124">
        <f>VLOOKUP(B26,'B&amp;L'!$A$7:$BK$69,48,0)</f>
        <v>3.29</v>
      </c>
      <c r="M26" s="124">
        <f>VLOOKUP(B26,'B&amp;L'!$A$7:$BK$69,53,0)</f>
        <v>3.07</v>
      </c>
      <c r="N26" s="124">
        <f>VLOOKUP(B26,'B&amp;L'!$A$7:$BK$69,58,0)</f>
        <v>2.36</v>
      </c>
      <c r="O26" s="124">
        <f>VLOOKUP(B26,'B&amp;L'!$A$7:$BK$69,63,0)</f>
        <v>2.99</v>
      </c>
    </row>
    <row r="27" spans="1:15" ht="15" customHeight="1">
      <c r="A27" s="308">
        <v>11</v>
      </c>
      <c r="B27" s="89" t="s">
        <v>142</v>
      </c>
      <c r="C27" s="74" t="s">
        <v>156</v>
      </c>
      <c r="D27" s="123">
        <f>VLOOKUP(B28,'B&amp;L'!$A$7:$BK$69,7,0)</f>
        <v>1040.28</v>
      </c>
      <c r="E27" s="123">
        <f>VLOOKUP(B28,'B&amp;L'!$A$7:$BK$69,12,0)</f>
        <v>986.99</v>
      </c>
      <c r="F27" s="123">
        <f>VLOOKUP(B28,'B&amp;L'!$A$7:$BK$69,17,0)</f>
        <v>991.83</v>
      </c>
      <c r="G27" s="123">
        <f>VLOOKUP(B28,'B&amp;L'!$A$7:$BK$69,22,0)</f>
        <v>987.05</v>
      </c>
      <c r="H27" s="123">
        <f>VLOOKUP(B28,'B&amp;L'!$A$7:$BK$69,27,0)</f>
        <v>982.24</v>
      </c>
      <c r="I27" s="123">
        <f>VLOOKUP(B28,'B&amp;L'!$A$7:$BK$69,32,0)</f>
        <v>982.75</v>
      </c>
      <c r="J27" s="123">
        <f>VLOOKUP(B28,'B&amp;L'!$A$7:$BK$69,37,0)</f>
        <v>987.77</v>
      </c>
      <c r="K27" s="123">
        <f>VLOOKUP(B28,'B&amp;L'!$A$7:$BK$69,42,0)</f>
        <v>984.72</v>
      </c>
      <c r="L27" s="123">
        <f>VLOOKUP(B28,'B&amp;L'!$A$7:$BK$69,47,0)</f>
        <v>984.23</v>
      </c>
      <c r="M27" s="123">
        <f>VLOOKUP(B28,'B&amp;L'!$A$7:$BK$69,52,0)</f>
        <v>981.55</v>
      </c>
      <c r="N27" s="123">
        <f>VLOOKUP(B28,'B&amp;L'!$A$7:$BK$69,57,0)</f>
        <v>968.9</v>
      </c>
      <c r="O27" s="123">
        <f>VLOOKUP(B28,'B&amp;L'!$A$7:$BK$69,62,0)</f>
        <v>985.34</v>
      </c>
    </row>
    <row r="28" spans="1:15" ht="15" customHeight="1">
      <c r="A28" s="308"/>
      <c r="B28" s="90">
        <v>1412000044</v>
      </c>
      <c r="C28" s="82" t="s">
        <v>157</v>
      </c>
      <c r="D28" s="124">
        <f>VLOOKUP(B28,'B&amp;L'!$A$7:$BK$69,8,0)</f>
        <v>131.9</v>
      </c>
      <c r="E28" s="124">
        <f>VLOOKUP(B28,'B&amp;L'!$A$7:$BK$69,13,0)</f>
        <v>128.61000000000001</v>
      </c>
      <c r="F28" s="124">
        <f>VLOOKUP(B28,'B&amp;L'!$A$7:$BK$69,18,0)</f>
        <v>129.24</v>
      </c>
      <c r="G28" s="124">
        <f>VLOOKUP(B28,'B&amp;L'!$A$7:$BK$69,23,0)</f>
        <v>128.62</v>
      </c>
      <c r="H28" s="124">
        <f>VLOOKUP(B28,'B&amp;L'!$A$7:$BK$69,28,0)</f>
        <v>127.99</v>
      </c>
      <c r="I28" s="124">
        <f>VLOOKUP(B28,'B&amp;L'!$A$7:$BK$69,33,0)</f>
        <v>128.06</v>
      </c>
      <c r="J28" s="124">
        <f>VLOOKUP(B28,'B&amp;L'!$A$7:$BK$69,38,0)</f>
        <v>128.71</v>
      </c>
      <c r="K28" s="124">
        <f>VLOOKUP(B28,'B&amp;L'!$A$7:$BK$69,43,0)</f>
        <v>128.32</v>
      </c>
      <c r="L28" s="124">
        <f>VLOOKUP(B28,'B&amp;L'!$A$7:$BK$69,48,0)</f>
        <v>128.25</v>
      </c>
      <c r="M28" s="124">
        <f>VLOOKUP(B28,'B&amp;L'!$A$7:$BK$69,53,0)</f>
        <v>127.9</v>
      </c>
      <c r="N28" s="124">
        <f>VLOOKUP(B28,'B&amp;L'!$A$7:$BK$69,58,0)</f>
        <v>126.25</v>
      </c>
      <c r="O28" s="124">
        <f>VLOOKUP(B28,'B&amp;L'!$A$7:$BK$69,63,0)</f>
        <v>128.4</v>
      </c>
    </row>
    <row r="29" spans="1:15" ht="15" customHeight="1">
      <c r="A29" s="309">
        <v>12</v>
      </c>
      <c r="B29" s="89" t="s">
        <v>109</v>
      </c>
      <c r="C29" s="74" t="s">
        <v>156</v>
      </c>
      <c r="D29" s="123">
        <f>VLOOKUP(B30,'B&amp;L'!$A$7:$BK$69,7,0)</f>
        <v>70.72</v>
      </c>
      <c r="E29" s="123">
        <f>VLOOKUP(B30,'B&amp;L'!$A$7:$BK$69,12,0)</f>
        <v>66.739999999999995</v>
      </c>
      <c r="F29" s="123">
        <f>VLOOKUP(B30,'B&amp;L'!$A$7:$BK$69,17,0)</f>
        <v>68.069999999999993</v>
      </c>
      <c r="G29" s="123">
        <f>VLOOKUP(B30,'B&amp;L'!$A$7:$BK$69,22,0)</f>
        <v>66.75</v>
      </c>
      <c r="H29" s="123">
        <f>VLOOKUP(B30,'B&amp;L'!$A$7:$BK$69,27,0)</f>
        <v>65.430000000000007</v>
      </c>
      <c r="I29" s="123">
        <f>VLOOKUP(B30,'B&amp;L'!$A$7:$BK$69,32,0)</f>
        <v>65.569999999999993</v>
      </c>
      <c r="J29" s="123">
        <f>VLOOKUP(B30,'B&amp;L'!$A$7:$BK$69,37,0)</f>
        <v>66.95</v>
      </c>
      <c r="K29" s="123">
        <f>VLOOKUP(B30,'B&amp;L'!$A$7:$BK$69,42,0)</f>
        <v>66.11</v>
      </c>
      <c r="L29" s="123">
        <f>VLOOKUP(B30,'B&amp;L'!$A$7:$BK$69,47,0)</f>
        <v>65.98</v>
      </c>
      <c r="M29" s="123">
        <f>VLOOKUP(B30,'B&amp;L'!$A$7:$BK$69,52,0)</f>
        <v>65.239999999999995</v>
      </c>
      <c r="N29" s="123">
        <f>VLOOKUP(B30,'B&amp;L'!$A$7:$BK$69,57,0)</f>
        <v>61.75</v>
      </c>
      <c r="O29" s="123">
        <f>VLOOKUP(B30,'B&amp;L'!$A$7:$BK$69,62,0)</f>
        <v>66.28</v>
      </c>
    </row>
    <row r="30" spans="1:15" ht="15" customHeight="1">
      <c r="A30" s="309"/>
      <c r="B30" s="90">
        <v>1412000087</v>
      </c>
      <c r="C30" s="82" t="s">
        <v>157</v>
      </c>
      <c r="D30" s="124">
        <f>VLOOKUP(B30,'B&amp;L'!$A$7:$BK$69,8,0)</f>
        <v>8.9700000000000006</v>
      </c>
      <c r="E30" s="124">
        <f>VLOOKUP(B30,'B&amp;L'!$A$7:$BK$69,13,0)</f>
        <v>8.6999999999999993</v>
      </c>
      <c r="F30" s="124">
        <f>VLOOKUP(B30,'B&amp;L'!$A$7:$BK$69,18,0)</f>
        <v>8.8699999999999992</v>
      </c>
      <c r="G30" s="124">
        <f>VLOOKUP(B30,'B&amp;L'!$A$7:$BK$69,23,0)</f>
        <v>8.6999999999999993</v>
      </c>
      <c r="H30" s="124">
        <f>VLOOKUP(B30,'B&amp;L'!$A$7:$BK$69,28,0)</f>
        <v>8.5299999999999994</v>
      </c>
      <c r="I30" s="124">
        <f>VLOOKUP(B30,'B&amp;L'!$A$7:$BK$69,33,0)</f>
        <v>8.5399999999999991</v>
      </c>
      <c r="J30" s="124">
        <f>VLOOKUP(B30,'B&amp;L'!$A$7:$BK$69,38,0)</f>
        <v>8.7200000000000006</v>
      </c>
      <c r="K30" s="124">
        <f>VLOOKUP(B30,'B&amp;L'!$A$7:$BK$69,43,0)</f>
        <v>8.61</v>
      </c>
      <c r="L30" s="124">
        <f>VLOOKUP(B30,'B&amp;L'!$A$7:$BK$69,48,0)</f>
        <v>8.6</v>
      </c>
      <c r="M30" s="124">
        <f>VLOOKUP(B30,'B&amp;L'!$A$7:$BK$69,53,0)</f>
        <v>8.5</v>
      </c>
      <c r="N30" s="124">
        <f>VLOOKUP(B30,'B&amp;L'!$A$7:$BK$69,58,0)</f>
        <v>8.0500000000000007</v>
      </c>
      <c r="O30" s="124">
        <f>VLOOKUP(B30,'B&amp;L'!$A$7:$BK$69,63,0)</f>
        <v>8.64</v>
      </c>
    </row>
    <row r="31" spans="1:15" ht="15" customHeight="1">
      <c r="A31" s="310">
        <v>13</v>
      </c>
      <c r="B31" s="89" t="s">
        <v>110</v>
      </c>
      <c r="C31" s="74" t="s">
        <v>156</v>
      </c>
      <c r="D31" s="123">
        <f>VLOOKUP(B32,'B&amp;L'!$A$7:$BK$69,7,0)</f>
        <v>234.34</v>
      </c>
      <c r="E31" s="123">
        <f>VLOOKUP(B32,'B&amp;L'!$A$7:$BK$69,12,0)</f>
        <v>221.13</v>
      </c>
      <c r="F31" s="123">
        <f>VLOOKUP(B32,'B&amp;L'!$A$7:$BK$69,17,0)</f>
        <v>225.14</v>
      </c>
      <c r="G31" s="123">
        <f>VLOOKUP(B32,'B&amp;L'!$A$7:$BK$69,22,0)</f>
        <v>221.19</v>
      </c>
      <c r="H31" s="123">
        <f>VLOOKUP(B32,'B&amp;L'!$A$7:$BK$69,27,0)</f>
        <v>217.2</v>
      </c>
      <c r="I31" s="123">
        <f>VLOOKUP(B32,'B&amp;L'!$A$7:$BK$69,32,0)</f>
        <v>217.62</v>
      </c>
      <c r="J31" s="123">
        <f>VLOOKUP(B32,'B&amp;L'!$A$7:$BK$69,37,0)</f>
        <v>221.78</v>
      </c>
      <c r="K31" s="123">
        <f>VLOOKUP(B32,'B&amp;L'!$A$7:$BK$69,42,0)</f>
        <v>219.26</v>
      </c>
      <c r="L31" s="123">
        <f>VLOOKUP(B32,'B&amp;L'!$A$7:$BK$69,47,0)</f>
        <v>218.85</v>
      </c>
      <c r="M31" s="123">
        <f>VLOOKUP(B32,'B&amp;L'!$A$7:$BK$69,52,0)</f>
        <v>216.63</v>
      </c>
      <c r="N31" s="123">
        <f>VLOOKUP(B32,'B&amp;L'!$A$7:$BK$69,57,0)</f>
        <v>206.16</v>
      </c>
      <c r="O31" s="123">
        <f>VLOOKUP(B32,'B&amp;L'!$A$7:$BK$69,62,0)</f>
        <v>219.77</v>
      </c>
    </row>
    <row r="32" spans="1:15" ht="15" customHeight="1">
      <c r="A32" s="311"/>
      <c r="B32" s="90">
        <v>1412000088</v>
      </c>
      <c r="C32" s="82" t="s">
        <v>157</v>
      </c>
      <c r="D32" s="124">
        <f>VLOOKUP(B32,'B&amp;L'!$A$7:$BK$69,8,0)</f>
        <v>29.71</v>
      </c>
      <c r="E32" s="124">
        <f>VLOOKUP(B32,'B&amp;L'!$A$7:$BK$69,13,0)</f>
        <v>28.82</v>
      </c>
      <c r="F32" s="124">
        <f>VLOOKUP(B32,'B&amp;L'!$A$7:$BK$69,18,0)</f>
        <v>29.34</v>
      </c>
      <c r="G32" s="124">
        <f>VLOOKUP(B32,'B&amp;L'!$A$7:$BK$69,23,0)</f>
        <v>28.82</v>
      </c>
      <c r="H32" s="124">
        <f>VLOOKUP(B32,'B&amp;L'!$A$7:$BK$69,28,0)</f>
        <v>28.3</v>
      </c>
      <c r="I32" s="124">
        <f>VLOOKUP(B32,'B&amp;L'!$A$7:$BK$69,33,0)</f>
        <v>28.36</v>
      </c>
      <c r="J32" s="124">
        <f>VLOOKUP(B32,'B&amp;L'!$A$7:$BK$69,38,0)</f>
        <v>28.9</v>
      </c>
      <c r="K32" s="124">
        <f>VLOOKUP(B32,'B&amp;L'!$A$7:$BK$69,43,0)</f>
        <v>28.57</v>
      </c>
      <c r="L32" s="124">
        <f>VLOOKUP(B32,'B&amp;L'!$A$7:$BK$69,48,0)</f>
        <v>28.52</v>
      </c>
      <c r="M32" s="124">
        <f>VLOOKUP(B32,'B&amp;L'!$A$7:$BK$69,53,0)</f>
        <v>28.23</v>
      </c>
      <c r="N32" s="124">
        <f>VLOOKUP(B32,'B&amp;L'!$A$7:$BK$69,58,0)</f>
        <v>26.86</v>
      </c>
      <c r="O32" s="124">
        <f>VLOOKUP(B32,'B&amp;L'!$A$7:$BK$69,63,0)</f>
        <v>28.64</v>
      </c>
    </row>
    <row r="33" spans="1:15" ht="15" customHeight="1">
      <c r="A33" s="310">
        <v>14</v>
      </c>
      <c r="B33" s="89" t="s">
        <v>144</v>
      </c>
      <c r="C33" s="74" t="s">
        <v>156</v>
      </c>
      <c r="D33" s="123">
        <f>VLOOKUP(B34,'B&amp;L'!$A$7:$BK$69,7,0)</f>
        <v>7379</v>
      </c>
      <c r="E33" s="123">
        <f>VLOOKUP(B34,'B&amp;L'!$A$7:$BK$69,12,0)</f>
        <v>6962.8</v>
      </c>
      <c r="F33" s="123">
        <f>VLOOKUP(B34,'B&amp;L'!$A$7:$BK$69,17,0)</f>
        <v>6979.65</v>
      </c>
      <c r="G33" s="123">
        <f>VLOOKUP(B34,'B&amp;L'!$A$7:$BK$69,22,0)</f>
        <v>6958</v>
      </c>
      <c r="H33" s="123">
        <f>VLOOKUP(B34,'B&amp;L'!$A$7:$BK$69,27,0)</f>
        <v>6936.55</v>
      </c>
      <c r="I33" s="123">
        <f>VLOOKUP(B34,'B&amp;L'!$A$7:$BK$69,32,0)</f>
        <v>6940.92</v>
      </c>
      <c r="J33" s="123">
        <f>VLOOKUP(B34,'B&amp;L'!$A$7:$BK$69,37,0)</f>
        <v>6963.38</v>
      </c>
      <c r="K33" s="123">
        <f>VLOOKUP(B34,'B&amp;L'!$A$7:$BK$69,42,0)</f>
        <v>6953.66</v>
      </c>
      <c r="L33" s="123">
        <f>VLOOKUP(B34,'B&amp;L'!$A$7:$BK$69,47,0)</f>
        <v>6954.12</v>
      </c>
      <c r="M33" s="123">
        <f>VLOOKUP(B34,'B&amp;L'!$A$7:$BK$69,52,0)</f>
        <v>6943.21</v>
      </c>
      <c r="N33" s="123">
        <f>VLOOKUP(B34,'B&amp;L'!$A$7:$BK$69,57,0)</f>
        <v>6891.72</v>
      </c>
      <c r="O33" s="123">
        <f>VLOOKUP(B34,'B&amp;L'!$A$7:$BK$69,62,0)</f>
        <v>6958.63</v>
      </c>
    </row>
    <row r="34" spans="1:15" ht="15" customHeight="1">
      <c r="A34" s="311"/>
      <c r="B34" s="90">
        <v>1412000056</v>
      </c>
      <c r="C34" s="82" t="s">
        <v>157</v>
      </c>
      <c r="D34" s="124">
        <f>VLOOKUP(B34,'B&amp;L'!$A$7:$BK$69,8,0)</f>
        <v>935.58</v>
      </c>
      <c r="E34" s="124">
        <f>VLOOKUP(B34,'B&amp;L'!$A$7:$BK$69,13,0)</f>
        <v>907.31</v>
      </c>
      <c r="F34" s="124">
        <f>VLOOKUP(B34,'B&amp;L'!$A$7:$BK$69,18,0)</f>
        <v>909.5</v>
      </c>
      <c r="G34" s="124">
        <f>VLOOKUP(B34,'B&amp;L'!$A$7:$BK$69,23,0)</f>
        <v>906.68</v>
      </c>
      <c r="H34" s="124">
        <f>VLOOKUP(B34,'B&amp;L'!$A$7:$BK$69,28,0)</f>
        <v>903.89</v>
      </c>
      <c r="I34" s="124">
        <f>VLOOKUP(B34,'B&amp;L'!$A$7:$BK$69,33,0)</f>
        <v>904.46</v>
      </c>
      <c r="J34" s="124">
        <f>VLOOKUP(B34,'B&amp;L'!$A$7:$BK$69,38,0)</f>
        <v>907.38</v>
      </c>
      <c r="K34" s="124">
        <f>VLOOKUP(B34,'B&amp;L'!$A$7:$BK$69,43,0)</f>
        <v>906.12</v>
      </c>
      <c r="L34" s="124">
        <f>VLOOKUP(B34,'B&amp;L'!$A$7:$BK$69,48,0)</f>
        <v>906.18</v>
      </c>
      <c r="M34" s="124">
        <f>VLOOKUP(B34,'B&amp;L'!$A$7:$BK$69,53,0)</f>
        <v>904.76</v>
      </c>
      <c r="N34" s="124">
        <f>VLOOKUP(B34,'B&amp;L'!$A$7:$BK$69,58,0)</f>
        <v>898.05</v>
      </c>
      <c r="O34" s="124">
        <f>VLOOKUP(B34,'B&amp;L'!$A$7:$BK$69,63,0)</f>
        <v>906.76</v>
      </c>
    </row>
    <row r="35" spans="1:15" ht="15" customHeight="1">
      <c r="A35" s="310">
        <v>15</v>
      </c>
      <c r="B35" s="89" t="s">
        <v>146</v>
      </c>
      <c r="C35" s="74" t="s">
        <v>156</v>
      </c>
      <c r="D35" s="123">
        <f>VLOOKUP(B36,'B&amp;L'!$A$7:$BK$69,7,0)</f>
        <v>183.49</v>
      </c>
      <c r="E35" s="123">
        <f>VLOOKUP(B36,'B&amp;L'!$A$7:$BK$69,12,0)</f>
        <v>173.09</v>
      </c>
      <c r="F35" s="123">
        <f>VLOOKUP(B36,'B&amp;L'!$A$7:$BK$69,17,0)</f>
        <v>173.39</v>
      </c>
      <c r="G35" s="123">
        <f>VLOOKUP(B36,'B&amp;L'!$A$7:$BK$69,22,0)</f>
        <v>172.98</v>
      </c>
      <c r="H35" s="123">
        <f>VLOOKUP(B36,'B&amp;L'!$A$7:$BK$69,27,0)</f>
        <v>180.18</v>
      </c>
      <c r="I35" s="123">
        <f>VLOOKUP(B36,'B&amp;L'!$A$7:$BK$69,32,0)</f>
        <v>180.26</v>
      </c>
      <c r="J35" s="123">
        <f>VLOOKUP(B36,'B&amp;L'!$A$7:$BK$69,37,0)</f>
        <v>180.47</v>
      </c>
      <c r="K35" s="123">
        <f>VLOOKUP(B36,'B&amp;L'!$A$7:$BK$69,42,0)</f>
        <v>180.37</v>
      </c>
      <c r="L35" s="123">
        <f>VLOOKUP(B36,'B&amp;L'!$A$7:$BK$69,47,0)</f>
        <v>184.04</v>
      </c>
      <c r="M35" s="123">
        <f>VLOOKUP(B36,'B&amp;L'!$A$7:$BK$69,52,0)</f>
        <v>183.85</v>
      </c>
      <c r="N35" s="123">
        <f>VLOOKUP(B36,'B&amp;L'!$A$7:$BK$69,57,0)</f>
        <v>183.26</v>
      </c>
      <c r="O35" s="123">
        <f>VLOOKUP(B36,'B&amp;L'!$A$7:$BK$69,62,0)</f>
        <v>184.03</v>
      </c>
    </row>
    <row r="36" spans="1:15" ht="15" customHeight="1">
      <c r="A36" s="311"/>
      <c r="B36" s="90">
        <v>1412000080</v>
      </c>
      <c r="C36" s="82" t="s">
        <v>157</v>
      </c>
      <c r="D36" s="124">
        <f>VLOOKUP(B36,'B&amp;L'!$A$7:$BK$69,8,0)</f>
        <v>23.26</v>
      </c>
      <c r="E36" s="124">
        <f>VLOOKUP(B36,'B&amp;L'!$A$7:$BK$69,13,0)</f>
        <v>22.56</v>
      </c>
      <c r="F36" s="124">
        <f>VLOOKUP(B36,'B&amp;L'!$A$7:$BK$69,18,0)</f>
        <v>22.59</v>
      </c>
      <c r="G36" s="124">
        <f>VLOOKUP(B36,'B&amp;L'!$A$7:$BK$69,23,0)</f>
        <v>22.54</v>
      </c>
      <c r="H36" s="124">
        <f>VLOOKUP(B36,'B&amp;L'!$A$7:$BK$69,28,0)</f>
        <v>23.48</v>
      </c>
      <c r="I36" s="124">
        <f>VLOOKUP(B36,'B&amp;L'!$A$7:$BK$69,33,0)</f>
        <v>23.49</v>
      </c>
      <c r="J36" s="124">
        <f>VLOOKUP(B36,'B&amp;L'!$A$7:$BK$69,38,0)</f>
        <v>23.52</v>
      </c>
      <c r="K36" s="124">
        <f>VLOOKUP(B36,'B&amp;L'!$A$7:$BK$69,43,0)</f>
        <v>23.5</v>
      </c>
      <c r="L36" s="124">
        <f>VLOOKUP(B36,'B&amp;L'!$A$7:$BK$69,48,0)</f>
        <v>23.98</v>
      </c>
      <c r="M36" s="124">
        <f>VLOOKUP(B36,'B&amp;L'!$A$7:$BK$69,53,0)</f>
        <v>23.96</v>
      </c>
      <c r="N36" s="124">
        <f>VLOOKUP(B36,'B&amp;L'!$A$7:$BK$69,58,0)</f>
        <v>23.88</v>
      </c>
      <c r="O36" s="124">
        <f>VLOOKUP(B36,'B&amp;L'!$A$7:$BK$69,63,0)</f>
        <v>23.98</v>
      </c>
    </row>
    <row r="37" spans="1:15" ht="15" customHeight="1">
      <c r="A37" s="310">
        <v>16</v>
      </c>
      <c r="B37" s="264" t="s">
        <v>80</v>
      </c>
      <c r="C37" s="265" t="s">
        <v>156</v>
      </c>
      <c r="D37" s="266">
        <f>VLOOKUP(B38,'B&amp;L'!$A$7:$BK$69,7,0)</f>
        <v>331.11</v>
      </c>
      <c r="E37" s="266">
        <f>VLOOKUP(B38,'B&amp;L'!$A$7:$BK$69,12,0)</f>
        <v>313.70999999999998</v>
      </c>
      <c r="F37" s="266">
        <f>VLOOKUP(B38,'B&amp;L'!$A$7:$BK$69,17,0)</f>
        <v>320.86</v>
      </c>
      <c r="G37" s="266">
        <f>VLOOKUP(B38,'B&amp;L'!$A$7:$BK$69,22,0)</f>
        <v>326.42</v>
      </c>
      <c r="H37" s="266">
        <f>VLOOKUP(B38,'B&amp;L'!$A$7:$BK$69,27,0)</f>
        <v>319.92</v>
      </c>
      <c r="I37" s="266">
        <f>VLOOKUP(B38,'B&amp;L'!$A$7:$BK$69,32,0)</f>
        <v>321.55</v>
      </c>
      <c r="J37" s="266">
        <f>VLOOKUP(B38,'B&amp;L'!$A$7:$BK$69,37,0)</f>
        <v>332.3</v>
      </c>
      <c r="K37" s="266">
        <f>VLOOKUP(B38,'B&amp;L'!$A$7:$BK$69,42,0)</f>
        <v>329.07</v>
      </c>
      <c r="L37" s="266">
        <f>VLOOKUP(B38,'B&amp;L'!$A$7:$BK$69,47,0)</f>
        <v>328.11</v>
      </c>
      <c r="M37" s="266">
        <f>VLOOKUP(B38,'B&amp;L'!$A$7:$BK$69,52,0)</f>
        <v>323.77999999999997</v>
      </c>
      <c r="N37" s="266">
        <f>VLOOKUP(B38,'B&amp;L'!$A$7:$BK$69,57,0)</f>
        <v>308.74</v>
      </c>
      <c r="O37" s="266">
        <f>VLOOKUP(B38,'B&amp;L'!$A$7:$BK$69,62,0)</f>
        <v>328.43</v>
      </c>
    </row>
    <row r="38" spans="1:15" ht="15" customHeight="1">
      <c r="A38" s="311"/>
      <c r="B38" s="267">
        <v>1412000053</v>
      </c>
      <c r="C38" s="268" t="s">
        <v>157</v>
      </c>
      <c r="D38" s="269">
        <f>VLOOKUP(B38,'B&amp;L'!$A$7:$BK$69,8,0)</f>
        <v>41.98</v>
      </c>
      <c r="E38" s="269">
        <f>VLOOKUP(B38,'B&amp;L'!$A$7:$BK$69,13,0)</f>
        <v>40.880000000000003</v>
      </c>
      <c r="F38" s="269">
        <f>VLOOKUP(B38,'B&amp;L'!$A$7:$BK$69,18,0)</f>
        <v>41.81</v>
      </c>
      <c r="G38" s="269">
        <f>VLOOKUP(B38,'B&amp;L'!$A$7:$BK$69,23,0)</f>
        <v>42.53</v>
      </c>
      <c r="H38" s="269">
        <f>VLOOKUP(B38,'B&amp;L'!$A$7:$BK$69,28,0)</f>
        <v>41.69</v>
      </c>
      <c r="I38" s="269">
        <f>VLOOKUP(B38,'B&amp;L'!$A$7:$BK$69,33,0)</f>
        <v>41.9</v>
      </c>
      <c r="J38" s="269">
        <f>VLOOKUP(B38,'B&amp;L'!$A$7:$BK$69,38,0)</f>
        <v>43.3</v>
      </c>
      <c r="K38" s="269">
        <f>VLOOKUP(B38,'B&amp;L'!$A$7:$BK$69,43,0)</f>
        <v>42.88</v>
      </c>
      <c r="L38" s="269">
        <f>VLOOKUP(B38,'B&amp;L'!$A$7:$BK$69,48,0)</f>
        <v>42.76</v>
      </c>
      <c r="M38" s="269">
        <f>VLOOKUP(B38,'B&amp;L'!$A$7:$BK$69,53,0)</f>
        <v>42.19</v>
      </c>
      <c r="N38" s="269">
        <f>VLOOKUP(B38,'B&amp;L'!$A$7:$BK$69,58,0)</f>
        <v>40.229999999999997</v>
      </c>
      <c r="O38" s="269">
        <f>VLOOKUP(B38,'B&amp;L'!$A$7:$BK$69,63,0)</f>
        <v>42.8</v>
      </c>
    </row>
    <row r="39" spans="1:15" ht="15" customHeight="1">
      <c r="A39" s="308">
        <v>17</v>
      </c>
      <c r="B39" s="264" t="s">
        <v>81</v>
      </c>
      <c r="C39" s="265" t="s">
        <v>156</v>
      </c>
      <c r="D39" s="266">
        <f>VLOOKUP(B40,'B&amp;L'!$A$7:$BK$69,7,0)</f>
        <v>871.88</v>
      </c>
      <c r="E39" s="266">
        <f>VLOOKUP(B40,'B&amp;L'!$A$7:$BK$69,12,0)</f>
        <v>823.95</v>
      </c>
      <c r="F39" s="266">
        <f>VLOOKUP(B40,'B&amp;L'!$A$7:$BK$69,17,0)</f>
        <v>851.93</v>
      </c>
      <c r="G39" s="266">
        <f>VLOOKUP(B40,'B&amp;L'!$A$7:$BK$69,22,0)</f>
        <v>824.28</v>
      </c>
      <c r="H39" s="266">
        <f>VLOOKUP(B40,'B&amp;L'!$A$7:$BK$69,27,0)</f>
        <v>798.11</v>
      </c>
      <c r="I39" s="266">
        <f>VLOOKUP(B40,'B&amp;L'!$A$7:$BK$69,32,0)</f>
        <v>801.92</v>
      </c>
      <c r="J39" s="266">
        <f>VLOOKUP(B40,'B&amp;L'!$A$7:$BK$69,37,0)</f>
        <v>827.93</v>
      </c>
      <c r="K39" s="266">
        <f>VLOOKUP(B40,'B&amp;L'!$A$7:$BK$69,42,0)</f>
        <v>812.62</v>
      </c>
      <c r="L39" s="266">
        <f>VLOOKUP(B40,'B&amp;L'!$A$7:$BK$69,47,0)</f>
        <v>809.65</v>
      </c>
      <c r="M39" s="266">
        <f>VLOOKUP(B40,'B&amp;L'!$A$7:$BK$69,52,0)</f>
        <v>794.48</v>
      </c>
      <c r="N39" s="266">
        <f>VLOOKUP(B40,'B&amp;L'!$A$7:$BK$69,57,0)</f>
        <v>728.97</v>
      </c>
      <c r="O39" s="266">
        <f>VLOOKUP(B40,'B&amp;L'!$A$7:$BK$69,62,0)</f>
        <v>814.26</v>
      </c>
    </row>
    <row r="40" spans="1:15" ht="15" customHeight="1">
      <c r="A40" s="308"/>
      <c r="B40" s="267">
        <v>1412000104</v>
      </c>
      <c r="C40" s="268" t="s">
        <v>157</v>
      </c>
      <c r="D40" s="269">
        <f>VLOOKUP(B40,'B&amp;L'!$A$7:$BK$69,8,0)</f>
        <v>110.55</v>
      </c>
      <c r="E40" s="269">
        <f>VLOOKUP(B40,'B&amp;L'!$A$7:$BK$69,13,0)</f>
        <v>107.37</v>
      </c>
      <c r="F40" s="269">
        <f>VLOOKUP(B40,'B&amp;L'!$A$7:$BK$69,18,0)</f>
        <v>111.01</v>
      </c>
      <c r="G40" s="269">
        <f>VLOOKUP(B40,'B&amp;L'!$A$7:$BK$69,23,0)</f>
        <v>107.41</v>
      </c>
      <c r="H40" s="269">
        <f>VLOOKUP(B40,'B&amp;L'!$A$7:$BK$69,28,0)</f>
        <v>104</v>
      </c>
      <c r="I40" s="269">
        <f>VLOOKUP(B40,'B&amp;L'!$A$7:$BK$69,33,0)</f>
        <v>104.5</v>
      </c>
      <c r="J40" s="269">
        <f>VLOOKUP(B40,'B&amp;L'!$A$7:$BK$69,38,0)</f>
        <v>107.89</v>
      </c>
      <c r="K40" s="269">
        <f>VLOOKUP(B40,'B&amp;L'!$A$7:$BK$69,43,0)</f>
        <v>105.89</v>
      </c>
      <c r="L40" s="269">
        <f>VLOOKUP(B40,'B&amp;L'!$A$7:$BK$69,48,0)</f>
        <v>105.5</v>
      </c>
      <c r="M40" s="269">
        <f>VLOOKUP(B40,'B&amp;L'!$A$7:$BK$69,53,0)</f>
        <v>103.53</v>
      </c>
      <c r="N40" s="269">
        <f>VLOOKUP(B40,'B&amp;L'!$A$7:$BK$69,58,0)</f>
        <v>94.99</v>
      </c>
      <c r="O40" s="269">
        <f>VLOOKUP(B40,'B&amp;L'!$A$7:$BK$69,63,0)</f>
        <v>106.1</v>
      </c>
    </row>
    <row r="41" spans="1:15" ht="15" customHeight="1">
      <c r="A41" s="309">
        <v>18</v>
      </c>
      <c r="B41" s="264" t="s">
        <v>83</v>
      </c>
      <c r="C41" s="265" t="s">
        <v>156</v>
      </c>
      <c r="D41" s="266">
        <f>VLOOKUP(B42,'B&amp;L'!$A$7:$BK$69,7,0)</f>
        <v>205.54</v>
      </c>
      <c r="E41" s="266">
        <f>VLOOKUP(B42,'B&amp;L'!$A$7:$BK$69,12,0)</f>
        <v>194.29</v>
      </c>
      <c r="F41" s="266">
        <f>VLOOKUP(B42,'B&amp;L'!$A$7:$BK$69,17,0)</f>
        <v>198.2</v>
      </c>
      <c r="G41" s="266">
        <f>VLOOKUP(B42,'B&amp;L'!$A$7:$BK$69,22,0)</f>
        <v>194.33</v>
      </c>
      <c r="H41" s="266">
        <f>VLOOKUP(B42,'B&amp;L'!$A$7:$BK$69,27,0)</f>
        <v>190.83</v>
      </c>
      <c r="I41" s="266">
        <f>VLOOKUP(B42,'B&amp;L'!$A$7:$BK$69,32,0)</f>
        <v>191.45</v>
      </c>
      <c r="J41" s="266">
        <f>VLOOKUP(B42,'B&amp;L'!$A$7:$BK$69,37,0)</f>
        <v>194.8</v>
      </c>
      <c r="K41" s="266">
        <f>VLOOKUP(B42,'B&amp;L'!$A$7:$BK$69,42,0)</f>
        <v>192.87</v>
      </c>
      <c r="L41" s="266">
        <f>VLOOKUP(B42,'B&amp;L'!$A$7:$BK$69,47,0)</f>
        <v>192.45</v>
      </c>
      <c r="M41" s="266">
        <f>VLOOKUP(B42,'B&amp;L'!$A$7:$BK$69,52,0)</f>
        <v>190.35</v>
      </c>
      <c r="N41" s="266">
        <f>VLOOKUP(B42,'B&amp;L'!$A$7:$BK$69,57,0)</f>
        <v>181.92</v>
      </c>
      <c r="O41" s="266">
        <f>VLOOKUP(B42,'B&amp;L'!$A$7:$BK$69,62,0)</f>
        <v>192.92</v>
      </c>
    </row>
    <row r="42" spans="1:15" ht="15" customHeight="1">
      <c r="A42" s="309"/>
      <c r="B42" s="267">
        <v>1412000105</v>
      </c>
      <c r="C42" s="268" t="s">
        <v>157</v>
      </c>
      <c r="D42" s="269">
        <f>VLOOKUP(B42,'B&amp;L'!$A$7:$BK$69,8,0)</f>
        <v>26.06</v>
      </c>
      <c r="E42" s="269">
        <f>VLOOKUP(B42,'B&amp;L'!$A$7:$BK$69,13,0)</f>
        <v>25.32</v>
      </c>
      <c r="F42" s="269">
        <f>VLOOKUP(B42,'B&amp;L'!$A$7:$BK$69,18,0)</f>
        <v>25.83</v>
      </c>
      <c r="G42" s="269">
        <f>VLOOKUP(B42,'B&amp;L'!$A$7:$BK$69,23,0)</f>
        <v>25.32</v>
      </c>
      <c r="H42" s="269">
        <f>VLOOKUP(B42,'B&amp;L'!$A$7:$BK$69,28,0)</f>
        <v>24.87</v>
      </c>
      <c r="I42" s="269">
        <f>VLOOKUP(B42,'B&amp;L'!$A$7:$BK$69,33,0)</f>
        <v>24.95</v>
      </c>
      <c r="J42" s="269">
        <f>VLOOKUP(B42,'B&amp;L'!$A$7:$BK$69,38,0)</f>
        <v>25.38</v>
      </c>
      <c r="K42" s="269">
        <f>VLOOKUP(B42,'B&amp;L'!$A$7:$BK$69,43,0)</f>
        <v>25.13</v>
      </c>
      <c r="L42" s="269">
        <f>VLOOKUP(B42,'B&amp;L'!$A$7:$BK$69,48,0)</f>
        <v>25.08</v>
      </c>
      <c r="M42" s="269">
        <f>VLOOKUP(B42,'B&amp;L'!$A$7:$BK$69,53,0)</f>
        <v>24.8</v>
      </c>
      <c r="N42" s="269">
        <f>VLOOKUP(B42,'B&amp;L'!$A$7:$BK$69,58,0)</f>
        <v>23.71</v>
      </c>
      <c r="O42" s="269">
        <f>VLOOKUP(B42,'B&amp;L'!$A$7:$BK$69,63,0)</f>
        <v>25.14</v>
      </c>
    </row>
    <row r="43" spans="1:15" ht="15" customHeight="1">
      <c r="A43" s="310">
        <v>19</v>
      </c>
      <c r="B43" s="89" t="s">
        <v>189</v>
      </c>
      <c r="C43" s="74" t="s">
        <v>156</v>
      </c>
      <c r="D43" s="123">
        <f>VLOOKUP(B44,'B&amp;L'!$A$7:$BK$69,7,0)</f>
        <v>68.95</v>
      </c>
      <c r="E43" s="123">
        <f>VLOOKUP(B44,'B&amp;L'!$A$7:$BK$69,12,0)</f>
        <v>71.209999999999994</v>
      </c>
      <c r="F43" s="123">
        <f>VLOOKUP(B44,'B&amp;L'!$A$7:$BK$69,17,0)</f>
        <v>75.540000000000006</v>
      </c>
      <c r="G43" s="123">
        <f>VLOOKUP(B44,'B&amp;L'!$A$7:$BK$69,22,0)</f>
        <v>71.22</v>
      </c>
      <c r="H43" s="123">
        <f>VLOOKUP(B44,'B&amp;L'!$A$7:$BK$69,27,0)</f>
        <v>68.260000000000005</v>
      </c>
      <c r="I43" s="123">
        <f>VLOOKUP(B44,'B&amp;L'!$A$7:$BK$69,32,0)</f>
        <v>69.45</v>
      </c>
      <c r="J43" s="123">
        <f>VLOOKUP(B44,'B&amp;L'!$A$7:$BK$69,37,0)</f>
        <v>71.489999999999995</v>
      </c>
      <c r="K43" s="123">
        <f>VLOOKUP(B44,'B&amp;L'!$A$7:$BK$69,42,0)</f>
        <v>70.63</v>
      </c>
      <c r="L43" s="123">
        <f>VLOOKUP(B44,'B&amp;L'!$A$7:$BK$69,47,0)</f>
        <v>70.069999999999993</v>
      </c>
      <c r="M43" s="123">
        <f>VLOOKUP(B44,'B&amp;L'!$A$7:$BK$69,52,0)</f>
        <v>67.930000000000007</v>
      </c>
      <c r="N43" s="123">
        <f>VLOOKUP(B44,'B&amp;L'!$A$7:$BK$69,57,0)</f>
        <v>62.86</v>
      </c>
      <c r="O43" s="123">
        <f>VLOOKUP(B44,'B&amp;L'!$A$7:$BK$69,62,0)</f>
        <v>69.59</v>
      </c>
    </row>
    <row r="44" spans="1:15" ht="15" customHeight="1">
      <c r="A44" s="311"/>
      <c r="B44" s="90">
        <v>1412000075</v>
      </c>
      <c r="C44" s="82" t="s">
        <v>157</v>
      </c>
      <c r="D44" s="124">
        <f>VLOOKUP(B44,'B&amp;L'!$A$7:$BK$69,8,0)</f>
        <v>8.74</v>
      </c>
      <c r="E44" s="124">
        <f>VLOOKUP(B44,'B&amp;L'!$A$7:$BK$69,13,0)</f>
        <v>9.2799999999999994</v>
      </c>
      <c r="F44" s="124">
        <f>VLOOKUP(B44,'B&amp;L'!$A$7:$BK$69,18,0)</f>
        <v>9.84</v>
      </c>
      <c r="G44" s="124">
        <f>VLOOKUP(B44,'B&amp;L'!$A$7:$BK$69,23,0)</f>
        <v>9.2799999999999994</v>
      </c>
      <c r="H44" s="124">
        <f>VLOOKUP(B44,'B&amp;L'!$A$7:$BK$69,28,0)</f>
        <v>8.89</v>
      </c>
      <c r="I44" s="124">
        <f>VLOOKUP(B44,'B&amp;L'!$A$7:$BK$69,33,0)</f>
        <v>9.0500000000000007</v>
      </c>
      <c r="J44" s="124">
        <f>VLOOKUP(B44,'B&amp;L'!$A$7:$BK$69,38,0)</f>
        <v>9.32</v>
      </c>
      <c r="K44" s="124">
        <f>VLOOKUP(B44,'B&amp;L'!$A$7:$BK$69,43,0)</f>
        <v>9.1999999999999993</v>
      </c>
      <c r="L44" s="124">
        <f>VLOOKUP(B44,'B&amp;L'!$A$7:$BK$69,48,0)</f>
        <v>9.1300000000000008</v>
      </c>
      <c r="M44" s="124">
        <f>VLOOKUP(B44,'B&amp;L'!$A$7:$BK$69,53,0)</f>
        <v>8.85</v>
      </c>
      <c r="N44" s="124">
        <f>VLOOKUP(B44,'B&amp;L'!$A$7:$BK$69,58,0)</f>
        <v>8.19</v>
      </c>
      <c r="O44" s="124">
        <f>VLOOKUP(B44,'B&amp;L'!$A$7:$BK$69,63,0)</f>
        <v>9.07</v>
      </c>
    </row>
    <row r="45" spans="1:15" ht="15" customHeight="1">
      <c r="A45" s="310">
        <v>20</v>
      </c>
      <c r="B45" s="89" t="s">
        <v>130</v>
      </c>
      <c r="C45" s="74" t="s">
        <v>156</v>
      </c>
      <c r="D45" s="123">
        <f>VLOOKUP(B46,'B&amp;L'!$A$7:$BK$69,7,0)</f>
        <v>53.04</v>
      </c>
      <c r="E45" s="123">
        <f>VLOOKUP(B46,'B&amp;L'!$A$7:$BK$69,12,0)</f>
        <v>50.87</v>
      </c>
      <c r="F45" s="123">
        <f>VLOOKUP(B46,'B&amp;L'!$A$7:$BK$69,17,0)</f>
        <v>53.96</v>
      </c>
      <c r="G45" s="123">
        <f>VLOOKUP(B46,'B&amp;L'!$A$7:$BK$69,22,0)</f>
        <v>50.87</v>
      </c>
      <c r="H45" s="123">
        <f>VLOOKUP(B46,'B&amp;L'!$A$7:$BK$69,27,0)</f>
        <v>48.76</v>
      </c>
      <c r="I45" s="123">
        <f>VLOOKUP(B46,'B&amp;L'!$A$7:$BK$69,32,0)</f>
        <v>49.61</v>
      </c>
      <c r="J45" s="123">
        <f>VLOOKUP(B46,'B&amp;L'!$A$7:$BK$69,37,0)</f>
        <v>51.06</v>
      </c>
      <c r="K45" s="123">
        <f>VLOOKUP(B46,'B&amp;L'!$A$7:$BK$69,42,0)</f>
        <v>50.45</v>
      </c>
      <c r="L45" s="123">
        <f>VLOOKUP(B46,'B&amp;L'!$A$7:$BK$69,47,0)</f>
        <v>50.05</v>
      </c>
      <c r="M45" s="123">
        <f>VLOOKUP(B46,'B&amp;L'!$A$7:$BK$69,52,0)</f>
        <v>48.52</v>
      </c>
      <c r="N45" s="123">
        <f>VLOOKUP(B46,'B&amp;L'!$A$7:$BK$69,57,0)</f>
        <v>44.9</v>
      </c>
      <c r="O45" s="123">
        <f>VLOOKUP(B46,'B&amp;L'!$A$7:$BK$69,62,0)</f>
        <v>49.71</v>
      </c>
    </row>
    <row r="46" spans="1:15" ht="15" customHeight="1">
      <c r="A46" s="311"/>
      <c r="B46" s="90">
        <v>1412000008</v>
      </c>
      <c r="C46" s="82" t="s">
        <v>157</v>
      </c>
      <c r="D46" s="124">
        <f>VLOOKUP(B46,'B&amp;L'!$A$7:$BK$69,8,0)</f>
        <v>6.72</v>
      </c>
      <c r="E46" s="124">
        <f>VLOOKUP(B46,'B&amp;L'!$A$7:$BK$69,13,0)</f>
        <v>6.63</v>
      </c>
      <c r="F46" s="124">
        <f>VLOOKUP(B46,'B&amp;L'!$A$7:$BK$69,18,0)</f>
        <v>7.03</v>
      </c>
      <c r="G46" s="124">
        <f>VLOOKUP(B46,'B&amp;L'!$A$7:$BK$69,23,0)</f>
        <v>6.63</v>
      </c>
      <c r="H46" s="124">
        <f>VLOOKUP(B46,'B&amp;L'!$A$7:$BK$69,28,0)</f>
        <v>6.35</v>
      </c>
      <c r="I46" s="124">
        <f>VLOOKUP(B46,'B&amp;L'!$A$7:$BK$69,33,0)</f>
        <v>6.46</v>
      </c>
      <c r="J46" s="124">
        <f>VLOOKUP(B46,'B&amp;L'!$A$7:$BK$69,38,0)</f>
        <v>6.65</v>
      </c>
      <c r="K46" s="124">
        <f>VLOOKUP(B46,'B&amp;L'!$A$7:$BK$69,43,0)</f>
        <v>6.57</v>
      </c>
      <c r="L46" s="124">
        <f>VLOOKUP(B46,'B&amp;L'!$A$7:$BK$69,48,0)</f>
        <v>6.52</v>
      </c>
      <c r="M46" s="124">
        <f>VLOOKUP(B46,'B&amp;L'!$A$7:$BK$69,53,0)</f>
        <v>6.32</v>
      </c>
      <c r="N46" s="124">
        <f>VLOOKUP(B46,'B&amp;L'!$A$7:$BK$69,58,0)</f>
        <v>5.85</v>
      </c>
      <c r="O46" s="124">
        <f>VLOOKUP(B46,'B&amp;L'!$A$7:$BK$69,63,0)</f>
        <v>6.48</v>
      </c>
    </row>
    <row r="47" spans="1:15" ht="15" customHeight="1">
      <c r="A47" s="310">
        <v>21</v>
      </c>
      <c r="B47" s="89" t="s">
        <v>131</v>
      </c>
      <c r="C47" s="74" t="s">
        <v>156</v>
      </c>
      <c r="D47" s="123">
        <f>VLOOKUP(B48,'B&amp;L'!$A$7:$BK$69,7,0)</f>
        <v>31.82</v>
      </c>
      <c r="E47" s="123">
        <f>VLOOKUP(B48,'B&amp;L'!$A$7:$BK$69,12,0)</f>
        <v>30.52</v>
      </c>
      <c r="F47" s="123">
        <f>VLOOKUP(B48,'B&amp;L'!$A$7:$BK$69,17,0)</f>
        <v>32.380000000000003</v>
      </c>
      <c r="G47" s="123">
        <f>VLOOKUP(B48,'B&amp;L'!$A$7:$BK$69,22,0)</f>
        <v>30.52</v>
      </c>
      <c r="H47" s="123">
        <f>VLOOKUP(B48,'B&amp;L'!$A$7:$BK$69,27,0)</f>
        <v>29.25</v>
      </c>
      <c r="I47" s="123">
        <f>VLOOKUP(B48,'B&amp;L'!$A$7:$BK$69,32,0)</f>
        <v>29.77</v>
      </c>
      <c r="J47" s="123">
        <f>VLOOKUP(B48,'B&amp;L'!$A$7:$BK$69,37,0)</f>
        <v>30.64</v>
      </c>
      <c r="K47" s="123">
        <f>VLOOKUP(B48,'B&amp;L'!$A$7:$BK$69,42,0)</f>
        <v>30.27</v>
      </c>
      <c r="L47" s="123">
        <f>VLOOKUP(B48,'B&amp;L'!$A$7:$BK$69,47,0)</f>
        <v>30.03</v>
      </c>
      <c r="M47" s="123">
        <f>VLOOKUP(B48,'B&amp;L'!$A$7:$BK$69,52,0)</f>
        <v>29.11</v>
      </c>
      <c r="N47" s="123">
        <f>VLOOKUP(B48,'B&amp;L'!$A$7:$BK$69,57,0)</f>
        <v>26.94</v>
      </c>
      <c r="O47" s="123">
        <f>VLOOKUP(B48,'B&amp;L'!$A$7:$BK$69,62,0)</f>
        <v>29.82</v>
      </c>
    </row>
    <row r="48" spans="1:15" ht="15" customHeight="1">
      <c r="A48" s="311"/>
      <c r="B48" s="90">
        <v>1412000010</v>
      </c>
      <c r="C48" s="82" t="s">
        <v>157</v>
      </c>
      <c r="D48" s="124">
        <f>VLOOKUP(B48,'B&amp;L'!$A$7:$BK$69,8,0)</f>
        <v>4.03</v>
      </c>
      <c r="E48" s="124">
        <f>VLOOKUP(B48,'B&amp;L'!$A$7:$BK$69,13,0)</f>
        <v>3.98</v>
      </c>
      <c r="F48" s="124">
        <f>VLOOKUP(B48,'B&amp;L'!$A$7:$BK$69,18,0)</f>
        <v>4.22</v>
      </c>
      <c r="G48" s="124">
        <f>VLOOKUP(B48,'B&amp;L'!$A$7:$BK$69,23,0)</f>
        <v>3.98</v>
      </c>
      <c r="H48" s="124">
        <f>VLOOKUP(B48,'B&amp;L'!$A$7:$BK$69,28,0)</f>
        <v>3.81</v>
      </c>
      <c r="I48" s="124">
        <f>VLOOKUP(B48,'B&amp;L'!$A$7:$BK$69,33,0)</f>
        <v>3.88</v>
      </c>
      <c r="J48" s="124">
        <f>VLOOKUP(B48,'B&amp;L'!$A$7:$BK$69,38,0)</f>
        <v>3.99</v>
      </c>
      <c r="K48" s="124">
        <f>VLOOKUP(B48,'B&amp;L'!$A$7:$BK$69,43,0)</f>
        <v>3.94</v>
      </c>
      <c r="L48" s="124">
        <f>VLOOKUP(B48,'B&amp;L'!$A$7:$BK$69,48,0)</f>
        <v>3.91</v>
      </c>
      <c r="M48" s="124">
        <f>VLOOKUP(B48,'B&amp;L'!$A$7:$BK$69,53,0)</f>
        <v>3.79</v>
      </c>
      <c r="N48" s="124">
        <f>VLOOKUP(B48,'B&amp;L'!$A$7:$BK$69,58,0)</f>
        <v>3.51</v>
      </c>
      <c r="O48" s="124">
        <f>VLOOKUP(B48,'B&amp;L'!$A$7:$BK$69,63,0)</f>
        <v>3.89</v>
      </c>
    </row>
    <row r="49" spans="1:15" s="86" customFormat="1" ht="15" customHeight="1">
      <c r="A49" s="310">
        <v>22</v>
      </c>
      <c r="B49" s="98" t="s">
        <v>158</v>
      </c>
      <c r="C49" s="85" t="s">
        <v>156</v>
      </c>
      <c r="D49" s="123">
        <f>VLOOKUP(B50,'B&amp;L'!$A$7:$BK$69,7,0)</f>
        <v>26.52</v>
      </c>
      <c r="E49" s="123">
        <f>VLOOKUP(B50,'B&amp;L'!$A$7:$BK$69,12,0)</f>
        <v>25.43</v>
      </c>
      <c r="F49" s="123">
        <f>VLOOKUP(B50,'B&amp;L'!$A$7:$BK$69,17,0)</f>
        <v>26.98</v>
      </c>
      <c r="G49" s="123">
        <f>VLOOKUP(B50,'B&amp;L'!$A$7:$BK$69,22,0)</f>
        <v>25.44</v>
      </c>
      <c r="H49" s="123">
        <f>VLOOKUP(B50,'B&amp;L'!$A$7:$BK$69,27,0)</f>
        <v>24.38</v>
      </c>
      <c r="I49" s="123">
        <f>VLOOKUP(B50,'B&amp;L'!$A$7:$BK$69,32,0)</f>
        <v>24.8</v>
      </c>
      <c r="J49" s="123">
        <f>VLOOKUP(B50,'B&amp;L'!$A$7:$BK$69,37,0)</f>
        <v>25.53</v>
      </c>
      <c r="K49" s="123">
        <f>VLOOKUP(B50,'B&amp;L'!$A$7:$BK$69,42,0)</f>
        <v>25.22</v>
      </c>
      <c r="L49" s="123">
        <f>VLOOKUP(B50,'B&amp;L'!$A$7:$BK$69,47,0)</f>
        <v>25.03</v>
      </c>
      <c r="M49" s="123">
        <f>VLOOKUP(B50,'B&amp;L'!$A$7:$BK$69,52,0)</f>
        <v>24.26</v>
      </c>
      <c r="N49" s="123">
        <f>VLOOKUP(B50,'B&amp;L'!$A$7:$BK$69,57,0)</f>
        <v>22.45</v>
      </c>
      <c r="O49" s="123">
        <f>VLOOKUP(B50,'B&amp;L'!$A$7:$BK$69,62,0)</f>
        <v>24.85</v>
      </c>
    </row>
    <row r="50" spans="1:15" s="86" customFormat="1" ht="15" customHeight="1">
      <c r="A50" s="311"/>
      <c r="B50" s="99">
        <v>1412000094</v>
      </c>
      <c r="C50" s="88" t="s">
        <v>157</v>
      </c>
      <c r="D50" s="124">
        <f>VLOOKUP(B50,'B&amp;L'!$A$7:$BK$69,8,0)</f>
        <v>3.36</v>
      </c>
      <c r="E50" s="124">
        <f>VLOOKUP(B50,'B&amp;L'!$A$7:$BK$69,13,0)</f>
        <v>3.31</v>
      </c>
      <c r="F50" s="124">
        <f>VLOOKUP(B50,'B&amp;L'!$A$7:$BK$69,18,0)</f>
        <v>3.52</v>
      </c>
      <c r="G50" s="124">
        <f>VLOOKUP(B50,'B&amp;L'!$A$7:$BK$69,23,0)</f>
        <v>3.31</v>
      </c>
      <c r="H50" s="124">
        <f>VLOOKUP(B50,'B&amp;L'!$A$7:$BK$69,28,0)</f>
        <v>3.18</v>
      </c>
      <c r="I50" s="124">
        <f>VLOOKUP(B50,'B&amp;L'!$A$7:$BK$69,33,0)</f>
        <v>3.23</v>
      </c>
      <c r="J50" s="124">
        <f>VLOOKUP(B50,'B&amp;L'!$A$7:$BK$69,38,0)</f>
        <v>3.33</v>
      </c>
      <c r="K50" s="124">
        <f>VLOOKUP(B50,'B&amp;L'!$A$7:$BK$69,43,0)</f>
        <v>3.29</v>
      </c>
      <c r="L50" s="124">
        <f>VLOOKUP(B50,'B&amp;L'!$A$7:$BK$69,48,0)</f>
        <v>3.26</v>
      </c>
      <c r="M50" s="124">
        <f>VLOOKUP(B50,'B&amp;L'!$A$7:$BK$69,53,0)</f>
        <v>3.16</v>
      </c>
      <c r="N50" s="124">
        <f>VLOOKUP(B50,'B&amp;L'!$A$7:$BK$69,58,0)</f>
        <v>2.93</v>
      </c>
      <c r="O50" s="124">
        <f>VLOOKUP(B50,'B&amp;L'!$A$7:$BK$69,63,0)</f>
        <v>3.24</v>
      </c>
    </row>
    <row r="51" spans="1:15" ht="15" customHeight="1">
      <c r="A51" s="308">
        <v>23</v>
      </c>
      <c r="B51" s="89" t="s">
        <v>4</v>
      </c>
      <c r="C51" s="74" t="s">
        <v>156</v>
      </c>
      <c r="D51" s="123">
        <f>VLOOKUP(B52,'B&amp;L'!$A$7:$BK$69,7,0)</f>
        <v>74.25</v>
      </c>
      <c r="E51" s="123">
        <f>VLOOKUP(B52,'B&amp;L'!$A$7:$BK$69,12,0)</f>
        <v>71.209999999999994</v>
      </c>
      <c r="F51" s="123">
        <f>VLOOKUP(B52,'B&amp;L'!$A$7:$BK$69,17,0)</f>
        <v>75.540000000000006</v>
      </c>
      <c r="G51" s="123">
        <f>VLOOKUP(B52,'B&amp;L'!$A$7:$BK$69,22,0)</f>
        <v>71.22</v>
      </c>
      <c r="H51" s="123">
        <f>VLOOKUP(B52,'B&amp;L'!$A$7:$BK$69,27,0)</f>
        <v>68.260000000000005</v>
      </c>
      <c r="I51" s="123">
        <f>VLOOKUP(B52,'B&amp;L'!$A$7:$BK$69,32,0)</f>
        <v>69.45</v>
      </c>
      <c r="J51" s="123">
        <f>VLOOKUP(B52,'B&amp;L'!$A$7:$BK$69,37,0)</f>
        <v>71.489999999999995</v>
      </c>
      <c r="K51" s="123">
        <f>VLOOKUP(B52,'B&amp;L'!$A$7:$BK$69,42,0)</f>
        <v>70.63</v>
      </c>
      <c r="L51" s="123">
        <f>VLOOKUP(B52,'B&amp;L'!$A$7:$BK$69,47,0)</f>
        <v>70.069999999999993</v>
      </c>
      <c r="M51" s="123">
        <f>VLOOKUP(B52,'B&amp;L'!$A$7:$BK$69,52,0)</f>
        <v>67.930000000000007</v>
      </c>
      <c r="N51" s="123">
        <f>VLOOKUP(B52,'B&amp;L'!$A$7:$BK$69,57,0)</f>
        <v>62.86</v>
      </c>
      <c r="O51" s="123">
        <f>VLOOKUP(B52,'B&amp;L'!$A$7:$BK$69,62,0)</f>
        <v>69.59</v>
      </c>
    </row>
    <row r="52" spans="1:15" ht="15" customHeight="1">
      <c r="A52" s="308"/>
      <c r="B52" s="90">
        <v>1412000054</v>
      </c>
      <c r="C52" s="82" t="s">
        <v>157</v>
      </c>
      <c r="D52" s="124">
        <f>VLOOKUP(B52,'B&amp;L'!$A$7:$BK$69,8,0)</f>
        <v>9.41</v>
      </c>
      <c r="E52" s="124">
        <f>VLOOKUP(B52,'B&amp;L'!$A$7:$BK$69,13,0)</f>
        <v>9.2799999999999994</v>
      </c>
      <c r="F52" s="124">
        <f>VLOOKUP(B52,'B&amp;L'!$A$7:$BK$69,18,0)</f>
        <v>9.84</v>
      </c>
      <c r="G52" s="124">
        <f>VLOOKUP(B52,'B&amp;L'!$A$7:$BK$69,23,0)</f>
        <v>9.2799999999999994</v>
      </c>
      <c r="H52" s="124">
        <f>VLOOKUP(B52,'B&amp;L'!$A$7:$BK$69,28,0)</f>
        <v>8.89</v>
      </c>
      <c r="I52" s="124">
        <f>VLOOKUP(B52,'B&amp;L'!$A$7:$BK$69,33,0)</f>
        <v>9.0500000000000007</v>
      </c>
      <c r="J52" s="124">
        <f>VLOOKUP(B52,'B&amp;L'!$A$7:$BK$69,38,0)</f>
        <v>9.32</v>
      </c>
      <c r="K52" s="124">
        <f>VLOOKUP(B52,'B&amp;L'!$A$7:$BK$69,43,0)</f>
        <v>9.1999999999999993</v>
      </c>
      <c r="L52" s="124">
        <f>VLOOKUP(B52,'B&amp;L'!$A$7:$BK$69,48,0)</f>
        <v>9.1300000000000008</v>
      </c>
      <c r="M52" s="124">
        <f>VLOOKUP(B52,'B&amp;L'!$A$7:$BK$69,53,0)</f>
        <v>8.85</v>
      </c>
      <c r="N52" s="124">
        <f>VLOOKUP(B52,'B&amp;L'!$A$7:$BK$69,58,0)</f>
        <v>8.19</v>
      </c>
      <c r="O52" s="124">
        <f>VLOOKUP(B52,'B&amp;L'!$A$7:$BK$69,63,0)</f>
        <v>9.07</v>
      </c>
    </row>
    <row r="53" spans="1:15" ht="15" customHeight="1">
      <c r="A53" s="309">
        <v>24</v>
      </c>
      <c r="B53" s="89" t="s">
        <v>191</v>
      </c>
      <c r="C53" s="74" t="s">
        <v>156</v>
      </c>
      <c r="D53" s="123">
        <f>VLOOKUP(B54,'B&amp;L'!$A$7:$BK$69,7,0)</f>
        <v>19702.13</v>
      </c>
      <c r="E53" s="123">
        <f>VLOOKUP(B54,'B&amp;L'!$A$7:$BK$69,12,0)</f>
        <v>18598.560000000001</v>
      </c>
      <c r="F53" s="123">
        <f>VLOOKUP(B54,'B&amp;L'!$A$7:$BK$69,17,0)</f>
        <v>18617.2</v>
      </c>
      <c r="G53" s="123">
        <f>VLOOKUP(B54,'B&amp;L'!$A$7:$BK$69,22,0)</f>
        <v>18596.28</v>
      </c>
      <c r="H53" s="123">
        <f>VLOOKUP(B54,'B&amp;L'!$A$7:$BK$69,27,0)</f>
        <v>18561.66</v>
      </c>
      <c r="I53" s="123">
        <f>VLOOKUP(B54,'B&amp;L'!$A$7:$BK$69,32,0)</f>
        <v>18561.23</v>
      </c>
      <c r="J53" s="123">
        <f>VLOOKUP(B54,'B&amp;L'!$A$7:$BK$69,37,0)</f>
        <v>18575.900000000001</v>
      </c>
      <c r="K53" s="123">
        <f>VLOOKUP(B54,'B&amp;L'!$A$7:$BK$69,42,0)</f>
        <v>18565.650000000001</v>
      </c>
      <c r="L53" s="123">
        <f>VLOOKUP(B54,'B&amp;L'!$A$7:$BK$69,47,0)</f>
        <v>18563.91</v>
      </c>
      <c r="M53" s="123">
        <f>VLOOKUP(B54,'B&amp;L'!$A$7:$BK$69,52,0)</f>
        <v>18554.57</v>
      </c>
      <c r="N53" s="123">
        <f>VLOOKUP(B54,'B&amp;L'!$A$7:$BK$69,57,0)</f>
        <v>18511.599999999999</v>
      </c>
      <c r="O53" s="123">
        <f>VLOOKUP(B54,'B&amp;L'!$A$7:$BK$69,62,0)</f>
        <v>18565</v>
      </c>
    </row>
    <row r="54" spans="1:15" ht="15" customHeight="1">
      <c r="A54" s="309"/>
      <c r="B54" s="90">
        <v>1412000036</v>
      </c>
      <c r="C54" s="82" t="s">
        <v>157</v>
      </c>
      <c r="D54" s="124">
        <f>VLOOKUP(B54,'B&amp;L'!$A$7:$BK$69,8,0)</f>
        <v>2498.0300000000002</v>
      </c>
      <c r="E54" s="124">
        <f>VLOOKUP(B54,'B&amp;L'!$A$7:$BK$69,13,0)</f>
        <v>2423.54</v>
      </c>
      <c r="F54" s="124">
        <f>VLOOKUP(B54,'B&amp;L'!$A$7:$BK$69,18,0)</f>
        <v>2425.9699999999998</v>
      </c>
      <c r="G54" s="124">
        <f>VLOOKUP(B54,'B&amp;L'!$A$7:$BK$69,23,0)</f>
        <v>2423.2399999999998</v>
      </c>
      <c r="H54" s="124">
        <f>VLOOKUP(B54,'B&amp;L'!$A$7:$BK$69,28,0)</f>
        <v>2418.73</v>
      </c>
      <c r="I54" s="124">
        <f>VLOOKUP(B54,'B&amp;L'!$A$7:$BK$69,33,0)</f>
        <v>2418.67</v>
      </c>
      <c r="J54" s="124">
        <f>VLOOKUP(B54,'B&amp;L'!$A$7:$BK$69,38,0)</f>
        <v>2420.59</v>
      </c>
      <c r="K54" s="124">
        <f>VLOOKUP(B54,'B&amp;L'!$A$7:$BK$69,43,0)</f>
        <v>2419.25</v>
      </c>
      <c r="L54" s="124">
        <f>VLOOKUP(B54,'B&amp;L'!$A$7:$BK$69,48,0)</f>
        <v>2419.02</v>
      </c>
      <c r="M54" s="124">
        <f>VLOOKUP(B54,'B&amp;L'!$A$7:$BK$69,53,0)</f>
        <v>2417.81</v>
      </c>
      <c r="N54" s="124">
        <f>VLOOKUP(B54,'B&amp;L'!$A$7:$BK$69,58,0)</f>
        <v>2412.21</v>
      </c>
      <c r="O54" s="124">
        <f>VLOOKUP(B54,'B&amp;L'!$A$7:$BK$69,63,0)</f>
        <v>2419.16</v>
      </c>
    </row>
    <row r="55" spans="1:15" ht="15" customHeight="1">
      <c r="A55" s="310">
        <v>25</v>
      </c>
      <c r="B55" s="264" t="s">
        <v>192</v>
      </c>
      <c r="C55" s="265" t="s">
        <v>156</v>
      </c>
      <c r="D55" s="266">
        <f>VLOOKUP(B56,'B&amp;L'!$A$7:$BK$69,7,0)</f>
        <v>33043.47</v>
      </c>
      <c r="E55" s="266">
        <f>VLOOKUP(B56,'B&amp;L'!$A$7:$BK$69,12,0)</f>
        <v>31190.07</v>
      </c>
      <c r="F55" s="266">
        <f>VLOOKUP(B56,'B&amp;L'!$A$7:$BK$69,17,0)</f>
        <v>31227.53</v>
      </c>
      <c r="G55" s="266">
        <f>VLOOKUP(B56,'B&amp;L'!$A$7:$BK$69,22,0)</f>
        <v>31185.51</v>
      </c>
      <c r="H55" s="266">
        <f>VLOOKUP(B56,'B&amp;L'!$A$7:$BK$69,27,0)</f>
        <v>31146.59</v>
      </c>
      <c r="I55" s="266">
        <f>VLOOKUP(B56,'B&amp;L'!$A$7:$BK$69,32,0)</f>
        <v>31141.58</v>
      </c>
      <c r="J55" s="266">
        <f>VLOOKUP(B56,'B&amp;L'!$A$7:$BK$69,37,0)</f>
        <v>31178.34</v>
      </c>
      <c r="K55" s="266">
        <f>VLOOKUP(B56,'B&amp;L'!$A$7:$BK$69,42,0)</f>
        <v>31152.35</v>
      </c>
      <c r="L55" s="266">
        <f>VLOOKUP(B56,'B&amp;L'!$A$7:$BK$69,47,0)</f>
        <v>31145.919999999998</v>
      </c>
      <c r="M55" s="266">
        <f>VLOOKUP(B56,'B&amp;L'!$A$7:$BK$69,52,0)</f>
        <v>31122.31</v>
      </c>
      <c r="N55" s="266">
        <f>VLOOKUP(B56,'B&amp;L'!$A$7:$BK$69,57,0)</f>
        <v>31024.98</v>
      </c>
      <c r="O55" s="266">
        <f>VLOOKUP(B56,'B&amp;L'!$A$7:$BK$69,62,0)</f>
        <v>31149.06</v>
      </c>
    </row>
    <row r="56" spans="1:15" ht="15" customHeight="1">
      <c r="A56" s="311"/>
      <c r="B56" s="267">
        <v>1412000103</v>
      </c>
      <c r="C56" s="268" t="s">
        <v>157</v>
      </c>
      <c r="D56" s="269">
        <f>VLOOKUP(B56,'B&amp;L'!$A$7:$BK$69,8,0)</f>
        <v>4189.58</v>
      </c>
      <c r="E56" s="269">
        <f>VLOOKUP(B56,'B&amp;L'!$A$7:$BK$69,13,0)</f>
        <v>4064.31</v>
      </c>
      <c r="F56" s="269">
        <f>VLOOKUP(B56,'B&amp;L'!$A$7:$BK$69,18,0)</f>
        <v>4069.19</v>
      </c>
      <c r="G56" s="269">
        <f>VLOOKUP(B56,'B&amp;L'!$A$7:$BK$69,23,0)</f>
        <v>4063.72</v>
      </c>
      <c r="H56" s="269">
        <f>VLOOKUP(B56,'B&amp;L'!$A$7:$BK$69,28,0)</f>
        <v>4058.64</v>
      </c>
      <c r="I56" s="269">
        <f>VLOOKUP(B56,'B&amp;L'!$A$7:$BK$69,33,0)</f>
        <v>4057.99</v>
      </c>
      <c r="J56" s="269">
        <f>VLOOKUP(B56,'B&amp;L'!$A$7:$BK$69,38,0)</f>
        <v>4062.78</v>
      </c>
      <c r="K56" s="269">
        <f>VLOOKUP(B56,'B&amp;L'!$A$7:$BK$69,43,0)</f>
        <v>4059.4</v>
      </c>
      <c r="L56" s="269">
        <f>VLOOKUP(B56,'B&amp;L'!$A$7:$BK$69,48,0)</f>
        <v>4058.56</v>
      </c>
      <c r="M56" s="269">
        <f>VLOOKUP(B56,'B&amp;L'!$A$7:$BK$69,53,0)</f>
        <v>4055.48</v>
      </c>
      <c r="N56" s="269">
        <f>VLOOKUP(B56,'B&amp;L'!$A$7:$BK$69,58,0)</f>
        <v>4042.8</v>
      </c>
      <c r="O56" s="269">
        <f>VLOOKUP(B56,'B&amp;L'!$A$7:$BK$69,63,0)</f>
        <v>4058.97</v>
      </c>
    </row>
    <row r="57" spans="1:15" ht="15" customHeight="1">
      <c r="A57" s="310">
        <v>26</v>
      </c>
      <c r="B57" s="89" t="s">
        <v>82</v>
      </c>
      <c r="C57" s="74" t="s">
        <v>156</v>
      </c>
      <c r="D57" s="123">
        <f>VLOOKUP(B58,'B&amp;L'!$A$7:$BK$69,7,0)</f>
        <v>23374.47</v>
      </c>
      <c r="E57" s="123">
        <f>VLOOKUP(B58,'B&amp;L'!$A$7:$BK$69,12,0)</f>
        <v>22065.84</v>
      </c>
      <c r="F57" s="123">
        <f>VLOOKUP(B58,'B&amp;L'!$A$7:$BK$69,17,0)</f>
        <v>22075.52</v>
      </c>
      <c r="G57" s="123">
        <f>VLOOKUP(B58,'B&amp;L'!$A$7:$BK$69,22,0)</f>
        <v>22063.4</v>
      </c>
      <c r="H57" s="123">
        <f>VLOOKUP(B58,'B&amp;L'!$A$7:$BK$69,27,0)</f>
        <v>22057.06</v>
      </c>
      <c r="I57" s="123">
        <f>VLOOKUP(B58,'B&amp;L'!$A$7:$BK$69,32,0)</f>
        <v>22056.11</v>
      </c>
      <c r="J57" s="123">
        <f>VLOOKUP(B58,'B&amp;L'!$A$7:$BK$69,37,0)</f>
        <v>22064.560000000001</v>
      </c>
      <c r="K57" s="123">
        <f>VLOOKUP(B58,'B&amp;L'!$A$7:$BK$69,42,0)</f>
        <v>22059.66</v>
      </c>
      <c r="L57" s="123">
        <f>VLOOKUP(B58,'B&amp;L'!$A$7:$BK$69,47,0)</f>
        <v>22056.19</v>
      </c>
      <c r="M57" s="123">
        <f>VLOOKUP(B58,'B&amp;L'!$A$7:$BK$69,52,0)</f>
        <v>22051.16</v>
      </c>
      <c r="N57" s="123">
        <f>VLOOKUP(B58,'B&amp;L'!$A$7:$BK$69,57,0)</f>
        <v>22030.32</v>
      </c>
      <c r="O57" s="123">
        <f>VLOOKUP(B58,'B&amp;L'!$A$7:$BK$69,62,0)</f>
        <v>22055</v>
      </c>
    </row>
    <row r="58" spans="1:15" ht="15" customHeight="1">
      <c r="A58" s="311"/>
      <c r="B58" s="90">
        <v>1412000072</v>
      </c>
      <c r="C58" s="82" t="s">
        <v>157</v>
      </c>
      <c r="D58" s="124">
        <f>VLOOKUP(B58,'B&amp;L'!$A$7:$BK$69,8,0)</f>
        <v>2963.65</v>
      </c>
      <c r="E58" s="124">
        <f>VLOOKUP(B58,'B&amp;L'!$A$7:$BK$69,13,0)</f>
        <v>2875.35</v>
      </c>
      <c r="F58" s="124">
        <f>VLOOKUP(B58,'B&amp;L'!$A$7:$BK$69,18,0)</f>
        <v>2876.61</v>
      </c>
      <c r="G58" s="124">
        <f>VLOOKUP(B58,'B&amp;L'!$A$7:$BK$69,23,0)</f>
        <v>2875.03</v>
      </c>
      <c r="H58" s="124">
        <f>VLOOKUP(B58,'B&amp;L'!$A$7:$BK$69,28,0)</f>
        <v>2874.21</v>
      </c>
      <c r="I58" s="124">
        <f>VLOOKUP(B58,'B&amp;L'!$A$7:$BK$69,33,0)</f>
        <v>2874.08</v>
      </c>
      <c r="J58" s="124">
        <f>VLOOKUP(B58,'B&amp;L'!$A$7:$BK$69,38,0)</f>
        <v>2875.19</v>
      </c>
      <c r="K58" s="124">
        <f>VLOOKUP(B58,'B&amp;L'!$A$7:$BK$69,43,0)</f>
        <v>2874.55</v>
      </c>
      <c r="L58" s="124">
        <f>VLOOKUP(B58,'B&amp;L'!$A$7:$BK$69,48,0)</f>
        <v>2874.09</v>
      </c>
      <c r="M58" s="124">
        <f>VLOOKUP(B58,'B&amp;L'!$A$7:$BK$69,53,0)</f>
        <v>2873.44</v>
      </c>
      <c r="N58" s="124">
        <f>VLOOKUP(B58,'B&amp;L'!$A$7:$BK$69,58,0)</f>
        <v>2870.72</v>
      </c>
      <c r="O58" s="124">
        <f>VLOOKUP(B58,'B&amp;L'!$A$7:$BK$69,63,0)</f>
        <v>2873.94</v>
      </c>
    </row>
    <row r="59" spans="1:15" ht="15" customHeight="1">
      <c r="A59" s="310">
        <v>27</v>
      </c>
      <c r="B59" s="89" t="s">
        <v>66</v>
      </c>
      <c r="C59" s="74" t="s">
        <v>156</v>
      </c>
      <c r="D59" s="123">
        <f>VLOOKUP(B60,'B&amp;L'!$A$7:$BK$69,7,0)</f>
        <v>79.55</v>
      </c>
      <c r="E59" s="123">
        <f>VLOOKUP(B60,'B&amp;L'!$A$7:$BK$69,12,0)</f>
        <v>76.3</v>
      </c>
      <c r="F59" s="123">
        <f>VLOOKUP(B60,'B&amp;L'!$A$7:$BK$69,17,0)</f>
        <v>80.94</v>
      </c>
      <c r="G59" s="123">
        <f>VLOOKUP(B60,'B&amp;L'!$A$7:$BK$69,22,0)</f>
        <v>76.31</v>
      </c>
      <c r="H59" s="123">
        <f>VLOOKUP(B60,'B&amp;L'!$A$7:$BK$69,27,0)</f>
        <v>73.13</v>
      </c>
      <c r="I59" s="123">
        <f>VLOOKUP(B60,'B&amp;L'!$A$7:$BK$69,32,0)</f>
        <v>74.41</v>
      </c>
      <c r="J59" s="123">
        <f>VLOOKUP(B60,'B&amp;L'!$A$7:$BK$69,37,0)</f>
        <v>76.59</v>
      </c>
      <c r="K59" s="123">
        <f>VLOOKUP(B60,'B&amp;L'!$A$7:$BK$69,42,0)</f>
        <v>75.67</v>
      </c>
      <c r="L59" s="123">
        <f>VLOOKUP(B60,'B&amp;L'!$A$7:$BK$69,47,0)</f>
        <v>75.08</v>
      </c>
      <c r="M59" s="123">
        <f>VLOOKUP(B60,'B&amp;L'!$A$7:$BK$69,52,0)</f>
        <v>72.78</v>
      </c>
      <c r="N59" s="123">
        <f>VLOOKUP(B60,'B&amp;L'!$A$7:$BK$69,57,0)</f>
        <v>67.34</v>
      </c>
      <c r="O59" s="123">
        <f>VLOOKUP(B60,'B&amp;L'!$A$7:$BK$69,62,0)</f>
        <v>74.56</v>
      </c>
    </row>
    <row r="60" spans="1:15" ht="15" customHeight="1">
      <c r="A60" s="311"/>
      <c r="B60" s="90">
        <v>1412000073</v>
      </c>
      <c r="C60" s="82" t="s">
        <v>157</v>
      </c>
      <c r="D60" s="124">
        <f>VLOOKUP(B60,'B&amp;L'!$A$7:$BK$69,8,0)</f>
        <v>10.09</v>
      </c>
      <c r="E60" s="124">
        <f>VLOOKUP(B60,'B&amp;L'!$A$7:$BK$69,13,0)</f>
        <v>9.94</v>
      </c>
      <c r="F60" s="124">
        <f>VLOOKUP(B60,'B&amp;L'!$A$7:$BK$69,18,0)</f>
        <v>10.55</v>
      </c>
      <c r="G60" s="124">
        <f>VLOOKUP(B60,'B&amp;L'!$A$7:$BK$69,23,0)</f>
        <v>9.94</v>
      </c>
      <c r="H60" s="124">
        <f>VLOOKUP(B60,'B&amp;L'!$A$7:$BK$69,28,0)</f>
        <v>9.5299999999999994</v>
      </c>
      <c r="I60" s="124">
        <f>VLOOKUP(B60,'B&amp;L'!$A$7:$BK$69,33,0)</f>
        <v>9.6999999999999993</v>
      </c>
      <c r="J60" s="124">
        <f>VLOOKUP(B60,'B&amp;L'!$A$7:$BK$69,38,0)</f>
        <v>9.98</v>
      </c>
      <c r="K60" s="124">
        <f>VLOOKUP(B60,'B&amp;L'!$A$7:$BK$69,43,0)</f>
        <v>9.86</v>
      </c>
      <c r="L60" s="124">
        <f>VLOOKUP(B60,'B&amp;L'!$A$7:$BK$69,48,0)</f>
        <v>9.7799999999999994</v>
      </c>
      <c r="M60" s="124">
        <f>VLOOKUP(B60,'B&amp;L'!$A$7:$BK$69,53,0)</f>
        <v>9.48</v>
      </c>
      <c r="N60" s="124">
        <f>VLOOKUP(B60,'B&amp;L'!$A$7:$BK$69,58,0)</f>
        <v>8.7799999999999994</v>
      </c>
      <c r="O60" s="124">
        <f>VLOOKUP(B60,'B&amp;L'!$A$7:$BK$69,63,0)</f>
        <v>9.7200000000000006</v>
      </c>
    </row>
    <row r="61" spans="1:15" ht="15" customHeight="1">
      <c r="A61" s="310">
        <v>28</v>
      </c>
      <c r="B61" s="155" t="s">
        <v>3</v>
      </c>
      <c r="C61" s="74" t="s">
        <v>156</v>
      </c>
      <c r="D61" s="123">
        <f>VLOOKUP(B62,'B&amp;L'!$A$7:$BK$69,7,0)</f>
        <v>156.9</v>
      </c>
      <c r="E61" s="123">
        <f>VLOOKUP(B62,'B&amp;L'!$A$7:$BK$69,12,0)</f>
        <v>148.88999999999999</v>
      </c>
      <c r="F61" s="123">
        <f>VLOOKUP(B62,'B&amp;L'!$A$7:$BK$69,17,0)</f>
        <v>172.13</v>
      </c>
      <c r="G61" s="123">
        <f>VLOOKUP(B62,'B&amp;L'!$A$7:$BK$69,22,0)</f>
        <v>167.32</v>
      </c>
      <c r="H61" s="123">
        <f>VLOOKUP(B62,'B&amp;L'!$A$7:$BK$69,27,0)</f>
        <v>161.6</v>
      </c>
      <c r="I61" s="123">
        <f>VLOOKUP(B62,'B&amp;L'!$A$7:$BK$69,32,0)</f>
        <v>163.9</v>
      </c>
      <c r="J61" s="123">
        <f>VLOOKUP(B62,'B&amp;L'!$A$7:$BK$69,37,0)</f>
        <v>167.83</v>
      </c>
      <c r="K61" s="123">
        <f>VLOOKUP(B62,'B&amp;L'!$A$7:$BK$69,42,0)</f>
        <v>166.17</v>
      </c>
      <c r="L61" s="123">
        <f>VLOOKUP(B62,'B&amp;L'!$A$7:$BK$69,47,0)</f>
        <v>165.1</v>
      </c>
      <c r="M61" s="123">
        <f>VLOOKUP(B62,'B&amp;L'!$A$7:$BK$69,52,0)</f>
        <v>164.77</v>
      </c>
      <c r="N61" s="123">
        <f>VLOOKUP(B62,'B&amp;L'!$A$7:$BK$69,57,0)</f>
        <v>154.62</v>
      </c>
      <c r="O61" s="123">
        <f>VLOOKUP(B62,'B&amp;L'!$A$7:$BK$69,62,0)</f>
        <v>168.09</v>
      </c>
    </row>
    <row r="62" spans="1:15" ht="15" customHeight="1">
      <c r="A62" s="311"/>
      <c r="B62" s="156">
        <v>1412000006</v>
      </c>
      <c r="C62" s="82" t="s">
        <v>157</v>
      </c>
      <c r="D62" s="124">
        <f>VLOOKUP(B62,'B&amp;L'!$A$7:$BK$69,8,0)</f>
        <v>19.89</v>
      </c>
      <c r="E62" s="124">
        <f>VLOOKUP(B62,'B&amp;L'!$A$7:$BK$69,13,0)</f>
        <v>19.399999999999999</v>
      </c>
      <c r="F62" s="124">
        <f>VLOOKUP(B62,'B&amp;L'!$A$7:$BK$69,18,0)</f>
        <v>22.43</v>
      </c>
      <c r="G62" s="124">
        <f>VLOOKUP(B62,'B&amp;L'!$A$7:$BK$69,23,0)</f>
        <v>21.8</v>
      </c>
      <c r="H62" s="124">
        <f>VLOOKUP(B62,'B&amp;L'!$A$7:$BK$69,28,0)</f>
        <v>21.06</v>
      </c>
      <c r="I62" s="124">
        <f>VLOOKUP(B62,'B&amp;L'!$A$7:$BK$69,33,0)</f>
        <v>21.36</v>
      </c>
      <c r="J62" s="124">
        <f>VLOOKUP(B62,'B&amp;L'!$A$7:$BK$69,38,0)</f>
        <v>21.87</v>
      </c>
      <c r="K62" s="124">
        <f>VLOOKUP(B62,'B&amp;L'!$A$7:$BK$69,43,0)</f>
        <v>21.65</v>
      </c>
      <c r="L62" s="124">
        <f>VLOOKUP(B62,'B&amp;L'!$A$7:$BK$69,48,0)</f>
        <v>21.51</v>
      </c>
      <c r="M62" s="124">
        <f>VLOOKUP(B62,'B&amp;L'!$A$7:$BK$69,53,0)</f>
        <v>21.47</v>
      </c>
      <c r="N62" s="124">
        <f>VLOOKUP(B62,'B&amp;L'!$A$7:$BK$69,58,0)</f>
        <v>20.149999999999999</v>
      </c>
      <c r="O62" s="124">
        <f>VLOOKUP(B62,'B&amp;L'!$A$7:$BK$69,63,0)</f>
        <v>21.9</v>
      </c>
    </row>
    <row r="63" spans="1:15" ht="15" customHeight="1">
      <c r="A63" s="308">
        <v>29</v>
      </c>
      <c r="B63" s="155" t="s">
        <v>2</v>
      </c>
      <c r="C63" s="74" t="s">
        <v>156</v>
      </c>
      <c r="D63" s="123">
        <f>VLOOKUP(B64,'B&amp;L'!$A$7:$BK$69,7,0)</f>
        <v>133.56</v>
      </c>
      <c r="E63" s="123">
        <f>VLOOKUP(B64,'B&amp;L'!$A$7:$BK$69,12,0)</f>
        <v>126.82</v>
      </c>
      <c r="F63" s="123">
        <f>VLOOKUP(B64,'B&amp;L'!$A$7:$BK$69,17,0)</f>
        <v>139.32</v>
      </c>
      <c r="G63" s="123">
        <f>VLOOKUP(B64,'B&amp;L'!$A$7:$BK$69,22,0)</f>
        <v>130.69</v>
      </c>
      <c r="H63" s="123">
        <f>VLOOKUP(B64,'B&amp;L'!$A$7:$BK$69,27,0)</f>
        <v>125.81</v>
      </c>
      <c r="I63" s="123">
        <f>VLOOKUP(B64,'B&amp;L'!$A$7:$BK$69,32,0)</f>
        <v>127.78</v>
      </c>
      <c r="J63" s="123">
        <f>VLOOKUP(B64,'B&amp;L'!$A$7:$BK$69,37,0)</f>
        <v>131.12</v>
      </c>
      <c r="K63" s="123">
        <f>VLOOKUP(B64,'B&amp;L'!$A$7:$BK$69,42,0)</f>
        <v>129.69999999999999</v>
      </c>
      <c r="L63" s="123">
        <f>VLOOKUP(B64,'B&amp;L'!$A$7:$BK$69,47,0)</f>
        <v>128.80000000000001</v>
      </c>
      <c r="M63" s="123">
        <f>VLOOKUP(B64,'B&amp;L'!$A$7:$BK$69,52,0)</f>
        <v>124.53</v>
      </c>
      <c r="N63" s="123">
        <f>VLOOKUP(B64,'B&amp;L'!$A$7:$BK$69,57,0)</f>
        <v>116.19</v>
      </c>
      <c r="O63" s="123">
        <f>VLOOKUP(B64,'B&amp;L'!$A$7:$BK$69,62,0)</f>
        <v>127.25</v>
      </c>
    </row>
    <row r="64" spans="1:15" ht="15" customHeight="1">
      <c r="A64" s="308"/>
      <c r="B64" s="156">
        <v>1412000089</v>
      </c>
      <c r="C64" s="82" t="s">
        <v>157</v>
      </c>
      <c r="D64" s="124">
        <f>VLOOKUP(B64,'B&amp;L'!$A$7:$BK$69,8,0)</f>
        <v>16.93</v>
      </c>
      <c r="E64" s="124">
        <f>VLOOKUP(B64,'B&amp;L'!$A$7:$BK$69,13,0)</f>
        <v>16.53</v>
      </c>
      <c r="F64" s="124">
        <f>VLOOKUP(B64,'B&amp;L'!$A$7:$BK$69,18,0)</f>
        <v>18.16</v>
      </c>
      <c r="G64" s="124">
        <f>VLOOKUP(B64,'B&amp;L'!$A$7:$BK$69,23,0)</f>
        <v>17.03</v>
      </c>
      <c r="H64" s="124">
        <f>VLOOKUP(B64,'B&amp;L'!$A$7:$BK$69,28,0)</f>
        <v>16.39</v>
      </c>
      <c r="I64" s="124">
        <f>VLOOKUP(B64,'B&amp;L'!$A$7:$BK$69,33,0)</f>
        <v>16.649999999999999</v>
      </c>
      <c r="J64" s="124">
        <f>VLOOKUP(B64,'B&amp;L'!$A$7:$BK$69,38,0)</f>
        <v>17.09</v>
      </c>
      <c r="K64" s="124">
        <f>VLOOKUP(B64,'B&amp;L'!$A$7:$BK$69,43,0)</f>
        <v>16.899999999999999</v>
      </c>
      <c r="L64" s="124">
        <f>VLOOKUP(B64,'B&amp;L'!$A$7:$BK$69,48,0)</f>
        <v>16.78</v>
      </c>
      <c r="M64" s="124">
        <f>VLOOKUP(B64,'B&amp;L'!$A$7:$BK$69,53,0)</f>
        <v>16.23</v>
      </c>
      <c r="N64" s="124">
        <f>VLOOKUP(B64,'B&amp;L'!$A$7:$BK$69,58,0)</f>
        <v>15.14</v>
      </c>
      <c r="O64" s="124">
        <f>VLOOKUP(B64,'B&amp;L'!$A$7:$BK$69,63,0)</f>
        <v>16.579999999999998</v>
      </c>
    </row>
    <row r="65" spans="1:15" ht="15" customHeight="1">
      <c r="A65" s="309">
        <v>30</v>
      </c>
      <c r="B65" s="155" t="s">
        <v>140</v>
      </c>
      <c r="C65" s="74" t="s">
        <v>156</v>
      </c>
      <c r="D65" s="123">
        <f>VLOOKUP(B66,'B&amp;L'!$A$7:$BK$69,7,0)</f>
        <v>188.35</v>
      </c>
      <c r="E65" s="123">
        <f>VLOOKUP(B66,'B&amp;L'!$A$7:$BK$69,12,0)</f>
        <v>178.43</v>
      </c>
      <c r="F65" s="123">
        <f>VLOOKUP(B66,'B&amp;L'!$A$7:$BK$69,17,0)</f>
        <v>180.02</v>
      </c>
      <c r="G65" s="123">
        <f>VLOOKUP(B66,'B&amp;L'!$A$7:$BK$69,22,0)</f>
        <v>178.21</v>
      </c>
      <c r="H65" s="123">
        <f>VLOOKUP(B66,'B&amp;L'!$A$7:$BK$69,27,0)</f>
        <v>174.19</v>
      </c>
      <c r="I65" s="123">
        <f>VLOOKUP(B66,'B&amp;L'!$A$7:$BK$69,32,0)</f>
        <v>175.81</v>
      </c>
      <c r="J65" s="123">
        <f>VLOOKUP(B66,'B&amp;L'!$A$7:$BK$69,37,0)</f>
        <v>178.57</v>
      </c>
      <c r="K65" s="123">
        <f>VLOOKUP(B66,'B&amp;L'!$A$7:$BK$69,42,0)</f>
        <v>177.4</v>
      </c>
      <c r="L65" s="123">
        <f>VLOOKUP(B66,'B&amp;L'!$A$7:$BK$69,47,0)</f>
        <v>176.65</v>
      </c>
      <c r="M65" s="123">
        <f>VLOOKUP(B66,'B&amp;L'!$A$7:$BK$69,52,0)</f>
        <v>173.13</v>
      </c>
      <c r="N65" s="123">
        <f>VLOOKUP(B66,'B&amp;L'!$A$7:$BK$69,57,0)</f>
        <v>166.24</v>
      </c>
      <c r="O65" s="123">
        <f>VLOOKUP(B66,'B&amp;L'!$A$7:$BK$69,62,0)</f>
        <v>175.38</v>
      </c>
    </row>
    <row r="66" spans="1:15" ht="15" customHeight="1">
      <c r="A66" s="309"/>
      <c r="B66" s="156">
        <v>1412000040</v>
      </c>
      <c r="C66" s="82" t="s">
        <v>157</v>
      </c>
      <c r="D66" s="124">
        <f>VLOOKUP(B66,'B&amp;L'!$A$7:$BK$69,8,0)</f>
        <v>23.88</v>
      </c>
      <c r="E66" s="124">
        <f>VLOOKUP(B66,'B&amp;L'!$A$7:$BK$69,13,0)</f>
        <v>23.25</v>
      </c>
      <c r="F66" s="124">
        <f>VLOOKUP(B66,'B&amp;L'!$A$7:$BK$69,18,0)</f>
        <v>23.46</v>
      </c>
      <c r="G66" s="124">
        <f>VLOOKUP(B66,'B&amp;L'!$A$7:$BK$69,23,0)</f>
        <v>23.22</v>
      </c>
      <c r="H66" s="124">
        <f>VLOOKUP(B66,'B&amp;L'!$A$7:$BK$69,28,0)</f>
        <v>22.7</v>
      </c>
      <c r="I66" s="124">
        <f>VLOOKUP(B66,'B&amp;L'!$A$7:$BK$69,33,0)</f>
        <v>22.91</v>
      </c>
      <c r="J66" s="124">
        <f>VLOOKUP(B66,'B&amp;L'!$A$7:$BK$69,38,0)</f>
        <v>23.27</v>
      </c>
      <c r="K66" s="124">
        <f>VLOOKUP(B66,'B&amp;L'!$A$7:$BK$69,43,0)</f>
        <v>23.12</v>
      </c>
      <c r="L66" s="124">
        <f>VLOOKUP(B66,'B&amp;L'!$A$7:$BK$69,48,0)</f>
        <v>23.02</v>
      </c>
      <c r="M66" s="124">
        <f>VLOOKUP(B66,'B&amp;L'!$A$7:$BK$69,53,0)</f>
        <v>22.56</v>
      </c>
      <c r="N66" s="124">
        <f>VLOOKUP(B66,'B&amp;L'!$A$7:$BK$69,58,0)</f>
        <v>21.66</v>
      </c>
      <c r="O66" s="124">
        <f>VLOOKUP(B66,'B&amp;L'!$A$7:$BK$69,63,0)</f>
        <v>22.85</v>
      </c>
    </row>
    <row r="67" spans="1:15" ht="15" customHeight="1">
      <c r="A67" s="310">
        <v>31</v>
      </c>
      <c r="B67" s="281" t="s">
        <v>194</v>
      </c>
      <c r="C67" s="287" t="s">
        <v>156</v>
      </c>
      <c r="D67" s="288">
        <f>VLOOKUP(B68,'B&amp;L'!$A$7:$BK$69,7,0)</f>
        <v>78.45</v>
      </c>
      <c r="E67" s="288">
        <f>VLOOKUP(B68,'B&amp;L'!$A$7:$BK$69,12,0)</f>
        <v>74.44</v>
      </c>
      <c r="F67" s="288">
        <f>VLOOKUP(B68,'B&amp;L'!$A$7:$BK$69,17,0)</f>
        <v>75.42</v>
      </c>
      <c r="G67" s="288">
        <f>VLOOKUP(B68,'B&amp;L'!$A$7:$BK$69,22,0)</f>
        <v>71.28</v>
      </c>
      <c r="H67" s="288">
        <f>VLOOKUP(B68,'B&amp;L'!$A$7:$BK$69,27,0)</f>
        <v>68.95</v>
      </c>
      <c r="I67" s="288">
        <f>VLOOKUP(B68,'B&amp;L'!$A$7:$BK$69,32,0)</f>
        <v>69.89</v>
      </c>
      <c r="J67" s="288">
        <f>VLOOKUP(B68,'B&amp;L'!$A$7:$BK$69,37,0)</f>
        <v>71.489999999999995</v>
      </c>
      <c r="K67" s="288">
        <f>VLOOKUP(B68,'B&amp;L'!$A$7:$BK$69,42,0)</f>
        <v>70.81</v>
      </c>
      <c r="L67" s="288">
        <f>VLOOKUP(B68,'B&amp;L'!$A$7:$BK$69,47,0)</f>
        <v>70.38</v>
      </c>
      <c r="M67" s="288">
        <f>VLOOKUP(B68,'B&amp;L'!$A$7:$BK$69,52,0)</f>
        <v>68.34</v>
      </c>
      <c r="N67" s="288">
        <f>VLOOKUP(B68,'B&amp;L'!$A$7:$BK$69,57,0)</f>
        <v>64.349999999999994</v>
      </c>
      <c r="O67" s="288">
        <f>VLOOKUP(B68,'B&amp;L'!$A$7:$BK$69,62,0)</f>
        <v>69.64</v>
      </c>
    </row>
    <row r="68" spans="1:15" ht="15" customHeight="1">
      <c r="A68" s="311"/>
      <c r="B68" s="284">
        <v>1412000039</v>
      </c>
      <c r="C68" s="289" t="s">
        <v>157</v>
      </c>
      <c r="D68" s="290">
        <f>VLOOKUP(B68,'B&amp;L'!$A$7:$BK$69,8,0)</f>
        <v>9.9499999999999993</v>
      </c>
      <c r="E68" s="290">
        <f>VLOOKUP(B68,'B&amp;L'!$A$7:$BK$69,13,0)</f>
        <v>9.6999999999999993</v>
      </c>
      <c r="F68" s="290">
        <f>VLOOKUP(B68,'B&amp;L'!$A$7:$BK$69,18,0)</f>
        <v>9.83</v>
      </c>
      <c r="G68" s="290">
        <f>VLOOKUP(B68,'B&amp;L'!$A$7:$BK$69,23,0)</f>
        <v>9.2899999999999991</v>
      </c>
      <c r="H68" s="290">
        <f>VLOOKUP(B68,'B&amp;L'!$A$7:$BK$69,28,0)</f>
        <v>8.99</v>
      </c>
      <c r="I68" s="290">
        <f>VLOOKUP(B68,'B&amp;L'!$A$7:$BK$69,33,0)</f>
        <v>9.11</v>
      </c>
      <c r="J68" s="290">
        <f>VLOOKUP(B68,'B&amp;L'!$A$7:$BK$69,38,0)</f>
        <v>9.32</v>
      </c>
      <c r="K68" s="290">
        <f>VLOOKUP(B68,'B&amp;L'!$A$7:$BK$69,43,0)</f>
        <v>9.23</v>
      </c>
      <c r="L68" s="290">
        <f>VLOOKUP(B68,'B&amp;L'!$A$7:$BK$69,48,0)</f>
        <v>9.17</v>
      </c>
      <c r="M68" s="290">
        <f>VLOOKUP(B68,'B&amp;L'!$A$7:$BK$69,53,0)</f>
        <v>8.91</v>
      </c>
      <c r="N68" s="290">
        <f>VLOOKUP(B68,'B&amp;L'!$A$7:$BK$69,58,0)</f>
        <v>8.39</v>
      </c>
      <c r="O68" s="290">
        <f>VLOOKUP(B68,'B&amp;L'!$A$7:$BK$69,63,0)</f>
        <v>9.08</v>
      </c>
    </row>
    <row r="69" spans="1:15" ht="15" customHeight="1">
      <c r="A69" s="310">
        <v>32</v>
      </c>
      <c r="B69" s="281" t="s">
        <v>193</v>
      </c>
      <c r="C69" s="287" t="s">
        <v>156</v>
      </c>
      <c r="D69" s="288">
        <f>VLOOKUP(B70,'B&amp;L'!$A$7:$BK$69,7,0)</f>
        <v>56.41</v>
      </c>
      <c r="E69" s="288">
        <f>VLOOKUP(B70,'B&amp;L'!$A$7:$BK$69,12,0)</f>
        <v>63.97</v>
      </c>
      <c r="F69" s="288">
        <f>VLOOKUP(B70,'B&amp;L'!$A$7:$BK$69,17,0)</f>
        <v>64.760000000000005</v>
      </c>
      <c r="G69" s="288">
        <f>VLOOKUP(B70,'B&amp;L'!$A$7:$BK$69,22,0)</f>
        <v>61.38</v>
      </c>
      <c r="H69" s="288">
        <f>VLOOKUP(B70,'B&amp;L'!$A$7:$BK$69,27,0)</f>
        <v>59.48</v>
      </c>
      <c r="I69" s="288">
        <f>VLOOKUP(B70,'B&amp;L'!$A$7:$BK$69,32,0)</f>
        <v>60.24</v>
      </c>
      <c r="J69" s="288">
        <f>VLOOKUP(B70,'B&amp;L'!$A$7:$BK$69,37,0)</f>
        <v>61.55</v>
      </c>
      <c r="K69" s="288">
        <f>VLOOKUP(B70,'B&amp;L'!$A$7:$BK$69,42,0)</f>
        <v>61</v>
      </c>
      <c r="L69" s="288">
        <f>VLOOKUP(B70,'B&amp;L'!$A$7:$BK$69,47,0)</f>
        <v>60.64</v>
      </c>
      <c r="M69" s="288">
        <f>VLOOKUP(B70,'B&amp;L'!$A$7:$BK$69,52,0)</f>
        <v>58.97</v>
      </c>
      <c r="N69" s="288">
        <f>VLOOKUP(B70,'B&amp;L'!$A$7:$BK$69,57,0)</f>
        <v>55.71</v>
      </c>
      <c r="O69" s="288">
        <f>VLOOKUP(B70,'B&amp;L'!$A$7:$BK$69,62,0)</f>
        <v>60.04</v>
      </c>
    </row>
    <row r="70" spans="1:15" ht="15" customHeight="1">
      <c r="A70" s="311"/>
      <c r="B70" s="284" t="s">
        <v>195</v>
      </c>
      <c r="C70" s="289" t="s">
        <v>157</v>
      </c>
      <c r="D70" s="290">
        <f>VLOOKUP(B70,'B&amp;L'!$A$7:$BK$69,8,0)</f>
        <v>7.15</v>
      </c>
      <c r="E70" s="290">
        <f>VLOOKUP(B70,'B&amp;L'!$A$7:$BK$69,13,0)</f>
        <v>8.34</v>
      </c>
      <c r="F70" s="290">
        <f>VLOOKUP(B70,'B&amp;L'!$A$7:$BK$69,18,0)</f>
        <v>8.44</v>
      </c>
      <c r="G70" s="290">
        <f>VLOOKUP(B70,'B&amp;L'!$A$7:$BK$69,23,0)</f>
        <v>8</v>
      </c>
      <c r="H70" s="290">
        <f>VLOOKUP(B70,'B&amp;L'!$A$7:$BK$69,28,0)</f>
        <v>7.75</v>
      </c>
      <c r="I70" s="290">
        <f>VLOOKUP(B70,'B&amp;L'!$A$7:$BK$69,33,0)</f>
        <v>7.85</v>
      </c>
      <c r="J70" s="290">
        <f>VLOOKUP(B70,'B&amp;L'!$A$7:$BK$69,38,0)</f>
        <v>8.02</v>
      </c>
      <c r="K70" s="290">
        <f>VLOOKUP(B70,'B&amp;L'!$A$7:$BK$69,43,0)</f>
        <v>7.95</v>
      </c>
      <c r="L70" s="290">
        <f>VLOOKUP(B70,'B&amp;L'!$A$7:$BK$69,48,0)</f>
        <v>7.9</v>
      </c>
      <c r="M70" s="290">
        <f>VLOOKUP(B70,'B&amp;L'!$A$7:$BK$69,53,0)</f>
        <v>7.68</v>
      </c>
      <c r="N70" s="290">
        <f>VLOOKUP(B70,'B&amp;L'!$A$7:$BK$69,58,0)</f>
        <v>7.26</v>
      </c>
      <c r="O70" s="290">
        <f>VLOOKUP(B70,'B&amp;L'!$A$7:$BK$69,63,0)</f>
        <v>7.82</v>
      </c>
    </row>
    <row r="71" spans="1:15" ht="15" customHeight="1">
      <c r="A71" s="310">
        <v>33</v>
      </c>
      <c r="B71" s="89" t="s">
        <v>159</v>
      </c>
      <c r="C71" s="74" t="s">
        <v>156</v>
      </c>
      <c r="D71" s="123">
        <f>VLOOKUP(B72,'B&amp;L'!$A$7:$BK$69,7,0)</f>
        <v>914.97</v>
      </c>
      <c r="E71" s="123">
        <f>VLOOKUP(B72,'B&amp;L'!$A$7:$BK$69,12,0)</f>
        <v>863.38</v>
      </c>
      <c r="F71" s="123">
        <f>VLOOKUP(B72,'B&amp;L'!$A$7:$BK$69,17,0)</f>
        <v>880.26</v>
      </c>
      <c r="G71" s="123">
        <f>VLOOKUP(B72,'B&amp;L'!$A$7:$BK$69,22,0)</f>
        <v>876.27</v>
      </c>
      <c r="H71" s="123">
        <f>VLOOKUP(B72,'B&amp;L'!$A$7:$BK$69,27,0)</f>
        <v>858.68</v>
      </c>
      <c r="I71" s="123">
        <f>VLOOKUP(B72,'B&amp;L'!$A$7:$BK$69,32,0)</f>
        <v>860.53</v>
      </c>
      <c r="J71" s="123">
        <f>VLOOKUP(B72,'B&amp;L'!$A$7:$BK$69,37,0)</f>
        <v>878.87</v>
      </c>
      <c r="K71" s="123">
        <f>VLOOKUP(B72,'B&amp;L'!$A$7:$BK$69,42,0)</f>
        <v>867.75</v>
      </c>
      <c r="L71" s="123">
        <f>VLOOKUP(B72,'B&amp;L'!$A$7:$BK$69,47,0)</f>
        <v>865.96</v>
      </c>
      <c r="M71" s="123">
        <f>VLOOKUP(B72,'B&amp;L'!$A$7:$BK$69,52,0)</f>
        <v>856.16</v>
      </c>
      <c r="N71" s="123">
        <f>VLOOKUP(B72,'B&amp;L'!$A$7:$BK$69,57,0)</f>
        <v>809.91</v>
      </c>
      <c r="O71" s="123">
        <f>VLOOKUP(B72,'B&amp;L'!$A$7:$BK$69,62,0)</f>
        <v>870.01</v>
      </c>
    </row>
    <row r="72" spans="1:15" ht="15" customHeight="1">
      <c r="A72" s="311"/>
      <c r="B72" s="90">
        <v>1412000013</v>
      </c>
      <c r="C72" s="82" t="s">
        <v>157</v>
      </c>
      <c r="D72" s="124">
        <f>VLOOKUP(B72,'B&amp;L'!$A$7:$BK$69,8,0)</f>
        <v>116.01</v>
      </c>
      <c r="E72" s="124">
        <f>VLOOKUP(B72,'B&amp;L'!$A$7:$BK$69,13,0)</f>
        <v>112.51</v>
      </c>
      <c r="F72" s="124">
        <f>VLOOKUP(B72,'B&amp;L'!$A$7:$BK$69,18,0)</f>
        <v>114.7</v>
      </c>
      <c r="G72" s="124">
        <f>VLOOKUP(B72,'B&amp;L'!$A$7:$BK$69,23,0)</f>
        <v>114.19</v>
      </c>
      <c r="H72" s="124">
        <f>VLOOKUP(B72,'B&amp;L'!$A$7:$BK$69,28,0)</f>
        <v>111.89</v>
      </c>
      <c r="I72" s="124">
        <f>VLOOKUP(B72,'B&amp;L'!$A$7:$BK$69,33,0)</f>
        <v>112.13</v>
      </c>
      <c r="J72" s="124">
        <f>VLOOKUP(B72,'B&amp;L'!$A$7:$BK$69,38,0)</f>
        <v>114.52</v>
      </c>
      <c r="K72" s="124">
        <f>VLOOKUP(B72,'B&amp;L'!$A$7:$BK$69,43,0)</f>
        <v>113.07</v>
      </c>
      <c r="L72" s="124">
        <f>VLOOKUP(B72,'B&amp;L'!$A$7:$BK$69,48,0)</f>
        <v>112.84</v>
      </c>
      <c r="M72" s="124">
        <f>VLOOKUP(B72,'B&amp;L'!$A$7:$BK$69,53,0)</f>
        <v>111.56</v>
      </c>
      <c r="N72" s="124">
        <f>VLOOKUP(B72,'B&amp;L'!$A$7:$BK$69,58,0)</f>
        <v>105.54</v>
      </c>
      <c r="O72" s="124">
        <f>VLOOKUP(B72,'B&amp;L'!$A$7:$BK$69,63,0)</f>
        <v>113.37</v>
      </c>
    </row>
    <row r="73" spans="1:15" ht="15" customHeight="1">
      <c r="A73" s="310">
        <v>34</v>
      </c>
      <c r="B73" s="89" t="s">
        <v>160</v>
      </c>
      <c r="C73" s="74" t="s">
        <v>156</v>
      </c>
      <c r="D73" s="123">
        <f>VLOOKUP(B74,'B&amp;L'!$A$7:$BK$69,7,0)</f>
        <v>658.33</v>
      </c>
      <c r="E73" s="123">
        <f>VLOOKUP(B74,'B&amp;L'!$A$7:$BK$69,12,0)</f>
        <v>621.30999999999995</v>
      </c>
      <c r="F73" s="123">
        <f>VLOOKUP(B74,'B&amp;L'!$A$7:$BK$69,17,0)</f>
        <v>629</v>
      </c>
      <c r="G73" s="123">
        <f>VLOOKUP(B74,'B&amp;L'!$A$7:$BK$69,22,0)</f>
        <v>626.48</v>
      </c>
      <c r="H73" s="123">
        <f>VLOOKUP(B74,'B&amp;L'!$A$7:$BK$69,27,0)</f>
        <v>618.51</v>
      </c>
      <c r="I73" s="123">
        <f>VLOOKUP(B74,'B&amp;L'!$A$7:$BK$69,32,0)</f>
        <v>619.35</v>
      </c>
      <c r="J73" s="123">
        <f>VLOOKUP(B74,'B&amp;L'!$A$7:$BK$69,37,0)</f>
        <v>627.66</v>
      </c>
      <c r="K73" s="123">
        <f>VLOOKUP(B74,'B&amp;L'!$A$7:$BK$69,42,0)</f>
        <v>622.62</v>
      </c>
      <c r="L73" s="123">
        <f>VLOOKUP(B74,'B&amp;L'!$A$7:$BK$69,47,0)</f>
        <v>621.80999999999995</v>
      </c>
      <c r="M73" s="123">
        <f>VLOOKUP(B74,'B&amp;L'!$A$7:$BK$69,52,0)</f>
        <v>617.37</v>
      </c>
      <c r="N73" s="123">
        <f>VLOOKUP(B74,'B&amp;L'!$A$7:$BK$69,57,0)</f>
        <v>596.42999999999995</v>
      </c>
      <c r="O73" s="123">
        <f>VLOOKUP(B74,'B&amp;L'!$A$7:$BK$69,62,0)</f>
        <v>623.64</v>
      </c>
    </row>
    <row r="74" spans="1:15" ht="15" customHeight="1">
      <c r="A74" s="311"/>
      <c r="B74" s="90">
        <v>1412000092</v>
      </c>
      <c r="C74" s="82" t="s">
        <v>157</v>
      </c>
      <c r="D74" s="124">
        <f>VLOOKUP(B74,'B&amp;L'!$A$7:$BK$69,8,0)</f>
        <v>83.47</v>
      </c>
      <c r="E74" s="124">
        <f>VLOOKUP(B74,'B&amp;L'!$A$7:$BK$69,13,0)</f>
        <v>80.959999999999994</v>
      </c>
      <c r="F74" s="124">
        <f>VLOOKUP(B74,'B&amp;L'!$A$7:$BK$69,18,0)</f>
        <v>81.96</v>
      </c>
      <c r="G74" s="124">
        <f>VLOOKUP(B74,'B&amp;L'!$A$7:$BK$69,23,0)</f>
        <v>81.63</v>
      </c>
      <c r="H74" s="124">
        <f>VLOOKUP(B74,'B&amp;L'!$A$7:$BK$69,28,0)</f>
        <v>80.599999999999994</v>
      </c>
      <c r="I74" s="124">
        <f>VLOOKUP(B74,'B&amp;L'!$A$7:$BK$69,33,0)</f>
        <v>80.709999999999994</v>
      </c>
      <c r="J74" s="124">
        <f>VLOOKUP(B74,'B&amp;L'!$A$7:$BK$69,38,0)</f>
        <v>81.790000000000006</v>
      </c>
      <c r="K74" s="124">
        <f>VLOOKUP(B74,'B&amp;L'!$A$7:$BK$69,43,0)</f>
        <v>81.13</v>
      </c>
      <c r="L74" s="124">
        <f>VLOOKUP(B74,'B&amp;L'!$A$7:$BK$69,48,0)</f>
        <v>81.03</v>
      </c>
      <c r="M74" s="124">
        <f>VLOOKUP(B74,'B&amp;L'!$A$7:$BK$69,53,0)</f>
        <v>80.45</v>
      </c>
      <c r="N74" s="124">
        <f>VLOOKUP(B74,'B&amp;L'!$A$7:$BK$69,58,0)</f>
        <v>77.72</v>
      </c>
      <c r="O74" s="124">
        <f>VLOOKUP(B74,'B&amp;L'!$A$7:$BK$69,63,0)</f>
        <v>81.27</v>
      </c>
    </row>
    <row r="75" spans="1:15" ht="15" customHeight="1">
      <c r="A75" s="308">
        <v>35</v>
      </c>
      <c r="B75" s="89" t="s">
        <v>139</v>
      </c>
      <c r="C75" s="74" t="s">
        <v>156</v>
      </c>
      <c r="D75" s="123">
        <f>VLOOKUP(B76,'B&amp;L'!$A$7:$BK$69,7,0)</f>
        <v>313.67</v>
      </c>
      <c r="E75" s="123">
        <f>VLOOKUP(B76,'B&amp;L'!$A$7:$BK$69,12,0)</f>
        <v>303.2</v>
      </c>
      <c r="F75" s="123">
        <f>VLOOKUP(B76,'B&amp;L'!$A$7:$BK$69,17,0)</f>
        <v>311.86</v>
      </c>
      <c r="G75" s="123">
        <f>VLOOKUP(B76,'B&amp;L'!$A$7:$BK$69,22,0)</f>
        <v>303.22000000000003</v>
      </c>
      <c r="H75" s="123">
        <f>VLOOKUP(B76,'B&amp;L'!$A$7:$BK$69,27,0)</f>
        <v>297.29000000000002</v>
      </c>
      <c r="I75" s="123">
        <f>VLOOKUP(B76,'B&amp;L'!$A$7:$BK$69,32,0)</f>
        <v>299.68</v>
      </c>
      <c r="J75" s="123">
        <f>VLOOKUP(B76,'B&amp;L'!$A$7:$BK$69,37,0)</f>
        <v>303.75</v>
      </c>
      <c r="K75" s="123">
        <f>VLOOKUP(B76,'B&amp;L'!$A$7:$BK$69,42,0)</f>
        <v>302.02999999999997</v>
      </c>
      <c r="L75" s="123">
        <f>VLOOKUP(B76,'B&amp;L'!$A$7:$BK$69,47,0)</f>
        <v>300.92</v>
      </c>
      <c r="M75" s="123">
        <f>VLOOKUP(B76,'B&amp;L'!$A$7:$BK$69,52,0)</f>
        <v>296.63</v>
      </c>
      <c r="N75" s="123">
        <f>VLOOKUP(B76,'B&amp;L'!$A$7:$BK$69,57,0)</f>
        <v>286.48</v>
      </c>
      <c r="O75" s="123">
        <f>VLOOKUP(B76,'B&amp;L'!$A$7:$BK$69,62,0)</f>
        <v>299.95</v>
      </c>
    </row>
    <row r="76" spans="1:15" ht="15" customHeight="1">
      <c r="A76" s="308"/>
      <c r="B76" s="90">
        <v>1412000035</v>
      </c>
      <c r="C76" s="82" t="s">
        <v>157</v>
      </c>
      <c r="D76" s="124">
        <f>VLOOKUP(B76,'B&amp;L'!$A$7:$BK$69,8,0)</f>
        <v>39.770000000000003</v>
      </c>
      <c r="E76" s="124">
        <f>VLOOKUP(B76,'B&amp;L'!$A$7:$BK$69,13,0)</f>
        <v>39.51</v>
      </c>
      <c r="F76" s="124">
        <f>VLOOKUP(B76,'B&amp;L'!$A$7:$BK$69,18,0)</f>
        <v>40.64</v>
      </c>
      <c r="G76" s="124">
        <f>VLOOKUP(B76,'B&amp;L'!$A$7:$BK$69,23,0)</f>
        <v>39.51</v>
      </c>
      <c r="H76" s="124">
        <f>VLOOKUP(B76,'B&amp;L'!$A$7:$BK$69,28,0)</f>
        <v>38.74</v>
      </c>
      <c r="I76" s="124">
        <f>VLOOKUP(B76,'B&amp;L'!$A$7:$BK$69,33,0)</f>
        <v>39.049999999999997</v>
      </c>
      <c r="J76" s="124">
        <f>VLOOKUP(B76,'B&amp;L'!$A$7:$BK$69,38,0)</f>
        <v>39.58</v>
      </c>
      <c r="K76" s="124">
        <f>VLOOKUP(B76,'B&amp;L'!$A$7:$BK$69,43,0)</f>
        <v>39.36</v>
      </c>
      <c r="L76" s="124">
        <f>VLOOKUP(B76,'B&amp;L'!$A$7:$BK$69,48,0)</f>
        <v>39.21</v>
      </c>
      <c r="M76" s="124">
        <f>VLOOKUP(B76,'B&amp;L'!$A$7:$BK$69,53,0)</f>
        <v>38.65</v>
      </c>
      <c r="N76" s="124">
        <f>VLOOKUP(B76,'B&amp;L'!$A$7:$BK$69,58,0)</f>
        <v>37.33</v>
      </c>
      <c r="O76" s="124">
        <f>VLOOKUP(B76,'B&amp;L'!$A$7:$BK$69,63,0)</f>
        <v>39.090000000000003</v>
      </c>
    </row>
    <row r="77" spans="1:15">
      <c r="A77" s="309">
        <v>36</v>
      </c>
      <c r="B77" s="89" t="s">
        <v>132</v>
      </c>
      <c r="C77" s="74" t="s">
        <v>156</v>
      </c>
      <c r="D77" s="123">
        <f>VLOOKUP(B78,'B&amp;L'!$A$7:$BK$69,7,0)</f>
        <v>313.02</v>
      </c>
      <c r="E77" s="123">
        <f>VLOOKUP(B78,'B&amp;L'!$A$7:$BK$69,12,0)</f>
        <v>301.47000000000003</v>
      </c>
      <c r="F77" s="123">
        <f>VLOOKUP(B78,'B&amp;L'!$A$7:$BK$69,17,0)</f>
        <v>301.73</v>
      </c>
      <c r="G77" s="123">
        <f>VLOOKUP(B78,'B&amp;L'!$A$7:$BK$69,22,0)</f>
        <v>298.2</v>
      </c>
      <c r="H77" s="123">
        <f>VLOOKUP(B78,'B&amp;L'!$A$7:$BK$69,27,0)</f>
        <v>297.8</v>
      </c>
      <c r="I77" s="123">
        <f>VLOOKUP(B78,'B&amp;L'!$A$7:$BK$69,32,0)</f>
        <v>297.86</v>
      </c>
      <c r="J77" s="123">
        <f>VLOOKUP(B78,'B&amp;L'!$A$7:$BK$69,37,0)</f>
        <v>298.02999999999997</v>
      </c>
      <c r="K77" s="123">
        <f>VLOOKUP(B78,'B&amp;L'!$A$7:$BK$69,42,0)</f>
        <v>297.95</v>
      </c>
      <c r="L77" s="123">
        <f>VLOOKUP(B78,'B&amp;L'!$A$7:$BK$69,47,0)</f>
        <v>297.82</v>
      </c>
      <c r="M77" s="123">
        <f>VLOOKUP(B78,'B&amp;L'!$A$7:$BK$69,52,0)</f>
        <v>297.68</v>
      </c>
      <c r="N77" s="123">
        <f>VLOOKUP(B78,'B&amp;L'!$A$7:$BK$69,57,0)</f>
        <v>297.20999999999998</v>
      </c>
      <c r="O77" s="123">
        <f>VLOOKUP(B78,'B&amp;L'!$A$7:$BK$69,62,0)</f>
        <v>297.81</v>
      </c>
    </row>
    <row r="78" spans="1:15">
      <c r="A78" s="309"/>
      <c r="B78" s="90">
        <v>1412000016</v>
      </c>
      <c r="C78" s="82" t="s">
        <v>157</v>
      </c>
      <c r="D78" s="124">
        <f>VLOOKUP(B78,'B&amp;L'!$A$7:$BK$69,8,0)</f>
        <v>39.69</v>
      </c>
      <c r="E78" s="124">
        <f>VLOOKUP(B78,'B&amp;L'!$A$7:$BK$69,13,0)</f>
        <v>39.28</v>
      </c>
      <c r="F78" s="124">
        <f>VLOOKUP(B78,'B&amp;L'!$A$7:$BK$69,18,0)</f>
        <v>39.32</v>
      </c>
      <c r="G78" s="124">
        <f>VLOOKUP(B78,'B&amp;L'!$A$7:$BK$69,23,0)</f>
        <v>38.86</v>
      </c>
      <c r="H78" s="124">
        <f>VLOOKUP(B78,'B&amp;L'!$A$7:$BK$69,28,0)</f>
        <v>38.81</v>
      </c>
      <c r="I78" s="124">
        <f>VLOOKUP(B78,'B&amp;L'!$A$7:$BK$69,33,0)</f>
        <v>38.81</v>
      </c>
      <c r="J78" s="124">
        <f>VLOOKUP(B78,'B&amp;L'!$A$7:$BK$69,38,0)</f>
        <v>38.840000000000003</v>
      </c>
      <c r="K78" s="124">
        <f>VLOOKUP(B78,'B&amp;L'!$A$7:$BK$69,43,0)</f>
        <v>38.82</v>
      </c>
      <c r="L78" s="124">
        <f>VLOOKUP(B78,'B&amp;L'!$A$7:$BK$69,48,0)</f>
        <v>38.81</v>
      </c>
      <c r="M78" s="124">
        <f>VLOOKUP(B78,'B&amp;L'!$A$7:$BK$69,53,0)</f>
        <v>38.79</v>
      </c>
      <c r="N78" s="124">
        <f>VLOOKUP(B78,'B&amp;L'!$A$7:$BK$69,58,0)</f>
        <v>38.729999999999997</v>
      </c>
      <c r="O78" s="124">
        <f>VLOOKUP(B78,'B&amp;L'!$A$7:$BK$69,63,0)</f>
        <v>38.81</v>
      </c>
    </row>
    <row r="79" spans="1:15">
      <c r="A79" s="310">
        <v>37</v>
      </c>
      <c r="B79" s="89" t="s">
        <v>147</v>
      </c>
      <c r="C79" s="74" t="s">
        <v>156</v>
      </c>
      <c r="D79" s="123">
        <f>VLOOKUP(B80,'B&amp;L'!$A$7:$BK$69,7,0)</f>
        <v>218.24</v>
      </c>
      <c r="E79" s="123">
        <f>VLOOKUP(B80,'B&amp;L'!$A$7:$BK$69,12,0)</f>
        <v>214.27</v>
      </c>
      <c r="F79" s="123">
        <f>VLOOKUP(B80,'B&amp;L'!$A$7:$BK$69,17,0)</f>
        <v>214.44</v>
      </c>
      <c r="G79" s="123">
        <f>VLOOKUP(B80,'B&amp;L'!$A$7:$BK$69,22,0)</f>
        <v>212.09</v>
      </c>
      <c r="H79" s="123">
        <f>VLOOKUP(B80,'B&amp;L'!$A$7:$BK$69,27,0)</f>
        <v>211.82</v>
      </c>
      <c r="I79" s="123">
        <f>VLOOKUP(B80,'B&amp;L'!$A$7:$BK$69,32,0)</f>
        <v>211.86</v>
      </c>
      <c r="J79" s="123">
        <f>VLOOKUP(B80,'B&amp;L'!$A$7:$BK$69,37,0)</f>
        <v>211.98</v>
      </c>
      <c r="K79" s="123">
        <f>VLOOKUP(B80,'B&amp;L'!$A$7:$BK$69,42,0)</f>
        <v>211.92</v>
      </c>
      <c r="L79" s="123">
        <f>VLOOKUP(B80,'B&amp;L'!$A$7:$BK$69,47,0)</f>
        <v>211.84</v>
      </c>
      <c r="M79" s="123">
        <f>VLOOKUP(B80,'B&amp;L'!$A$7:$BK$69,52,0)</f>
        <v>211.74</v>
      </c>
      <c r="N79" s="123">
        <f>VLOOKUP(B80,'B&amp;L'!$A$7:$BK$69,57,0)</f>
        <v>211.43</v>
      </c>
      <c r="O79" s="123">
        <f>VLOOKUP(B80,'B&amp;L'!$A$7:$BK$69,62,0)</f>
        <v>211.83</v>
      </c>
    </row>
    <row r="80" spans="1:15">
      <c r="A80" s="311"/>
      <c r="B80" s="90">
        <v>1412000069</v>
      </c>
      <c r="C80" s="82" t="s">
        <v>157</v>
      </c>
      <c r="D80" s="124">
        <f>VLOOKUP(B80,'B&amp;L'!$A$7:$BK$69,8,0)</f>
        <v>27.67</v>
      </c>
      <c r="E80" s="124">
        <f>VLOOKUP(B80,'B&amp;L'!$A$7:$BK$69,13,0)</f>
        <v>27.92</v>
      </c>
      <c r="F80" s="124">
        <f>VLOOKUP(B80,'B&amp;L'!$A$7:$BK$69,18,0)</f>
        <v>27.94</v>
      </c>
      <c r="G80" s="124">
        <f>VLOOKUP(B80,'B&amp;L'!$A$7:$BK$69,23,0)</f>
        <v>27.64</v>
      </c>
      <c r="H80" s="124">
        <f>VLOOKUP(B80,'B&amp;L'!$A$7:$BK$69,28,0)</f>
        <v>27.6</v>
      </c>
      <c r="I80" s="124">
        <f>VLOOKUP(B80,'B&amp;L'!$A$7:$BK$69,33,0)</f>
        <v>27.61</v>
      </c>
      <c r="J80" s="124">
        <f>VLOOKUP(B80,'B&amp;L'!$A$7:$BK$69,38,0)</f>
        <v>27.62</v>
      </c>
      <c r="K80" s="124">
        <f>VLOOKUP(B80,'B&amp;L'!$A$7:$BK$69,43,0)</f>
        <v>27.61</v>
      </c>
      <c r="L80" s="124">
        <f>VLOOKUP(B80,'B&amp;L'!$A$7:$BK$69,48,0)</f>
        <v>27.6</v>
      </c>
      <c r="M80" s="124">
        <f>VLOOKUP(B80,'B&amp;L'!$A$7:$BK$69,53,0)</f>
        <v>27.59</v>
      </c>
      <c r="N80" s="124">
        <f>VLOOKUP(B80,'B&amp;L'!$A$7:$BK$69,58,0)</f>
        <v>27.55</v>
      </c>
      <c r="O80" s="124">
        <f>VLOOKUP(B80,'B&amp;L'!$A$7:$BK$69,63,0)</f>
        <v>27.6</v>
      </c>
    </row>
    <row r="81" spans="1:15">
      <c r="A81" s="310">
        <v>38</v>
      </c>
      <c r="B81" s="89" t="s">
        <v>149</v>
      </c>
      <c r="C81" s="74" t="s">
        <v>156</v>
      </c>
      <c r="D81" s="123">
        <f>VLOOKUP(B82,'B&amp;L'!$A$7:$BK$69,7,0)</f>
        <v>326.56</v>
      </c>
      <c r="E81" s="123">
        <f>VLOOKUP(B82,'B&amp;L'!$A$7:$BK$69,12,0)</f>
        <v>301.47000000000003</v>
      </c>
      <c r="F81" s="123">
        <f>VLOOKUP(B82,'B&amp;L'!$A$7:$BK$69,17,0)</f>
        <v>301.73</v>
      </c>
      <c r="G81" s="123">
        <f>VLOOKUP(B82,'B&amp;L'!$A$7:$BK$69,22,0)</f>
        <v>310.5</v>
      </c>
      <c r="H81" s="123">
        <f>VLOOKUP(B82,'B&amp;L'!$A$7:$BK$69,27,0)</f>
        <v>310.08</v>
      </c>
      <c r="I81" s="123">
        <f>VLOOKUP(B82,'B&amp;L'!$A$7:$BK$69,32,0)</f>
        <v>310.14999999999998</v>
      </c>
      <c r="J81" s="123">
        <f>VLOOKUP(B82,'B&amp;L'!$A$7:$BK$69,37,0)</f>
        <v>310.33</v>
      </c>
      <c r="K81" s="123">
        <f>VLOOKUP(B82,'B&amp;L'!$A$7:$BK$69,42,0)</f>
        <v>310.24</v>
      </c>
      <c r="L81" s="123">
        <f>VLOOKUP(B82,'B&amp;L'!$A$7:$BK$69,47,0)</f>
        <v>310.11</v>
      </c>
      <c r="M81" s="123">
        <f>VLOOKUP(B82,'B&amp;L'!$A$7:$BK$69,52,0)</f>
        <v>309.95</v>
      </c>
      <c r="N81" s="123">
        <f>VLOOKUP(B82,'B&amp;L'!$A$7:$BK$69,57,0)</f>
        <v>309.47000000000003</v>
      </c>
      <c r="O81" s="123">
        <f>VLOOKUP(B82,'B&amp;L'!$A$7:$BK$69,62,0)</f>
        <v>310.10000000000002</v>
      </c>
    </row>
    <row r="82" spans="1:15">
      <c r="A82" s="311"/>
      <c r="B82" s="90">
        <v>1412000084</v>
      </c>
      <c r="C82" s="82" t="s">
        <v>157</v>
      </c>
      <c r="D82" s="124">
        <f>VLOOKUP(B82,'B&amp;L'!$A$7:$BK$69,8,0)</f>
        <v>41.4</v>
      </c>
      <c r="E82" s="124">
        <f>VLOOKUP(B82,'B&amp;L'!$A$7:$BK$69,13,0)</f>
        <v>39.28</v>
      </c>
      <c r="F82" s="124">
        <f>VLOOKUP(B82,'B&amp;L'!$A$7:$BK$69,18,0)</f>
        <v>39.32</v>
      </c>
      <c r="G82" s="124">
        <f>VLOOKUP(B82,'B&amp;L'!$A$7:$BK$69,23,0)</f>
        <v>40.46</v>
      </c>
      <c r="H82" s="124">
        <f>VLOOKUP(B82,'B&amp;L'!$A$7:$BK$69,28,0)</f>
        <v>40.409999999999997</v>
      </c>
      <c r="I82" s="124">
        <f>VLOOKUP(B82,'B&amp;L'!$A$7:$BK$69,33,0)</f>
        <v>40.409999999999997</v>
      </c>
      <c r="J82" s="124">
        <f>VLOOKUP(B82,'B&amp;L'!$A$7:$BK$69,38,0)</f>
        <v>40.44</v>
      </c>
      <c r="K82" s="124">
        <f>VLOOKUP(B82,'B&amp;L'!$A$7:$BK$69,43,0)</f>
        <v>40.43</v>
      </c>
      <c r="L82" s="124">
        <f>VLOOKUP(B82,'B&amp;L'!$A$7:$BK$69,48,0)</f>
        <v>40.409999999999997</v>
      </c>
      <c r="M82" s="124">
        <f>VLOOKUP(B82,'B&amp;L'!$A$7:$BK$69,53,0)</f>
        <v>40.39</v>
      </c>
      <c r="N82" s="124">
        <f>VLOOKUP(B82,'B&amp;L'!$A$7:$BK$69,58,0)</f>
        <v>40.33</v>
      </c>
      <c r="O82" s="124">
        <f>VLOOKUP(B82,'B&amp;L'!$A$7:$BK$69,63,0)</f>
        <v>40.409999999999997</v>
      </c>
    </row>
    <row r="83" spans="1:15" ht="15" customHeight="1">
      <c r="A83" s="310">
        <v>39</v>
      </c>
      <c r="B83" s="89" t="s">
        <v>75</v>
      </c>
      <c r="C83" s="74" t="s">
        <v>156</v>
      </c>
      <c r="D83" s="123">
        <f>VLOOKUP(B84,'B&amp;L'!$A$7:$BK$69,7,0)</f>
        <v>158.25</v>
      </c>
      <c r="E83" s="123">
        <f>VLOOKUP(B84,'B&amp;L'!$A$7:$BK$69,12,0)</f>
        <v>149.44</v>
      </c>
      <c r="F83" s="123">
        <f>VLOOKUP(B84,'B&amp;L'!$A$7:$BK$69,17,0)</f>
        <v>148.9</v>
      </c>
      <c r="G83" s="123">
        <f>VLOOKUP(B84,'B&amp;L'!$A$7:$BK$69,22,0)</f>
        <v>147.65</v>
      </c>
      <c r="H83" s="123">
        <f>VLOOKUP(B84,'B&amp;L'!$A$7:$BK$69,27,0)</f>
        <v>147.5</v>
      </c>
      <c r="I83" s="123">
        <f>VLOOKUP(B84,'B&amp;L'!$A$7:$BK$69,32,0)</f>
        <v>165.4</v>
      </c>
      <c r="J83" s="123">
        <f>VLOOKUP(B84,'B&amp;L'!$A$7:$BK$69,37,0)</f>
        <v>159.22</v>
      </c>
      <c r="K83" s="123">
        <f>VLOOKUP(B84,'B&amp;L'!$A$7:$BK$69,42,0)</f>
        <v>159.15</v>
      </c>
      <c r="L83" s="123">
        <f>VLOOKUP(B84,'B&amp;L'!$A$7:$BK$69,47,0)</f>
        <v>159.38</v>
      </c>
      <c r="M83" s="123">
        <f>VLOOKUP(B84,'B&amp;L'!$A$7:$BK$69,52,0)</f>
        <v>159.26</v>
      </c>
      <c r="N83" s="123">
        <f>VLOOKUP(B84,'B&amp;L'!$A$7:$BK$69,57,0)</f>
        <v>156.79</v>
      </c>
      <c r="O83" s="123">
        <f>VLOOKUP(B84,'B&amp;L'!$A$7:$BK$69,62,0)</f>
        <v>159.37</v>
      </c>
    </row>
    <row r="84" spans="1:15" ht="15" customHeight="1">
      <c r="A84" s="311"/>
      <c r="B84" s="90">
        <v>1412000050</v>
      </c>
      <c r="C84" s="82" t="s">
        <v>157</v>
      </c>
      <c r="D84" s="124">
        <f>VLOOKUP(B84,'B&amp;L'!$A$7:$BK$69,8,0)</f>
        <v>20.059999999999999</v>
      </c>
      <c r="E84" s="124">
        <f>VLOOKUP(B84,'B&amp;L'!$A$7:$BK$69,13,0)</f>
        <v>19.47</v>
      </c>
      <c r="F84" s="124">
        <f>VLOOKUP(B84,'B&amp;L'!$A$7:$BK$69,18,0)</f>
        <v>19.399999999999999</v>
      </c>
      <c r="G84" s="124">
        <f>VLOOKUP(B84,'B&amp;L'!$A$7:$BK$69,23,0)</f>
        <v>19.239999999999998</v>
      </c>
      <c r="H84" s="124">
        <f>VLOOKUP(B84,'B&amp;L'!$A$7:$BK$69,28,0)</f>
        <v>19.22</v>
      </c>
      <c r="I84" s="124">
        <f>VLOOKUP(B84,'B&amp;L'!$A$7:$BK$69,33,0)</f>
        <v>21.55</v>
      </c>
      <c r="J84" s="124">
        <f>VLOOKUP(B84,'B&amp;L'!$A$7:$BK$69,38,0)</f>
        <v>20.75</v>
      </c>
      <c r="K84" s="124">
        <f>VLOOKUP(B84,'B&amp;L'!$A$7:$BK$69,43,0)</f>
        <v>20.74</v>
      </c>
      <c r="L84" s="124">
        <f>VLOOKUP(B84,'B&amp;L'!$A$7:$BK$69,48,0)</f>
        <v>20.77</v>
      </c>
      <c r="M84" s="124">
        <f>VLOOKUP(B84,'B&amp;L'!$A$7:$BK$69,53,0)</f>
        <v>20.75</v>
      </c>
      <c r="N84" s="124">
        <f>VLOOKUP(B84,'B&amp;L'!$A$7:$BK$69,58,0)</f>
        <v>20.43</v>
      </c>
      <c r="O84" s="124">
        <f>VLOOKUP(B84,'B&amp;L'!$A$7:$BK$69,63,0)</f>
        <v>20.77</v>
      </c>
    </row>
    <row r="85" spans="1:15" ht="15" customHeight="1">
      <c r="A85" s="310">
        <v>40</v>
      </c>
      <c r="B85" s="89" t="s">
        <v>161</v>
      </c>
      <c r="C85" s="74" t="s">
        <v>156</v>
      </c>
      <c r="D85" s="123">
        <f>VLOOKUP(B86,'B&amp;L'!$A$7:$BK$69,7,0)</f>
        <v>116.05</v>
      </c>
      <c r="E85" s="123">
        <f>VLOOKUP(B86,'B&amp;L'!$A$7:$BK$69,12,0)</f>
        <v>109.59</v>
      </c>
      <c r="F85" s="123">
        <f>VLOOKUP(B86,'B&amp;L'!$A$7:$BK$69,17,0)</f>
        <v>109.2</v>
      </c>
      <c r="G85" s="123">
        <f>VLOOKUP(B86,'B&amp;L'!$A$7:$BK$69,22,0)</f>
        <v>108.28</v>
      </c>
      <c r="H85" s="123">
        <f>VLOOKUP(B86,'B&amp;L'!$A$7:$BK$69,27,0)</f>
        <v>108.17</v>
      </c>
      <c r="I85" s="123">
        <f>VLOOKUP(B86,'B&amp;L'!$A$7:$BK$69,32,0)</f>
        <v>101.08</v>
      </c>
      <c r="J85" s="123">
        <f>VLOOKUP(B86,'B&amp;L'!$A$7:$BK$69,37,0)</f>
        <v>103.03</v>
      </c>
      <c r="K85" s="123">
        <f>VLOOKUP(B86,'B&amp;L'!$A$7:$BK$69,42,0)</f>
        <v>102.98</v>
      </c>
      <c r="L85" s="123">
        <f>VLOOKUP(B86,'B&amp;L'!$A$7:$BK$69,47,0)</f>
        <v>103.13</v>
      </c>
      <c r="M85" s="123">
        <f>VLOOKUP(B86,'B&amp;L'!$A$7:$BK$69,52,0)</f>
        <v>103.05</v>
      </c>
      <c r="N85" s="123">
        <f>VLOOKUP(B86,'B&amp;L'!$A$7:$BK$69,57,0)</f>
        <v>101.45</v>
      </c>
      <c r="O85" s="123">
        <f>VLOOKUP(B86,'B&amp;L'!$A$7:$BK$69,62,0)</f>
        <v>103.12</v>
      </c>
    </row>
    <row r="86" spans="1:15" ht="15" customHeight="1">
      <c r="A86" s="311"/>
      <c r="B86" s="90">
        <v>1412000077</v>
      </c>
      <c r="C86" s="82" t="s">
        <v>157</v>
      </c>
      <c r="D86" s="124">
        <f>VLOOKUP(B86,'B&amp;L'!$A$7:$BK$69,8,0)</f>
        <v>14.71</v>
      </c>
      <c r="E86" s="124">
        <f>VLOOKUP(B86,'B&amp;L'!$A$7:$BK$69,13,0)</f>
        <v>14.28</v>
      </c>
      <c r="F86" s="124">
        <f>VLOOKUP(B86,'B&amp;L'!$A$7:$BK$69,18,0)</f>
        <v>14.23</v>
      </c>
      <c r="G86" s="124">
        <f>VLOOKUP(B86,'B&amp;L'!$A$7:$BK$69,23,0)</f>
        <v>14.11</v>
      </c>
      <c r="H86" s="124">
        <f>VLOOKUP(B86,'B&amp;L'!$A$7:$BK$69,28,0)</f>
        <v>14.09</v>
      </c>
      <c r="I86" s="124">
        <f>VLOOKUP(B86,'B&amp;L'!$A$7:$BK$69,33,0)</f>
        <v>13.17</v>
      </c>
      <c r="J86" s="124">
        <f>VLOOKUP(B86,'B&amp;L'!$A$7:$BK$69,38,0)</f>
        <v>13.42</v>
      </c>
      <c r="K86" s="124">
        <f>VLOOKUP(B86,'B&amp;L'!$A$7:$BK$69,43,0)</f>
        <v>13.42</v>
      </c>
      <c r="L86" s="124">
        <f>VLOOKUP(B86,'B&amp;L'!$A$7:$BK$69,48,0)</f>
        <v>13.44</v>
      </c>
      <c r="M86" s="124">
        <f>VLOOKUP(B86,'B&amp;L'!$A$7:$BK$69,53,0)</f>
        <v>13.43</v>
      </c>
      <c r="N86" s="124">
        <f>VLOOKUP(B86,'B&amp;L'!$A$7:$BK$69,58,0)</f>
        <v>13.22</v>
      </c>
      <c r="O86" s="124">
        <f>VLOOKUP(B86,'B&amp;L'!$A$7:$BK$69,63,0)</f>
        <v>13.44</v>
      </c>
    </row>
    <row r="87" spans="1:15">
      <c r="A87" s="308">
        <v>41</v>
      </c>
      <c r="B87" s="89" t="s">
        <v>162</v>
      </c>
      <c r="C87" s="74" t="s">
        <v>156</v>
      </c>
      <c r="D87" s="123">
        <f>VLOOKUP(B88,'B&amp;L'!$A$7:$BK$69,7,0)</f>
        <v>105.5</v>
      </c>
      <c r="E87" s="123">
        <f>VLOOKUP(B88,'B&amp;L'!$A$7:$BK$69,12,0)</f>
        <v>99.63</v>
      </c>
      <c r="F87" s="123">
        <f>VLOOKUP(B88,'B&amp;L'!$A$7:$BK$69,17,0)</f>
        <v>99.27</v>
      </c>
      <c r="G87" s="123">
        <f>VLOOKUP(B88,'B&amp;L'!$A$7:$BK$69,22,0)</f>
        <v>98.44</v>
      </c>
      <c r="H87" s="123">
        <f>VLOOKUP(B88,'B&amp;L'!$A$7:$BK$69,27,0)</f>
        <v>98.33</v>
      </c>
      <c r="I87" s="123">
        <f>VLOOKUP(B88,'B&amp;L'!$A$7:$BK$69,32,0)</f>
        <v>91.89</v>
      </c>
      <c r="J87" s="123">
        <f>VLOOKUP(B88,'B&amp;L'!$A$7:$BK$69,37,0)</f>
        <v>93.66</v>
      </c>
      <c r="K87" s="123">
        <f>VLOOKUP(B88,'B&amp;L'!$A$7:$BK$69,42,0)</f>
        <v>93.62</v>
      </c>
      <c r="L87" s="123">
        <f>VLOOKUP(B88,'B&amp;L'!$A$7:$BK$69,47,0)</f>
        <v>93.75</v>
      </c>
      <c r="M87" s="123">
        <f>VLOOKUP(B88,'B&amp;L'!$A$7:$BK$69,52,0)</f>
        <v>93.68</v>
      </c>
      <c r="N87" s="123">
        <f>VLOOKUP(B88,'B&amp;L'!$A$7:$BK$69,57,0)</f>
        <v>92.23</v>
      </c>
      <c r="O87" s="123">
        <f>VLOOKUP(B88,'B&amp;L'!$A$7:$BK$69,62,0)</f>
        <v>84.37</v>
      </c>
    </row>
    <row r="88" spans="1:15">
      <c r="A88" s="308"/>
      <c r="B88" s="90">
        <v>1412000083</v>
      </c>
      <c r="C88" s="82" t="s">
        <v>157</v>
      </c>
      <c r="D88" s="124">
        <f>VLOOKUP(B88,'B&amp;L'!$A$7:$BK$69,8,0)</f>
        <v>13.38</v>
      </c>
      <c r="E88" s="124">
        <f>VLOOKUP(B88,'B&amp;L'!$A$7:$BK$69,13,0)</f>
        <v>12.98</v>
      </c>
      <c r="F88" s="124">
        <f>VLOOKUP(B88,'B&amp;L'!$A$7:$BK$69,18,0)</f>
        <v>12.94</v>
      </c>
      <c r="G88" s="124">
        <f>VLOOKUP(B88,'B&amp;L'!$A$7:$BK$69,23,0)</f>
        <v>12.83</v>
      </c>
      <c r="H88" s="124">
        <f>VLOOKUP(B88,'B&amp;L'!$A$7:$BK$69,28,0)</f>
        <v>12.81</v>
      </c>
      <c r="I88" s="124">
        <f>VLOOKUP(B88,'B&amp;L'!$A$7:$BK$69,33,0)</f>
        <v>11.97</v>
      </c>
      <c r="J88" s="124">
        <f>VLOOKUP(B88,'B&amp;L'!$A$7:$BK$69,38,0)</f>
        <v>12.2</v>
      </c>
      <c r="K88" s="124">
        <f>VLOOKUP(B88,'B&amp;L'!$A$7:$BK$69,43,0)</f>
        <v>12.2</v>
      </c>
      <c r="L88" s="124">
        <f>VLOOKUP(B88,'B&amp;L'!$A$7:$BK$69,48,0)</f>
        <v>12.22</v>
      </c>
      <c r="M88" s="124">
        <f>VLOOKUP(B88,'B&amp;L'!$A$7:$BK$69,53,0)</f>
        <v>12.21</v>
      </c>
      <c r="N88" s="124">
        <f>VLOOKUP(B88,'B&amp;L'!$A$7:$BK$69,58,0)</f>
        <v>12.02</v>
      </c>
      <c r="O88" s="124">
        <f>VLOOKUP(B88,'B&amp;L'!$A$7:$BK$69,63,0)</f>
        <v>10.99</v>
      </c>
    </row>
    <row r="89" spans="1:15">
      <c r="A89" s="309">
        <v>42</v>
      </c>
      <c r="B89" s="100" t="s">
        <v>163</v>
      </c>
      <c r="C89" s="101" t="s">
        <v>156</v>
      </c>
      <c r="D89" s="219">
        <f>VLOOKUP(B90,'B&amp;L'!$A$7:$BK$69,7,0)</f>
        <v>105.5</v>
      </c>
      <c r="E89" s="219">
        <f>VLOOKUP(B90,'B&amp;L'!$A$7:$BK$69,12,0)</f>
        <v>99.63</v>
      </c>
      <c r="F89" s="219">
        <f>VLOOKUP(B90,'B&amp;L'!$A$7:$BK$69,17,0)</f>
        <v>99.27</v>
      </c>
      <c r="G89" s="219">
        <f>VLOOKUP(B90,'B&amp;L'!$A$7:$BK$69,22,0)</f>
        <v>108.28</v>
      </c>
      <c r="H89" s="219">
        <f>VLOOKUP(B90,'B&amp;L'!$A$7:$BK$69,27,0)</f>
        <v>108.17</v>
      </c>
      <c r="I89" s="219">
        <f>VLOOKUP(B90,'B&amp;L'!$A$7:$BK$69,32,0)</f>
        <v>101.08</v>
      </c>
      <c r="J89" s="219">
        <f>VLOOKUP(B90,'B&amp;L'!$A$7:$BK$69,37,0)</f>
        <v>103.03</v>
      </c>
      <c r="K89" s="219">
        <f>VLOOKUP(B90,'B&amp;L'!$A$7:$BK$69,42,0)</f>
        <v>102.98</v>
      </c>
      <c r="L89" s="219">
        <f>VLOOKUP(B90,'B&amp;L'!$A$7:$BK$69,47,0)</f>
        <v>103.13</v>
      </c>
      <c r="M89" s="219">
        <f>VLOOKUP(B90,'B&amp;L'!$A$7:$BK$69,52,0)</f>
        <v>103.05</v>
      </c>
      <c r="N89" s="219">
        <f>VLOOKUP(B90,'B&amp;L'!$A$7:$BK$69,57,0)</f>
        <v>101.45</v>
      </c>
      <c r="O89" s="219">
        <f>VLOOKUP(B90,'B&amp;L'!$A$7:$BK$69,62,0)</f>
        <v>103.12</v>
      </c>
    </row>
    <row r="90" spans="1:15">
      <c r="A90" s="309"/>
      <c r="B90" s="103">
        <v>1412000099</v>
      </c>
      <c r="C90" s="104" t="s">
        <v>157</v>
      </c>
      <c r="D90" s="220">
        <f>VLOOKUP(B90,'B&amp;L'!$A$7:$BK$69,8,0)</f>
        <v>13.38</v>
      </c>
      <c r="E90" s="220">
        <f>VLOOKUP(B90,'B&amp;L'!$A$7:$BK$69,13,0)</f>
        <v>12.98</v>
      </c>
      <c r="F90" s="220">
        <f>VLOOKUP(B90,'B&amp;L'!$A$7:$BK$69,18,0)</f>
        <v>12.94</v>
      </c>
      <c r="G90" s="220">
        <f>VLOOKUP(B90,'B&amp;L'!$A$7:$BK$69,23,0)</f>
        <v>14.11</v>
      </c>
      <c r="H90" s="220">
        <f>VLOOKUP(B90,'B&amp;L'!$A$7:$BK$69,28,0)</f>
        <v>14.09</v>
      </c>
      <c r="I90" s="220">
        <f>VLOOKUP(B90,'B&amp;L'!$A$7:$BK$69,33,0)</f>
        <v>13.17</v>
      </c>
      <c r="J90" s="220">
        <f>VLOOKUP(B90,'B&amp;L'!$A$7:$BK$69,38,0)</f>
        <v>13.42</v>
      </c>
      <c r="K90" s="220">
        <f>VLOOKUP(B90,'B&amp;L'!$A$7:$BK$69,43,0)</f>
        <v>13.42</v>
      </c>
      <c r="L90" s="220">
        <f>VLOOKUP(B90,'B&amp;L'!$A$7:$BK$69,48,0)</f>
        <v>13.44</v>
      </c>
      <c r="M90" s="220">
        <f>VLOOKUP(B90,'B&amp;L'!$A$7:$BK$69,53,0)</f>
        <v>13.43</v>
      </c>
      <c r="N90" s="220">
        <f>VLOOKUP(B90,'B&amp;L'!$A$7:$BK$69,58,0)</f>
        <v>13.22</v>
      </c>
      <c r="O90" s="220">
        <f>VLOOKUP(B90,'B&amp;L'!$A$7:$BK$69,63,0)</f>
        <v>13.44</v>
      </c>
    </row>
    <row r="91" spans="1:15">
      <c r="A91" s="310">
        <v>43</v>
      </c>
      <c r="B91" s="228" t="s">
        <v>187</v>
      </c>
      <c r="C91" s="229" t="s">
        <v>156</v>
      </c>
      <c r="D91" s="230">
        <f>VLOOKUP(B92,'B&amp;L'!$A$7:$BK$69,7,0)</f>
        <v>84.4</v>
      </c>
      <c r="E91" s="230">
        <f>VLOOKUP(B92,'B&amp;L'!$A$7:$BK$69,12,0)</f>
        <v>79.7</v>
      </c>
      <c r="F91" s="230">
        <f>VLOOKUP(B92,'B&amp;L'!$A$7:$BK$69,17,0)</f>
        <v>79.42</v>
      </c>
      <c r="G91" s="230">
        <f>VLOOKUP(B92,'B&amp;L'!$A$7:$BK$69,22,0)</f>
        <v>78.75</v>
      </c>
      <c r="H91" s="230">
        <f>VLOOKUP(B92,'B&amp;L'!$A$7:$BK$69,27,0)</f>
        <v>78.67</v>
      </c>
      <c r="I91" s="230">
        <f>VLOOKUP(B92,'B&amp;L'!$A$7:$BK$69,32,0)</f>
        <v>73.510000000000005</v>
      </c>
      <c r="J91" s="230">
        <f>VLOOKUP(B92,'B&amp;L'!$A$7:$BK$69,37,0)</f>
        <v>74.930000000000007</v>
      </c>
      <c r="K91" s="230">
        <f>VLOOKUP(B92,'B&amp;L'!$A$7:$BK$69,42,0)</f>
        <v>74.89</v>
      </c>
      <c r="L91" s="230">
        <f>VLOOKUP(B92,'B&amp;L'!$A$7:$BK$69,47,0)</f>
        <v>75</v>
      </c>
      <c r="M91" s="230">
        <f>VLOOKUP(B92,'B&amp;L'!$A$7:$BK$69,52,0)</f>
        <v>74.95</v>
      </c>
      <c r="N91" s="230">
        <f>VLOOKUP(B92,'B&amp;L'!$A$7:$BK$69,57,0)</f>
        <v>83.01</v>
      </c>
      <c r="O91" s="230">
        <f>VLOOKUP(B92,'B&amp;L'!$A$7:$BK$69,62,0)</f>
        <v>93.75</v>
      </c>
    </row>
    <row r="92" spans="1:15">
      <c r="A92" s="311"/>
      <c r="B92" s="231">
        <v>1412000100</v>
      </c>
      <c r="C92" s="232" t="s">
        <v>157</v>
      </c>
      <c r="D92" s="233">
        <f>VLOOKUP(B92,'B&amp;L'!$A$7:$BK$69,8,0)</f>
        <v>10.7</v>
      </c>
      <c r="E92" s="233">
        <f>VLOOKUP(B92,'B&amp;L'!$A$7:$BK$69,13,0)</f>
        <v>10.39</v>
      </c>
      <c r="F92" s="233">
        <f>VLOOKUP(B92,'B&amp;L'!$A$7:$BK$69,18,0)</f>
        <v>10.35</v>
      </c>
      <c r="G92" s="233">
        <f>VLOOKUP(B92,'B&amp;L'!$A$7:$BK$69,23,0)</f>
        <v>10.26</v>
      </c>
      <c r="H92" s="233">
        <f>VLOOKUP(B92,'B&amp;L'!$A$7:$BK$69,28,0)</f>
        <v>10.25</v>
      </c>
      <c r="I92" s="233">
        <f>VLOOKUP(B92,'B&amp;L'!$A$7:$BK$69,33,0)</f>
        <v>9.58</v>
      </c>
      <c r="J92" s="233">
        <f>VLOOKUP(B92,'B&amp;L'!$A$7:$BK$69,38,0)</f>
        <v>9.76</v>
      </c>
      <c r="K92" s="233">
        <f>VLOOKUP(B92,'B&amp;L'!$A$7:$BK$69,43,0)</f>
        <v>9.76</v>
      </c>
      <c r="L92" s="233">
        <f>VLOOKUP(B92,'B&amp;L'!$A$7:$BK$69,48,0)</f>
        <v>9.77</v>
      </c>
      <c r="M92" s="233">
        <f>VLOOKUP(B92,'B&amp;L'!$A$7:$BK$69,53,0)</f>
        <v>9.77</v>
      </c>
      <c r="N92" s="233">
        <f>VLOOKUP(B92,'B&amp;L'!$A$7:$BK$69,58,0)</f>
        <v>10.82</v>
      </c>
      <c r="O92" s="233">
        <f>VLOOKUP(B92,'B&amp;L'!$A$7:$BK$69,63,0)</f>
        <v>12.22</v>
      </c>
    </row>
    <row r="93" spans="1:15">
      <c r="A93" s="310">
        <v>44</v>
      </c>
      <c r="B93" s="89" t="s">
        <v>71</v>
      </c>
      <c r="C93" s="74" t="s">
        <v>156</v>
      </c>
      <c r="D93" s="123">
        <f>VLOOKUP(B94,'B&amp;L'!$A$7:$BK$69,7,0)</f>
        <v>94.95</v>
      </c>
      <c r="E93" s="123">
        <f>VLOOKUP(B94,'B&amp;L'!$A$7:$BK$69,12,0)</f>
        <v>89.67</v>
      </c>
      <c r="F93" s="123">
        <f>VLOOKUP(B94,'B&amp;L'!$A$7:$BK$69,17,0)</f>
        <v>89.34</v>
      </c>
      <c r="G93" s="123">
        <f>VLOOKUP(B94,'B&amp;L'!$A$7:$BK$69,22,0)</f>
        <v>88.59</v>
      </c>
      <c r="H93" s="123">
        <f>VLOOKUP(B94,'B&amp;L'!$A$7:$BK$69,27,0)</f>
        <v>88.5</v>
      </c>
      <c r="I93" s="123">
        <f>VLOOKUP(B94,'B&amp;L'!$A$7:$BK$69,32,0)</f>
        <v>110.27</v>
      </c>
      <c r="J93" s="123">
        <f>VLOOKUP(B94,'B&amp;L'!$A$7:$BK$69,37,0)</f>
        <v>103.03</v>
      </c>
      <c r="K93" s="123">
        <f>VLOOKUP(B94,'B&amp;L'!$A$7:$BK$69,42,0)</f>
        <v>102.98</v>
      </c>
      <c r="L93" s="123">
        <f>VLOOKUP(B94,'B&amp;L'!$A$7:$BK$69,47,0)</f>
        <v>103.13</v>
      </c>
      <c r="M93" s="123">
        <f>VLOOKUP(B94,'B&amp;L'!$A$7:$BK$69,52,0)</f>
        <v>103.09</v>
      </c>
      <c r="N93" s="123">
        <f>VLOOKUP(B94,'B&amp;L'!$A$7:$BK$69,57,0)</f>
        <v>101.45</v>
      </c>
      <c r="O93" s="123">
        <f>VLOOKUP(B94,'B&amp;L'!$A$7:$BK$69,62,0)</f>
        <v>103.12</v>
      </c>
    </row>
    <row r="94" spans="1:15">
      <c r="A94" s="311"/>
      <c r="B94" s="90">
        <v>1412000057</v>
      </c>
      <c r="C94" s="82" t="s">
        <v>157</v>
      </c>
      <c r="D94" s="124">
        <f>VLOOKUP(B94,'B&amp;L'!$A$7:$BK$69,8,0)</f>
        <v>12.04</v>
      </c>
      <c r="E94" s="124">
        <f>VLOOKUP(B94,'B&amp;L'!$A$7:$BK$69,13,0)</f>
        <v>11.68</v>
      </c>
      <c r="F94" s="124">
        <f>VLOOKUP(B94,'B&amp;L'!$A$7:$BK$69,18,0)</f>
        <v>11.64</v>
      </c>
      <c r="G94" s="124">
        <f>VLOOKUP(B94,'B&amp;L'!$A$7:$BK$69,23,0)</f>
        <v>11.54</v>
      </c>
      <c r="H94" s="124">
        <f>VLOOKUP(B94,'B&amp;L'!$A$7:$BK$69,28,0)</f>
        <v>11.53</v>
      </c>
      <c r="I94" s="124">
        <f>VLOOKUP(B94,'B&amp;L'!$A$7:$BK$69,33,0)</f>
        <v>14.37</v>
      </c>
      <c r="J94" s="124">
        <f>VLOOKUP(B94,'B&amp;L'!$A$7:$BK$69,38,0)</f>
        <v>13.42</v>
      </c>
      <c r="K94" s="124">
        <f>VLOOKUP(B94,'B&amp;L'!$A$7:$BK$69,43,0)</f>
        <v>13.42</v>
      </c>
      <c r="L94" s="124">
        <f>VLOOKUP(B94,'B&amp;L'!$A$7:$BK$69,48,0)</f>
        <v>13.44</v>
      </c>
      <c r="M94" s="124">
        <f>VLOOKUP(B94,'B&amp;L'!$A$7:$BK$69,53,0)</f>
        <v>13.43</v>
      </c>
      <c r="N94" s="124">
        <f>VLOOKUP(B94,'B&amp;L'!$A$7:$BK$69,58,0)</f>
        <v>13.22</v>
      </c>
      <c r="O94" s="124">
        <f>VLOOKUP(B94,'B&amp;L'!$A$7:$BK$69,63,0)</f>
        <v>13.44</v>
      </c>
    </row>
    <row r="95" spans="1:15">
      <c r="A95" s="310">
        <v>45</v>
      </c>
      <c r="B95" s="228" t="s">
        <v>184</v>
      </c>
      <c r="C95" s="229" t="s">
        <v>156</v>
      </c>
      <c r="D95" s="230">
        <f>VLOOKUP(B96,'B&amp;L'!$A$7:$BK$69,7,0)</f>
        <v>137.15</v>
      </c>
      <c r="E95" s="230">
        <f>VLOOKUP(B96,'B&amp;L'!$A$7:$BK$69,12,0)</f>
        <v>129.52000000000001</v>
      </c>
      <c r="F95" s="230">
        <f>VLOOKUP(B96,'B&amp;L'!$A$7:$BK$69,17,0)</f>
        <v>129.05000000000001</v>
      </c>
      <c r="G95" s="230">
        <f>VLOOKUP(B96,'B&amp;L'!$A$7:$BK$69,22,0)</f>
        <v>127.97</v>
      </c>
      <c r="H95" s="230">
        <f>VLOOKUP(B96,'B&amp;L'!$A$7:$BK$69,27,0)</f>
        <v>127.83</v>
      </c>
      <c r="I95" s="230">
        <f>VLOOKUP(B96,'B&amp;L'!$A$7:$BK$69,32,0)</f>
        <v>119.46</v>
      </c>
      <c r="J95" s="230">
        <f>VLOOKUP(B96,'B&amp;L'!$A$7:$BK$69,37,0)</f>
        <v>121.76</v>
      </c>
      <c r="K95" s="230">
        <f>VLOOKUP(B96,'B&amp;L'!$A$7:$BK$69,42,0)</f>
        <v>121.7</v>
      </c>
      <c r="L95" s="230">
        <f>VLOOKUP(B96,'B&amp;L'!$A$7:$BK$69,47,0)</f>
        <v>121.88</v>
      </c>
      <c r="M95" s="230">
        <f>VLOOKUP(B96,'B&amp;L'!$A$7:$BK$69,52,0)</f>
        <v>121.79</v>
      </c>
      <c r="N95" s="230">
        <f>VLOOKUP(B96,'B&amp;L'!$A$7:$BK$69,57,0)</f>
        <v>119.9</v>
      </c>
      <c r="O95" s="230">
        <f>VLOOKUP(B96,'B&amp;L'!$A$7:$BK$69,62,0)</f>
        <v>112.5</v>
      </c>
    </row>
    <row r="96" spans="1:15">
      <c r="A96" s="311"/>
      <c r="B96" s="231">
        <v>1412000101</v>
      </c>
      <c r="C96" s="232" t="s">
        <v>157</v>
      </c>
      <c r="D96" s="233">
        <f>VLOOKUP(B96,'B&amp;L'!$A$7:$BK$69,8,0)</f>
        <v>17.39</v>
      </c>
      <c r="E96" s="233">
        <f>VLOOKUP(B96,'B&amp;L'!$A$7:$BK$69,13,0)</f>
        <v>16.88</v>
      </c>
      <c r="F96" s="233">
        <f>VLOOKUP(B96,'B&amp;L'!$A$7:$BK$69,18,0)</f>
        <v>16.82</v>
      </c>
      <c r="G96" s="233">
        <f>VLOOKUP(B96,'B&amp;L'!$A$7:$BK$69,23,0)</f>
        <v>16.68</v>
      </c>
      <c r="H96" s="233">
        <f>VLOOKUP(B96,'B&amp;L'!$A$7:$BK$69,28,0)</f>
        <v>16.66</v>
      </c>
      <c r="I96" s="233">
        <f>VLOOKUP(B96,'B&amp;L'!$A$7:$BK$69,33,0)</f>
        <v>15.57</v>
      </c>
      <c r="J96" s="233">
        <f>VLOOKUP(B96,'B&amp;L'!$A$7:$BK$69,38,0)</f>
        <v>15.87</v>
      </c>
      <c r="K96" s="233">
        <f>VLOOKUP(B96,'B&amp;L'!$A$7:$BK$69,43,0)</f>
        <v>15.86</v>
      </c>
      <c r="L96" s="233">
        <f>VLOOKUP(B96,'B&amp;L'!$A$7:$BK$69,48,0)</f>
        <v>15.88</v>
      </c>
      <c r="M96" s="233">
        <f>VLOOKUP(B96,'B&amp;L'!$A$7:$BK$69,53,0)</f>
        <v>15.87</v>
      </c>
      <c r="N96" s="233">
        <f>VLOOKUP(B96,'B&amp;L'!$A$7:$BK$69,58,0)</f>
        <v>15.62</v>
      </c>
      <c r="O96" s="233">
        <f>VLOOKUP(B96,'B&amp;L'!$A$7:$BK$69,63,0)</f>
        <v>14.66</v>
      </c>
    </row>
    <row r="97" spans="1:15">
      <c r="A97" s="310">
        <v>46</v>
      </c>
      <c r="B97" s="89" t="s">
        <v>164</v>
      </c>
      <c r="C97" s="74" t="s">
        <v>156</v>
      </c>
      <c r="D97" s="123">
        <f>VLOOKUP(B98,'B&amp;L'!$A$7:$BK$69,7,0)</f>
        <v>137.15</v>
      </c>
      <c r="E97" s="123">
        <f>VLOOKUP(B98,'B&amp;L'!$A$7:$BK$69,12,0)</f>
        <v>129.52000000000001</v>
      </c>
      <c r="F97" s="123">
        <f>VLOOKUP(B98,'B&amp;L'!$A$7:$BK$69,17,0)</f>
        <v>129.05000000000001</v>
      </c>
      <c r="G97" s="123">
        <f>VLOOKUP(B98,'B&amp;L'!$A$7:$BK$69,22,0)</f>
        <v>127.97</v>
      </c>
      <c r="H97" s="123">
        <f>VLOOKUP(B98,'B&amp;L'!$A$7:$BK$69,27,0)</f>
        <v>127.83</v>
      </c>
      <c r="I97" s="123">
        <f>VLOOKUP(B98,'B&amp;L'!$A$7:$BK$69,32,0)</f>
        <v>156.21</v>
      </c>
      <c r="J97" s="123">
        <f>VLOOKUP(B98,'B&amp;L'!$A$7:$BK$69,37,0)</f>
        <v>149.85</v>
      </c>
      <c r="K97" s="123">
        <f>VLOOKUP(B98,'B&amp;L'!$A$7:$BK$69,42,0)</f>
        <v>149.79</v>
      </c>
      <c r="L97" s="123">
        <f>VLOOKUP(B98,'B&amp;L'!$A$7:$BK$69,47,0)</f>
        <v>150</v>
      </c>
      <c r="M97" s="123">
        <f>VLOOKUP(B98,'B&amp;L'!$A$7:$BK$69,52,0)</f>
        <v>149.88999999999999</v>
      </c>
      <c r="N97" s="123">
        <f>VLOOKUP(B98,'B&amp;L'!$A$7:$BK$69,57,0)</f>
        <v>147.57</v>
      </c>
      <c r="O97" s="123">
        <f>VLOOKUP(B98,'B&amp;L'!$A$7:$BK$69,62,0)</f>
        <v>150</v>
      </c>
    </row>
    <row r="98" spans="1:15">
      <c r="A98" s="311"/>
      <c r="B98" s="90">
        <v>1412000078</v>
      </c>
      <c r="C98" s="82" t="s">
        <v>157</v>
      </c>
      <c r="D98" s="124">
        <f>VLOOKUP(B98,'B&amp;L'!$A$7:$BK$69,8,0)</f>
        <v>17.39</v>
      </c>
      <c r="E98" s="124">
        <f>VLOOKUP(B98,'B&amp;L'!$A$7:$BK$69,13,0)</f>
        <v>16.88</v>
      </c>
      <c r="F98" s="124">
        <f>VLOOKUP(B98,'B&amp;L'!$A$7:$BK$69,18,0)</f>
        <v>16.82</v>
      </c>
      <c r="G98" s="124">
        <f>VLOOKUP(B98,'B&amp;L'!$A$7:$BK$69,23,0)</f>
        <v>16.68</v>
      </c>
      <c r="H98" s="124">
        <f>VLOOKUP(B98,'B&amp;L'!$A$7:$BK$69,28,0)</f>
        <v>16.66</v>
      </c>
      <c r="I98" s="124">
        <f>VLOOKUP(B98,'B&amp;L'!$A$7:$BK$69,33,0)</f>
        <v>20.36</v>
      </c>
      <c r="J98" s="124">
        <f>VLOOKUP(B98,'B&amp;L'!$A$7:$BK$69,38,0)</f>
        <v>19.53</v>
      </c>
      <c r="K98" s="124">
        <f>VLOOKUP(B98,'B&amp;L'!$A$7:$BK$69,43,0)</f>
        <v>19.52</v>
      </c>
      <c r="L98" s="124">
        <f>VLOOKUP(B98,'B&amp;L'!$A$7:$BK$69,48,0)</f>
        <v>19.55</v>
      </c>
      <c r="M98" s="124">
        <f>VLOOKUP(B98,'B&amp;L'!$A$7:$BK$69,53,0)</f>
        <v>19.53</v>
      </c>
      <c r="N98" s="124">
        <f>VLOOKUP(B98,'B&amp;L'!$A$7:$BK$69,58,0)</f>
        <v>19.23</v>
      </c>
      <c r="O98" s="124">
        <f>VLOOKUP(B98,'B&amp;L'!$A$7:$BK$69,63,0)</f>
        <v>19.55</v>
      </c>
    </row>
    <row r="99" spans="1:15">
      <c r="A99" s="308">
        <v>47</v>
      </c>
      <c r="B99" s="89" t="s">
        <v>165</v>
      </c>
      <c r="C99" s="74" t="s">
        <v>156</v>
      </c>
      <c r="D99" s="123">
        <f>VLOOKUP(B100,'B&amp;L'!$A$7:$BK$69,7,0)</f>
        <v>147.69999999999999</v>
      </c>
      <c r="E99" s="123">
        <f>VLOOKUP(B100,'B&amp;L'!$A$7:$BK$69,12,0)</f>
        <v>139.47999999999999</v>
      </c>
      <c r="F99" s="123">
        <f>VLOOKUP(B100,'B&amp;L'!$A$7:$BK$69,17,0)</f>
        <v>138.97999999999999</v>
      </c>
      <c r="G99" s="123">
        <f>VLOOKUP(B100,'B&amp;L'!$A$7:$BK$69,22,0)</f>
        <v>137.81</v>
      </c>
      <c r="H99" s="123">
        <f>VLOOKUP(B100,'B&amp;L'!$A$7:$BK$69,27,0)</f>
        <v>137.66999999999999</v>
      </c>
      <c r="I99" s="123">
        <f>VLOOKUP(B100,'B&amp;L'!$A$7:$BK$69,32,0)</f>
        <v>128.65</v>
      </c>
      <c r="J99" s="123">
        <f>VLOOKUP(B100,'B&amp;L'!$A$7:$BK$69,37,0)</f>
        <v>131.12</v>
      </c>
      <c r="K99" s="123">
        <f>VLOOKUP(B100,'B&amp;L'!$A$7:$BK$69,42,0)</f>
        <v>131.07</v>
      </c>
      <c r="L99" s="123">
        <f>VLOOKUP(B100,'B&amp;L'!$A$7:$BK$69,47,0)</f>
        <v>131.25</v>
      </c>
      <c r="M99" s="123">
        <f>VLOOKUP(B100,'B&amp;L'!$A$7:$BK$69,52,0)</f>
        <v>131.16</v>
      </c>
      <c r="N99" s="123">
        <f>VLOOKUP(B100,'B&amp;L'!$A$7:$BK$69,57,0)</f>
        <v>138.34</v>
      </c>
      <c r="O99" s="123">
        <f>VLOOKUP(B100,'B&amp;L'!$A$7:$BK$69,62,0)</f>
        <v>131.25</v>
      </c>
    </row>
    <row r="100" spans="1:15">
      <c r="A100" s="308"/>
      <c r="B100" s="90">
        <v>1412000096</v>
      </c>
      <c r="C100" s="82" t="s">
        <v>157</v>
      </c>
      <c r="D100" s="124">
        <f>VLOOKUP(B100,'B&amp;L'!$A$7:$BK$69,8,0)</f>
        <v>18.73</v>
      </c>
      <c r="E100" s="124">
        <f>VLOOKUP(B100,'B&amp;L'!$A$7:$BK$69,13,0)</f>
        <v>18.18</v>
      </c>
      <c r="F100" s="124">
        <f>VLOOKUP(B100,'B&amp;L'!$A$7:$BK$69,18,0)</f>
        <v>18.11</v>
      </c>
      <c r="G100" s="124">
        <f>VLOOKUP(B100,'B&amp;L'!$A$7:$BK$69,23,0)</f>
        <v>17.96</v>
      </c>
      <c r="H100" s="124">
        <f>VLOOKUP(B100,'B&amp;L'!$A$7:$BK$69,28,0)</f>
        <v>17.940000000000001</v>
      </c>
      <c r="I100" s="124">
        <f>VLOOKUP(B100,'B&amp;L'!$A$7:$BK$69,33,0)</f>
        <v>16.760000000000002</v>
      </c>
      <c r="J100" s="124">
        <f>VLOOKUP(B100,'B&amp;L'!$A$7:$BK$69,38,0)</f>
        <v>17.09</v>
      </c>
      <c r="K100" s="124">
        <f>VLOOKUP(B100,'B&amp;L'!$A$7:$BK$69,43,0)</f>
        <v>17.079999999999998</v>
      </c>
      <c r="L100" s="124">
        <f>VLOOKUP(B100,'B&amp;L'!$A$7:$BK$69,48,0)</f>
        <v>17.100000000000001</v>
      </c>
      <c r="M100" s="124">
        <f>VLOOKUP(B100,'B&amp;L'!$A$7:$BK$69,53,0)</f>
        <v>17.09</v>
      </c>
      <c r="N100" s="124">
        <f>VLOOKUP(B100,'B&amp;L'!$A$7:$BK$69,58,0)</f>
        <v>18.03</v>
      </c>
      <c r="O100" s="124">
        <f>VLOOKUP(B100,'B&amp;L'!$A$7:$BK$69,63,0)</f>
        <v>17.100000000000001</v>
      </c>
    </row>
    <row r="101" spans="1:15">
      <c r="A101" s="309">
        <v>48</v>
      </c>
      <c r="B101" s="89" t="s">
        <v>133</v>
      </c>
      <c r="C101" s="74" t="s">
        <v>156</v>
      </c>
      <c r="D101" s="123">
        <f>VLOOKUP(B102,'B&amp;L'!$A$7:$BK$69,7,0)</f>
        <v>557.23</v>
      </c>
      <c r="E101" s="123">
        <f>VLOOKUP(B102,'B&amp;L'!$A$7:$BK$69,12,0)</f>
        <v>532.54999999999995</v>
      </c>
      <c r="F101" s="123">
        <f>VLOOKUP(B102,'B&amp;L'!$A$7:$BK$69,17,0)</f>
        <v>538.41999999999996</v>
      </c>
      <c r="G101" s="123">
        <f>VLOOKUP(B102,'B&amp;L'!$A$7:$BK$69,22,0)</f>
        <v>532.55999999999995</v>
      </c>
      <c r="H101" s="123">
        <f>VLOOKUP(B102,'B&amp;L'!$A$7:$BK$69,27,0)</f>
        <v>528.54</v>
      </c>
      <c r="I101" s="123">
        <f>VLOOKUP(B102,'B&amp;L'!$A$7:$BK$69,32,0)</f>
        <v>530.16</v>
      </c>
      <c r="J101" s="123">
        <f>VLOOKUP(B102,'B&amp;L'!$A$7:$BK$69,37,0)</f>
        <v>532.91999999999996</v>
      </c>
      <c r="K101" s="123">
        <f>VLOOKUP(B102,'B&amp;L'!$A$7:$BK$69,42,0)</f>
        <v>531.75</v>
      </c>
      <c r="L101" s="123">
        <f>VLOOKUP(B102,'B&amp;L'!$A$7:$BK$69,47,0)</f>
        <v>531</v>
      </c>
      <c r="M101" s="123">
        <f>VLOOKUP(B102,'B&amp;L'!$A$7:$BK$69,52,0)</f>
        <v>528.09</v>
      </c>
      <c r="N101" s="123">
        <f>VLOOKUP(B102,'B&amp;L'!$A$7:$BK$69,57,0)</f>
        <v>521.21</v>
      </c>
      <c r="O101" s="123">
        <f>VLOOKUP(B102,'B&amp;L'!$A$7:$BK$69,62,0)</f>
        <v>530.34</v>
      </c>
    </row>
    <row r="102" spans="1:15">
      <c r="A102" s="309"/>
      <c r="B102" s="90">
        <v>1412000018</v>
      </c>
      <c r="C102" s="82" t="s">
        <v>157</v>
      </c>
      <c r="D102" s="124">
        <f>VLOOKUP(B102,'B&amp;L'!$A$7:$BK$69,8,0)</f>
        <v>70.650000000000006</v>
      </c>
      <c r="E102" s="124">
        <f>VLOOKUP(B102,'B&amp;L'!$A$7:$BK$69,13,0)</f>
        <v>69.400000000000006</v>
      </c>
      <c r="F102" s="124">
        <f>VLOOKUP(B102,'B&amp;L'!$A$7:$BK$69,18,0)</f>
        <v>70.16</v>
      </c>
      <c r="G102" s="124">
        <f>VLOOKUP(B102,'B&amp;L'!$A$7:$BK$69,23,0)</f>
        <v>69.400000000000006</v>
      </c>
      <c r="H102" s="124">
        <f>VLOOKUP(B102,'B&amp;L'!$A$7:$BK$69,28,0)</f>
        <v>68.87</v>
      </c>
      <c r="I102" s="124">
        <f>VLOOKUP(B102,'B&amp;L'!$A$7:$BK$69,33,0)</f>
        <v>69.08</v>
      </c>
      <c r="J102" s="124">
        <f>VLOOKUP(B102,'B&amp;L'!$A$7:$BK$69,38,0)</f>
        <v>69.44</v>
      </c>
      <c r="K102" s="124">
        <f>VLOOKUP(B102,'B&amp;L'!$A$7:$BK$69,43,0)</f>
        <v>69.290000000000006</v>
      </c>
      <c r="L102" s="124">
        <f>VLOOKUP(B102,'B&amp;L'!$A$7:$BK$69,48,0)</f>
        <v>69.19</v>
      </c>
      <c r="M102" s="124">
        <f>VLOOKUP(B102,'B&amp;L'!$A$7:$BK$69,53,0)</f>
        <v>68.81</v>
      </c>
      <c r="N102" s="124">
        <f>VLOOKUP(B102,'B&amp;L'!$A$7:$BK$69,58,0)</f>
        <v>67.92</v>
      </c>
      <c r="O102" s="124">
        <f>VLOOKUP(B102,'B&amp;L'!$A$7:$BK$69,63,0)</f>
        <v>69.11</v>
      </c>
    </row>
    <row r="103" spans="1:15">
      <c r="A103" s="310">
        <v>49</v>
      </c>
      <c r="B103" s="89" t="s">
        <v>110</v>
      </c>
      <c r="C103" s="74" t="s">
        <v>156</v>
      </c>
      <c r="D103" s="123">
        <f>VLOOKUP(B104,'B&amp;L'!$A$7:$BK$69,7,0)</f>
        <v>1032.53</v>
      </c>
      <c r="E103" s="123">
        <f>VLOOKUP(B104,'B&amp;L'!$A$7:$BK$69,12,0)</f>
        <v>974.55</v>
      </c>
      <c r="F103" s="123">
        <f>VLOOKUP(B104,'B&amp;L'!$A$7:$BK$69,17,0)</f>
        <v>982.07</v>
      </c>
      <c r="G103" s="123">
        <f>VLOOKUP(B104,'B&amp;L'!$A$7:$BK$69,22,0)</f>
        <v>974.66</v>
      </c>
      <c r="H103" s="123">
        <f>VLOOKUP(B104,'B&amp;L'!$A$7:$BK$69,27,0)</f>
        <v>967.19</v>
      </c>
      <c r="I103" s="123">
        <f>VLOOKUP(B104,'B&amp;L'!$A$7:$BK$69,32,0)</f>
        <v>967.97</v>
      </c>
      <c r="J103" s="123">
        <f>VLOOKUP(B104,'B&amp;L'!$A$7:$BK$69,37,0)</f>
        <v>978.32</v>
      </c>
      <c r="K103" s="123">
        <f>VLOOKUP(B104,'B&amp;L'!$A$7:$BK$69,42,0)</f>
        <v>973.49</v>
      </c>
      <c r="L103" s="123">
        <f>VLOOKUP(B104,'B&amp;L'!$A$7:$BK$69,47,0)</f>
        <v>972.71</v>
      </c>
      <c r="M103" s="123">
        <f>VLOOKUP(B104,'B&amp;L'!$A$7:$BK$69,52,0)</f>
        <v>968.46</v>
      </c>
      <c r="N103" s="123">
        <f>VLOOKUP(B104,'B&amp;L'!$A$7:$BK$69,57,0)</f>
        <v>948.39</v>
      </c>
      <c r="O103" s="123">
        <f>VLOOKUP(B104,'B&amp;L'!$A$7:$BK$69,62,0)</f>
        <v>974.47</v>
      </c>
    </row>
    <row r="104" spans="1:15">
      <c r="A104" s="311"/>
      <c r="B104" s="90">
        <v>1412000019</v>
      </c>
      <c r="C104" s="82" t="s">
        <v>157</v>
      </c>
      <c r="D104" s="124">
        <f>VLOOKUP(B104,'B&amp;L'!$A$7:$BK$69,8,0)</f>
        <v>130.91</v>
      </c>
      <c r="E104" s="124">
        <f>VLOOKUP(B104,'B&amp;L'!$A$7:$BK$69,13,0)</f>
        <v>126.99</v>
      </c>
      <c r="F104" s="124">
        <f>VLOOKUP(B104,'B&amp;L'!$A$7:$BK$69,18,0)</f>
        <v>127.97</v>
      </c>
      <c r="G104" s="124">
        <f>VLOOKUP(B104,'B&amp;L'!$A$7:$BK$69,23,0)</f>
        <v>127.01</v>
      </c>
      <c r="H104" s="124">
        <f>VLOOKUP(B104,'B&amp;L'!$A$7:$BK$69,28,0)</f>
        <v>126.03</v>
      </c>
      <c r="I104" s="124">
        <f>VLOOKUP(B104,'B&amp;L'!$A$7:$BK$69,33,0)</f>
        <v>126.13</v>
      </c>
      <c r="J104" s="124">
        <f>VLOOKUP(B104,'B&amp;L'!$A$7:$BK$69,38,0)</f>
        <v>127.48</v>
      </c>
      <c r="K104" s="124">
        <f>VLOOKUP(B104,'B&amp;L'!$A$7:$BK$69,43,0)</f>
        <v>126.85</v>
      </c>
      <c r="L104" s="124">
        <f>VLOOKUP(B104,'B&amp;L'!$A$7:$BK$69,48,0)</f>
        <v>126.75</v>
      </c>
      <c r="M104" s="124">
        <f>VLOOKUP(B104,'B&amp;L'!$A$7:$BK$69,53,0)</f>
        <v>126.2</v>
      </c>
      <c r="N104" s="124">
        <f>VLOOKUP(B104,'B&amp;L'!$A$7:$BK$69,58,0)</f>
        <v>123.58</v>
      </c>
      <c r="O104" s="124">
        <f>VLOOKUP(B104,'B&amp;L'!$A$7:$BK$69,63,0)</f>
        <v>126.98</v>
      </c>
    </row>
    <row r="105" spans="1:15">
      <c r="A105" s="310">
        <v>50</v>
      </c>
      <c r="B105" s="89" t="s">
        <v>145</v>
      </c>
      <c r="C105" s="74" t="s">
        <v>156</v>
      </c>
      <c r="D105" s="123">
        <f>VLOOKUP(B106,'B&amp;L'!$A$7:$BK$69,7,0)</f>
        <v>263.54000000000002</v>
      </c>
      <c r="E105" s="123">
        <f>VLOOKUP(B106,'B&amp;L'!$A$7:$BK$69,12,0)</f>
        <v>248.85</v>
      </c>
      <c r="F105" s="123">
        <f>VLOOKUP(B106,'B&amp;L'!$A$7:$BK$69,17,0)</f>
        <v>245.58</v>
      </c>
      <c r="G105" s="123">
        <f>VLOOKUP(B106,'B&amp;L'!$A$7:$BK$69,22,0)</f>
        <v>245.06</v>
      </c>
      <c r="H105" s="123">
        <f>VLOOKUP(B106,'B&amp;L'!$A$7:$BK$69,27,0)</f>
        <v>244.88</v>
      </c>
      <c r="I105" s="123">
        <f>VLOOKUP(B106,'B&amp;L'!$A$7:$BK$69,32,0)</f>
        <v>242.18</v>
      </c>
      <c r="J105" s="123">
        <f>VLOOKUP(B106,'B&amp;L'!$A$7:$BK$69,37,0)</f>
        <v>242.01</v>
      </c>
      <c r="K105" s="123">
        <f>VLOOKUP(B106,'B&amp;L'!$A$7:$BK$69,42,0)</f>
        <v>241.94</v>
      </c>
      <c r="L105" s="123">
        <f>VLOOKUP(B106,'B&amp;L'!$A$7:$BK$69,47,0)</f>
        <v>243.03</v>
      </c>
      <c r="M105" s="123">
        <f>VLOOKUP(B106,'B&amp;L'!$A$7:$BK$69,52,0)</f>
        <v>242.9</v>
      </c>
      <c r="N105" s="123">
        <f>VLOOKUP(B106,'B&amp;L'!$A$7:$BK$69,57,0)</f>
        <v>241.97</v>
      </c>
      <c r="O105" s="123">
        <f>VLOOKUP(B106,'B&amp;L'!$A$7:$BK$69,62,0)</f>
        <v>243.02</v>
      </c>
    </row>
    <row r="106" spans="1:15">
      <c r="A106" s="311"/>
      <c r="B106" s="90">
        <v>1412000058</v>
      </c>
      <c r="C106" s="82" t="s">
        <v>157</v>
      </c>
      <c r="D106" s="124">
        <f>VLOOKUP(B106,'B&amp;L'!$A$7:$BK$69,8,0)</f>
        <v>33.409999999999997</v>
      </c>
      <c r="E106" s="124">
        <f>VLOOKUP(B106,'B&amp;L'!$A$7:$BK$69,13,0)</f>
        <v>32.43</v>
      </c>
      <c r="F106" s="124">
        <f>VLOOKUP(B106,'B&amp;L'!$A$7:$BK$69,18,0)</f>
        <v>32</v>
      </c>
      <c r="G106" s="124">
        <f>VLOOKUP(B106,'B&amp;L'!$A$7:$BK$69,23,0)</f>
        <v>31.93</v>
      </c>
      <c r="H106" s="124">
        <f>VLOOKUP(B106,'B&amp;L'!$A$7:$BK$69,28,0)</f>
        <v>31.91</v>
      </c>
      <c r="I106" s="124">
        <f>VLOOKUP(B106,'B&amp;L'!$A$7:$BK$69,33,0)</f>
        <v>31.56</v>
      </c>
      <c r="J106" s="124">
        <f>VLOOKUP(B106,'B&amp;L'!$A$7:$BK$69,38,0)</f>
        <v>31.54</v>
      </c>
      <c r="K106" s="124">
        <f>VLOOKUP(B106,'B&amp;L'!$A$7:$BK$69,43,0)</f>
        <v>31.53</v>
      </c>
      <c r="L106" s="124">
        <f>VLOOKUP(B106,'B&amp;L'!$A$7:$BK$69,48,0)</f>
        <v>31.67</v>
      </c>
      <c r="M106" s="124">
        <f>VLOOKUP(B106,'B&amp;L'!$A$7:$BK$69,53,0)</f>
        <v>31.65</v>
      </c>
      <c r="N106" s="124">
        <f>VLOOKUP(B106,'B&amp;L'!$A$7:$BK$69,58,0)</f>
        <v>31.53</v>
      </c>
      <c r="O106" s="124">
        <f>VLOOKUP(B106,'B&amp;L'!$A$7:$BK$69,63,0)</f>
        <v>31.67</v>
      </c>
    </row>
    <row r="107" spans="1:15">
      <c r="A107" s="310">
        <v>51</v>
      </c>
      <c r="B107" s="89" t="s">
        <v>141</v>
      </c>
      <c r="C107" s="74" t="s">
        <v>156</v>
      </c>
      <c r="D107" s="123">
        <f>VLOOKUP(B108,'B&amp;L'!$A$7:$BK$69,7,0)</f>
        <v>61.7</v>
      </c>
      <c r="E107" s="123">
        <f>VLOOKUP(B108,'B&amp;L'!$A$7:$BK$69,12,0)</f>
        <v>58.26</v>
      </c>
      <c r="F107" s="123">
        <f>VLOOKUP(B108,'B&amp;L'!$A$7:$BK$69,17,0)</f>
        <v>57.35</v>
      </c>
      <c r="G107" s="123">
        <f>VLOOKUP(B108,'B&amp;L'!$A$7:$BK$69,22,0)</f>
        <v>57.21</v>
      </c>
      <c r="H107" s="123">
        <f>VLOOKUP(B108,'B&amp;L'!$A$7:$BK$69,27,0)</f>
        <v>57.16</v>
      </c>
      <c r="I107" s="123">
        <f>VLOOKUP(B108,'B&amp;L'!$A$7:$BK$69,32,0)</f>
        <v>56.41</v>
      </c>
      <c r="J107" s="123">
        <f>VLOOKUP(B108,'B&amp;L'!$A$7:$BK$69,37,0)</f>
        <v>56.36</v>
      </c>
      <c r="K107" s="123">
        <f>VLOOKUP(B108,'B&amp;L'!$A$7:$BK$69,42,0)</f>
        <v>56.34</v>
      </c>
      <c r="L107" s="123">
        <f>VLOOKUP(B108,'B&amp;L'!$A$7:$BK$69,47,0)</f>
        <v>56.64</v>
      </c>
      <c r="M107" s="123">
        <f>VLOOKUP(B108,'B&amp;L'!$A$7:$BK$69,52,0)</f>
        <v>56.61</v>
      </c>
      <c r="N107" s="123">
        <f>VLOOKUP(B108,'B&amp;L'!$A$7:$BK$69,57,0)</f>
        <v>56.35</v>
      </c>
      <c r="O107" s="123">
        <f>VLOOKUP(B108,'B&amp;L'!$A$7:$BK$69,62,0)</f>
        <v>56.64</v>
      </c>
    </row>
    <row r="108" spans="1:15">
      <c r="A108" s="311"/>
      <c r="B108" s="90">
        <v>1412000042</v>
      </c>
      <c r="C108" s="82" t="s">
        <v>157</v>
      </c>
      <c r="D108" s="124">
        <f>VLOOKUP(B108,'B&amp;L'!$A$7:$BK$69,8,0)</f>
        <v>7.82</v>
      </c>
      <c r="E108" s="124">
        <f>VLOOKUP(B108,'B&amp;L'!$A$7:$BK$69,13,0)</f>
        <v>7.59</v>
      </c>
      <c r="F108" s="124">
        <f>VLOOKUP(B108,'B&amp;L'!$A$7:$BK$69,18,0)</f>
        <v>7.47</v>
      </c>
      <c r="G108" s="124">
        <f>VLOOKUP(B108,'B&amp;L'!$A$7:$BK$69,23,0)</f>
        <v>7.45</v>
      </c>
      <c r="H108" s="124">
        <f>VLOOKUP(B108,'B&amp;L'!$A$7:$BK$69,28,0)</f>
        <v>7.45</v>
      </c>
      <c r="I108" s="124">
        <f>VLOOKUP(B108,'B&amp;L'!$A$7:$BK$69,33,0)</f>
        <v>7.35</v>
      </c>
      <c r="J108" s="124">
        <f>VLOOKUP(B108,'B&amp;L'!$A$7:$BK$69,38,0)</f>
        <v>7.34</v>
      </c>
      <c r="K108" s="124">
        <f>VLOOKUP(B108,'B&amp;L'!$A$7:$BK$69,43,0)</f>
        <v>7.34</v>
      </c>
      <c r="L108" s="124">
        <f>VLOOKUP(B108,'B&amp;L'!$A$7:$BK$69,48,0)</f>
        <v>7.38</v>
      </c>
      <c r="M108" s="124">
        <f>VLOOKUP(B108,'B&amp;L'!$A$7:$BK$69,53,0)</f>
        <v>7.38</v>
      </c>
      <c r="N108" s="124">
        <f>VLOOKUP(B108,'B&amp;L'!$A$7:$BK$69,58,0)</f>
        <v>7.34</v>
      </c>
      <c r="O108" s="124">
        <f>VLOOKUP(B108,'B&amp;L'!$A$7:$BK$69,63,0)</f>
        <v>7.38</v>
      </c>
    </row>
    <row r="109" spans="1:15">
      <c r="A109" s="310">
        <v>52</v>
      </c>
      <c r="B109" s="89" t="s">
        <v>134</v>
      </c>
      <c r="C109" s="74" t="s">
        <v>156</v>
      </c>
      <c r="D109" s="123">
        <f>VLOOKUP(B110,'B&amp;L'!$A$7:$BK$69,7,0)</f>
        <v>86.37</v>
      </c>
      <c r="E109" s="123">
        <f>VLOOKUP(B110,'B&amp;L'!$A$7:$BK$69,12,0)</f>
        <v>81.56</v>
      </c>
      <c r="F109" s="123">
        <f>VLOOKUP(B110,'B&amp;L'!$A$7:$BK$69,17,0)</f>
        <v>80.290000000000006</v>
      </c>
      <c r="G109" s="123">
        <f>VLOOKUP(B110,'B&amp;L'!$A$7:$BK$69,22,0)</f>
        <v>80.09</v>
      </c>
      <c r="H109" s="123">
        <f>VLOOKUP(B110,'B&amp;L'!$A$7:$BK$69,27,0)</f>
        <v>80.02</v>
      </c>
      <c r="I109" s="123">
        <f>VLOOKUP(B110,'B&amp;L'!$A$7:$BK$69,32,0)</f>
        <v>78.97</v>
      </c>
      <c r="J109" s="123">
        <f>VLOOKUP(B110,'B&amp;L'!$A$7:$BK$69,37,0)</f>
        <v>78.900000000000006</v>
      </c>
      <c r="K109" s="123">
        <f>VLOOKUP(B110,'B&amp;L'!$A$7:$BK$69,42,0)</f>
        <v>78.88</v>
      </c>
      <c r="L109" s="123">
        <f>VLOOKUP(B110,'B&amp;L'!$A$7:$BK$69,47,0)</f>
        <v>79.3</v>
      </c>
      <c r="M109" s="123">
        <f>VLOOKUP(B110,'B&amp;L'!$A$7:$BK$69,52,0)</f>
        <v>79.25</v>
      </c>
      <c r="N109" s="123">
        <f>VLOOKUP(B110,'B&amp;L'!$A$7:$BK$69,57,0)</f>
        <v>78.89</v>
      </c>
      <c r="O109" s="123">
        <f>VLOOKUP(B110,'B&amp;L'!$A$7:$BK$69,62,0)</f>
        <v>79.3</v>
      </c>
    </row>
    <row r="110" spans="1:15">
      <c r="A110" s="311"/>
      <c r="B110" s="90">
        <v>1412000021</v>
      </c>
      <c r="C110" s="82" t="s">
        <v>157</v>
      </c>
      <c r="D110" s="124">
        <f>VLOOKUP(B110,'B&amp;L'!$A$7:$BK$69,8,0)</f>
        <v>10.95</v>
      </c>
      <c r="E110" s="124">
        <f>VLOOKUP(B110,'B&amp;L'!$A$7:$BK$69,13,0)</f>
        <v>10.63</v>
      </c>
      <c r="F110" s="124">
        <f>VLOOKUP(B110,'B&amp;L'!$A$7:$BK$69,18,0)</f>
        <v>10.46</v>
      </c>
      <c r="G110" s="124">
        <f>VLOOKUP(B110,'B&amp;L'!$A$7:$BK$69,23,0)</f>
        <v>10.44</v>
      </c>
      <c r="H110" s="124">
        <f>VLOOKUP(B110,'B&amp;L'!$A$7:$BK$69,28,0)</f>
        <v>10.43</v>
      </c>
      <c r="I110" s="124">
        <f>VLOOKUP(B110,'B&amp;L'!$A$7:$BK$69,33,0)</f>
        <v>10.29</v>
      </c>
      <c r="J110" s="124">
        <f>VLOOKUP(B110,'B&amp;L'!$A$7:$BK$69,38,0)</f>
        <v>10.28</v>
      </c>
      <c r="K110" s="124">
        <f>VLOOKUP(B110,'B&amp;L'!$A$7:$BK$69,43,0)</f>
        <v>10.28</v>
      </c>
      <c r="L110" s="124">
        <f>VLOOKUP(B110,'B&amp;L'!$A$7:$BK$69,48,0)</f>
        <v>10.33</v>
      </c>
      <c r="M110" s="124">
        <f>VLOOKUP(B110,'B&amp;L'!$A$7:$BK$69,53,0)</f>
        <v>10.33</v>
      </c>
      <c r="N110" s="124">
        <f>VLOOKUP(B110,'B&amp;L'!$A$7:$BK$69,58,0)</f>
        <v>10.28</v>
      </c>
      <c r="O110" s="124">
        <f>VLOOKUP(B110,'B&amp;L'!$A$7:$BK$69,63,0)</f>
        <v>10.33</v>
      </c>
    </row>
    <row r="111" spans="1:15">
      <c r="A111" s="308">
        <v>53</v>
      </c>
      <c r="B111" s="89" t="s">
        <v>148</v>
      </c>
      <c r="C111" s="74" t="s">
        <v>156</v>
      </c>
      <c r="D111" s="123">
        <f>VLOOKUP(B112,'B&amp;L'!$A$7:$BK$69,7,0)</f>
        <v>98.71</v>
      </c>
      <c r="E111" s="123">
        <f>VLOOKUP(B112,'B&amp;L'!$A$7:$BK$69,12,0)</f>
        <v>93.21</v>
      </c>
      <c r="F111" s="123">
        <f>VLOOKUP(B112,'B&amp;L'!$A$7:$BK$69,17,0)</f>
        <v>91.76</v>
      </c>
      <c r="G111" s="123">
        <f>VLOOKUP(B112,'B&amp;L'!$A$7:$BK$69,22,0)</f>
        <v>91.53</v>
      </c>
      <c r="H111" s="123">
        <f>VLOOKUP(B112,'B&amp;L'!$A$7:$BK$69,27,0)</f>
        <v>91.45</v>
      </c>
      <c r="I111" s="123">
        <f>VLOOKUP(B112,'B&amp;L'!$A$7:$BK$69,32,0)</f>
        <v>90.25</v>
      </c>
      <c r="J111" s="123">
        <f>VLOOKUP(B112,'B&amp;L'!$A$7:$BK$69,37,0)</f>
        <v>90.18</v>
      </c>
      <c r="K111" s="123">
        <f>VLOOKUP(B112,'B&amp;L'!$A$7:$BK$69,42,0)</f>
        <v>90.14</v>
      </c>
      <c r="L111" s="123">
        <f>VLOOKUP(B112,'B&amp;L'!$A$7:$BK$69,47,0)</f>
        <v>90.63</v>
      </c>
      <c r="M111" s="123">
        <f>VLOOKUP(B112,'B&amp;L'!$A$7:$BK$69,52,0)</f>
        <v>90.57</v>
      </c>
      <c r="N111" s="123">
        <f>VLOOKUP(B112,'B&amp;L'!$A$7:$BK$69,57,0)</f>
        <v>90.16</v>
      </c>
      <c r="O111" s="123">
        <f>VLOOKUP(B112,'B&amp;L'!$A$7:$BK$69,62,0)</f>
        <v>90.63</v>
      </c>
    </row>
    <row r="112" spans="1:15">
      <c r="A112" s="308"/>
      <c r="B112" s="90">
        <v>1412000070</v>
      </c>
      <c r="C112" s="82" t="s">
        <v>157</v>
      </c>
      <c r="D112" s="124">
        <f>VLOOKUP(B112,'B&amp;L'!$A$7:$BK$69,8,0)</f>
        <v>12.52</v>
      </c>
      <c r="E112" s="124">
        <f>VLOOKUP(B112,'B&amp;L'!$A$7:$BK$69,13,0)</f>
        <v>12.15</v>
      </c>
      <c r="F112" s="124">
        <f>VLOOKUP(B112,'B&amp;L'!$A$7:$BK$69,18,0)</f>
        <v>11.96</v>
      </c>
      <c r="G112" s="124">
        <f>VLOOKUP(B112,'B&amp;L'!$A$7:$BK$69,23,0)</f>
        <v>11.93</v>
      </c>
      <c r="H112" s="124">
        <f>VLOOKUP(B112,'B&amp;L'!$A$7:$BK$69,28,0)</f>
        <v>11.92</v>
      </c>
      <c r="I112" s="124">
        <f>VLOOKUP(B112,'B&amp;L'!$A$7:$BK$69,33,0)</f>
        <v>11.76</v>
      </c>
      <c r="J112" s="124">
        <f>VLOOKUP(B112,'B&amp;L'!$A$7:$BK$69,38,0)</f>
        <v>11.75</v>
      </c>
      <c r="K112" s="124">
        <f>VLOOKUP(B112,'B&amp;L'!$A$7:$BK$69,43,0)</f>
        <v>11.75</v>
      </c>
      <c r="L112" s="124">
        <f>VLOOKUP(B112,'B&amp;L'!$A$7:$BK$69,48,0)</f>
        <v>11.81</v>
      </c>
      <c r="M112" s="124">
        <f>VLOOKUP(B112,'B&amp;L'!$A$7:$BK$69,53,0)</f>
        <v>11.8</v>
      </c>
      <c r="N112" s="124">
        <f>VLOOKUP(B112,'B&amp;L'!$A$7:$BK$69,58,0)</f>
        <v>11.75</v>
      </c>
      <c r="O112" s="124">
        <f>VLOOKUP(B112,'B&amp;L'!$A$7:$BK$69,63,0)</f>
        <v>11.81</v>
      </c>
    </row>
    <row r="113" spans="1:15">
      <c r="A113" s="309">
        <v>54</v>
      </c>
      <c r="B113" s="89" t="s">
        <v>135</v>
      </c>
      <c r="C113" s="74" t="s">
        <v>156</v>
      </c>
      <c r="D113" s="123">
        <f>VLOOKUP(B114,'B&amp;L'!$A$7:$BK$69,7,0)</f>
        <v>74.040000000000006</v>
      </c>
      <c r="E113" s="123">
        <f>VLOOKUP(B114,'B&amp;L'!$A$7:$BK$69,12,0)</f>
        <v>69.91</v>
      </c>
      <c r="F113" s="123">
        <f>VLOOKUP(B114,'B&amp;L'!$A$7:$BK$69,17,0)</f>
        <v>80.290000000000006</v>
      </c>
      <c r="G113" s="123">
        <f>VLOOKUP(B114,'B&amp;L'!$A$7:$BK$69,22,0)</f>
        <v>80.09</v>
      </c>
      <c r="H113" s="123">
        <f>VLOOKUP(B114,'B&amp;L'!$A$7:$BK$69,27,0)</f>
        <v>80.02</v>
      </c>
      <c r="I113" s="123">
        <f>VLOOKUP(B114,'B&amp;L'!$A$7:$BK$69,32,0)</f>
        <v>78.97</v>
      </c>
      <c r="J113" s="123">
        <f>VLOOKUP(B114,'B&amp;L'!$A$7:$BK$69,37,0)</f>
        <v>90.18</v>
      </c>
      <c r="K113" s="123">
        <f>VLOOKUP(B114,'B&amp;L'!$A$7:$BK$69,42,0)</f>
        <v>90.14</v>
      </c>
      <c r="L113" s="123">
        <f>VLOOKUP(B114,'B&amp;L'!$A$7:$BK$69,47,0)</f>
        <v>79.3</v>
      </c>
      <c r="M113" s="123">
        <f>VLOOKUP(B114,'B&amp;L'!$A$7:$BK$69,52,0)</f>
        <v>79.25</v>
      </c>
      <c r="N113" s="123">
        <f>VLOOKUP(B114,'B&amp;L'!$A$7:$BK$69,57,0)</f>
        <v>78.89</v>
      </c>
      <c r="O113" s="123">
        <f>VLOOKUP(B114,'B&amp;L'!$A$7:$BK$69,62,0)</f>
        <v>79.3</v>
      </c>
    </row>
    <row r="114" spans="1:15">
      <c r="A114" s="309"/>
      <c r="B114" s="90">
        <v>1412000022</v>
      </c>
      <c r="C114" s="82" t="s">
        <v>157</v>
      </c>
      <c r="D114" s="124">
        <f>VLOOKUP(B114,'B&amp;L'!$A$7:$BK$69,8,0)</f>
        <v>9.39</v>
      </c>
      <c r="E114" s="124">
        <f>VLOOKUP(B114,'B&amp;L'!$A$7:$BK$69,13,0)</f>
        <v>9.11</v>
      </c>
      <c r="F114" s="124">
        <f>VLOOKUP(B114,'B&amp;L'!$A$7:$BK$69,18,0)</f>
        <v>10.46</v>
      </c>
      <c r="G114" s="124">
        <f>VLOOKUP(B114,'B&amp;L'!$A$7:$BK$69,23,0)</f>
        <v>10.44</v>
      </c>
      <c r="H114" s="124">
        <f>VLOOKUP(B114,'B&amp;L'!$A$7:$BK$69,28,0)</f>
        <v>10.43</v>
      </c>
      <c r="I114" s="124">
        <f>VLOOKUP(B114,'B&amp;L'!$A$7:$BK$69,33,0)</f>
        <v>10.29</v>
      </c>
      <c r="J114" s="124">
        <f>VLOOKUP(B114,'B&amp;L'!$A$7:$BK$69,38,0)</f>
        <v>11.75</v>
      </c>
      <c r="K114" s="124">
        <f>VLOOKUP(B114,'B&amp;L'!$A$7:$BK$69,43,0)</f>
        <v>11.75</v>
      </c>
      <c r="L114" s="124">
        <f>VLOOKUP(B114,'B&amp;L'!$A$7:$BK$69,48,0)</f>
        <v>10.33</v>
      </c>
      <c r="M114" s="124">
        <f>VLOOKUP(B114,'B&amp;L'!$A$7:$BK$69,53,0)</f>
        <v>10.33</v>
      </c>
      <c r="N114" s="124">
        <f>VLOOKUP(B114,'B&amp;L'!$A$7:$BK$69,58,0)</f>
        <v>10.28</v>
      </c>
      <c r="O114" s="124">
        <f>VLOOKUP(B114,'B&amp;L'!$A$7:$BK$69,63,0)</f>
        <v>10.33</v>
      </c>
    </row>
    <row r="115" spans="1:15">
      <c r="A115" s="310">
        <v>55</v>
      </c>
      <c r="B115" s="89" t="s">
        <v>136</v>
      </c>
      <c r="C115" s="74" t="s">
        <v>156</v>
      </c>
      <c r="D115" s="123">
        <f>VLOOKUP(B116,'B&amp;L'!$A$7:$BK$69,7,0)</f>
        <v>11739.64</v>
      </c>
      <c r="E115" s="123">
        <f>VLOOKUP(B116,'B&amp;L'!$A$7:$BK$69,12,0)</f>
        <v>11082.21</v>
      </c>
      <c r="F115" s="123">
        <f>VLOOKUP(B116,'B&amp;L'!$A$7:$BK$69,17,0)</f>
        <v>11078.94</v>
      </c>
      <c r="G115" s="123">
        <f>VLOOKUP(B116,'B&amp;L'!$A$7:$BK$69,22,0)</f>
        <v>11078.42</v>
      </c>
      <c r="H115" s="123">
        <f>VLOOKUP(B116,'B&amp;L'!$A$7:$BK$69,27,0)</f>
        <v>11078.24</v>
      </c>
      <c r="I115" s="123">
        <f>VLOOKUP(B116,'B&amp;L'!$A$7:$BK$69,32,0)</f>
        <v>11075.54</v>
      </c>
      <c r="J115" s="123">
        <f>VLOOKUP(B116,'B&amp;L'!$A$7:$BK$69,37,0)</f>
        <v>11075.37</v>
      </c>
      <c r="K115" s="123">
        <f>VLOOKUP(B116,'B&amp;L'!$A$7:$BK$69,42,0)</f>
        <v>11075.3</v>
      </c>
      <c r="L115" s="123">
        <f>VLOOKUP(B116,'B&amp;L'!$A$7:$BK$69,47,0)</f>
        <v>11076.39</v>
      </c>
      <c r="M115" s="123">
        <f>VLOOKUP(B116,'B&amp;L'!$A$7:$BK$69,52,0)</f>
        <v>11076.26</v>
      </c>
      <c r="N115" s="123">
        <f>VLOOKUP(B116,'B&amp;L'!$A$7:$BK$69,57,0)</f>
        <v>11075.33</v>
      </c>
      <c r="O115" s="123">
        <f>VLOOKUP(B116,'B&amp;L'!$A$7:$BK$69,62,0)</f>
        <v>11076.38</v>
      </c>
    </row>
    <row r="116" spans="1:15">
      <c r="A116" s="311"/>
      <c r="B116" s="90">
        <v>1412000024</v>
      </c>
      <c r="C116" s="82" t="s">
        <v>157</v>
      </c>
      <c r="D116" s="124">
        <f>VLOOKUP(B116,'B&amp;L'!$A$7:$BK$69,8,0)</f>
        <v>1488.47</v>
      </c>
      <c r="E116" s="124">
        <f>VLOOKUP(B116,'B&amp;L'!$A$7:$BK$69,13,0)</f>
        <v>1444.1</v>
      </c>
      <c r="F116" s="124">
        <f>VLOOKUP(B116,'B&amp;L'!$A$7:$BK$69,18,0)</f>
        <v>1443.67</v>
      </c>
      <c r="G116" s="124">
        <f>VLOOKUP(B116,'B&amp;L'!$A$7:$BK$69,23,0)</f>
        <v>1443.61</v>
      </c>
      <c r="H116" s="124">
        <f>VLOOKUP(B116,'B&amp;L'!$A$7:$BK$69,28,0)</f>
        <v>1443.58</v>
      </c>
      <c r="I116" s="124">
        <f>VLOOKUP(B116,'B&amp;L'!$A$7:$BK$69,33,0)</f>
        <v>1443.23</v>
      </c>
      <c r="J116" s="124">
        <f>VLOOKUP(B116,'B&amp;L'!$A$7:$BK$69,38,0)</f>
        <v>1443.21</v>
      </c>
      <c r="K116" s="124">
        <f>VLOOKUP(B116,'B&amp;L'!$A$7:$BK$69,43,0)</f>
        <v>1443.2</v>
      </c>
      <c r="L116" s="124">
        <f>VLOOKUP(B116,'B&amp;L'!$A$7:$BK$69,48,0)</f>
        <v>1443.34</v>
      </c>
      <c r="M116" s="124">
        <f>VLOOKUP(B116,'B&amp;L'!$A$7:$BK$69,53,0)</f>
        <v>1443.32</v>
      </c>
      <c r="N116" s="124">
        <f>VLOOKUP(B116,'B&amp;L'!$A$7:$BK$69,58,0)</f>
        <v>1443.2</v>
      </c>
      <c r="O116" s="124">
        <f>VLOOKUP(B116,'B&amp;L'!$A$7:$BK$69,63,0)</f>
        <v>1443.34</v>
      </c>
    </row>
    <row r="117" spans="1:15">
      <c r="A117" s="310">
        <v>56</v>
      </c>
      <c r="B117" s="89" t="s">
        <v>5</v>
      </c>
      <c r="C117" s="74" t="s">
        <v>156</v>
      </c>
      <c r="D117" s="123">
        <f>VLOOKUP(B118,'B&amp;L'!$A$7:$BK$69,7,0)</f>
        <v>699.98</v>
      </c>
      <c r="E117" s="123">
        <f>VLOOKUP(B118,'B&amp;L'!$A$7:$BK$69,12,0)</f>
        <v>660.83</v>
      </c>
      <c r="F117" s="123">
        <f>VLOOKUP(B118,'B&amp;L'!$A$7:$BK$69,17,0)</f>
        <v>658.11</v>
      </c>
      <c r="G117" s="123">
        <f>VLOOKUP(B118,'B&amp;L'!$A$7:$BK$69,22,0)</f>
        <v>657.68</v>
      </c>
      <c r="H117" s="123">
        <f>VLOOKUP(B118,'B&amp;L'!$A$7:$BK$69,27,0)</f>
        <v>657.53</v>
      </c>
      <c r="I117" s="123">
        <f>VLOOKUP(B118,'B&amp;L'!$A$7:$BK$69,32,0)</f>
        <v>655.28</v>
      </c>
      <c r="J117" s="123">
        <f>VLOOKUP(B118,'B&amp;L'!$A$7:$BK$69,37,0)</f>
        <v>655.14</v>
      </c>
      <c r="K117" s="123">
        <f>VLOOKUP(B118,'B&amp;L'!$A$7:$BK$69,42,0)</f>
        <v>655.08000000000004</v>
      </c>
      <c r="L117" s="123">
        <f>VLOOKUP(B118,'B&amp;L'!$A$7:$BK$69,47,0)</f>
        <v>655.99</v>
      </c>
      <c r="M117" s="123">
        <f>VLOOKUP(B118,'B&amp;L'!$A$7:$BK$69,52,0)</f>
        <v>655.88</v>
      </c>
      <c r="N117" s="123">
        <f>VLOOKUP(B118,'B&amp;L'!$A$7:$BK$69,57,0)</f>
        <v>655.1</v>
      </c>
      <c r="O117" s="123">
        <f>VLOOKUP(B118,'B&amp;L'!$A$7:$BK$69,62,0)</f>
        <v>655.98</v>
      </c>
    </row>
    <row r="118" spans="1:15">
      <c r="A118" s="311"/>
      <c r="B118" s="90">
        <v>1412000025</v>
      </c>
      <c r="C118" s="82" t="s">
        <v>157</v>
      </c>
      <c r="D118" s="124">
        <f>VLOOKUP(B118,'B&amp;L'!$A$7:$BK$69,8,0)</f>
        <v>88.75</v>
      </c>
      <c r="E118" s="124">
        <f>VLOOKUP(B118,'B&amp;L'!$A$7:$BK$69,13,0)</f>
        <v>86.11</v>
      </c>
      <c r="F118" s="124">
        <f>VLOOKUP(B118,'B&amp;L'!$A$7:$BK$69,18,0)</f>
        <v>85.76</v>
      </c>
      <c r="G118" s="124">
        <f>VLOOKUP(B118,'B&amp;L'!$A$7:$BK$69,23,0)</f>
        <v>85.7</v>
      </c>
      <c r="H118" s="124">
        <f>VLOOKUP(B118,'B&amp;L'!$A$7:$BK$69,28,0)</f>
        <v>85.68</v>
      </c>
      <c r="I118" s="124">
        <f>VLOOKUP(B118,'B&amp;L'!$A$7:$BK$69,33,0)</f>
        <v>85.39</v>
      </c>
      <c r="J118" s="124">
        <f>VLOOKUP(B118,'B&amp;L'!$A$7:$BK$69,38,0)</f>
        <v>85.37</v>
      </c>
      <c r="K118" s="124">
        <f>VLOOKUP(B118,'B&amp;L'!$A$7:$BK$69,43,0)</f>
        <v>85.36</v>
      </c>
      <c r="L118" s="124">
        <f>VLOOKUP(B118,'B&amp;L'!$A$7:$BK$69,48,0)</f>
        <v>85.48</v>
      </c>
      <c r="M118" s="124">
        <f>VLOOKUP(B118,'B&amp;L'!$A$7:$BK$69,53,0)</f>
        <v>85.47</v>
      </c>
      <c r="N118" s="124">
        <f>VLOOKUP(B118,'B&amp;L'!$A$7:$BK$69,58,0)</f>
        <v>85.37</v>
      </c>
      <c r="O118" s="124">
        <f>VLOOKUP(B118,'B&amp;L'!$A$7:$BK$69,63,0)</f>
        <v>85.48</v>
      </c>
    </row>
    <row r="119" spans="1:15">
      <c r="A119" s="310">
        <v>57</v>
      </c>
      <c r="B119" s="89" t="s">
        <v>113</v>
      </c>
      <c r="C119" s="74" t="s">
        <v>156</v>
      </c>
      <c r="D119" s="123">
        <f>VLOOKUP(B120,'B&amp;L'!$A$7:$BK$69,7,0)</f>
        <v>296.18</v>
      </c>
      <c r="E119" s="123">
        <f>VLOOKUP(B120,'B&amp;L'!$A$7:$BK$69,12,0)</f>
        <v>279.37</v>
      </c>
      <c r="F119" s="123">
        <f>VLOOKUP(B120,'B&amp;L'!$A$7:$BK$69,17,0)</f>
        <v>290.37</v>
      </c>
      <c r="G119" s="123">
        <f>VLOOKUP(B120,'B&amp;L'!$A$7:$BK$69,22,0)</f>
        <v>279.11</v>
      </c>
      <c r="H119" s="123">
        <f>VLOOKUP(B120,'B&amp;L'!$A$7:$BK$69,27,0)</f>
        <v>267.8</v>
      </c>
      <c r="I119" s="123">
        <f>VLOOKUP(B120,'B&amp;L'!$A$7:$BK$69,32,0)</f>
        <v>268.69</v>
      </c>
      <c r="J119" s="123">
        <f>VLOOKUP(B120,'B&amp;L'!$A$7:$BK$69,37,0)</f>
        <v>280.44</v>
      </c>
      <c r="K119" s="123">
        <f>VLOOKUP(B120,'B&amp;L'!$A$7:$BK$69,42,0)</f>
        <v>273.29000000000002</v>
      </c>
      <c r="L119" s="123">
        <f>VLOOKUP(B120,'B&amp;L'!$A$7:$BK$69,47,0)</f>
        <v>272.27</v>
      </c>
      <c r="M119" s="123">
        <f>VLOOKUP(B120,'B&amp;L'!$A$7:$BK$69,52,0)</f>
        <v>265.97000000000003</v>
      </c>
      <c r="N119" s="123">
        <f>VLOOKUP(B120,'B&amp;L'!$A$7:$BK$69,57,0)</f>
        <v>236.19</v>
      </c>
      <c r="O119" s="123">
        <f>VLOOKUP(B120,'B&amp;L'!$A$7:$BK$69,62,0)</f>
        <v>274.87</v>
      </c>
    </row>
    <row r="120" spans="1:15">
      <c r="A120" s="311"/>
      <c r="B120" s="90">
        <v>1412000091</v>
      </c>
      <c r="C120" s="82" t="s">
        <v>157</v>
      </c>
      <c r="D120" s="124">
        <f>VLOOKUP(B120,'B&amp;L'!$A$7:$BK$69,8,0)</f>
        <v>37.549999999999997</v>
      </c>
      <c r="E120" s="124">
        <f>VLOOKUP(B120,'B&amp;L'!$A$7:$BK$69,13,0)</f>
        <v>36.4</v>
      </c>
      <c r="F120" s="124">
        <f>VLOOKUP(B120,'B&amp;L'!$A$7:$BK$69,18,0)</f>
        <v>37.840000000000003</v>
      </c>
      <c r="G120" s="124">
        <f>VLOOKUP(B120,'B&amp;L'!$A$7:$BK$69,23,0)</f>
        <v>36.369999999999997</v>
      </c>
      <c r="H120" s="124">
        <f>VLOOKUP(B120,'B&amp;L'!$A$7:$BK$69,28,0)</f>
        <v>34.9</v>
      </c>
      <c r="I120" s="124">
        <f>VLOOKUP(B120,'B&amp;L'!$A$7:$BK$69,33,0)</f>
        <v>35.01</v>
      </c>
      <c r="J120" s="124">
        <f>VLOOKUP(B120,'B&amp;L'!$A$7:$BK$69,38,0)</f>
        <v>36.54</v>
      </c>
      <c r="K120" s="124">
        <f>VLOOKUP(B120,'B&amp;L'!$A$7:$BK$69,43,0)</f>
        <v>35.61</v>
      </c>
      <c r="L120" s="124">
        <f>VLOOKUP(B120,'B&amp;L'!$A$7:$BK$69,48,0)</f>
        <v>35.479999999999997</v>
      </c>
      <c r="M120" s="124">
        <f>VLOOKUP(B120,'B&amp;L'!$A$7:$BK$69,53,0)</f>
        <v>34.659999999999997</v>
      </c>
      <c r="N120" s="124">
        <f>VLOOKUP(B120,'B&amp;L'!$A$7:$BK$69,58,0)</f>
        <v>30.78</v>
      </c>
      <c r="O120" s="124">
        <f>VLOOKUP(B120,'B&amp;L'!$A$7:$BK$69,63,0)</f>
        <v>35.82</v>
      </c>
    </row>
    <row r="121" spans="1:15">
      <c r="A121" s="310">
        <v>58</v>
      </c>
      <c r="B121" s="89" t="s">
        <v>150</v>
      </c>
      <c r="C121" s="74" t="s">
        <v>156</v>
      </c>
      <c r="D121" s="123">
        <f>VLOOKUP(B122,'B&amp;L'!$A$7:$BK$69,7,0)</f>
        <v>98.71</v>
      </c>
      <c r="E121" s="123">
        <f>VLOOKUP(B122,'B&amp;L'!$A$7:$BK$69,12,0)</f>
        <v>93.21</v>
      </c>
      <c r="F121" s="123">
        <f>VLOOKUP(B122,'B&amp;L'!$A$7:$BK$69,17,0)</f>
        <v>91.76</v>
      </c>
      <c r="G121" s="123">
        <f>VLOOKUP(B122,'B&amp;L'!$A$7:$BK$69,22,0)</f>
        <v>91.53</v>
      </c>
      <c r="H121" s="123">
        <f>VLOOKUP(B122,'B&amp;L'!$A$7:$BK$69,27,0)</f>
        <v>91.45</v>
      </c>
      <c r="I121" s="123">
        <f>VLOOKUP(B122,'B&amp;L'!$A$7:$BK$69,32,0)</f>
        <v>90.25</v>
      </c>
      <c r="J121" s="123">
        <f>VLOOKUP(B122,'B&amp;L'!$A$7:$BK$69,37,0)</f>
        <v>90.18</v>
      </c>
      <c r="K121" s="123">
        <f>VLOOKUP(B122,'B&amp;L'!$A$7:$BK$69,42,0)</f>
        <v>90.14</v>
      </c>
      <c r="L121" s="123">
        <f>VLOOKUP(B122,'B&amp;L'!$A$7:$BK$69,47,0)</f>
        <v>90.63</v>
      </c>
      <c r="M121" s="123">
        <f>VLOOKUP(B122,'B&amp;L'!$A$7:$BK$69,52,0)</f>
        <v>90.57</v>
      </c>
      <c r="N121" s="123">
        <f>VLOOKUP(B122,'B&amp;L'!$A$7:$BK$69,57,0)</f>
        <v>90.16</v>
      </c>
      <c r="O121" s="123">
        <f>VLOOKUP(B122,'B&amp;L'!$A$7:$BK$69,62,0)</f>
        <v>90.63</v>
      </c>
    </row>
    <row r="122" spans="1:15">
      <c r="A122" s="311"/>
      <c r="B122" s="90">
        <v>1412000093</v>
      </c>
      <c r="C122" s="82" t="s">
        <v>157</v>
      </c>
      <c r="D122" s="124">
        <f>VLOOKUP(B122,'B&amp;L'!$A$7:$BK$69,8,0)</f>
        <v>12.52</v>
      </c>
      <c r="E122" s="124">
        <f>VLOOKUP(B122,'B&amp;L'!$A$7:$BK$69,13,0)</f>
        <v>12.15</v>
      </c>
      <c r="F122" s="124">
        <f>VLOOKUP(B122,'B&amp;L'!$A$7:$BK$69,18,0)</f>
        <v>11.96</v>
      </c>
      <c r="G122" s="124">
        <f>VLOOKUP(B122,'B&amp;L'!$A$7:$BK$69,23,0)</f>
        <v>11.93</v>
      </c>
      <c r="H122" s="124">
        <f>VLOOKUP(B122,'B&amp;L'!$A$7:$BK$69,28,0)</f>
        <v>11.92</v>
      </c>
      <c r="I122" s="124">
        <f>VLOOKUP(B122,'B&amp;L'!$A$7:$BK$69,33,0)</f>
        <v>11.76</v>
      </c>
      <c r="J122" s="124">
        <f>VLOOKUP(B122,'B&amp;L'!$A$7:$BK$69,38,0)</f>
        <v>11.75</v>
      </c>
      <c r="K122" s="124">
        <f>VLOOKUP(B122,'B&amp;L'!$A$7:$BK$69,43,0)</f>
        <v>11.75</v>
      </c>
      <c r="L122" s="124">
        <f>VLOOKUP(B122,'B&amp;L'!$A$7:$BK$69,48,0)</f>
        <v>11.81</v>
      </c>
      <c r="M122" s="124">
        <f>VLOOKUP(B122,'B&amp;L'!$A$7:$BK$69,53,0)</f>
        <v>11.8</v>
      </c>
      <c r="N122" s="124">
        <f>VLOOKUP(B122,'B&amp;L'!$A$7:$BK$69,58,0)</f>
        <v>11.75</v>
      </c>
      <c r="O122" s="124">
        <f>VLOOKUP(B122,'B&amp;L'!$A$7:$BK$69,63,0)</f>
        <v>11.81</v>
      </c>
    </row>
    <row r="123" spans="1:15">
      <c r="A123" s="308">
        <v>59</v>
      </c>
      <c r="B123" s="100" t="s">
        <v>6</v>
      </c>
      <c r="C123" s="101" t="s">
        <v>156</v>
      </c>
      <c r="D123" s="219">
        <f>VLOOKUP(B124,'B&amp;L'!$A$7:$BK$69,7,0)</f>
        <v>36595.689999999995</v>
      </c>
      <c r="E123" s="219">
        <f>VLOOKUP(B124,'B&amp;L'!$A$7:$BK$69,12,0)</f>
        <v>34546.22</v>
      </c>
      <c r="F123" s="219">
        <f>VLOOKUP(B124,'B&amp;L'!$A$7:$BK$69,17,0)</f>
        <v>34543.68</v>
      </c>
      <c r="G123" s="219">
        <f>VLOOKUP(B124,'B&amp;L'!$A$7:$BK$69,22,0)</f>
        <v>34543.26</v>
      </c>
      <c r="H123" s="219">
        <f>VLOOKUP(B124,'B&amp;L'!$A$7:$BK$69,27,0)</f>
        <v>34543.07</v>
      </c>
      <c r="I123" s="219">
        <f>VLOOKUP(B124,'B&amp;L'!$A$7:$BK$69,32,0)</f>
        <v>34541.009999999995</v>
      </c>
      <c r="J123" s="219">
        <f>VLOOKUP(B124,'B&amp;L'!$A$7:$BK$69,37,0)</f>
        <v>34540.85</v>
      </c>
      <c r="K123" s="219">
        <f>VLOOKUP(B124,'B&amp;L'!$A$7:$BK$69,42,0)</f>
        <v>34540.79</v>
      </c>
      <c r="L123" s="219">
        <f>VLOOKUP(B124,'B&amp;L'!$A$7:$BK$69,47,0)</f>
        <v>34541.65</v>
      </c>
      <c r="M123" s="219">
        <f>VLOOKUP(B124,'B&amp;L'!$A$7:$BK$69,52,0)</f>
        <v>34541.550000000003</v>
      </c>
      <c r="N123" s="219">
        <f>VLOOKUP(B124,'B&amp;L'!$A$7:$BK$69,57,0)</f>
        <v>34540.83</v>
      </c>
      <c r="O123" s="219">
        <f>VLOOKUP(B124,'B&amp;L'!$A$7:$BK$69,62,0)</f>
        <v>34541.68</v>
      </c>
    </row>
    <row r="124" spans="1:15">
      <c r="A124" s="308"/>
      <c r="B124" s="103">
        <v>1412000026</v>
      </c>
      <c r="C124" s="104" t="s">
        <v>157</v>
      </c>
      <c r="D124" s="220">
        <f>VLOOKUP(B124,'B&amp;L'!$A$7:$BK$69,8,0)</f>
        <v>4640.0000000000009</v>
      </c>
      <c r="E124" s="220">
        <f>VLOOKUP(B124,'B&amp;L'!$A$7:$BK$69,13,0)</f>
        <v>4501.5900000000011</v>
      </c>
      <c r="F124" s="220">
        <f>VLOOKUP(B124,'B&amp;L'!$A$7:$BK$69,18,0)</f>
        <v>4501.3</v>
      </c>
      <c r="G124" s="220">
        <f>VLOOKUP(B124,'B&amp;L'!$A$7:$BK$69,23,0)</f>
        <v>4501.25</v>
      </c>
      <c r="H124" s="220">
        <f>VLOOKUP(B124,'B&amp;L'!$A$7:$BK$69,28,0)</f>
        <v>4501.2099999999991</v>
      </c>
      <c r="I124" s="220">
        <f>VLOOKUP(B124,'B&amp;L'!$A$7:$BK$69,33,0)</f>
        <v>4500.96</v>
      </c>
      <c r="J124" s="220">
        <f>VLOOKUP(B124,'B&amp;L'!$A$7:$BK$69,38,0)</f>
        <v>4500.9399999999996</v>
      </c>
      <c r="K124" s="220">
        <f>VLOOKUP(B124,'B&amp;L'!$A$7:$BK$69,43,0)</f>
        <v>4500.9399999999996</v>
      </c>
      <c r="L124" s="220">
        <f>VLOOKUP(B124,'B&amp;L'!$A$7:$BK$69,48,0)</f>
        <v>4501.08</v>
      </c>
      <c r="M124" s="220">
        <f>VLOOKUP(B124,'B&amp;L'!$A$7:$BK$69,53,0)</f>
        <v>4501.04</v>
      </c>
      <c r="N124" s="220">
        <f>VLOOKUP(B124,'B&amp;L'!$A$7:$BK$69,58,0)</f>
        <v>4500.8999999999996</v>
      </c>
      <c r="O124" s="220">
        <f>VLOOKUP(B124,'B&amp;L'!$A$7:$BK$69,63,0)</f>
        <v>4501.01</v>
      </c>
    </row>
    <row r="125" spans="1:15">
      <c r="A125" s="309">
        <v>60</v>
      </c>
      <c r="B125" s="89" t="s">
        <v>7</v>
      </c>
      <c r="C125" s="74" t="s">
        <v>156</v>
      </c>
      <c r="D125" s="123">
        <f>VLOOKUP(B126,'B&amp;L'!$A$7:$BK$69,7,0)</f>
        <v>178.85</v>
      </c>
      <c r="E125" s="123">
        <f>VLOOKUP(B126,'B&amp;L'!$A$7:$BK$69,12,0)</f>
        <v>168.88</v>
      </c>
      <c r="F125" s="123">
        <f>VLOOKUP(B126,'B&amp;L'!$A$7:$BK$69,17,0)</f>
        <v>166.7</v>
      </c>
      <c r="G125" s="123">
        <f>VLOOKUP(B126,'B&amp;L'!$A$7:$BK$69,22,0)</f>
        <v>166.36</v>
      </c>
      <c r="H125" s="123">
        <f>VLOOKUP(B126,'B&amp;L'!$A$7:$BK$69,27,0)</f>
        <v>166.23</v>
      </c>
      <c r="I125" s="123">
        <f>VLOOKUP(B126,'B&amp;L'!$A$7:$BK$69,32,0)</f>
        <v>164.43</v>
      </c>
      <c r="J125" s="123">
        <f>VLOOKUP(B126,'B&amp;L'!$A$7:$BK$69,37,0)</f>
        <v>164.32</v>
      </c>
      <c r="K125" s="123">
        <f>VLOOKUP(B126,'B&amp;L'!$A$7:$BK$69,42,0)</f>
        <v>164.27</v>
      </c>
      <c r="L125" s="123">
        <f>VLOOKUP(B126,'B&amp;L'!$A$7:$BK$69,47,0)</f>
        <v>165</v>
      </c>
      <c r="M125" s="123">
        <f>VLOOKUP(B126,'B&amp;L'!$A$7:$BK$69,52,0)</f>
        <v>164.92</v>
      </c>
      <c r="N125" s="123">
        <f>VLOOKUP(B126,'B&amp;L'!$A$7:$BK$69,57,0)</f>
        <v>164.29</v>
      </c>
      <c r="O125" s="123">
        <f>VLOOKUP(B126,'B&amp;L'!$A$7:$BK$69,62,0)</f>
        <v>165</v>
      </c>
    </row>
    <row r="126" spans="1:15">
      <c r="A126" s="309"/>
      <c r="B126" s="90">
        <v>1412000028</v>
      </c>
      <c r="C126" s="82" t="s">
        <v>157</v>
      </c>
      <c r="D126" s="124">
        <f>VLOOKUP(B126,'B&amp;L'!$A$7:$BK$69,8,0)</f>
        <v>22.68</v>
      </c>
      <c r="E126" s="124">
        <f>VLOOKUP(B126,'B&amp;L'!$A$7:$BK$69,13,0)</f>
        <v>22.01</v>
      </c>
      <c r="F126" s="124">
        <f>VLOOKUP(B126,'B&amp;L'!$A$7:$BK$69,18,0)</f>
        <v>21.72</v>
      </c>
      <c r="G126" s="124">
        <f>VLOOKUP(B126,'B&amp;L'!$A$7:$BK$69,23,0)</f>
        <v>21.68</v>
      </c>
      <c r="H126" s="124">
        <f>VLOOKUP(B126,'B&amp;L'!$A$7:$BK$69,28,0)</f>
        <v>21.66</v>
      </c>
      <c r="I126" s="124">
        <f>VLOOKUP(B126,'B&amp;L'!$A$7:$BK$69,33,0)</f>
        <v>21.43</v>
      </c>
      <c r="J126" s="124">
        <f>VLOOKUP(B126,'B&amp;L'!$A$7:$BK$69,38,0)</f>
        <v>21.41</v>
      </c>
      <c r="K126" s="124">
        <f>VLOOKUP(B126,'B&amp;L'!$A$7:$BK$69,43,0)</f>
        <v>21.41</v>
      </c>
      <c r="L126" s="124">
        <f>VLOOKUP(B126,'B&amp;L'!$A$7:$BK$69,48,0)</f>
        <v>21.5</v>
      </c>
      <c r="M126" s="124">
        <f>VLOOKUP(B126,'B&amp;L'!$A$7:$BK$69,53,0)</f>
        <v>21.49</v>
      </c>
      <c r="N126" s="124">
        <f>VLOOKUP(B126,'B&amp;L'!$A$7:$BK$69,58,0)</f>
        <v>21.41</v>
      </c>
      <c r="O126" s="124">
        <f>VLOOKUP(B126,'B&amp;L'!$A$7:$BK$69,63,0)</f>
        <v>21.5</v>
      </c>
    </row>
    <row r="127" spans="1:15">
      <c r="A127" s="310">
        <v>61</v>
      </c>
      <c r="B127" s="89" t="s">
        <v>8</v>
      </c>
      <c r="C127" s="74" t="s">
        <v>156</v>
      </c>
      <c r="D127" s="123">
        <f>VLOOKUP(B128,'B&amp;L'!$A$7:$BK$69,7,0)</f>
        <v>182.78</v>
      </c>
      <c r="E127" s="123">
        <f>VLOOKUP(B128,'B&amp;L'!$A$7:$BK$69,12,0)</f>
        <v>172.56</v>
      </c>
      <c r="F127" s="123">
        <f>VLOOKUP(B128,'B&amp;L'!$A$7:$BK$69,17,0)</f>
        <v>171.97</v>
      </c>
      <c r="G127" s="123">
        <f>VLOOKUP(B128,'B&amp;L'!$A$7:$BK$69,22,0)</f>
        <v>171.3</v>
      </c>
      <c r="H127" s="123">
        <f>VLOOKUP(B128,'B&amp;L'!$A$7:$BK$69,27,0)</f>
        <v>170.74</v>
      </c>
      <c r="I127" s="123">
        <f>VLOOKUP(B128,'B&amp;L'!$A$7:$BK$69,32,0)</f>
        <v>169.89</v>
      </c>
      <c r="J127" s="123">
        <f>VLOOKUP(B128,'B&amp;L'!$A$7:$BK$69,37,0)</f>
        <v>170.36</v>
      </c>
      <c r="K127" s="123">
        <f>VLOOKUP(B128,'B&amp;L'!$A$7:$BK$69,42,0)</f>
        <v>170.02</v>
      </c>
      <c r="L127" s="123">
        <f>VLOOKUP(B128,'B&amp;L'!$A$7:$BK$69,47,0)</f>
        <v>170.33</v>
      </c>
      <c r="M127" s="123">
        <f>VLOOKUP(B128,'B&amp;L'!$A$7:$BK$69,52,0)</f>
        <v>170.01</v>
      </c>
      <c r="N127" s="123">
        <f>VLOOKUP(B128,'B&amp;L'!$A$7:$BK$69,57,0)</f>
        <v>168.39</v>
      </c>
      <c r="O127" s="123">
        <f>VLOOKUP(B128,'B&amp;L'!$A$7:$BK$69,62,0)</f>
        <v>170.44</v>
      </c>
    </row>
    <row r="128" spans="1:15">
      <c r="A128" s="311"/>
      <c r="B128" s="90">
        <v>1412000029</v>
      </c>
      <c r="C128" s="82" t="s">
        <v>157</v>
      </c>
      <c r="D128" s="124">
        <f>VLOOKUP(B128,'B&amp;L'!$A$7:$BK$69,8,0)</f>
        <v>23.17</v>
      </c>
      <c r="E128" s="124">
        <f>VLOOKUP(B128,'B&amp;L'!$A$7:$BK$69,13,0)</f>
        <v>22.49</v>
      </c>
      <c r="F128" s="124">
        <f>VLOOKUP(B128,'B&amp;L'!$A$7:$BK$69,18,0)</f>
        <v>22.41</v>
      </c>
      <c r="G128" s="124">
        <f>VLOOKUP(B128,'B&amp;L'!$A$7:$BK$69,23,0)</f>
        <v>22.32</v>
      </c>
      <c r="H128" s="124">
        <f>VLOOKUP(B128,'B&amp;L'!$A$7:$BK$69,28,0)</f>
        <v>22.25</v>
      </c>
      <c r="I128" s="124">
        <f>VLOOKUP(B128,'B&amp;L'!$A$7:$BK$69,33,0)</f>
        <v>22.14</v>
      </c>
      <c r="J128" s="124">
        <f>VLOOKUP(B128,'B&amp;L'!$A$7:$BK$69,38,0)</f>
        <v>22.2</v>
      </c>
      <c r="K128" s="124">
        <f>VLOOKUP(B128,'B&amp;L'!$A$7:$BK$69,43,0)</f>
        <v>22.15</v>
      </c>
      <c r="L128" s="124">
        <f>VLOOKUP(B128,'B&amp;L'!$A$7:$BK$69,48,0)</f>
        <v>22.2</v>
      </c>
      <c r="M128" s="124">
        <f>VLOOKUP(B128,'B&amp;L'!$A$7:$BK$69,53,0)</f>
        <v>22.15</v>
      </c>
      <c r="N128" s="124">
        <f>VLOOKUP(B128,'B&amp;L'!$A$7:$BK$69,58,0)</f>
        <v>21.94</v>
      </c>
      <c r="O128" s="124">
        <f>VLOOKUP(B128,'B&amp;L'!$A$7:$BK$69,63,0)</f>
        <v>22.21</v>
      </c>
    </row>
    <row r="129" spans="1:15">
      <c r="A129" s="310">
        <v>62</v>
      </c>
      <c r="B129" s="126" t="s">
        <v>137</v>
      </c>
      <c r="C129" s="127" t="s">
        <v>156</v>
      </c>
      <c r="D129" s="123">
        <f>VLOOKUP(B130,'B&amp;L'!$A$7:$BK$69,7,0)</f>
        <v>250.95</v>
      </c>
      <c r="E129" s="123">
        <f>VLOOKUP(B130,'B&amp;L'!$A$7:$BK$69,12,0)</f>
        <v>236.95</v>
      </c>
      <c r="F129" s="123">
        <f>VLOOKUP(B130,'B&amp;L'!$A$7:$BK$69,17,0)</f>
        <v>233.87</v>
      </c>
      <c r="G129" s="123">
        <f>VLOOKUP(B130,'B&amp;L'!$A$7:$BK$69,22,0)</f>
        <v>233.38</v>
      </c>
      <c r="H129" s="123">
        <f>VLOOKUP(B130,'B&amp;L'!$A$7:$BK$69,27,0)</f>
        <v>233.2</v>
      </c>
      <c r="I129" s="123">
        <f>VLOOKUP(B130,'B&amp;L'!$A$7:$BK$69,32,0)</f>
        <v>230.66</v>
      </c>
      <c r="J129" s="123">
        <f>VLOOKUP(B130,'B&amp;L'!$A$7:$BK$69,37,0)</f>
        <v>230.5</v>
      </c>
      <c r="K129" s="123">
        <f>VLOOKUP(B130,'B&amp;L'!$A$7:$BK$69,42,0)</f>
        <v>230.43</v>
      </c>
      <c r="L129" s="123">
        <f>VLOOKUP(B130,'B&amp;L'!$A$7:$BK$69,47,0)</f>
        <v>231.46</v>
      </c>
      <c r="M129" s="123">
        <f>VLOOKUP(B130,'B&amp;L'!$A$7:$BK$69,52,0)</f>
        <v>231.34</v>
      </c>
      <c r="N129" s="123">
        <f>VLOOKUP(B130,'B&amp;L'!$A$7:$BK$69,57,0)</f>
        <v>230.46</v>
      </c>
      <c r="O129" s="123">
        <f>VLOOKUP(B130,'B&amp;L'!$A$7:$BK$69,62,0)</f>
        <v>231.45</v>
      </c>
    </row>
    <row r="130" spans="1:15">
      <c r="A130" s="311"/>
      <c r="B130" s="81">
        <v>1412000030</v>
      </c>
      <c r="C130" s="108" t="s">
        <v>157</v>
      </c>
      <c r="D130" s="124">
        <f>VLOOKUP(B130,'B&amp;L'!$A$7:$BK$69,8,0)</f>
        <v>31.82</v>
      </c>
      <c r="E130" s="124">
        <f>VLOOKUP(B130,'B&amp;L'!$A$7:$BK$69,13,0)</f>
        <v>30.88</v>
      </c>
      <c r="F130" s="124">
        <f>VLOOKUP(B130,'B&amp;L'!$A$7:$BK$69,18,0)</f>
        <v>30.47</v>
      </c>
      <c r="G130" s="124">
        <f>VLOOKUP(B130,'B&amp;L'!$A$7:$BK$69,23,0)</f>
        <v>30.41</v>
      </c>
      <c r="H130" s="124">
        <f>VLOOKUP(B130,'B&amp;L'!$A$7:$BK$69,28,0)</f>
        <v>30.39</v>
      </c>
      <c r="I130" s="124">
        <f>VLOOKUP(B130,'B&amp;L'!$A$7:$BK$69,33,0)</f>
        <v>30.06</v>
      </c>
      <c r="J130" s="124">
        <f>VLOOKUP(B130,'B&amp;L'!$A$7:$BK$69,38,0)</f>
        <v>30.04</v>
      </c>
      <c r="K130" s="124">
        <f>VLOOKUP(B130,'B&amp;L'!$A$7:$BK$69,43,0)</f>
        <v>30.03</v>
      </c>
      <c r="L130" s="124">
        <f>VLOOKUP(B130,'B&amp;L'!$A$7:$BK$69,48,0)</f>
        <v>30.16</v>
      </c>
      <c r="M130" s="124">
        <f>VLOOKUP(B130,'B&amp;L'!$A$7:$BK$69,53,0)</f>
        <v>30.15</v>
      </c>
      <c r="N130" s="124">
        <f>VLOOKUP(B130,'B&amp;L'!$A$7:$BK$69,58,0)</f>
        <v>30.03</v>
      </c>
      <c r="O130" s="124">
        <f>VLOOKUP(B130,'B&amp;L'!$A$7:$BK$69,63,0)</f>
        <v>30.16</v>
      </c>
    </row>
    <row r="131" spans="1:15">
      <c r="A131" s="310">
        <v>63</v>
      </c>
      <c r="B131" s="89" t="s">
        <v>10</v>
      </c>
      <c r="C131" s="74" t="s">
        <v>156</v>
      </c>
      <c r="D131" s="123">
        <f>VLOOKUP(B132,'B&amp;L'!$A$7:$BK$69,7,0)</f>
        <v>315.77</v>
      </c>
      <c r="E131" s="123">
        <f>VLOOKUP(B132,'B&amp;L'!$A$7:$BK$69,12,0)</f>
        <v>298.14</v>
      </c>
      <c r="F131" s="123">
        <f>VLOOKUP(B132,'B&amp;L'!$A$7:$BK$69,17,0)</f>
        <v>318.72000000000003</v>
      </c>
      <c r="G131" s="123">
        <f>VLOOKUP(B132,'B&amp;L'!$A$7:$BK$69,22,0)</f>
        <v>318.29000000000002</v>
      </c>
      <c r="H131" s="123">
        <f>VLOOKUP(B132,'B&amp;L'!$A$7:$BK$69,27,0)</f>
        <v>318.13</v>
      </c>
      <c r="I131" s="123">
        <f>VLOOKUP(B132,'B&amp;L'!$A$7:$BK$69,32,0)</f>
        <v>315.88</v>
      </c>
      <c r="J131" s="123">
        <f>VLOOKUP(B132,'B&amp;L'!$A$7:$BK$69,37,0)</f>
        <v>315.74</v>
      </c>
      <c r="K131" s="123">
        <f>VLOOKUP(B132,'B&amp;L'!$A$7:$BK$69,42,0)</f>
        <v>315.68</v>
      </c>
      <c r="L131" s="123">
        <f>VLOOKUP(B132,'B&amp;L'!$A$7:$BK$69,47,0)</f>
        <v>316.58999999999997</v>
      </c>
      <c r="M131" s="123">
        <f>VLOOKUP(B132,'B&amp;L'!$A$7:$BK$69,52,0)</f>
        <v>316.49</v>
      </c>
      <c r="N131" s="123">
        <f>VLOOKUP(B132,'B&amp;L'!$A$7:$BK$69,57,0)</f>
        <v>315.70999999999998</v>
      </c>
      <c r="O131" s="123">
        <f>VLOOKUP(B132,'B&amp;L'!$A$7:$BK$69,62,0)</f>
        <v>316.58999999999997</v>
      </c>
    </row>
    <row r="132" spans="1:15">
      <c r="A132" s="311"/>
      <c r="B132" s="109">
        <v>1412000086</v>
      </c>
      <c r="C132" s="82" t="s">
        <v>157</v>
      </c>
      <c r="D132" s="124">
        <f>VLOOKUP(B132,'B&amp;L'!$A$7:$BK$69,8,0)</f>
        <v>40.04</v>
      </c>
      <c r="E132" s="124">
        <f>VLOOKUP(B132,'B&amp;L'!$A$7:$BK$69,13,0)</f>
        <v>38.85</v>
      </c>
      <c r="F132" s="124">
        <f>VLOOKUP(B132,'B&amp;L'!$A$7:$BK$69,18,0)</f>
        <v>41.53</v>
      </c>
      <c r="G132" s="124">
        <f>VLOOKUP(B132,'B&amp;L'!$A$7:$BK$69,23,0)</f>
        <v>41.48</v>
      </c>
      <c r="H132" s="124">
        <f>VLOOKUP(B132,'B&amp;L'!$A$7:$BK$69,28,0)</f>
        <v>41.46</v>
      </c>
      <c r="I132" s="124">
        <f>VLOOKUP(B132,'B&amp;L'!$A$7:$BK$69,33,0)</f>
        <v>41.16</v>
      </c>
      <c r="J132" s="124">
        <f>VLOOKUP(B132,'B&amp;L'!$A$7:$BK$69,38,0)</f>
        <v>41.14</v>
      </c>
      <c r="K132" s="124">
        <f>VLOOKUP(B132,'B&amp;L'!$A$7:$BK$69,43,0)</f>
        <v>41.14</v>
      </c>
      <c r="L132" s="124">
        <f>VLOOKUP(B132,'B&amp;L'!$A$7:$BK$69,48,0)</f>
        <v>41.25</v>
      </c>
      <c r="M132" s="124">
        <f>VLOOKUP(B132,'B&amp;L'!$A$7:$BK$69,53,0)</f>
        <v>41.24</v>
      </c>
      <c r="N132" s="124">
        <f>VLOOKUP(B132,'B&amp;L'!$A$7:$BK$69,58,0)</f>
        <v>41.14</v>
      </c>
      <c r="O132" s="124">
        <f>VLOOKUP(B132,'B&amp;L'!$A$7:$BK$69,63,0)</f>
        <v>41.25</v>
      </c>
    </row>
    <row r="133" spans="1:15">
      <c r="A133" s="304" t="s">
        <v>166</v>
      </c>
      <c r="B133" s="305"/>
      <c r="C133" s="74" t="s">
        <v>156</v>
      </c>
      <c r="D133" s="205">
        <f t="shared" ref="D133:O133" si="12">D7+D11+D13+D15+D17+D19+D21+D23+D25+D27+D29+D31+D33+D35+D37+D39+D45+D49+D51+D53+D57+D59+D61+D65+D71+D73+D75+D77+D79+D81+D83+D85+D87+D93+D97+D101+D103+D105+D107+D109+D111+D113+D115+D117+D125+D127+D129+D131+D67+D69+D63+D119+D121+D123+D47+D9+D99+D89+D95+D91+D55+D41+D43</f>
        <v>208679.16</v>
      </c>
      <c r="E133" s="205">
        <f t="shared" si="12"/>
        <v>196991.77000000005</v>
      </c>
      <c r="F133" s="205">
        <f t="shared" si="12"/>
        <v>196991.77000000002</v>
      </c>
      <c r="G133" s="205">
        <f t="shared" si="12"/>
        <v>196991.77000000002</v>
      </c>
      <c r="H133" s="205">
        <f t="shared" si="12"/>
        <v>196991.77000000002</v>
      </c>
      <c r="I133" s="205">
        <f t="shared" si="12"/>
        <v>196991.77000000002</v>
      </c>
      <c r="J133" s="205">
        <f t="shared" si="12"/>
        <v>196991.76999999996</v>
      </c>
      <c r="K133" s="205">
        <f t="shared" si="12"/>
        <v>196991.77000000002</v>
      </c>
      <c r="L133" s="205">
        <f t="shared" si="12"/>
        <v>196991.77000000014</v>
      </c>
      <c r="M133" s="205">
        <f t="shared" si="12"/>
        <v>196991.77</v>
      </c>
      <c r="N133" s="205">
        <f t="shared" si="12"/>
        <v>196991.77000000008</v>
      </c>
      <c r="O133" s="205">
        <f t="shared" si="12"/>
        <v>196991.76999999996</v>
      </c>
    </row>
    <row r="134" spans="1:15">
      <c r="A134" s="306"/>
      <c r="B134" s="307"/>
      <c r="C134" s="82" t="s">
        <v>157</v>
      </c>
      <c r="D134" s="206">
        <f t="shared" ref="D134:O134" si="13">D8+D12+D14+D16+D18+D20+D22+D24+D26+D28+D30+D32+D34+D36+D38+D40+D46+D50+D52+D54+D58+D60+D62+D66+D72+D74+D76+D78+D80+D82+D84+D86+D88+D94+D98+D102+D104+D106+D108+D110+D112+D114+D116+D118+D126+D128+D130+D132+D68+D70+D64+D120+D122+D124+D48+D10+D100+D90+D96+D92+D56+D44+D42</f>
        <v>26458.43</v>
      </c>
      <c r="E134" s="206">
        <f t="shared" si="13"/>
        <v>25669.570000000003</v>
      </c>
      <c r="F134" s="206">
        <f t="shared" si="13"/>
        <v>25669.569999999992</v>
      </c>
      <c r="G134" s="206">
        <f t="shared" si="13"/>
        <v>25669.570000000003</v>
      </c>
      <c r="H134" s="206">
        <f t="shared" si="13"/>
        <v>25669.57</v>
      </c>
      <c r="I134" s="206">
        <f t="shared" si="13"/>
        <v>25669.57</v>
      </c>
      <c r="J134" s="206">
        <f t="shared" si="13"/>
        <v>25669.570000000007</v>
      </c>
      <c r="K134" s="206">
        <f t="shared" si="13"/>
        <v>25669.570000000003</v>
      </c>
      <c r="L134" s="206">
        <f t="shared" si="13"/>
        <v>25669.570000000003</v>
      </c>
      <c r="M134" s="206">
        <f t="shared" si="13"/>
        <v>25669.569999999989</v>
      </c>
      <c r="N134" s="206">
        <f t="shared" si="13"/>
        <v>25669.569999999989</v>
      </c>
      <c r="O134" s="206">
        <f t="shared" si="13"/>
        <v>25669.569999999992</v>
      </c>
    </row>
    <row r="135" spans="1:15">
      <c r="D135" s="128">
        <f>D133-'B&amp;L'!G5</f>
        <v>0</v>
      </c>
      <c r="E135" s="128">
        <f>E133-'B&amp;L'!L5</f>
        <v>0</v>
      </c>
      <c r="F135" s="128">
        <f>F133-'B&amp;L'!Q5</f>
        <v>0</v>
      </c>
      <c r="G135" s="128">
        <f>G133-'B&amp;L'!V5</f>
        <v>0</v>
      </c>
      <c r="H135" s="128">
        <f>H133-'B&amp;L'!AA5</f>
        <v>0</v>
      </c>
      <c r="I135" s="140">
        <f>I133-'B&amp;L'!AF5</f>
        <v>0</v>
      </c>
      <c r="J135" s="140">
        <f>J133-'B&amp;L'!AK5</f>
        <v>0</v>
      </c>
      <c r="K135" s="140">
        <f>K133-'B&amp;L'!AP5</f>
        <v>0</v>
      </c>
      <c r="L135" s="140">
        <f>L133-'B&amp;L'!AU5</f>
        <v>0</v>
      </c>
      <c r="M135" s="140">
        <f>M133-'B&amp;L'!AZ5</f>
        <v>0</v>
      </c>
      <c r="N135" s="140">
        <f>N133-'B&amp;L'!BE5</f>
        <v>0</v>
      </c>
      <c r="O135" s="140">
        <f>O133-'B&amp;L'!BJ5</f>
        <v>0</v>
      </c>
    </row>
    <row r="136" spans="1:15">
      <c r="D136" s="128">
        <f>D134-'B&amp;L'!H5</f>
        <v>0</v>
      </c>
      <c r="E136" s="128">
        <f>E134-'B&amp;L'!M5</f>
        <v>0</v>
      </c>
      <c r="F136" s="128">
        <f>F134-'B&amp;L'!R5</f>
        <v>0</v>
      </c>
      <c r="G136" s="128">
        <f>G134-'B&amp;L'!W5</f>
        <v>0</v>
      </c>
      <c r="H136" s="128">
        <f>H134-'B&amp;L'!AB5</f>
        <v>0</v>
      </c>
      <c r="I136" s="140">
        <f>I134-'B&amp;L'!AG5</f>
        <v>0</v>
      </c>
      <c r="J136" s="140">
        <f>J134-'B&amp;L'!AL5</f>
        <v>0</v>
      </c>
      <c r="K136" s="140">
        <f>K134-'B&amp;L'!AQ5</f>
        <v>0</v>
      </c>
      <c r="L136" s="140">
        <f>L134-'B&amp;L'!AV5</f>
        <v>0</v>
      </c>
      <c r="M136" s="140">
        <f>M134-'B&amp;L'!BA5</f>
        <v>0</v>
      </c>
      <c r="N136" s="140">
        <f>N134-'B&amp;L'!BF5</f>
        <v>0</v>
      </c>
      <c r="O136" s="140">
        <f>O134-'B&amp;L'!BK5</f>
        <v>0</v>
      </c>
    </row>
  </sheetData>
  <autoFilter ref="B2:B136" xr:uid="{59C6D45D-2F5C-48FA-A7D7-CAB92A5ECE5B}"/>
  <mergeCells count="66">
    <mergeCell ref="A55:A56"/>
    <mergeCell ref="A25:A26"/>
    <mergeCell ref="A3:B3"/>
    <mergeCell ref="A4:B5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53:A54"/>
    <mergeCell ref="A27:A28"/>
    <mergeCell ref="A29:A30"/>
    <mergeCell ref="A31:A32"/>
    <mergeCell ref="A33:A34"/>
    <mergeCell ref="A35:A36"/>
    <mergeCell ref="A41:A42"/>
    <mergeCell ref="A43:A44"/>
    <mergeCell ref="A45:A46"/>
    <mergeCell ref="A47:A48"/>
    <mergeCell ref="A49:A50"/>
    <mergeCell ref="A51:A52"/>
    <mergeCell ref="A37:A38"/>
    <mergeCell ref="A39:A40"/>
    <mergeCell ref="A81:A82"/>
    <mergeCell ref="A57:A58"/>
    <mergeCell ref="A59:A60"/>
    <mergeCell ref="A61:A62"/>
    <mergeCell ref="A63:A64"/>
    <mergeCell ref="A67:A68"/>
    <mergeCell ref="A65:A66"/>
    <mergeCell ref="A71:A72"/>
    <mergeCell ref="A73:A74"/>
    <mergeCell ref="A75:A76"/>
    <mergeCell ref="A77:A78"/>
    <mergeCell ref="A79:A80"/>
    <mergeCell ref="A69:A70"/>
    <mergeCell ref="A109:A110"/>
    <mergeCell ref="A83:A84"/>
    <mergeCell ref="A85:A86"/>
    <mergeCell ref="A87:A88"/>
    <mergeCell ref="A89:A90"/>
    <mergeCell ref="A93:A94"/>
    <mergeCell ref="A97:A98"/>
    <mergeCell ref="A99:A100"/>
    <mergeCell ref="A101:A102"/>
    <mergeCell ref="A103:A104"/>
    <mergeCell ref="A105:A106"/>
    <mergeCell ref="A107:A108"/>
    <mergeCell ref="A91:A92"/>
    <mergeCell ref="A95:A96"/>
    <mergeCell ref="A133:B134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</mergeCells>
  <pageMargins left="0.15748031496062992" right="0.15748031496062992" top="0.19685039370078741" bottom="0.19685039370078741" header="0.51181102362204722" footer="0.51181102362204722"/>
  <pageSetup paperSize="9" scale="5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1B0F-5EC6-44B0-8C7F-29340FCF75F9}">
  <sheetPr codeName="Sheet3">
    <pageSetUpPr fitToPage="1"/>
  </sheetPr>
  <dimension ref="A1:O137"/>
  <sheetViews>
    <sheetView zoomScaleNormal="100" workbookViewId="0">
      <pane xSplit="2" ySplit="3" topLeftCell="C130" activePane="bottomRight" state="frozen"/>
      <selection pane="topRight" activeCell="C1" sqref="C1"/>
      <selection pane="bottomLeft" activeCell="A8" sqref="A8"/>
      <selection pane="bottomRight" activeCell="J137" sqref="J137"/>
    </sheetView>
  </sheetViews>
  <sheetFormatPr defaultColWidth="9" defaultRowHeight="14"/>
  <cols>
    <col min="1" max="1" width="4.08984375" style="71" customWidth="1"/>
    <col min="2" max="2" width="23" style="71" bestFit="1" customWidth="1"/>
    <col min="3" max="3" width="19.36328125" style="71" customWidth="1"/>
    <col min="4" max="15" width="19.08984375" style="71" customWidth="1"/>
    <col min="16" max="259" width="9" style="71"/>
    <col min="260" max="260" width="4.08984375" style="71" customWidth="1"/>
    <col min="261" max="261" width="23" style="71" bestFit="1" customWidth="1"/>
    <col min="262" max="262" width="19.36328125" style="71" customWidth="1"/>
    <col min="263" max="267" width="19.08984375" style="71" customWidth="1"/>
    <col min="268" max="268" width="19.453125" style="71" customWidth="1"/>
    <col min="269" max="515" width="9" style="71"/>
    <col min="516" max="516" width="4.08984375" style="71" customWidth="1"/>
    <col min="517" max="517" width="23" style="71" bestFit="1" customWidth="1"/>
    <col min="518" max="518" width="19.36328125" style="71" customWidth="1"/>
    <col min="519" max="523" width="19.08984375" style="71" customWidth="1"/>
    <col min="524" max="524" width="19.453125" style="71" customWidth="1"/>
    <col min="525" max="771" width="9" style="71"/>
    <col min="772" max="772" width="4.08984375" style="71" customWidth="1"/>
    <col min="773" max="773" width="23" style="71" bestFit="1" customWidth="1"/>
    <col min="774" max="774" width="19.36328125" style="71" customWidth="1"/>
    <col min="775" max="779" width="19.08984375" style="71" customWidth="1"/>
    <col min="780" max="780" width="19.453125" style="71" customWidth="1"/>
    <col min="781" max="1027" width="9" style="71"/>
    <col min="1028" max="1028" width="4.08984375" style="71" customWidth="1"/>
    <col min="1029" max="1029" width="23" style="71" bestFit="1" customWidth="1"/>
    <col min="1030" max="1030" width="19.36328125" style="71" customWidth="1"/>
    <col min="1031" max="1035" width="19.08984375" style="71" customWidth="1"/>
    <col min="1036" max="1036" width="19.453125" style="71" customWidth="1"/>
    <col min="1037" max="1283" width="9" style="71"/>
    <col min="1284" max="1284" width="4.08984375" style="71" customWidth="1"/>
    <col min="1285" max="1285" width="23" style="71" bestFit="1" customWidth="1"/>
    <col min="1286" max="1286" width="19.36328125" style="71" customWidth="1"/>
    <col min="1287" max="1291" width="19.08984375" style="71" customWidth="1"/>
    <col min="1292" max="1292" width="19.453125" style="71" customWidth="1"/>
    <col min="1293" max="1539" width="9" style="71"/>
    <col min="1540" max="1540" width="4.08984375" style="71" customWidth="1"/>
    <col min="1541" max="1541" width="23" style="71" bestFit="1" customWidth="1"/>
    <col min="1542" max="1542" width="19.36328125" style="71" customWidth="1"/>
    <col min="1543" max="1547" width="19.08984375" style="71" customWidth="1"/>
    <col min="1548" max="1548" width="19.453125" style="71" customWidth="1"/>
    <col min="1549" max="1795" width="9" style="71"/>
    <col min="1796" max="1796" width="4.08984375" style="71" customWidth="1"/>
    <col min="1797" max="1797" width="23" style="71" bestFit="1" customWidth="1"/>
    <col min="1798" max="1798" width="19.36328125" style="71" customWidth="1"/>
    <col min="1799" max="1803" width="19.08984375" style="71" customWidth="1"/>
    <col min="1804" max="1804" width="19.453125" style="71" customWidth="1"/>
    <col min="1805" max="2051" width="9" style="71"/>
    <col min="2052" max="2052" width="4.08984375" style="71" customWidth="1"/>
    <col min="2053" max="2053" width="23" style="71" bestFit="1" customWidth="1"/>
    <col min="2054" max="2054" width="19.36328125" style="71" customWidth="1"/>
    <col min="2055" max="2059" width="19.08984375" style="71" customWidth="1"/>
    <col min="2060" max="2060" width="19.453125" style="71" customWidth="1"/>
    <col min="2061" max="2307" width="9" style="71"/>
    <col min="2308" max="2308" width="4.08984375" style="71" customWidth="1"/>
    <col min="2309" max="2309" width="23" style="71" bestFit="1" customWidth="1"/>
    <col min="2310" max="2310" width="19.36328125" style="71" customWidth="1"/>
    <col min="2311" max="2315" width="19.08984375" style="71" customWidth="1"/>
    <col min="2316" max="2316" width="19.453125" style="71" customWidth="1"/>
    <col min="2317" max="2563" width="9" style="71"/>
    <col min="2564" max="2564" width="4.08984375" style="71" customWidth="1"/>
    <col min="2565" max="2565" width="23" style="71" bestFit="1" customWidth="1"/>
    <col min="2566" max="2566" width="19.36328125" style="71" customWidth="1"/>
    <col min="2567" max="2571" width="19.08984375" style="71" customWidth="1"/>
    <col min="2572" max="2572" width="19.453125" style="71" customWidth="1"/>
    <col min="2573" max="2819" width="9" style="71"/>
    <col min="2820" max="2820" width="4.08984375" style="71" customWidth="1"/>
    <col min="2821" max="2821" width="23" style="71" bestFit="1" customWidth="1"/>
    <col min="2822" max="2822" width="19.36328125" style="71" customWidth="1"/>
    <col min="2823" max="2827" width="19.08984375" style="71" customWidth="1"/>
    <col min="2828" max="2828" width="19.453125" style="71" customWidth="1"/>
    <col min="2829" max="3075" width="9" style="71"/>
    <col min="3076" max="3076" width="4.08984375" style="71" customWidth="1"/>
    <col min="3077" max="3077" width="23" style="71" bestFit="1" customWidth="1"/>
    <col min="3078" max="3078" width="19.36328125" style="71" customWidth="1"/>
    <col min="3079" max="3083" width="19.08984375" style="71" customWidth="1"/>
    <col min="3084" max="3084" width="19.453125" style="71" customWidth="1"/>
    <col min="3085" max="3331" width="9" style="71"/>
    <col min="3332" max="3332" width="4.08984375" style="71" customWidth="1"/>
    <col min="3333" max="3333" width="23" style="71" bestFit="1" customWidth="1"/>
    <col min="3334" max="3334" width="19.36328125" style="71" customWidth="1"/>
    <col min="3335" max="3339" width="19.08984375" style="71" customWidth="1"/>
    <col min="3340" max="3340" width="19.453125" style="71" customWidth="1"/>
    <col min="3341" max="3587" width="9" style="71"/>
    <col min="3588" max="3588" width="4.08984375" style="71" customWidth="1"/>
    <col min="3589" max="3589" width="23" style="71" bestFit="1" customWidth="1"/>
    <col min="3590" max="3590" width="19.36328125" style="71" customWidth="1"/>
    <col min="3591" max="3595" width="19.08984375" style="71" customWidth="1"/>
    <col min="3596" max="3596" width="19.453125" style="71" customWidth="1"/>
    <col min="3597" max="3843" width="9" style="71"/>
    <col min="3844" max="3844" width="4.08984375" style="71" customWidth="1"/>
    <col min="3845" max="3845" width="23" style="71" bestFit="1" customWidth="1"/>
    <col min="3846" max="3846" width="19.36328125" style="71" customWidth="1"/>
    <col min="3847" max="3851" width="19.08984375" style="71" customWidth="1"/>
    <col min="3852" max="3852" width="19.453125" style="71" customWidth="1"/>
    <col min="3853" max="4099" width="9" style="71"/>
    <col min="4100" max="4100" width="4.08984375" style="71" customWidth="1"/>
    <col min="4101" max="4101" width="23" style="71" bestFit="1" customWidth="1"/>
    <col min="4102" max="4102" width="19.36328125" style="71" customWidth="1"/>
    <col min="4103" max="4107" width="19.08984375" style="71" customWidth="1"/>
    <col min="4108" max="4108" width="19.453125" style="71" customWidth="1"/>
    <col min="4109" max="4355" width="9" style="71"/>
    <col min="4356" max="4356" width="4.08984375" style="71" customWidth="1"/>
    <col min="4357" max="4357" width="23" style="71" bestFit="1" customWidth="1"/>
    <col min="4358" max="4358" width="19.36328125" style="71" customWidth="1"/>
    <col min="4359" max="4363" width="19.08984375" style="71" customWidth="1"/>
    <col min="4364" max="4364" width="19.453125" style="71" customWidth="1"/>
    <col min="4365" max="4611" width="9" style="71"/>
    <col min="4612" max="4612" width="4.08984375" style="71" customWidth="1"/>
    <col min="4613" max="4613" width="23" style="71" bestFit="1" customWidth="1"/>
    <col min="4614" max="4614" width="19.36328125" style="71" customWidth="1"/>
    <col min="4615" max="4619" width="19.08984375" style="71" customWidth="1"/>
    <col min="4620" max="4620" width="19.453125" style="71" customWidth="1"/>
    <col min="4621" max="4867" width="9" style="71"/>
    <col min="4868" max="4868" width="4.08984375" style="71" customWidth="1"/>
    <col min="4869" max="4869" width="23" style="71" bestFit="1" customWidth="1"/>
    <col min="4870" max="4870" width="19.36328125" style="71" customWidth="1"/>
    <col min="4871" max="4875" width="19.08984375" style="71" customWidth="1"/>
    <col min="4876" max="4876" width="19.453125" style="71" customWidth="1"/>
    <col min="4877" max="5123" width="9" style="71"/>
    <col min="5124" max="5124" width="4.08984375" style="71" customWidth="1"/>
    <col min="5125" max="5125" width="23" style="71" bestFit="1" customWidth="1"/>
    <col min="5126" max="5126" width="19.36328125" style="71" customWidth="1"/>
    <col min="5127" max="5131" width="19.08984375" style="71" customWidth="1"/>
    <col min="5132" max="5132" width="19.453125" style="71" customWidth="1"/>
    <col min="5133" max="5379" width="9" style="71"/>
    <col min="5380" max="5380" width="4.08984375" style="71" customWidth="1"/>
    <col min="5381" max="5381" width="23" style="71" bestFit="1" customWidth="1"/>
    <col min="5382" max="5382" width="19.36328125" style="71" customWidth="1"/>
    <col min="5383" max="5387" width="19.08984375" style="71" customWidth="1"/>
    <col min="5388" max="5388" width="19.453125" style="71" customWidth="1"/>
    <col min="5389" max="5635" width="9" style="71"/>
    <col min="5636" max="5636" width="4.08984375" style="71" customWidth="1"/>
    <col min="5637" max="5637" width="23" style="71" bestFit="1" customWidth="1"/>
    <col min="5638" max="5638" width="19.36328125" style="71" customWidth="1"/>
    <col min="5639" max="5643" width="19.08984375" style="71" customWidth="1"/>
    <col min="5644" max="5644" width="19.453125" style="71" customWidth="1"/>
    <col min="5645" max="5891" width="9" style="71"/>
    <col min="5892" max="5892" width="4.08984375" style="71" customWidth="1"/>
    <col min="5893" max="5893" width="23" style="71" bestFit="1" customWidth="1"/>
    <col min="5894" max="5894" width="19.36328125" style="71" customWidth="1"/>
    <col min="5895" max="5899" width="19.08984375" style="71" customWidth="1"/>
    <col min="5900" max="5900" width="19.453125" style="71" customWidth="1"/>
    <col min="5901" max="6147" width="9" style="71"/>
    <col min="6148" max="6148" width="4.08984375" style="71" customWidth="1"/>
    <col min="6149" max="6149" width="23" style="71" bestFit="1" customWidth="1"/>
    <col min="6150" max="6150" width="19.36328125" style="71" customWidth="1"/>
    <col min="6151" max="6155" width="19.08984375" style="71" customWidth="1"/>
    <col min="6156" max="6156" width="19.453125" style="71" customWidth="1"/>
    <col min="6157" max="6403" width="9" style="71"/>
    <col min="6404" max="6404" width="4.08984375" style="71" customWidth="1"/>
    <col min="6405" max="6405" width="23" style="71" bestFit="1" customWidth="1"/>
    <col min="6406" max="6406" width="19.36328125" style="71" customWidth="1"/>
    <col min="6407" max="6411" width="19.08984375" style="71" customWidth="1"/>
    <col min="6412" max="6412" width="19.453125" style="71" customWidth="1"/>
    <col min="6413" max="6659" width="9" style="71"/>
    <col min="6660" max="6660" width="4.08984375" style="71" customWidth="1"/>
    <col min="6661" max="6661" width="23" style="71" bestFit="1" customWidth="1"/>
    <col min="6662" max="6662" width="19.36328125" style="71" customWidth="1"/>
    <col min="6663" max="6667" width="19.08984375" style="71" customWidth="1"/>
    <col min="6668" max="6668" width="19.453125" style="71" customWidth="1"/>
    <col min="6669" max="6915" width="9" style="71"/>
    <col min="6916" max="6916" width="4.08984375" style="71" customWidth="1"/>
    <col min="6917" max="6917" width="23" style="71" bestFit="1" customWidth="1"/>
    <col min="6918" max="6918" width="19.36328125" style="71" customWidth="1"/>
    <col min="6919" max="6923" width="19.08984375" style="71" customWidth="1"/>
    <col min="6924" max="6924" width="19.453125" style="71" customWidth="1"/>
    <col min="6925" max="7171" width="9" style="71"/>
    <col min="7172" max="7172" width="4.08984375" style="71" customWidth="1"/>
    <col min="7173" max="7173" width="23" style="71" bestFit="1" customWidth="1"/>
    <col min="7174" max="7174" width="19.36328125" style="71" customWidth="1"/>
    <col min="7175" max="7179" width="19.08984375" style="71" customWidth="1"/>
    <col min="7180" max="7180" width="19.453125" style="71" customWidth="1"/>
    <col min="7181" max="7427" width="9" style="71"/>
    <col min="7428" max="7428" width="4.08984375" style="71" customWidth="1"/>
    <col min="7429" max="7429" width="23" style="71" bestFit="1" customWidth="1"/>
    <col min="7430" max="7430" width="19.36328125" style="71" customWidth="1"/>
    <col min="7431" max="7435" width="19.08984375" style="71" customWidth="1"/>
    <col min="7436" max="7436" width="19.453125" style="71" customWidth="1"/>
    <col min="7437" max="7683" width="9" style="71"/>
    <col min="7684" max="7684" width="4.08984375" style="71" customWidth="1"/>
    <col min="7685" max="7685" width="23" style="71" bestFit="1" customWidth="1"/>
    <col min="7686" max="7686" width="19.36328125" style="71" customWidth="1"/>
    <col min="7687" max="7691" width="19.08984375" style="71" customWidth="1"/>
    <col min="7692" max="7692" width="19.453125" style="71" customWidth="1"/>
    <col min="7693" max="7939" width="9" style="71"/>
    <col min="7940" max="7940" width="4.08984375" style="71" customWidth="1"/>
    <col min="7941" max="7941" width="23" style="71" bestFit="1" customWidth="1"/>
    <col min="7942" max="7942" width="19.36328125" style="71" customWidth="1"/>
    <col min="7943" max="7947" width="19.08984375" style="71" customWidth="1"/>
    <col min="7948" max="7948" width="19.453125" style="71" customWidth="1"/>
    <col min="7949" max="8195" width="9" style="71"/>
    <col min="8196" max="8196" width="4.08984375" style="71" customWidth="1"/>
    <col min="8197" max="8197" width="23" style="71" bestFit="1" customWidth="1"/>
    <col min="8198" max="8198" width="19.36328125" style="71" customWidth="1"/>
    <col min="8199" max="8203" width="19.08984375" style="71" customWidth="1"/>
    <col min="8204" max="8204" width="19.453125" style="71" customWidth="1"/>
    <col min="8205" max="8451" width="9" style="71"/>
    <col min="8452" max="8452" width="4.08984375" style="71" customWidth="1"/>
    <col min="8453" max="8453" width="23" style="71" bestFit="1" customWidth="1"/>
    <col min="8454" max="8454" width="19.36328125" style="71" customWidth="1"/>
    <col min="8455" max="8459" width="19.08984375" style="71" customWidth="1"/>
    <col min="8460" max="8460" width="19.453125" style="71" customWidth="1"/>
    <col min="8461" max="8707" width="9" style="71"/>
    <col min="8708" max="8708" width="4.08984375" style="71" customWidth="1"/>
    <col min="8709" max="8709" width="23" style="71" bestFit="1" customWidth="1"/>
    <col min="8710" max="8710" width="19.36328125" style="71" customWidth="1"/>
    <col min="8711" max="8715" width="19.08984375" style="71" customWidth="1"/>
    <col min="8716" max="8716" width="19.453125" style="71" customWidth="1"/>
    <col min="8717" max="8963" width="9" style="71"/>
    <col min="8964" max="8964" width="4.08984375" style="71" customWidth="1"/>
    <col min="8965" max="8965" width="23" style="71" bestFit="1" customWidth="1"/>
    <col min="8966" max="8966" width="19.36328125" style="71" customWidth="1"/>
    <col min="8967" max="8971" width="19.08984375" style="71" customWidth="1"/>
    <col min="8972" max="8972" width="19.453125" style="71" customWidth="1"/>
    <col min="8973" max="9219" width="9" style="71"/>
    <col min="9220" max="9220" width="4.08984375" style="71" customWidth="1"/>
    <col min="9221" max="9221" width="23" style="71" bestFit="1" customWidth="1"/>
    <col min="9222" max="9222" width="19.36328125" style="71" customWidth="1"/>
    <col min="9223" max="9227" width="19.08984375" style="71" customWidth="1"/>
    <col min="9228" max="9228" width="19.453125" style="71" customWidth="1"/>
    <col min="9229" max="9475" width="9" style="71"/>
    <col min="9476" max="9476" width="4.08984375" style="71" customWidth="1"/>
    <col min="9477" max="9477" width="23" style="71" bestFit="1" customWidth="1"/>
    <col min="9478" max="9478" width="19.36328125" style="71" customWidth="1"/>
    <col min="9479" max="9483" width="19.08984375" style="71" customWidth="1"/>
    <col min="9484" max="9484" width="19.453125" style="71" customWidth="1"/>
    <col min="9485" max="9731" width="9" style="71"/>
    <col min="9732" max="9732" width="4.08984375" style="71" customWidth="1"/>
    <col min="9733" max="9733" width="23" style="71" bestFit="1" customWidth="1"/>
    <col min="9734" max="9734" width="19.36328125" style="71" customWidth="1"/>
    <col min="9735" max="9739" width="19.08984375" style="71" customWidth="1"/>
    <col min="9740" max="9740" width="19.453125" style="71" customWidth="1"/>
    <col min="9741" max="9987" width="9" style="71"/>
    <col min="9988" max="9988" width="4.08984375" style="71" customWidth="1"/>
    <col min="9989" max="9989" width="23" style="71" bestFit="1" customWidth="1"/>
    <col min="9990" max="9990" width="19.36328125" style="71" customWidth="1"/>
    <col min="9991" max="9995" width="19.08984375" style="71" customWidth="1"/>
    <col min="9996" max="9996" width="19.453125" style="71" customWidth="1"/>
    <col min="9997" max="10243" width="9" style="71"/>
    <col min="10244" max="10244" width="4.08984375" style="71" customWidth="1"/>
    <col min="10245" max="10245" width="23" style="71" bestFit="1" customWidth="1"/>
    <col min="10246" max="10246" width="19.36328125" style="71" customWidth="1"/>
    <col min="10247" max="10251" width="19.08984375" style="71" customWidth="1"/>
    <col min="10252" max="10252" width="19.453125" style="71" customWidth="1"/>
    <col min="10253" max="10499" width="9" style="71"/>
    <col min="10500" max="10500" width="4.08984375" style="71" customWidth="1"/>
    <col min="10501" max="10501" width="23" style="71" bestFit="1" customWidth="1"/>
    <col min="10502" max="10502" width="19.36328125" style="71" customWidth="1"/>
    <col min="10503" max="10507" width="19.08984375" style="71" customWidth="1"/>
    <col min="10508" max="10508" width="19.453125" style="71" customWidth="1"/>
    <col min="10509" max="10755" width="9" style="71"/>
    <col min="10756" max="10756" width="4.08984375" style="71" customWidth="1"/>
    <col min="10757" max="10757" width="23" style="71" bestFit="1" customWidth="1"/>
    <col min="10758" max="10758" width="19.36328125" style="71" customWidth="1"/>
    <col min="10759" max="10763" width="19.08984375" style="71" customWidth="1"/>
    <col min="10764" max="10764" width="19.453125" style="71" customWidth="1"/>
    <col min="10765" max="11011" width="9" style="71"/>
    <col min="11012" max="11012" width="4.08984375" style="71" customWidth="1"/>
    <col min="11013" max="11013" width="23" style="71" bestFit="1" customWidth="1"/>
    <col min="11014" max="11014" width="19.36328125" style="71" customWidth="1"/>
    <col min="11015" max="11019" width="19.08984375" style="71" customWidth="1"/>
    <col min="11020" max="11020" width="19.453125" style="71" customWidth="1"/>
    <col min="11021" max="11267" width="9" style="71"/>
    <col min="11268" max="11268" width="4.08984375" style="71" customWidth="1"/>
    <col min="11269" max="11269" width="23" style="71" bestFit="1" customWidth="1"/>
    <col min="11270" max="11270" width="19.36328125" style="71" customWidth="1"/>
    <col min="11271" max="11275" width="19.08984375" style="71" customWidth="1"/>
    <col min="11276" max="11276" width="19.453125" style="71" customWidth="1"/>
    <col min="11277" max="11523" width="9" style="71"/>
    <col min="11524" max="11524" width="4.08984375" style="71" customWidth="1"/>
    <col min="11525" max="11525" width="23" style="71" bestFit="1" customWidth="1"/>
    <col min="11526" max="11526" width="19.36328125" style="71" customWidth="1"/>
    <col min="11527" max="11531" width="19.08984375" style="71" customWidth="1"/>
    <col min="11532" max="11532" width="19.453125" style="71" customWidth="1"/>
    <col min="11533" max="11779" width="9" style="71"/>
    <col min="11780" max="11780" width="4.08984375" style="71" customWidth="1"/>
    <col min="11781" max="11781" width="23" style="71" bestFit="1" customWidth="1"/>
    <col min="11782" max="11782" width="19.36328125" style="71" customWidth="1"/>
    <col min="11783" max="11787" width="19.08984375" style="71" customWidth="1"/>
    <col min="11788" max="11788" width="19.453125" style="71" customWidth="1"/>
    <col min="11789" max="12035" width="9" style="71"/>
    <col min="12036" max="12036" width="4.08984375" style="71" customWidth="1"/>
    <col min="12037" max="12037" width="23" style="71" bestFit="1" customWidth="1"/>
    <col min="12038" max="12038" width="19.36328125" style="71" customWidth="1"/>
    <col min="12039" max="12043" width="19.08984375" style="71" customWidth="1"/>
    <col min="12044" max="12044" width="19.453125" style="71" customWidth="1"/>
    <col min="12045" max="12291" width="9" style="71"/>
    <col min="12292" max="12292" width="4.08984375" style="71" customWidth="1"/>
    <col min="12293" max="12293" width="23" style="71" bestFit="1" customWidth="1"/>
    <col min="12294" max="12294" width="19.36328125" style="71" customWidth="1"/>
    <col min="12295" max="12299" width="19.08984375" style="71" customWidth="1"/>
    <col min="12300" max="12300" width="19.453125" style="71" customWidth="1"/>
    <col min="12301" max="12547" width="9" style="71"/>
    <col min="12548" max="12548" width="4.08984375" style="71" customWidth="1"/>
    <col min="12549" max="12549" width="23" style="71" bestFit="1" customWidth="1"/>
    <col min="12550" max="12550" width="19.36328125" style="71" customWidth="1"/>
    <col min="12551" max="12555" width="19.08984375" style="71" customWidth="1"/>
    <col min="12556" max="12556" width="19.453125" style="71" customWidth="1"/>
    <col min="12557" max="12803" width="9" style="71"/>
    <col min="12804" max="12804" width="4.08984375" style="71" customWidth="1"/>
    <col min="12805" max="12805" width="23" style="71" bestFit="1" customWidth="1"/>
    <col min="12806" max="12806" width="19.36328125" style="71" customWidth="1"/>
    <col min="12807" max="12811" width="19.08984375" style="71" customWidth="1"/>
    <col min="12812" max="12812" width="19.453125" style="71" customWidth="1"/>
    <col min="12813" max="13059" width="9" style="71"/>
    <col min="13060" max="13060" width="4.08984375" style="71" customWidth="1"/>
    <col min="13061" max="13061" width="23" style="71" bestFit="1" customWidth="1"/>
    <col min="13062" max="13062" width="19.36328125" style="71" customWidth="1"/>
    <col min="13063" max="13067" width="19.08984375" style="71" customWidth="1"/>
    <col min="13068" max="13068" width="19.453125" style="71" customWidth="1"/>
    <col min="13069" max="13315" width="9" style="71"/>
    <col min="13316" max="13316" width="4.08984375" style="71" customWidth="1"/>
    <col min="13317" max="13317" width="23" style="71" bestFit="1" customWidth="1"/>
    <col min="13318" max="13318" width="19.36328125" style="71" customWidth="1"/>
    <col min="13319" max="13323" width="19.08984375" style="71" customWidth="1"/>
    <col min="13324" max="13324" width="19.453125" style="71" customWidth="1"/>
    <col min="13325" max="13571" width="9" style="71"/>
    <col min="13572" max="13572" width="4.08984375" style="71" customWidth="1"/>
    <col min="13573" max="13573" width="23" style="71" bestFit="1" customWidth="1"/>
    <col min="13574" max="13574" width="19.36328125" style="71" customWidth="1"/>
    <col min="13575" max="13579" width="19.08984375" style="71" customWidth="1"/>
    <col min="13580" max="13580" width="19.453125" style="71" customWidth="1"/>
    <col min="13581" max="13827" width="9" style="71"/>
    <col min="13828" max="13828" width="4.08984375" style="71" customWidth="1"/>
    <col min="13829" max="13829" width="23" style="71" bestFit="1" customWidth="1"/>
    <col min="13830" max="13830" width="19.36328125" style="71" customWidth="1"/>
    <col min="13831" max="13835" width="19.08984375" style="71" customWidth="1"/>
    <col min="13836" max="13836" width="19.453125" style="71" customWidth="1"/>
    <col min="13837" max="14083" width="9" style="71"/>
    <col min="14084" max="14084" width="4.08984375" style="71" customWidth="1"/>
    <col min="14085" max="14085" width="23" style="71" bestFit="1" customWidth="1"/>
    <col min="14086" max="14086" width="19.36328125" style="71" customWidth="1"/>
    <col min="14087" max="14091" width="19.08984375" style="71" customWidth="1"/>
    <col min="14092" max="14092" width="19.453125" style="71" customWidth="1"/>
    <col min="14093" max="14339" width="9" style="71"/>
    <col min="14340" max="14340" width="4.08984375" style="71" customWidth="1"/>
    <col min="14341" max="14341" width="23" style="71" bestFit="1" customWidth="1"/>
    <col min="14342" max="14342" width="19.36328125" style="71" customWidth="1"/>
    <col min="14343" max="14347" width="19.08984375" style="71" customWidth="1"/>
    <col min="14348" max="14348" width="19.453125" style="71" customWidth="1"/>
    <col min="14349" max="14595" width="9" style="71"/>
    <col min="14596" max="14596" width="4.08984375" style="71" customWidth="1"/>
    <col min="14597" max="14597" width="23" style="71" bestFit="1" customWidth="1"/>
    <col min="14598" max="14598" width="19.36328125" style="71" customWidth="1"/>
    <col min="14599" max="14603" width="19.08984375" style="71" customWidth="1"/>
    <col min="14604" max="14604" width="19.453125" style="71" customWidth="1"/>
    <col min="14605" max="14851" width="9" style="71"/>
    <col min="14852" max="14852" width="4.08984375" style="71" customWidth="1"/>
    <col min="14853" max="14853" width="23" style="71" bestFit="1" customWidth="1"/>
    <col min="14854" max="14854" width="19.36328125" style="71" customWidth="1"/>
    <col min="14855" max="14859" width="19.08984375" style="71" customWidth="1"/>
    <col min="14860" max="14860" width="19.453125" style="71" customWidth="1"/>
    <col min="14861" max="15107" width="9" style="71"/>
    <col min="15108" max="15108" width="4.08984375" style="71" customWidth="1"/>
    <col min="15109" max="15109" width="23" style="71" bestFit="1" customWidth="1"/>
    <col min="15110" max="15110" width="19.36328125" style="71" customWidth="1"/>
    <col min="15111" max="15115" width="19.08984375" style="71" customWidth="1"/>
    <col min="15116" max="15116" width="19.453125" style="71" customWidth="1"/>
    <col min="15117" max="15363" width="9" style="71"/>
    <col min="15364" max="15364" width="4.08984375" style="71" customWidth="1"/>
    <col min="15365" max="15365" width="23" style="71" bestFit="1" customWidth="1"/>
    <col min="15366" max="15366" width="19.36328125" style="71" customWidth="1"/>
    <col min="15367" max="15371" width="19.08984375" style="71" customWidth="1"/>
    <col min="15372" max="15372" width="19.453125" style="71" customWidth="1"/>
    <col min="15373" max="15619" width="9" style="71"/>
    <col min="15620" max="15620" width="4.08984375" style="71" customWidth="1"/>
    <col min="15621" max="15621" width="23" style="71" bestFit="1" customWidth="1"/>
    <col min="15622" max="15622" width="19.36328125" style="71" customWidth="1"/>
    <col min="15623" max="15627" width="19.08984375" style="71" customWidth="1"/>
    <col min="15628" max="15628" width="19.453125" style="71" customWidth="1"/>
    <col min="15629" max="15875" width="9" style="71"/>
    <col min="15876" max="15876" width="4.08984375" style="71" customWidth="1"/>
    <col min="15877" max="15877" width="23" style="71" bestFit="1" customWidth="1"/>
    <col min="15878" max="15878" width="19.36328125" style="71" customWidth="1"/>
    <col min="15879" max="15883" width="19.08984375" style="71" customWidth="1"/>
    <col min="15884" max="15884" width="19.453125" style="71" customWidth="1"/>
    <col min="15885" max="16131" width="9" style="71"/>
    <col min="16132" max="16132" width="4.08984375" style="71" customWidth="1"/>
    <col min="16133" max="16133" width="23" style="71" bestFit="1" customWidth="1"/>
    <col min="16134" max="16134" width="19.36328125" style="71" customWidth="1"/>
    <col min="16135" max="16139" width="19.08984375" style="71" customWidth="1"/>
    <col min="16140" max="16140" width="19.453125" style="71" customWidth="1"/>
    <col min="16141" max="16384" width="9" style="71"/>
  </cols>
  <sheetData>
    <row r="1" spans="1:15" s="69" customFormat="1" ht="16.899999999999999" customHeight="1">
      <c r="A1" s="129"/>
      <c r="E1" s="130"/>
      <c r="F1" s="70"/>
      <c r="G1" s="70"/>
      <c r="H1" s="70"/>
      <c r="I1" s="130"/>
      <c r="J1" s="70"/>
      <c r="K1" s="70"/>
      <c r="L1" s="70"/>
      <c r="M1" s="70"/>
      <c r="N1" s="70"/>
      <c r="O1" s="70"/>
    </row>
    <row r="2" spans="1:15" s="69" customFormat="1" ht="16.899999999999999" customHeight="1">
      <c r="A2" s="129"/>
      <c r="E2" s="130"/>
      <c r="F2" s="131" t="s">
        <v>129</v>
      </c>
      <c r="G2" s="70"/>
      <c r="H2" s="70"/>
      <c r="I2" s="130"/>
      <c r="J2" s="131" t="s">
        <v>129</v>
      </c>
      <c r="K2" s="70"/>
      <c r="L2" s="70"/>
      <c r="M2" s="131" t="s">
        <v>129</v>
      </c>
      <c r="N2" s="70"/>
      <c r="O2" s="70"/>
    </row>
    <row r="3" spans="1:15" s="116" customFormat="1" ht="22.9" customHeight="1">
      <c r="A3" s="157"/>
      <c r="B3" s="158" t="s">
        <v>153</v>
      </c>
      <c r="C3" s="158" t="s">
        <v>173</v>
      </c>
      <c r="D3" s="217">
        <v>46113</v>
      </c>
      <c r="E3" s="218">
        <f>IF(MONTH(D3)=12,EDATE(D3,1),EDATE(D3,1))</f>
        <v>46143</v>
      </c>
      <c r="F3" s="217">
        <f>IF(MONTH(E3)=12,EDATE(E3,1),EDATE(E3,1))</f>
        <v>46174</v>
      </c>
      <c r="G3" s="218">
        <f t="shared" ref="G3:H3" si="0">IF(MONTH(F3)=12,EDATE(F3,1),EDATE(F3,1))</f>
        <v>46204</v>
      </c>
      <c r="H3" s="217">
        <f t="shared" si="0"/>
        <v>46235</v>
      </c>
      <c r="I3" s="218">
        <f>IF(MONTH(H3)=12,EDATE(H3,1),EDATE(H3,1))</f>
        <v>46266</v>
      </c>
      <c r="J3" s="217">
        <f>IF(MONTH(I3)=12,EDATE(I3,1),EDATE(I3,1))</f>
        <v>46296</v>
      </c>
      <c r="K3" s="218">
        <f t="shared" ref="K3" si="1">IF(MONTH(J3)=12,EDATE(J3,1),EDATE(J3,1))</f>
        <v>46327</v>
      </c>
      <c r="L3" s="217">
        <f t="shared" ref="L3" si="2">IF(MONTH(K3)=12,EDATE(K3,1),EDATE(K3,1))</f>
        <v>46357</v>
      </c>
      <c r="M3" s="218">
        <f>IF(MONTH(L3)=12,EDATE(L3,1),EDATE(L3,1))</f>
        <v>46388</v>
      </c>
      <c r="N3" s="217">
        <f t="shared" ref="N3" si="3">IF(MONTH(M3)=12,EDATE(M3,1),EDATE(M3,1))</f>
        <v>46419</v>
      </c>
      <c r="O3" s="218">
        <f>IF(MONTH(N3)=12,EDATE(N3,1),EDATE(N3,1))</f>
        <v>46447</v>
      </c>
    </row>
    <row r="4" spans="1:15" s="116" customFormat="1" ht="15" customHeight="1">
      <c r="A4" s="313"/>
      <c r="B4" s="315" t="s">
        <v>155</v>
      </c>
      <c r="C4" s="159" t="s">
        <v>169</v>
      </c>
      <c r="D4" s="75">
        <f>D132</f>
        <v>2389607989</v>
      </c>
      <c r="E4" s="75">
        <f t="shared" ref="E4:H4" si="4">E132</f>
        <v>2341505283</v>
      </c>
      <c r="F4" s="75">
        <f t="shared" si="4"/>
        <v>2662705192</v>
      </c>
      <c r="G4" s="75">
        <f t="shared" si="4"/>
        <v>2890515886</v>
      </c>
      <c r="H4" s="75">
        <f t="shared" si="4"/>
        <v>3008051207</v>
      </c>
      <c r="I4" s="75">
        <f t="shared" ref="I4:L4" si="5">I132</f>
        <v>2667455145</v>
      </c>
      <c r="J4" s="75">
        <f t="shared" si="5"/>
        <v>2398897481</v>
      </c>
      <c r="K4" s="75">
        <f t="shared" si="5"/>
        <v>2375784802</v>
      </c>
      <c r="L4" s="75">
        <f t="shared" si="5"/>
        <v>2072229236</v>
      </c>
      <c r="M4" s="75">
        <f t="shared" ref="M4:O4" si="6">M132</f>
        <v>2211942062</v>
      </c>
      <c r="N4" s="75">
        <f t="shared" si="6"/>
        <v>2285715841</v>
      </c>
      <c r="O4" s="75">
        <f t="shared" si="6"/>
        <v>2249588940</v>
      </c>
    </row>
    <row r="5" spans="1:15" s="116" customFormat="1" ht="15" customHeight="1" thickBot="1">
      <c r="A5" s="314"/>
      <c r="B5" s="316"/>
      <c r="C5" s="160" t="s">
        <v>170</v>
      </c>
      <c r="D5" s="77">
        <f>D133</f>
        <v>168200000</v>
      </c>
      <c r="E5" s="77">
        <f t="shared" ref="E5:H5" si="7">E133</f>
        <v>178572000</v>
      </c>
      <c r="F5" s="77">
        <f t="shared" si="7"/>
        <v>194100000</v>
      </c>
      <c r="G5" s="77">
        <f t="shared" si="7"/>
        <v>297620000</v>
      </c>
      <c r="H5" s="77">
        <f t="shared" si="7"/>
        <v>271740000</v>
      </c>
      <c r="I5" s="77">
        <f t="shared" ref="I5:L5" si="8">I133</f>
        <v>270446000</v>
      </c>
      <c r="J5" s="77">
        <f t="shared" si="8"/>
        <v>251036000</v>
      </c>
      <c r="K5" s="77">
        <f t="shared" si="8"/>
        <v>194100000</v>
      </c>
      <c r="L5" s="77">
        <f t="shared" si="8"/>
        <v>192806000</v>
      </c>
      <c r="M5" s="77">
        <f t="shared" ref="M5:O5" si="9">M133</f>
        <v>181160000</v>
      </c>
      <c r="N5" s="77">
        <f t="shared" si="9"/>
        <v>168220000</v>
      </c>
      <c r="O5" s="77">
        <f t="shared" si="9"/>
        <v>194100000</v>
      </c>
    </row>
    <row r="6" spans="1:15" ht="15" customHeight="1" thickTop="1">
      <c r="A6" s="308">
        <v>1</v>
      </c>
      <c r="B6" s="80" t="s">
        <v>89</v>
      </c>
      <c r="C6" s="74" t="s">
        <v>171</v>
      </c>
      <c r="D6" s="76">
        <f>VLOOKUP(B7,'E&amp;W'!$A$7:$P$69,7,0)</f>
        <v>217557171</v>
      </c>
      <c r="E6" s="76">
        <f>VLOOKUP(B7,'E&amp;W'!$A$7:$P$69,9,0)</f>
        <v>195546170</v>
      </c>
      <c r="F6" s="76">
        <f>VLOOKUP(B7,'E&amp;W'!$A$7:$P$69,11,0)</f>
        <v>216687222</v>
      </c>
      <c r="G6" s="76">
        <f>VLOOKUP(B7,'E&amp;W'!$A$7:$P$69,13,0)</f>
        <v>233958853</v>
      </c>
      <c r="H6" s="76">
        <f>VLOOKUP(B7,'E&amp;W'!$A$7:$P$69,15,0)</f>
        <v>239911156</v>
      </c>
      <c r="I6" s="76">
        <f>VLOOKUP(B7,'E&amp;W'!$A$7:$AD$69,17,0)</f>
        <v>224873351</v>
      </c>
      <c r="J6" s="76">
        <f>VLOOKUP(B7,'E&amp;W'!$A$7:$AD$69,19,0)</f>
        <v>198924667</v>
      </c>
      <c r="K6" s="76">
        <f>VLOOKUP(B7,'E&amp;W'!$A$7:$AD$69,21,0)</f>
        <v>192388076</v>
      </c>
      <c r="L6" s="76">
        <f>VLOOKUP(B7,'E&amp;W'!$A$7:$AD$69,23,0)</f>
        <v>172751094</v>
      </c>
      <c r="M6" s="76">
        <f>VLOOKUP(B7,'E&amp;W'!$A$7:$AD$69,25,0)</f>
        <v>223709328</v>
      </c>
      <c r="N6" s="76">
        <f>VLOOKUP(B7,'E&amp;W'!$A$7:$AD$69,27,0)</f>
        <v>222227053</v>
      </c>
      <c r="O6" s="76">
        <f>VLOOKUP(B7,'E&amp;W'!$A$7:$AD$69,29,0)</f>
        <v>205654872</v>
      </c>
    </row>
    <row r="7" spans="1:15" ht="15" customHeight="1">
      <c r="A7" s="308"/>
      <c r="B7" s="81">
        <v>1412000004</v>
      </c>
      <c r="C7" s="82" t="s">
        <v>172</v>
      </c>
      <c r="D7" s="83">
        <f>VLOOKUP(B7,'E&amp;W'!$A$7:$P$69,8,0)</f>
        <v>29926417</v>
      </c>
      <c r="E7" s="83">
        <f>VLOOKUP(B7,'E&amp;W'!$A$7:$P$69,10,0)</f>
        <v>32802865</v>
      </c>
      <c r="F7" s="83">
        <f>VLOOKUP(B7,'E&amp;W'!$A$7:$P$69,12,0)</f>
        <v>34177076</v>
      </c>
      <c r="G7" s="83">
        <f>VLOOKUP(B7,'E&amp;W'!$A$7:$P$69,14,0)</f>
        <v>54224430</v>
      </c>
      <c r="H7" s="83">
        <f>VLOOKUP(B7,'E&amp;W'!$A$7:$P$69,16,0)</f>
        <v>52664895</v>
      </c>
      <c r="I7" s="83">
        <f>VLOOKUP(B7,'E&amp;W'!$A$7:$AD$69,18,0)</f>
        <v>53168533</v>
      </c>
      <c r="J7" s="83">
        <f>VLOOKUP(B7,'E&amp;W'!$A$7:$AD$69,20,0)</f>
        <v>45556371</v>
      </c>
      <c r="K7" s="83">
        <f>VLOOKUP(B7,'E&amp;W'!$A$7:$AD$69,22,0)</f>
        <v>37212998</v>
      </c>
      <c r="L7" s="83">
        <f>VLOOKUP(B7,'E&amp;W'!$A$7:$AD$69,24,0)</f>
        <v>37043358</v>
      </c>
      <c r="M7" s="83">
        <f>VLOOKUP(B7,'E&amp;W'!$A$7:$AD$69,26,0)</f>
        <v>35623360</v>
      </c>
      <c r="N7" s="83">
        <f>VLOOKUP(B7,'E&amp;W'!$A$7:$AD$69,28,0)</f>
        <v>39263637</v>
      </c>
      <c r="O7" s="83">
        <f>VLOOKUP(B7,'E&amp;W'!$A$7:$AD$69,30,0)</f>
        <v>36261546</v>
      </c>
    </row>
    <row r="8" spans="1:15" s="86" customFormat="1" ht="15" customHeight="1">
      <c r="A8" s="309">
        <v>2</v>
      </c>
      <c r="B8" s="84" t="s">
        <v>85</v>
      </c>
      <c r="C8" s="85" t="s">
        <v>171</v>
      </c>
      <c r="D8" s="76">
        <f>VLOOKUP(B9,'E&amp;W'!$A$7:$P$69,7,0)</f>
        <v>145656656</v>
      </c>
      <c r="E8" s="76">
        <f>VLOOKUP(B9,'E&amp;W'!$A$7:$P$69,9,0)</f>
        <v>125903402</v>
      </c>
      <c r="F8" s="76">
        <f>VLOOKUP(B9,'E&amp;W'!$A$7:$P$69,11,0)</f>
        <v>138835031</v>
      </c>
      <c r="G8" s="76">
        <f>VLOOKUP(B9,'E&amp;W'!$A$7:$P$69,13,0)</f>
        <v>147155898</v>
      </c>
      <c r="H8" s="76">
        <f>VLOOKUP(B9,'E&amp;W'!$A$7:$P$69,15,0)</f>
        <v>153790158</v>
      </c>
      <c r="I8" s="76">
        <f>VLOOKUP(B9,'E&amp;W'!$A$7:$AD$69,17,0)</f>
        <v>134570184</v>
      </c>
      <c r="J8" s="76">
        <f>VLOOKUP(B9,'E&amp;W'!$A$7:$AD$69,19,0)</f>
        <v>120271965</v>
      </c>
      <c r="K8" s="76">
        <f>VLOOKUP(B9,'E&amp;W'!$A$7:$AD$69,21,0)</f>
        <v>129168668</v>
      </c>
      <c r="L8" s="76">
        <f>VLOOKUP(B9,'E&amp;W'!$A$7:$AD$69,23,0)</f>
        <v>137246842</v>
      </c>
      <c r="M8" s="76">
        <f>VLOOKUP(B9,'E&amp;W'!$A$7:$AD$69,25,0)</f>
        <v>160269338</v>
      </c>
      <c r="N8" s="76">
        <f>VLOOKUP(B9,'E&amp;W'!$A$7:$AD$69,27,0)</f>
        <v>159326628</v>
      </c>
      <c r="O8" s="76">
        <f>VLOOKUP(B9,'E&amp;W'!$A$7:$AD$69,29,0)</f>
        <v>160608544</v>
      </c>
    </row>
    <row r="9" spans="1:15" s="86" customFormat="1" ht="15" customHeight="1">
      <c r="A9" s="309"/>
      <c r="B9" s="87">
        <v>1412000005</v>
      </c>
      <c r="C9" s="88" t="s">
        <v>172</v>
      </c>
      <c r="D9" s="83">
        <f>VLOOKUP(B9,'E&amp;W'!$A$7:$P$69,8,0)</f>
        <v>43433030</v>
      </c>
      <c r="E9" s="83">
        <f>VLOOKUP(B9,'E&amp;W'!$A$7:$P$69,10,0)</f>
        <v>45693141</v>
      </c>
      <c r="F9" s="83">
        <f>VLOOKUP(B9,'E&amp;W'!$A$7:$P$69,12,0)</f>
        <v>47491343</v>
      </c>
      <c r="G9" s="83">
        <f>VLOOKUP(B9,'E&amp;W'!$A$7:$P$69,14,0)</f>
        <v>77356625</v>
      </c>
      <c r="H9" s="83">
        <f>VLOOKUP(B9,'E&amp;W'!$A$7:$P$69,16,0)</f>
        <v>72527343</v>
      </c>
      <c r="I9" s="83">
        <f>VLOOKUP(B9,'E&amp;W'!$A$7:$AD$69,18,0)</f>
        <v>70569143</v>
      </c>
      <c r="J9" s="83">
        <f>VLOOKUP(B9,'E&amp;W'!$A$7:$AD$69,20,0)</f>
        <v>64322875</v>
      </c>
      <c r="K9" s="83">
        <f>VLOOKUP(B9,'E&amp;W'!$A$7:$AD$69,22,0)</f>
        <v>49503841</v>
      </c>
      <c r="L9" s="83">
        <f>VLOOKUP(B9,'E&amp;W'!$A$7:$AD$69,24,0)</f>
        <v>48410454</v>
      </c>
      <c r="M9" s="83">
        <f>VLOOKUP(B9,'E&amp;W'!$A$7:$AD$69,26,0)</f>
        <v>47706660</v>
      </c>
      <c r="N9" s="83">
        <f>VLOOKUP(B9,'E&amp;W'!$A$7:$AD$69,28,0)</f>
        <v>48929597</v>
      </c>
      <c r="O9" s="83">
        <f>VLOOKUP(B9,'E&amp;W'!$A$7:$AD$69,30,0)</f>
        <v>49893202</v>
      </c>
    </row>
    <row r="10" spans="1:15" ht="15" customHeight="1">
      <c r="A10" s="310">
        <v>3</v>
      </c>
      <c r="B10" s="89" t="s">
        <v>91</v>
      </c>
      <c r="C10" s="74" t="s">
        <v>171</v>
      </c>
      <c r="D10" s="76">
        <f>VLOOKUP(B11,'E&amp;W'!$A$7:$P$69,7,0)</f>
        <v>1006022</v>
      </c>
      <c r="E10" s="76">
        <f>VLOOKUP(B11,'E&amp;W'!$A$7:$P$69,9,0)</f>
        <v>790110</v>
      </c>
      <c r="F10" s="76">
        <f>VLOOKUP(B11,'E&amp;W'!$A$7:$P$69,11,0)</f>
        <v>727029</v>
      </c>
      <c r="G10" s="76">
        <f>VLOOKUP(B11,'E&amp;W'!$A$7:$P$69,13,0)</f>
        <v>769064</v>
      </c>
      <c r="H10" s="76">
        <f>VLOOKUP(B11,'E&amp;W'!$A$7:$P$69,15,0)</f>
        <v>810421</v>
      </c>
      <c r="I10" s="76">
        <f>VLOOKUP(B11,'E&amp;W'!$A$7:$AD$69,17,0)</f>
        <v>764773</v>
      </c>
      <c r="J10" s="76">
        <f>VLOOKUP(B11,'E&amp;W'!$A$7:$AD$69,19,0)</f>
        <v>692555</v>
      </c>
      <c r="K10" s="76">
        <f>VLOOKUP(B11,'E&amp;W'!$A$7:$AD$69,21,0)</f>
        <v>755120</v>
      </c>
      <c r="L10" s="76">
        <f>VLOOKUP(B11,'E&amp;W'!$A$7:$AD$69,23,0)</f>
        <v>911565</v>
      </c>
      <c r="M10" s="76">
        <f>VLOOKUP(B11,'E&amp;W'!$A$7:$AD$69,25,0)</f>
        <v>1096034</v>
      </c>
      <c r="N10" s="76">
        <f>VLOOKUP(B11,'E&amp;W'!$A$7:$AD$69,27,0)</f>
        <v>1112669</v>
      </c>
      <c r="O10" s="76">
        <f>VLOOKUP(B11,'E&amp;W'!$A$7:$AD$69,29,0)</f>
        <v>1045056</v>
      </c>
    </row>
    <row r="11" spans="1:15" ht="15" customHeight="1">
      <c r="A11" s="311"/>
      <c r="B11" s="90">
        <v>1412000062</v>
      </c>
      <c r="C11" s="82" t="s">
        <v>172</v>
      </c>
      <c r="D11" s="83">
        <f>VLOOKUP(B11,'E&amp;W'!$A$7:$P$69,8,0)</f>
        <v>882785</v>
      </c>
      <c r="E11" s="83">
        <f>VLOOKUP(B11,'E&amp;W'!$A$7:$P$69,10,0)</f>
        <v>961961</v>
      </c>
      <c r="F11" s="83">
        <f>VLOOKUP(B11,'E&amp;W'!$A$7:$P$69,12,0)</f>
        <v>1137971</v>
      </c>
      <c r="G11" s="83">
        <f>VLOOKUP(B11,'E&amp;W'!$A$7:$P$69,14,0)</f>
        <v>1602693</v>
      </c>
      <c r="H11" s="83">
        <f>VLOOKUP(B11,'E&amp;W'!$A$7:$P$69,16,0)</f>
        <v>1357343</v>
      </c>
      <c r="I11" s="83">
        <f>VLOOKUP(B11,'E&amp;W'!$A$7:$AD$69,18,0)</f>
        <v>1381001</v>
      </c>
      <c r="J11" s="83">
        <f>VLOOKUP(B11,'E&amp;W'!$A$7:$AD$69,20,0)</f>
        <v>1359892</v>
      </c>
      <c r="K11" s="83">
        <f>VLOOKUP(B11,'E&amp;W'!$A$7:$AD$69,22,0)</f>
        <v>1021400</v>
      </c>
      <c r="L11" s="83">
        <f>VLOOKUP(B11,'E&amp;W'!$A$7:$AD$69,24,0)</f>
        <v>1002979</v>
      </c>
      <c r="M11" s="83">
        <f>VLOOKUP(B11,'E&amp;W'!$A$7:$AD$69,26,0)</f>
        <v>895059</v>
      </c>
      <c r="N11" s="83">
        <f>VLOOKUP(B11,'E&amp;W'!$A$7:$AD$69,28,0)</f>
        <v>692074</v>
      </c>
      <c r="O11" s="83">
        <f>VLOOKUP(B11,'E&amp;W'!$A$7:$AD$69,30,0)</f>
        <v>1007265</v>
      </c>
    </row>
    <row r="12" spans="1:15" ht="15" customHeight="1">
      <c r="A12" s="308">
        <v>4</v>
      </c>
      <c r="B12" s="89" t="s">
        <v>57</v>
      </c>
      <c r="C12" s="74" t="s">
        <v>171</v>
      </c>
      <c r="D12" s="76">
        <f>VLOOKUP(B13,'E&amp;W'!$A$7:$P$69,7,0)</f>
        <v>8660259</v>
      </c>
      <c r="E12" s="76">
        <f>VLOOKUP(B13,'E&amp;W'!$A$7:$P$69,9,0)</f>
        <v>9557487</v>
      </c>
      <c r="F12" s="76">
        <f>VLOOKUP(B13,'E&amp;W'!$A$7:$P$69,11,0)</f>
        <v>15187227</v>
      </c>
      <c r="G12" s="76">
        <f>VLOOKUP(B13,'E&amp;W'!$A$7:$P$69,13,0)</f>
        <v>16298009</v>
      </c>
      <c r="H12" s="76">
        <f>VLOOKUP(B13,'E&amp;W'!$A$7:$P$69,15,0)</f>
        <v>17082503</v>
      </c>
      <c r="I12" s="76">
        <f>VLOOKUP(B13,'E&amp;W'!$A$7:$AD$69,17,0)</f>
        <v>13771437</v>
      </c>
      <c r="J12" s="76">
        <f>VLOOKUP(B13,'E&amp;W'!$A$7:$AD$69,19,0)</f>
        <v>11786489</v>
      </c>
      <c r="K12" s="76">
        <f>VLOOKUP(B13,'E&amp;W'!$A$7:$AD$69,21,0)</f>
        <v>11009413</v>
      </c>
      <c r="L12" s="76">
        <f>VLOOKUP(B13,'E&amp;W'!$A$7:$AD$69,23,0)</f>
        <v>8888349</v>
      </c>
      <c r="M12" s="76">
        <f>VLOOKUP(B13,'E&amp;W'!$A$7:$AD$69,25,0)</f>
        <v>7686171</v>
      </c>
      <c r="N12" s="76">
        <f>VLOOKUP(B13,'E&amp;W'!$A$7:$AD$69,27,0)</f>
        <v>6901292</v>
      </c>
      <c r="O12" s="76">
        <f>VLOOKUP(B13,'E&amp;W'!$A$7:$AD$69,29,0)</f>
        <v>6900755</v>
      </c>
    </row>
    <row r="13" spans="1:15" ht="15" customHeight="1">
      <c r="A13" s="308"/>
      <c r="B13" s="90">
        <v>1412000066</v>
      </c>
      <c r="C13" s="82" t="s">
        <v>172</v>
      </c>
      <c r="D13" s="83">
        <f>VLOOKUP(B13,'E&amp;W'!$A$7:$P$69,8,0)</f>
        <v>0</v>
      </c>
      <c r="E13" s="83">
        <f>VLOOKUP(B13,'E&amp;W'!$A$7:$P$69,10,0)</f>
        <v>0</v>
      </c>
      <c r="F13" s="83">
        <f>VLOOKUP(B13,'E&amp;W'!$A$7:$P$69,12,0)</f>
        <v>0</v>
      </c>
      <c r="G13" s="83">
        <f>VLOOKUP(B13,'E&amp;W'!$A$7:$P$69,14,0)</f>
        <v>0</v>
      </c>
      <c r="H13" s="83">
        <f>VLOOKUP(B13,'E&amp;W'!$A$7:$P$69,16,0)</f>
        <v>0</v>
      </c>
      <c r="I13" s="83">
        <f>VLOOKUP(B13,'E&amp;W'!$A$7:$AD$69,18,0)</f>
        <v>0</v>
      </c>
      <c r="J13" s="83">
        <f>VLOOKUP(B13,'E&amp;W'!$A$7:$AD$69,20,0)</f>
        <v>0</v>
      </c>
      <c r="K13" s="83">
        <f>VLOOKUP(B13,'E&amp;W'!$A$7:$AD$69,22,0)</f>
        <v>0</v>
      </c>
      <c r="L13" s="83">
        <f>VLOOKUP(B13,'E&amp;W'!$A$7:$AD$69,24,0)</f>
        <v>0</v>
      </c>
      <c r="M13" s="83">
        <f>VLOOKUP(B13,'E&amp;W'!$A$7:$AD$69,26,0)</f>
        <v>0</v>
      </c>
      <c r="N13" s="83">
        <f>VLOOKUP(B13,'E&amp;W'!$A$7:$AD$69,28,0)</f>
        <v>0</v>
      </c>
      <c r="O13" s="83">
        <f>VLOOKUP(B13,'E&amp;W'!$A$7:$AD$69,30,0)</f>
        <v>0</v>
      </c>
    </row>
    <row r="14" spans="1:15" ht="15" customHeight="1">
      <c r="A14" s="310">
        <v>5</v>
      </c>
      <c r="B14" s="89" t="s">
        <v>87</v>
      </c>
      <c r="C14" s="74" t="s">
        <v>171</v>
      </c>
      <c r="D14" s="76">
        <f>VLOOKUP(B15,'E&amp;W'!$A$7:$P$69,7,0)</f>
        <v>207136304</v>
      </c>
      <c r="E14" s="76">
        <f>VLOOKUP(B15,'E&amp;W'!$A$7:$P$69,9,0)</f>
        <v>205029766</v>
      </c>
      <c r="F14" s="76">
        <f>VLOOKUP(B15,'E&amp;W'!$A$7:$P$69,11,0)</f>
        <v>233767130</v>
      </c>
      <c r="G14" s="76">
        <f>VLOOKUP(B15,'E&amp;W'!$A$7:$P$69,13,0)</f>
        <v>244248329</v>
      </c>
      <c r="H14" s="76">
        <f>VLOOKUP(B15,'E&amp;W'!$A$7:$P$69,15,0)</f>
        <v>263505172</v>
      </c>
      <c r="I14" s="76">
        <f>VLOOKUP(B15,'E&amp;W'!$A$7:$AD$69,17,0)</f>
        <v>229805941</v>
      </c>
      <c r="J14" s="76">
        <f>VLOOKUP(B15,'E&amp;W'!$A$7:$AD$69,19,0)</f>
        <v>202139773</v>
      </c>
      <c r="K14" s="76">
        <f>VLOOKUP(B15,'E&amp;W'!$A$7:$AD$69,21,0)</f>
        <v>205410262</v>
      </c>
      <c r="L14" s="76">
        <f>VLOOKUP(B15,'E&amp;W'!$A$7:$AD$69,23,0)</f>
        <v>211450047</v>
      </c>
      <c r="M14" s="76">
        <f>VLOOKUP(B15,'E&amp;W'!$A$7:$AD$69,25,0)</f>
        <v>193612701</v>
      </c>
      <c r="N14" s="76">
        <f>VLOOKUP(B15,'E&amp;W'!$A$7:$AD$69,27,0)</f>
        <v>214847892</v>
      </c>
      <c r="O14" s="76">
        <f>VLOOKUP(B15,'E&amp;W'!$A$7:$AD$69,29,0)</f>
        <v>219383962</v>
      </c>
    </row>
    <row r="15" spans="1:15" ht="15" customHeight="1">
      <c r="A15" s="311"/>
      <c r="B15" s="90">
        <v>1412000081</v>
      </c>
      <c r="C15" s="82" t="s">
        <v>172</v>
      </c>
      <c r="D15" s="83">
        <f>VLOOKUP(B15,'E&amp;W'!$A$7:$P$69,8,0)</f>
        <v>37282960</v>
      </c>
      <c r="E15" s="83">
        <f>VLOOKUP(B15,'E&amp;W'!$A$7:$P$69,10,0)</f>
        <v>37067558</v>
      </c>
      <c r="F15" s="83">
        <f>VLOOKUP(B15,'E&amp;W'!$A$7:$P$69,12,0)</f>
        <v>37628923</v>
      </c>
      <c r="G15" s="83">
        <f>VLOOKUP(B15,'E&amp;W'!$A$7:$P$69,14,0)</f>
        <v>59833854</v>
      </c>
      <c r="H15" s="83">
        <f>VLOOKUP(B15,'E&amp;W'!$A$7:$P$69,16,0)</f>
        <v>56329720</v>
      </c>
      <c r="I15" s="83">
        <f>VLOOKUP(B15,'E&amp;W'!$A$7:$AD$69,18,0)</f>
        <v>54595567</v>
      </c>
      <c r="J15" s="83">
        <f>VLOOKUP(B15,'E&amp;W'!$A$7:$AD$69,20,0)</f>
        <v>49409397</v>
      </c>
      <c r="K15" s="83">
        <f>VLOOKUP(B15,'E&amp;W'!$A$7:$AD$69,22,0)</f>
        <v>38472724</v>
      </c>
      <c r="L15" s="83">
        <f>VLOOKUP(B15,'E&amp;W'!$A$7:$AD$69,24,0)</f>
        <v>39751402</v>
      </c>
      <c r="M15" s="83">
        <f>VLOOKUP(B15,'E&amp;W'!$A$7:$AD$69,26,0)</f>
        <v>37592490</v>
      </c>
      <c r="N15" s="83">
        <f>VLOOKUP(B15,'E&amp;W'!$A$7:$AD$69,28,0)</f>
        <v>33427150</v>
      </c>
      <c r="O15" s="83">
        <f>VLOOKUP(B15,'E&amp;W'!$A$7:$AD$69,30,0)</f>
        <v>40290607</v>
      </c>
    </row>
    <row r="16" spans="1:15" ht="15" customHeight="1">
      <c r="A16" s="308">
        <v>6</v>
      </c>
      <c r="B16" s="91" t="s">
        <v>121</v>
      </c>
      <c r="C16" s="92" t="s">
        <v>171</v>
      </c>
      <c r="D16" s="93">
        <f>VLOOKUP(B17,'E&amp;W'!$A$7:$P$69,7,0)</f>
        <v>14605850</v>
      </c>
      <c r="E16" s="93">
        <f>VLOOKUP(B17,'E&amp;W'!$A$7:$P$69,9,0)</f>
        <v>15646037</v>
      </c>
      <c r="F16" s="93">
        <f>VLOOKUP(B17,'E&amp;W'!$A$7:$P$69,11,0)</f>
        <v>19795032</v>
      </c>
      <c r="G16" s="93">
        <f>VLOOKUP(B17,'E&amp;W'!$A$7:$P$69,13,0)</f>
        <v>24881242</v>
      </c>
      <c r="H16" s="93">
        <f>VLOOKUP(B17,'E&amp;W'!$A$7:$P$69,15,0)</f>
        <v>24880553</v>
      </c>
      <c r="I16" s="93">
        <f>VLOOKUP(B17,'E&amp;W'!$A$7:$AD$69,17,0)</f>
        <v>25397094</v>
      </c>
      <c r="J16" s="93">
        <f>VLOOKUP(B17,'E&amp;W'!$A$7:$AD$69,19,0)</f>
        <v>18957781</v>
      </c>
      <c r="K16" s="93">
        <f>VLOOKUP(B17,'E&amp;W'!$A$7:$AD$69,21,0)</f>
        <v>16413961</v>
      </c>
      <c r="L16" s="93">
        <f>VLOOKUP(B17,'E&amp;W'!$A$7:$AD$69,23,0)</f>
        <v>13441741</v>
      </c>
      <c r="M16" s="93">
        <f>VLOOKUP(B17,'E&amp;W'!$A$7:$AD$69,25,0)</f>
        <v>11448663</v>
      </c>
      <c r="N16" s="93">
        <f>VLOOKUP(B17,'E&amp;W'!$A$7:$AD$69,27,0)</f>
        <v>11803536</v>
      </c>
      <c r="O16" s="93">
        <f>VLOOKUP(B17,'E&amp;W'!$A$7:$AD$69,29,0)</f>
        <v>12715104</v>
      </c>
    </row>
    <row r="17" spans="1:15" ht="15" customHeight="1">
      <c r="A17" s="308"/>
      <c r="B17" s="94">
        <v>1412000098</v>
      </c>
      <c r="C17" s="95" t="s">
        <v>172</v>
      </c>
      <c r="D17" s="96">
        <f>VLOOKUP(B17,'E&amp;W'!$A$7:$P$69,8,0)</f>
        <v>1441882</v>
      </c>
      <c r="E17" s="96">
        <f>VLOOKUP(B17,'E&amp;W'!$A$7:$P$69,10,0)</f>
        <v>1571203</v>
      </c>
      <c r="F17" s="96">
        <f>VLOOKUP(B17,'E&amp;W'!$A$7:$P$69,12,0)</f>
        <v>1858687</v>
      </c>
      <c r="G17" s="96">
        <f>VLOOKUP(B17,'E&amp;W'!$A$7:$P$69,14,0)</f>
        <v>2617731</v>
      </c>
      <c r="H17" s="96">
        <f>VLOOKUP(B17,'E&amp;W'!$A$7:$P$69,16,0)</f>
        <v>2216993</v>
      </c>
      <c r="I17" s="96">
        <f>VLOOKUP(B17,'E&amp;W'!$A$7:$AD$69,18,0)</f>
        <v>2255635</v>
      </c>
      <c r="J17" s="96">
        <f>VLOOKUP(B17,'E&amp;W'!$A$7:$AD$69,20,0)</f>
        <v>2221156</v>
      </c>
      <c r="K17" s="96">
        <f>VLOOKUP(B17,'E&amp;W'!$A$7:$AD$69,22,0)</f>
        <v>1668286</v>
      </c>
      <c r="L17" s="96">
        <f>VLOOKUP(B17,'E&amp;W'!$A$7:$AD$69,24,0)</f>
        <v>1638199</v>
      </c>
      <c r="M17" s="96">
        <f>VLOOKUP(B17,'E&amp;W'!$A$7:$AD$69,26,0)</f>
        <v>1372424</v>
      </c>
      <c r="N17" s="96">
        <f>VLOOKUP(B17,'E&amp;W'!$A$7:$AD$69,28,0)</f>
        <v>1061179</v>
      </c>
      <c r="O17" s="96">
        <f>VLOOKUP(B17,'E&amp;W'!$A$7:$AD$69,30,0)</f>
        <v>1544473</v>
      </c>
    </row>
    <row r="18" spans="1:15" ht="15" customHeight="1">
      <c r="A18" s="309">
        <v>7</v>
      </c>
      <c r="B18" s="89" t="s">
        <v>138</v>
      </c>
      <c r="C18" s="74" t="s">
        <v>171</v>
      </c>
      <c r="D18" s="76">
        <f>VLOOKUP(B19,'E&amp;W'!$A$7:$P$69,7,0)</f>
        <v>163038029</v>
      </c>
      <c r="E18" s="76">
        <f>VLOOKUP(B19,'E&amp;W'!$A$7:$P$69,9,0)</f>
        <v>164531905</v>
      </c>
      <c r="F18" s="76">
        <f>VLOOKUP(B19,'E&amp;W'!$A$7:$P$69,11,0)</f>
        <v>177726638</v>
      </c>
      <c r="G18" s="76">
        <f>VLOOKUP(B19,'E&amp;W'!$A$7:$P$69,13,0)</f>
        <v>199855801</v>
      </c>
      <c r="H18" s="76">
        <f>VLOOKUP(B19,'E&amp;W'!$A$7:$P$69,15,0)</f>
        <v>196958068</v>
      </c>
      <c r="I18" s="76">
        <f>VLOOKUP(B19,'E&amp;W'!$A$7:$AD$69,17,0)</f>
        <v>175801510</v>
      </c>
      <c r="J18" s="76">
        <f>VLOOKUP(B19,'E&amp;W'!$A$7:$AD$69,19,0)</f>
        <v>156730616</v>
      </c>
      <c r="K18" s="76">
        <f>VLOOKUP(B19,'E&amp;W'!$A$7:$AD$69,21,0)</f>
        <v>156194483</v>
      </c>
      <c r="L18" s="76">
        <f>VLOOKUP(B19,'E&amp;W'!$A$7:$AD$69,23,0)</f>
        <v>123504928</v>
      </c>
      <c r="M18" s="76">
        <f>VLOOKUP(B19,'E&amp;W'!$A$7:$AD$69,25,0)</f>
        <v>149215972</v>
      </c>
      <c r="N18" s="76">
        <f>VLOOKUP(B19,'E&amp;W'!$A$7:$AD$69,27,0)</f>
        <v>155458919</v>
      </c>
      <c r="O18" s="76">
        <f>VLOOKUP(B19,'E&amp;W'!$A$7:$AD$69,29,0)</f>
        <v>145990387</v>
      </c>
    </row>
    <row r="19" spans="1:15" ht="15" customHeight="1">
      <c r="A19" s="309"/>
      <c r="B19" s="90">
        <v>1412000034</v>
      </c>
      <c r="C19" s="82" t="s">
        <v>172</v>
      </c>
      <c r="D19" s="83">
        <f>VLOOKUP(B19,'E&amp;W'!$A$7:$P$69,8,0)</f>
        <v>7621379</v>
      </c>
      <c r="E19" s="83">
        <f>VLOOKUP(B19,'E&amp;W'!$A$7:$P$69,10,0)</f>
        <v>8369059</v>
      </c>
      <c r="F19" s="83">
        <f>VLOOKUP(B19,'E&amp;W'!$A$7:$P$69,12,0)</f>
        <v>9900352</v>
      </c>
      <c r="G19" s="83">
        <f>VLOOKUP(B19,'E&amp;W'!$A$7:$P$69,14,0)</f>
        <v>14050271</v>
      </c>
      <c r="H19" s="83">
        <f>VLOOKUP(B19,'E&amp;W'!$A$7:$P$69,16,0)</f>
        <v>12351818</v>
      </c>
      <c r="I19" s="83">
        <f>VLOOKUP(B19,'E&amp;W'!$A$7:$AD$69,18,0)</f>
        <v>12567108</v>
      </c>
      <c r="J19" s="83">
        <f>VLOOKUP(B19,'E&amp;W'!$A$7:$AD$69,20,0)</f>
        <v>13462927</v>
      </c>
      <c r="K19" s="83">
        <f>VLOOKUP(B19,'E&amp;W'!$A$7:$AD$69,22,0)</f>
        <v>10111858</v>
      </c>
      <c r="L19" s="83">
        <f>VLOOKUP(B19,'E&amp;W'!$A$7:$AD$69,24,0)</f>
        <v>9929492</v>
      </c>
      <c r="M19" s="83">
        <f>VLOOKUP(B19,'E&amp;W'!$A$7:$AD$69,26,0)</f>
        <v>8861087</v>
      </c>
      <c r="N19" s="83">
        <f>VLOOKUP(B19,'E&amp;W'!$A$7:$AD$69,28,0)</f>
        <v>6851528</v>
      </c>
      <c r="O19" s="83">
        <f>VLOOKUP(B19,'E&amp;W'!$A$7:$AD$69,30,0)</f>
        <v>9971925</v>
      </c>
    </row>
    <row r="20" spans="1:15" ht="15" customHeight="1">
      <c r="A20" s="310">
        <v>8</v>
      </c>
      <c r="B20" s="89" t="s">
        <v>30</v>
      </c>
      <c r="C20" s="74" t="s">
        <v>171</v>
      </c>
      <c r="D20" s="76">
        <f>VLOOKUP(B21,'E&amp;W'!$A$7:$P$69,7,0)</f>
        <v>1268149</v>
      </c>
      <c r="E20" s="76">
        <f>VLOOKUP(B21,'E&amp;W'!$A$7:$P$69,9,0)</f>
        <v>2147688</v>
      </c>
      <c r="F20" s="76">
        <f>VLOOKUP(B21,'E&amp;W'!$A$7:$P$69,11,0)</f>
        <v>2627580</v>
      </c>
      <c r="G20" s="76">
        <f>VLOOKUP(B21,'E&amp;W'!$A$7:$P$69,13,0)</f>
        <v>4049509</v>
      </c>
      <c r="H20" s="76">
        <f>VLOOKUP(B21,'E&amp;W'!$A$7:$P$69,15,0)</f>
        <v>3899166</v>
      </c>
      <c r="I20" s="76">
        <f>VLOOKUP(B21,'E&amp;W'!$A$7:$AD$69,17,0)</f>
        <v>3539639</v>
      </c>
      <c r="J20" s="76">
        <f>VLOOKUP(B21,'E&amp;W'!$A$7:$AD$69,19,0)</f>
        <v>2851950</v>
      </c>
      <c r="K20" s="76">
        <f>VLOOKUP(B21,'E&amp;W'!$A$7:$AD$69,21,0)</f>
        <v>2226285</v>
      </c>
      <c r="L20" s="76">
        <f>VLOOKUP(B21,'E&amp;W'!$A$7:$AD$69,23,0)</f>
        <v>906721</v>
      </c>
      <c r="M20" s="76">
        <f>VLOOKUP(B21,'E&amp;W'!$A$7:$AD$69,25,0)</f>
        <v>1421372</v>
      </c>
      <c r="N20" s="76">
        <f>VLOOKUP(B21,'E&amp;W'!$A$7:$AD$69,27,0)</f>
        <v>1065726</v>
      </c>
      <c r="O20" s="76">
        <f>VLOOKUP(B21,'E&amp;W'!$A$7:$AD$69,29,0)</f>
        <v>753239</v>
      </c>
    </row>
    <row r="21" spans="1:15" ht="15" customHeight="1">
      <c r="A21" s="311"/>
      <c r="B21" s="90">
        <v>1412000048</v>
      </c>
      <c r="C21" s="82" t="s">
        <v>172</v>
      </c>
      <c r="D21" s="83">
        <f>VLOOKUP(B21,'E&amp;W'!$A$7:$P$69,8,0)</f>
        <v>706228</v>
      </c>
      <c r="E21" s="83">
        <f>VLOOKUP(B21,'E&amp;W'!$A$7:$P$69,10,0)</f>
        <v>769569</v>
      </c>
      <c r="F21" s="83">
        <f>VLOOKUP(B21,'E&amp;W'!$A$7:$P$69,12,0)</f>
        <v>910377</v>
      </c>
      <c r="G21" s="83">
        <f>VLOOKUP(B21,'E&amp;W'!$A$7:$P$69,14,0)</f>
        <v>1282154</v>
      </c>
      <c r="H21" s="83">
        <f>VLOOKUP(B21,'E&amp;W'!$A$7:$P$69,16,0)</f>
        <v>1085874</v>
      </c>
      <c r="I21" s="83">
        <f>VLOOKUP(B21,'E&amp;W'!$A$7:$AD$69,18,0)</f>
        <v>1104801</v>
      </c>
      <c r="J21" s="83">
        <f>VLOOKUP(B21,'E&amp;W'!$A$7:$AD$69,20,0)</f>
        <v>1087913</v>
      </c>
      <c r="K21" s="83">
        <f>VLOOKUP(B21,'E&amp;W'!$A$7:$AD$69,22,0)</f>
        <v>817120</v>
      </c>
      <c r="L21" s="83">
        <f>VLOOKUP(B21,'E&amp;W'!$A$7:$AD$69,24,0)</f>
        <v>802383</v>
      </c>
      <c r="M21" s="83">
        <f>VLOOKUP(B21,'E&amp;W'!$A$7:$AD$69,26,0)</f>
        <v>716047</v>
      </c>
      <c r="N21" s="83">
        <f>VLOOKUP(B21,'E&amp;W'!$A$7:$AD$69,28,0)</f>
        <v>553659</v>
      </c>
      <c r="O21" s="83">
        <f>VLOOKUP(B21,'E&amp;W'!$A$7:$AD$69,30,0)</f>
        <v>805812</v>
      </c>
    </row>
    <row r="22" spans="1:15" ht="15" customHeight="1">
      <c r="A22" s="308">
        <v>9</v>
      </c>
      <c r="B22" s="89" t="s">
        <v>143</v>
      </c>
      <c r="C22" s="74" t="s">
        <v>171</v>
      </c>
      <c r="D22" s="76">
        <f>VLOOKUP(B23,'E&amp;W'!$A$7:$P$69,7,0)</f>
        <v>890062</v>
      </c>
      <c r="E22" s="76">
        <f>VLOOKUP(B23,'E&amp;W'!$A$7:$P$69,9,0)</f>
        <v>1507373</v>
      </c>
      <c r="F22" s="76">
        <f>VLOOKUP(B23,'E&amp;W'!$A$7:$P$69,11,0)</f>
        <v>1844190</v>
      </c>
      <c r="G22" s="76">
        <f>VLOOKUP(B23,'E&amp;W'!$A$7:$P$69,13,0)</f>
        <v>2842183</v>
      </c>
      <c r="H22" s="76">
        <f>VLOOKUP(B23,'E&amp;W'!$A$7:$P$69,15,0)</f>
        <v>2736663</v>
      </c>
      <c r="I22" s="76">
        <f>VLOOKUP(B23,'E&amp;W'!$A$7:$AD$69,17,0)</f>
        <v>2484326</v>
      </c>
      <c r="J22" s="76">
        <f>VLOOKUP(B23,'E&amp;W'!$A$7:$AD$69,19,0)</f>
        <v>2001666</v>
      </c>
      <c r="K22" s="76">
        <f>VLOOKUP(B23,'E&amp;W'!$A$7:$AD$69,21,0)</f>
        <v>1562538</v>
      </c>
      <c r="L22" s="76">
        <f>VLOOKUP(B23,'E&amp;W'!$A$7:$AD$69,23,0)</f>
        <v>636390</v>
      </c>
      <c r="M22" s="76">
        <f>VLOOKUP(B23,'E&amp;W'!$A$7:$AD$69,25,0)</f>
        <v>997602</v>
      </c>
      <c r="N22" s="76">
        <f>VLOOKUP(B23,'E&amp;W'!$A$7:$AD$69,27,0)</f>
        <v>747989</v>
      </c>
      <c r="O22" s="76">
        <f>VLOOKUP(B23,'E&amp;W'!$A$7:$AD$69,29,0)</f>
        <v>528668</v>
      </c>
    </row>
    <row r="23" spans="1:15" ht="15" customHeight="1">
      <c r="A23" s="308"/>
      <c r="B23" s="90">
        <v>1412000055</v>
      </c>
      <c r="C23" s="82" t="s">
        <v>172</v>
      </c>
      <c r="D23" s="83">
        <f>VLOOKUP(B23,'E&amp;W'!$A$7:$P$69,8,0)</f>
        <v>676802</v>
      </c>
      <c r="E23" s="83">
        <f>VLOOKUP(B23,'E&amp;W'!$A$7:$P$69,10,0)</f>
        <v>737503</v>
      </c>
      <c r="F23" s="83">
        <f>VLOOKUP(B23,'E&amp;W'!$A$7:$P$69,12,0)</f>
        <v>872445</v>
      </c>
      <c r="G23" s="83">
        <f>VLOOKUP(B23,'E&amp;W'!$A$7:$P$69,14,0)</f>
        <v>1228731</v>
      </c>
      <c r="H23" s="83">
        <f>VLOOKUP(B23,'E&amp;W'!$A$7:$P$69,16,0)</f>
        <v>1085874</v>
      </c>
      <c r="I23" s="83">
        <f>VLOOKUP(B23,'E&amp;W'!$A$7:$AD$69,18,0)</f>
        <v>1104801</v>
      </c>
      <c r="J23" s="83">
        <f>VLOOKUP(B23,'E&amp;W'!$A$7:$AD$69,20,0)</f>
        <v>1087913</v>
      </c>
      <c r="K23" s="83">
        <f>VLOOKUP(B23,'E&amp;W'!$A$7:$AD$69,22,0)</f>
        <v>817120</v>
      </c>
      <c r="L23" s="83">
        <f>VLOOKUP(B23,'E&amp;W'!$A$7:$AD$69,24,0)</f>
        <v>802383</v>
      </c>
      <c r="M23" s="83">
        <f>VLOOKUP(B23,'E&amp;W'!$A$7:$AD$69,26,0)</f>
        <v>716047</v>
      </c>
      <c r="N23" s="83">
        <f>VLOOKUP(B23,'E&amp;W'!$A$7:$AD$69,28,0)</f>
        <v>553659</v>
      </c>
      <c r="O23" s="83">
        <f>VLOOKUP(B23,'E&amp;W'!$A$7:$AD$69,30,0)</f>
        <v>805812</v>
      </c>
    </row>
    <row r="24" spans="1:15" ht="15" customHeight="1">
      <c r="A24" s="310">
        <v>10</v>
      </c>
      <c r="B24" s="89" t="s">
        <v>96</v>
      </c>
      <c r="C24" s="74" t="s">
        <v>171</v>
      </c>
      <c r="D24" s="76">
        <f>VLOOKUP(B25,'E&amp;W'!$A$7:$P$69,7,0)</f>
        <v>67886</v>
      </c>
      <c r="E24" s="76">
        <f>VLOOKUP(B25,'E&amp;W'!$A$7:$P$69,9,0)</f>
        <v>114969</v>
      </c>
      <c r="F24" s="76">
        <f>VLOOKUP(B25,'E&amp;W'!$A$7:$P$69,11,0)</f>
        <v>140659</v>
      </c>
      <c r="G24" s="76">
        <f>VLOOKUP(B25,'E&amp;W'!$A$7:$P$69,13,0)</f>
        <v>216777</v>
      </c>
      <c r="H24" s="76">
        <f>VLOOKUP(B25,'E&amp;W'!$A$7:$P$69,15,0)</f>
        <v>208729</v>
      </c>
      <c r="I24" s="76">
        <f>VLOOKUP(B25,'E&amp;W'!$A$7:$AD$69,17,0)</f>
        <v>189483</v>
      </c>
      <c r="J24" s="76">
        <f>VLOOKUP(B25,'E&amp;W'!$A$7:$AD$69,19,0)</f>
        <v>152669</v>
      </c>
      <c r="K24" s="76">
        <f>VLOOKUP(B25,'E&amp;W'!$A$7:$AD$69,21,0)</f>
        <v>119177</v>
      </c>
      <c r="L24" s="76">
        <f>VLOOKUP(B25,'E&amp;W'!$A$7:$AD$69,23,0)</f>
        <v>48538</v>
      </c>
      <c r="M24" s="76">
        <f>VLOOKUP(B25,'E&amp;W'!$A$7:$AD$69,25,0)</f>
        <v>76088</v>
      </c>
      <c r="N24" s="76">
        <f>VLOOKUP(B25,'E&amp;W'!$A$7:$AD$69,27,0)</f>
        <v>57050</v>
      </c>
      <c r="O24" s="76">
        <f>VLOOKUP(B25,'E&amp;W'!$A$7:$AD$69,29,0)</f>
        <v>40322</v>
      </c>
    </row>
    <row r="25" spans="1:15" ht="15" customHeight="1">
      <c r="A25" s="311"/>
      <c r="B25" s="90">
        <v>1412000063</v>
      </c>
      <c r="C25" s="82" t="s">
        <v>172</v>
      </c>
      <c r="D25" s="83">
        <f>VLOOKUP(B25,'E&amp;W'!$A$7:$P$69,8,0)</f>
        <v>294262</v>
      </c>
      <c r="E25" s="83">
        <f>VLOOKUP(B25,'E&amp;W'!$A$7:$P$69,10,0)</f>
        <v>288588</v>
      </c>
      <c r="F25" s="83">
        <f>VLOOKUP(B25,'E&amp;W'!$A$7:$P$69,12,0)</f>
        <v>341391</v>
      </c>
      <c r="G25" s="83">
        <f>VLOOKUP(B25,'E&amp;W'!$A$7:$P$69,14,0)</f>
        <v>587654</v>
      </c>
      <c r="H25" s="83">
        <f>VLOOKUP(B25,'E&amp;W'!$A$7:$P$69,16,0)</f>
        <v>497692</v>
      </c>
      <c r="I25" s="83">
        <f>VLOOKUP(B25,'E&amp;W'!$A$7:$AD$69,18,0)</f>
        <v>598434</v>
      </c>
      <c r="J25" s="83">
        <f>VLOOKUP(B25,'E&amp;W'!$A$7:$AD$69,20,0)</f>
        <v>543957</v>
      </c>
      <c r="K25" s="83">
        <f>VLOOKUP(B25,'E&amp;W'!$A$7:$AD$69,22,0)</f>
        <v>408560</v>
      </c>
      <c r="L25" s="83">
        <f>VLOOKUP(B25,'E&amp;W'!$A$7:$AD$69,24,0)</f>
        <v>367759</v>
      </c>
      <c r="M25" s="83">
        <f>VLOOKUP(B25,'E&amp;W'!$A$7:$AD$69,26,0)</f>
        <v>328188</v>
      </c>
      <c r="N25" s="83">
        <f>VLOOKUP(B25,'E&amp;W'!$A$7:$AD$69,28,0)</f>
        <v>230691</v>
      </c>
      <c r="O25" s="83">
        <f>VLOOKUP(B25,'E&amp;W'!$A$7:$AD$69,30,0)</f>
        <v>335755</v>
      </c>
    </row>
    <row r="26" spans="1:15" ht="15" customHeight="1">
      <c r="A26" s="308">
        <v>11</v>
      </c>
      <c r="B26" s="89" t="s">
        <v>142</v>
      </c>
      <c r="C26" s="74" t="s">
        <v>171</v>
      </c>
      <c r="D26" s="76">
        <f>VLOOKUP(B27,'E&amp;W'!$A$7:$P$69,7,0)</f>
        <v>101616030</v>
      </c>
      <c r="E26" s="76">
        <f>VLOOKUP(B27,'E&amp;W'!$A$7:$P$69,9,0)</f>
        <v>113805039</v>
      </c>
      <c r="F26" s="76">
        <f>VLOOKUP(B27,'E&amp;W'!$A$7:$P$69,11,0)</f>
        <v>107257894</v>
      </c>
      <c r="G26" s="76">
        <f>VLOOKUP(B27,'E&amp;W'!$A$7:$P$69,13,0)</f>
        <v>117258007</v>
      </c>
      <c r="H26" s="76">
        <f>VLOOKUP(B27,'E&amp;W'!$A$7:$P$69,15,0)</f>
        <v>126486080</v>
      </c>
      <c r="I26" s="76">
        <f>VLOOKUP(B27,'E&amp;W'!$A$7:$AD$69,17,0)</f>
        <v>121354856</v>
      </c>
      <c r="J26" s="76">
        <f>VLOOKUP(B27,'E&amp;W'!$A$7:$AD$69,19,0)</f>
        <v>122584302</v>
      </c>
      <c r="K26" s="76">
        <f>VLOOKUP(B27,'E&amp;W'!$A$7:$AD$69,21,0)</f>
        <v>126713377</v>
      </c>
      <c r="L26" s="76">
        <f>VLOOKUP(B27,'E&amp;W'!$A$7:$AD$69,23,0)</f>
        <v>125096913</v>
      </c>
      <c r="M26" s="76">
        <f>VLOOKUP(B27,'E&amp;W'!$A$7:$AD$69,25,0)</f>
        <v>82644829</v>
      </c>
      <c r="N26" s="76">
        <f>VLOOKUP(B27,'E&amp;W'!$A$7:$AD$69,27,0)</f>
        <v>90594618</v>
      </c>
      <c r="O26" s="76">
        <f>VLOOKUP(B27,'E&amp;W'!$A$7:$AD$69,29,0)</f>
        <v>97309562</v>
      </c>
    </row>
    <row r="27" spans="1:15" ht="15" customHeight="1">
      <c r="A27" s="308"/>
      <c r="B27" s="90">
        <v>1412000044</v>
      </c>
      <c r="C27" s="82" t="s">
        <v>172</v>
      </c>
      <c r="D27" s="83">
        <f>VLOOKUP(B27,'E&amp;W'!$A$7:$P$69,8,0)</f>
        <v>794507</v>
      </c>
      <c r="E27" s="83">
        <f>VLOOKUP(B27,'E&amp;W'!$A$7:$P$69,10,0)</f>
        <v>929895</v>
      </c>
      <c r="F27" s="83">
        <f>VLOOKUP(B27,'E&amp;W'!$A$7:$P$69,12,0)</f>
        <v>1100039</v>
      </c>
      <c r="G27" s="83">
        <f>VLOOKUP(B27,'E&amp;W'!$A$7:$P$69,14,0)</f>
        <v>1549269</v>
      </c>
      <c r="H27" s="83">
        <f>VLOOKUP(B27,'E&amp;W'!$A$7:$P$69,16,0)</f>
        <v>1312098</v>
      </c>
      <c r="I27" s="83">
        <f>VLOOKUP(B27,'E&amp;W'!$A$7:$AD$69,18,0)</f>
        <v>1334967</v>
      </c>
      <c r="J27" s="83">
        <f>VLOOKUP(B27,'E&amp;W'!$A$7:$AD$69,20,0)</f>
        <v>1314562</v>
      </c>
      <c r="K27" s="83">
        <f>VLOOKUP(B27,'E&amp;W'!$A$7:$AD$69,22,0)</f>
        <v>987353</v>
      </c>
      <c r="L27" s="83">
        <f>VLOOKUP(B27,'E&amp;W'!$A$7:$AD$69,24,0)</f>
        <v>969546</v>
      </c>
      <c r="M27" s="83">
        <f>VLOOKUP(B27,'E&amp;W'!$A$7:$AD$69,26,0)</f>
        <v>865224</v>
      </c>
      <c r="N27" s="83">
        <f>VLOOKUP(B27,'E&amp;W'!$A$7:$AD$69,28,0)</f>
        <v>669004</v>
      </c>
      <c r="O27" s="83">
        <f>VLOOKUP(B27,'E&amp;W'!$A$7:$AD$69,30,0)</f>
        <v>973690</v>
      </c>
    </row>
    <row r="28" spans="1:15" ht="15" customHeight="1">
      <c r="A28" s="309">
        <v>12</v>
      </c>
      <c r="B28" s="89" t="s">
        <v>109</v>
      </c>
      <c r="C28" s="74" t="s">
        <v>171</v>
      </c>
      <c r="D28" s="76">
        <f>VLOOKUP(B29,'E&amp;W'!$A$7:$P$69,7,0)</f>
        <v>2937106</v>
      </c>
      <c r="E28" s="76">
        <f>VLOOKUP(B29,'E&amp;W'!$A$7:$P$69,9,0)</f>
        <v>3168420</v>
      </c>
      <c r="F28" s="76">
        <f>VLOOKUP(B29,'E&amp;W'!$A$7:$P$69,11,0)</f>
        <v>3077032</v>
      </c>
      <c r="G28" s="76">
        <f>VLOOKUP(B29,'E&amp;W'!$A$7:$P$69,13,0)</f>
        <v>3445750</v>
      </c>
      <c r="H28" s="76">
        <f>VLOOKUP(B29,'E&amp;W'!$A$7:$P$69,15,0)</f>
        <v>3679975</v>
      </c>
      <c r="I28" s="76">
        <f>VLOOKUP(B29,'E&amp;W'!$A$7:$AD$69,17,0)</f>
        <v>3185027</v>
      </c>
      <c r="J28" s="76">
        <f>VLOOKUP(B29,'E&amp;W'!$A$7:$AD$69,19,0)</f>
        <v>3250987</v>
      </c>
      <c r="K28" s="76">
        <f>VLOOKUP(B29,'E&amp;W'!$A$7:$AD$69,21,0)</f>
        <v>3166221</v>
      </c>
      <c r="L28" s="76">
        <f>VLOOKUP(B29,'E&amp;W'!$A$7:$AD$69,23,0)</f>
        <v>2565034</v>
      </c>
      <c r="M28" s="76">
        <f>VLOOKUP(B29,'E&amp;W'!$A$7:$AD$69,25,0)</f>
        <v>2438434</v>
      </c>
      <c r="N28" s="76">
        <f>VLOOKUP(B29,'E&amp;W'!$A$7:$AD$69,27,0)</f>
        <v>2752358</v>
      </c>
      <c r="O28" s="76">
        <f>VLOOKUP(B29,'E&amp;W'!$A$7:$AD$69,29,0)</f>
        <v>2726879</v>
      </c>
    </row>
    <row r="29" spans="1:15" ht="15" customHeight="1">
      <c r="A29" s="309"/>
      <c r="B29" s="90">
        <v>1412000087</v>
      </c>
      <c r="C29" s="82" t="s">
        <v>172</v>
      </c>
      <c r="D29" s="83">
        <f>VLOOKUP(B29,'E&amp;W'!$A$7:$P$69,8,0)</f>
        <v>235409</v>
      </c>
      <c r="E29" s="83">
        <f>VLOOKUP(B29,'E&amp;W'!$A$7:$P$69,10,0)</f>
        <v>256523</v>
      </c>
      <c r="F29" s="83">
        <f>VLOOKUP(B29,'E&amp;W'!$A$7:$P$69,12,0)</f>
        <v>303459</v>
      </c>
      <c r="G29" s="83">
        <f>VLOOKUP(B29,'E&amp;W'!$A$7:$P$69,14,0)</f>
        <v>427385</v>
      </c>
      <c r="H29" s="83">
        <f>VLOOKUP(B29,'E&amp;W'!$A$7:$P$69,16,0)</f>
        <v>361958</v>
      </c>
      <c r="I29" s="83">
        <f>VLOOKUP(B29,'E&amp;W'!$A$7:$AD$69,18,0)</f>
        <v>368267</v>
      </c>
      <c r="J29" s="83">
        <f>VLOOKUP(B29,'E&amp;W'!$A$7:$AD$69,20,0)</f>
        <v>362638</v>
      </c>
      <c r="K29" s="83">
        <f>VLOOKUP(B29,'E&amp;W'!$A$7:$AD$69,22,0)</f>
        <v>272373</v>
      </c>
      <c r="L29" s="83">
        <f>VLOOKUP(B29,'E&amp;W'!$A$7:$AD$69,24,0)</f>
        <v>267461</v>
      </c>
      <c r="M29" s="83">
        <f>VLOOKUP(B29,'E&amp;W'!$A$7:$AD$69,26,0)</f>
        <v>238682</v>
      </c>
      <c r="N29" s="83">
        <f>VLOOKUP(B29,'E&amp;W'!$A$7:$AD$69,28,0)</f>
        <v>184553</v>
      </c>
      <c r="O29" s="83">
        <f>VLOOKUP(B29,'E&amp;W'!$A$7:$AD$69,30,0)</f>
        <v>268604</v>
      </c>
    </row>
    <row r="30" spans="1:15" ht="15" customHeight="1">
      <c r="A30" s="310">
        <v>13</v>
      </c>
      <c r="B30" s="89" t="s">
        <v>110</v>
      </c>
      <c r="C30" s="74" t="s">
        <v>171</v>
      </c>
      <c r="D30" s="76">
        <f>VLOOKUP(B31,'E&amp;W'!$A$7:$P$69,7,0)</f>
        <v>7735986</v>
      </c>
      <c r="E30" s="76">
        <f>VLOOKUP(B31,'E&amp;W'!$A$7:$P$69,9,0)</f>
        <v>7595144</v>
      </c>
      <c r="F30" s="76">
        <f>VLOOKUP(B31,'E&amp;W'!$A$7:$P$69,11,0)</f>
        <v>7547919</v>
      </c>
      <c r="G30" s="76">
        <f>VLOOKUP(B31,'E&amp;W'!$A$7:$P$69,13,0)</f>
        <v>7320727</v>
      </c>
      <c r="H30" s="76">
        <f>VLOOKUP(B31,'E&amp;W'!$A$7:$P$69,15,0)</f>
        <v>7162275</v>
      </c>
      <c r="I30" s="76">
        <f>VLOOKUP(B31,'E&amp;W'!$A$7:$AD$69,17,0)</f>
        <v>7224513</v>
      </c>
      <c r="J30" s="76">
        <f>VLOOKUP(B31,'E&amp;W'!$A$7:$AD$69,19,0)</f>
        <v>6425486</v>
      </c>
      <c r="K30" s="76">
        <f>VLOOKUP(B31,'E&amp;W'!$A$7:$AD$69,21,0)</f>
        <v>6882646</v>
      </c>
      <c r="L30" s="76">
        <f>VLOOKUP(B31,'E&amp;W'!$A$7:$AD$69,23,0)</f>
        <v>5018535</v>
      </c>
      <c r="M30" s="76">
        <f>VLOOKUP(B31,'E&amp;W'!$A$7:$AD$69,25,0)</f>
        <v>7359772</v>
      </c>
      <c r="N30" s="76">
        <f>VLOOKUP(B31,'E&amp;W'!$A$7:$AD$69,27,0)</f>
        <v>8176995</v>
      </c>
      <c r="O30" s="76">
        <f>VLOOKUP(B31,'E&amp;W'!$A$7:$AD$69,29,0)</f>
        <v>7314606</v>
      </c>
    </row>
    <row r="31" spans="1:15" ht="15" customHeight="1">
      <c r="A31" s="311"/>
      <c r="B31" s="90">
        <v>1412000088</v>
      </c>
      <c r="C31" s="82" t="s">
        <v>172</v>
      </c>
      <c r="D31" s="83">
        <f>VLOOKUP(B31,'E&amp;W'!$A$7:$P$69,8,0)</f>
        <v>706228</v>
      </c>
      <c r="E31" s="83">
        <f>VLOOKUP(B31,'E&amp;W'!$A$7:$P$69,10,0)</f>
        <v>769569</v>
      </c>
      <c r="F31" s="83">
        <f>VLOOKUP(B31,'E&amp;W'!$A$7:$P$69,12,0)</f>
        <v>910377</v>
      </c>
      <c r="G31" s="83">
        <f>VLOOKUP(B31,'E&amp;W'!$A$7:$P$69,14,0)</f>
        <v>1282154</v>
      </c>
      <c r="H31" s="83">
        <f>VLOOKUP(B31,'E&amp;W'!$A$7:$P$69,16,0)</f>
        <v>1085874</v>
      </c>
      <c r="I31" s="83">
        <f>VLOOKUP(B31,'E&amp;W'!$A$7:$AD$69,18,0)</f>
        <v>1104801</v>
      </c>
      <c r="J31" s="83">
        <f>VLOOKUP(B31,'E&amp;W'!$A$7:$AD$69,20,0)</f>
        <v>1087913</v>
      </c>
      <c r="K31" s="83">
        <f>VLOOKUP(B31,'E&amp;W'!$A$7:$AD$69,22,0)</f>
        <v>817120</v>
      </c>
      <c r="L31" s="83">
        <f>VLOOKUP(B31,'E&amp;W'!$A$7:$AD$69,24,0)</f>
        <v>802383</v>
      </c>
      <c r="M31" s="83">
        <f>VLOOKUP(B31,'E&amp;W'!$A$7:$AD$69,26,0)</f>
        <v>716047</v>
      </c>
      <c r="N31" s="83">
        <f>VLOOKUP(B31,'E&amp;W'!$A$7:$AD$69,28,0)</f>
        <v>553659</v>
      </c>
      <c r="O31" s="83">
        <f>VLOOKUP(B31,'E&amp;W'!$A$7:$AD$69,30,0)</f>
        <v>805812</v>
      </c>
    </row>
    <row r="32" spans="1:15" ht="15" customHeight="1">
      <c r="A32" s="308">
        <v>14</v>
      </c>
      <c r="B32" s="89" t="s">
        <v>144</v>
      </c>
      <c r="C32" s="74" t="s">
        <v>171</v>
      </c>
      <c r="D32" s="76">
        <f>VLOOKUP(B33,'E&amp;W'!$A$7:$P$69,7,0)</f>
        <v>592427614</v>
      </c>
      <c r="E32" s="76">
        <f>VLOOKUP(B33,'E&amp;W'!$A$7:$P$69,9,0)</f>
        <v>500428638</v>
      </c>
      <c r="F32" s="76">
        <f>VLOOKUP(B33,'E&amp;W'!$A$7:$P$69,11,0)</f>
        <v>500350831</v>
      </c>
      <c r="G32" s="76">
        <f>VLOOKUP(B33,'E&amp;W'!$A$7:$P$69,13,0)</f>
        <v>530470552</v>
      </c>
      <c r="H32" s="76">
        <f>VLOOKUP(B33,'E&amp;W'!$A$7:$P$69,15,0)</f>
        <v>547294097</v>
      </c>
      <c r="I32" s="76">
        <f>VLOOKUP(B33,'E&amp;W'!$A$7:$AD$69,17,0)</f>
        <v>389298659</v>
      </c>
      <c r="J32" s="76">
        <f>VLOOKUP(B33,'E&amp;W'!$A$7:$AD$69,19,0)</f>
        <v>443742553</v>
      </c>
      <c r="K32" s="76">
        <f>VLOOKUP(B33,'E&amp;W'!$A$7:$AD$69,21,0)</f>
        <v>453656082</v>
      </c>
      <c r="L32" s="76">
        <f>VLOOKUP(B33,'E&amp;W'!$A$7:$AD$69,23,0)</f>
        <v>390396333</v>
      </c>
      <c r="M32" s="76">
        <f>VLOOKUP(B33,'E&amp;W'!$A$7:$AD$69,25,0)</f>
        <v>566521629</v>
      </c>
      <c r="N32" s="76">
        <f>VLOOKUP(B33,'E&amp;W'!$A$7:$AD$69,27,0)</f>
        <v>598407118</v>
      </c>
      <c r="O32" s="76">
        <f>VLOOKUP(B33,'E&amp;W'!$A$7:$AD$69,29,0)</f>
        <v>563985078</v>
      </c>
    </row>
    <row r="33" spans="1:15" ht="15" customHeight="1">
      <c r="A33" s="308"/>
      <c r="B33" s="90">
        <v>1412000056</v>
      </c>
      <c r="C33" s="82" t="s">
        <v>172</v>
      </c>
      <c r="D33" s="83">
        <f>VLOOKUP(B33,'E&amp;W'!$A$7:$P$69,8,0)</f>
        <v>3472288</v>
      </c>
      <c r="E33" s="83">
        <f>VLOOKUP(B33,'E&amp;W'!$A$7:$P$69,10,0)</f>
        <v>3751647</v>
      </c>
      <c r="F33" s="83">
        <f>VLOOKUP(B33,'E&amp;W'!$A$7:$P$69,12,0)</f>
        <v>4400156</v>
      </c>
      <c r="G33" s="83">
        <f>VLOOKUP(B33,'E&amp;W'!$A$7:$P$69,14,0)</f>
        <v>6143655</v>
      </c>
      <c r="H33" s="83">
        <f>VLOOKUP(B33,'E&amp;W'!$A$7:$P$69,16,0)</f>
        <v>5157902</v>
      </c>
      <c r="I33" s="83">
        <f>VLOOKUP(B33,'E&amp;W'!$A$7:$AD$69,18,0)</f>
        <v>5293837</v>
      </c>
      <c r="J33" s="83">
        <f>VLOOKUP(B33,'E&amp;W'!$A$7:$AD$69,20,0)</f>
        <v>5258248</v>
      </c>
      <c r="K33" s="83">
        <f>VLOOKUP(B33,'E&amp;W'!$A$7:$AD$69,22,0)</f>
        <v>3983459</v>
      </c>
      <c r="L33" s="83">
        <f>VLOOKUP(B33,'E&amp;W'!$A$7:$AD$69,24,0)</f>
        <v>3945051</v>
      </c>
      <c r="M33" s="83">
        <f>VLOOKUP(B33,'E&amp;W'!$A$7:$AD$69,26,0)</f>
        <v>3520567</v>
      </c>
      <c r="N33" s="83">
        <f>VLOOKUP(B33,'E&amp;W'!$A$7:$AD$69,28,0)</f>
        <v>2722156</v>
      </c>
      <c r="O33" s="83">
        <f>VLOOKUP(B33,'E&amp;W'!$A$7:$AD$69,30,0)</f>
        <v>3961910</v>
      </c>
    </row>
    <row r="34" spans="1:15" ht="15" customHeight="1">
      <c r="A34" s="310">
        <v>15</v>
      </c>
      <c r="B34" s="89" t="s">
        <v>146</v>
      </c>
      <c r="C34" s="74" t="s">
        <v>171</v>
      </c>
      <c r="D34" s="76">
        <f>VLOOKUP(B35,'E&amp;W'!$A$7:$P$69,7,0)</f>
        <v>391678</v>
      </c>
      <c r="E34" s="76">
        <f>VLOOKUP(B35,'E&amp;W'!$A$7:$P$69,9,0)</f>
        <v>563787</v>
      </c>
      <c r="F34" s="76">
        <f>VLOOKUP(B35,'E&amp;W'!$A$7:$P$69,11,0)</f>
        <v>823714</v>
      </c>
      <c r="G34" s="76">
        <f>VLOOKUP(B35,'E&amp;W'!$A$7:$P$69,13,0)</f>
        <v>1182127</v>
      </c>
      <c r="H34" s="76">
        <f>VLOOKUP(B35,'E&amp;W'!$A$7:$P$69,15,0)</f>
        <v>1129362</v>
      </c>
      <c r="I34" s="76">
        <f>VLOOKUP(B35,'E&amp;W'!$A$7:$AD$69,17,0)</f>
        <v>1027823</v>
      </c>
      <c r="J34" s="76">
        <f>VLOOKUP(B35,'E&amp;W'!$A$7:$AD$69,19,0)</f>
        <v>716971</v>
      </c>
      <c r="K34" s="76">
        <f>VLOOKUP(B35,'E&amp;W'!$A$7:$AD$69,21,0)</f>
        <v>680000</v>
      </c>
      <c r="L34" s="76">
        <f>VLOOKUP(B35,'E&amp;W'!$A$7:$AD$69,23,0)</f>
        <v>575025</v>
      </c>
      <c r="M34" s="76">
        <f>VLOOKUP(B35,'E&amp;W'!$A$7:$AD$69,25,0)</f>
        <v>442483</v>
      </c>
      <c r="N34" s="76">
        <f>VLOOKUP(B35,'E&amp;W'!$A$7:$AD$69,27,0)</f>
        <v>418420</v>
      </c>
      <c r="O34" s="76">
        <f>VLOOKUP(B35,'E&amp;W'!$A$7:$AD$69,29,0)</f>
        <v>336810</v>
      </c>
    </row>
    <row r="35" spans="1:15" ht="15" customHeight="1">
      <c r="A35" s="311"/>
      <c r="B35" s="97">
        <v>1412000080</v>
      </c>
      <c r="C35" s="82" t="s">
        <v>172</v>
      </c>
      <c r="D35" s="83">
        <f>VLOOKUP(B35,'E&amp;W'!$A$7:$P$69,8,0)</f>
        <v>706228</v>
      </c>
      <c r="E35" s="83">
        <f>VLOOKUP(B35,'E&amp;W'!$A$7:$P$69,10,0)</f>
        <v>769569</v>
      </c>
      <c r="F35" s="83">
        <f>VLOOKUP(B35,'E&amp;W'!$A$7:$P$69,12,0)</f>
        <v>910377</v>
      </c>
      <c r="G35" s="83">
        <f>VLOOKUP(B35,'E&amp;W'!$A$7:$P$69,14,0)</f>
        <v>1282154</v>
      </c>
      <c r="H35" s="83">
        <f>VLOOKUP(B35,'E&amp;W'!$A$7:$P$69,16,0)</f>
        <v>1176364</v>
      </c>
      <c r="I35" s="83">
        <f>VLOOKUP(B35,'E&amp;W'!$A$7:$AD$69,18,0)</f>
        <v>1196867</v>
      </c>
      <c r="J35" s="83">
        <f>VLOOKUP(B35,'E&amp;W'!$A$7:$AD$69,20,0)</f>
        <v>1178573</v>
      </c>
      <c r="K35" s="83">
        <f>VLOOKUP(B35,'E&amp;W'!$A$7:$AD$69,22,0)</f>
        <v>885213</v>
      </c>
      <c r="L35" s="83">
        <f>VLOOKUP(B35,'E&amp;W'!$A$7:$AD$69,24,0)</f>
        <v>902681</v>
      </c>
      <c r="M35" s="83">
        <f>VLOOKUP(B35,'E&amp;W'!$A$7:$AD$69,26,0)</f>
        <v>805553</v>
      </c>
      <c r="N35" s="83">
        <f>VLOOKUP(B35,'E&amp;W'!$A$7:$AD$69,28,0)</f>
        <v>622866</v>
      </c>
      <c r="O35" s="83">
        <f>VLOOKUP(B35,'E&amp;W'!$A$7:$AD$69,30,0)</f>
        <v>906539</v>
      </c>
    </row>
    <row r="36" spans="1:15" ht="15" customHeight="1">
      <c r="A36" s="308">
        <v>16</v>
      </c>
      <c r="B36" s="264" t="s">
        <v>80</v>
      </c>
      <c r="C36" s="265" t="s">
        <v>171</v>
      </c>
      <c r="D36" s="270">
        <f>VLOOKUP(B37,'E&amp;W'!$A$7:$P$69,7,0)</f>
        <v>2132140</v>
      </c>
      <c r="E36" s="270">
        <f>VLOOKUP(B37,'E&amp;W'!$A$7:$P$69,9,0)</f>
        <v>2023881</v>
      </c>
      <c r="F36" s="270">
        <f>VLOOKUP(B37,'E&amp;W'!$A$7:$P$69,11,0)</f>
        <v>1970184</v>
      </c>
      <c r="G36" s="270">
        <f>VLOOKUP(B37,'E&amp;W'!$A$7:$P$69,13,0)</f>
        <v>2192145</v>
      </c>
      <c r="H36" s="270">
        <f>VLOOKUP(B37,'E&amp;W'!$A$7:$P$69,15,0)</f>
        <v>2204081</v>
      </c>
      <c r="I36" s="270">
        <f>VLOOKUP(B37,'E&amp;W'!$A$7:$AD$69,17,0)</f>
        <v>2134874</v>
      </c>
      <c r="J36" s="270">
        <f>VLOOKUP(B37,'E&amp;W'!$A$7:$AD$69,19,0)</f>
        <v>1851504</v>
      </c>
      <c r="K36" s="270">
        <f>VLOOKUP(B37,'E&amp;W'!$A$7:$AD$69,21,0)</f>
        <v>1779961</v>
      </c>
      <c r="L36" s="270">
        <f>VLOOKUP(B37,'E&amp;W'!$A$7:$AD$69,23,0)</f>
        <v>1836753</v>
      </c>
      <c r="M36" s="270">
        <f>VLOOKUP(B37,'E&amp;W'!$A$7:$AD$69,25,0)</f>
        <v>2113805</v>
      </c>
      <c r="N36" s="270">
        <f>VLOOKUP(B37,'E&amp;W'!$A$7:$AD$69,27,0)</f>
        <v>2142741</v>
      </c>
      <c r="O36" s="270">
        <f>VLOOKUP(B37,'E&amp;W'!$A$7:$AD$69,29,0)</f>
        <v>2152242</v>
      </c>
    </row>
    <row r="37" spans="1:15" ht="15" customHeight="1">
      <c r="A37" s="308"/>
      <c r="B37" s="267">
        <v>1412000053</v>
      </c>
      <c r="C37" s="268" t="s">
        <v>172</v>
      </c>
      <c r="D37" s="271">
        <f>VLOOKUP(B37,'E&amp;W'!$A$7:$P$69,8,0)</f>
        <v>882785</v>
      </c>
      <c r="E37" s="271">
        <f>VLOOKUP(B37,'E&amp;W'!$A$7:$P$69,10,0)</f>
        <v>961961</v>
      </c>
      <c r="F37" s="271">
        <f>VLOOKUP(B37,'E&amp;W'!$A$7:$P$69,12,0)</f>
        <v>1137971</v>
      </c>
      <c r="G37" s="271">
        <f>VLOOKUP(B37,'E&amp;W'!$A$7:$P$69,14,0)</f>
        <v>1869808</v>
      </c>
      <c r="H37" s="271">
        <f>VLOOKUP(B37,'E&amp;W'!$A$7:$P$69,16,0)</f>
        <v>1583566</v>
      </c>
      <c r="I37" s="271">
        <f>VLOOKUP(B37,'E&amp;W'!$A$7:$AD$69,18,0)</f>
        <v>1611168</v>
      </c>
      <c r="J37" s="271">
        <f>VLOOKUP(B37,'E&amp;W'!$A$7:$AD$69,20,0)</f>
        <v>1677200</v>
      </c>
      <c r="K37" s="271">
        <f>VLOOKUP(B37,'E&amp;W'!$A$7:$AD$69,22,0)</f>
        <v>1259726</v>
      </c>
      <c r="L37" s="271">
        <f>VLOOKUP(B37,'E&amp;W'!$A$7:$AD$69,24,0)</f>
        <v>1237007</v>
      </c>
      <c r="M37" s="271">
        <f>VLOOKUP(B37,'E&amp;W'!$A$7:$AD$69,26,0)</f>
        <v>1103906</v>
      </c>
      <c r="N37" s="271">
        <f>VLOOKUP(B37,'E&amp;W'!$A$7:$AD$69,28,0)</f>
        <v>853557</v>
      </c>
      <c r="O37" s="271">
        <f>VLOOKUP(B37,'E&amp;W'!$A$7:$AD$69,30,0)</f>
        <v>1242294</v>
      </c>
    </row>
    <row r="38" spans="1:15" ht="15" customHeight="1">
      <c r="A38" s="309">
        <v>17</v>
      </c>
      <c r="B38" s="264" t="s">
        <v>81</v>
      </c>
      <c r="C38" s="265" t="s">
        <v>171</v>
      </c>
      <c r="D38" s="270">
        <f>VLOOKUP(B39,'E&amp;W'!$A$7:$P$69,7,0)</f>
        <v>2823689</v>
      </c>
      <c r="E38" s="270">
        <f>VLOOKUP(B39,'E&amp;W'!$A$7:$P$69,9,0)</f>
        <v>2608289</v>
      </c>
      <c r="F38" s="270">
        <f>VLOOKUP(B39,'E&amp;W'!$A$7:$P$69,11,0)</f>
        <v>3070485</v>
      </c>
      <c r="G38" s="270">
        <f>VLOOKUP(B39,'E&amp;W'!$A$7:$P$69,13,0)</f>
        <v>3752959</v>
      </c>
      <c r="H38" s="270">
        <f>VLOOKUP(B39,'E&amp;W'!$A$7:$P$69,15,0)</f>
        <v>3807782</v>
      </c>
      <c r="I38" s="270">
        <f>VLOOKUP(B39,'E&amp;W'!$A$7:$AD$69,17,0)</f>
        <v>3704697</v>
      </c>
      <c r="J38" s="270">
        <f>VLOOKUP(B39,'E&amp;W'!$A$7:$AD$69,19,0)</f>
        <v>3086946</v>
      </c>
      <c r="K38" s="270">
        <f>VLOOKUP(B39,'E&amp;W'!$A$7:$AD$69,21,0)</f>
        <v>2722585</v>
      </c>
      <c r="L38" s="270">
        <f>VLOOKUP(B39,'E&amp;W'!$A$7:$AD$69,23,0)</f>
        <v>2477720</v>
      </c>
      <c r="M38" s="270">
        <f>VLOOKUP(B39,'E&amp;W'!$A$7:$AD$69,25,0)</f>
        <v>2622817</v>
      </c>
      <c r="N38" s="270">
        <f>VLOOKUP(B39,'E&amp;W'!$A$7:$AD$69,27,0)</f>
        <v>2629315</v>
      </c>
      <c r="O38" s="270">
        <f>VLOOKUP(B39,'E&amp;W'!$A$7:$AD$69,29,0)</f>
        <v>2604029</v>
      </c>
    </row>
    <row r="39" spans="1:15" ht="15" customHeight="1">
      <c r="A39" s="309"/>
      <c r="B39" s="267">
        <v>1412000104</v>
      </c>
      <c r="C39" s="268" t="s">
        <v>172</v>
      </c>
      <c r="D39" s="271">
        <f>VLOOKUP(B39,'E&amp;W'!$A$7:$P$69,8,0)</f>
        <v>4502204</v>
      </c>
      <c r="E39" s="271">
        <f>VLOOKUP(B39,'E&amp;W'!$A$7:$P$69,10,0)</f>
        <v>4906000</v>
      </c>
      <c r="F39" s="271">
        <f>VLOOKUP(B39,'E&amp;W'!$A$7:$P$69,12,0)</f>
        <v>5803654</v>
      </c>
      <c r="G39" s="271">
        <f>VLOOKUP(B39,'E&amp;W'!$A$7:$P$69,14,0)</f>
        <v>8173732</v>
      </c>
      <c r="H39" s="271">
        <f>VLOOKUP(B39,'E&amp;W'!$A$7:$P$69,16,0)</f>
        <v>6922448</v>
      </c>
      <c r="I39" s="271">
        <f>VLOOKUP(B39,'E&amp;W'!$A$7:$AD$69,18,0)</f>
        <v>7043104</v>
      </c>
      <c r="J39" s="271">
        <f>VLOOKUP(B39,'E&amp;W'!$A$7:$AD$69,20,0)</f>
        <v>6935447</v>
      </c>
      <c r="K39" s="271">
        <f>VLOOKUP(B39,'E&amp;W'!$A$7:$AD$69,22,0)</f>
        <v>5209139</v>
      </c>
      <c r="L39" s="271">
        <f>VLOOKUP(B39,'E&amp;W'!$A$7:$AD$69,24,0)</f>
        <v>5115193</v>
      </c>
      <c r="M39" s="271">
        <f>VLOOKUP(B39,'E&amp;W'!$A$7:$AD$69,26,0)</f>
        <v>4564802</v>
      </c>
      <c r="N39" s="271">
        <f>VLOOKUP(B39,'E&amp;W'!$A$7:$AD$69,28,0)</f>
        <v>3529575</v>
      </c>
      <c r="O39" s="271">
        <f>VLOOKUP(B39,'E&amp;W'!$A$7:$AD$69,30,0)</f>
        <v>5137052</v>
      </c>
    </row>
    <row r="40" spans="1:15" ht="15" customHeight="1">
      <c r="A40" s="310">
        <v>18</v>
      </c>
      <c r="B40" s="264" t="s">
        <v>83</v>
      </c>
      <c r="C40" s="265" t="s">
        <v>171</v>
      </c>
      <c r="D40" s="270">
        <f>VLOOKUP(B41,'E&amp;W'!$A$7:$P$69,7,0)</f>
        <v>1175945</v>
      </c>
      <c r="E40" s="270">
        <f>VLOOKUP(B41,'E&amp;W'!$A$7:$P$69,9,0)</f>
        <v>1460384</v>
      </c>
      <c r="F40" s="270">
        <f>VLOOKUP(B41,'E&amp;W'!$A$7:$P$69,11,0)</f>
        <v>1266849</v>
      </c>
      <c r="G40" s="270">
        <f>VLOOKUP(B41,'E&amp;W'!$A$7:$P$69,13,0)</f>
        <v>1336549</v>
      </c>
      <c r="H40" s="270">
        <f>VLOOKUP(B41,'E&amp;W'!$A$7:$P$69,15,0)</f>
        <v>1258211</v>
      </c>
      <c r="I40" s="270">
        <f>VLOOKUP(B41,'E&amp;W'!$A$7:$AD$69,17,0)</f>
        <v>1249708</v>
      </c>
      <c r="J40" s="270">
        <f>VLOOKUP(B41,'E&amp;W'!$A$7:$AD$69,19,0)</f>
        <v>1083953</v>
      </c>
      <c r="K40" s="270">
        <f>VLOOKUP(B41,'E&amp;W'!$A$7:$AD$69,21,0)</f>
        <v>980997</v>
      </c>
      <c r="L40" s="270">
        <f>VLOOKUP(B41,'E&amp;W'!$A$7:$AD$69,23,0)</f>
        <v>907949</v>
      </c>
      <c r="M40" s="270">
        <f>VLOOKUP(B41,'E&amp;W'!$A$7:$AD$69,25,0)</f>
        <v>1056831</v>
      </c>
      <c r="N40" s="270">
        <f>VLOOKUP(B41,'E&amp;W'!$A$7:$AD$69,27,0)</f>
        <v>1081190</v>
      </c>
      <c r="O40" s="270">
        <f>VLOOKUP(B41,'E&amp;W'!$A$7:$AD$69,29,0)</f>
        <v>1239766</v>
      </c>
    </row>
    <row r="41" spans="1:15" ht="15" customHeight="1">
      <c r="A41" s="311"/>
      <c r="B41" s="267">
        <v>1412000105</v>
      </c>
      <c r="C41" s="268" t="s">
        <v>172</v>
      </c>
      <c r="D41" s="271">
        <f>VLOOKUP(B41,'E&amp;W'!$A$7:$P$69,8,0)</f>
        <v>588523</v>
      </c>
      <c r="E41" s="271">
        <f>VLOOKUP(B41,'E&amp;W'!$A$7:$P$69,10,0)</f>
        <v>641307</v>
      </c>
      <c r="F41" s="271">
        <f>VLOOKUP(B41,'E&amp;W'!$A$7:$P$69,12,0)</f>
        <v>758648</v>
      </c>
      <c r="G41" s="271">
        <f>VLOOKUP(B41,'E&amp;W'!$A$7:$P$69,14,0)</f>
        <v>1068462</v>
      </c>
      <c r="H41" s="271">
        <f>VLOOKUP(B41,'E&amp;W'!$A$7:$P$69,16,0)</f>
        <v>904895</v>
      </c>
      <c r="I41" s="271">
        <f>VLOOKUP(B41,'E&amp;W'!$A$7:$AD$69,18,0)</f>
        <v>920667</v>
      </c>
      <c r="J41" s="271">
        <f>VLOOKUP(B41,'E&amp;W'!$A$7:$AD$69,20,0)</f>
        <v>906594</v>
      </c>
      <c r="K41" s="271">
        <f>VLOOKUP(B41,'E&amp;W'!$A$7:$AD$69,22,0)</f>
        <v>680933</v>
      </c>
      <c r="L41" s="271">
        <f>VLOOKUP(B41,'E&amp;W'!$A$7:$AD$69,24,0)</f>
        <v>668653</v>
      </c>
      <c r="M41" s="271">
        <f>VLOOKUP(B41,'E&amp;W'!$A$7:$AD$69,26,0)</f>
        <v>596706</v>
      </c>
      <c r="N41" s="271">
        <f>VLOOKUP(B41,'E&amp;W'!$A$7:$AD$69,28,0)</f>
        <v>461382</v>
      </c>
      <c r="O41" s="271">
        <f>VLOOKUP(B41,'E&amp;W'!$A$7:$AD$69,30,0)</f>
        <v>671510</v>
      </c>
    </row>
    <row r="42" spans="1:15" ht="15" customHeight="1">
      <c r="A42" s="308">
        <v>19</v>
      </c>
      <c r="B42" s="89" t="s">
        <v>189</v>
      </c>
      <c r="C42" s="74" t="s">
        <v>171</v>
      </c>
      <c r="D42" s="76">
        <f>VLOOKUP(B43,'E&amp;W'!$A$7:$P$69,7,0)</f>
        <v>1408431</v>
      </c>
      <c r="E42" s="76">
        <f>VLOOKUP(B43,'E&amp;W'!$A$7:$P$69,9,0)</f>
        <v>1106153</v>
      </c>
      <c r="F42" s="76">
        <f>VLOOKUP(B43,'E&amp;W'!$A$7:$P$69,11,0)</f>
        <v>1017840</v>
      </c>
      <c r="G42" s="76">
        <f>VLOOKUP(B43,'E&amp;W'!$A$7:$P$69,13,0)</f>
        <v>1076689</v>
      </c>
      <c r="H42" s="76">
        <f>VLOOKUP(B43,'E&amp;W'!$A$7:$P$69,15,0)</f>
        <v>1134589</v>
      </c>
      <c r="I42" s="76">
        <f>VLOOKUP(B43,'E&amp;W'!$A$7:$AD$69,17,0)</f>
        <v>1070683</v>
      </c>
      <c r="J42" s="76">
        <f>VLOOKUP(B43,'E&amp;W'!$A$7:$AD$69,19,0)</f>
        <v>969577</v>
      </c>
      <c r="K42" s="76">
        <f>VLOOKUP(B43,'E&amp;W'!$A$7:$AD$69,21,0)</f>
        <v>1057168</v>
      </c>
      <c r="L42" s="76">
        <f>VLOOKUP(B43,'E&amp;W'!$A$7:$AD$69,23,0)</f>
        <v>1276190</v>
      </c>
      <c r="M42" s="76">
        <f>VLOOKUP(B43,'E&amp;W'!$A$7:$AD$69,25,0)</f>
        <v>1534448</v>
      </c>
      <c r="N42" s="76">
        <f>VLOOKUP(B43,'E&amp;W'!$A$7:$AD$69,27,0)</f>
        <v>1557736</v>
      </c>
      <c r="O42" s="76">
        <f>VLOOKUP(B43,'E&amp;W'!$A$7:$AD$69,29,0)</f>
        <v>1463078</v>
      </c>
    </row>
    <row r="43" spans="1:15" ht="15" customHeight="1">
      <c r="A43" s="308"/>
      <c r="B43" s="90">
        <v>1412000075</v>
      </c>
      <c r="C43" s="82" t="s">
        <v>172</v>
      </c>
      <c r="D43" s="83">
        <f>VLOOKUP(B43,'E&amp;W'!$A$7:$P$69,8,0)</f>
        <v>382540</v>
      </c>
      <c r="E43" s="83">
        <f>VLOOKUP(B43,'E&amp;W'!$A$7:$P$69,10,0)</f>
        <v>448915</v>
      </c>
      <c r="F43" s="83">
        <f>VLOOKUP(B43,'E&amp;W'!$A$7:$P$69,12,0)</f>
        <v>531053</v>
      </c>
      <c r="G43" s="83">
        <f>VLOOKUP(B43,'E&amp;W'!$A$7:$P$69,14,0)</f>
        <v>747923</v>
      </c>
      <c r="H43" s="83">
        <f>VLOOKUP(B43,'E&amp;W'!$A$7:$P$69,16,0)</f>
        <v>633427</v>
      </c>
      <c r="I43" s="83">
        <f>VLOOKUP(B43,'E&amp;W'!$A$7:$AD$69,18,0)</f>
        <v>644467</v>
      </c>
      <c r="J43" s="83">
        <f>VLOOKUP(B43,'E&amp;W'!$A$7:$AD$69,20,0)</f>
        <v>634616</v>
      </c>
      <c r="K43" s="83">
        <f>VLOOKUP(B43,'E&amp;W'!$A$7:$AD$69,22,0)</f>
        <v>476653</v>
      </c>
      <c r="L43" s="83">
        <f>VLOOKUP(B43,'E&amp;W'!$A$7:$AD$69,24,0)</f>
        <v>468057</v>
      </c>
      <c r="M43" s="83">
        <f>VLOOKUP(B43,'E&amp;W'!$A$7:$AD$69,26,0)</f>
        <v>417694</v>
      </c>
      <c r="N43" s="83">
        <f>VLOOKUP(B43,'E&amp;W'!$A$7:$AD$69,28,0)</f>
        <v>322968</v>
      </c>
      <c r="O43" s="83">
        <f>VLOOKUP(B43,'E&amp;W'!$A$7:$AD$69,30,0)</f>
        <v>470057</v>
      </c>
    </row>
    <row r="44" spans="1:15" ht="15" customHeight="1">
      <c r="A44" s="310">
        <v>20</v>
      </c>
      <c r="B44" s="89" t="s">
        <v>130</v>
      </c>
      <c r="C44" s="74" t="s">
        <v>171</v>
      </c>
      <c r="D44" s="76">
        <f>VLOOKUP(B45,'E&amp;W'!$A$7:$P$69,7,0)</f>
        <v>1892497</v>
      </c>
      <c r="E44" s="76">
        <f>VLOOKUP(B45,'E&amp;W'!$A$7:$P$69,9,0)</f>
        <v>1697070</v>
      </c>
      <c r="F44" s="76">
        <f>VLOOKUP(B45,'E&amp;W'!$A$7:$P$69,11,0)</f>
        <v>1548171</v>
      </c>
      <c r="G44" s="76">
        <f>VLOOKUP(B45,'E&amp;W'!$A$7:$P$69,13,0)</f>
        <v>1665083</v>
      </c>
      <c r="H44" s="76">
        <f>VLOOKUP(B45,'E&amp;W'!$A$7:$P$69,15,0)</f>
        <v>1776206</v>
      </c>
      <c r="I44" s="76">
        <f>VLOOKUP(B45,'E&amp;W'!$A$7:$AD$69,17,0)</f>
        <v>1730953</v>
      </c>
      <c r="J44" s="76">
        <f>VLOOKUP(B45,'E&amp;W'!$A$7:$AD$69,19,0)</f>
        <v>1417376</v>
      </c>
      <c r="K44" s="76">
        <f>VLOOKUP(B45,'E&amp;W'!$A$7:$AD$69,21,0)</f>
        <v>1568216</v>
      </c>
      <c r="L44" s="76">
        <f>VLOOKUP(B45,'E&amp;W'!$A$7:$AD$69,23,0)</f>
        <v>1678744</v>
      </c>
      <c r="M44" s="76">
        <f>VLOOKUP(B45,'E&amp;W'!$A$7:$AD$69,25,0)</f>
        <v>1920136</v>
      </c>
      <c r="N44" s="76">
        <f>VLOOKUP(B45,'E&amp;W'!$A$7:$AD$69,27,0)</f>
        <v>1987771</v>
      </c>
      <c r="O44" s="76">
        <f>VLOOKUP(B45,'E&amp;W'!$A$7:$AD$69,29,0)</f>
        <v>1977773</v>
      </c>
    </row>
    <row r="45" spans="1:15" ht="15" customHeight="1">
      <c r="A45" s="311"/>
      <c r="B45" s="90">
        <v>1412000008</v>
      </c>
      <c r="C45" s="82" t="s">
        <v>172</v>
      </c>
      <c r="D45" s="83">
        <f>VLOOKUP(B45,'E&amp;W'!$A$7:$P$69,8,0)</f>
        <v>294262</v>
      </c>
      <c r="E45" s="83">
        <f>VLOOKUP(B45,'E&amp;W'!$A$7:$P$69,10,0)</f>
        <v>320654</v>
      </c>
      <c r="F45" s="83">
        <f>VLOOKUP(B45,'E&amp;W'!$A$7:$P$69,12,0)</f>
        <v>379324</v>
      </c>
      <c r="G45" s="83">
        <f>VLOOKUP(B45,'E&amp;W'!$A$7:$P$69,14,0)</f>
        <v>534231</v>
      </c>
      <c r="H45" s="83">
        <f>VLOOKUP(B45,'E&amp;W'!$A$7:$P$69,16,0)</f>
        <v>452448</v>
      </c>
      <c r="I45" s="83">
        <f>VLOOKUP(B45,'E&amp;W'!$A$7:$AD$69,18,0)</f>
        <v>460334</v>
      </c>
      <c r="J45" s="83">
        <f>VLOOKUP(B45,'E&amp;W'!$A$7:$AD$69,20,0)</f>
        <v>453297</v>
      </c>
      <c r="K45" s="83">
        <f>VLOOKUP(B45,'E&amp;W'!$A$7:$AD$69,22,0)</f>
        <v>340467</v>
      </c>
      <c r="L45" s="83">
        <f>VLOOKUP(B45,'E&amp;W'!$A$7:$AD$69,24,0)</f>
        <v>334326</v>
      </c>
      <c r="M45" s="83">
        <f>VLOOKUP(B45,'E&amp;W'!$A$7:$AD$69,26,0)</f>
        <v>298353</v>
      </c>
      <c r="N45" s="83">
        <f>VLOOKUP(B45,'E&amp;W'!$A$7:$AD$69,28,0)</f>
        <v>230691</v>
      </c>
      <c r="O45" s="83">
        <f>VLOOKUP(B45,'E&amp;W'!$A$7:$AD$69,30,0)</f>
        <v>335755</v>
      </c>
    </row>
    <row r="46" spans="1:15" ht="15" customHeight="1">
      <c r="A46" s="308">
        <v>21</v>
      </c>
      <c r="B46" s="89" t="s">
        <v>131</v>
      </c>
      <c r="C46" s="74" t="s">
        <v>171</v>
      </c>
      <c r="D46" s="76">
        <f>VLOOKUP(B47,'E&amp;W'!$A$7:$P$69,7,0)</f>
        <v>1075137</v>
      </c>
      <c r="E46" s="76">
        <f>VLOOKUP(B47,'E&amp;W'!$A$7:$P$69,9,0)</f>
        <v>970835</v>
      </c>
      <c r="F46" s="76">
        <f>VLOOKUP(B47,'E&amp;W'!$A$7:$P$69,11,0)</f>
        <v>885281</v>
      </c>
      <c r="G46" s="76">
        <f>VLOOKUP(B47,'E&amp;W'!$A$7:$P$69,13,0)</f>
        <v>952906</v>
      </c>
      <c r="H46" s="76">
        <f>VLOOKUP(B47,'E&amp;W'!$A$7:$P$69,15,0)</f>
        <v>1017098</v>
      </c>
      <c r="I46" s="76">
        <f>VLOOKUP(B47,'E&amp;W'!$A$7:$AD$69,17,0)</f>
        <v>992686</v>
      </c>
      <c r="J46" s="76">
        <f>VLOOKUP(B47,'E&amp;W'!$A$7:$AD$69,19,0)</f>
        <v>808872</v>
      </c>
      <c r="K46" s="76">
        <f>VLOOKUP(B47,'E&amp;W'!$A$7:$AD$69,21,0)</f>
        <v>895623</v>
      </c>
      <c r="L46" s="76">
        <f>VLOOKUP(B47,'E&amp;W'!$A$7:$AD$69,23,0)</f>
        <v>952553</v>
      </c>
      <c r="M46" s="76">
        <f>VLOOKUP(B47,'E&amp;W'!$A$7:$AD$69,25,0)</f>
        <v>1086320</v>
      </c>
      <c r="N46" s="76">
        <f>VLOOKUP(B47,'E&amp;W'!$A$7:$AD$69,27,0)</f>
        <v>1125902</v>
      </c>
      <c r="O46" s="76">
        <f>VLOOKUP(B47,'E&amp;W'!$A$7:$AD$69,29,0)</f>
        <v>1123960</v>
      </c>
    </row>
    <row r="47" spans="1:15" ht="15" customHeight="1">
      <c r="A47" s="308"/>
      <c r="B47" s="90">
        <v>1412000010</v>
      </c>
      <c r="C47" s="82" t="s">
        <v>172</v>
      </c>
      <c r="D47" s="83">
        <f>VLOOKUP(B47,'E&amp;W'!$A$7:$P$69,8,0)</f>
        <v>176557</v>
      </c>
      <c r="E47" s="83">
        <f>VLOOKUP(B47,'E&amp;W'!$A$7:$P$69,10,0)</f>
        <v>192392</v>
      </c>
      <c r="F47" s="83">
        <f>VLOOKUP(B47,'E&amp;W'!$A$7:$P$69,12,0)</f>
        <v>227594</v>
      </c>
      <c r="G47" s="83">
        <f>VLOOKUP(B47,'E&amp;W'!$A$7:$P$69,14,0)</f>
        <v>320539</v>
      </c>
      <c r="H47" s="83">
        <f>VLOOKUP(B47,'E&amp;W'!$A$7:$P$69,16,0)</f>
        <v>271469</v>
      </c>
      <c r="I47" s="83">
        <f>VLOOKUP(B47,'E&amp;W'!$A$7:$AD$69,18,0)</f>
        <v>276200</v>
      </c>
      <c r="J47" s="83">
        <f>VLOOKUP(B47,'E&amp;W'!$A$7:$AD$69,20,0)</f>
        <v>271978</v>
      </c>
      <c r="K47" s="83">
        <f>VLOOKUP(B47,'E&amp;W'!$A$7:$AD$69,22,0)</f>
        <v>204280</v>
      </c>
      <c r="L47" s="83">
        <f>VLOOKUP(B47,'E&amp;W'!$A$7:$AD$69,24,0)</f>
        <v>200596</v>
      </c>
      <c r="M47" s="83">
        <f>VLOOKUP(B47,'E&amp;W'!$A$7:$AD$69,26,0)</f>
        <v>179012</v>
      </c>
      <c r="N47" s="83">
        <f>VLOOKUP(B47,'E&amp;W'!$A$7:$AD$69,28,0)</f>
        <v>138415</v>
      </c>
      <c r="O47" s="83">
        <f>VLOOKUP(B47,'E&amp;W'!$A$7:$AD$69,30,0)</f>
        <v>201453</v>
      </c>
    </row>
    <row r="48" spans="1:15" s="86" customFormat="1" ht="15" customHeight="1">
      <c r="A48" s="309">
        <v>22</v>
      </c>
      <c r="B48" s="98" t="s">
        <v>158</v>
      </c>
      <c r="C48" s="85" t="s">
        <v>171</v>
      </c>
      <c r="D48" s="76">
        <f>VLOOKUP(B49,'E&amp;W'!$A$7:$P$69,7,0)</f>
        <v>100602</v>
      </c>
      <c r="E48" s="76">
        <f>VLOOKUP(B49,'E&amp;W'!$A$7:$P$69,9,0)</f>
        <v>79011</v>
      </c>
      <c r="F48" s="76">
        <f>VLOOKUP(B49,'E&amp;W'!$A$7:$P$69,11,0)</f>
        <v>72703</v>
      </c>
      <c r="G48" s="76">
        <f>VLOOKUP(B49,'E&amp;W'!$A$7:$P$69,13,0)</f>
        <v>76906</v>
      </c>
      <c r="H48" s="76">
        <f>VLOOKUP(B49,'E&amp;W'!$A$7:$P$69,15,0)</f>
        <v>81042</v>
      </c>
      <c r="I48" s="76">
        <f>VLOOKUP(B49,'E&amp;W'!$A$7:$AD$69,17,0)</f>
        <v>76477</v>
      </c>
      <c r="J48" s="76">
        <f>VLOOKUP(B49,'E&amp;W'!$A$7:$AD$69,19,0)</f>
        <v>69255</v>
      </c>
      <c r="K48" s="76">
        <f>VLOOKUP(B49,'E&amp;W'!$A$7:$AD$69,21,0)</f>
        <v>75512</v>
      </c>
      <c r="L48" s="76">
        <f>VLOOKUP(B49,'E&amp;W'!$A$7:$AD$69,23,0)</f>
        <v>91156</v>
      </c>
      <c r="M48" s="76">
        <f>VLOOKUP(B49,'E&amp;W'!$A$7:$AD$69,25,0)</f>
        <v>109603</v>
      </c>
      <c r="N48" s="76">
        <f>VLOOKUP(B49,'E&amp;W'!$A$7:$AD$69,27,0)</f>
        <v>111267</v>
      </c>
      <c r="O48" s="76">
        <f>VLOOKUP(B49,'E&amp;W'!$A$7:$AD$69,29,0)</f>
        <v>104506</v>
      </c>
    </row>
    <row r="49" spans="1:15" s="86" customFormat="1" ht="15" customHeight="1">
      <c r="A49" s="309"/>
      <c r="B49" s="99">
        <v>1412000094</v>
      </c>
      <c r="C49" s="88" t="s">
        <v>172</v>
      </c>
      <c r="D49" s="83">
        <f>VLOOKUP(B49,'E&amp;W'!$A$7:$P$69,8,0)</f>
        <v>147131</v>
      </c>
      <c r="E49" s="83">
        <f>VLOOKUP(B49,'E&amp;W'!$A$7:$P$69,10,0)</f>
        <v>160327</v>
      </c>
      <c r="F49" s="83">
        <f>VLOOKUP(B49,'E&amp;W'!$A$7:$P$69,12,0)</f>
        <v>189662</v>
      </c>
      <c r="G49" s="83">
        <f>VLOOKUP(B49,'E&amp;W'!$A$7:$P$69,14,0)</f>
        <v>267115</v>
      </c>
      <c r="H49" s="83">
        <f>VLOOKUP(B49,'E&amp;W'!$A$7:$P$69,16,0)</f>
        <v>226224</v>
      </c>
      <c r="I49" s="83">
        <f>VLOOKUP(B49,'E&amp;W'!$A$7:$AD$69,18,0)</f>
        <v>230167</v>
      </c>
      <c r="J49" s="83">
        <f>VLOOKUP(B49,'E&amp;W'!$A$7:$AD$69,20,0)</f>
        <v>226649</v>
      </c>
      <c r="K49" s="83">
        <f>VLOOKUP(B49,'E&amp;W'!$A$7:$AD$69,22,0)</f>
        <v>170233</v>
      </c>
      <c r="L49" s="83">
        <f>VLOOKUP(B49,'E&amp;W'!$A$7:$AD$69,24,0)</f>
        <v>167163</v>
      </c>
      <c r="M49" s="83">
        <f>VLOOKUP(B49,'E&amp;W'!$A$7:$AD$69,26,0)</f>
        <v>149177</v>
      </c>
      <c r="N49" s="83">
        <f>VLOOKUP(B49,'E&amp;W'!$A$7:$AD$69,28,0)</f>
        <v>115346</v>
      </c>
      <c r="O49" s="83">
        <f>VLOOKUP(B49,'E&amp;W'!$A$7:$AD$69,30,0)</f>
        <v>167878</v>
      </c>
    </row>
    <row r="50" spans="1:15" ht="15" customHeight="1">
      <c r="A50" s="310">
        <v>23</v>
      </c>
      <c r="B50" s="89" t="s">
        <v>4</v>
      </c>
      <c r="C50" s="74" t="s">
        <v>171</v>
      </c>
      <c r="D50" s="76">
        <f>VLOOKUP(B51,'E&amp;W'!$A$7:$P$69,7,0)</f>
        <v>2609255</v>
      </c>
      <c r="E50" s="76">
        <f>VLOOKUP(B51,'E&amp;W'!$A$7:$P$69,9,0)</f>
        <v>2344293</v>
      </c>
      <c r="F50" s="76">
        <f>VLOOKUP(B51,'E&amp;W'!$A$7:$P$69,11,0)</f>
        <v>2138358</v>
      </c>
      <c r="G50" s="76">
        <f>VLOOKUP(B51,'E&amp;W'!$A$7:$P$69,13,0)</f>
        <v>2300354</v>
      </c>
      <c r="H50" s="76">
        <f>VLOOKUP(B51,'E&amp;W'!$A$7:$P$69,15,0)</f>
        <v>2454271</v>
      </c>
      <c r="I50" s="76">
        <f>VLOOKUP(B51,'E&amp;W'!$A$7:$AD$69,17,0)</f>
        <v>2392744</v>
      </c>
      <c r="J50" s="76">
        <f>VLOOKUP(B51,'E&amp;W'!$A$7:$AD$69,19,0)</f>
        <v>1956624</v>
      </c>
      <c r="K50" s="76">
        <f>VLOOKUP(B51,'E&amp;W'!$A$7:$AD$69,21,0)</f>
        <v>2165298</v>
      </c>
      <c r="L50" s="76">
        <f>VLOOKUP(B51,'E&amp;W'!$A$7:$AD$69,23,0)</f>
        <v>2313779</v>
      </c>
      <c r="M50" s="76">
        <f>VLOOKUP(B51,'E&amp;W'!$A$7:$AD$69,25,0)</f>
        <v>2644349</v>
      </c>
      <c r="N50" s="76">
        <f>VLOOKUP(B51,'E&amp;W'!$A$7:$AD$69,27,0)</f>
        <v>2738372</v>
      </c>
      <c r="O50" s="76">
        <f>VLOOKUP(B51,'E&amp;W'!$A$7:$AD$69,29,0)</f>
        <v>2727080</v>
      </c>
    </row>
    <row r="51" spans="1:15" ht="15" customHeight="1">
      <c r="A51" s="311"/>
      <c r="B51" s="90">
        <v>1412000054</v>
      </c>
      <c r="C51" s="82" t="s">
        <v>172</v>
      </c>
      <c r="D51" s="83">
        <f>VLOOKUP(B51,'E&amp;W'!$A$7:$P$69,8,0)</f>
        <v>411966</v>
      </c>
      <c r="E51" s="83">
        <f>VLOOKUP(B51,'E&amp;W'!$A$7:$P$69,10,0)</f>
        <v>448915</v>
      </c>
      <c r="F51" s="83">
        <f>VLOOKUP(B51,'E&amp;W'!$A$7:$P$69,12,0)</f>
        <v>531053</v>
      </c>
      <c r="G51" s="83">
        <f>VLOOKUP(B51,'E&amp;W'!$A$7:$P$69,14,0)</f>
        <v>747923</v>
      </c>
      <c r="H51" s="83">
        <f>VLOOKUP(B51,'E&amp;W'!$A$7:$P$69,16,0)</f>
        <v>633427</v>
      </c>
      <c r="I51" s="83">
        <f>VLOOKUP(B51,'E&amp;W'!$A$7:$AD$69,18,0)</f>
        <v>644467</v>
      </c>
      <c r="J51" s="83">
        <f>VLOOKUP(B51,'E&amp;W'!$A$7:$AD$69,20,0)</f>
        <v>634616</v>
      </c>
      <c r="K51" s="83">
        <f>VLOOKUP(B51,'E&amp;W'!$A$7:$AD$69,22,0)</f>
        <v>476653</v>
      </c>
      <c r="L51" s="83">
        <f>VLOOKUP(B51,'E&amp;W'!$A$7:$AD$69,24,0)</f>
        <v>468057</v>
      </c>
      <c r="M51" s="83">
        <f>VLOOKUP(B51,'E&amp;W'!$A$7:$AD$69,26,0)</f>
        <v>417694</v>
      </c>
      <c r="N51" s="83">
        <f>VLOOKUP(B51,'E&amp;W'!$A$7:$AD$69,28,0)</f>
        <v>322968</v>
      </c>
      <c r="O51" s="83">
        <f>VLOOKUP(B51,'E&amp;W'!$A$7:$AD$69,30,0)</f>
        <v>470057</v>
      </c>
    </row>
    <row r="52" spans="1:15" ht="15" customHeight="1">
      <c r="A52" s="308">
        <v>24</v>
      </c>
      <c r="B52" s="89" t="s">
        <v>191</v>
      </c>
      <c r="C52" s="74" t="s">
        <v>171</v>
      </c>
      <c r="D52" s="76">
        <f>VLOOKUP(B53,'E&amp;W'!$A$7:$P$69,7,0)</f>
        <v>161259654</v>
      </c>
      <c r="E52" s="76">
        <f>VLOOKUP(B53,'E&amp;W'!$A$7:$P$69,9,0)</f>
        <v>184240060</v>
      </c>
      <c r="F52" s="76">
        <f>VLOOKUP(B53,'E&amp;W'!$A$7:$P$69,11,0)</f>
        <v>253069181</v>
      </c>
      <c r="G52" s="76">
        <f>VLOOKUP(B53,'E&amp;W'!$A$7:$P$69,13,0)</f>
        <v>296661048</v>
      </c>
      <c r="H52" s="76">
        <f>VLOOKUP(B53,'E&amp;W'!$A$7:$P$69,15,0)</f>
        <v>315090256</v>
      </c>
      <c r="I52" s="76">
        <f>VLOOKUP(B53,'E&amp;W'!$A$7:$AD$69,17,0)</f>
        <v>304173947</v>
      </c>
      <c r="J52" s="76">
        <f>VLOOKUP(B53,'E&amp;W'!$A$7:$AD$69,19,0)</f>
        <v>248315991</v>
      </c>
      <c r="K52" s="76">
        <f>VLOOKUP(B53,'E&amp;W'!$A$7:$AD$69,21,0)</f>
        <v>227011674</v>
      </c>
      <c r="L52" s="76">
        <f>VLOOKUP(B53,'E&amp;W'!$A$7:$AD$69,23,0)</f>
        <v>145857668</v>
      </c>
      <c r="M52" s="76">
        <f>VLOOKUP(B53,'E&amp;W'!$A$7:$AD$69,25,0)</f>
        <v>111240594</v>
      </c>
      <c r="N52" s="76">
        <f>VLOOKUP(B53,'E&amp;W'!$A$7:$AD$69,27,0)</f>
        <v>111421595</v>
      </c>
      <c r="O52" s="76">
        <f>VLOOKUP(B53,'E&amp;W'!$A$7:$AD$69,29,0)</f>
        <v>114848341</v>
      </c>
    </row>
    <row r="53" spans="1:15" ht="15" customHeight="1">
      <c r="A53" s="308"/>
      <c r="B53" s="90">
        <v>1412000036</v>
      </c>
      <c r="C53" s="82" t="s">
        <v>172</v>
      </c>
      <c r="D53" s="83">
        <f>VLOOKUP(B53,'E&amp;W'!$A$7:$P$69,8,0)</f>
        <v>3207453</v>
      </c>
      <c r="E53" s="83">
        <f>VLOOKUP(B53,'E&amp;W'!$A$7:$P$69,10,0)</f>
        <v>3495124</v>
      </c>
      <c r="F53" s="83">
        <f>VLOOKUP(B53,'E&amp;W'!$A$7:$P$69,12,0)</f>
        <v>4134630</v>
      </c>
      <c r="G53" s="83">
        <f>VLOOKUP(B53,'E&amp;W'!$A$7:$P$69,14,0)</f>
        <v>5769693</v>
      </c>
      <c r="H53" s="83">
        <f>VLOOKUP(B53,'E&amp;W'!$A$7:$P$69,16,0)</f>
        <v>4569720</v>
      </c>
      <c r="I53" s="83">
        <f>VLOOKUP(B53,'E&amp;W'!$A$7:$AD$69,18,0)</f>
        <v>4603336</v>
      </c>
      <c r="J53" s="83">
        <f>VLOOKUP(B53,'E&amp;W'!$A$7:$AD$69,20,0)</f>
        <v>4487642</v>
      </c>
      <c r="K53" s="83">
        <f>VLOOKUP(B53,'E&amp;W'!$A$7:$AD$69,22,0)</f>
        <v>3370619</v>
      </c>
      <c r="L53" s="83">
        <f>VLOOKUP(B53,'E&amp;W'!$A$7:$AD$69,24,0)</f>
        <v>3309831</v>
      </c>
      <c r="M53" s="83">
        <f>VLOOKUP(B53,'E&amp;W'!$A$7:$AD$69,26,0)</f>
        <v>2953696</v>
      </c>
      <c r="N53" s="83">
        <f>VLOOKUP(B53,'E&amp;W'!$A$7:$AD$69,28,0)</f>
        <v>2283843</v>
      </c>
      <c r="O53" s="83">
        <f>VLOOKUP(B53,'E&amp;W'!$A$7:$AD$69,30,0)</f>
        <v>3290400</v>
      </c>
    </row>
    <row r="54" spans="1:15" ht="15" customHeight="1">
      <c r="A54" s="310">
        <v>25</v>
      </c>
      <c r="B54" s="264" t="s">
        <v>192</v>
      </c>
      <c r="C54" s="265" t="s">
        <v>171</v>
      </c>
      <c r="D54" s="270">
        <f>VLOOKUP(B55,'E&amp;W'!$A$7:$P$69,7,0)</f>
        <v>222773975</v>
      </c>
      <c r="E54" s="270">
        <f>VLOOKUP(B55,'E&amp;W'!$A$7:$P$69,9,0)</f>
        <v>235897731</v>
      </c>
      <c r="F54" s="270">
        <f>VLOOKUP(B55,'E&amp;W'!$A$7:$P$69,11,0)</f>
        <v>276218650</v>
      </c>
      <c r="G54" s="270">
        <f>VLOOKUP(B55,'E&amp;W'!$A$7:$P$69,13,0)</f>
        <v>280665744</v>
      </c>
      <c r="H54" s="270">
        <f>VLOOKUP(B55,'E&amp;W'!$A$7:$P$69,15,0)</f>
        <v>288220435</v>
      </c>
      <c r="I54" s="270">
        <f>VLOOKUP(B55,'E&amp;W'!$A$7:$AD$69,17,0)</f>
        <v>253851821</v>
      </c>
      <c r="J54" s="270">
        <f>VLOOKUP(B55,'E&amp;W'!$A$7:$AD$69,19,0)</f>
        <v>224748729</v>
      </c>
      <c r="K54" s="270">
        <f>VLOOKUP(B55,'E&amp;W'!$A$7:$AD$69,21,0)</f>
        <v>224101936</v>
      </c>
      <c r="L54" s="270">
        <f>VLOOKUP(B55,'E&amp;W'!$A$7:$AD$69,23,0)</f>
        <v>211605801</v>
      </c>
      <c r="M54" s="270">
        <f>VLOOKUP(B55,'E&amp;W'!$A$7:$AD$69,25,0)</f>
        <v>209306608</v>
      </c>
      <c r="N54" s="270">
        <f>VLOOKUP(B55,'E&amp;W'!$A$7:$AD$69,27,0)</f>
        <v>205844960</v>
      </c>
      <c r="O54" s="270">
        <f>VLOOKUP(B55,'E&amp;W'!$A$7:$AD$69,29,0)</f>
        <v>207775235</v>
      </c>
    </row>
    <row r="55" spans="1:15" ht="15" customHeight="1">
      <c r="A55" s="311"/>
      <c r="B55" s="267">
        <v>1412000103</v>
      </c>
      <c r="C55" s="268" t="s">
        <v>172</v>
      </c>
      <c r="D55" s="271">
        <f>VLOOKUP(B55,'E&amp;W'!$A$7:$P$69,8,0)</f>
        <v>7062281</v>
      </c>
      <c r="E55" s="271">
        <f>VLOOKUP(B55,'E&amp;W'!$A$7:$P$69,10,0)</f>
        <v>7663621</v>
      </c>
      <c r="F55" s="271">
        <f>VLOOKUP(B55,'E&amp;W'!$A$7:$P$69,12,0)</f>
        <v>9027907</v>
      </c>
      <c r="G55" s="271">
        <f>VLOOKUP(B55,'E&amp;W'!$A$7:$P$69,14,0)</f>
        <v>12661271</v>
      </c>
      <c r="H55" s="271">
        <f>VLOOKUP(B55,'E&amp;W'!$A$7:$P$69,16,0)</f>
        <v>10723007</v>
      </c>
      <c r="I55" s="271">
        <f>VLOOKUP(B55,'E&amp;W'!$A$7:$AD$69,18,0)</f>
        <v>10725773</v>
      </c>
      <c r="J55" s="271">
        <f>VLOOKUP(B55,'E&amp;W'!$A$7:$AD$69,20,0)</f>
        <v>10516495</v>
      </c>
      <c r="K55" s="271">
        <f>VLOOKUP(B55,'E&amp;W'!$A$7:$AD$69,22,0)</f>
        <v>7864778</v>
      </c>
      <c r="L55" s="271">
        <f>VLOOKUP(B55,'E&amp;W'!$A$7:$AD$69,24,0)</f>
        <v>7689506</v>
      </c>
      <c r="M55" s="271">
        <f>VLOOKUP(B55,'E&amp;W'!$A$7:$AD$69,26,0)</f>
        <v>6832286</v>
      </c>
      <c r="N55" s="271">
        <f>VLOOKUP(B55,'E&amp;W'!$A$7:$AD$69,28,0)</f>
        <v>5282828</v>
      </c>
      <c r="O55" s="271">
        <f>VLOOKUP(B55,'E&amp;W'!$A$7:$AD$69,30,0)</f>
        <v>7655215</v>
      </c>
    </row>
    <row r="56" spans="1:15" ht="15" customHeight="1">
      <c r="A56" s="308">
        <v>26</v>
      </c>
      <c r="B56" s="89" t="s">
        <v>82</v>
      </c>
      <c r="C56" s="74" t="s">
        <v>171</v>
      </c>
      <c r="D56" s="76">
        <f>VLOOKUP(B57,'E&amp;W'!$A$7:$P$69,7,0)</f>
        <v>163498803</v>
      </c>
      <c r="E56" s="76">
        <f>VLOOKUP(B57,'E&amp;W'!$A$7:$P$69,9,0)</f>
        <v>168181531</v>
      </c>
      <c r="F56" s="76">
        <f>VLOOKUP(B57,'E&amp;W'!$A$7:$P$69,11,0)</f>
        <v>221042029</v>
      </c>
      <c r="G56" s="76">
        <f>VLOOKUP(B57,'E&amp;W'!$A$7:$P$69,13,0)</f>
        <v>231291016</v>
      </c>
      <c r="H56" s="76">
        <f>VLOOKUP(B57,'E&amp;W'!$A$7:$P$69,15,0)</f>
        <v>237637802</v>
      </c>
      <c r="I56" s="76">
        <f>VLOOKUP(B57,'E&amp;W'!$A$7:$AD$69,17,0)</f>
        <v>214142546</v>
      </c>
      <c r="J56" s="76">
        <f>VLOOKUP(B57,'E&amp;W'!$A$7:$AD$69,19,0)</f>
        <v>184104738</v>
      </c>
      <c r="K56" s="76">
        <f>VLOOKUP(B57,'E&amp;W'!$A$7:$AD$69,21,0)</f>
        <v>181718754</v>
      </c>
      <c r="L56" s="76">
        <f>VLOOKUP(B57,'E&amp;W'!$A$7:$AD$69,23,0)</f>
        <v>153923936</v>
      </c>
      <c r="M56" s="76">
        <f>VLOOKUP(B57,'E&amp;W'!$A$7:$AD$69,25,0)</f>
        <v>140562218</v>
      </c>
      <c r="N56" s="76">
        <f>VLOOKUP(B57,'E&amp;W'!$A$7:$AD$69,27,0)</f>
        <v>139773745</v>
      </c>
      <c r="O56" s="76">
        <f>VLOOKUP(B57,'E&amp;W'!$A$7:$AD$69,29,0)</f>
        <v>142960935</v>
      </c>
    </row>
    <row r="57" spans="1:15" ht="15" customHeight="1">
      <c r="A57" s="308"/>
      <c r="B57" s="90">
        <v>1412000072</v>
      </c>
      <c r="C57" s="82" t="s">
        <v>172</v>
      </c>
      <c r="D57" s="83">
        <f>VLOOKUP(B57,'E&amp;W'!$A$7:$P$69,8,0)</f>
        <v>1559587</v>
      </c>
      <c r="E57" s="83">
        <f>VLOOKUP(B57,'E&amp;W'!$A$7:$P$69,10,0)</f>
        <v>1699464</v>
      </c>
      <c r="F57" s="83">
        <f>VLOOKUP(B57,'E&amp;W'!$A$7:$P$69,12,0)</f>
        <v>2010416</v>
      </c>
      <c r="G57" s="83">
        <f>VLOOKUP(B57,'E&amp;W'!$A$7:$P$69,14,0)</f>
        <v>2778000</v>
      </c>
      <c r="H57" s="83">
        <f>VLOOKUP(B57,'E&amp;W'!$A$7:$P$69,16,0)</f>
        <v>2397972</v>
      </c>
      <c r="I57" s="83">
        <f>VLOOKUP(B57,'E&amp;W'!$A$7:$AD$69,18,0)</f>
        <v>2393735</v>
      </c>
      <c r="J57" s="83">
        <f>VLOOKUP(B57,'E&amp;W'!$A$7:$AD$69,20,0)</f>
        <v>2357146</v>
      </c>
      <c r="K57" s="83">
        <f>VLOOKUP(B57,'E&amp;W'!$A$7:$AD$69,22,0)</f>
        <v>1770426</v>
      </c>
      <c r="L57" s="83">
        <f>VLOOKUP(B57,'E&amp;W'!$A$7:$AD$69,24,0)</f>
        <v>1705064</v>
      </c>
      <c r="M57" s="83">
        <f>VLOOKUP(B57,'E&amp;W'!$A$7:$AD$69,26,0)</f>
        <v>1521601</v>
      </c>
      <c r="N57" s="83">
        <f>VLOOKUP(B57,'E&amp;W'!$A$7:$AD$69,28,0)</f>
        <v>1176525</v>
      </c>
      <c r="O57" s="83">
        <f>VLOOKUP(B57,'E&amp;W'!$A$7:$AD$69,30,0)</f>
        <v>1678775</v>
      </c>
    </row>
    <row r="58" spans="1:15" ht="15" customHeight="1">
      <c r="A58" s="309">
        <v>27</v>
      </c>
      <c r="B58" s="89" t="s">
        <v>66</v>
      </c>
      <c r="C58" s="74" t="s">
        <v>171</v>
      </c>
      <c r="D58" s="76">
        <f>VLOOKUP(B59,'E&amp;W'!$A$7:$P$69,7,0)</f>
        <v>1207227</v>
      </c>
      <c r="E58" s="76">
        <f>VLOOKUP(B59,'E&amp;W'!$A$7:$P$69,9,0)</f>
        <v>948132</v>
      </c>
      <c r="F58" s="76">
        <f>VLOOKUP(B59,'E&amp;W'!$A$7:$P$69,11,0)</f>
        <v>872435</v>
      </c>
      <c r="G58" s="76">
        <f>VLOOKUP(B59,'E&amp;W'!$A$7:$P$69,13,0)</f>
        <v>922876</v>
      </c>
      <c r="H58" s="76">
        <f>VLOOKUP(B59,'E&amp;W'!$A$7:$P$69,15,0)</f>
        <v>972505</v>
      </c>
      <c r="I58" s="76">
        <f>VLOOKUP(B59,'E&amp;W'!$A$7:$AD$69,17,0)</f>
        <v>917728</v>
      </c>
      <c r="J58" s="76">
        <f>VLOOKUP(B59,'E&amp;W'!$A$7:$AD$69,19,0)</f>
        <v>831066</v>
      </c>
      <c r="K58" s="76">
        <f>VLOOKUP(B59,'E&amp;W'!$A$7:$AD$69,21,0)</f>
        <v>906144</v>
      </c>
      <c r="L58" s="76">
        <f>VLOOKUP(B59,'E&amp;W'!$A$7:$AD$69,23,0)</f>
        <v>1093877</v>
      </c>
      <c r="M58" s="76">
        <f>VLOOKUP(B59,'E&amp;W'!$A$7:$AD$69,25,0)</f>
        <v>1315241</v>
      </c>
      <c r="N58" s="76">
        <f>VLOOKUP(B59,'E&amp;W'!$A$7:$AD$69,27,0)</f>
        <v>1335202</v>
      </c>
      <c r="O58" s="76">
        <f>VLOOKUP(B59,'E&amp;W'!$A$7:$AD$69,29,0)</f>
        <v>1254067</v>
      </c>
    </row>
    <row r="59" spans="1:15" ht="15" customHeight="1">
      <c r="A59" s="309"/>
      <c r="B59" s="90">
        <v>1412000073</v>
      </c>
      <c r="C59" s="82" t="s">
        <v>172</v>
      </c>
      <c r="D59" s="83">
        <f>VLOOKUP(B59,'E&amp;W'!$A$7:$P$69,8,0)</f>
        <v>441393</v>
      </c>
      <c r="E59" s="83">
        <f>VLOOKUP(B59,'E&amp;W'!$A$7:$P$69,10,0)</f>
        <v>480980</v>
      </c>
      <c r="F59" s="83">
        <f>VLOOKUP(B59,'E&amp;W'!$A$7:$P$69,12,0)</f>
        <v>568986</v>
      </c>
      <c r="G59" s="83">
        <f>VLOOKUP(B59,'E&amp;W'!$A$7:$P$69,14,0)</f>
        <v>801346</v>
      </c>
      <c r="H59" s="83">
        <f>VLOOKUP(B59,'E&amp;W'!$A$7:$P$69,16,0)</f>
        <v>678671</v>
      </c>
      <c r="I59" s="83">
        <f>VLOOKUP(B59,'E&amp;W'!$A$7:$AD$69,18,0)</f>
        <v>690500</v>
      </c>
      <c r="J59" s="83">
        <f>VLOOKUP(B59,'E&amp;W'!$A$7:$AD$69,20,0)</f>
        <v>679946</v>
      </c>
      <c r="K59" s="83">
        <f>VLOOKUP(B59,'E&amp;W'!$A$7:$AD$69,22,0)</f>
        <v>510700</v>
      </c>
      <c r="L59" s="83">
        <f>VLOOKUP(B59,'E&amp;W'!$A$7:$AD$69,24,0)</f>
        <v>501490</v>
      </c>
      <c r="M59" s="83">
        <f>VLOOKUP(B59,'E&amp;W'!$A$7:$AD$69,26,0)</f>
        <v>447530</v>
      </c>
      <c r="N59" s="83">
        <f>VLOOKUP(B59,'E&amp;W'!$A$7:$AD$69,28,0)</f>
        <v>346037</v>
      </c>
      <c r="O59" s="83">
        <f>VLOOKUP(B59,'E&amp;W'!$A$7:$AD$69,30,0)</f>
        <v>503633</v>
      </c>
    </row>
    <row r="60" spans="1:15" ht="15" customHeight="1">
      <c r="A60" s="310">
        <v>28</v>
      </c>
      <c r="B60" s="155" t="s">
        <v>3</v>
      </c>
      <c r="C60" s="74" t="s">
        <v>171</v>
      </c>
      <c r="D60" s="76">
        <f>VLOOKUP(B61,'E&amp;W'!$A$7:$P$69,7,0)</f>
        <v>932009</v>
      </c>
      <c r="E60" s="76">
        <f>VLOOKUP(B61,'E&amp;W'!$A$7:$P$69,9,0)</f>
        <v>1158252</v>
      </c>
      <c r="F60" s="76">
        <f>VLOOKUP(B61,'E&amp;W'!$A$7:$P$69,11,0)</f>
        <v>1702420</v>
      </c>
      <c r="G60" s="76">
        <f>VLOOKUP(B61,'E&amp;W'!$A$7:$P$69,13,0)</f>
        <v>2125161</v>
      </c>
      <c r="H60" s="76">
        <f>VLOOKUP(B61,'E&amp;W'!$A$7:$P$69,15,0)</f>
        <v>2211909</v>
      </c>
      <c r="I60" s="76">
        <f>VLOOKUP(B61,'E&amp;W'!$A$7:$AD$69,17,0)</f>
        <v>2026479</v>
      </c>
      <c r="J60" s="76">
        <f>VLOOKUP(B61,'E&amp;W'!$A$7:$AD$69,19,0)</f>
        <v>1790128</v>
      </c>
      <c r="K60" s="76">
        <f>VLOOKUP(B61,'E&amp;W'!$A$7:$AD$69,21,0)</f>
        <v>1500861</v>
      </c>
      <c r="L60" s="76">
        <f>VLOOKUP(B61,'E&amp;W'!$A$7:$AD$69,23,0)</f>
        <v>1070755</v>
      </c>
      <c r="M60" s="76">
        <f>VLOOKUP(B61,'E&amp;W'!$A$7:$AD$69,25,0)</f>
        <v>923989</v>
      </c>
      <c r="N60" s="76">
        <f>VLOOKUP(B61,'E&amp;W'!$A$7:$AD$69,27,0)</f>
        <v>842827</v>
      </c>
      <c r="O60" s="76">
        <f>VLOOKUP(B61,'E&amp;W'!$A$7:$AD$69,29,0)</f>
        <v>821816</v>
      </c>
    </row>
    <row r="61" spans="1:15" ht="15" customHeight="1">
      <c r="A61" s="311"/>
      <c r="B61" s="156">
        <v>1412000006</v>
      </c>
      <c r="C61" s="82" t="s">
        <v>172</v>
      </c>
      <c r="D61" s="83">
        <f>VLOOKUP(B61,'E&amp;W'!$A$7:$P$69,8,0)</f>
        <v>647376</v>
      </c>
      <c r="E61" s="83">
        <f>VLOOKUP(B61,'E&amp;W'!$A$7:$P$69,10,0)</f>
        <v>705438</v>
      </c>
      <c r="F61" s="83">
        <f>VLOOKUP(B61,'E&amp;W'!$A$7:$P$69,12,0)</f>
        <v>986242</v>
      </c>
      <c r="G61" s="83">
        <f>VLOOKUP(B61,'E&amp;W'!$A$7:$P$69,14,0)</f>
        <v>1442423</v>
      </c>
      <c r="H61" s="83">
        <f>VLOOKUP(B61,'E&amp;W'!$A$7:$P$69,16,0)</f>
        <v>1221608</v>
      </c>
      <c r="I61" s="83">
        <f>VLOOKUP(B61,'E&amp;W'!$A$7:$AD$69,18,0)</f>
        <v>1242901</v>
      </c>
      <c r="J61" s="83">
        <f>VLOOKUP(B61,'E&amp;W'!$A$7:$AD$69,20,0)</f>
        <v>1223902</v>
      </c>
      <c r="K61" s="83">
        <f>VLOOKUP(B61,'E&amp;W'!$A$7:$AD$69,22,0)</f>
        <v>919260</v>
      </c>
      <c r="L61" s="83">
        <f>VLOOKUP(B61,'E&amp;W'!$A$7:$AD$69,24,0)</f>
        <v>902681</v>
      </c>
      <c r="M61" s="83">
        <f>VLOOKUP(B61,'E&amp;W'!$A$7:$AD$69,26,0)</f>
        <v>835389</v>
      </c>
      <c r="N61" s="83">
        <f>VLOOKUP(B61,'E&amp;W'!$A$7:$AD$69,28,0)</f>
        <v>645935</v>
      </c>
      <c r="O61" s="83">
        <f>VLOOKUP(B61,'E&amp;W'!$A$7:$AD$69,30,0)</f>
        <v>940114</v>
      </c>
    </row>
    <row r="62" spans="1:15" ht="15" customHeight="1">
      <c r="A62" s="308">
        <v>29</v>
      </c>
      <c r="B62" s="155" t="s">
        <v>2</v>
      </c>
      <c r="C62" s="74" t="s">
        <v>171</v>
      </c>
      <c r="D62" s="76">
        <f>VLOOKUP(B63,'E&amp;W'!$A$7:$P$69,7,0)</f>
        <v>906826</v>
      </c>
      <c r="E62" s="76">
        <f>VLOOKUP(B63,'E&amp;W'!$A$7:$P$69,9,0)</f>
        <v>1127690</v>
      </c>
      <c r="F62" s="76">
        <f>VLOOKUP(B63,'E&amp;W'!$A$7:$P$69,11,0)</f>
        <v>1581241</v>
      </c>
      <c r="G62" s="76">
        <f>VLOOKUP(B63,'E&amp;W'!$A$7:$P$69,13,0)</f>
        <v>1917798</v>
      </c>
      <c r="H62" s="76">
        <f>VLOOKUP(B63,'E&amp;W'!$A$7:$P$69,15,0)</f>
        <v>1996141</v>
      </c>
      <c r="I62" s="76">
        <f>VLOOKUP(B63,'E&amp;W'!$A$7:$AD$69,17,0)</f>
        <v>1836440</v>
      </c>
      <c r="J62" s="76">
        <f>VLOOKUP(B63,'E&amp;W'!$A$7:$AD$69,19,0)</f>
        <v>1626428</v>
      </c>
      <c r="K62" s="76">
        <f>VLOOKUP(B63,'E&amp;W'!$A$7:$AD$69,21,0)</f>
        <v>1364099</v>
      </c>
      <c r="L62" s="76">
        <f>VLOOKUP(B63,'E&amp;W'!$A$7:$AD$69,23,0)</f>
        <v>975745</v>
      </c>
      <c r="M62" s="76">
        <f>VLOOKUP(B63,'E&amp;W'!$A$7:$AD$69,25,0)</f>
        <v>825052</v>
      </c>
      <c r="N62" s="76">
        <f>VLOOKUP(B63,'E&amp;W'!$A$7:$AD$69,27,0)</f>
        <v>748518</v>
      </c>
      <c r="O62" s="76">
        <f>VLOOKUP(B63,'E&amp;W'!$A$7:$AD$69,29,0)</f>
        <v>730912</v>
      </c>
    </row>
    <row r="63" spans="1:15" ht="15" customHeight="1">
      <c r="A63" s="308"/>
      <c r="B63" s="156">
        <v>1412000089</v>
      </c>
      <c r="C63" s="82" t="s">
        <v>172</v>
      </c>
      <c r="D63" s="83">
        <f>VLOOKUP(B63,'E&amp;W'!$A$7:$P$69,8,0)</f>
        <v>617950</v>
      </c>
      <c r="E63" s="83">
        <f>VLOOKUP(B63,'E&amp;W'!$A$7:$P$69,10,0)</f>
        <v>673373</v>
      </c>
      <c r="F63" s="83">
        <f>VLOOKUP(B63,'E&amp;W'!$A$7:$P$69,12,0)</f>
        <v>872445</v>
      </c>
      <c r="G63" s="83">
        <f>VLOOKUP(B63,'E&amp;W'!$A$7:$P$69,14,0)</f>
        <v>1228731</v>
      </c>
      <c r="H63" s="83">
        <f>VLOOKUP(B63,'E&amp;W'!$A$7:$P$69,16,0)</f>
        <v>1040629</v>
      </c>
      <c r="I63" s="83">
        <f>VLOOKUP(B63,'E&amp;W'!$A$7:$AD$69,18,0)</f>
        <v>1058767</v>
      </c>
      <c r="J63" s="83">
        <f>VLOOKUP(B63,'E&amp;W'!$A$7:$AD$69,20,0)</f>
        <v>1042584</v>
      </c>
      <c r="K63" s="83">
        <f>VLOOKUP(B63,'E&amp;W'!$A$7:$AD$69,22,0)</f>
        <v>783073</v>
      </c>
      <c r="L63" s="83">
        <f>VLOOKUP(B63,'E&amp;W'!$A$7:$AD$69,24,0)</f>
        <v>768951</v>
      </c>
      <c r="M63" s="83">
        <f>VLOOKUP(B63,'E&amp;W'!$A$7:$AD$69,26,0)</f>
        <v>686212</v>
      </c>
      <c r="N63" s="83">
        <f>VLOOKUP(B63,'E&amp;W'!$A$7:$AD$69,28,0)</f>
        <v>530590</v>
      </c>
      <c r="O63" s="83">
        <f>VLOOKUP(B63,'E&amp;W'!$A$7:$AD$69,30,0)</f>
        <v>772237</v>
      </c>
    </row>
    <row r="64" spans="1:15" ht="15" customHeight="1">
      <c r="A64" s="310">
        <v>30</v>
      </c>
      <c r="B64" s="155" t="s">
        <v>140</v>
      </c>
      <c r="C64" s="74" t="s">
        <v>171</v>
      </c>
      <c r="D64" s="76">
        <f>VLOOKUP(B65,'E&amp;W'!$A$7:$P$69,7,0)</f>
        <v>1577160</v>
      </c>
      <c r="E64" s="76">
        <f>VLOOKUP(B65,'E&amp;W'!$A$7:$P$69,9,0)</f>
        <v>2053287</v>
      </c>
      <c r="F64" s="76">
        <f>VLOOKUP(B65,'E&amp;W'!$A$7:$P$69,11,0)</f>
        <v>2791574</v>
      </c>
      <c r="G64" s="76">
        <f>VLOOKUP(B65,'E&amp;W'!$A$7:$P$69,13,0)</f>
        <v>3290266</v>
      </c>
      <c r="H64" s="76">
        <f>VLOOKUP(B65,'E&amp;W'!$A$7:$P$69,15,0)</f>
        <v>3419370</v>
      </c>
      <c r="I64" s="76">
        <f>VLOOKUP(B65,'E&amp;W'!$A$7:$AD$69,17,0)</f>
        <v>3270194</v>
      </c>
      <c r="J64" s="76">
        <f>VLOOKUP(B65,'E&amp;W'!$A$7:$AD$69,19,0)</f>
        <v>2959172</v>
      </c>
      <c r="K64" s="76">
        <f>VLOOKUP(B65,'E&amp;W'!$A$7:$AD$69,21,0)</f>
        <v>2460327</v>
      </c>
      <c r="L64" s="76">
        <f>VLOOKUP(B65,'E&amp;W'!$A$7:$AD$69,23,0)</f>
        <v>1758044</v>
      </c>
      <c r="M64" s="76">
        <f>VLOOKUP(B65,'E&amp;W'!$A$7:$AD$69,25,0)</f>
        <v>1450135</v>
      </c>
      <c r="N64" s="76">
        <f>VLOOKUP(B65,'E&amp;W'!$A$7:$AD$69,27,0)</f>
        <v>1247404</v>
      </c>
      <c r="O64" s="76">
        <f>VLOOKUP(B65,'E&amp;W'!$A$7:$AD$69,29,0)</f>
        <v>1203521</v>
      </c>
    </row>
    <row r="65" spans="1:15" ht="15" customHeight="1">
      <c r="A65" s="311"/>
      <c r="B65" s="156">
        <v>1412000040</v>
      </c>
      <c r="C65" s="82" t="s">
        <v>172</v>
      </c>
      <c r="D65" s="83">
        <f>VLOOKUP(B65,'E&amp;W'!$A$7:$P$69,8,0)</f>
        <v>529671</v>
      </c>
      <c r="E65" s="83">
        <f>VLOOKUP(B65,'E&amp;W'!$A$7:$P$69,10,0)</f>
        <v>577177</v>
      </c>
      <c r="F65" s="83">
        <f>VLOOKUP(B65,'E&amp;W'!$A$7:$P$69,12,0)</f>
        <v>682783</v>
      </c>
      <c r="G65" s="83">
        <f>VLOOKUP(B65,'E&amp;W'!$A$7:$P$69,14,0)</f>
        <v>1015039</v>
      </c>
      <c r="H65" s="83">
        <f>VLOOKUP(B65,'E&amp;W'!$A$7:$P$69,16,0)</f>
        <v>859650</v>
      </c>
      <c r="I65" s="83">
        <f>VLOOKUP(B65,'E&amp;W'!$A$7:$AD$69,18,0)</f>
        <v>874634</v>
      </c>
      <c r="J65" s="83">
        <f>VLOOKUP(B65,'E&amp;W'!$A$7:$AD$69,20,0)</f>
        <v>861265</v>
      </c>
      <c r="K65" s="83">
        <f>VLOOKUP(B65,'E&amp;W'!$A$7:$AD$69,22,0)</f>
        <v>646887</v>
      </c>
      <c r="L65" s="83">
        <f>VLOOKUP(B65,'E&amp;W'!$A$7:$AD$69,24,0)</f>
        <v>635220</v>
      </c>
      <c r="M65" s="83">
        <f>VLOOKUP(B65,'E&amp;W'!$A$7:$AD$69,26,0)</f>
        <v>566871</v>
      </c>
      <c r="N65" s="83">
        <f>VLOOKUP(B65,'E&amp;W'!$A$7:$AD$69,28,0)</f>
        <v>438313</v>
      </c>
      <c r="O65" s="83">
        <f>VLOOKUP(B65,'E&amp;W'!$A$7:$AD$69,30,0)</f>
        <v>637935</v>
      </c>
    </row>
    <row r="66" spans="1:15" ht="15" customHeight="1">
      <c r="A66" s="308">
        <v>31</v>
      </c>
      <c r="B66" s="281" t="s">
        <v>194</v>
      </c>
      <c r="C66" s="287" t="s">
        <v>171</v>
      </c>
      <c r="D66" s="291">
        <f>VLOOKUP(B67,'E&amp;W'!$A$7:$P$69,7,0)</f>
        <v>501782</v>
      </c>
      <c r="E66" s="291">
        <f>VLOOKUP(B67,'E&amp;W'!$A$7:$P$69,9,0)</f>
        <v>636813</v>
      </c>
      <c r="F66" s="291">
        <f>VLOOKUP(B67,'E&amp;W'!$A$7:$P$69,11,0)</f>
        <v>857224</v>
      </c>
      <c r="G66" s="291">
        <f>VLOOKUP(B67,'E&amp;W'!$A$7:$P$69,13,0)</f>
        <v>1031307</v>
      </c>
      <c r="H66" s="291">
        <f>VLOOKUP(B67,'E&amp;W'!$A$7:$P$69,15,0)</f>
        <v>1072257</v>
      </c>
      <c r="I66" s="291">
        <f>VLOOKUP(B67,'E&amp;W'!$A$7:$AD$69,17,0)</f>
        <v>996110</v>
      </c>
      <c r="J66" s="291">
        <f>VLOOKUP(B67,'E&amp;W'!$A$7:$AD$69,19,0)</f>
        <v>886494</v>
      </c>
      <c r="K66" s="291">
        <f>VLOOKUP(B67,'E&amp;W'!$A$7:$AD$69,21,0)</f>
        <v>738237</v>
      </c>
      <c r="L66" s="291">
        <f>VLOOKUP(B67,'E&amp;W'!$A$7:$AD$69,23,0)</f>
        <v>522626</v>
      </c>
      <c r="M66" s="291">
        <f>VLOOKUP(B67,'E&amp;W'!$A$7:$AD$69,25,0)</f>
        <v>432496</v>
      </c>
      <c r="N66" s="291">
        <f>VLOOKUP(B67,'E&amp;W'!$A$7:$AD$69,27,0)</f>
        <v>385287</v>
      </c>
      <c r="O66" s="291">
        <f>VLOOKUP(B67,'E&amp;W'!$A$7:$AD$69,29,0)</f>
        <v>371606</v>
      </c>
    </row>
    <row r="67" spans="1:15" ht="15" customHeight="1">
      <c r="A67" s="308"/>
      <c r="B67" s="284">
        <v>1412000039</v>
      </c>
      <c r="C67" s="289" t="s">
        <v>172</v>
      </c>
      <c r="D67" s="292">
        <f>VLOOKUP(B67,'E&amp;W'!$A$7:$P$69,8,0)</f>
        <v>323688</v>
      </c>
      <c r="E67" s="292">
        <f>VLOOKUP(B67,'E&amp;W'!$A$7:$P$69,10,0)</f>
        <v>352719</v>
      </c>
      <c r="F67" s="292">
        <f>VLOOKUP(B67,'E&amp;W'!$A$7:$P$69,12,0)</f>
        <v>417256</v>
      </c>
      <c r="G67" s="292">
        <f>VLOOKUP(B67,'E&amp;W'!$A$7:$P$69,14,0)</f>
        <v>587654</v>
      </c>
      <c r="H67" s="292">
        <f>VLOOKUP(B67,'E&amp;W'!$A$7:$P$69,16,0)</f>
        <v>497692</v>
      </c>
      <c r="I67" s="292">
        <f>VLOOKUP(B67,'E&amp;W'!$A$7:$AD$69,18,0)</f>
        <v>506367</v>
      </c>
      <c r="J67" s="292">
        <f>VLOOKUP(B67,'E&amp;W'!$A$7:$AD$69,20,0)</f>
        <v>498627</v>
      </c>
      <c r="K67" s="292">
        <f>VLOOKUP(B67,'E&amp;W'!$A$7:$AD$69,22,0)</f>
        <v>374513</v>
      </c>
      <c r="L67" s="292">
        <f>VLOOKUP(B67,'E&amp;W'!$A$7:$AD$69,24,0)</f>
        <v>367759</v>
      </c>
      <c r="M67" s="292">
        <f>VLOOKUP(B67,'E&amp;W'!$A$7:$AD$69,26,0)</f>
        <v>328188</v>
      </c>
      <c r="N67" s="292">
        <f>VLOOKUP(B67,'E&amp;W'!$A$7:$AD$69,28,0)</f>
        <v>253760</v>
      </c>
      <c r="O67" s="292">
        <f>VLOOKUP(B67,'E&amp;W'!$A$7:$AD$69,30,0)</f>
        <v>369331</v>
      </c>
    </row>
    <row r="68" spans="1:15" ht="15" customHeight="1">
      <c r="A68" s="309">
        <v>32</v>
      </c>
      <c r="B68" s="281" t="s">
        <v>193</v>
      </c>
      <c r="C68" s="287" t="s">
        <v>171</v>
      </c>
      <c r="D68" s="291">
        <f>VLOOKUP(B69,'E&amp;W'!$A$7:$P$69,7,0)</f>
        <v>319390</v>
      </c>
      <c r="E68" s="291">
        <f>VLOOKUP(B69,'E&amp;W'!$A$7:$P$69,9,0)</f>
        <v>505800</v>
      </c>
      <c r="F68" s="291">
        <f>VLOOKUP(B69,'E&amp;W'!$A$7:$P$69,11,0)</f>
        <v>710738</v>
      </c>
      <c r="G68" s="291">
        <f>VLOOKUP(B69,'E&amp;W'!$A$7:$P$69,13,0)</f>
        <v>859879</v>
      </c>
      <c r="H68" s="291">
        <f>VLOOKUP(B69,'E&amp;W'!$A$7:$P$69,15,0)</f>
        <v>890108</v>
      </c>
      <c r="I68" s="291">
        <f>VLOOKUP(B69,'E&amp;W'!$A$7:$AD$69,17,0)</f>
        <v>834166</v>
      </c>
      <c r="J68" s="291">
        <f>VLOOKUP(B69,'E&amp;W'!$A$7:$AD$69,19,0)</f>
        <v>743293</v>
      </c>
      <c r="K68" s="291">
        <f>VLOOKUP(B69,'E&amp;W'!$A$7:$AD$69,21,0)</f>
        <v>600844</v>
      </c>
      <c r="L68" s="291">
        <f>VLOOKUP(B69,'E&amp;W'!$A$7:$AD$69,23,0)</f>
        <v>400293</v>
      </c>
      <c r="M68" s="291">
        <f>VLOOKUP(B69,'E&amp;W'!$A$7:$AD$69,25,0)</f>
        <v>297540</v>
      </c>
      <c r="N68" s="291">
        <f>VLOOKUP(B69,'E&amp;W'!$A$7:$AD$69,27,0)</f>
        <v>251594</v>
      </c>
      <c r="O68" s="291">
        <f>VLOOKUP(B69,'E&amp;W'!$A$7:$AD$69,29,0)</f>
        <v>224588</v>
      </c>
    </row>
    <row r="69" spans="1:15" ht="15" customHeight="1">
      <c r="A69" s="309"/>
      <c r="B69" s="284" t="s">
        <v>195</v>
      </c>
      <c r="C69" s="289" t="s">
        <v>172</v>
      </c>
      <c r="D69" s="292">
        <f>VLOOKUP(B69,'E&amp;W'!$A$7:$P$69,8,0)</f>
        <v>205983</v>
      </c>
      <c r="E69" s="292">
        <f>VLOOKUP(B69,'E&amp;W'!$A$7:$P$69,10,0)</f>
        <v>288588</v>
      </c>
      <c r="F69" s="292">
        <f>VLOOKUP(B69,'E&amp;W'!$A$7:$P$69,12,0)</f>
        <v>341391</v>
      </c>
      <c r="G69" s="292">
        <f>VLOOKUP(B69,'E&amp;W'!$A$7:$P$69,14,0)</f>
        <v>480808</v>
      </c>
      <c r="H69" s="292">
        <f>VLOOKUP(B69,'E&amp;W'!$A$7:$P$69,16,0)</f>
        <v>407203</v>
      </c>
      <c r="I69" s="292">
        <f>VLOOKUP(B69,'E&amp;W'!$A$7:$AD$69,18,0)</f>
        <v>414300</v>
      </c>
      <c r="J69" s="292">
        <f>VLOOKUP(B69,'E&amp;W'!$A$7:$AD$69,20,0)</f>
        <v>407967</v>
      </c>
      <c r="K69" s="292">
        <f>VLOOKUP(B69,'E&amp;W'!$A$7:$AD$69,22,0)</f>
        <v>306420</v>
      </c>
      <c r="L69" s="292">
        <f>VLOOKUP(B69,'E&amp;W'!$A$7:$AD$69,24,0)</f>
        <v>300894</v>
      </c>
      <c r="M69" s="292">
        <f>VLOOKUP(B69,'E&amp;W'!$A$7:$AD$69,26,0)</f>
        <v>268518</v>
      </c>
      <c r="N69" s="292">
        <f>VLOOKUP(B69,'E&amp;W'!$A$7:$AD$69,28,0)</f>
        <v>207622</v>
      </c>
      <c r="O69" s="292">
        <f>VLOOKUP(B69,'E&amp;W'!$A$7:$AD$69,30,0)</f>
        <v>302180</v>
      </c>
    </row>
    <row r="70" spans="1:15" ht="15" customHeight="1">
      <c r="A70" s="310">
        <v>33</v>
      </c>
      <c r="B70" s="89" t="s">
        <v>159</v>
      </c>
      <c r="C70" s="74" t="s">
        <v>171</v>
      </c>
      <c r="D70" s="76">
        <f>VLOOKUP(B71,'E&amp;W'!$A$7:$P$69,7,0)</f>
        <v>5044904</v>
      </c>
      <c r="E70" s="76">
        <f>VLOOKUP(B71,'E&amp;W'!$A$7:$P$69,9,0)</f>
        <v>6313112</v>
      </c>
      <c r="F70" s="76">
        <f>VLOOKUP(B71,'E&amp;W'!$A$7:$P$69,11,0)</f>
        <v>9261809</v>
      </c>
      <c r="G70" s="76">
        <f>VLOOKUP(B71,'E&amp;W'!$A$7:$P$69,13,0)</f>
        <v>11074826</v>
      </c>
      <c r="H70" s="76">
        <f>VLOOKUP(B71,'E&amp;W'!$A$7:$P$69,15,0)</f>
        <v>11388031</v>
      </c>
      <c r="I70" s="76">
        <f>VLOOKUP(B71,'E&amp;W'!$A$7:$AD$69,17,0)</f>
        <v>11315123</v>
      </c>
      <c r="J70" s="76">
        <f>VLOOKUP(B71,'E&amp;W'!$A$7:$AD$69,19,0)</f>
        <v>9060997</v>
      </c>
      <c r="K70" s="76">
        <f>VLOOKUP(B71,'E&amp;W'!$A$7:$AD$69,21,0)</f>
        <v>8158610</v>
      </c>
      <c r="L70" s="76">
        <f>VLOOKUP(B71,'E&amp;W'!$A$7:$AD$69,23,0)</f>
        <v>5910096</v>
      </c>
      <c r="M70" s="76">
        <f>VLOOKUP(B71,'E&amp;W'!$A$7:$AD$69,25,0)</f>
        <v>5244116</v>
      </c>
      <c r="N70" s="76">
        <f>VLOOKUP(B71,'E&amp;W'!$A$7:$AD$69,27,0)</f>
        <v>5358378</v>
      </c>
      <c r="O70" s="76">
        <f>VLOOKUP(B71,'E&amp;W'!$A$7:$AD$69,29,0)</f>
        <v>4380891</v>
      </c>
    </row>
    <row r="71" spans="1:15" ht="15" customHeight="1">
      <c r="A71" s="311"/>
      <c r="B71" s="90">
        <v>1412000013</v>
      </c>
      <c r="C71" s="82" t="s">
        <v>172</v>
      </c>
      <c r="D71" s="83">
        <f>VLOOKUP(B71,'E&amp;W'!$A$7:$P$69,8,0)</f>
        <v>2972043</v>
      </c>
      <c r="E71" s="83">
        <f>VLOOKUP(B71,'E&amp;W'!$A$7:$P$69,10,0)</f>
        <v>3238602</v>
      </c>
      <c r="F71" s="83">
        <f>VLOOKUP(B71,'E&amp;W'!$A$7:$P$69,12,0)</f>
        <v>3831171</v>
      </c>
      <c r="G71" s="83">
        <f>VLOOKUP(B71,'E&amp;W'!$A$7:$P$69,14,0)</f>
        <v>5662847</v>
      </c>
      <c r="H71" s="83">
        <f>VLOOKUP(B71,'E&amp;W'!$A$7:$P$69,16,0)</f>
        <v>4795944</v>
      </c>
      <c r="I71" s="83">
        <f>VLOOKUP(B71,'E&amp;W'!$A$7:$AD$69,18,0)</f>
        <v>4879536</v>
      </c>
      <c r="J71" s="83">
        <f>VLOOKUP(B71,'E&amp;W'!$A$7:$AD$69,20,0)</f>
        <v>4804951</v>
      </c>
      <c r="K71" s="83">
        <f>VLOOKUP(B71,'E&amp;W'!$A$7:$AD$69,22,0)</f>
        <v>3608946</v>
      </c>
      <c r="L71" s="83">
        <f>VLOOKUP(B71,'E&amp;W'!$A$7:$AD$69,24,0)</f>
        <v>3543859</v>
      </c>
      <c r="M71" s="83">
        <f>VLOOKUP(B71,'E&amp;W'!$A$7:$AD$69,26,0)</f>
        <v>3162543</v>
      </c>
      <c r="N71" s="83">
        <f>VLOOKUP(B71,'E&amp;W'!$A$7:$AD$69,28,0)</f>
        <v>2445326</v>
      </c>
      <c r="O71" s="83">
        <f>VLOOKUP(B71,'E&amp;W'!$A$7:$AD$69,30,0)</f>
        <v>3559004</v>
      </c>
    </row>
    <row r="72" spans="1:15" ht="15" customHeight="1">
      <c r="A72" s="308">
        <v>34</v>
      </c>
      <c r="B72" s="89" t="s">
        <v>160</v>
      </c>
      <c r="C72" s="74" t="s">
        <v>171</v>
      </c>
      <c r="D72" s="76">
        <f>VLOOKUP(B73,'E&amp;W'!$A$7:$P$69,7,0)</f>
        <v>5597890</v>
      </c>
      <c r="E72" s="76">
        <f>VLOOKUP(B73,'E&amp;W'!$A$7:$P$69,9,0)</f>
        <v>5467007</v>
      </c>
      <c r="F72" s="76">
        <f>VLOOKUP(B73,'E&amp;W'!$A$7:$P$69,11,0)</f>
        <v>6010480</v>
      </c>
      <c r="G72" s="76">
        <f>VLOOKUP(B73,'E&amp;W'!$A$7:$P$69,13,0)</f>
        <v>6599482</v>
      </c>
      <c r="H72" s="76">
        <f>VLOOKUP(B73,'E&amp;W'!$A$7:$P$69,15,0)</f>
        <v>7031358</v>
      </c>
      <c r="I72" s="76">
        <f>VLOOKUP(B73,'E&amp;W'!$A$7:$AD$69,17,0)</f>
        <v>6684089</v>
      </c>
      <c r="J72" s="76">
        <f>VLOOKUP(B73,'E&amp;W'!$A$7:$AD$69,19,0)</f>
        <v>5753478</v>
      </c>
      <c r="K72" s="76">
        <f>VLOOKUP(B73,'E&amp;W'!$A$7:$AD$69,21,0)</f>
        <v>5842593</v>
      </c>
      <c r="L72" s="76">
        <f>VLOOKUP(B73,'E&amp;W'!$A$7:$AD$69,23,0)</f>
        <v>5925955</v>
      </c>
      <c r="M72" s="76">
        <f>VLOOKUP(B73,'E&amp;W'!$A$7:$AD$69,25,0)</f>
        <v>5108741</v>
      </c>
      <c r="N72" s="76">
        <f>VLOOKUP(B73,'E&amp;W'!$A$7:$AD$69,27,0)</f>
        <v>4249388</v>
      </c>
      <c r="O72" s="76">
        <f>VLOOKUP(B73,'E&amp;W'!$A$7:$AD$69,29,0)</f>
        <v>4173923</v>
      </c>
    </row>
    <row r="73" spans="1:15" ht="15" customHeight="1">
      <c r="A73" s="308"/>
      <c r="B73" s="90">
        <v>1412000092</v>
      </c>
      <c r="C73" s="82" t="s">
        <v>172</v>
      </c>
      <c r="D73" s="83">
        <f>VLOOKUP(B73,'E&amp;W'!$A$7:$P$69,8,0)</f>
        <v>1353604</v>
      </c>
      <c r="E73" s="83">
        <f>VLOOKUP(B73,'E&amp;W'!$A$7:$P$69,10,0)</f>
        <v>1475007</v>
      </c>
      <c r="F73" s="83">
        <f>VLOOKUP(B73,'E&amp;W'!$A$7:$P$69,12,0)</f>
        <v>1744890</v>
      </c>
      <c r="G73" s="83">
        <f>VLOOKUP(B73,'E&amp;W'!$A$7:$P$69,14,0)</f>
        <v>2564308</v>
      </c>
      <c r="H73" s="83">
        <f>VLOOKUP(B73,'E&amp;W'!$A$7:$P$69,16,0)</f>
        <v>2171748</v>
      </c>
      <c r="I73" s="83">
        <f>VLOOKUP(B73,'E&amp;W'!$A$7:$AD$69,18,0)</f>
        <v>2209601</v>
      </c>
      <c r="J73" s="83">
        <f>VLOOKUP(B73,'E&amp;W'!$A$7:$AD$69,20,0)</f>
        <v>2175827</v>
      </c>
      <c r="K73" s="83">
        <f>VLOOKUP(B73,'E&amp;W'!$A$7:$AD$69,22,0)</f>
        <v>1634240</v>
      </c>
      <c r="L73" s="83">
        <f>VLOOKUP(B73,'E&amp;W'!$A$7:$AD$69,24,0)</f>
        <v>1604766</v>
      </c>
      <c r="M73" s="83">
        <f>VLOOKUP(B73,'E&amp;W'!$A$7:$AD$69,26,0)</f>
        <v>1432095</v>
      </c>
      <c r="N73" s="83">
        <f>VLOOKUP(B73,'E&amp;W'!$A$7:$AD$69,28,0)</f>
        <v>1107318</v>
      </c>
      <c r="O73" s="83">
        <f>VLOOKUP(B73,'E&amp;W'!$A$7:$AD$69,30,0)</f>
        <v>1611624</v>
      </c>
    </row>
    <row r="74" spans="1:15" ht="15" customHeight="1">
      <c r="A74" s="310">
        <v>35</v>
      </c>
      <c r="B74" s="89" t="s">
        <v>139</v>
      </c>
      <c r="C74" s="74" t="s">
        <v>171</v>
      </c>
      <c r="D74" s="76">
        <f>VLOOKUP(B75,'E&amp;W'!$A$7:$P$69,7,0)</f>
        <v>1092855</v>
      </c>
      <c r="E74" s="76">
        <f>VLOOKUP(B75,'E&amp;W'!$A$7:$P$69,9,0)</f>
        <v>1399265</v>
      </c>
      <c r="F74" s="76">
        <f>VLOOKUP(B75,'E&amp;W'!$A$7:$P$69,11,0)</f>
        <v>2231952</v>
      </c>
      <c r="G74" s="76">
        <f>VLOOKUP(B75,'E&amp;W'!$A$7:$P$69,13,0)</f>
        <v>3075616</v>
      </c>
      <c r="H74" s="76">
        <f>VLOOKUP(B75,'E&amp;W'!$A$7:$P$69,15,0)</f>
        <v>3143751</v>
      </c>
      <c r="I74" s="76">
        <f>VLOOKUP(B75,'E&amp;W'!$A$7:$AD$69,17,0)</f>
        <v>2957092</v>
      </c>
      <c r="J74" s="76">
        <f>VLOOKUP(B75,'E&amp;W'!$A$7:$AD$69,19,0)</f>
        <v>2604116</v>
      </c>
      <c r="K74" s="76">
        <f>VLOOKUP(B75,'E&amp;W'!$A$7:$AD$69,21,0)</f>
        <v>2123445</v>
      </c>
      <c r="L74" s="76">
        <f>VLOOKUP(B75,'E&amp;W'!$A$7:$AD$69,23,0)</f>
        <v>1339392</v>
      </c>
      <c r="M74" s="76">
        <f>VLOOKUP(B75,'E&amp;W'!$A$7:$AD$69,25,0)</f>
        <v>1473205</v>
      </c>
      <c r="N74" s="76">
        <f>VLOOKUP(B75,'E&amp;W'!$A$7:$AD$69,27,0)</f>
        <v>1479460</v>
      </c>
      <c r="O74" s="76">
        <f>VLOOKUP(B75,'E&amp;W'!$A$7:$AD$69,29,0)</f>
        <v>1155700</v>
      </c>
    </row>
    <row r="75" spans="1:15" ht="15" customHeight="1">
      <c r="A75" s="311"/>
      <c r="B75" s="90">
        <v>1412000035</v>
      </c>
      <c r="C75" s="82" t="s">
        <v>172</v>
      </c>
      <c r="D75" s="83">
        <f>VLOOKUP(B75,'E&amp;W'!$A$7:$P$69,8,0)</f>
        <v>765080</v>
      </c>
      <c r="E75" s="83">
        <f>VLOOKUP(B75,'E&amp;W'!$A$7:$P$69,10,0)</f>
        <v>897830</v>
      </c>
      <c r="F75" s="83">
        <f>VLOOKUP(B75,'E&amp;W'!$A$7:$P$69,12,0)</f>
        <v>1062107</v>
      </c>
      <c r="G75" s="83">
        <f>VLOOKUP(B75,'E&amp;W'!$A$7:$P$69,14,0)</f>
        <v>1495846</v>
      </c>
      <c r="H75" s="83">
        <f>VLOOKUP(B75,'E&amp;W'!$A$7:$P$69,16,0)</f>
        <v>1266853</v>
      </c>
      <c r="I75" s="83">
        <f>VLOOKUP(B75,'E&amp;W'!$A$7:$AD$69,18,0)</f>
        <v>1288934</v>
      </c>
      <c r="J75" s="83">
        <f>VLOOKUP(B75,'E&amp;W'!$A$7:$AD$69,20,0)</f>
        <v>1269232</v>
      </c>
      <c r="K75" s="83">
        <f>VLOOKUP(B75,'E&amp;W'!$A$7:$AD$69,22,0)</f>
        <v>953306</v>
      </c>
      <c r="L75" s="83">
        <f>VLOOKUP(B75,'E&amp;W'!$A$7:$AD$69,24,0)</f>
        <v>936114</v>
      </c>
      <c r="M75" s="83">
        <f>VLOOKUP(B75,'E&amp;W'!$A$7:$AD$69,26,0)</f>
        <v>835389</v>
      </c>
      <c r="N75" s="83">
        <f>VLOOKUP(B75,'E&amp;W'!$A$7:$AD$69,28,0)</f>
        <v>645935</v>
      </c>
      <c r="O75" s="83">
        <f>VLOOKUP(B75,'E&amp;W'!$A$7:$AD$69,30,0)</f>
        <v>940114</v>
      </c>
    </row>
    <row r="76" spans="1:15">
      <c r="A76" s="308">
        <v>36</v>
      </c>
      <c r="B76" s="89" t="s">
        <v>132</v>
      </c>
      <c r="C76" s="74" t="s">
        <v>171</v>
      </c>
      <c r="D76" s="76">
        <f>VLOOKUP(B77,'E&amp;W'!$A$7:$P$69,7,0)</f>
        <v>1921872</v>
      </c>
      <c r="E76" s="76">
        <f>VLOOKUP(B77,'E&amp;W'!$A$7:$P$69,9,0)</f>
        <v>2480640</v>
      </c>
      <c r="F76" s="76">
        <f>VLOOKUP(B77,'E&amp;W'!$A$7:$P$69,11,0)</f>
        <v>3515599</v>
      </c>
      <c r="G76" s="76">
        <f>VLOOKUP(B77,'E&amp;W'!$A$7:$P$69,13,0)</f>
        <v>4147708</v>
      </c>
      <c r="H76" s="76">
        <f>VLOOKUP(B77,'E&amp;W'!$A$7:$P$69,15,0)</f>
        <v>4300099</v>
      </c>
      <c r="I76" s="76">
        <f>VLOOKUP(B77,'E&amp;W'!$A$7:$AD$69,17,0)</f>
        <v>4204373</v>
      </c>
      <c r="J76" s="76">
        <f>VLOOKUP(B77,'E&amp;W'!$A$7:$AD$69,19,0)</f>
        <v>3282459</v>
      </c>
      <c r="K76" s="76">
        <f>VLOOKUP(B77,'E&amp;W'!$A$7:$AD$69,21,0)</f>
        <v>2945590</v>
      </c>
      <c r="L76" s="76">
        <f>VLOOKUP(B77,'E&amp;W'!$A$7:$AD$69,23,0)</f>
        <v>2222225</v>
      </c>
      <c r="M76" s="76">
        <f>VLOOKUP(B77,'E&amp;W'!$A$7:$AD$69,25,0)</f>
        <v>1743850</v>
      </c>
      <c r="N76" s="76">
        <f>VLOOKUP(B77,'E&amp;W'!$A$7:$AD$69,27,0)</f>
        <v>1734857</v>
      </c>
      <c r="O76" s="76">
        <f>VLOOKUP(B77,'E&amp;W'!$A$7:$AD$69,29,0)</f>
        <v>1538814</v>
      </c>
    </row>
    <row r="77" spans="1:15">
      <c r="A77" s="308"/>
      <c r="B77" s="90">
        <v>1412000016</v>
      </c>
      <c r="C77" s="82" t="s">
        <v>172</v>
      </c>
      <c r="D77" s="83">
        <f>VLOOKUP(B77,'E&amp;W'!$A$7:$P$69,8,0)</f>
        <v>588523</v>
      </c>
      <c r="E77" s="83">
        <f>VLOOKUP(B77,'E&amp;W'!$A$7:$P$69,10,0)</f>
        <v>673373</v>
      </c>
      <c r="F77" s="83">
        <f>VLOOKUP(B77,'E&amp;W'!$A$7:$P$69,12,0)</f>
        <v>796580</v>
      </c>
      <c r="G77" s="83">
        <f>VLOOKUP(B77,'E&amp;W'!$A$7:$P$69,14,0)</f>
        <v>1121885</v>
      </c>
      <c r="H77" s="83">
        <f>VLOOKUP(B77,'E&amp;W'!$A$7:$P$69,16,0)</f>
        <v>950140</v>
      </c>
      <c r="I77" s="83">
        <f>VLOOKUP(B77,'E&amp;W'!$A$7:$AD$69,18,0)</f>
        <v>966701</v>
      </c>
      <c r="J77" s="83">
        <f>VLOOKUP(B77,'E&amp;W'!$A$7:$AD$69,20,0)</f>
        <v>951924</v>
      </c>
      <c r="K77" s="83">
        <f>VLOOKUP(B77,'E&amp;W'!$A$7:$AD$69,22,0)</f>
        <v>714980</v>
      </c>
      <c r="L77" s="83">
        <f>VLOOKUP(B77,'E&amp;W'!$A$7:$AD$69,24,0)</f>
        <v>702085</v>
      </c>
      <c r="M77" s="83">
        <f>VLOOKUP(B77,'E&amp;W'!$A$7:$AD$69,26,0)</f>
        <v>626542</v>
      </c>
      <c r="N77" s="83">
        <f>VLOOKUP(B77,'E&amp;W'!$A$7:$AD$69,28,0)</f>
        <v>484451</v>
      </c>
      <c r="O77" s="83">
        <f>VLOOKUP(B77,'E&amp;W'!$A$7:$AD$69,30,0)</f>
        <v>705086</v>
      </c>
    </row>
    <row r="78" spans="1:15">
      <c r="A78" s="309">
        <v>37</v>
      </c>
      <c r="B78" s="89" t="s">
        <v>147</v>
      </c>
      <c r="C78" s="74" t="s">
        <v>171</v>
      </c>
      <c r="D78" s="76">
        <f>VLOOKUP(B79,'E&amp;W'!$A$7:$P$69,7,0)</f>
        <v>1580420</v>
      </c>
      <c r="E78" s="76">
        <f>VLOOKUP(B79,'E&amp;W'!$A$7:$P$69,9,0)</f>
        <v>2045116</v>
      </c>
      <c r="F78" s="76">
        <f>VLOOKUP(B79,'E&amp;W'!$A$7:$P$69,11,0)</f>
        <v>2889434</v>
      </c>
      <c r="G78" s="76">
        <f>VLOOKUP(B79,'E&amp;W'!$A$7:$P$69,13,0)</f>
        <v>3306614</v>
      </c>
      <c r="H78" s="76">
        <f>VLOOKUP(B79,'E&amp;W'!$A$7:$P$69,15,0)</f>
        <v>3458336</v>
      </c>
      <c r="I78" s="76">
        <f>VLOOKUP(B79,'E&amp;W'!$A$7:$AD$69,17,0)</f>
        <v>3451986</v>
      </c>
      <c r="J78" s="76">
        <f>VLOOKUP(B79,'E&amp;W'!$A$7:$AD$69,19,0)</f>
        <v>2690258</v>
      </c>
      <c r="K78" s="76">
        <f>VLOOKUP(B79,'E&amp;W'!$A$7:$AD$69,21,0)</f>
        <v>2423945</v>
      </c>
      <c r="L78" s="76">
        <f>VLOOKUP(B79,'E&amp;W'!$A$7:$AD$69,23,0)</f>
        <v>1825765</v>
      </c>
      <c r="M78" s="76">
        <f>VLOOKUP(B79,'E&amp;W'!$A$7:$AD$69,25,0)</f>
        <v>1423782</v>
      </c>
      <c r="N78" s="76">
        <f>VLOOKUP(B79,'E&amp;W'!$A$7:$AD$69,27,0)</f>
        <v>1430877</v>
      </c>
      <c r="O78" s="76">
        <f>VLOOKUP(B79,'E&amp;W'!$A$7:$AD$69,29,0)</f>
        <v>1267888</v>
      </c>
    </row>
    <row r="79" spans="1:15">
      <c r="A79" s="309"/>
      <c r="B79" s="90">
        <v>1412000069</v>
      </c>
      <c r="C79" s="82" t="s">
        <v>172</v>
      </c>
      <c r="D79" s="83">
        <f>VLOOKUP(B79,'E&amp;W'!$A$7:$P$69,8,0)</f>
        <v>382540</v>
      </c>
      <c r="E79" s="83">
        <f>VLOOKUP(B79,'E&amp;W'!$A$7:$P$69,10,0)</f>
        <v>448915</v>
      </c>
      <c r="F79" s="83">
        <f>VLOOKUP(B79,'E&amp;W'!$A$7:$P$69,12,0)</f>
        <v>531053</v>
      </c>
      <c r="G79" s="83">
        <f>VLOOKUP(B79,'E&amp;W'!$A$7:$P$69,14,0)</f>
        <v>747923</v>
      </c>
      <c r="H79" s="83">
        <f>VLOOKUP(B79,'E&amp;W'!$A$7:$P$69,16,0)</f>
        <v>633427</v>
      </c>
      <c r="I79" s="83">
        <f>VLOOKUP(B79,'E&amp;W'!$A$7:$AD$69,18,0)</f>
        <v>644467</v>
      </c>
      <c r="J79" s="83">
        <f>VLOOKUP(B79,'E&amp;W'!$A$7:$AD$69,20,0)</f>
        <v>634616</v>
      </c>
      <c r="K79" s="83">
        <f>VLOOKUP(B79,'E&amp;W'!$A$7:$AD$69,22,0)</f>
        <v>476653</v>
      </c>
      <c r="L79" s="83">
        <f>VLOOKUP(B79,'E&amp;W'!$A$7:$AD$69,24,0)</f>
        <v>468057</v>
      </c>
      <c r="M79" s="83">
        <f>VLOOKUP(B79,'E&amp;W'!$A$7:$AD$69,26,0)</f>
        <v>417694</v>
      </c>
      <c r="N79" s="83">
        <f>VLOOKUP(B79,'E&amp;W'!$A$7:$AD$69,28,0)</f>
        <v>322968</v>
      </c>
      <c r="O79" s="83">
        <f>VLOOKUP(B79,'E&amp;W'!$A$7:$AD$69,30,0)</f>
        <v>470057</v>
      </c>
    </row>
    <row r="80" spans="1:15">
      <c r="A80" s="310">
        <v>38</v>
      </c>
      <c r="B80" s="89" t="s">
        <v>149</v>
      </c>
      <c r="C80" s="74" t="s">
        <v>171</v>
      </c>
      <c r="D80" s="76">
        <f>VLOOKUP(B81,'E&amp;W'!$A$7:$P$69,7,0)</f>
        <v>1024356</v>
      </c>
      <c r="E80" s="76">
        <f>VLOOKUP(B81,'E&amp;W'!$A$7:$P$69,9,0)</f>
        <v>1306572</v>
      </c>
      <c r="F80" s="76">
        <f>VLOOKUP(B81,'E&amp;W'!$A$7:$P$69,11,0)</f>
        <v>1878495</v>
      </c>
      <c r="G80" s="76">
        <f>VLOOKUP(B81,'E&amp;W'!$A$7:$P$69,13,0)</f>
        <v>2643439</v>
      </c>
      <c r="H80" s="76">
        <f>VLOOKUP(B81,'E&amp;W'!$A$7:$P$69,15,0)</f>
        <v>2645540</v>
      </c>
      <c r="I80" s="76">
        <f>VLOOKUP(B81,'E&amp;W'!$A$7:$AD$69,17,0)</f>
        <v>2364643</v>
      </c>
      <c r="J80" s="76">
        <f>VLOOKUP(B81,'E&amp;W'!$A$7:$AD$69,19,0)</f>
        <v>1861202</v>
      </c>
      <c r="K80" s="76">
        <f>VLOOKUP(B81,'E&amp;W'!$A$7:$AD$69,21,0)</f>
        <v>1639454</v>
      </c>
      <c r="L80" s="76">
        <f>VLOOKUP(B81,'E&amp;W'!$A$7:$AD$69,23,0)</f>
        <v>1246019</v>
      </c>
      <c r="M80" s="76">
        <f>VLOOKUP(B81,'E&amp;W'!$A$7:$AD$69,25,0)</f>
        <v>1005928</v>
      </c>
      <c r="N80" s="76">
        <f>VLOOKUP(B81,'E&amp;W'!$A$7:$AD$69,27,0)</f>
        <v>955367</v>
      </c>
      <c r="O80" s="76">
        <f>VLOOKUP(B81,'E&amp;W'!$A$7:$AD$69,29,0)</f>
        <v>851481</v>
      </c>
    </row>
    <row r="81" spans="1:15">
      <c r="A81" s="311"/>
      <c r="B81" s="90">
        <v>1412000084</v>
      </c>
      <c r="C81" s="82" t="s">
        <v>172</v>
      </c>
      <c r="D81" s="83">
        <f>VLOOKUP(B81,'E&amp;W'!$A$7:$P$69,8,0)</f>
        <v>617950</v>
      </c>
      <c r="E81" s="83">
        <f>VLOOKUP(B81,'E&amp;W'!$A$7:$P$69,10,0)</f>
        <v>673373</v>
      </c>
      <c r="F81" s="83">
        <f>VLOOKUP(B81,'E&amp;W'!$A$7:$P$69,12,0)</f>
        <v>796580</v>
      </c>
      <c r="G81" s="83">
        <f>VLOOKUP(B81,'E&amp;W'!$A$7:$P$69,14,0)</f>
        <v>1175308</v>
      </c>
      <c r="H81" s="83">
        <f>VLOOKUP(B81,'E&amp;W'!$A$7:$P$69,16,0)</f>
        <v>995385</v>
      </c>
      <c r="I81" s="83">
        <f>VLOOKUP(B81,'E&amp;W'!$A$7:$AD$69,18,0)</f>
        <v>1012734</v>
      </c>
      <c r="J81" s="83">
        <f>VLOOKUP(B81,'E&amp;W'!$A$7:$AD$69,20,0)</f>
        <v>997254</v>
      </c>
      <c r="K81" s="83">
        <f>VLOOKUP(B81,'E&amp;W'!$A$7:$AD$69,22,0)</f>
        <v>749026</v>
      </c>
      <c r="L81" s="83">
        <f>VLOOKUP(B81,'E&amp;W'!$A$7:$AD$69,24,0)</f>
        <v>735518</v>
      </c>
      <c r="M81" s="83">
        <f>VLOOKUP(B81,'E&amp;W'!$A$7:$AD$69,26,0)</f>
        <v>656377</v>
      </c>
      <c r="N81" s="83">
        <f>VLOOKUP(B81,'E&amp;W'!$A$7:$AD$69,28,0)</f>
        <v>507521</v>
      </c>
      <c r="O81" s="83">
        <f>VLOOKUP(B81,'E&amp;W'!$A$7:$AD$69,30,0)</f>
        <v>738661</v>
      </c>
    </row>
    <row r="82" spans="1:15" ht="15" customHeight="1">
      <c r="A82" s="308">
        <v>39</v>
      </c>
      <c r="B82" s="89" t="s">
        <v>75</v>
      </c>
      <c r="C82" s="74" t="s">
        <v>171</v>
      </c>
      <c r="D82" s="76">
        <f>VLOOKUP(B83,'E&amp;W'!$A$7:$P$69,7,0)</f>
        <v>1417251</v>
      </c>
      <c r="E82" s="76">
        <f>VLOOKUP(B83,'E&amp;W'!$A$7:$P$69,9,0)</f>
        <v>1478138</v>
      </c>
      <c r="F82" s="76">
        <f>VLOOKUP(B83,'E&amp;W'!$A$7:$P$69,11,0)</f>
        <v>1309787</v>
      </c>
      <c r="G82" s="76">
        <f>VLOOKUP(B83,'E&amp;W'!$A$7:$P$69,13,0)</f>
        <v>1409955</v>
      </c>
      <c r="H82" s="76">
        <f>VLOOKUP(B83,'E&amp;W'!$A$7:$P$69,15,0)</f>
        <v>1525646</v>
      </c>
      <c r="I82" s="76">
        <f>VLOOKUP(B83,'E&amp;W'!$A$7:$AD$69,17,0)</f>
        <v>1694852</v>
      </c>
      <c r="J82" s="76">
        <f>VLOOKUP(B83,'E&amp;W'!$A$7:$AD$69,19,0)</f>
        <v>1202793</v>
      </c>
      <c r="K82" s="76">
        <f>VLOOKUP(B83,'E&amp;W'!$A$7:$AD$69,21,0)</f>
        <v>1389474</v>
      </c>
      <c r="L82" s="76">
        <f>VLOOKUP(B83,'E&amp;W'!$A$7:$AD$69,23,0)</f>
        <v>1348038</v>
      </c>
      <c r="M82" s="76">
        <f>VLOOKUP(B83,'E&amp;W'!$A$7:$AD$69,25,0)</f>
        <v>1426880</v>
      </c>
      <c r="N82" s="76">
        <f>VLOOKUP(B83,'E&amp;W'!$A$7:$AD$69,27,0)</f>
        <v>1491615</v>
      </c>
      <c r="O82" s="76">
        <f>VLOOKUP(B83,'E&amp;W'!$A$7:$AD$69,29,0)</f>
        <v>1626617</v>
      </c>
    </row>
    <row r="83" spans="1:15" ht="15" customHeight="1">
      <c r="A83" s="308"/>
      <c r="B83" s="90">
        <v>1412000050</v>
      </c>
      <c r="C83" s="82" t="s">
        <v>172</v>
      </c>
      <c r="D83" s="83">
        <f>VLOOKUP(B83,'E&amp;W'!$A$7:$P$69,8,0)</f>
        <v>441393</v>
      </c>
      <c r="E83" s="83">
        <f>VLOOKUP(B83,'E&amp;W'!$A$7:$P$69,10,0)</f>
        <v>480980</v>
      </c>
      <c r="F83" s="83">
        <f>VLOOKUP(B83,'E&amp;W'!$A$7:$P$69,12,0)</f>
        <v>568986</v>
      </c>
      <c r="G83" s="83">
        <f>VLOOKUP(B83,'E&amp;W'!$A$7:$P$69,14,0)</f>
        <v>801346</v>
      </c>
      <c r="H83" s="83">
        <f>VLOOKUP(B83,'E&amp;W'!$A$7:$P$69,16,0)</f>
        <v>678671</v>
      </c>
      <c r="I83" s="83">
        <f>VLOOKUP(B83,'E&amp;W'!$A$7:$AD$69,18,0)</f>
        <v>828601</v>
      </c>
      <c r="J83" s="83">
        <f>VLOOKUP(B83,'E&amp;W'!$A$7:$AD$69,20,0)</f>
        <v>770605</v>
      </c>
      <c r="K83" s="83">
        <f>VLOOKUP(B83,'E&amp;W'!$A$7:$AD$69,22,0)</f>
        <v>578793</v>
      </c>
      <c r="L83" s="83">
        <f>VLOOKUP(B83,'E&amp;W'!$A$7:$AD$69,24,0)</f>
        <v>568355</v>
      </c>
      <c r="M83" s="83">
        <f>VLOOKUP(B83,'E&amp;W'!$A$7:$AD$69,26,0)</f>
        <v>507200</v>
      </c>
      <c r="N83" s="83">
        <f>VLOOKUP(B83,'E&amp;W'!$A$7:$AD$69,28,0)</f>
        <v>392175</v>
      </c>
      <c r="O83" s="83">
        <f>VLOOKUP(B83,'E&amp;W'!$A$7:$AD$69,30,0)</f>
        <v>570784</v>
      </c>
    </row>
    <row r="84" spans="1:15" ht="15" customHeight="1">
      <c r="A84" s="310">
        <v>40</v>
      </c>
      <c r="B84" s="89" t="s">
        <v>161</v>
      </c>
      <c r="C84" s="74" t="s">
        <v>171</v>
      </c>
      <c r="D84" s="76">
        <f>VLOOKUP(B85,'E&amp;W'!$A$7:$P$69,7,0)</f>
        <v>1068206</v>
      </c>
      <c r="E84" s="76">
        <f>VLOOKUP(B85,'E&amp;W'!$A$7:$P$69,9,0)</f>
        <v>1119702</v>
      </c>
      <c r="F84" s="76">
        <f>VLOOKUP(B85,'E&amp;W'!$A$7:$P$69,11,0)</f>
        <v>998803</v>
      </c>
      <c r="G84" s="76">
        <f>VLOOKUP(B85,'E&amp;W'!$A$7:$P$69,13,0)</f>
        <v>1077621</v>
      </c>
      <c r="H84" s="76">
        <f>VLOOKUP(B85,'E&amp;W'!$A$7:$P$69,15,0)</f>
        <v>1167101</v>
      </c>
      <c r="I84" s="76">
        <f>VLOOKUP(B85,'E&amp;W'!$A$7:$AD$69,17,0)</f>
        <v>1115409</v>
      </c>
      <c r="J84" s="76">
        <f>VLOOKUP(B85,'E&amp;W'!$A$7:$AD$69,19,0)</f>
        <v>827017</v>
      </c>
      <c r="K84" s="76">
        <f>VLOOKUP(B85,'E&amp;W'!$A$7:$AD$69,21,0)</f>
        <v>948786</v>
      </c>
      <c r="L84" s="76">
        <f>VLOOKUP(B85,'E&amp;W'!$A$7:$AD$69,23,0)</f>
        <v>920424</v>
      </c>
      <c r="M84" s="76">
        <f>VLOOKUP(B85,'E&amp;W'!$A$7:$AD$69,25,0)</f>
        <v>965608</v>
      </c>
      <c r="N84" s="76">
        <f>VLOOKUP(B85,'E&amp;W'!$A$7:$AD$69,27,0)</f>
        <v>1003076</v>
      </c>
      <c r="O84" s="76">
        <f>VLOOKUP(B85,'E&amp;W'!$A$7:$AD$69,29,0)</f>
        <v>1097005</v>
      </c>
    </row>
    <row r="85" spans="1:15" ht="15" customHeight="1">
      <c r="A85" s="311"/>
      <c r="B85" s="90">
        <v>1412000077</v>
      </c>
      <c r="C85" s="82" t="s">
        <v>172</v>
      </c>
      <c r="D85" s="83">
        <f>VLOOKUP(B85,'E&amp;W'!$A$7:$P$69,8,0)</f>
        <v>323688</v>
      </c>
      <c r="E85" s="83">
        <f>VLOOKUP(B85,'E&amp;W'!$A$7:$P$69,10,0)</f>
        <v>352719</v>
      </c>
      <c r="F85" s="83">
        <f>VLOOKUP(B85,'E&amp;W'!$A$7:$P$69,12,0)</f>
        <v>417256</v>
      </c>
      <c r="G85" s="83">
        <f>VLOOKUP(B85,'E&amp;W'!$A$7:$P$69,14,0)</f>
        <v>587654</v>
      </c>
      <c r="H85" s="83">
        <f>VLOOKUP(B85,'E&amp;W'!$A$7:$P$69,16,0)</f>
        <v>497692</v>
      </c>
      <c r="I85" s="83">
        <f>VLOOKUP(B85,'E&amp;W'!$A$7:$AD$69,18,0)</f>
        <v>506367</v>
      </c>
      <c r="J85" s="83">
        <f>VLOOKUP(B85,'E&amp;W'!$A$7:$AD$69,20,0)</f>
        <v>498627</v>
      </c>
      <c r="K85" s="83">
        <f>VLOOKUP(B85,'E&amp;W'!$A$7:$AD$69,22,0)</f>
        <v>374513</v>
      </c>
      <c r="L85" s="83">
        <f>VLOOKUP(B85,'E&amp;W'!$A$7:$AD$69,24,0)</f>
        <v>367759</v>
      </c>
      <c r="M85" s="83">
        <f>VLOOKUP(B85,'E&amp;W'!$A$7:$AD$69,26,0)</f>
        <v>328188</v>
      </c>
      <c r="N85" s="83">
        <f>VLOOKUP(B85,'E&amp;W'!$A$7:$AD$69,28,0)</f>
        <v>253760</v>
      </c>
      <c r="O85" s="83">
        <f>VLOOKUP(B85,'E&amp;W'!$A$7:$AD$69,30,0)</f>
        <v>369331</v>
      </c>
    </row>
    <row r="86" spans="1:15">
      <c r="A86" s="308">
        <v>41</v>
      </c>
      <c r="B86" s="89" t="s">
        <v>162</v>
      </c>
      <c r="C86" s="74" t="s">
        <v>171</v>
      </c>
      <c r="D86" s="76">
        <f>VLOOKUP(B87,'E&amp;W'!$A$7:$P$69,7,0)</f>
        <v>872613</v>
      </c>
      <c r="E86" s="76">
        <f>VLOOKUP(B87,'E&amp;W'!$A$7:$P$69,9,0)</f>
        <v>896090</v>
      </c>
      <c r="F86" s="76">
        <f>VLOOKUP(B87,'E&amp;W'!$A$7:$P$69,11,0)</f>
        <v>777461</v>
      </c>
      <c r="G86" s="76">
        <f>VLOOKUP(B87,'E&amp;W'!$A$7:$P$69,13,0)</f>
        <v>830835</v>
      </c>
      <c r="H86" s="76">
        <f>VLOOKUP(B87,'E&amp;W'!$A$7:$P$69,15,0)</f>
        <v>896363</v>
      </c>
      <c r="I86" s="76">
        <f>VLOOKUP(B87,'E&amp;W'!$A$7:$AD$69,17,0)</f>
        <v>827775</v>
      </c>
      <c r="J86" s="76">
        <f>VLOOKUP(B87,'E&amp;W'!$A$7:$AD$69,19,0)</f>
        <v>626293</v>
      </c>
      <c r="K86" s="76">
        <f>VLOOKUP(B87,'E&amp;W'!$A$7:$AD$69,21,0)</f>
        <v>734479</v>
      </c>
      <c r="L86" s="76">
        <f>VLOOKUP(B87,'E&amp;W'!$A$7:$AD$69,23,0)</f>
        <v>712690</v>
      </c>
      <c r="M86" s="76">
        <f>VLOOKUP(B87,'E&amp;W'!$A$7:$AD$69,25,0)</f>
        <v>768787</v>
      </c>
      <c r="N86" s="76">
        <f>VLOOKUP(B87,'E&amp;W'!$A$7:$AD$69,27,0)</f>
        <v>814231</v>
      </c>
      <c r="O86" s="76">
        <f>VLOOKUP(B87,'E&amp;W'!$A$7:$AD$69,29,0)</f>
        <v>794418</v>
      </c>
    </row>
    <row r="87" spans="1:15">
      <c r="A87" s="308"/>
      <c r="B87" s="90">
        <v>1412000083</v>
      </c>
      <c r="C87" s="82" t="s">
        <v>172</v>
      </c>
      <c r="D87" s="83">
        <f>VLOOKUP(B87,'E&amp;W'!$A$7:$P$69,8,0)</f>
        <v>294262</v>
      </c>
      <c r="E87" s="83">
        <f>VLOOKUP(B87,'E&amp;W'!$A$7:$P$69,10,0)</f>
        <v>320654</v>
      </c>
      <c r="F87" s="83">
        <f>VLOOKUP(B87,'E&amp;W'!$A$7:$P$69,12,0)</f>
        <v>379324</v>
      </c>
      <c r="G87" s="83">
        <f>VLOOKUP(B87,'E&amp;W'!$A$7:$P$69,14,0)</f>
        <v>534231</v>
      </c>
      <c r="H87" s="83">
        <f>VLOOKUP(B87,'E&amp;W'!$A$7:$P$69,16,0)</f>
        <v>452448</v>
      </c>
      <c r="I87" s="83">
        <f>VLOOKUP(B87,'E&amp;W'!$A$7:$AD$69,18,0)</f>
        <v>460334</v>
      </c>
      <c r="J87" s="83">
        <f>VLOOKUP(B87,'E&amp;W'!$A$7:$AD$69,20,0)</f>
        <v>453297</v>
      </c>
      <c r="K87" s="83">
        <f>VLOOKUP(B87,'E&amp;W'!$A$7:$AD$69,22,0)</f>
        <v>340467</v>
      </c>
      <c r="L87" s="83">
        <f>VLOOKUP(B87,'E&amp;W'!$A$7:$AD$69,24,0)</f>
        <v>334326</v>
      </c>
      <c r="M87" s="83">
        <f>VLOOKUP(B87,'E&amp;W'!$A$7:$AD$69,26,0)</f>
        <v>298353</v>
      </c>
      <c r="N87" s="83">
        <f>VLOOKUP(B87,'E&amp;W'!$A$7:$AD$69,28,0)</f>
        <v>230691</v>
      </c>
      <c r="O87" s="83">
        <f>VLOOKUP(B87,'E&amp;W'!$A$7:$AD$69,30,0)</f>
        <v>302180</v>
      </c>
    </row>
    <row r="88" spans="1:15">
      <c r="A88" s="309">
        <v>42</v>
      </c>
      <c r="B88" s="100" t="s">
        <v>163</v>
      </c>
      <c r="C88" s="101" t="s">
        <v>171</v>
      </c>
      <c r="D88" s="102">
        <f>VLOOKUP(B89,'E&amp;W'!$A$7:$P$69,7,0)</f>
        <v>872613</v>
      </c>
      <c r="E88" s="102">
        <f>VLOOKUP(B89,'E&amp;W'!$A$7:$P$69,9,0)</f>
        <v>896090</v>
      </c>
      <c r="F88" s="102">
        <f>VLOOKUP(B89,'E&amp;W'!$A$7:$P$69,11,0)</f>
        <v>777461</v>
      </c>
      <c r="G88" s="102">
        <f>VLOOKUP(B89,'E&amp;W'!$A$7:$P$69,13,0)</f>
        <v>913918</v>
      </c>
      <c r="H88" s="102">
        <f>VLOOKUP(B89,'E&amp;W'!$A$7:$P$69,15,0)</f>
        <v>985999</v>
      </c>
      <c r="I88" s="102">
        <f>VLOOKUP(B89,'E&amp;W'!$A$7:$AD$69,17,0)</f>
        <v>910552</v>
      </c>
      <c r="J88" s="102">
        <f>VLOOKUP(B89,'E&amp;W'!$A$7:$AD$69,19,0)</f>
        <v>688922</v>
      </c>
      <c r="K88" s="102">
        <f>VLOOKUP(B89,'E&amp;W'!$A$7:$AD$69,21,0)</f>
        <v>807927</v>
      </c>
      <c r="L88" s="102">
        <f>VLOOKUP(B89,'E&amp;W'!$A$7:$AD$69,23,0)</f>
        <v>783959</v>
      </c>
      <c r="M88" s="102">
        <f>VLOOKUP(B89,'E&amp;W'!$A$7:$AD$69,25,0)</f>
        <v>845665</v>
      </c>
      <c r="N88" s="102">
        <f>VLOOKUP(B89,'E&amp;W'!$A$7:$AD$69,27,0)</f>
        <v>895654</v>
      </c>
      <c r="O88" s="102">
        <f>VLOOKUP(B89,'E&amp;W'!$A$7:$AD$69,29,0)</f>
        <v>970956</v>
      </c>
    </row>
    <row r="89" spans="1:15">
      <c r="A89" s="309"/>
      <c r="B89" s="103">
        <v>1412000099</v>
      </c>
      <c r="C89" s="104" t="s">
        <v>172</v>
      </c>
      <c r="D89" s="105">
        <f>VLOOKUP(B89,'E&amp;W'!$A$7:$P$69,8,0)</f>
        <v>294262</v>
      </c>
      <c r="E89" s="105">
        <f>VLOOKUP(B89,'E&amp;W'!$A$7:$P$69,10,0)</f>
        <v>320654</v>
      </c>
      <c r="F89" s="105">
        <f>VLOOKUP(B89,'E&amp;W'!$A$7:$P$69,12,0)</f>
        <v>379324</v>
      </c>
      <c r="G89" s="105">
        <f>VLOOKUP(B89,'E&amp;W'!$A$7:$P$69,14,0)</f>
        <v>587654</v>
      </c>
      <c r="H89" s="105">
        <f>VLOOKUP(B89,'E&amp;W'!$A$7:$P$69,16,0)</f>
        <v>497692</v>
      </c>
      <c r="I89" s="105">
        <f>VLOOKUP(B89,'E&amp;W'!$A$7:$AD$69,18,0)</f>
        <v>506367</v>
      </c>
      <c r="J89" s="105">
        <f>VLOOKUP(B89,'E&amp;W'!$A$7:$AD$69,20,0)</f>
        <v>498627</v>
      </c>
      <c r="K89" s="105">
        <f>VLOOKUP(B89,'E&amp;W'!$A$7:$AD$69,22,0)</f>
        <v>374513</v>
      </c>
      <c r="L89" s="105">
        <f>VLOOKUP(B89,'E&amp;W'!$A$7:$AD$69,24,0)</f>
        <v>367759</v>
      </c>
      <c r="M89" s="105">
        <f>VLOOKUP(B89,'E&amp;W'!$A$7:$AD$69,26,0)</f>
        <v>328188</v>
      </c>
      <c r="N89" s="105">
        <f>VLOOKUP(B89,'E&amp;W'!$A$7:$AD$69,28,0)</f>
        <v>253760</v>
      </c>
      <c r="O89" s="105">
        <f>VLOOKUP(B89,'E&amp;W'!$A$7:$AD$69,30,0)</f>
        <v>369331</v>
      </c>
    </row>
    <row r="90" spans="1:15">
      <c r="A90" s="310">
        <v>43</v>
      </c>
      <c r="B90" s="228" t="s">
        <v>187</v>
      </c>
      <c r="C90" s="229" t="s">
        <v>171</v>
      </c>
      <c r="D90" s="234">
        <f>VLOOKUP(B91,'E&amp;W'!$A$7:$P$69,7,0)</f>
        <v>698091</v>
      </c>
      <c r="E90" s="234">
        <f>VLOOKUP(B91,'E&amp;W'!$A$7:$P$69,9,0)</f>
        <v>716872</v>
      </c>
      <c r="F90" s="234">
        <f>VLOOKUP(B91,'E&amp;W'!$A$7:$P$69,11,0)</f>
        <v>621969</v>
      </c>
      <c r="G90" s="234">
        <f>VLOOKUP(B91,'E&amp;W'!$A$7:$P$69,13,0)</f>
        <v>664668</v>
      </c>
      <c r="H90" s="234">
        <f>VLOOKUP(B91,'E&amp;W'!$A$7:$P$69,15,0)</f>
        <v>717090</v>
      </c>
      <c r="I90" s="234">
        <f>VLOOKUP(B91,'E&amp;W'!$A$7:$AD$69,17,0)</f>
        <v>662220</v>
      </c>
      <c r="J90" s="234">
        <f>VLOOKUP(B91,'E&amp;W'!$A$7:$AD$69,19,0)</f>
        <v>501034</v>
      </c>
      <c r="K90" s="234">
        <f>VLOOKUP(B91,'E&amp;W'!$A$7:$AD$69,21,0)</f>
        <v>587583</v>
      </c>
      <c r="L90" s="234">
        <f>VLOOKUP(B91,'E&amp;W'!$A$7:$AD$69,23,0)</f>
        <v>570152</v>
      </c>
      <c r="M90" s="234">
        <f>VLOOKUP(B91,'E&amp;W'!$A$7:$AD$69,25,0)</f>
        <v>615029</v>
      </c>
      <c r="N90" s="234">
        <f>VLOOKUP(B91,'E&amp;W'!$A$7:$AD$69,27,0)</f>
        <v>732808</v>
      </c>
      <c r="O90" s="234">
        <f>VLOOKUP(B91,'E&amp;W'!$A$7:$AD$69,29,0)</f>
        <v>882687</v>
      </c>
    </row>
    <row r="91" spans="1:15">
      <c r="A91" s="311"/>
      <c r="B91" s="231">
        <v>1412000100</v>
      </c>
      <c r="C91" s="232" t="s">
        <v>172</v>
      </c>
      <c r="D91" s="235">
        <f>VLOOKUP(B91,'E&amp;W'!$A$7:$P$69,8,0)</f>
        <v>235409</v>
      </c>
      <c r="E91" s="235">
        <f>VLOOKUP(B91,'E&amp;W'!$A$7:$P$69,10,0)</f>
        <v>256523</v>
      </c>
      <c r="F91" s="235">
        <f>VLOOKUP(B91,'E&amp;W'!$A$7:$P$69,12,0)</f>
        <v>303459</v>
      </c>
      <c r="G91" s="235">
        <f>VLOOKUP(B91,'E&amp;W'!$A$7:$P$69,14,0)</f>
        <v>427385</v>
      </c>
      <c r="H91" s="235">
        <f>VLOOKUP(B91,'E&amp;W'!$A$7:$P$69,16,0)</f>
        <v>361958</v>
      </c>
      <c r="I91" s="235">
        <f>VLOOKUP(B91,'E&amp;W'!$A$7:$AD$69,18,0)</f>
        <v>368267</v>
      </c>
      <c r="J91" s="235">
        <f>VLOOKUP(B91,'E&amp;W'!$A$7:$AD$69,20,0)</f>
        <v>362638</v>
      </c>
      <c r="K91" s="235">
        <f>VLOOKUP(B91,'E&amp;W'!$A$7:$AD$69,22,0)</f>
        <v>272373</v>
      </c>
      <c r="L91" s="235">
        <f>VLOOKUP(B91,'E&amp;W'!$A$7:$AD$69,24,0)</f>
        <v>267461</v>
      </c>
      <c r="M91" s="235">
        <f>VLOOKUP(B91,'E&amp;W'!$A$7:$AD$69,26,0)</f>
        <v>238682</v>
      </c>
      <c r="N91" s="235">
        <f>VLOOKUP(B91,'E&amp;W'!$A$7:$AD$69,28,0)</f>
        <v>207622</v>
      </c>
      <c r="O91" s="235">
        <f>VLOOKUP(B91,'E&amp;W'!$A$7:$AD$69,30,0)</f>
        <v>335755</v>
      </c>
    </row>
    <row r="92" spans="1:15">
      <c r="A92" s="308">
        <v>44</v>
      </c>
      <c r="B92" s="89" t="s">
        <v>71</v>
      </c>
      <c r="C92" s="74" t="s">
        <v>171</v>
      </c>
      <c r="D92" s="76">
        <f>VLOOKUP(B93,'E&amp;W'!$A$7:$P$69,7,0)</f>
        <v>893684</v>
      </c>
      <c r="E92" s="76">
        <f>VLOOKUP(B93,'E&amp;W'!$A$7:$P$69,9,0)</f>
        <v>940484</v>
      </c>
      <c r="F92" s="76">
        <f>VLOOKUP(B93,'E&amp;W'!$A$7:$P$69,11,0)</f>
        <v>843311</v>
      </c>
      <c r="G92" s="76">
        <f>VLOOKUP(B93,'E&amp;W'!$A$7:$P$69,13,0)</f>
        <v>911454</v>
      </c>
      <c r="H92" s="76">
        <f>VLOOKUP(B93,'E&amp;W'!$A$7:$P$69,15,0)</f>
        <v>987828</v>
      </c>
      <c r="I92" s="76">
        <f>VLOOKUP(B93,'E&amp;W'!$A$7:$AD$69,17,0)</f>
        <v>1198187</v>
      </c>
      <c r="J92" s="76">
        <f>VLOOKUP(B93,'E&amp;W'!$A$7:$AD$69,19,0)</f>
        <v>827017</v>
      </c>
      <c r="K92" s="76">
        <f>VLOOKUP(B93,'E&amp;W'!$A$7:$AD$69,21,0)</f>
        <v>948786</v>
      </c>
      <c r="L92" s="76">
        <f>VLOOKUP(B93,'E&amp;W'!$A$7:$AD$69,23,0)</f>
        <v>920424</v>
      </c>
      <c r="M92" s="76">
        <f>VLOOKUP(B93,'E&amp;W'!$A$7:$AD$69,25,0)</f>
        <v>965608</v>
      </c>
      <c r="N92" s="76">
        <f>VLOOKUP(B93,'E&amp;W'!$A$7:$AD$69,27,0)</f>
        <v>1003076</v>
      </c>
      <c r="O92" s="76">
        <f>VLOOKUP(B93,'E&amp;W'!$A$7:$AD$69,29,0)</f>
        <v>1097005</v>
      </c>
    </row>
    <row r="93" spans="1:15">
      <c r="A93" s="308"/>
      <c r="B93" s="90">
        <v>1412000057</v>
      </c>
      <c r="C93" s="82" t="s">
        <v>172</v>
      </c>
      <c r="D93" s="83">
        <f>VLOOKUP(B93,'E&amp;W'!$A$7:$P$69,8,0)</f>
        <v>264836</v>
      </c>
      <c r="E93" s="83">
        <f>VLOOKUP(B93,'E&amp;W'!$A$7:$P$69,10,0)</f>
        <v>288588</v>
      </c>
      <c r="F93" s="83">
        <f>VLOOKUP(B93,'E&amp;W'!$A$7:$P$69,12,0)</f>
        <v>341391</v>
      </c>
      <c r="G93" s="83">
        <f>VLOOKUP(B93,'E&amp;W'!$A$7:$P$69,14,0)</f>
        <v>480808</v>
      </c>
      <c r="H93" s="83">
        <f>VLOOKUP(B93,'E&amp;W'!$A$7:$P$69,16,0)</f>
        <v>407203</v>
      </c>
      <c r="I93" s="83">
        <f>VLOOKUP(B93,'E&amp;W'!$A$7:$AD$69,18,0)</f>
        <v>552400</v>
      </c>
      <c r="J93" s="83">
        <f>VLOOKUP(B93,'E&amp;W'!$A$7:$AD$69,20,0)</f>
        <v>498627</v>
      </c>
      <c r="K93" s="83">
        <f>VLOOKUP(B93,'E&amp;W'!$A$7:$AD$69,22,0)</f>
        <v>374513</v>
      </c>
      <c r="L93" s="83">
        <f>VLOOKUP(B93,'E&amp;W'!$A$7:$AD$69,24,0)</f>
        <v>367759</v>
      </c>
      <c r="M93" s="83">
        <f>VLOOKUP(B93,'E&amp;W'!$A$7:$AD$69,26,0)</f>
        <v>328188</v>
      </c>
      <c r="N93" s="83">
        <f>VLOOKUP(B93,'E&amp;W'!$A$7:$AD$69,28,0)</f>
        <v>253760</v>
      </c>
      <c r="O93" s="83">
        <f>VLOOKUP(B93,'E&amp;W'!$A$7:$AD$69,30,0)</f>
        <v>369331</v>
      </c>
    </row>
    <row r="94" spans="1:15">
      <c r="A94" s="310">
        <v>45</v>
      </c>
      <c r="B94" s="228" t="s">
        <v>184</v>
      </c>
      <c r="C94" s="229" t="s">
        <v>171</v>
      </c>
      <c r="D94" s="234">
        <f>VLOOKUP(B95,'E&amp;W'!$A$7:$P$69,7,0)</f>
        <v>1134397</v>
      </c>
      <c r="E94" s="234">
        <f>VLOOKUP(B95,'E&amp;W'!$A$7:$P$69,9,0)</f>
        <v>1164916</v>
      </c>
      <c r="F94" s="234">
        <f>VLOOKUP(B95,'E&amp;W'!$A$7:$P$69,11,0)</f>
        <v>1010700</v>
      </c>
      <c r="G94" s="234">
        <f>VLOOKUP(B95,'E&amp;W'!$A$7:$P$69,13,0)</f>
        <v>1080085</v>
      </c>
      <c r="H94" s="234">
        <f>VLOOKUP(B95,'E&amp;W'!$A$7:$P$69,15,0)</f>
        <v>1165272</v>
      </c>
      <c r="I94" s="234">
        <f>VLOOKUP(B95,'E&amp;W'!$A$7:$AD$69,17,0)</f>
        <v>1076107</v>
      </c>
      <c r="J94" s="234">
        <f>VLOOKUP(B95,'E&amp;W'!$A$7:$AD$69,19,0)</f>
        <v>814180</v>
      </c>
      <c r="K94" s="234">
        <f>VLOOKUP(B95,'E&amp;W'!$A$7:$AD$69,21,0)</f>
        <v>954823</v>
      </c>
      <c r="L94" s="234">
        <f>VLOOKUP(B95,'E&amp;W'!$A$7:$AD$69,23,0)</f>
        <v>926497</v>
      </c>
      <c r="M94" s="234">
        <f>VLOOKUP(B95,'E&amp;W'!$A$7:$AD$69,25,0)</f>
        <v>999423</v>
      </c>
      <c r="N94" s="234">
        <f>VLOOKUP(B95,'E&amp;W'!$A$7:$AD$69,27,0)</f>
        <v>1058500</v>
      </c>
      <c r="O94" s="234">
        <f>VLOOKUP(B95,'E&amp;W'!$A$7:$AD$69,29,0)</f>
        <v>1059224</v>
      </c>
    </row>
    <row r="95" spans="1:15">
      <c r="A95" s="311"/>
      <c r="B95" s="231">
        <v>1412000101</v>
      </c>
      <c r="C95" s="232" t="s">
        <v>172</v>
      </c>
      <c r="D95" s="235">
        <f>VLOOKUP(B95,'E&amp;W'!$A$7:$P$69,8,0)</f>
        <v>382540</v>
      </c>
      <c r="E95" s="235">
        <f>VLOOKUP(B95,'E&amp;W'!$A$7:$P$69,10,0)</f>
        <v>416850</v>
      </c>
      <c r="F95" s="235">
        <f>VLOOKUP(B95,'E&amp;W'!$A$7:$P$69,12,0)</f>
        <v>493121</v>
      </c>
      <c r="G95" s="235">
        <f>VLOOKUP(B95,'E&amp;W'!$A$7:$P$69,14,0)</f>
        <v>694500</v>
      </c>
      <c r="H95" s="235">
        <f>VLOOKUP(B95,'E&amp;W'!$A$7:$P$69,16,0)</f>
        <v>588182</v>
      </c>
      <c r="I95" s="235">
        <f>VLOOKUP(B95,'E&amp;W'!$A$7:$AD$69,18,0)</f>
        <v>598434</v>
      </c>
      <c r="J95" s="235">
        <f>VLOOKUP(B95,'E&amp;W'!$A$7:$AD$69,20,0)</f>
        <v>589286</v>
      </c>
      <c r="K95" s="235">
        <f>VLOOKUP(B95,'E&amp;W'!$A$7:$AD$69,22,0)</f>
        <v>442607</v>
      </c>
      <c r="L95" s="235">
        <f>VLOOKUP(B95,'E&amp;W'!$A$7:$AD$69,24,0)</f>
        <v>434624</v>
      </c>
      <c r="M95" s="235">
        <f>VLOOKUP(B95,'E&amp;W'!$A$7:$AD$69,26,0)</f>
        <v>387859</v>
      </c>
      <c r="N95" s="235">
        <f>VLOOKUP(B95,'E&amp;W'!$A$7:$AD$69,28,0)</f>
        <v>299899</v>
      </c>
      <c r="O95" s="235">
        <f>VLOOKUP(B95,'E&amp;W'!$A$7:$AD$69,30,0)</f>
        <v>402906</v>
      </c>
    </row>
    <row r="96" spans="1:15">
      <c r="A96" s="308">
        <v>46</v>
      </c>
      <c r="B96" s="89" t="s">
        <v>164</v>
      </c>
      <c r="C96" s="74" t="s">
        <v>171</v>
      </c>
      <c r="D96" s="76">
        <f>VLOOKUP(B97,'E&amp;W'!$A$7:$P$69,7,0)</f>
        <v>1242729</v>
      </c>
      <c r="E96" s="76">
        <f>VLOOKUP(B97,'E&amp;W'!$A$7:$P$69,9,0)</f>
        <v>1298920</v>
      </c>
      <c r="F96" s="76">
        <f>VLOOKUP(B97,'E&amp;W'!$A$7:$P$69,11,0)</f>
        <v>1154295</v>
      </c>
      <c r="G96" s="76">
        <f>VLOOKUP(B97,'E&amp;W'!$A$7:$P$69,13,0)</f>
        <v>1243788</v>
      </c>
      <c r="H96" s="76">
        <f>VLOOKUP(B97,'E&amp;W'!$A$7:$P$69,15,0)</f>
        <v>1346373</v>
      </c>
      <c r="I96" s="76">
        <f>VLOOKUP(B97,'E&amp;W'!$A$7:$AD$69,17,0)</f>
        <v>1612074</v>
      </c>
      <c r="J96" s="76">
        <f>VLOOKUP(B97,'E&amp;W'!$A$7:$AD$69,19,0)</f>
        <v>1140163</v>
      </c>
      <c r="K96" s="76">
        <f>VLOOKUP(B97,'E&amp;W'!$A$7:$AD$69,21,0)</f>
        <v>1316026</v>
      </c>
      <c r="L96" s="76">
        <f>VLOOKUP(B97,'E&amp;W'!$A$7:$AD$69,23,0)</f>
        <v>1276769</v>
      </c>
      <c r="M96" s="76">
        <f>VLOOKUP(B97,'E&amp;W'!$A$7:$AD$69,25,0)</f>
        <v>1350001</v>
      </c>
      <c r="N96" s="76">
        <f>VLOOKUP(B97,'E&amp;W'!$A$7:$AD$69,27,0)</f>
        <v>1410192</v>
      </c>
      <c r="O96" s="76">
        <f>VLOOKUP(B97,'E&amp;W'!$A$7:$AD$69,29,0)</f>
        <v>1538348</v>
      </c>
    </row>
    <row r="97" spans="1:15">
      <c r="A97" s="308"/>
      <c r="B97" s="90">
        <v>1412000078</v>
      </c>
      <c r="C97" s="82" t="s">
        <v>172</v>
      </c>
      <c r="D97" s="83">
        <f>VLOOKUP(B97,'E&amp;W'!$A$7:$P$69,8,0)</f>
        <v>382540</v>
      </c>
      <c r="E97" s="83">
        <f>VLOOKUP(B97,'E&amp;W'!$A$7:$P$69,10,0)</f>
        <v>416850</v>
      </c>
      <c r="F97" s="83">
        <f>VLOOKUP(B97,'E&amp;W'!$A$7:$P$69,12,0)</f>
        <v>493121</v>
      </c>
      <c r="G97" s="83">
        <f>VLOOKUP(B97,'E&amp;W'!$A$7:$P$69,14,0)</f>
        <v>694500</v>
      </c>
      <c r="H97" s="83">
        <f>VLOOKUP(B97,'E&amp;W'!$A$7:$P$69,16,0)</f>
        <v>588182</v>
      </c>
      <c r="I97" s="83">
        <f>VLOOKUP(B97,'E&amp;W'!$A$7:$AD$69,18,0)</f>
        <v>782567</v>
      </c>
      <c r="J97" s="83">
        <f>VLOOKUP(B97,'E&amp;W'!$A$7:$AD$69,20,0)</f>
        <v>725276</v>
      </c>
      <c r="K97" s="83">
        <f>VLOOKUP(B97,'E&amp;W'!$A$7:$AD$69,22,0)</f>
        <v>544747</v>
      </c>
      <c r="L97" s="83">
        <f>VLOOKUP(B97,'E&amp;W'!$A$7:$AD$69,24,0)</f>
        <v>534922</v>
      </c>
      <c r="M97" s="83">
        <f>VLOOKUP(B97,'E&amp;W'!$A$7:$AD$69,26,0)</f>
        <v>477365</v>
      </c>
      <c r="N97" s="83">
        <f>VLOOKUP(B97,'E&amp;W'!$A$7:$AD$69,28,0)</f>
        <v>369106</v>
      </c>
      <c r="O97" s="83">
        <f>VLOOKUP(B97,'E&amp;W'!$A$7:$AD$69,30,0)</f>
        <v>537208</v>
      </c>
    </row>
    <row r="98" spans="1:15">
      <c r="A98" s="309">
        <v>47</v>
      </c>
      <c r="B98" s="89" t="s">
        <v>165</v>
      </c>
      <c r="C98" s="74" t="s">
        <v>171</v>
      </c>
      <c r="D98" s="76">
        <f>VLOOKUP(B99,'E&amp;W'!$A$7:$P$69,7,0)</f>
        <v>1329990</v>
      </c>
      <c r="E98" s="76">
        <f>VLOOKUP(B99,'E&amp;W'!$A$7:$P$69,9,0)</f>
        <v>1388529</v>
      </c>
      <c r="F98" s="76">
        <f>VLOOKUP(B99,'E&amp;W'!$A$7:$P$69,11,0)</f>
        <v>1232041</v>
      </c>
      <c r="G98" s="76">
        <f>VLOOKUP(B99,'E&amp;W'!$A$7:$P$69,13,0)</f>
        <v>1326872</v>
      </c>
      <c r="H98" s="76">
        <f>VLOOKUP(B99,'E&amp;W'!$A$7:$P$69,15,0)</f>
        <v>1436010</v>
      </c>
      <c r="I98" s="76">
        <f>VLOOKUP(B99,'E&amp;W'!$A$7:$AD$69,17,0)</f>
        <v>1363742</v>
      </c>
      <c r="J98" s="76">
        <f>VLOOKUP(B99,'E&amp;W'!$A$7:$AD$69,19,0)</f>
        <v>1014905</v>
      </c>
      <c r="K98" s="76">
        <f>VLOOKUP(B99,'E&amp;W'!$A$7:$AD$69,21,0)</f>
        <v>1169130</v>
      </c>
      <c r="L98" s="76">
        <f>VLOOKUP(B99,'E&amp;W'!$A$7:$AD$69,23,0)</f>
        <v>1134231</v>
      </c>
      <c r="M98" s="76">
        <f>VLOOKUP(B99,'E&amp;W'!$A$7:$AD$69,25,0)</f>
        <v>1196244</v>
      </c>
      <c r="N98" s="76">
        <f>VLOOKUP(B99,'E&amp;W'!$A$7:$AD$69,27,0)</f>
        <v>1328769</v>
      </c>
      <c r="O98" s="76">
        <f>VLOOKUP(B99,'E&amp;W'!$A$7:$AD$69,29,0)</f>
        <v>1361811</v>
      </c>
    </row>
    <row r="99" spans="1:15">
      <c r="A99" s="309"/>
      <c r="B99" s="90">
        <v>1412000096</v>
      </c>
      <c r="C99" s="82" t="s">
        <v>172</v>
      </c>
      <c r="D99" s="83">
        <f>VLOOKUP(B99,'E&amp;W'!$A$7:$P$69,8,0)</f>
        <v>411966</v>
      </c>
      <c r="E99" s="83">
        <f>VLOOKUP(B99,'E&amp;W'!$A$7:$P$69,10,0)</f>
        <v>448915</v>
      </c>
      <c r="F99" s="83">
        <f>VLOOKUP(B99,'E&amp;W'!$A$7:$P$69,12,0)</f>
        <v>531053</v>
      </c>
      <c r="G99" s="83">
        <f>VLOOKUP(B99,'E&amp;W'!$A$7:$P$69,14,0)</f>
        <v>747923</v>
      </c>
      <c r="H99" s="83">
        <f>VLOOKUP(B99,'E&amp;W'!$A$7:$P$69,16,0)</f>
        <v>633427</v>
      </c>
      <c r="I99" s="83">
        <f>VLOOKUP(B99,'E&amp;W'!$A$7:$AD$69,18,0)</f>
        <v>644467</v>
      </c>
      <c r="J99" s="83">
        <f>VLOOKUP(B99,'E&amp;W'!$A$7:$AD$69,20,0)</f>
        <v>634616</v>
      </c>
      <c r="K99" s="83">
        <f>VLOOKUP(B99,'E&amp;W'!$A$7:$AD$69,22,0)</f>
        <v>476653</v>
      </c>
      <c r="L99" s="83">
        <f>VLOOKUP(B99,'E&amp;W'!$A$7:$AD$69,24,0)</f>
        <v>468057</v>
      </c>
      <c r="M99" s="83">
        <f>VLOOKUP(B99,'E&amp;W'!$A$7:$AD$69,26,0)</f>
        <v>417694</v>
      </c>
      <c r="N99" s="83">
        <f>VLOOKUP(B99,'E&amp;W'!$A$7:$AD$69,28,0)</f>
        <v>346037</v>
      </c>
      <c r="O99" s="83">
        <f>VLOOKUP(B99,'E&amp;W'!$A$7:$AD$69,30,0)</f>
        <v>470057</v>
      </c>
    </row>
    <row r="100" spans="1:15">
      <c r="A100" s="310">
        <v>48</v>
      </c>
      <c r="B100" s="89" t="s">
        <v>133</v>
      </c>
      <c r="C100" s="74" t="s">
        <v>171</v>
      </c>
      <c r="D100" s="76">
        <f>VLOOKUP(B101,'E&amp;W'!$A$7:$P$69,7,0)</f>
        <v>11516532</v>
      </c>
      <c r="E100" s="76">
        <f>VLOOKUP(B101,'E&amp;W'!$A$7:$P$69,9,0)</f>
        <v>15406768</v>
      </c>
      <c r="F100" s="76">
        <f>VLOOKUP(B101,'E&amp;W'!$A$7:$P$69,11,0)</f>
        <v>13717420</v>
      </c>
      <c r="G100" s="76">
        <f>VLOOKUP(B101,'E&amp;W'!$A$7:$P$69,13,0)</f>
        <v>15155492</v>
      </c>
      <c r="H100" s="76">
        <f>VLOOKUP(B101,'E&amp;W'!$A$7:$P$69,15,0)</f>
        <v>12343574</v>
      </c>
      <c r="I100" s="76">
        <f>VLOOKUP(B101,'E&amp;W'!$A$7:$AD$69,17,0)</f>
        <v>13206708</v>
      </c>
      <c r="J100" s="76">
        <f>VLOOKUP(B101,'E&amp;W'!$A$7:$AD$69,19,0)</f>
        <v>10406026</v>
      </c>
      <c r="K100" s="76">
        <f>VLOOKUP(B101,'E&amp;W'!$A$7:$AD$69,21,0)</f>
        <v>9643859</v>
      </c>
      <c r="L100" s="76">
        <f>VLOOKUP(B101,'E&amp;W'!$A$7:$AD$69,23,0)</f>
        <v>9059803</v>
      </c>
      <c r="M100" s="76">
        <f>VLOOKUP(B101,'E&amp;W'!$A$7:$AD$69,25,0)</f>
        <v>12014577</v>
      </c>
      <c r="N100" s="76">
        <f>VLOOKUP(B101,'E&amp;W'!$A$7:$AD$69,27,0)</f>
        <v>12638580</v>
      </c>
      <c r="O100" s="76">
        <f>VLOOKUP(B101,'E&amp;W'!$A$7:$AD$69,29,0)</f>
        <v>11991376</v>
      </c>
    </row>
    <row r="101" spans="1:15">
      <c r="A101" s="311"/>
      <c r="B101" s="90">
        <v>1412000018</v>
      </c>
      <c r="C101" s="82" t="s">
        <v>172</v>
      </c>
      <c r="D101" s="83">
        <f>VLOOKUP(B101,'E&amp;W'!$A$7:$P$69,8,0)</f>
        <v>529671</v>
      </c>
      <c r="E101" s="83">
        <f>VLOOKUP(B101,'E&amp;W'!$A$7:$P$69,10,0)</f>
        <v>609242</v>
      </c>
      <c r="F101" s="83">
        <f>VLOOKUP(B101,'E&amp;W'!$A$7:$P$69,12,0)</f>
        <v>720715</v>
      </c>
      <c r="G101" s="83">
        <f>VLOOKUP(B101,'E&amp;W'!$A$7:$P$69,14,0)</f>
        <v>1015039</v>
      </c>
      <c r="H101" s="83">
        <f>VLOOKUP(B101,'E&amp;W'!$A$7:$P$69,16,0)</f>
        <v>859650</v>
      </c>
      <c r="I101" s="83">
        <f>VLOOKUP(B101,'E&amp;W'!$A$7:$AD$69,18,0)</f>
        <v>874634</v>
      </c>
      <c r="J101" s="83">
        <f>VLOOKUP(B101,'E&amp;W'!$A$7:$AD$69,20,0)</f>
        <v>861265</v>
      </c>
      <c r="K101" s="83">
        <f>VLOOKUP(B101,'E&amp;W'!$A$7:$AD$69,22,0)</f>
        <v>646887</v>
      </c>
      <c r="L101" s="83">
        <f>VLOOKUP(B101,'E&amp;W'!$A$7:$AD$69,24,0)</f>
        <v>635220</v>
      </c>
      <c r="M101" s="83">
        <f>VLOOKUP(B101,'E&amp;W'!$A$7:$AD$69,26,0)</f>
        <v>566871</v>
      </c>
      <c r="N101" s="83">
        <f>VLOOKUP(B101,'E&amp;W'!$A$7:$AD$69,28,0)</f>
        <v>438313</v>
      </c>
      <c r="O101" s="83">
        <f>VLOOKUP(B101,'E&amp;W'!$A$7:$AD$69,30,0)</f>
        <v>637935</v>
      </c>
    </row>
    <row r="102" spans="1:15">
      <c r="A102" s="308">
        <v>49</v>
      </c>
      <c r="B102" s="89" t="s">
        <v>110</v>
      </c>
      <c r="C102" s="74" t="s">
        <v>171</v>
      </c>
      <c r="D102" s="76">
        <f>VLOOKUP(B103,'E&amp;W'!$A$7:$P$69,7,0)</f>
        <v>9359788</v>
      </c>
      <c r="E102" s="76">
        <f>VLOOKUP(B103,'E&amp;W'!$A$7:$P$69,9,0)</f>
        <v>10296187</v>
      </c>
      <c r="F102" s="76">
        <f>VLOOKUP(B103,'E&amp;W'!$A$7:$P$69,11,0)</f>
        <v>12468552</v>
      </c>
      <c r="G102" s="76">
        <f>VLOOKUP(B103,'E&amp;W'!$A$7:$P$69,13,0)</f>
        <v>13679786</v>
      </c>
      <c r="H102" s="76">
        <f>VLOOKUP(B103,'E&amp;W'!$A$7:$P$69,15,0)</f>
        <v>14355289</v>
      </c>
      <c r="I102" s="76">
        <f>VLOOKUP(B103,'E&amp;W'!$A$7:$AD$69,17,0)</f>
        <v>13382200</v>
      </c>
      <c r="J102" s="76">
        <f>VLOOKUP(B103,'E&amp;W'!$A$7:$AD$69,19,0)</f>
        <v>11015273</v>
      </c>
      <c r="K102" s="76">
        <f>VLOOKUP(B103,'E&amp;W'!$A$7:$AD$69,21,0)</f>
        <v>10269379</v>
      </c>
      <c r="L102" s="76">
        <f>VLOOKUP(B103,'E&amp;W'!$A$7:$AD$69,23,0)</f>
        <v>9652961</v>
      </c>
      <c r="M102" s="76">
        <f>VLOOKUP(B103,'E&amp;W'!$A$7:$AD$69,25,0)</f>
        <v>8129943</v>
      </c>
      <c r="N102" s="76">
        <f>VLOOKUP(B103,'E&amp;W'!$A$7:$AD$69,27,0)</f>
        <v>8987470</v>
      </c>
      <c r="O102" s="76">
        <f>VLOOKUP(B103,'E&amp;W'!$A$7:$AD$69,29,0)</f>
        <v>7873676</v>
      </c>
    </row>
    <row r="103" spans="1:15">
      <c r="A103" s="308"/>
      <c r="B103" s="90">
        <v>1412000019</v>
      </c>
      <c r="C103" s="82" t="s">
        <v>172</v>
      </c>
      <c r="D103" s="83">
        <f>VLOOKUP(B103,'E&amp;W'!$A$7:$P$69,8,0)</f>
        <v>1324178</v>
      </c>
      <c r="E103" s="83">
        <f>VLOOKUP(B103,'E&amp;W'!$A$7:$P$69,10,0)</f>
        <v>1442941</v>
      </c>
      <c r="F103" s="83">
        <f>VLOOKUP(B103,'E&amp;W'!$A$7:$P$69,12,0)</f>
        <v>1706957</v>
      </c>
      <c r="G103" s="83">
        <f>VLOOKUP(B103,'E&amp;W'!$A$7:$P$69,14,0)</f>
        <v>2404039</v>
      </c>
      <c r="H103" s="83">
        <f>VLOOKUP(B103,'E&amp;W'!$A$7:$P$69,16,0)</f>
        <v>2036014</v>
      </c>
      <c r="I103" s="83">
        <f>VLOOKUP(B103,'E&amp;W'!$A$7:$AD$69,18,0)</f>
        <v>2071501</v>
      </c>
      <c r="J103" s="83">
        <f>VLOOKUP(B103,'E&amp;W'!$A$7:$AD$69,20,0)</f>
        <v>2085167</v>
      </c>
      <c r="K103" s="83">
        <f>VLOOKUP(B103,'E&amp;W'!$A$7:$AD$69,22,0)</f>
        <v>1566146</v>
      </c>
      <c r="L103" s="83">
        <f>VLOOKUP(B103,'E&amp;W'!$A$7:$AD$69,24,0)</f>
        <v>1537901</v>
      </c>
      <c r="M103" s="83">
        <f>VLOOKUP(B103,'E&amp;W'!$A$7:$AD$69,26,0)</f>
        <v>1372424</v>
      </c>
      <c r="N103" s="83">
        <f>VLOOKUP(B103,'E&amp;W'!$A$7:$AD$69,28,0)</f>
        <v>1061179</v>
      </c>
      <c r="O103" s="83">
        <f>VLOOKUP(B103,'E&amp;W'!$A$7:$AD$69,30,0)</f>
        <v>1544473</v>
      </c>
    </row>
    <row r="104" spans="1:15">
      <c r="A104" s="310">
        <v>50</v>
      </c>
      <c r="B104" s="89" t="s">
        <v>145</v>
      </c>
      <c r="C104" s="74" t="s">
        <v>171</v>
      </c>
      <c r="D104" s="76">
        <f>VLOOKUP(B105,'E&amp;W'!$A$7:$P$69,7,0)</f>
        <v>1428963</v>
      </c>
      <c r="E104" s="76">
        <f>VLOOKUP(B105,'E&amp;W'!$A$7:$P$69,9,0)</f>
        <v>1502897</v>
      </c>
      <c r="F104" s="76">
        <f>VLOOKUP(B105,'E&amp;W'!$A$7:$P$69,11,0)</f>
        <v>1357012</v>
      </c>
      <c r="G104" s="76">
        <f>VLOOKUP(B105,'E&amp;W'!$A$7:$P$69,13,0)</f>
        <v>1483151</v>
      </c>
      <c r="H104" s="76">
        <f>VLOOKUP(B105,'E&amp;W'!$A$7:$P$69,15,0)</f>
        <v>1606269</v>
      </c>
      <c r="I104" s="76">
        <f>VLOOKUP(B105,'E&amp;W'!$A$7:$AD$69,17,0)</f>
        <v>1613049</v>
      </c>
      <c r="J104" s="76">
        <f>VLOOKUP(B105,'E&amp;W'!$A$7:$AD$69,19,0)</f>
        <v>1188422</v>
      </c>
      <c r="K104" s="76">
        <f>VLOOKUP(B105,'E&amp;W'!$A$7:$AD$69,21,0)</f>
        <v>1338359</v>
      </c>
      <c r="L104" s="76">
        <f>VLOOKUP(B105,'E&amp;W'!$A$7:$AD$69,23,0)</f>
        <v>1231880</v>
      </c>
      <c r="M104" s="76">
        <f>VLOOKUP(B105,'E&amp;W'!$A$7:$AD$69,25,0)</f>
        <v>1304300</v>
      </c>
      <c r="N104" s="76">
        <f>VLOOKUP(B105,'E&amp;W'!$A$7:$AD$69,27,0)</f>
        <v>1387482</v>
      </c>
      <c r="O104" s="76">
        <f>VLOOKUP(B105,'E&amp;W'!$A$7:$AD$69,29,0)</f>
        <v>1512012</v>
      </c>
    </row>
    <row r="105" spans="1:15">
      <c r="A105" s="311"/>
      <c r="B105" s="90">
        <v>1412000058</v>
      </c>
      <c r="C105" s="82" t="s">
        <v>172</v>
      </c>
      <c r="D105" s="83">
        <f>VLOOKUP(B105,'E&amp;W'!$A$7:$P$69,8,0)</f>
        <v>529671</v>
      </c>
      <c r="E105" s="83">
        <f>VLOOKUP(B105,'E&amp;W'!$A$7:$P$69,10,0)</f>
        <v>577177</v>
      </c>
      <c r="F105" s="83">
        <f>VLOOKUP(B105,'E&amp;W'!$A$7:$P$69,12,0)</f>
        <v>682783</v>
      </c>
      <c r="G105" s="83">
        <f>VLOOKUP(B105,'E&amp;W'!$A$7:$P$69,14,0)</f>
        <v>961616</v>
      </c>
      <c r="H105" s="83">
        <f>VLOOKUP(B105,'E&amp;W'!$A$7:$P$69,16,0)</f>
        <v>814406</v>
      </c>
      <c r="I105" s="83">
        <f>VLOOKUP(B105,'E&amp;W'!$A$7:$AD$69,18,0)</f>
        <v>828601</v>
      </c>
      <c r="J105" s="83">
        <f>VLOOKUP(B105,'E&amp;W'!$A$7:$AD$69,20,0)</f>
        <v>815935</v>
      </c>
      <c r="K105" s="83">
        <f>VLOOKUP(B105,'E&amp;W'!$A$7:$AD$69,22,0)</f>
        <v>612840</v>
      </c>
      <c r="L105" s="83">
        <f>VLOOKUP(B105,'E&amp;W'!$A$7:$AD$69,24,0)</f>
        <v>601787</v>
      </c>
      <c r="M105" s="83">
        <f>VLOOKUP(B105,'E&amp;W'!$A$7:$AD$69,26,0)</f>
        <v>537036</v>
      </c>
      <c r="N105" s="83">
        <f>VLOOKUP(B105,'E&amp;W'!$A$7:$AD$69,28,0)</f>
        <v>415244</v>
      </c>
      <c r="O105" s="83">
        <f>VLOOKUP(B105,'E&amp;W'!$A$7:$AD$69,30,0)</f>
        <v>604359</v>
      </c>
    </row>
    <row r="106" spans="1:15">
      <c r="A106" s="308">
        <v>51</v>
      </c>
      <c r="B106" s="89" t="s">
        <v>141</v>
      </c>
      <c r="C106" s="74" t="s">
        <v>171</v>
      </c>
      <c r="D106" s="76">
        <f>VLOOKUP(B107,'E&amp;W'!$A$7:$P$69,7,0)</f>
        <v>407329</v>
      </c>
      <c r="E106" s="76">
        <f>VLOOKUP(B107,'E&amp;W'!$A$7:$P$69,9,0)</f>
        <v>426562</v>
      </c>
      <c r="F106" s="76">
        <f>VLOOKUP(B107,'E&amp;W'!$A$7:$P$69,11,0)</f>
        <v>384040</v>
      </c>
      <c r="G106" s="76">
        <f>VLOOKUP(B107,'E&amp;W'!$A$7:$P$69,13,0)</f>
        <v>418303</v>
      </c>
      <c r="H106" s="76">
        <f>VLOOKUP(B107,'E&amp;W'!$A$7:$P$69,15,0)</f>
        <v>456104</v>
      </c>
      <c r="I106" s="76">
        <f>VLOOKUP(B107,'E&amp;W'!$A$7:$AD$69,17,0)</f>
        <v>456436</v>
      </c>
      <c r="J106" s="76">
        <f>VLOOKUP(B107,'E&amp;W'!$A$7:$AD$69,19,0)</f>
        <v>336187</v>
      </c>
      <c r="K106" s="76">
        <f>VLOOKUP(B107,'E&amp;W'!$A$7:$AD$69,21,0)</f>
        <v>379499</v>
      </c>
      <c r="L106" s="76">
        <f>VLOOKUP(B107,'E&amp;W'!$A$7:$AD$69,23,0)</f>
        <v>353050</v>
      </c>
      <c r="M106" s="76">
        <f>VLOOKUP(B107,'E&amp;W'!$A$7:$AD$69,25,0)</f>
        <v>375452</v>
      </c>
      <c r="N106" s="76">
        <f>VLOOKUP(B107,'E&amp;W'!$A$7:$AD$69,27,0)</f>
        <v>394496</v>
      </c>
      <c r="O106" s="76">
        <f>VLOOKUP(B107,'E&amp;W'!$A$7:$AD$69,29,0)</f>
        <v>435337</v>
      </c>
    </row>
    <row r="107" spans="1:15">
      <c r="A107" s="308"/>
      <c r="B107" s="90">
        <v>1412000042</v>
      </c>
      <c r="C107" s="82" t="s">
        <v>172</v>
      </c>
      <c r="D107" s="83">
        <f>VLOOKUP(B107,'E&amp;W'!$A$7:$P$69,8,0)</f>
        <v>147131</v>
      </c>
      <c r="E107" s="83">
        <f>VLOOKUP(B107,'E&amp;W'!$A$7:$P$69,10,0)</f>
        <v>160327</v>
      </c>
      <c r="F107" s="83">
        <f>VLOOKUP(B107,'E&amp;W'!$A$7:$P$69,12,0)</f>
        <v>189662</v>
      </c>
      <c r="G107" s="83">
        <f>VLOOKUP(B107,'E&amp;W'!$A$7:$P$69,14,0)</f>
        <v>267115</v>
      </c>
      <c r="H107" s="83">
        <f>VLOOKUP(B107,'E&amp;W'!$A$7:$P$69,16,0)</f>
        <v>226224</v>
      </c>
      <c r="I107" s="83">
        <f>VLOOKUP(B107,'E&amp;W'!$A$7:$AD$69,18,0)</f>
        <v>230167</v>
      </c>
      <c r="J107" s="83">
        <f>VLOOKUP(B107,'E&amp;W'!$A$7:$AD$69,20,0)</f>
        <v>226649</v>
      </c>
      <c r="K107" s="83">
        <f>VLOOKUP(B107,'E&amp;W'!$A$7:$AD$69,22,0)</f>
        <v>170233</v>
      </c>
      <c r="L107" s="83">
        <f>VLOOKUP(B107,'E&amp;W'!$A$7:$AD$69,24,0)</f>
        <v>167163</v>
      </c>
      <c r="M107" s="83">
        <f>VLOOKUP(B107,'E&amp;W'!$A$7:$AD$69,26,0)</f>
        <v>149177</v>
      </c>
      <c r="N107" s="83">
        <f>VLOOKUP(B107,'E&amp;W'!$A$7:$AD$69,28,0)</f>
        <v>115346</v>
      </c>
      <c r="O107" s="83">
        <f>VLOOKUP(B107,'E&amp;W'!$A$7:$AD$69,30,0)</f>
        <v>167878</v>
      </c>
    </row>
    <row r="108" spans="1:15">
      <c r="A108" s="309">
        <v>52</v>
      </c>
      <c r="B108" s="89" t="s">
        <v>134</v>
      </c>
      <c r="C108" s="74" t="s">
        <v>171</v>
      </c>
      <c r="D108" s="76">
        <f>VLOOKUP(B109,'E&amp;W'!$A$7:$P$69,7,0)</f>
        <v>564503</v>
      </c>
      <c r="E108" s="76">
        <f>VLOOKUP(B109,'E&amp;W'!$A$7:$P$69,9,0)</f>
        <v>592152</v>
      </c>
      <c r="F108" s="76">
        <f>VLOOKUP(B109,'E&amp;W'!$A$7:$P$69,11,0)</f>
        <v>533728</v>
      </c>
      <c r="G108" s="76">
        <f>VLOOKUP(B109,'E&amp;W'!$A$7:$P$69,13,0)</f>
        <v>582126</v>
      </c>
      <c r="H108" s="76">
        <f>VLOOKUP(B109,'E&amp;W'!$A$7:$P$69,15,0)</f>
        <v>633052</v>
      </c>
      <c r="I108" s="76">
        <f>VLOOKUP(B109,'E&amp;W'!$A$7:$AD$69,17,0)</f>
        <v>634376</v>
      </c>
      <c r="J108" s="76">
        <f>VLOOKUP(B109,'E&amp;W'!$A$7:$AD$69,19,0)</f>
        <v>467300</v>
      </c>
      <c r="K108" s="76">
        <f>VLOOKUP(B109,'E&amp;W'!$A$7:$AD$69,21,0)</f>
        <v>527016</v>
      </c>
      <c r="L108" s="76">
        <f>VLOOKUP(B109,'E&amp;W'!$A$7:$AD$69,23,0)</f>
        <v>488254</v>
      </c>
      <c r="M108" s="76">
        <f>VLOOKUP(B109,'E&amp;W'!$A$7:$AD$69,25,0)</f>
        <v>518351</v>
      </c>
      <c r="N108" s="76">
        <f>VLOOKUP(B109,'E&amp;W'!$A$7:$AD$69,27,0)</f>
        <v>547263</v>
      </c>
      <c r="O108" s="76">
        <f>VLOOKUP(B109,'E&amp;W'!$A$7:$AD$69,29,0)</f>
        <v>600979</v>
      </c>
    </row>
    <row r="109" spans="1:15">
      <c r="A109" s="309"/>
      <c r="B109" s="90">
        <v>1412000021</v>
      </c>
      <c r="C109" s="82" t="s">
        <v>172</v>
      </c>
      <c r="D109" s="83">
        <f>VLOOKUP(B109,'E&amp;W'!$A$7:$P$69,8,0)</f>
        <v>205983</v>
      </c>
      <c r="E109" s="83">
        <f>VLOOKUP(B109,'E&amp;W'!$A$7:$P$69,10,0)</f>
        <v>224458</v>
      </c>
      <c r="F109" s="83">
        <f>VLOOKUP(B109,'E&amp;W'!$A$7:$P$69,12,0)</f>
        <v>265527</v>
      </c>
      <c r="G109" s="83">
        <f>VLOOKUP(B109,'E&amp;W'!$A$7:$P$69,14,0)</f>
        <v>373962</v>
      </c>
      <c r="H109" s="83">
        <f>VLOOKUP(B109,'E&amp;W'!$A$7:$P$69,16,0)</f>
        <v>316713</v>
      </c>
      <c r="I109" s="83">
        <f>VLOOKUP(B109,'E&amp;W'!$A$7:$AD$69,18,0)</f>
        <v>322234</v>
      </c>
      <c r="J109" s="83">
        <f>VLOOKUP(B109,'E&amp;W'!$A$7:$AD$69,20,0)</f>
        <v>317308</v>
      </c>
      <c r="K109" s="83">
        <f>VLOOKUP(B109,'E&amp;W'!$A$7:$AD$69,22,0)</f>
        <v>238327</v>
      </c>
      <c r="L109" s="83">
        <f>VLOOKUP(B109,'E&amp;W'!$A$7:$AD$69,24,0)</f>
        <v>234028</v>
      </c>
      <c r="M109" s="83">
        <f>VLOOKUP(B109,'E&amp;W'!$A$7:$AD$69,26,0)</f>
        <v>208847</v>
      </c>
      <c r="N109" s="83">
        <f>VLOOKUP(B109,'E&amp;W'!$A$7:$AD$69,28,0)</f>
        <v>161484</v>
      </c>
      <c r="O109" s="83">
        <f>VLOOKUP(B109,'E&amp;W'!$A$7:$AD$69,30,0)</f>
        <v>235029</v>
      </c>
    </row>
    <row r="110" spans="1:15">
      <c r="A110" s="310">
        <v>53</v>
      </c>
      <c r="B110" s="89" t="s">
        <v>148</v>
      </c>
      <c r="C110" s="74" t="s">
        <v>171</v>
      </c>
      <c r="D110" s="76">
        <f>VLOOKUP(B111,'E&amp;W'!$A$7:$P$69,7,0)</f>
        <v>643091</v>
      </c>
      <c r="E110" s="76">
        <f>VLOOKUP(B111,'E&amp;W'!$A$7:$P$69,9,0)</f>
        <v>674947</v>
      </c>
      <c r="F110" s="76">
        <f>VLOOKUP(B111,'E&amp;W'!$A$7:$P$69,11,0)</f>
        <v>608572</v>
      </c>
      <c r="G110" s="76">
        <f>VLOOKUP(B111,'E&amp;W'!$A$7:$P$69,13,0)</f>
        <v>664037</v>
      </c>
      <c r="H110" s="76">
        <f>VLOOKUP(B111,'E&amp;W'!$A$7:$P$69,15,0)</f>
        <v>721526</v>
      </c>
      <c r="I110" s="76">
        <f>VLOOKUP(B111,'E&amp;W'!$A$7:$AD$69,17,0)</f>
        <v>723347</v>
      </c>
      <c r="J110" s="76">
        <f>VLOOKUP(B111,'E&amp;W'!$A$7:$AD$69,19,0)</f>
        <v>532856</v>
      </c>
      <c r="K110" s="76">
        <f>VLOOKUP(B111,'E&amp;W'!$A$7:$AD$69,21,0)</f>
        <v>600774</v>
      </c>
      <c r="L110" s="76">
        <f>VLOOKUP(B111,'E&amp;W'!$A$7:$AD$69,23,0)</f>
        <v>555857</v>
      </c>
      <c r="M110" s="76">
        <f>VLOOKUP(B111,'E&amp;W'!$A$7:$AD$69,25,0)</f>
        <v>589801</v>
      </c>
      <c r="N110" s="76">
        <f>VLOOKUP(B111,'E&amp;W'!$A$7:$AD$69,27,0)</f>
        <v>623646</v>
      </c>
      <c r="O110" s="76">
        <f>VLOOKUP(B111,'E&amp;W'!$A$7:$AD$69,29,0)</f>
        <v>683800</v>
      </c>
    </row>
    <row r="111" spans="1:15">
      <c r="A111" s="311"/>
      <c r="B111" s="90">
        <v>1412000070</v>
      </c>
      <c r="C111" s="82" t="s">
        <v>172</v>
      </c>
      <c r="D111" s="83">
        <f>VLOOKUP(B111,'E&amp;W'!$A$7:$P$69,8,0)</f>
        <v>235409</v>
      </c>
      <c r="E111" s="83">
        <f>VLOOKUP(B111,'E&amp;W'!$A$7:$P$69,10,0)</f>
        <v>256523</v>
      </c>
      <c r="F111" s="83">
        <f>VLOOKUP(B111,'E&amp;W'!$A$7:$P$69,12,0)</f>
        <v>303459</v>
      </c>
      <c r="G111" s="83">
        <f>VLOOKUP(B111,'E&amp;W'!$A$7:$P$69,14,0)</f>
        <v>427385</v>
      </c>
      <c r="H111" s="83">
        <f>VLOOKUP(B111,'E&amp;W'!$A$7:$P$69,16,0)</f>
        <v>361958</v>
      </c>
      <c r="I111" s="83">
        <f>VLOOKUP(B111,'E&amp;W'!$A$7:$AD$69,18,0)</f>
        <v>368267</v>
      </c>
      <c r="J111" s="83">
        <f>VLOOKUP(B111,'E&amp;W'!$A$7:$AD$69,20,0)</f>
        <v>362638</v>
      </c>
      <c r="K111" s="83">
        <f>VLOOKUP(B111,'E&amp;W'!$A$7:$AD$69,22,0)</f>
        <v>272373</v>
      </c>
      <c r="L111" s="83">
        <f>VLOOKUP(B111,'E&amp;W'!$A$7:$AD$69,24,0)</f>
        <v>267461</v>
      </c>
      <c r="M111" s="83">
        <f>VLOOKUP(B111,'E&amp;W'!$A$7:$AD$69,26,0)</f>
        <v>238682</v>
      </c>
      <c r="N111" s="83">
        <f>VLOOKUP(B111,'E&amp;W'!$A$7:$AD$69,28,0)</f>
        <v>184553</v>
      </c>
      <c r="O111" s="83">
        <f>VLOOKUP(B111,'E&amp;W'!$A$7:$AD$69,30,0)</f>
        <v>268604</v>
      </c>
    </row>
    <row r="112" spans="1:15">
      <c r="A112" s="308">
        <v>54</v>
      </c>
      <c r="B112" s="89" t="s">
        <v>135</v>
      </c>
      <c r="C112" s="74" t="s">
        <v>171</v>
      </c>
      <c r="D112" s="76">
        <f>VLOOKUP(B113,'E&amp;W'!$A$7:$P$69,7,0)</f>
        <v>485916</v>
      </c>
      <c r="E112" s="76">
        <f>VLOOKUP(B113,'E&amp;W'!$A$7:$P$69,9,0)</f>
        <v>509357</v>
      </c>
      <c r="F112" s="76">
        <f>VLOOKUP(B113,'E&amp;W'!$A$7:$P$69,11,0)</f>
        <v>533728</v>
      </c>
      <c r="G112" s="76">
        <f>VLOOKUP(B113,'E&amp;W'!$A$7:$P$69,13,0)</f>
        <v>582126</v>
      </c>
      <c r="H112" s="76">
        <f>VLOOKUP(B113,'E&amp;W'!$A$7:$P$69,15,0)</f>
        <v>633052</v>
      </c>
      <c r="I112" s="76">
        <f>VLOOKUP(B113,'E&amp;W'!$A$7:$AD$69,17,0)</f>
        <v>634376</v>
      </c>
      <c r="J112" s="76">
        <f>VLOOKUP(B113,'E&amp;W'!$A$7:$AD$69,19,0)</f>
        <v>532856</v>
      </c>
      <c r="K112" s="76">
        <f>VLOOKUP(B113,'E&amp;W'!$A$7:$AD$69,21,0)</f>
        <v>600774</v>
      </c>
      <c r="L112" s="76">
        <f>VLOOKUP(B113,'E&amp;W'!$A$7:$AD$69,23,0)</f>
        <v>488254</v>
      </c>
      <c r="M112" s="76">
        <f>VLOOKUP(B113,'E&amp;W'!$A$7:$AD$69,25,0)</f>
        <v>518351</v>
      </c>
      <c r="N112" s="76">
        <f>VLOOKUP(B113,'E&amp;W'!$A$7:$AD$69,27,0)</f>
        <v>547263</v>
      </c>
      <c r="O112" s="76">
        <f>VLOOKUP(B113,'E&amp;W'!$A$7:$AD$69,29,0)</f>
        <v>600979</v>
      </c>
    </row>
    <row r="113" spans="1:15">
      <c r="A113" s="308"/>
      <c r="B113" s="90">
        <v>1412000022</v>
      </c>
      <c r="C113" s="82" t="s">
        <v>172</v>
      </c>
      <c r="D113" s="83">
        <f>VLOOKUP(B113,'E&amp;W'!$A$7:$P$69,8,0)</f>
        <v>176557</v>
      </c>
      <c r="E113" s="83">
        <f>VLOOKUP(B113,'E&amp;W'!$A$7:$P$69,10,0)</f>
        <v>192392</v>
      </c>
      <c r="F113" s="83">
        <f>VLOOKUP(B113,'E&amp;W'!$A$7:$P$69,12,0)</f>
        <v>265527</v>
      </c>
      <c r="G113" s="83">
        <f>VLOOKUP(B113,'E&amp;W'!$A$7:$P$69,14,0)</f>
        <v>373962</v>
      </c>
      <c r="H113" s="83">
        <f>VLOOKUP(B113,'E&amp;W'!$A$7:$P$69,16,0)</f>
        <v>316713</v>
      </c>
      <c r="I113" s="83">
        <f>VLOOKUP(B113,'E&amp;W'!$A$7:$AD$69,18,0)</f>
        <v>322234</v>
      </c>
      <c r="J113" s="83">
        <f>VLOOKUP(B113,'E&amp;W'!$A$7:$AD$69,20,0)</f>
        <v>362638</v>
      </c>
      <c r="K113" s="83">
        <f>VLOOKUP(B113,'E&amp;W'!$A$7:$AD$69,22,0)</f>
        <v>272373</v>
      </c>
      <c r="L113" s="83">
        <f>VLOOKUP(B113,'E&amp;W'!$A$7:$AD$69,24,0)</f>
        <v>234028</v>
      </c>
      <c r="M113" s="83">
        <f>VLOOKUP(B113,'E&amp;W'!$A$7:$AD$69,26,0)</f>
        <v>208847</v>
      </c>
      <c r="N113" s="83">
        <f>VLOOKUP(B113,'E&amp;W'!$A$7:$AD$69,28,0)</f>
        <v>161484</v>
      </c>
      <c r="O113" s="83">
        <f>VLOOKUP(B113,'E&amp;W'!$A$7:$AD$69,30,0)</f>
        <v>235029</v>
      </c>
    </row>
    <row r="114" spans="1:15">
      <c r="A114" s="310">
        <v>55</v>
      </c>
      <c r="B114" s="89" t="s">
        <v>136</v>
      </c>
      <c r="C114" s="74" t="s">
        <v>171</v>
      </c>
      <c r="D114" s="76">
        <f>VLOOKUP(B115,'E&amp;W'!$A$7:$P$69,7,0)</f>
        <v>143165710</v>
      </c>
      <c r="E114" s="76">
        <f>VLOOKUP(B115,'E&amp;W'!$A$7:$P$69,9,0)</f>
        <v>161282874</v>
      </c>
      <c r="F114" s="76">
        <f>VLOOKUP(B115,'E&amp;W'!$A$7:$P$69,11,0)</f>
        <v>209006788</v>
      </c>
      <c r="G114" s="76">
        <f>VLOOKUP(B115,'E&amp;W'!$A$7:$P$69,13,0)</f>
        <v>242099677</v>
      </c>
      <c r="H114" s="76">
        <f>VLOOKUP(B115,'E&amp;W'!$A$7:$P$69,15,0)</f>
        <v>267213069</v>
      </c>
      <c r="I114" s="76">
        <f>VLOOKUP(B115,'E&amp;W'!$A$7:$AD$69,17,0)</f>
        <v>255241617</v>
      </c>
      <c r="J114" s="76">
        <f>VLOOKUP(B115,'E&amp;W'!$A$7:$AD$69,19,0)</f>
        <v>197149424</v>
      </c>
      <c r="K114" s="76">
        <f>VLOOKUP(B115,'E&amp;W'!$A$7:$AD$69,21,0)</f>
        <v>190404424</v>
      </c>
      <c r="L114" s="76">
        <f>VLOOKUP(B115,'E&amp;W'!$A$7:$AD$69,23,0)</f>
        <v>141027713</v>
      </c>
      <c r="M114" s="76">
        <f>VLOOKUP(B115,'E&amp;W'!$A$7:$AD$69,25,0)</f>
        <v>118928406</v>
      </c>
      <c r="N114" s="76">
        <f>VLOOKUP(B115,'E&amp;W'!$A$7:$AD$69,27,0)</f>
        <v>125555157</v>
      </c>
      <c r="O114" s="76">
        <f>VLOOKUP(B115,'E&amp;W'!$A$7:$AD$69,29,0)</f>
        <v>129760344</v>
      </c>
    </row>
    <row r="115" spans="1:15">
      <c r="A115" s="311"/>
      <c r="B115" s="90">
        <v>1412000024</v>
      </c>
      <c r="C115" s="82" t="s">
        <v>172</v>
      </c>
      <c r="D115" s="83">
        <f>VLOOKUP(B115,'E&amp;W'!$A$7:$P$69,8,0)</f>
        <v>529671</v>
      </c>
      <c r="E115" s="83">
        <f>VLOOKUP(B115,'E&amp;W'!$A$7:$P$69,10,0)</f>
        <v>577177</v>
      </c>
      <c r="F115" s="83">
        <f>VLOOKUP(B115,'E&amp;W'!$A$7:$P$69,12,0)</f>
        <v>682783</v>
      </c>
      <c r="G115" s="83">
        <f>VLOOKUP(B115,'E&amp;W'!$A$7:$P$69,14,0)</f>
        <v>961616</v>
      </c>
      <c r="H115" s="83">
        <f>VLOOKUP(B115,'E&amp;W'!$A$7:$P$69,16,0)</f>
        <v>814406</v>
      </c>
      <c r="I115" s="83">
        <f>VLOOKUP(B115,'E&amp;W'!$A$7:$AD$69,18,0)</f>
        <v>828601</v>
      </c>
      <c r="J115" s="83">
        <f>VLOOKUP(B115,'E&amp;W'!$A$7:$AD$69,20,0)</f>
        <v>815935</v>
      </c>
      <c r="K115" s="83">
        <f>VLOOKUP(B115,'E&amp;W'!$A$7:$AD$69,22,0)</f>
        <v>612840</v>
      </c>
      <c r="L115" s="83">
        <f>VLOOKUP(B115,'E&amp;W'!$A$7:$AD$69,24,0)</f>
        <v>601787</v>
      </c>
      <c r="M115" s="83">
        <f>VLOOKUP(B115,'E&amp;W'!$A$7:$AD$69,26,0)</f>
        <v>537036</v>
      </c>
      <c r="N115" s="83">
        <f>VLOOKUP(B115,'E&amp;W'!$A$7:$AD$69,28,0)</f>
        <v>415244</v>
      </c>
      <c r="O115" s="83">
        <f>VLOOKUP(B115,'E&amp;W'!$A$7:$AD$69,30,0)</f>
        <v>604359</v>
      </c>
    </row>
    <row r="116" spans="1:15">
      <c r="A116" s="308">
        <v>56</v>
      </c>
      <c r="B116" s="89" t="s">
        <v>5</v>
      </c>
      <c r="C116" s="74" t="s">
        <v>171</v>
      </c>
      <c r="D116" s="76">
        <f>VLOOKUP(B117,'E&amp;W'!$A$7:$P$69,7,0)</f>
        <v>5531228</v>
      </c>
      <c r="E116" s="76">
        <f>VLOOKUP(B117,'E&amp;W'!$A$7:$P$69,9,0)</f>
        <v>5837262</v>
      </c>
      <c r="F116" s="76">
        <f>VLOOKUP(B117,'E&amp;W'!$A$7:$P$69,11,0)</f>
        <v>6292427</v>
      </c>
      <c r="G116" s="76">
        <f>VLOOKUP(B117,'E&amp;W'!$A$7:$P$69,13,0)</f>
        <v>6880759</v>
      </c>
      <c r="H116" s="76">
        <f>VLOOKUP(B117,'E&amp;W'!$A$7:$P$69,15,0)</f>
        <v>7991226</v>
      </c>
      <c r="I116" s="76">
        <f>VLOOKUP(B117,'E&amp;W'!$A$7:$AD$69,17,0)</f>
        <v>8123426</v>
      </c>
      <c r="J116" s="76">
        <f>VLOOKUP(B117,'E&amp;W'!$A$7:$AD$69,19,0)</f>
        <v>5446009</v>
      </c>
      <c r="K116" s="76">
        <f>VLOOKUP(B117,'E&amp;W'!$A$7:$AD$69,21,0)</f>
        <v>6125188</v>
      </c>
      <c r="L116" s="76">
        <f>VLOOKUP(B117,'E&amp;W'!$A$7:$AD$69,23,0)</f>
        <v>6261748</v>
      </c>
      <c r="M116" s="76">
        <f>VLOOKUP(B117,'E&amp;W'!$A$7:$AD$69,25,0)</f>
        <v>5795201</v>
      </c>
      <c r="N116" s="76">
        <f>VLOOKUP(B117,'E&amp;W'!$A$7:$AD$69,27,0)</f>
        <v>5651089</v>
      </c>
      <c r="O116" s="76">
        <f>VLOOKUP(B117,'E&amp;W'!$A$7:$AD$69,29,0)</f>
        <v>6364414</v>
      </c>
    </row>
    <row r="117" spans="1:15">
      <c r="A117" s="308"/>
      <c r="B117" s="90">
        <v>1412000025</v>
      </c>
      <c r="C117" s="82" t="s">
        <v>172</v>
      </c>
      <c r="D117" s="83">
        <f>VLOOKUP(B117,'E&amp;W'!$A$7:$P$69,8,0)</f>
        <v>441393</v>
      </c>
      <c r="E117" s="83">
        <f>VLOOKUP(B117,'E&amp;W'!$A$7:$P$69,10,0)</f>
        <v>480980</v>
      </c>
      <c r="F117" s="83">
        <f>VLOOKUP(B117,'E&amp;W'!$A$7:$P$69,12,0)</f>
        <v>568986</v>
      </c>
      <c r="G117" s="83">
        <f>VLOOKUP(B117,'E&amp;W'!$A$7:$P$69,14,0)</f>
        <v>801346</v>
      </c>
      <c r="H117" s="83">
        <f>VLOOKUP(B117,'E&amp;W'!$A$7:$P$69,16,0)</f>
        <v>678671</v>
      </c>
      <c r="I117" s="83">
        <f>VLOOKUP(B117,'E&amp;W'!$A$7:$AD$69,18,0)</f>
        <v>690500</v>
      </c>
      <c r="J117" s="83">
        <f>VLOOKUP(B117,'E&amp;W'!$A$7:$AD$69,20,0)</f>
        <v>679946</v>
      </c>
      <c r="K117" s="83">
        <f>VLOOKUP(B117,'E&amp;W'!$A$7:$AD$69,22,0)</f>
        <v>510700</v>
      </c>
      <c r="L117" s="83">
        <f>VLOOKUP(B117,'E&amp;W'!$A$7:$AD$69,24,0)</f>
        <v>501490</v>
      </c>
      <c r="M117" s="83">
        <f>VLOOKUP(B117,'E&amp;W'!$A$7:$AD$69,26,0)</f>
        <v>447530</v>
      </c>
      <c r="N117" s="83">
        <f>VLOOKUP(B117,'E&amp;W'!$A$7:$AD$69,28,0)</f>
        <v>346037</v>
      </c>
      <c r="O117" s="83">
        <f>VLOOKUP(B117,'E&amp;W'!$A$7:$AD$69,30,0)</f>
        <v>503633</v>
      </c>
    </row>
    <row r="118" spans="1:15">
      <c r="A118" s="309">
        <v>57</v>
      </c>
      <c r="B118" s="89" t="s">
        <v>113</v>
      </c>
      <c r="C118" s="74" t="s">
        <v>171</v>
      </c>
      <c r="D118" s="76">
        <f>VLOOKUP(B119,'E&amp;W'!$A$7:$P$69,7,0)</f>
        <v>11793796</v>
      </c>
      <c r="E118" s="76">
        <f>VLOOKUP(B119,'E&amp;W'!$A$7:$P$69,9,0)</f>
        <v>11931172</v>
      </c>
      <c r="F118" s="76">
        <f>VLOOKUP(B119,'E&amp;W'!$A$7:$P$69,11,0)</f>
        <v>10795988</v>
      </c>
      <c r="G118" s="76">
        <f>VLOOKUP(B119,'E&amp;W'!$A$7:$P$69,13,0)</f>
        <v>11049610</v>
      </c>
      <c r="H118" s="76">
        <f>VLOOKUP(B119,'E&amp;W'!$A$7:$P$69,15,0)</f>
        <v>11623279</v>
      </c>
      <c r="I118" s="76">
        <f>VLOOKUP(B119,'E&amp;W'!$A$7:$AD$69,17,0)</f>
        <v>12065381</v>
      </c>
      <c r="J118" s="76">
        <f>VLOOKUP(B119,'E&amp;W'!$A$7:$AD$69,19,0)</f>
        <v>10411675</v>
      </c>
      <c r="K118" s="76">
        <f>VLOOKUP(B119,'E&amp;W'!$A$7:$AD$69,21,0)</f>
        <v>10567257</v>
      </c>
      <c r="L118" s="76">
        <f>VLOOKUP(B119,'E&amp;W'!$A$7:$AD$69,23,0)</f>
        <v>11116828</v>
      </c>
      <c r="M118" s="76">
        <f>VLOOKUP(B119,'E&amp;W'!$A$7:$AD$69,25,0)</f>
        <v>10681655</v>
      </c>
      <c r="N118" s="76">
        <f>VLOOKUP(B119,'E&amp;W'!$A$7:$AD$69,27,0)</f>
        <v>13070456</v>
      </c>
      <c r="O118" s="76">
        <f>VLOOKUP(B119,'E&amp;W'!$A$7:$AD$69,29,0)</f>
        <v>12791150</v>
      </c>
    </row>
    <row r="119" spans="1:15">
      <c r="A119" s="309"/>
      <c r="B119" s="90">
        <v>1412000091</v>
      </c>
      <c r="C119" s="82" t="s">
        <v>172</v>
      </c>
      <c r="D119" s="83">
        <f>VLOOKUP(B119,'E&amp;W'!$A$7:$P$69,8,0)</f>
        <v>2059832</v>
      </c>
      <c r="E119" s="83">
        <f>VLOOKUP(B119,'E&amp;W'!$A$7:$P$69,10,0)</f>
        <v>2244575</v>
      </c>
      <c r="F119" s="83">
        <f>VLOOKUP(B119,'E&amp;W'!$A$7:$P$69,12,0)</f>
        <v>2655267</v>
      </c>
      <c r="G119" s="83">
        <f>VLOOKUP(B119,'E&amp;W'!$A$7:$P$69,14,0)</f>
        <v>3739616</v>
      </c>
      <c r="H119" s="83">
        <f>VLOOKUP(B119,'E&amp;W'!$A$7:$P$69,16,0)</f>
        <v>3167133</v>
      </c>
      <c r="I119" s="83">
        <f>VLOOKUP(B119,'E&amp;W'!$A$7:$AD$69,18,0)</f>
        <v>3222335</v>
      </c>
      <c r="J119" s="83">
        <f>VLOOKUP(B119,'E&amp;W'!$A$7:$AD$69,20,0)</f>
        <v>3173081</v>
      </c>
      <c r="K119" s="83">
        <f>VLOOKUP(B119,'E&amp;W'!$A$7:$AD$69,22,0)</f>
        <v>2383266</v>
      </c>
      <c r="L119" s="83">
        <f>VLOOKUP(B119,'E&amp;W'!$A$7:$AD$69,24,0)</f>
        <v>2340284</v>
      </c>
      <c r="M119" s="83">
        <f>VLOOKUP(B119,'E&amp;W'!$A$7:$AD$69,26,0)</f>
        <v>2088472</v>
      </c>
      <c r="N119" s="83">
        <f>VLOOKUP(B119,'E&amp;W'!$A$7:$AD$69,28,0)</f>
        <v>1614838</v>
      </c>
      <c r="O119" s="83">
        <f>VLOOKUP(B119,'E&amp;W'!$A$7:$AD$69,30,0)</f>
        <v>2350285</v>
      </c>
    </row>
    <row r="120" spans="1:15">
      <c r="A120" s="310">
        <v>58</v>
      </c>
      <c r="B120" s="89" t="s">
        <v>150</v>
      </c>
      <c r="C120" s="74" t="s">
        <v>171</v>
      </c>
      <c r="D120" s="76">
        <f>VLOOKUP(B121,'E&amp;W'!$A$7:$P$69,7,0)</f>
        <v>628698</v>
      </c>
      <c r="E120" s="76">
        <f>VLOOKUP(B121,'E&amp;W'!$A$7:$P$69,9,0)</f>
        <v>662359</v>
      </c>
      <c r="F120" s="76">
        <f>VLOOKUP(B121,'E&amp;W'!$A$7:$P$69,11,0)</f>
        <v>598752</v>
      </c>
      <c r="G120" s="76">
        <f>VLOOKUP(B121,'E&amp;W'!$A$7:$P$69,13,0)</f>
        <v>655291</v>
      </c>
      <c r="H120" s="76">
        <f>VLOOKUP(B121,'E&amp;W'!$A$7:$P$69,15,0)</f>
        <v>707794</v>
      </c>
      <c r="I120" s="76">
        <f>VLOOKUP(B121,'E&amp;W'!$A$7:$AD$69,17,0)</f>
        <v>711762</v>
      </c>
      <c r="J120" s="76">
        <f>VLOOKUP(B121,'E&amp;W'!$A$7:$AD$69,19,0)</f>
        <v>524452</v>
      </c>
      <c r="K120" s="76">
        <f>VLOOKUP(B121,'E&amp;W'!$A$7:$AD$69,21,0)</f>
        <v>590068</v>
      </c>
      <c r="L120" s="76">
        <f>VLOOKUP(B121,'E&amp;W'!$A$7:$AD$69,23,0)</f>
        <v>540819</v>
      </c>
      <c r="M120" s="76">
        <f>VLOOKUP(B121,'E&amp;W'!$A$7:$AD$69,25,0)</f>
        <v>571599</v>
      </c>
      <c r="N120" s="76">
        <f>VLOOKUP(B121,'E&amp;W'!$A$7:$AD$69,27,0)</f>
        <v>611068</v>
      </c>
      <c r="O120" s="76">
        <f>VLOOKUP(B121,'E&amp;W'!$A$7:$AD$69,29,0)</f>
        <v>662569</v>
      </c>
    </row>
    <row r="121" spans="1:15">
      <c r="A121" s="311"/>
      <c r="B121" s="90">
        <v>1412000093</v>
      </c>
      <c r="C121" s="82" t="s">
        <v>172</v>
      </c>
      <c r="D121" s="83">
        <f>VLOOKUP(B121,'E&amp;W'!$A$7:$P$69,8,0)</f>
        <v>235409</v>
      </c>
      <c r="E121" s="83">
        <f>VLOOKUP(B121,'E&amp;W'!$A$7:$P$69,10,0)</f>
        <v>256523</v>
      </c>
      <c r="F121" s="83">
        <f>VLOOKUP(B121,'E&amp;W'!$A$7:$P$69,12,0)</f>
        <v>303459</v>
      </c>
      <c r="G121" s="83">
        <f>VLOOKUP(B121,'E&amp;W'!$A$7:$P$69,14,0)</f>
        <v>427385</v>
      </c>
      <c r="H121" s="83">
        <f>VLOOKUP(B121,'E&amp;W'!$A$7:$P$69,16,0)</f>
        <v>361958</v>
      </c>
      <c r="I121" s="83">
        <f>VLOOKUP(B121,'E&amp;W'!$A$7:$AD$69,18,0)</f>
        <v>368267</v>
      </c>
      <c r="J121" s="83">
        <f>VLOOKUP(B121,'E&amp;W'!$A$7:$AD$69,20,0)</f>
        <v>362638</v>
      </c>
      <c r="K121" s="83">
        <f>VLOOKUP(B121,'E&amp;W'!$A$7:$AD$69,22,0)</f>
        <v>272373</v>
      </c>
      <c r="L121" s="83">
        <f>VLOOKUP(B121,'E&amp;W'!$A$7:$AD$69,24,0)</f>
        <v>267461</v>
      </c>
      <c r="M121" s="83">
        <f>VLOOKUP(B121,'E&amp;W'!$A$7:$AD$69,26,0)</f>
        <v>238682</v>
      </c>
      <c r="N121" s="83">
        <f>VLOOKUP(B121,'E&amp;W'!$A$7:$AD$69,28,0)</f>
        <v>184553</v>
      </c>
      <c r="O121" s="83">
        <f>VLOOKUP(B121,'E&amp;W'!$A$7:$AD$69,30,0)</f>
        <v>268604</v>
      </c>
    </row>
    <row r="122" spans="1:15">
      <c r="A122" s="308">
        <v>59</v>
      </c>
      <c r="B122" s="100" t="s">
        <v>6</v>
      </c>
      <c r="C122" s="101" t="s">
        <v>171</v>
      </c>
      <c r="D122" s="102">
        <f>VLOOKUP(B123,'E&amp;W'!$A$7:$P$69,7,0)</f>
        <v>141325095</v>
      </c>
      <c r="E122" s="102">
        <f>VLOOKUP(B123,'E&amp;W'!$A$7:$P$69,9,0)</f>
        <v>143541115</v>
      </c>
      <c r="F122" s="102">
        <f>VLOOKUP(B123,'E&amp;W'!$A$7:$P$69,11,0)</f>
        <v>167464494</v>
      </c>
      <c r="G122" s="102">
        <f>VLOOKUP(B123,'E&amp;W'!$A$7:$P$69,13,0)</f>
        <v>182732712</v>
      </c>
      <c r="H122" s="102">
        <f>VLOOKUP(B123,'E&amp;W'!$A$7:$P$69,15,0)</f>
        <v>183984582</v>
      </c>
      <c r="I122" s="102">
        <f>VLOOKUP(B123,'E&amp;W'!$A$7:$AD$69,17,0)</f>
        <v>182058350</v>
      </c>
      <c r="J122" s="102">
        <f>VLOOKUP(B123,'E&amp;W'!$A$7:$AD$69,19,0)</f>
        <v>153589033</v>
      </c>
      <c r="K122" s="102">
        <f>VLOOKUP(B123,'E&amp;W'!$A$7:$AD$69,21,0)</f>
        <v>148336176</v>
      </c>
      <c r="L122" s="102">
        <f>VLOOKUP(B123,'E&amp;W'!$A$7:$AD$69,23,0)</f>
        <v>136985010</v>
      </c>
      <c r="M122" s="102">
        <f>VLOOKUP(B123,'E&amp;W'!$A$7:$AD$69,25,0)</f>
        <v>133643336</v>
      </c>
      <c r="N122" s="102">
        <f>VLOOKUP(B123,'E&amp;W'!$A$7:$AD$69,27,0)</f>
        <v>136213009</v>
      </c>
      <c r="O122" s="102">
        <f>VLOOKUP(B123,'E&amp;W'!$A$7:$AD$69,29,0)</f>
        <v>137810537</v>
      </c>
    </row>
    <row r="123" spans="1:15">
      <c r="A123" s="308"/>
      <c r="B123" s="103">
        <v>1412000026</v>
      </c>
      <c r="C123" s="104" t="s">
        <v>172</v>
      </c>
      <c r="D123" s="105">
        <f>VLOOKUP(B123,'E&amp;W'!$A$7:$P$69,8,0)</f>
        <v>411969</v>
      </c>
      <c r="E123" s="105">
        <f>VLOOKUP(B123,'E&amp;W'!$A$7:$P$69,10,0)</f>
        <v>448914</v>
      </c>
      <c r="F123" s="105">
        <f>VLOOKUP(B123,'E&amp;W'!$A$7:$P$69,12,0)</f>
        <v>531055</v>
      </c>
      <c r="G123" s="105">
        <f>VLOOKUP(B123,'E&amp;W'!$A$7:$P$69,14,0)</f>
        <v>747920</v>
      </c>
      <c r="H123" s="105">
        <f>VLOOKUP(B123,'E&amp;W'!$A$7:$P$69,16,0)</f>
        <v>633426</v>
      </c>
      <c r="I123" s="105">
        <f>VLOOKUP(B123,'E&amp;W'!$A$7:$AD$69,18,0)</f>
        <v>644466</v>
      </c>
      <c r="J123" s="105">
        <f>VLOOKUP(B123,'E&amp;W'!$A$7:$AD$69,20,0)</f>
        <v>634616</v>
      </c>
      <c r="K123" s="105">
        <f>VLOOKUP(B123,'E&amp;W'!$A$7:$AD$69,22,0)</f>
        <v>476654</v>
      </c>
      <c r="L123" s="105">
        <f>VLOOKUP(B123,'E&amp;W'!$A$7:$AD$69,24,0)</f>
        <v>468059</v>
      </c>
      <c r="M123" s="105">
        <f>VLOOKUP(B123,'E&amp;W'!$A$7:$AD$69,26,0)</f>
        <v>417697</v>
      </c>
      <c r="N123" s="105">
        <f>VLOOKUP(B123,'E&amp;W'!$A$7:$AD$69,28,0)</f>
        <v>322966</v>
      </c>
      <c r="O123" s="105">
        <f>VLOOKUP(B123,'E&amp;W'!$A$7:$AD$69,30,0)</f>
        <v>470052</v>
      </c>
    </row>
    <row r="124" spans="1:15">
      <c r="A124" s="310">
        <v>60</v>
      </c>
      <c r="B124" s="106" t="s">
        <v>7</v>
      </c>
      <c r="C124" s="107" t="s">
        <v>171</v>
      </c>
      <c r="D124" s="76">
        <f>VLOOKUP(B125,'E&amp;W'!$A$7:$P$69,7,0)</f>
        <v>943047</v>
      </c>
      <c r="E124" s="76">
        <f>VLOOKUP(B125,'E&amp;W'!$A$7:$P$69,9,0)</f>
        <v>993539</v>
      </c>
      <c r="F124" s="76">
        <f>VLOOKUP(B125,'E&amp;W'!$A$7:$P$69,11,0)</f>
        <v>898127</v>
      </c>
      <c r="G124" s="76">
        <f>VLOOKUP(B125,'E&amp;W'!$A$7:$P$69,13,0)</f>
        <v>982936</v>
      </c>
      <c r="H124" s="76">
        <f>VLOOKUP(B125,'E&amp;W'!$A$7:$P$69,15,0)</f>
        <v>1061691</v>
      </c>
      <c r="I124" s="76">
        <f>VLOOKUP(B125,'E&amp;W'!$A$7:$AD$69,17,0)</f>
        <v>1067643</v>
      </c>
      <c r="J124" s="76">
        <f>VLOOKUP(B125,'E&amp;W'!$A$7:$AD$69,19,0)</f>
        <v>786678</v>
      </c>
      <c r="K124" s="76">
        <f>VLOOKUP(B125,'E&amp;W'!$A$7:$AD$69,21,0)</f>
        <v>885102</v>
      </c>
      <c r="L124" s="76">
        <f>VLOOKUP(B125,'E&amp;W'!$A$7:$AD$69,23,0)</f>
        <v>811228</v>
      </c>
      <c r="M124" s="76">
        <f>VLOOKUP(B125,'E&amp;W'!$A$7:$AD$69,25,0)</f>
        <v>857398</v>
      </c>
      <c r="N124" s="76">
        <f>VLOOKUP(B125,'E&amp;W'!$A$7:$AD$69,27,0)</f>
        <v>916603</v>
      </c>
      <c r="O124" s="76">
        <f>VLOOKUP(B125,'E&amp;W'!$A$7:$AD$69,29,0)</f>
        <v>993854</v>
      </c>
    </row>
    <row r="125" spans="1:15">
      <c r="A125" s="311"/>
      <c r="B125" s="81">
        <v>1412000028</v>
      </c>
      <c r="C125" s="82" t="s">
        <v>172</v>
      </c>
      <c r="D125" s="83">
        <f>VLOOKUP(B125,'E&amp;W'!$A$7:$P$69,8,0)</f>
        <v>353114</v>
      </c>
      <c r="E125" s="83">
        <f>VLOOKUP(B125,'E&amp;W'!$A$7:$P$69,10,0)</f>
        <v>384784</v>
      </c>
      <c r="F125" s="83">
        <f>VLOOKUP(B125,'E&amp;W'!$A$7:$P$69,12,0)</f>
        <v>455189</v>
      </c>
      <c r="G125" s="83">
        <f>VLOOKUP(B125,'E&amp;W'!$A$7:$P$69,14,0)</f>
        <v>641077</v>
      </c>
      <c r="H125" s="83">
        <f>VLOOKUP(B125,'E&amp;W'!$A$7:$P$69,16,0)</f>
        <v>542937</v>
      </c>
      <c r="I125" s="83">
        <f>VLOOKUP(B125,'E&amp;W'!$A$7:$AD$69,18,0)</f>
        <v>552400</v>
      </c>
      <c r="J125" s="83">
        <f>VLOOKUP(B125,'E&amp;W'!$A$7:$AD$69,20,0)</f>
        <v>543957</v>
      </c>
      <c r="K125" s="83">
        <f>VLOOKUP(B125,'E&amp;W'!$A$7:$AD$69,22,0)</f>
        <v>408560</v>
      </c>
      <c r="L125" s="83">
        <f>VLOOKUP(B125,'E&amp;W'!$A$7:$AD$69,24,0)</f>
        <v>401192</v>
      </c>
      <c r="M125" s="83">
        <f>VLOOKUP(B125,'E&amp;W'!$A$7:$AD$69,26,0)</f>
        <v>358024</v>
      </c>
      <c r="N125" s="83">
        <f>VLOOKUP(B125,'E&amp;W'!$A$7:$AD$69,28,0)</f>
        <v>276829</v>
      </c>
      <c r="O125" s="83">
        <f>VLOOKUP(B125,'E&amp;W'!$A$7:$AD$69,30,0)</f>
        <v>402906</v>
      </c>
    </row>
    <row r="126" spans="1:15">
      <c r="A126" s="308">
        <v>61</v>
      </c>
      <c r="B126" s="106" t="s">
        <v>8</v>
      </c>
      <c r="C126" s="107" t="s">
        <v>171</v>
      </c>
      <c r="D126" s="76">
        <f>VLOOKUP(B127,'E&amp;W'!$A$7:$P$69,7,0)</f>
        <v>1269875</v>
      </c>
      <c r="E126" s="76">
        <f>VLOOKUP(B127,'E&amp;W'!$A$7:$P$69,9,0)</f>
        <v>1488937</v>
      </c>
      <c r="F126" s="76">
        <f>VLOOKUP(B127,'E&amp;W'!$A$7:$P$69,11,0)</f>
        <v>1639454</v>
      </c>
      <c r="G126" s="76">
        <f>VLOOKUP(B127,'E&amp;W'!$A$7:$P$69,13,0)</f>
        <v>1696768</v>
      </c>
      <c r="H126" s="76">
        <f>VLOOKUP(B127,'E&amp;W'!$A$7:$P$69,15,0)</f>
        <v>1692929</v>
      </c>
      <c r="I126" s="76">
        <f>VLOOKUP(B127,'E&amp;W'!$A$7:$AD$69,17,0)</f>
        <v>1657413</v>
      </c>
      <c r="J126" s="76">
        <f>VLOOKUP(B127,'E&amp;W'!$A$7:$AD$69,19,0)</f>
        <v>1123410</v>
      </c>
      <c r="K126" s="76">
        <f>VLOOKUP(B127,'E&amp;W'!$A$7:$AD$69,21,0)</f>
        <v>1263230</v>
      </c>
      <c r="L126" s="76">
        <f>VLOOKUP(B127,'E&amp;W'!$A$7:$AD$69,23,0)</f>
        <v>912368</v>
      </c>
      <c r="M126" s="76">
        <f>VLOOKUP(B127,'E&amp;W'!$A$7:$AD$69,25,0)</f>
        <v>891009</v>
      </c>
      <c r="N126" s="76">
        <f>VLOOKUP(B127,'E&amp;W'!$A$7:$AD$69,27,0)</f>
        <v>895211</v>
      </c>
      <c r="O126" s="76">
        <f>VLOOKUP(B127,'E&amp;W'!$A$7:$AD$69,29,0)</f>
        <v>940003</v>
      </c>
    </row>
    <row r="127" spans="1:15">
      <c r="A127" s="308"/>
      <c r="B127" s="81">
        <v>1412000029</v>
      </c>
      <c r="C127" s="108" t="s">
        <v>172</v>
      </c>
      <c r="D127" s="83">
        <f>VLOOKUP(B127,'E&amp;W'!$A$7:$P$69,8,0)</f>
        <v>264836</v>
      </c>
      <c r="E127" s="83">
        <f>VLOOKUP(B127,'E&amp;W'!$A$7:$P$69,10,0)</f>
        <v>288588</v>
      </c>
      <c r="F127" s="83">
        <f>VLOOKUP(B127,'E&amp;W'!$A$7:$P$69,12,0)</f>
        <v>341391</v>
      </c>
      <c r="G127" s="83">
        <f>VLOOKUP(B127,'E&amp;W'!$A$7:$P$69,14,0)</f>
        <v>480808</v>
      </c>
      <c r="H127" s="83">
        <f>VLOOKUP(B127,'E&amp;W'!$A$7:$P$69,16,0)</f>
        <v>407203</v>
      </c>
      <c r="I127" s="83">
        <f>VLOOKUP(B127,'E&amp;W'!$A$7:$AD$69,18,0)</f>
        <v>414300</v>
      </c>
      <c r="J127" s="83">
        <f>VLOOKUP(B127,'E&amp;W'!$A$7:$AD$69,20,0)</f>
        <v>407967</v>
      </c>
      <c r="K127" s="83">
        <f>VLOOKUP(B127,'E&amp;W'!$A$7:$AD$69,22,0)</f>
        <v>306420</v>
      </c>
      <c r="L127" s="83">
        <f>VLOOKUP(B127,'E&amp;W'!$A$7:$AD$69,24,0)</f>
        <v>300894</v>
      </c>
      <c r="M127" s="83">
        <f>VLOOKUP(B127,'E&amp;W'!$A$7:$AD$69,26,0)</f>
        <v>268518</v>
      </c>
      <c r="N127" s="83">
        <f>VLOOKUP(B127,'E&amp;W'!$A$7:$AD$69,28,0)</f>
        <v>207622</v>
      </c>
      <c r="O127" s="83">
        <f>VLOOKUP(B127,'E&amp;W'!$A$7:$AD$69,30,0)</f>
        <v>302180</v>
      </c>
    </row>
    <row r="128" spans="1:15">
      <c r="A128" s="309">
        <v>62</v>
      </c>
      <c r="B128" s="106" t="s">
        <v>137</v>
      </c>
      <c r="C128" s="107" t="s">
        <v>171</v>
      </c>
      <c r="D128" s="76">
        <f>VLOOKUP(B129,'E&amp;W'!$A$7:$P$69,7,0)</f>
        <v>1335983</v>
      </c>
      <c r="E128" s="76">
        <f>VLOOKUP(B129,'E&amp;W'!$A$7:$P$69,9,0)</f>
        <v>1407514</v>
      </c>
      <c r="F128" s="76">
        <f>VLOOKUP(B129,'E&amp;W'!$A$7:$P$69,11,0)</f>
        <v>1272347</v>
      </c>
      <c r="G128" s="76">
        <f>VLOOKUP(B129,'E&amp;W'!$A$7:$P$69,13,0)</f>
        <v>1392493</v>
      </c>
      <c r="H128" s="76">
        <f>VLOOKUP(B129,'E&amp;W'!$A$7:$P$69,15,0)</f>
        <v>1504063</v>
      </c>
      <c r="I128" s="76">
        <f>VLOOKUP(B129,'E&amp;W'!$A$7:$AD$69,17,0)</f>
        <v>1512495</v>
      </c>
      <c r="J128" s="76">
        <f>VLOOKUP(B129,'E&amp;W'!$A$7:$AD$69,19,0)</f>
        <v>1114461</v>
      </c>
      <c r="K128" s="76">
        <f>VLOOKUP(B129,'E&amp;W'!$A$7:$AD$69,21,0)</f>
        <v>1253894</v>
      </c>
      <c r="L128" s="76">
        <f>VLOOKUP(B129,'E&amp;W'!$A$7:$AD$69,23,0)</f>
        <v>1149240</v>
      </c>
      <c r="M128" s="76">
        <f>VLOOKUP(B129,'E&amp;W'!$A$7:$AD$69,25,0)</f>
        <v>1214647</v>
      </c>
      <c r="N128" s="76">
        <f>VLOOKUP(B129,'E&amp;W'!$A$7:$AD$69,27,0)</f>
        <v>1298520</v>
      </c>
      <c r="O128" s="76">
        <f>VLOOKUP(B129,'E&amp;W'!$A$7:$AD$69,29,0)</f>
        <v>1407960</v>
      </c>
    </row>
    <row r="129" spans="1:15">
      <c r="A129" s="309"/>
      <c r="B129" s="81">
        <v>1412000030</v>
      </c>
      <c r="C129" s="108" t="s">
        <v>172</v>
      </c>
      <c r="D129" s="83">
        <f>VLOOKUP(B129,'E&amp;W'!$A$7:$P$69,8,0)</f>
        <v>500245</v>
      </c>
      <c r="E129" s="83">
        <f>VLOOKUP(B129,'E&amp;W'!$A$7:$P$69,10,0)</f>
        <v>545111</v>
      </c>
      <c r="F129" s="83">
        <f>VLOOKUP(B129,'E&amp;W'!$A$7:$P$69,12,0)</f>
        <v>644850</v>
      </c>
      <c r="G129" s="83">
        <f>VLOOKUP(B129,'E&amp;W'!$A$7:$P$69,14,0)</f>
        <v>908192</v>
      </c>
      <c r="H129" s="83">
        <f>VLOOKUP(B129,'E&amp;W'!$A$7:$P$69,16,0)</f>
        <v>769161</v>
      </c>
      <c r="I129" s="83">
        <f>VLOOKUP(B129,'E&amp;W'!$A$7:$AD$69,18,0)</f>
        <v>782567</v>
      </c>
      <c r="J129" s="83">
        <f>VLOOKUP(B129,'E&amp;W'!$A$7:$AD$69,20,0)</f>
        <v>770605</v>
      </c>
      <c r="K129" s="83">
        <f>VLOOKUP(B129,'E&amp;W'!$A$7:$AD$69,22,0)</f>
        <v>578793</v>
      </c>
      <c r="L129" s="83">
        <f>VLOOKUP(B129,'E&amp;W'!$A$7:$AD$69,24,0)</f>
        <v>568355</v>
      </c>
      <c r="M129" s="83">
        <f>VLOOKUP(B129,'E&amp;W'!$A$7:$AD$69,26,0)</f>
        <v>507200</v>
      </c>
      <c r="N129" s="83">
        <f>VLOOKUP(B129,'E&amp;W'!$A$7:$AD$69,28,0)</f>
        <v>392175</v>
      </c>
      <c r="O129" s="83">
        <f>VLOOKUP(B129,'E&amp;W'!$A$7:$AD$69,30,0)</f>
        <v>570784</v>
      </c>
    </row>
    <row r="130" spans="1:15">
      <c r="A130" s="310">
        <v>63</v>
      </c>
      <c r="B130" s="89" t="s">
        <v>10</v>
      </c>
      <c r="C130" s="74" t="s">
        <v>171</v>
      </c>
      <c r="D130" s="76">
        <f>VLOOKUP(B131,'E&amp;W'!$A$7:$P$69,7,0)</f>
        <v>2227240</v>
      </c>
      <c r="E130" s="76">
        <f>VLOOKUP(B131,'E&amp;W'!$A$7:$P$69,9,0)</f>
        <v>2665041</v>
      </c>
      <c r="F130" s="76">
        <f>VLOOKUP(B131,'E&amp;W'!$A$7:$P$69,11,0)</f>
        <v>3409675</v>
      </c>
      <c r="G130" s="76">
        <f>VLOOKUP(B131,'E&amp;W'!$A$7:$P$69,13,0)</f>
        <v>4082224</v>
      </c>
      <c r="H130" s="76">
        <f>VLOOKUP(B131,'E&amp;W'!$A$7:$P$69,15,0)</f>
        <v>4550470</v>
      </c>
      <c r="I130" s="76">
        <f>VLOOKUP(B131,'E&amp;W'!$A$7:$AD$69,17,0)</f>
        <v>4237473</v>
      </c>
      <c r="J130" s="76">
        <f>VLOOKUP(B131,'E&amp;W'!$A$7:$AD$69,19,0)</f>
        <v>2898009</v>
      </c>
      <c r="K130" s="76">
        <f>VLOOKUP(B131,'E&amp;W'!$A$7:$AD$69,21,0)</f>
        <v>3014607</v>
      </c>
      <c r="L130" s="76">
        <f>VLOOKUP(B131,'E&amp;W'!$A$7:$AD$69,23,0)</f>
        <v>2349943</v>
      </c>
      <c r="M130" s="76">
        <f>VLOOKUP(B131,'E&amp;W'!$A$7:$AD$69,25,0)</f>
        <v>2392571</v>
      </c>
      <c r="N130" s="76">
        <f>VLOOKUP(B131,'E&amp;W'!$A$7:$AD$69,27,0)</f>
        <v>2308591</v>
      </c>
      <c r="O130" s="76">
        <f>VLOOKUP(B131,'E&amp;W'!$A$7:$AD$69,29,0)</f>
        <v>2485883</v>
      </c>
    </row>
    <row r="131" spans="1:15">
      <c r="A131" s="311"/>
      <c r="B131" s="109">
        <v>1412000086</v>
      </c>
      <c r="C131" s="82" t="s">
        <v>172</v>
      </c>
      <c r="D131" s="83">
        <f>VLOOKUP(B131,'E&amp;W'!$A$7:$P$69,8,0)</f>
        <v>382540</v>
      </c>
      <c r="E131" s="83">
        <f>VLOOKUP(B131,'E&amp;W'!$A$7:$P$69,10,0)</f>
        <v>416850</v>
      </c>
      <c r="F131" s="83">
        <f>VLOOKUP(B131,'E&amp;W'!$A$7:$P$69,12,0)</f>
        <v>568986</v>
      </c>
      <c r="G131" s="83">
        <f>VLOOKUP(B131,'E&amp;W'!$A$7:$P$69,14,0)</f>
        <v>801346</v>
      </c>
      <c r="H131" s="83">
        <f>VLOOKUP(B131,'E&amp;W'!$A$7:$P$69,16,0)</f>
        <v>678671</v>
      </c>
      <c r="I131" s="83">
        <f>VLOOKUP(B131,'E&amp;W'!$A$7:$AD$69,18,0)</f>
        <v>690500</v>
      </c>
      <c r="J131" s="83">
        <f>VLOOKUP(B131,'E&amp;W'!$A$7:$AD$69,20,0)</f>
        <v>679946</v>
      </c>
      <c r="K131" s="83">
        <f>VLOOKUP(B131,'E&amp;W'!$A$7:$AD$69,22,0)</f>
        <v>510700</v>
      </c>
      <c r="L131" s="83">
        <f>VLOOKUP(B131,'E&amp;W'!$A$7:$AD$69,24,0)</f>
        <v>501490</v>
      </c>
      <c r="M131" s="83">
        <f>VLOOKUP(B131,'E&amp;W'!$A$7:$AD$69,26,0)</f>
        <v>447530</v>
      </c>
      <c r="N131" s="83">
        <f>VLOOKUP(B131,'E&amp;W'!$A$7:$AD$69,28,0)</f>
        <v>346037</v>
      </c>
      <c r="O131" s="83">
        <f>VLOOKUP(B131,'E&amp;W'!$A$7:$AD$69,30,0)</f>
        <v>503633</v>
      </c>
    </row>
    <row r="132" spans="1:15">
      <c r="A132" s="304" t="s">
        <v>166</v>
      </c>
      <c r="B132" s="305"/>
      <c r="C132" s="74" t="s">
        <v>169</v>
      </c>
      <c r="D132" s="205">
        <f>D6+D8+D10+D12+D14+D16+D18+D20+D22+D24+D26+D28+D30+D32+D34+D36+D38+D40+D42+D44+D46+D48+D50+D52+D54+D56+D58+D60+D62+D64+D66+D68+D72+D74+D76+D78+D80+D82+D84+D86+D88+D90+D92+D94+D96+D98+D100+D102+D104+D106+D108+D110+D112+D114+D116+D118+D120+D122+D124+D126+D128+D130+D70</f>
        <v>2389607989</v>
      </c>
      <c r="E132" s="205">
        <f t="shared" ref="E132:O132" si="10">E6+E8+E10+E12+E14+E16+E18+E20+E22+E24+E26+E28+E30+E32+E34+E36+E38+E40+E42+E44+E46+E48+E50+E52+E54+E56+E58+E60+E62+E64+E66+E68+E72+E74+E76+E78+E80+E82+E84+E86+E88+E90+E92+E94+E96+E98+E100+E102+E104+E106+E108+E110+E112+E114+E116+E118+E120+E122+E124+E126+E128+E130+E70</f>
        <v>2341505283</v>
      </c>
      <c r="F132" s="205">
        <f t="shared" si="10"/>
        <v>2662705192</v>
      </c>
      <c r="G132" s="205">
        <f t="shared" si="10"/>
        <v>2890515886</v>
      </c>
      <c r="H132" s="205">
        <f t="shared" si="10"/>
        <v>3008051207</v>
      </c>
      <c r="I132" s="205">
        <f t="shared" si="10"/>
        <v>2667455145</v>
      </c>
      <c r="J132" s="205">
        <f t="shared" si="10"/>
        <v>2398897481</v>
      </c>
      <c r="K132" s="205">
        <f t="shared" si="10"/>
        <v>2375784802</v>
      </c>
      <c r="L132" s="205">
        <f t="shared" si="10"/>
        <v>2072229236</v>
      </c>
      <c r="M132" s="205">
        <f t="shared" si="10"/>
        <v>2211942062</v>
      </c>
      <c r="N132" s="205">
        <f t="shared" si="10"/>
        <v>2285715841</v>
      </c>
      <c r="O132" s="205">
        <f t="shared" si="10"/>
        <v>2249588940</v>
      </c>
    </row>
    <row r="133" spans="1:15">
      <c r="A133" s="306"/>
      <c r="B133" s="307"/>
      <c r="C133" s="82" t="s">
        <v>170</v>
      </c>
      <c r="D133" s="206">
        <f>D7+D9+D11+D13+D15+D17+D19+D21+D23+D25+D27+D29+D31+D33+D35+D37+D39+D41+D43+D45+D47+D49+D51+D53+D55+D57+D59+D61+D63+D65+D67+D69+D73+D75+D77+D79+D81+D83+D85+D87+D89+D91+D93+D95+D97+D99+D101+D103+D105+D107+D109+D111+D113+D115+D117+D119+D121+D123+D125+D127+D129+D131+D71</f>
        <v>168200000</v>
      </c>
      <c r="E133" s="206">
        <f t="shared" ref="E133:O133" si="11">E7+E9+E11+E13+E15+E17+E19+E21+E23+E25+E27+E29+E31+E33+E35+E37+E39+E41+E43+E45+E47+E49+E51+E53+E55+E57+E59+E61+E63+E65+E67+E69+E73+E75+E77+E79+E81+E83+E85+E87+E89+E91+E93+E95+E97+E99+E101+E103+E105+E107+E109+E111+E113+E115+E117+E119+E121+E123+E125+E127+E129+E131+E71</f>
        <v>178572000</v>
      </c>
      <c r="F133" s="206">
        <f t="shared" si="11"/>
        <v>194100000</v>
      </c>
      <c r="G133" s="206">
        <f t="shared" si="11"/>
        <v>297620000</v>
      </c>
      <c r="H133" s="206">
        <f t="shared" si="11"/>
        <v>271740000</v>
      </c>
      <c r="I133" s="206">
        <f t="shared" si="11"/>
        <v>270446000</v>
      </c>
      <c r="J133" s="206">
        <f t="shared" si="11"/>
        <v>251036000</v>
      </c>
      <c r="K133" s="206">
        <f t="shared" si="11"/>
        <v>194100000</v>
      </c>
      <c r="L133" s="206">
        <f t="shared" si="11"/>
        <v>192806000</v>
      </c>
      <c r="M133" s="206">
        <f t="shared" si="11"/>
        <v>181160000</v>
      </c>
      <c r="N133" s="206">
        <f t="shared" si="11"/>
        <v>168220000</v>
      </c>
      <c r="O133" s="206">
        <f t="shared" si="11"/>
        <v>194100000</v>
      </c>
    </row>
    <row r="134" spans="1:15">
      <c r="D134" s="111">
        <f>D132-'E&amp;W'!G5</f>
        <v>0</v>
      </c>
      <c r="E134" s="111">
        <f>E132-'E&amp;W'!I5</f>
        <v>0</v>
      </c>
      <c r="F134" s="111">
        <f>F132-'E&amp;W'!K5</f>
        <v>0</v>
      </c>
      <c r="G134" s="111">
        <f>G132-'E&amp;W'!M5</f>
        <v>0</v>
      </c>
      <c r="H134" s="111">
        <f>H132-'E&amp;W'!O5</f>
        <v>0</v>
      </c>
      <c r="I134" s="111">
        <f>I132-'E&amp;W'!Q5</f>
        <v>0</v>
      </c>
      <c r="J134" s="111">
        <f>J132-'E&amp;W'!S5</f>
        <v>0</v>
      </c>
      <c r="K134" s="111">
        <f>K132-'E&amp;W'!U5</f>
        <v>0</v>
      </c>
      <c r="L134" s="111">
        <f>L132-'E&amp;W'!W5</f>
        <v>0</v>
      </c>
      <c r="M134" s="111">
        <f>M132-'E&amp;W'!Y5</f>
        <v>0</v>
      </c>
      <c r="N134" s="111">
        <f>N132-'E&amp;W'!AA5</f>
        <v>0</v>
      </c>
      <c r="O134" s="111">
        <f>O132-'E&amp;W'!AC5</f>
        <v>0</v>
      </c>
    </row>
    <row r="135" spans="1:15">
      <c r="D135" s="111">
        <f>D133-'E&amp;W'!H5</f>
        <v>0</v>
      </c>
      <c r="E135" s="111">
        <f>E133-'E&amp;W'!J5</f>
        <v>0</v>
      </c>
      <c r="F135" s="111">
        <f>F133-'E&amp;W'!L5</f>
        <v>0</v>
      </c>
      <c r="G135" s="111">
        <f>G133-'E&amp;W'!N5</f>
        <v>0</v>
      </c>
      <c r="H135" s="111">
        <f>H133-'E&amp;W'!P5</f>
        <v>0</v>
      </c>
      <c r="I135" s="111">
        <f>I133-'E&amp;W'!R5</f>
        <v>0</v>
      </c>
      <c r="J135" s="111">
        <f>J133-'E&amp;W'!T5</f>
        <v>0</v>
      </c>
      <c r="K135" s="111">
        <f>K133-'E&amp;W'!V5</f>
        <v>0</v>
      </c>
      <c r="L135" s="111">
        <f>L133-'E&amp;W'!X5</f>
        <v>0</v>
      </c>
      <c r="M135" s="111">
        <f>M133-'E&amp;W'!Z5</f>
        <v>0</v>
      </c>
      <c r="N135" s="111">
        <f>N133-'E&amp;W'!AB5</f>
        <v>0</v>
      </c>
      <c r="O135" s="111">
        <f>O133-'E&amp;W'!AD5</f>
        <v>0</v>
      </c>
    </row>
    <row r="136" spans="1:15">
      <c r="B136" s="112"/>
    </row>
    <row r="137" spans="1:15">
      <c r="B137" s="113"/>
    </row>
  </sheetData>
  <mergeCells count="66">
    <mergeCell ref="A28:A29"/>
    <mergeCell ref="A30:A31"/>
    <mergeCell ref="A40:A41"/>
    <mergeCell ref="A42:A43"/>
    <mergeCell ref="A54:A55"/>
    <mergeCell ref="A32:A33"/>
    <mergeCell ref="A34:A35"/>
    <mergeCell ref="A36:A37"/>
    <mergeCell ref="A38:A39"/>
    <mergeCell ref="A44:A45"/>
    <mergeCell ref="A46:A47"/>
    <mergeCell ref="A48:A49"/>
    <mergeCell ref="A50:A51"/>
    <mergeCell ref="A52:A53"/>
    <mergeCell ref="A26:A27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58:A59"/>
    <mergeCell ref="A60:A61"/>
    <mergeCell ref="A56:A57"/>
    <mergeCell ref="A64:A65"/>
    <mergeCell ref="A78:A79"/>
    <mergeCell ref="A70:A71"/>
    <mergeCell ref="A62:A63"/>
    <mergeCell ref="A80:A81"/>
    <mergeCell ref="A76:A77"/>
    <mergeCell ref="A68:A69"/>
    <mergeCell ref="A74:A75"/>
    <mergeCell ref="A82:A83"/>
    <mergeCell ref="A130:A131"/>
    <mergeCell ref="A132:B133"/>
    <mergeCell ref="A4:A5"/>
    <mergeCell ref="B4:B5"/>
    <mergeCell ref="A112:A113"/>
    <mergeCell ref="A114:A115"/>
    <mergeCell ref="A116:A117"/>
    <mergeCell ref="A84:A85"/>
    <mergeCell ref="A86:A87"/>
    <mergeCell ref="A88:A89"/>
    <mergeCell ref="A92:A93"/>
    <mergeCell ref="A96:A97"/>
    <mergeCell ref="A98:A99"/>
    <mergeCell ref="A72:A73"/>
    <mergeCell ref="A66:A67"/>
    <mergeCell ref="A90:A91"/>
    <mergeCell ref="A94:A95"/>
    <mergeCell ref="A124:A125"/>
    <mergeCell ref="A126:A127"/>
    <mergeCell ref="A128:A129"/>
    <mergeCell ref="A118:A119"/>
    <mergeCell ref="A120:A121"/>
    <mergeCell ref="A122:A123"/>
    <mergeCell ref="A100:A101"/>
    <mergeCell ref="A102:A103"/>
    <mergeCell ref="A104:A105"/>
    <mergeCell ref="A106:A107"/>
    <mergeCell ref="A108:A109"/>
    <mergeCell ref="A110:A111"/>
  </mergeCells>
  <pageMargins left="0.15748031496062992" right="0.15748031496062992" top="0.39370078740157483" bottom="0.39370078740157483" header="0.51181102362204722" footer="0.51181102362204722"/>
  <pageSetup paperSize="9" scale="5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K87"/>
  <sheetViews>
    <sheetView zoomScale="80" zoomScaleNormal="80" workbookViewId="0">
      <selection activeCell="H57" sqref="H57"/>
    </sheetView>
  </sheetViews>
  <sheetFormatPr defaultRowHeight="14"/>
  <cols>
    <col min="1" max="1" width="11.6328125" style="1" bestFit="1" customWidth="1"/>
    <col min="2" max="2" width="28" style="1" hidden="1" customWidth="1"/>
    <col min="3" max="3" width="18.08984375" style="1" customWidth="1"/>
    <col min="4" max="4" width="8.6328125" style="2" customWidth="1"/>
    <col min="5" max="6" width="12.7265625" style="1" customWidth="1"/>
    <col min="7" max="8" width="12.7265625" style="2" customWidth="1"/>
    <col min="9" max="9" width="8.90625" style="2" customWidth="1"/>
    <col min="10" max="11" width="12.7265625" style="1" customWidth="1"/>
    <col min="12" max="13" width="12.7265625" style="2" customWidth="1"/>
    <col min="14" max="14" width="8.90625" style="2" customWidth="1"/>
    <col min="15" max="16" width="12.7265625" style="1" customWidth="1"/>
    <col min="17" max="18" width="12.7265625" style="2" customWidth="1"/>
    <col min="19" max="19" width="8.90625" style="2" customWidth="1"/>
    <col min="20" max="21" width="12.7265625" style="1" customWidth="1"/>
    <col min="22" max="23" width="12.7265625" style="2" customWidth="1"/>
    <col min="24" max="24" width="8.90625" style="2" customWidth="1"/>
    <col min="25" max="26" width="12.7265625" style="1" customWidth="1"/>
    <col min="27" max="28" width="12.7265625" style="2" customWidth="1"/>
    <col min="29" max="29" width="8.90625" style="2" customWidth="1"/>
    <col min="30" max="31" width="12.7265625" style="1" customWidth="1"/>
    <col min="32" max="33" width="12.7265625" style="2" customWidth="1"/>
    <col min="34" max="34" width="8.90625" style="2" customWidth="1"/>
    <col min="35" max="36" width="12.7265625" style="1" customWidth="1"/>
    <col min="37" max="38" width="12.7265625" style="2" customWidth="1"/>
    <col min="39" max="39" width="8.90625" style="2" customWidth="1"/>
    <col min="40" max="41" width="12.7265625" style="1" customWidth="1"/>
    <col min="42" max="43" width="12.7265625" style="2" customWidth="1"/>
    <col min="44" max="44" width="8.90625" style="2" customWidth="1"/>
    <col min="45" max="46" width="12.7265625" style="1" customWidth="1"/>
    <col min="47" max="48" width="12.7265625" style="2" customWidth="1"/>
    <col min="49" max="49" width="8.90625" style="2" customWidth="1"/>
    <col min="50" max="51" width="12.7265625" style="1" customWidth="1"/>
    <col min="52" max="53" width="12.7265625" style="2" customWidth="1"/>
    <col min="54" max="54" width="8.90625" style="2" customWidth="1"/>
    <col min="55" max="56" width="12.7265625" style="1" customWidth="1"/>
    <col min="57" max="58" width="12.7265625" style="2" customWidth="1"/>
    <col min="59" max="59" width="8.90625" style="2" customWidth="1"/>
    <col min="60" max="61" width="12.7265625" style="1" customWidth="1"/>
    <col min="62" max="63" width="12.7265625" style="2" customWidth="1"/>
    <col min="64" max="16384" width="8.7265625" style="1"/>
  </cols>
  <sheetData>
    <row r="1" spans="1:63" ht="21.5" customHeight="1"/>
    <row r="2" spans="1:63" ht="21">
      <c r="B2" s="3"/>
      <c r="G2" s="4" t="s">
        <v>106</v>
      </c>
      <c r="L2" s="4"/>
      <c r="Q2" s="4" t="s">
        <v>106</v>
      </c>
      <c r="V2" s="4"/>
      <c r="AA2" s="4"/>
      <c r="AF2" s="4"/>
      <c r="AK2" s="4" t="s">
        <v>106</v>
      </c>
      <c r="AP2" s="4"/>
      <c r="AU2" s="4"/>
      <c r="AZ2" s="4" t="s">
        <v>106</v>
      </c>
      <c r="BE2" s="4"/>
      <c r="BJ2" s="4"/>
    </row>
    <row r="3" spans="1:63" ht="17.5">
      <c r="B3" s="3"/>
      <c r="C3" s="5"/>
      <c r="E3" s="317">
        <v>46113</v>
      </c>
      <c r="F3" s="317"/>
      <c r="G3" s="317"/>
      <c r="H3" s="318"/>
      <c r="J3" s="317">
        <f>IF(MONTH(E3)=12,EDATE(E3,1),EDATE(E3,1))</f>
        <v>46143</v>
      </c>
      <c r="K3" s="317"/>
      <c r="L3" s="317"/>
      <c r="M3" s="318"/>
      <c r="O3" s="317">
        <f>IF(MONTH(J3)=12,EDATE(J3,1),EDATE(J3,1))</f>
        <v>46174</v>
      </c>
      <c r="P3" s="317"/>
      <c r="Q3" s="317"/>
      <c r="R3" s="318"/>
      <c r="T3" s="317">
        <f>IF(MONTH(O3)=12,EDATE(O3,1),EDATE(O3,1))</f>
        <v>46204</v>
      </c>
      <c r="U3" s="317"/>
      <c r="V3" s="317"/>
      <c r="W3" s="318"/>
      <c r="Y3" s="317">
        <f>IF(MONTH(T3)=12,EDATE(T3,1),EDATE(T3,1))</f>
        <v>46235</v>
      </c>
      <c r="Z3" s="317"/>
      <c r="AA3" s="317"/>
      <c r="AB3" s="318"/>
      <c r="AD3" s="317">
        <f>IF(MONTH(Y3)=12,EDATE(Y3,1),EDATE(Y3,1))</f>
        <v>46266</v>
      </c>
      <c r="AE3" s="317"/>
      <c r="AF3" s="317"/>
      <c r="AG3" s="318"/>
      <c r="AI3" s="317">
        <f>IF(MONTH(AD3)=12,EDATE(AD3,1),EDATE(AD3,1))</f>
        <v>46296</v>
      </c>
      <c r="AJ3" s="317"/>
      <c r="AK3" s="317"/>
      <c r="AL3" s="318"/>
      <c r="AN3" s="317">
        <f>IF(MONTH(AI3)=12,EDATE(AI3,1),EDATE(AI3,1))</f>
        <v>46327</v>
      </c>
      <c r="AO3" s="317"/>
      <c r="AP3" s="317"/>
      <c r="AQ3" s="318"/>
      <c r="AS3" s="317">
        <f>IF(MONTH(AN3)=12,EDATE(AN3,1),EDATE(AN3,1))</f>
        <v>46357</v>
      </c>
      <c r="AT3" s="317"/>
      <c r="AU3" s="317"/>
      <c r="AV3" s="318"/>
      <c r="AX3" s="317">
        <f>IF(MONTH(AS3)=12,EDATE(AS3,1),EDATE(AS3,1))</f>
        <v>46388</v>
      </c>
      <c r="AY3" s="317"/>
      <c r="AZ3" s="317"/>
      <c r="BA3" s="318"/>
      <c r="BC3" s="317">
        <f>IF(MONTH(AX3)=12,EDATE(AX3,1),EDATE(AX3,1))</f>
        <v>46419</v>
      </c>
      <c r="BD3" s="317"/>
      <c r="BE3" s="317"/>
      <c r="BF3" s="318"/>
      <c r="BH3" s="317">
        <f>IF(MONTH(BC3)=12,EDATE(BC3,1),EDATE(BC3,1))</f>
        <v>46447</v>
      </c>
      <c r="BI3" s="317"/>
      <c r="BJ3" s="317"/>
      <c r="BK3" s="318"/>
    </row>
    <row r="4" spans="1:63">
      <c r="B4" s="3"/>
      <c r="C4" s="5"/>
      <c r="D4" s="6"/>
      <c r="E4" s="7" t="s">
        <v>78</v>
      </c>
      <c r="F4" s="8" t="s">
        <v>79</v>
      </c>
      <c r="G4" s="9" t="s">
        <v>58</v>
      </c>
      <c r="H4" s="10" t="s">
        <v>11</v>
      </c>
      <c r="I4" s="6"/>
      <c r="J4" s="7" t="s">
        <v>78</v>
      </c>
      <c r="K4" s="8" t="s">
        <v>79</v>
      </c>
      <c r="L4" s="9" t="s">
        <v>58</v>
      </c>
      <c r="M4" s="10" t="s">
        <v>11</v>
      </c>
      <c r="N4" s="6"/>
      <c r="O4" s="7" t="s">
        <v>78</v>
      </c>
      <c r="P4" s="8" t="s">
        <v>79</v>
      </c>
      <c r="Q4" s="9" t="s">
        <v>58</v>
      </c>
      <c r="R4" s="10" t="s">
        <v>11</v>
      </c>
      <c r="S4" s="6"/>
      <c r="T4" s="7" t="s">
        <v>78</v>
      </c>
      <c r="U4" s="8" t="s">
        <v>79</v>
      </c>
      <c r="V4" s="9" t="s">
        <v>58</v>
      </c>
      <c r="W4" s="10" t="s">
        <v>11</v>
      </c>
      <c r="X4" s="6"/>
      <c r="Y4" s="7" t="s">
        <v>78</v>
      </c>
      <c r="Z4" s="8" t="s">
        <v>79</v>
      </c>
      <c r="AA4" s="9" t="s">
        <v>58</v>
      </c>
      <c r="AB4" s="10" t="s">
        <v>11</v>
      </c>
      <c r="AC4" s="6"/>
      <c r="AD4" s="7" t="s">
        <v>78</v>
      </c>
      <c r="AE4" s="8" t="s">
        <v>79</v>
      </c>
      <c r="AF4" s="9" t="s">
        <v>58</v>
      </c>
      <c r="AG4" s="10" t="s">
        <v>11</v>
      </c>
      <c r="AH4" s="6"/>
      <c r="AI4" s="7" t="s">
        <v>78</v>
      </c>
      <c r="AJ4" s="8" t="s">
        <v>79</v>
      </c>
      <c r="AK4" s="9" t="s">
        <v>58</v>
      </c>
      <c r="AL4" s="10" t="s">
        <v>11</v>
      </c>
      <c r="AM4" s="6"/>
      <c r="AN4" s="7" t="s">
        <v>78</v>
      </c>
      <c r="AO4" s="8" t="s">
        <v>79</v>
      </c>
      <c r="AP4" s="9" t="s">
        <v>58</v>
      </c>
      <c r="AQ4" s="10" t="s">
        <v>11</v>
      </c>
      <c r="AR4" s="6"/>
      <c r="AS4" s="7" t="s">
        <v>78</v>
      </c>
      <c r="AT4" s="8" t="s">
        <v>79</v>
      </c>
      <c r="AU4" s="9" t="s">
        <v>58</v>
      </c>
      <c r="AV4" s="10" t="s">
        <v>11</v>
      </c>
      <c r="AW4" s="6"/>
      <c r="AX4" s="7" t="s">
        <v>78</v>
      </c>
      <c r="AY4" s="8" t="s">
        <v>79</v>
      </c>
      <c r="AZ4" s="9" t="s">
        <v>58</v>
      </c>
      <c r="BA4" s="10" t="s">
        <v>11</v>
      </c>
      <c r="BB4" s="6"/>
      <c r="BC4" s="7" t="s">
        <v>78</v>
      </c>
      <c r="BD4" s="8" t="s">
        <v>79</v>
      </c>
      <c r="BE4" s="9" t="s">
        <v>58</v>
      </c>
      <c r="BF4" s="10" t="s">
        <v>11</v>
      </c>
      <c r="BG4" s="6"/>
      <c r="BH4" s="7" t="s">
        <v>78</v>
      </c>
      <c r="BI4" s="8" t="s">
        <v>79</v>
      </c>
      <c r="BJ4" s="9" t="s">
        <v>58</v>
      </c>
      <c r="BK4" s="10" t="s">
        <v>11</v>
      </c>
    </row>
    <row r="5" spans="1:63">
      <c r="B5" s="3"/>
      <c r="D5" s="11" t="s">
        <v>12</v>
      </c>
      <c r="E5" s="12">
        <v>324649.60000000003</v>
      </c>
      <c r="F5" s="13">
        <v>21912.57</v>
      </c>
      <c r="G5" s="14">
        <v>208679.16</v>
      </c>
      <c r="H5" s="15">
        <v>26458.43</v>
      </c>
      <c r="I5" s="11" t="s">
        <v>12</v>
      </c>
      <c r="J5" s="12">
        <v>324649.60000000003</v>
      </c>
      <c r="K5" s="13">
        <v>21912.57</v>
      </c>
      <c r="L5" s="14">
        <v>196991.77</v>
      </c>
      <c r="M5" s="15">
        <v>25669.57</v>
      </c>
      <c r="N5" s="11" t="s">
        <v>12</v>
      </c>
      <c r="O5" s="12">
        <v>324649.60000000003</v>
      </c>
      <c r="P5" s="13">
        <v>21912.57</v>
      </c>
      <c r="Q5" s="14">
        <v>196991.77</v>
      </c>
      <c r="R5" s="15">
        <v>25669.57</v>
      </c>
      <c r="S5" s="11" t="s">
        <v>12</v>
      </c>
      <c r="T5" s="12">
        <v>324649.60000000003</v>
      </c>
      <c r="U5" s="13">
        <v>21912.57</v>
      </c>
      <c r="V5" s="14">
        <v>196991.77</v>
      </c>
      <c r="W5" s="15">
        <v>25669.57</v>
      </c>
      <c r="X5" s="11" t="s">
        <v>12</v>
      </c>
      <c r="Y5" s="12">
        <v>324649.60000000003</v>
      </c>
      <c r="Z5" s="13">
        <v>21912.57</v>
      </c>
      <c r="AA5" s="14">
        <v>196991.77</v>
      </c>
      <c r="AB5" s="15">
        <v>25669.57</v>
      </c>
      <c r="AC5" s="11" t="s">
        <v>12</v>
      </c>
      <c r="AD5" s="12">
        <v>324649.60000000003</v>
      </c>
      <c r="AE5" s="13">
        <v>21912.57</v>
      </c>
      <c r="AF5" s="14">
        <v>196991.77</v>
      </c>
      <c r="AG5" s="15">
        <v>25669.57</v>
      </c>
      <c r="AH5" s="11" t="s">
        <v>12</v>
      </c>
      <c r="AI5" s="12">
        <v>324649.60000000003</v>
      </c>
      <c r="AJ5" s="13">
        <v>21912.57</v>
      </c>
      <c r="AK5" s="14">
        <v>196991.77</v>
      </c>
      <c r="AL5" s="15">
        <v>25669.57</v>
      </c>
      <c r="AM5" s="11" t="s">
        <v>12</v>
      </c>
      <c r="AN5" s="12">
        <v>324649.60000000003</v>
      </c>
      <c r="AO5" s="13">
        <v>21912.57</v>
      </c>
      <c r="AP5" s="14">
        <v>196991.77</v>
      </c>
      <c r="AQ5" s="15">
        <v>25669.57</v>
      </c>
      <c r="AR5" s="11" t="s">
        <v>12</v>
      </c>
      <c r="AS5" s="12">
        <v>324649.60000000003</v>
      </c>
      <c r="AT5" s="13">
        <v>21912.57</v>
      </c>
      <c r="AU5" s="14">
        <v>196991.77</v>
      </c>
      <c r="AV5" s="15">
        <v>25669.57</v>
      </c>
      <c r="AW5" s="11" t="s">
        <v>12</v>
      </c>
      <c r="AX5" s="12">
        <v>324649.60000000003</v>
      </c>
      <c r="AY5" s="13">
        <v>21912.57</v>
      </c>
      <c r="AZ5" s="14">
        <v>196991.77</v>
      </c>
      <c r="BA5" s="15">
        <v>25669.57</v>
      </c>
      <c r="BB5" s="11" t="s">
        <v>12</v>
      </c>
      <c r="BC5" s="12">
        <v>324649.60000000003</v>
      </c>
      <c r="BD5" s="13">
        <v>21912.57</v>
      </c>
      <c r="BE5" s="14">
        <v>196991.77</v>
      </c>
      <c r="BF5" s="15">
        <v>25669.57</v>
      </c>
      <c r="BG5" s="11" t="s">
        <v>12</v>
      </c>
      <c r="BH5" s="12">
        <v>324649.60000000003</v>
      </c>
      <c r="BI5" s="13">
        <v>21912.57</v>
      </c>
      <c r="BJ5" s="14">
        <v>196991.77</v>
      </c>
      <c r="BK5" s="15">
        <v>25669.57</v>
      </c>
    </row>
    <row r="6" spans="1:63">
      <c r="A6" s="16" t="s">
        <v>13</v>
      </c>
      <c r="B6" s="16" t="s">
        <v>14</v>
      </c>
      <c r="C6" s="16" t="s">
        <v>15</v>
      </c>
      <c r="D6" s="17" t="s">
        <v>16</v>
      </c>
      <c r="E6" s="18" t="s">
        <v>17</v>
      </c>
      <c r="F6" s="19" t="s">
        <v>18</v>
      </c>
      <c r="G6" s="20" t="s">
        <v>17</v>
      </c>
      <c r="H6" s="21" t="s">
        <v>18</v>
      </c>
      <c r="I6" s="17" t="s">
        <v>16</v>
      </c>
      <c r="J6" s="18" t="s">
        <v>17</v>
      </c>
      <c r="K6" s="19" t="s">
        <v>18</v>
      </c>
      <c r="L6" s="20" t="s">
        <v>17</v>
      </c>
      <c r="M6" s="21" t="s">
        <v>18</v>
      </c>
      <c r="N6" s="17" t="s">
        <v>16</v>
      </c>
      <c r="O6" s="18" t="s">
        <v>17</v>
      </c>
      <c r="P6" s="19" t="s">
        <v>18</v>
      </c>
      <c r="Q6" s="20" t="s">
        <v>17</v>
      </c>
      <c r="R6" s="21" t="s">
        <v>18</v>
      </c>
      <c r="S6" s="17" t="s">
        <v>16</v>
      </c>
      <c r="T6" s="18" t="s">
        <v>17</v>
      </c>
      <c r="U6" s="19" t="s">
        <v>18</v>
      </c>
      <c r="V6" s="20" t="s">
        <v>17</v>
      </c>
      <c r="W6" s="21" t="s">
        <v>18</v>
      </c>
      <c r="X6" s="17" t="s">
        <v>16</v>
      </c>
      <c r="Y6" s="18" t="s">
        <v>17</v>
      </c>
      <c r="Z6" s="19" t="s">
        <v>18</v>
      </c>
      <c r="AA6" s="20" t="s">
        <v>17</v>
      </c>
      <c r="AB6" s="21" t="s">
        <v>18</v>
      </c>
      <c r="AC6" s="17" t="s">
        <v>16</v>
      </c>
      <c r="AD6" s="18" t="s">
        <v>17</v>
      </c>
      <c r="AE6" s="19" t="s">
        <v>18</v>
      </c>
      <c r="AF6" s="20" t="s">
        <v>17</v>
      </c>
      <c r="AG6" s="21" t="s">
        <v>18</v>
      </c>
      <c r="AH6" s="17" t="s">
        <v>16</v>
      </c>
      <c r="AI6" s="18" t="s">
        <v>17</v>
      </c>
      <c r="AJ6" s="19" t="s">
        <v>18</v>
      </c>
      <c r="AK6" s="20" t="s">
        <v>17</v>
      </c>
      <c r="AL6" s="21" t="s">
        <v>18</v>
      </c>
      <c r="AM6" s="17" t="s">
        <v>16</v>
      </c>
      <c r="AN6" s="18" t="s">
        <v>17</v>
      </c>
      <c r="AO6" s="19" t="s">
        <v>18</v>
      </c>
      <c r="AP6" s="20" t="s">
        <v>17</v>
      </c>
      <c r="AQ6" s="21" t="s">
        <v>18</v>
      </c>
      <c r="AR6" s="17" t="s">
        <v>16</v>
      </c>
      <c r="AS6" s="18" t="s">
        <v>17</v>
      </c>
      <c r="AT6" s="19" t="s">
        <v>18</v>
      </c>
      <c r="AU6" s="20" t="s">
        <v>17</v>
      </c>
      <c r="AV6" s="21" t="s">
        <v>18</v>
      </c>
      <c r="AW6" s="17" t="s">
        <v>16</v>
      </c>
      <c r="AX6" s="18" t="s">
        <v>17</v>
      </c>
      <c r="AY6" s="19" t="s">
        <v>18</v>
      </c>
      <c r="AZ6" s="20" t="s">
        <v>17</v>
      </c>
      <c r="BA6" s="21" t="s">
        <v>18</v>
      </c>
      <c r="BB6" s="17" t="s">
        <v>16</v>
      </c>
      <c r="BC6" s="18" t="s">
        <v>17</v>
      </c>
      <c r="BD6" s="19" t="s">
        <v>18</v>
      </c>
      <c r="BE6" s="20" t="s">
        <v>17</v>
      </c>
      <c r="BF6" s="21" t="s">
        <v>18</v>
      </c>
      <c r="BG6" s="17" t="s">
        <v>16</v>
      </c>
      <c r="BH6" s="18" t="s">
        <v>17</v>
      </c>
      <c r="BI6" s="19" t="s">
        <v>18</v>
      </c>
      <c r="BJ6" s="20" t="s">
        <v>17</v>
      </c>
      <c r="BK6" s="21" t="s">
        <v>18</v>
      </c>
    </row>
    <row r="7" spans="1:63" ht="30" customHeight="1">
      <c r="A7" s="22">
        <v>1412000005</v>
      </c>
      <c r="B7" s="23" t="s">
        <v>84</v>
      </c>
      <c r="C7" s="24" t="s">
        <v>85</v>
      </c>
      <c r="D7" s="25">
        <v>5.4852332068212259E-2</v>
      </c>
      <c r="E7" s="26">
        <f t="shared" ref="E7:E55" si="0">ROUND($E$5*D7,2)</f>
        <v>17807.79</v>
      </c>
      <c r="F7" s="27">
        <f t="shared" ref="F7:F55" si="1">ROUND($F$5*D7,2)</f>
        <v>1201.96</v>
      </c>
      <c r="G7" s="28">
        <f t="shared" ref="G7:G55" si="2">ROUND($G$5*D7,2)</f>
        <v>11446.54</v>
      </c>
      <c r="H7" s="29">
        <f t="shared" ref="H7:H55" si="3">ROUND($H$5*D7,2)</f>
        <v>1451.31</v>
      </c>
      <c r="I7" s="25">
        <v>5.5197649949127188E-2</v>
      </c>
      <c r="J7" s="26">
        <f t="shared" ref="J7:J55" si="4">ROUND($E$5*I7,2)</f>
        <v>17919.89</v>
      </c>
      <c r="K7" s="27">
        <f t="shared" ref="K7:K55" si="5">ROUND($F$5*I7,2)</f>
        <v>1209.52</v>
      </c>
      <c r="L7" s="28">
        <f t="shared" ref="L7:L55" si="6">ROUND($L$5*I7,2)</f>
        <v>10873.48</v>
      </c>
      <c r="M7" s="210">
        <f>ROUND($M$5*I7,2)</f>
        <v>1416.9</v>
      </c>
      <c r="N7" s="208">
        <v>5.537762088183238E-2</v>
      </c>
      <c r="O7" s="26">
        <f>ROUND($E$5*N7,2)</f>
        <v>17978.32</v>
      </c>
      <c r="P7" s="27">
        <f t="shared" ref="P7:P55" si="7">ROUND($F$5*N7,2)</f>
        <v>1213.47</v>
      </c>
      <c r="Q7" s="28">
        <f>ROUND($L$5*N7,2)</f>
        <v>10908.94</v>
      </c>
      <c r="R7" s="210">
        <f>ROUND($M$5*N7,2)</f>
        <v>1421.52</v>
      </c>
      <c r="S7" s="208">
        <v>5.544033058574753E-2</v>
      </c>
      <c r="T7" s="26">
        <f t="shared" ref="T7:T55" si="8">ROUND($E$5*S7,2)</f>
        <v>17998.68</v>
      </c>
      <c r="U7" s="27">
        <f t="shared" ref="U7:U55" si="9">ROUND($F$5*S7,2)</f>
        <v>1214.8399999999999</v>
      </c>
      <c r="V7" s="28">
        <f>ROUND($L$5*S7,2)</f>
        <v>10921.29</v>
      </c>
      <c r="W7" s="210">
        <f>ROUND($M$5*S7,2)</f>
        <v>1423.13</v>
      </c>
      <c r="X7" s="208">
        <v>5.5316345080845188E-2</v>
      </c>
      <c r="Y7" s="26">
        <f t="shared" ref="Y7:Y55" si="10">ROUND($E$5*X7,2)</f>
        <v>17958.43</v>
      </c>
      <c r="Z7" s="27">
        <f t="shared" ref="Z7:Z55" si="11">ROUND($F$5*X7,2)</f>
        <v>1212.1199999999999</v>
      </c>
      <c r="AA7" s="28">
        <f>ROUND($L$5*X7,2)</f>
        <v>10896.86</v>
      </c>
      <c r="AB7" s="29">
        <f>ROUND($M$5*X7,2)</f>
        <v>1419.95</v>
      </c>
      <c r="AC7" s="25">
        <v>5.5333281906846804E-2</v>
      </c>
      <c r="AD7" s="26">
        <f t="shared" ref="AD7:AD55" si="12">ROUND($E$5*AC7,2)</f>
        <v>17963.93</v>
      </c>
      <c r="AE7" s="27">
        <f t="shared" ref="AE7:AE55" si="13">ROUND($F$5*AC7,2)</f>
        <v>1212.49</v>
      </c>
      <c r="AF7" s="28">
        <f t="shared" ref="AF7:AF8" si="14">ROUND($L$5*AC7,2)</f>
        <v>10900.2</v>
      </c>
      <c r="AG7" s="210">
        <f t="shared" ref="AG7:AG8" si="15">ROUND($M$5*AC7,2)</f>
        <v>1420.38</v>
      </c>
      <c r="AH7" s="208">
        <v>5.5276724268320643E-2</v>
      </c>
      <c r="AI7" s="26">
        <f t="shared" ref="AI7:AI55" si="16">ROUND($E$5*AH7,2)</f>
        <v>17945.57</v>
      </c>
      <c r="AJ7" s="27">
        <f t="shared" ref="AJ7:AJ55" si="17">ROUND($F$5*AH7,2)</f>
        <v>1211.26</v>
      </c>
      <c r="AK7" s="28">
        <f>ROUND($L$5*AH7,2)</f>
        <v>10889.06</v>
      </c>
      <c r="AL7" s="210">
        <f>ROUND($M$5*AH7,2)</f>
        <v>1418.93</v>
      </c>
      <c r="AM7" s="208">
        <v>5.5186879938020544E-2</v>
      </c>
      <c r="AN7" s="26">
        <f t="shared" ref="AN7:AN55" si="18">ROUND($E$5*AM7,2)</f>
        <v>17916.400000000001</v>
      </c>
      <c r="AO7" s="27">
        <f t="shared" ref="AO7:AO55" si="19">ROUND($F$5*AM7,2)</f>
        <v>1209.29</v>
      </c>
      <c r="AP7" s="28">
        <f>ROUND($L$5*AM7,2)</f>
        <v>10871.36</v>
      </c>
      <c r="AQ7" s="210">
        <f>ROUND($M$5*AM7,2)</f>
        <v>1416.62</v>
      </c>
      <c r="AR7" s="208">
        <v>5.4836249945416832E-2</v>
      </c>
      <c r="AS7" s="26">
        <f t="shared" ref="AS7:AS55" si="20">ROUND($E$5*AR7,2)</f>
        <v>17802.57</v>
      </c>
      <c r="AT7" s="27">
        <f t="shared" ref="AT7:AT55" si="21">ROUND($F$5*AR7,2)</f>
        <v>1201.5999999999999</v>
      </c>
      <c r="AU7" s="28">
        <f>ROUND($L$5*AR7,2)</f>
        <v>10802.29</v>
      </c>
      <c r="AV7" s="29">
        <f>ROUND($M$5*AR7,2)</f>
        <v>1407.62</v>
      </c>
      <c r="AW7" s="208">
        <v>5.5089199384136353E-2</v>
      </c>
      <c r="AX7" s="26">
        <f t="shared" ref="AX7:AX55" si="22">ROUND($E$5*AW7,2)</f>
        <v>17884.689999999999</v>
      </c>
      <c r="AY7" s="27">
        <f t="shared" ref="AY7:AY55" si="23">ROUND($F$5*AW7,2)</f>
        <v>1207.1500000000001</v>
      </c>
      <c r="AZ7" s="28">
        <f>ROUND($L$5*AW7,2)</f>
        <v>10852.12</v>
      </c>
      <c r="BA7" s="210">
        <f>ROUND($M$5*AW7,2)</f>
        <v>1414.12</v>
      </c>
      <c r="BB7" s="208">
        <v>5.5951919135172286E-2</v>
      </c>
      <c r="BC7" s="26">
        <f t="shared" ref="BC7:BC55" si="24">ROUND($E$5*BB7,2)</f>
        <v>18164.77</v>
      </c>
      <c r="BD7" s="27">
        <f t="shared" ref="BD7:BD55" si="25">ROUND($F$5*BB7,2)</f>
        <v>1226.05</v>
      </c>
      <c r="BE7" s="28">
        <f>ROUND($L$5*BB7,2)</f>
        <v>11022.07</v>
      </c>
      <c r="BF7" s="210">
        <f>ROUND($M$5*BB7,2)</f>
        <v>1436.26</v>
      </c>
      <c r="BG7" s="208">
        <v>5.4951621209934277E-2</v>
      </c>
      <c r="BH7" s="26">
        <f t="shared" ref="BH7:BH55" si="26">ROUND($E$5*BG7,2)</f>
        <v>17840.02</v>
      </c>
      <c r="BI7" s="27">
        <f t="shared" ref="BI7:BI55" si="27">ROUND($F$5*BG7,2)</f>
        <v>1204.1300000000001</v>
      </c>
      <c r="BJ7" s="28">
        <f>ROUND($L$5*BG7,2)</f>
        <v>10825.02</v>
      </c>
      <c r="BK7" s="29">
        <f>ROUND($M$5*BG7,2)</f>
        <v>1410.58</v>
      </c>
    </row>
    <row r="8" spans="1:63" ht="30" customHeight="1">
      <c r="A8" s="30">
        <v>1412000081</v>
      </c>
      <c r="B8" s="30" t="s">
        <v>86</v>
      </c>
      <c r="C8" s="31" t="s">
        <v>87</v>
      </c>
      <c r="D8" s="25">
        <v>0.14756676288429815</v>
      </c>
      <c r="E8" s="32">
        <f t="shared" si="0"/>
        <v>47907.49</v>
      </c>
      <c r="F8" s="33">
        <f t="shared" si="1"/>
        <v>3233.57</v>
      </c>
      <c r="G8" s="34">
        <f t="shared" si="2"/>
        <v>30794.11</v>
      </c>
      <c r="H8" s="35">
        <f t="shared" si="3"/>
        <v>3904.38</v>
      </c>
      <c r="I8" s="25">
        <v>0.1467058491790289</v>
      </c>
      <c r="J8" s="32">
        <f t="shared" si="4"/>
        <v>47628</v>
      </c>
      <c r="K8" s="33">
        <f t="shared" si="5"/>
        <v>3214.7</v>
      </c>
      <c r="L8" s="34">
        <f>ROUND($L$5*I8,2)</f>
        <v>28899.84</v>
      </c>
      <c r="M8" s="211">
        <f t="shared" ref="M8:M55" si="28">ROUND($M$5*I8,2)</f>
        <v>3765.88</v>
      </c>
      <c r="N8" s="208">
        <v>0.14544144304894041</v>
      </c>
      <c r="O8" s="32">
        <f t="shared" ref="O8:O55" si="29">ROUND($E$5*N8,2)</f>
        <v>47217.51</v>
      </c>
      <c r="P8" s="33">
        <f t="shared" si="7"/>
        <v>3187</v>
      </c>
      <c r="Q8" s="34">
        <f>ROUND($L$5*N8,2)</f>
        <v>28650.77</v>
      </c>
      <c r="R8" s="211">
        <f>ROUND($M$5*N8,2)</f>
        <v>3733.42</v>
      </c>
      <c r="S8" s="208">
        <v>0.14631863092074648</v>
      </c>
      <c r="T8" s="32">
        <f t="shared" si="8"/>
        <v>47502.29</v>
      </c>
      <c r="U8" s="33">
        <f t="shared" si="9"/>
        <v>3206.22</v>
      </c>
      <c r="V8" s="34">
        <f t="shared" ref="V8" si="30">ROUND($L$5*S8,2)</f>
        <v>28823.57</v>
      </c>
      <c r="W8" s="211">
        <f t="shared" ref="W8" si="31">ROUND($M$5*S8,2)</f>
        <v>3755.94</v>
      </c>
      <c r="X8" s="208">
        <v>0.14700358257505697</v>
      </c>
      <c r="Y8" s="32">
        <f t="shared" si="10"/>
        <v>47724.65</v>
      </c>
      <c r="Z8" s="33">
        <f t="shared" si="11"/>
        <v>3221.23</v>
      </c>
      <c r="AA8" s="34">
        <f t="shared" ref="AA8" si="32">ROUND($L$5*X8,2)</f>
        <v>28958.5</v>
      </c>
      <c r="AB8" s="35">
        <f t="shared" ref="AB8" si="33">ROUND($M$5*X8,2)</f>
        <v>3773.52</v>
      </c>
      <c r="AC8" s="25">
        <v>0.14665815889822575</v>
      </c>
      <c r="AD8" s="32">
        <f t="shared" si="12"/>
        <v>47612.51</v>
      </c>
      <c r="AE8" s="33">
        <f t="shared" si="13"/>
        <v>3213.66</v>
      </c>
      <c r="AF8" s="34">
        <f t="shared" si="14"/>
        <v>28890.45</v>
      </c>
      <c r="AG8" s="211">
        <f t="shared" si="15"/>
        <v>3764.65</v>
      </c>
      <c r="AH8" s="208">
        <v>0.14601111347170143</v>
      </c>
      <c r="AI8" s="32">
        <f t="shared" si="16"/>
        <v>47402.45</v>
      </c>
      <c r="AJ8" s="33">
        <f t="shared" si="17"/>
        <v>3199.48</v>
      </c>
      <c r="AK8" s="34">
        <f>ROUND($L$5*AH8,2)</f>
        <v>28762.99</v>
      </c>
      <c r="AL8" s="211">
        <f t="shared" ref="AL8" si="34">ROUND($M$5*AH8,2)</f>
        <v>3748.04</v>
      </c>
      <c r="AM8" s="208">
        <v>0.14629341092001283</v>
      </c>
      <c r="AN8" s="32">
        <f t="shared" si="18"/>
        <v>47494.1</v>
      </c>
      <c r="AO8" s="33">
        <f t="shared" si="19"/>
        <v>3205.66</v>
      </c>
      <c r="AP8" s="34">
        <f t="shared" ref="AP8" si="35">ROUND($L$5*AM8,2)</f>
        <v>28818.6</v>
      </c>
      <c r="AQ8" s="211">
        <f t="shared" ref="AQ8" si="36">ROUND($M$5*AM8,2)</f>
        <v>3755.29</v>
      </c>
      <c r="AR8" s="208">
        <v>0.14677896580640593</v>
      </c>
      <c r="AS8" s="32">
        <f t="shared" si="20"/>
        <v>47651.73</v>
      </c>
      <c r="AT8" s="33">
        <f t="shared" si="21"/>
        <v>3216.3</v>
      </c>
      <c r="AU8" s="34">
        <f t="shared" ref="AU8" si="37">ROUND($L$5*AR8,2)</f>
        <v>28914.25</v>
      </c>
      <c r="AV8" s="35">
        <f t="shared" ref="AV8" si="38">ROUND($M$5*AR8,2)</f>
        <v>3767.75</v>
      </c>
      <c r="AW8" s="208">
        <v>0.14705942155460894</v>
      </c>
      <c r="AX8" s="32">
        <f t="shared" si="22"/>
        <v>47742.78</v>
      </c>
      <c r="AY8" s="33">
        <f t="shared" si="23"/>
        <v>3222.45</v>
      </c>
      <c r="AZ8" s="34">
        <f>ROUND($L$5*AW8,2)</f>
        <v>28969.5</v>
      </c>
      <c r="BA8" s="211">
        <f t="shared" ref="BA8" si="39">ROUND($M$5*AW8,2)</f>
        <v>3774.95</v>
      </c>
      <c r="BB8" s="208">
        <v>0.14741489557039758</v>
      </c>
      <c r="BC8" s="32">
        <f t="shared" si="24"/>
        <v>47858.19</v>
      </c>
      <c r="BD8" s="33">
        <f t="shared" si="25"/>
        <v>3230.24</v>
      </c>
      <c r="BE8" s="34">
        <f t="shared" ref="BE8" si="40">ROUND($L$5*BB8,2)</f>
        <v>29039.52</v>
      </c>
      <c r="BF8" s="211">
        <f t="shared" ref="BF8" si="41">ROUND($M$5*BB8,2)</f>
        <v>3784.08</v>
      </c>
      <c r="BG8" s="208">
        <v>0.14680760007614863</v>
      </c>
      <c r="BH8" s="32">
        <f t="shared" si="26"/>
        <v>47661.03</v>
      </c>
      <c r="BI8" s="33">
        <f t="shared" si="27"/>
        <v>3216.93</v>
      </c>
      <c r="BJ8" s="34">
        <f t="shared" ref="BJ8" si="42">ROUND($L$5*BG8,2)</f>
        <v>28919.89</v>
      </c>
      <c r="BK8" s="35">
        <f t="shared" ref="BK8" si="43">ROUND($M$5*BG8,2)</f>
        <v>3768.49</v>
      </c>
    </row>
    <row r="9" spans="1:63" ht="30" customHeight="1">
      <c r="A9" s="30">
        <v>1412000066</v>
      </c>
      <c r="B9" s="36" t="s">
        <v>56</v>
      </c>
      <c r="C9" s="31" t="s">
        <v>57</v>
      </c>
      <c r="D9" s="25">
        <v>1.9652312319096872E-2</v>
      </c>
      <c r="E9" s="32">
        <f t="shared" si="0"/>
        <v>6380.12</v>
      </c>
      <c r="F9" s="33">
        <f t="shared" si="1"/>
        <v>430.63</v>
      </c>
      <c r="G9" s="34">
        <f t="shared" si="2"/>
        <v>4101.03</v>
      </c>
      <c r="H9" s="35">
        <f t="shared" si="3"/>
        <v>519.97</v>
      </c>
      <c r="I9" s="25">
        <v>1.9652312319096872E-2</v>
      </c>
      <c r="J9" s="32">
        <f t="shared" si="4"/>
        <v>6380.12</v>
      </c>
      <c r="K9" s="33">
        <f t="shared" si="5"/>
        <v>430.63</v>
      </c>
      <c r="L9" s="34">
        <f>ROUND($L$5*I9,2)</f>
        <v>3871.34</v>
      </c>
      <c r="M9" s="211">
        <f t="shared" si="28"/>
        <v>504.47</v>
      </c>
      <c r="N9" s="208">
        <v>1.9652312319096858E-2</v>
      </c>
      <c r="O9" s="32">
        <f t="shared" si="29"/>
        <v>6380.12</v>
      </c>
      <c r="P9" s="33">
        <f t="shared" si="7"/>
        <v>430.63</v>
      </c>
      <c r="Q9" s="34">
        <f>ROUND($L$5*N9,2)</f>
        <v>3871.34</v>
      </c>
      <c r="R9" s="211">
        <f t="shared" ref="R9:R69" si="44">ROUND($M$5*N9,2)</f>
        <v>504.47</v>
      </c>
      <c r="S9" s="208">
        <v>1.9652312319096869E-2</v>
      </c>
      <c r="T9" s="32">
        <f t="shared" si="8"/>
        <v>6380.12</v>
      </c>
      <c r="U9" s="33">
        <f t="shared" si="9"/>
        <v>430.63</v>
      </c>
      <c r="V9" s="34">
        <f t="shared" ref="V9:V69" si="45">ROUND($L$5*S9,2)</f>
        <v>3871.34</v>
      </c>
      <c r="W9" s="211">
        <f t="shared" ref="W9:W69" si="46">ROUND($M$5*S9,2)</f>
        <v>504.47</v>
      </c>
      <c r="X9" s="208">
        <v>1.9652312319096865E-2</v>
      </c>
      <c r="Y9" s="32">
        <f t="shared" si="10"/>
        <v>6380.12</v>
      </c>
      <c r="Z9" s="33">
        <f t="shared" si="11"/>
        <v>430.63</v>
      </c>
      <c r="AA9" s="34">
        <f t="shared" ref="AA9:AA69" si="47">ROUND($L$5*X9,2)</f>
        <v>3871.34</v>
      </c>
      <c r="AB9" s="35">
        <f t="shared" ref="AB9:AB69" si="48">ROUND($M$5*X9,2)</f>
        <v>504.47</v>
      </c>
      <c r="AC9" s="25">
        <v>1.9652312319096862E-2</v>
      </c>
      <c r="AD9" s="32">
        <f t="shared" si="12"/>
        <v>6380.12</v>
      </c>
      <c r="AE9" s="33">
        <f t="shared" si="13"/>
        <v>430.63</v>
      </c>
      <c r="AF9" s="34">
        <f t="shared" ref="AF9:AF69" si="49">ROUND($L$5*AC9,2)</f>
        <v>3871.34</v>
      </c>
      <c r="AG9" s="211">
        <f t="shared" ref="AG9:AG69" si="50">ROUND($M$5*AC9,2)</f>
        <v>504.47</v>
      </c>
      <c r="AH9" s="208">
        <v>1.9652312319096872E-2</v>
      </c>
      <c r="AI9" s="32">
        <f t="shared" si="16"/>
        <v>6380.12</v>
      </c>
      <c r="AJ9" s="33">
        <f t="shared" si="17"/>
        <v>430.63</v>
      </c>
      <c r="AK9" s="34">
        <f t="shared" ref="AK9:AK69" si="51">ROUND($L$5*AH9,2)</f>
        <v>3871.34</v>
      </c>
      <c r="AL9" s="211">
        <f t="shared" ref="AL9:AL69" si="52">ROUND($M$5*AH9,2)</f>
        <v>504.47</v>
      </c>
      <c r="AM9" s="208">
        <v>1.9652312319096865E-2</v>
      </c>
      <c r="AN9" s="32">
        <f t="shared" si="18"/>
        <v>6380.12</v>
      </c>
      <c r="AO9" s="33">
        <f t="shared" si="19"/>
        <v>430.63</v>
      </c>
      <c r="AP9" s="34">
        <f t="shared" ref="AP9:AP69" si="53">ROUND($L$5*AM9,2)</f>
        <v>3871.34</v>
      </c>
      <c r="AQ9" s="211">
        <f t="shared" ref="AQ9:AQ69" si="54">ROUND($M$5*AM9,2)</f>
        <v>504.47</v>
      </c>
      <c r="AR9" s="208">
        <v>1.9652312319096855E-2</v>
      </c>
      <c r="AS9" s="32">
        <f t="shared" si="20"/>
        <v>6380.12</v>
      </c>
      <c r="AT9" s="33">
        <f t="shared" si="21"/>
        <v>430.63</v>
      </c>
      <c r="AU9" s="34">
        <f t="shared" ref="AU9:AU69" si="55">ROUND($L$5*AR9,2)</f>
        <v>3871.34</v>
      </c>
      <c r="AV9" s="35">
        <f t="shared" ref="AV9:AV69" si="56">ROUND($M$5*AR9,2)</f>
        <v>504.47</v>
      </c>
      <c r="AW9" s="208">
        <v>1.9652312319096869E-2</v>
      </c>
      <c r="AX9" s="32">
        <f t="shared" si="22"/>
        <v>6380.12</v>
      </c>
      <c r="AY9" s="33">
        <f t="shared" si="23"/>
        <v>430.63</v>
      </c>
      <c r="AZ9" s="34">
        <f t="shared" ref="AZ9:AZ69" si="57">ROUND($L$5*AW9,2)</f>
        <v>3871.34</v>
      </c>
      <c r="BA9" s="211">
        <f t="shared" ref="BA9:BA69" si="58">ROUND($M$5*AW9,2)</f>
        <v>504.47</v>
      </c>
      <c r="BB9" s="208">
        <v>1.9652312319096876E-2</v>
      </c>
      <c r="BC9" s="32">
        <f t="shared" si="24"/>
        <v>6380.12</v>
      </c>
      <c r="BD9" s="33">
        <f t="shared" si="25"/>
        <v>430.63</v>
      </c>
      <c r="BE9" s="34">
        <f t="shared" ref="BE9:BE69" si="59">ROUND($L$5*BB9,2)</f>
        <v>3871.34</v>
      </c>
      <c r="BF9" s="211">
        <f t="shared" ref="BF9:BF69" si="60">ROUND($M$5*BB9,2)</f>
        <v>504.47</v>
      </c>
      <c r="BG9" s="208">
        <v>1.9652312319096876E-2</v>
      </c>
      <c r="BH9" s="32">
        <f t="shared" si="26"/>
        <v>6380.12</v>
      </c>
      <c r="BI9" s="33">
        <f t="shared" si="27"/>
        <v>430.63</v>
      </c>
      <c r="BJ9" s="34">
        <f t="shared" ref="BJ9:BJ69" si="61">ROUND($L$5*BG9,2)</f>
        <v>3871.34</v>
      </c>
      <c r="BK9" s="35">
        <f t="shared" ref="BK9:BK69" si="62">ROUND($M$5*BG9,2)</f>
        <v>504.47</v>
      </c>
    </row>
    <row r="10" spans="1:63" ht="30" customHeight="1">
      <c r="A10" s="30">
        <v>1412000044</v>
      </c>
      <c r="B10" s="31" t="s">
        <v>21</v>
      </c>
      <c r="C10" s="31" t="s">
        <v>22</v>
      </c>
      <c r="D10" s="25">
        <v>4.9850774611621979E-3</v>
      </c>
      <c r="E10" s="32">
        <f t="shared" si="0"/>
        <v>1618.4</v>
      </c>
      <c r="F10" s="33">
        <f t="shared" si="1"/>
        <v>109.24</v>
      </c>
      <c r="G10" s="34">
        <f t="shared" si="2"/>
        <v>1040.28</v>
      </c>
      <c r="H10" s="35">
        <f t="shared" si="3"/>
        <v>131.9</v>
      </c>
      <c r="I10" s="25">
        <v>5.0102981806718445E-3</v>
      </c>
      <c r="J10" s="32">
        <f t="shared" si="4"/>
        <v>1626.59</v>
      </c>
      <c r="K10" s="33">
        <f t="shared" si="5"/>
        <v>109.79</v>
      </c>
      <c r="L10" s="34">
        <f t="shared" si="6"/>
        <v>986.99</v>
      </c>
      <c r="M10" s="211">
        <f t="shared" si="28"/>
        <v>128.61000000000001</v>
      </c>
      <c r="N10" s="208">
        <v>5.0348951018127077E-3</v>
      </c>
      <c r="O10" s="32">
        <f t="shared" si="29"/>
        <v>1634.58</v>
      </c>
      <c r="P10" s="33">
        <f t="shared" si="7"/>
        <v>110.33</v>
      </c>
      <c r="Q10" s="34">
        <f t="shared" ref="Q10:Q69" si="63">ROUND($L$5*N10,2)</f>
        <v>991.83</v>
      </c>
      <c r="R10" s="211">
        <f t="shared" si="44"/>
        <v>129.24</v>
      </c>
      <c r="S10" s="208">
        <v>5.0106353083125684E-3</v>
      </c>
      <c r="T10" s="32">
        <f t="shared" si="8"/>
        <v>1626.7</v>
      </c>
      <c r="U10" s="33">
        <f t="shared" si="9"/>
        <v>109.8</v>
      </c>
      <c r="V10" s="34">
        <f t="shared" si="45"/>
        <v>987.05</v>
      </c>
      <c r="W10" s="211">
        <f t="shared" si="46"/>
        <v>128.62</v>
      </c>
      <c r="X10" s="208">
        <v>4.9862048546824179E-3</v>
      </c>
      <c r="Y10" s="32">
        <f t="shared" si="10"/>
        <v>1618.77</v>
      </c>
      <c r="Z10" s="33">
        <f t="shared" si="11"/>
        <v>109.26</v>
      </c>
      <c r="AA10" s="34">
        <f t="shared" si="47"/>
        <v>982.24</v>
      </c>
      <c r="AB10" s="35">
        <f t="shared" si="48"/>
        <v>127.99</v>
      </c>
      <c r="AC10" s="25">
        <v>4.9887657787716861E-3</v>
      </c>
      <c r="AD10" s="32">
        <f t="shared" si="12"/>
        <v>1619.6</v>
      </c>
      <c r="AE10" s="33">
        <f t="shared" si="13"/>
        <v>109.32</v>
      </c>
      <c r="AF10" s="34">
        <f t="shared" si="49"/>
        <v>982.75</v>
      </c>
      <c r="AG10" s="211">
        <f t="shared" si="50"/>
        <v>128.06</v>
      </c>
      <c r="AH10" s="208">
        <v>5.0142456605713091E-3</v>
      </c>
      <c r="AI10" s="32">
        <f t="shared" si="16"/>
        <v>1627.87</v>
      </c>
      <c r="AJ10" s="33">
        <f t="shared" si="17"/>
        <v>109.88</v>
      </c>
      <c r="AK10" s="34">
        <f t="shared" si="51"/>
        <v>987.77</v>
      </c>
      <c r="AL10" s="211">
        <f t="shared" si="52"/>
        <v>128.71</v>
      </c>
      <c r="AM10" s="208">
        <v>4.9988015185357133E-3</v>
      </c>
      <c r="AN10" s="32">
        <f t="shared" si="18"/>
        <v>1622.86</v>
      </c>
      <c r="AO10" s="33">
        <f t="shared" si="19"/>
        <v>109.54</v>
      </c>
      <c r="AP10" s="34">
        <f t="shared" si="53"/>
        <v>984.72</v>
      </c>
      <c r="AQ10" s="211">
        <f t="shared" si="54"/>
        <v>128.32</v>
      </c>
      <c r="AR10" s="208">
        <v>4.9963186514134046E-3</v>
      </c>
      <c r="AS10" s="32">
        <f t="shared" si="20"/>
        <v>1622.05</v>
      </c>
      <c r="AT10" s="33">
        <f t="shared" si="21"/>
        <v>109.48</v>
      </c>
      <c r="AU10" s="34">
        <f t="shared" si="55"/>
        <v>984.23</v>
      </c>
      <c r="AV10" s="35">
        <f t="shared" si="56"/>
        <v>128.25</v>
      </c>
      <c r="AW10" s="208">
        <v>4.9827081489060565E-3</v>
      </c>
      <c r="AX10" s="32">
        <f t="shared" si="22"/>
        <v>1617.63</v>
      </c>
      <c r="AY10" s="33">
        <f t="shared" si="23"/>
        <v>109.18</v>
      </c>
      <c r="AZ10" s="34">
        <f t="shared" si="57"/>
        <v>981.55</v>
      </c>
      <c r="BA10" s="211">
        <f t="shared" si="58"/>
        <v>127.9</v>
      </c>
      <c r="BB10" s="208">
        <v>4.9184695698387612E-3</v>
      </c>
      <c r="BC10" s="32">
        <f t="shared" si="24"/>
        <v>1596.78</v>
      </c>
      <c r="BD10" s="33">
        <f t="shared" si="25"/>
        <v>107.78</v>
      </c>
      <c r="BE10" s="34">
        <f t="shared" si="59"/>
        <v>968.9</v>
      </c>
      <c r="BF10" s="211">
        <f t="shared" si="60"/>
        <v>126.25</v>
      </c>
      <c r="BG10" s="208">
        <v>5.0019431430843829E-3</v>
      </c>
      <c r="BH10" s="32">
        <f t="shared" si="26"/>
        <v>1623.88</v>
      </c>
      <c r="BI10" s="33">
        <f t="shared" si="27"/>
        <v>109.61</v>
      </c>
      <c r="BJ10" s="34">
        <f t="shared" si="61"/>
        <v>985.34</v>
      </c>
      <c r="BK10" s="35">
        <f t="shared" si="62"/>
        <v>128.4</v>
      </c>
    </row>
    <row r="11" spans="1:63" ht="30" customHeight="1">
      <c r="A11" s="30">
        <v>1412000087</v>
      </c>
      <c r="B11" s="31" t="s">
        <v>107</v>
      </c>
      <c r="C11" s="31" t="s">
        <v>109</v>
      </c>
      <c r="D11" s="25">
        <v>3.3891296660336042E-4</v>
      </c>
      <c r="E11" s="32">
        <f t="shared" si="0"/>
        <v>110.03</v>
      </c>
      <c r="F11" s="33">
        <f t="shared" si="1"/>
        <v>7.43</v>
      </c>
      <c r="G11" s="34">
        <f t="shared" si="2"/>
        <v>70.72</v>
      </c>
      <c r="H11" s="35">
        <f t="shared" si="3"/>
        <v>8.9700000000000006</v>
      </c>
      <c r="I11" s="25">
        <v>3.3877687021481459E-4</v>
      </c>
      <c r="J11" s="32">
        <f t="shared" si="4"/>
        <v>109.98</v>
      </c>
      <c r="K11" s="33">
        <f t="shared" si="5"/>
        <v>7.42</v>
      </c>
      <c r="L11" s="34">
        <f t="shared" si="6"/>
        <v>66.739999999999995</v>
      </c>
      <c r="M11" s="211">
        <f t="shared" si="28"/>
        <v>8.6999999999999993</v>
      </c>
      <c r="N11" s="208">
        <v>3.4556222777091584E-4</v>
      </c>
      <c r="O11" s="32">
        <f t="shared" si="29"/>
        <v>112.19</v>
      </c>
      <c r="P11" s="33">
        <f t="shared" si="7"/>
        <v>7.57</v>
      </c>
      <c r="Q11" s="34">
        <f t="shared" si="63"/>
        <v>68.069999999999993</v>
      </c>
      <c r="R11" s="211">
        <f t="shared" si="44"/>
        <v>8.8699999999999992</v>
      </c>
      <c r="S11" s="208">
        <v>3.3886987094329047E-4</v>
      </c>
      <c r="T11" s="32">
        <f t="shared" si="8"/>
        <v>110.01</v>
      </c>
      <c r="U11" s="33">
        <f t="shared" si="9"/>
        <v>7.43</v>
      </c>
      <c r="V11" s="34">
        <f t="shared" si="45"/>
        <v>66.75</v>
      </c>
      <c r="W11" s="211">
        <f t="shared" si="46"/>
        <v>8.6999999999999993</v>
      </c>
      <c r="X11" s="208">
        <v>3.3213043545911124E-4</v>
      </c>
      <c r="Y11" s="32">
        <f t="shared" si="10"/>
        <v>107.83</v>
      </c>
      <c r="Z11" s="33">
        <f t="shared" si="11"/>
        <v>7.28</v>
      </c>
      <c r="AA11" s="34">
        <f t="shared" si="47"/>
        <v>65.430000000000007</v>
      </c>
      <c r="AB11" s="35">
        <f t="shared" si="48"/>
        <v>8.5299999999999994</v>
      </c>
      <c r="AC11" s="25">
        <v>3.328368972768407E-4</v>
      </c>
      <c r="AD11" s="32">
        <f t="shared" si="12"/>
        <v>108.06</v>
      </c>
      <c r="AE11" s="33">
        <f t="shared" si="13"/>
        <v>7.29</v>
      </c>
      <c r="AF11" s="34">
        <f t="shared" si="49"/>
        <v>65.569999999999993</v>
      </c>
      <c r="AG11" s="211">
        <f t="shared" si="50"/>
        <v>8.5399999999999991</v>
      </c>
      <c r="AH11" s="208">
        <v>3.3986583018708093E-4</v>
      </c>
      <c r="AI11" s="32">
        <f t="shared" si="16"/>
        <v>110.34</v>
      </c>
      <c r="AJ11" s="33">
        <f t="shared" si="17"/>
        <v>7.45</v>
      </c>
      <c r="AK11" s="34">
        <f t="shared" si="51"/>
        <v>66.95</v>
      </c>
      <c r="AL11" s="211">
        <f t="shared" si="52"/>
        <v>8.7200000000000006</v>
      </c>
      <c r="AM11" s="208">
        <v>3.3560537721174469E-4</v>
      </c>
      <c r="AN11" s="32">
        <f t="shared" si="18"/>
        <v>108.95</v>
      </c>
      <c r="AO11" s="33">
        <f t="shared" si="19"/>
        <v>7.35</v>
      </c>
      <c r="AP11" s="34">
        <f t="shared" si="53"/>
        <v>66.11</v>
      </c>
      <c r="AQ11" s="211">
        <f t="shared" si="54"/>
        <v>8.61</v>
      </c>
      <c r="AR11" s="208">
        <v>3.3492044835041869E-4</v>
      </c>
      <c r="AS11" s="32">
        <f t="shared" si="20"/>
        <v>108.73</v>
      </c>
      <c r="AT11" s="33">
        <f t="shared" si="21"/>
        <v>7.34</v>
      </c>
      <c r="AU11" s="34">
        <f t="shared" si="55"/>
        <v>65.98</v>
      </c>
      <c r="AV11" s="35">
        <f t="shared" si="56"/>
        <v>8.6</v>
      </c>
      <c r="AW11" s="208">
        <v>3.3116582696908026E-4</v>
      </c>
      <c r="AX11" s="32">
        <f t="shared" si="22"/>
        <v>107.51</v>
      </c>
      <c r="AY11" s="33">
        <f t="shared" si="23"/>
        <v>7.26</v>
      </c>
      <c r="AZ11" s="34">
        <f t="shared" si="57"/>
        <v>65.239999999999995</v>
      </c>
      <c r="BA11" s="211">
        <f t="shared" si="58"/>
        <v>8.5</v>
      </c>
      <c r="BB11" s="208">
        <v>3.1344483964017094E-4</v>
      </c>
      <c r="BC11" s="32">
        <f t="shared" si="24"/>
        <v>101.76</v>
      </c>
      <c r="BD11" s="33">
        <f t="shared" si="25"/>
        <v>6.87</v>
      </c>
      <c r="BE11" s="34">
        <f t="shared" si="59"/>
        <v>61.75</v>
      </c>
      <c r="BF11" s="211">
        <f t="shared" si="60"/>
        <v>8.0500000000000007</v>
      </c>
      <c r="BG11" s="208">
        <v>3.3647203225965267E-4</v>
      </c>
      <c r="BH11" s="32">
        <f t="shared" si="26"/>
        <v>109.24</v>
      </c>
      <c r="BI11" s="33">
        <f t="shared" si="27"/>
        <v>7.37</v>
      </c>
      <c r="BJ11" s="34">
        <f t="shared" si="61"/>
        <v>66.28</v>
      </c>
      <c r="BK11" s="35">
        <f t="shared" si="62"/>
        <v>8.64</v>
      </c>
    </row>
    <row r="12" spans="1:63" ht="30" customHeight="1">
      <c r="A12" s="30">
        <v>1412000088</v>
      </c>
      <c r="B12" s="31" t="s">
        <v>108</v>
      </c>
      <c r="C12" s="31" t="s">
        <v>110</v>
      </c>
      <c r="D12" s="25">
        <v>1.1229521459199495E-3</v>
      </c>
      <c r="E12" s="32">
        <f t="shared" si="0"/>
        <v>364.57</v>
      </c>
      <c r="F12" s="33">
        <f t="shared" si="1"/>
        <v>24.61</v>
      </c>
      <c r="G12" s="34">
        <f t="shared" si="2"/>
        <v>234.34</v>
      </c>
      <c r="H12" s="35">
        <f t="shared" si="3"/>
        <v>29.71</v>
      </c>
      <c r="I12" s="25">
        <v>1.122543856754312E-3</v>
      </c>
      <c r="J12" s="32">
        <f t="shared" si="4"/>
        <v>364.43</v>
      </c>
      <c r="K12" s="33">
        <f t="shared" si="5"/>
        <v>24.6</v>
      </c>
      <c r="L12" s="34">
        <f t="shared" si="6"/>
        <v>221.13</v>
      </c>
      <c r="M12" s="211">
        <f t="shared" si="28"/>
        <v>28.82</v>
      </c>
      <c r="N12" s="208">
        <v>1.1428999294226156E-3</v>
      </c>
      <c r="O12" s="32">
        <f t="shared" si="29"/>
        <v>371.04</v>
      </c>
      <c r="P12" s="33">
        <f t="shared" si="7"/>
        <v>25.04</v>
      </c>
      <c r="Q12" s="34">
        <f t="shared" si="63"/>
        <v>225.14</v>
      </c>
      <c r="R12" s="211">
        <f t="shared" si="44"/>
        <v>29.34</v>
      </c>
      <c r="S12" s="208">
        <v>1.1228228589397397E-3</v>
      </c>
      <c r="T12" s="32">
        <f t="shared" si="8"/>
        <v>364.52</v>
      </c>
      <c r="U12" s="33">
        <f t="shared" si="9"/>
        <v>24.6</v>
      </c>
      <c r="V12" s="34">
        <f t="shared" si="45"/>
        <v>221.19</v>
      </c>
      <c r="W12" s="211">
        <f t="shared" si="46"/>
        <v>28.82</v>
      </c>
      <c r="X12" s="208">
        <v>1.1026045524872019E-3</v>
      </c>
      <c r="Y12" s="32">
        <f t="shared" si="10"/>
        <v>357.96</v>
      </c>
      <c r="Z12" s="33">
        <f t="shared" si="11"/>
        <v>24.16</v>
      </c>
      <c r="AA12" s="34">
        <f t="shared" si="47"/>
        <v>217.2</v>
      </c>
      <c r="AB12" s="35">
        <f t="shared" si="48"/>
        <v>28.3</v>
      </c>
      <c r="AC12" s="25">
        <v>1.1047239379403902E-3</v>
      </c>
      <c r="AD12" s="32">
        <f t="shared" si="12"/>
        <v>358.65</v>
      </c>
      <c r="AE12" s="33">
        <f t="shared" si="13"/>
        <v>24.21</v>
      </c>
      <c r="AF12" s="34">
        <f t="shared" si="49"/>
        <v>217.62</v>
      </c>
      <c r="AG12" s="211">
        <f t="shared" si="50"/>
        <v>28.36</v>
      </c>
      <c r="AH12" s="208">
        <v>1.1258107366711111E-3</v>
      </c>
      <c r="AI12" s="32">
        <f t="shared" si="16"/>
        <v>365.49</v>
      </c>
      <c r="AJ12" s="33">
        <f t="shared" si="17"/>
        <v>24.67</v>
      </c>
      <c r="AK12" s="34">
        <f t="shared" si="51"/>
        <v>221.78</v>
      </c>
      <c r="AL12" s="211">
        <f t="shared" si="52"/>
        <v>28.9</v>
      </c>
      <c r="AM12" s="208">
        <v>1.1130293777451025E-3</v>
      </c>
      <c r="AN12" s="32">
        <f t="shared" si="18"/>
        <v>361.34</v>
      </c>
      <c r="AO12" s="33">
        <f t="shared" si="19"/>
        <v>24.39</v>
      </c>
      <c r="AP12" s="34">
        <f t="shared" si="53"/>
        <v>219.26</v>
      </c>
      <c r="AQ12" s="211">
        <f t="shared" si="54"/>
        <v>28.57</v>
      </c>
      <c r="AR12" s="208">
        <v>1.1109745911611242E-3</v>
      </c>
      <c r="AS12" s="32">
        <f t="shared" si="20"/>
        <v>360.68</v>
      </c>
      <c r="AT12" s="33">
        <f t="shared" si="21"/>
        <v>24.34</v>
      </c>
      <c r="AU12" s="34">
        <f t="shared" si="55"/>
        <v>218.85</v>
      </c>
      <c r="AV12" s="35">
        <f t="shared" si="56"/>
        <v>28.52</v>
      </c>
      <c r="AW12" s="208">
        <v>1.0997107270171089E-3</v>
      </c>
      <c r="AX12" s="32">
        <f t="shared" si="22"/>
        <v>357.02</v>
      </c>
      <c r="AY12" s="33">
        <f t="shared" si="23"/>
        <v>24.1</v>
      </c>
      <c r="AZ12" s="34">
        <f t="shared" si="57"/>
        <v>216.63</v>
      </c>
      <c r="BA12" s="211">
        <f t="shared" si="58"/>
        <v>28.23</v>
      </c>
      <c r="BB12" s="208">
        <v>1.0465477650303812E-3</v>
      </c>
      <c r="BC12" s="32">
        <f t="shared" si="24"/>
        <v>339.76</v>
      </c>
      <c r="BD12" s="33">
        <f t="shared" si="25"/>
        <v>22.93</v>
      </c>
      <c r="BE12" s="34">
        <f t="shared" si="59"/>
        <v>206.16</v>
      </c>
      <c r="BF12" s="211">
        <f t="shared" si="60"/>
        <v>26.86</v>
      </c>
      <c r="BG12" s="208">
        <v>1.1156293428888264E-3</v>
      </c>
      <c r="BH12" s="32">
        <f t="shared" si="26"/>
        <v>362.19</v>
      </c>
      <c r="BI12" s="33">
        <f t="shared" si="27"/>
        <v>24.45</v>
      </c>
      <c r="BJ12" s="34">
        <f t="shared" si="61"/>
        <v>219.77</v>
      </c>
      <c r="BK12" s="35">
        <f t="shared" si="62"/>
        <v>28.64</v>
      </c>
    </row>
    <row r="13" spans="1:63" ht="30" customHeight="1">
      <c r="A13" s="30">
        <v>1412000056</v>
      </c>
      <c r="B13" s="31" t="s">
        <v>23</v>
      </c>
      <c r="C13" s="31" t="s">
        <v>24</v>
      </c>
      <c r="D13" s="25">
        <v>3.5360480544108806E-2</v>
      </c>
      <c r="E13" s="32">
        <f t="shared" si="0"/>
        <v>11479.77</v>
      </c>
      <c r="F13" s="33">
        <f t="shared" si="1"/>
        <v>774.84</v>
      </c>
      <c r="G13" s="34">
        <f t="shared" si="2"/>
        <v>7379</v>
      </c>
      <c r="H13" s="35">
        <f t="shared" si="3"/>
        <v>935.58</v>
      </c>
      <c r="I13" s="25">
        <v>3.5345633099967265E-2</v>
      </c>
      <c r="J13" s="32">
        <f t="shared" si="4"/>
        <v>11474.95</v>
      </c>
      <c r="K13" s="33">
        <f t="shared" si="5"/>
        <v>774.51</v>
      </c>
      <c r="L13" s="34">
        <f t="shared" si="6"/>
        <v>6962.8</v>
      </c>
      <c r="M13" s="211">
        <f t="shared" si="28"/>
        <v>907.31</v>
      </c>
      <c r="N13" s="208">
        <v>3.5431180762120221E-2</v>
      </c>
      <c r="O13" s="32">
        <f t="shared" si="29"/>
        <v>11502.72</v>
      </c>
      <c r="P13" s="33">
        <f t="shared" si="7"/>
        <v>776.39</v>
      </c>
      <c r="Q13" s="34">
        <f t="shared" si="63"/>
        <v>6979.65</v>
      </c>
      <c r="R13" s="211">
        <f t="shared" si="44"/>
        <v>909.5</v>
      </c>
      <c r="S13" s="208">
        <v>3.5321289940618117E-2</v>
      </c>
      <c r="T13" s="32">
        <f t="shared" si="8"/>
        <v>11467.04</v>
      </c>
      <c r="U13" s="33">
        <f t="shared" si="9"/>
        <v>773.98</v>
      </c>
      <c r="V13" s="34">
        <f t="shared" si="45"/>
        <v>6958</v>
      </c>
      <c r="W13" s="211">
        <f t="shared" si="46"/>
        <v>906.68</v>
      </c>
      <c r="X13" s="208">
        <v>3.5212401337467003E-2</v>
      </c>
      <c r="Y13" s="32">
        <f t="shared" si="10"/>
        <v>11431.69</v>
      </c>
      <c r="Z13" s="33">
        <f t="shared" si="11"/>
        <v>771.59</v>
      </c>
      <c r="AA13" s="34">
        <f t="shared" si="47"/>
        <v>6936.55</v>
      </c>
      <c r="AB13" s="35">
        <f t="shared" si="48"/>
        <v>903.89</v>
      </c>
      <c r="AC13" s="25">
        <v>3.5234565944162882E-2</v>
      </c>
      <c r="AD13" s="32">
        <f t="shared" si="12"/>
        <v>11438.89</v>
      </c>
      <c r="AE13" s="33">
        <f t="shared" si="13"/>
        <v>772.08</v>
      </c>
      <c r="AF13" s="34">
        <f t="shared" si="49"/>
        <v>6940.92</v>
      </c>
      <c r="AG13" s="211">
        <f t="shared" si="50"/>
        <v>904.46</v>
      </c>
      <c r="AH13" s="208">
        <v>3.5348582997154626E-2</v>
      </c>
      <c r="AI13" s="32">
        <f t="shared" si="16"/>
        <v>11475.9</v>
      </c>
      <c r="AJ13" s="33">
        <f t="shared" si="17"/>
        <v>774.58</v>
      </c>
      <c r="AK13" s="34">
        <f t="shared" si="51"/>
        <v>6963.38</v>
      </c>
      <c r="AL13" s="211">
        <f t="shared" si="52"/>
        <v>907.38</v>
      </c>
      <c r="AM13" s="208">
        <v>3.5299250014797355E-2</v>
      </c>
      <c r="AN13" s="32">
        <f t="shared" si="18"/>
        <v>11459.89</v>
      </c>
      <c r="AO13" s="33">
        <f t="shared" si="19"/>
        <v>773.5</v>
      </c>
      <c r="AP13" s="34">
        <f t="shared" si="53"/>
        <v>6953.66</v>
      </c>
      <c r="AQ13" s="211">
        <f t="shared" si="54"/>
        <v>906.12</v>
      </c>
      <c r="AR13" s="208">
        <v>3.5301590899877895E-2</v>
      </c>
      <c r="AS13" s="32">
        <f t="shared" si="20"/>
        <v>11460.65</v>
      </c>
      <c r="AT13" s="33">
        <f t="shared" si="21"/>
        <v>773.55</v>
      </c>
      <c r="AU13" s="34">
        <f t="shared" si="55"/>
        <v>6954.12</v>
      </c>
      <c r="AV13" s="35">
        <f t="shared" si="56"/>
        <v>906.18</v>
      </c>
      <c r="AW13" s="208">
        <v>3.5246210234503174E-2</v>
      </c>
      <c r="AX13" s="32">
        <f t="shared" si="22"/>
        <v>11442.67</v>
      </c>
      <c r="AY13" s="33">
        <f t="shared" si="23"/>
        <v>772.34</v>
      </c>
      <c r="AZ13" s="34">
        <f t="shared" si="57"/>
        <v>6943.21</v>
      </c>
      <c r="BA13" s="211">
        <f t="shared" si="58"/>
        <v>904.76</v>
      </c>
      <c r="BB13" s="208">
        <v>3.4984825671401772E-2</v>
      </c>
      <c r="BC13" s="32">
        <f t="shared" si="24"/>
        <v>11357.81</v>
      </c>
      <c r="BD13" s="33">
        <f t="shared" si="25"/>
        <v>766.61</v>
      </c>
      <c r="BE13" s="34">
        <f t="shared" si="59"/>
        <v>6891.72</v>
      </c>
      <c r="BF13" s="211">
        <f t="shared" si="60"/>
        <v>898.05</v>
      </c>
      <c r="BG13" s="208">
        <v>3.532447676253913E-2</v>
      </c>
      <c r="BH13" s="32">
        <f t="shared" si="26"/>
        <v>11468.08</v>
      </c>
      <c r="BI13" s="33">
        <f t="shared" si="27"/>
        <v>774.05</v>
      </c>
      <c r="BJ13" s="34">
        <f t="shared" si="61"/>
        <v>6958.63</v>
      </c>
      <c r="BK13" s="35">
        <f t="shared" si="62"/>
        <v>906.76</v>
      </c>
    </row>
    <row r="14" spans="1:63" ht="30" customHeight="1">
      <c r="A14" s="30">
        <v>1412000004</v>
      </c>
      <c r="B14" s="31" t="s">
        <v>88</v>
      </c>
      <c r="C14" s="31" t="s">
        <v>89</v>
      </c>
      <c r="D14" s="25">
        <v>4.0414459683508278E-2</v>
      </c>
      <c r="E14" s="32">
        <f t="shared" si="0"/>
        <v>13120.54</v>
      </c>
      <c r="F14" s="33">
        <f t="shared" si="1"/>
        <v>885.58</v>
      </c>
      <c r="G14" s="34">
        <f t="shared" si="2"/>
        <v>8433.66</v>
      </c>
      <c r="H14" s="35">
        <f t="shared" si="3"/>
        <v>1069.3</v>
      </c>
      <c r="I14" s="25">
        <v>4.0480984794285024E-2</v>
      </c>
      <c r="J14" s="32">
        <f t="shared" si="4"/>
        <v>13142.14</v>
      </c>
      <c r="K14" s="33">
        <f t="shared" si="5"/>
        <v>887.04</v>
      </c>
      <c r="L14" s="34">
        <f t="shared" si="6"/>
        <v>7974.42</v>
      </c>
      <c r="M14" s="211">
        <f t="shared" si="28"/>
        <v>1039.1300000000001</v>
      </c>
      <c r="N14" s="208">
        <v>3.9690248686034303E-2</v>
      </c>
      <c r="O14" s="32">
        <f t="shared" si="29"/>
        <v>12885.42</v>
      </c>
      <c r="P14" s="33">
        <f t="shared" si="7"/>
        <v>869.72</v>
      </c>
      <c r="Q14" s="34">
        <f t="shared" si="63"/>
        <v>7818.65</v>
      </c>
      <c r="R14" s="211">
        <f t="shared" si="44"/>
        <v>1018.83</v>
      </c>
      <c r="S14" s="208">
        <v>4.0389936827021584E-2</v>
      </c>
      <c r="T14" s="32">
        <f t="shared" si="8"/>
        <v>13112.58</v>
      </c>
      <c r="U14" s="33">
        <f t="shared" si="9"/>
        <v>885.05</v>
      </c>
      <c r="V14" s="34">
        <f t="shared" si="45"/>
        <v>7956.49</v>
      </c>
      <c r="W14" s="211">
        <f t="shared" si="46"/>
        <v>1036.79</v>
      </c>
      <c r="X14" s="208">
        <v>4.132051375703906E-2</v>
      </c>
      <c r="Y14" s="32">
        <f t="shared" si="10"/>
        <v>13414.69</v>
      </c>
      <c r="Z14" s="33">
        <f t="shared" si="11"/>
        <v>905.44</v>
      </c>
      <c r="AA14" s="34">
        <f t="shared" si="47"/>
        <v>8139.8</v>
      </c>
      <c r="AB14" s="35">
        <f t="shared" si="48"/>
        <v>1060.68</v>
      </c>
      <c r="AC14" s="25">
        <v>4.1319946781139386E-2</v>
      </c>
      <c r="AD14" s="32">
        <f t="shared" si="12"/>
        <v>13414.5</v>
      </c>
      <c r="AE14" s="33">
        <f t="shared" si="13"/>
        <v>905.43</v>
      </c>
      <c r="AF14" s="34">
        <f t="shared" si="49"/>
        <v>8139.69</v>
      </c>
      <c r="AG14" s="211">
        <f t="shared" si="50"/>
        <v>1060.67</v>
      </c>
      <c r="AH14" s="208">
        <v>4.0386076867537354E-2</v>
      </c>
      <c r="AI14" s="32">
        <f t="shared" si="16"/>
        <v>13111.32</v>
      </c>
      <c r="AJ14" s="33">
        <f t="shared" si="17"/>
        <v>884.96</v>
      </c>
      <c r="AK14" s="34">
        <f t="shared" si="51"/>
        <v>7955.72</v>
      </c>
      <c r="AL14" s="211">
        <f t="shared" si="52"/>
        <v>1036.69</v>
      </c>
      <c r="AM14" s="208">
        <v>4.0949412230774203E-2</v>
      </c>
      <c r="AN14" s="32">
        <f t="shared" si="18"/>
        <v>13294.21</v>
      </c>
      <c r="AO14" s="33">
        <f t="shared" si="19"/>
        <v>897.31</v>
      </c>
      <c r="AP14" s="34">
        <f t="shared" si="53"/>
        <v>8066.7</v>
      </c>
      <c r="AQ14" s="211">
        <f t="shared" si="54"/>
        <v>1051.1500000000001</v>
      </c>
      <c r="AR14" s="208">
        <v>4.1039368936536522E-2</v>
      </c>
      <c r="AS14" s="32">
        <f t="shared" si="20"/>
        <v>13323.41</v>
      </c>
      <c r="AT14" s="33">
        <f t="shared" si="21"/>
        <v>899.28</v>
      </c>
      <c r="AU14" s="34">
        <f t="shared" si="55"/>
        <v>8084.42</v>
      </c>
      <c r="AV14" s="35">
        <f t="shared" si="56"/>
        <v>1053.46</v>
      </c>
      <c r="AW14" s="208">
        <v>4.1536848982837438E-2</v>
      </c>
      <c r="AX14" s="32">
        <f t="shared" si="22"/>
        <v>13484.92</v>
      </c>
      <c r="AY14" s="33">
        <f t="shared" si="23"/>
        <v>910.18</v>
      </c>
      <c r="AZ14" s="34">
        <f t="shared" si="57"/>
        <v>8182.42</v>
      </c>
      <c r="BA14" s="211">
        <f t="shared" si="58"/>
        <v>1066.23</v>
      </c>
      <c r="BB14" s="208">
        <v>4.3812139891642801E-2</v>
      </c>
      <c r="BC14" s="32">
        <f t="shared" si="24"/>
        <v>14223.59</v>
      </c>
      <c r="BD14" s="33">
        <f t="shared" si="25"/>
        <v>960.04</v>
      </c>
      <c r="BE14" s="34">
        <f t="shared" si="59"/>
        <v>8630.6299999999992</v>
      </c>
      <c r="BF14" s="211">
        <f t="shared" si="60"/>
        <v>1124.6400000000001</v>
      </c>
      <c r="BG14" s="208">
        <v>4.0896895332521492E-2</v>
      </c>
      <c r="BH14" s="32">
        <f t="shared" si="26"/>
        <v>13277.16</v>
      </c>
      <c r="BI14" s="33">
        <f t="shared" si="27"/>
        <v>896.16</v>
      </c>
      <c r="BJ14" s="34">
        <f t="shared" si="61"/>
        <v>8056.35</v>
      </c>
      <c r="BK14" s="35">
        <f t="shared" si="62"/>
        <v>1049.81</v>
      </c>
    </row>
    <row r="15" spans="1:63" s="39" customFormat="1" ht="30" customHeight="1">
      <c r="A15" s="63">
        <v>1412000098</v>
      </c>
      <c r="B15" s="64" t="s">
        <v>124</v>
      </c>
      <c r="C15" s="64" t="s">
        <v>121</v>
      </c>
      <c r="D15" s="65">
        <v>1.6621670342203087E-2</v>
      </c>
      <c r="E15" s="66">
        <f t="shared" si="0"/>
        <v>5396.22</v>
      </c>
      <c r="F15" s="67">
        <f t="shared" si="1"/>
        <v>364.22</v>
      </c>
      <c r="G15" s="66">
        <f t="shared" si="2"/>
        <v>3468.6</v>
      </c>
      <c r="H15" s="67">
        <f t="shared" si="3"/>
        <v>439.78</v>
      </c>
      <c r="I15" s="65">
        <v>1.6620836751823242E-2</v>
      </c>
      <c r="J15" s="66">
        <f t="shared" si="4"/>
        <v>5395.95</v>
      </c>
      <c r="K15" s="67">
        <f t="shared" si="5"/>
        <v>364.21</v>
      </c>
      <c r="L15" s="66">
        <f t="shared" si="6"/>
        <v>3274.17</v>
      </c>
      <c r="M15" s="212">
        <f t="shared" si="28"/>
        <v>426.65</v>
      </c>
      <c r="N15" s="209">
        <v>1.6662397066854354E-2</v>
      </c>
      <c r="O15" s="66">
        <f t="shared" si="29"/>
        <v>5409.44</v>
      </c>
      <c r="P15" s="67">
        <f t="shared" si="7"/>
        <v>365.12</v>
      </c>
      <c r="Q15" s="66">
        <f t="shared" si="63"/>
        <v>3282.36</v>
      </c>
      <c r="R15" s="212">
        <f t="shared" si="44"/>
        <v>427.72</v>
      </c>
      <c r="S15" s="209">
        <v>1.6621406381285158E-2</v>
      </c>
      <c r="T15" s="66">
        <f t="shared" si="8"/>
        <v>5396.13</v>
      </c>
      <c r="U15" s="67">
        <f t="shared" si="9"/>
        <v>364.22</v>
      </c>
      <c r="V15" s="66">
        <f t="shared" si="45"/>
        <v>3274.28</v>
      </c>
      <c r="W15" s="212">
        <f t="shared" si="46"/>
        <v>426.66</v>
      </c>
      <c r="X15" s="209">
        <v>1.6580127338944557E-2</v>
      </c>
      <c r="Y15" s="66">
        <f t="shared" si="10"/>
        <v>5382.73</v>
      </c>
      <c r="Z15" s="67">
        <f t="shared" si="11"/>
        <v>363.31</v>
      </c>
      <c r="AA15" s="66">
        <f t="shared" si="47"/>
        <v>3266.15</v>
      </c>
      <c r="AB15" s="67">
        <f t="shared" si="48"/>
        <v>425.6</v>
      </c>
      <c r="AC15" s="65">
        <v>1.6584454417578144E-2</v>
      </c>
      <c r="AD15" s="66">
        <f t="shared" si="12"/>
        <v>5384.14</v>
      </c>
      <c r="AE15" s="67">
        <f t="shared" si="13"/>
        <v>363.41</v>
      </c>
      <c r="AF15" s="66">
        <f t="shared" si="49"/>
        <v>3267</v>
      </c>
      <c r="AG15" s="212">
        <f t="shared" si="50"/>
        <v>425.72</v>
      </c>
      <c r="AH15" s="209">
        <v>1.6627506631653376E-2</v>
      </c>
      <c r="AI15" s="66">
        <f t="shared" si="16"/>
        <v>5398.11</v>
      </c>
      <c r="AJ15" s="67">
        <f t="shared" si="17"/>
        <v>364.35</v>
      </c>
      <c r="AK15" s="66">
        <f t="shared" si="51"/>
        <v>3275.48</v>
      </c>
      <c r="AL15" s="212">
        <f t="shared" si="52"/>
        <v>426.82</v>
      </c>
      <c r="AM15" s="209">
        <v>1.6601411357179432E-2</v>
      </c>
      <c r="AN15" s="66">
        <f t="shared" si="18"/>
        <v>5389.64</v>
      </c>
      <c r="AO15" s="67">
        <f t="shared" si="19"/>
        <v>363.78</v>
      </c>
      <c r="AP15" s="66">
        <f t="shared" si="53"/>
        <v>3270.34</v>
      </c>
      <c r="AQ15" s="212">
        <f t="shared" si="54"/>
        <v>426.15</v>
      </c>
      <c r="AR15" s="209">
        <v>1.6597216167903807E-2</v>
      </c>
      <c r="AS15" s="66">
        <f t="shared" si="20"/>
        <v>5388.28</v>
      </c>
      <c r="AT15" s="67">
        <f t="shared" si="21"/>
        <v>363.69</v>
      </c>
      <c r="AU15" s="66">
        <f t="shared" si="55"/>
        <v>3269.51</v>
      </c>
      <c r="AV15" s="67">
        <f t="shared" si="56"/>
        <v>426.04</v>
      </c>
      <c r="AW15" s="209">
        <v>1.6538553185928787E-2</v>
      </c>
      <c r="AX15" s="66">
        <f t="shared" si="22"/>
        <v>5369.23</v>
      </c>
      <c r="AY15" s="67">
        <f t="shared" si="23"/>
        <v>362.4</v>
      </c>
      <c r="AZ15" s="66">
        <f t="shared" si="57"/>
        <v>3257.96</v>
      </c>
      <c r="BA15" s="212">
        <f t="shared" si="58"/>
        <v>424.54</v>
      </c>
      <c r="BB15" s="209">
        <v>1.6436657508787561E-2</v>
      </c>
      <c r="BC15" s="66">
        <f t="shared" si="24"/>
        <v>5336.15</v>
      </c>
      <c r="BD15" s="67">
        <f t="shared" si="25"/>
        <v>360.17</v>
      </c>
      <c r="BE15" s="66">
        <f t="shared" si="59"/>
        <v>3237.89</v>
      </c>
      <c r="BF15" s="212">
        <f t="shared" si="60"/>
        <v>421.92</v>
      </c>
      <c r="BG15" s="209">
        <v>1.6569063866349584E-2</v>
      </c>
      <c r="BH15" s="66">
        <f t="shared" si="26"/>
        <v>5379.14</v>
      </c>
      <c r="BI15" s="67">
        <f t="shared" si="27"/>
        <v>363.07</v>
      </c>
      <c r="BJ15" s="66">
        <f t="shared" si="61"/>
        <v>3263.97</v>
      </c>
      <c r="BK15" s="67">
        <f t="shared" si="62"/>
        <v>425.32</v>
      </c>
    </row>
    <row r="16" spans="1:63" ht="30" customHeight="1">
      <c r="A16" s="30">
        <v>1412000062</v>
      </c>
      <c r="B16" s="40" t="s">
        <v>90</v>
      </c>
      <c r="C16" s="31" t="s">
        <v>91</v>
      </c>
      <c r="D16" s="25">
        <v>7.5317028631693766E-4</v>
      </c>
      <c r="E16" s="32">
        <f t="shared" si="0"/>
        <v>244.52</v>
      </c>
      <c r="F16" s="33">
        <f t="shared" si="1"/>
        <v>16.5</v>
      </c>
      <c r="G16" s="34">
        <f t="shared" si="2"/>
        <v>157.16999999999999</v>
      </c>
      <c r="H16" s="35">
        <f t="shared" si="3"/>
        <v>19.93</v>
      </c>
      <c r="I16" s="25">
        <v>7.7092044722426882E-4</v>
      </c>
      <c r="J16" s="32">
        <f t="shared" si="4"/>
        <v>250.28</v>
      </c>
      <c r="K16" s="33">
        <f t="shared" si="5"/>
        <v>16.89</v>
      </c>
      <c r="L16" s="34">
        <f t="shared" si="6"/>
        <v>151.86000000000001</v>
      </c>
      <c r="M16" s="211">
        <f t="shared" si="28"/>
        <v>19.79</v>
      </c>
      <c r="N16" s="208">
        <v>8.1801378382276508E-4</v>
      </c>
      <c r="O16" s="32">
        <f t="shared" si="29"/>
        <v>265.57</v>
      </c>
      <c r="P16" s="33">
        <f t="shared" si="7"/>
        <v>17.920000000000002</v>
      </c>
      <c r="Q16" s="34">
        <f t="shared" si="63"/>
        <v>161.13999999999999</v>
      </c>
      <c r="R16" s="211">
        <f t="shared" si="44"/>
        <v>21</v>
      </c>
      <c r="S16" s="208">
        <v>7.7103059607193554E-4</v>
      </c>
      <c r="T16" s="32">
        <f t="shared" si="8"/>
        <v>250.31</v>
      </c>
      <c r="U16" s="33">
        <f t="shared" si="9"/>
        <v>16.899999999999999</v>
      </c>
      <c r="V16" s="34">
        <f t="shared" si="45"/>
        <v>151.88999999999999</v>
      </c>
      <c r="W16" s="211">
        <f t="shared" si="46"/>
        <v>19.79</v>
      </c>
      <c r="X16" s="208">
        <v>7.3876267907014941E-4</v>
      </c>
      <c r="Y16" s="32">
        <f t="shared" si="10"/>
        <v>239.84</v>
      </c>
      <c r="Z16" s="33">
        <f t="shared" si="11"/>
        <v>16.190000000000001</v>
      </c>
      <c r="AA16" s="34">
        <f t="shared" si="47"/>
        <v>145.53</v>
      </c>
      <c r="AB16" s="35">
        <f t="shared" si="48"/>
        <v>18.96</v>
      </c>
      <c r="AC16" s="25">
        <v>7.5176296418646635E-4</v>
      </c>
      <c r="AD16" s="32">
        <f t="shared" si="12"/>
        <v>244.06</v>
      </c>
      <c r="AE16" s="33">
        <f t="shared" si="13"/>
        <v>16.47</v>
      </c>
      <c r="AF16" s="34">
        <f t="shared" si="49"/>
        <v>148.09</v>
      </c>
      <c r="AG16" s="211">
        <f t="shared" si="50"/>
        <v>19.3</v>
      </c>
      <c r="AH16" s="208">
        <v>7.7390132235515159E-4</v>
      </c>
      <c r="AI16" s="32">
        <f t="shared" si="16"/>
        <v>251.25</v>
      </c>
      <c r="AJ16" s="33">
        <f t="shared" si="17"/>
        <v>16.96</v>
      </c>
      <c r="AK16" s="34">
        <f t="shared" si="51"/>
        <v>152.44999999999999</v>
      </c>
      <c r="AL16" s="211">
        <f t="shared" si="52"/>
        <v>19.87</v>
      </c>
      <c r="AM16" s="208">
        <v>7.6452315964840422E-4</v>
      </c>
      <c r="AN16" s="32">
        <f t="shared" si="18"/>
        <v>248.2</v>
      </c>
      <c r="AO16" s="33">
        <f t="shared" si="19"/>
        <v>16.75</v>
      </c>
      <c r="AP16" s="34">
        <f t="shared" si="53"/>
        <v>150.6</v>
      </c>
      <c r="AQ16" s="211">
        <f t="shared" si="54"/>
        <v>19.62</v>
      </c>
      <c r="AR16" s="208">
        <v>7.5851511319215603E-4</v>
      </c>
      <c r="AS16" s="32">
        <f t="shared" si="20"/>
        <v>246.25</v>
      </c>
      <c r="AT16" s="33">
        <f t="shared" si="21"/>
        <v>16.62</v>
      </c>
      <c r="AU16" s="34">
        <f t="shared" si="55"/>
        <v>149.41999999999999</v>
      </c>
      <c r="AV16" s="35">
        <f t="shared" si="56"/>
        <v>19.47</v>
      </c>
      <c r="AW16" s="208">
        <v>7.3519508652234735E-4</v>
      </c>
      <c r="AX16" s="32">
        <f t="shared" si="22"/>
        <v>238.68</v>
      </c>
      <c r="AY16" s="33">
        <f t="shared" si="23"/>
        <v>16.11</v>
      </c>
      <c r="AZ16" s="34">
        <f t="shared" si="57"/>
        <v>144.83000000000001</v>
      </c>
      <c r="BA16" s="211">
        <f t="shared" si="58"/>
        <v>18.87</v>
      </c>
      <c r="BB16" s="208">
        <v>6.7999293017135122E-4</v>
      </c>
      <c r="BC16" s="32">
        <f t="shared" si="24"/>
        <v>220.76</v>
      </c>
      <c r="BD16" s="33">
        <f t="shared" si="25"/>
        <v>14.9</v>
      </c>
      <c r="BE16" s="34">
        <f t="shared" si="59"/>
        <v>133.94999999999999</v>
      </c>
      <c r="BF16" s="211">
        <f t="shared" si="60"/>
        <v>17.46</v>
      </c>
      <c r="BG16" s="208">
        <v>7.5324427636460365E-4</v>
      </c>
      <c r="BH16" s="32">
        <f t="shared" si="26"/>
        <v>244.54</v>
      </c>
      <c r="BI16" s="33">
        <f t="shared" si="27"/>
        <v>16.510000000000002</v>
      </c>
      <c r="BJ16" s="34">
        <f t="shared" si="61"/>
        <v>148.38</v>
      </c>
      <c r="BK16" s="35">
        <f t="shared" si="62"/>
        <v>19.34</v>
      </c>
    </row>
    <row r="17" spans="1:63" ht="30" customHeight="1">
      <c r="A17" s="252">
        <v>1412000053</v>
      </c>
      <c r="B17" s="253" t="s">
        <v>92</v>
      </c>
      <c r="C17" s="253" t="s">
        <v>80</v>
      </c>
      <c r="D17" s="25">
        <v>1.5866739035565955E-3</v>
      </c>
      <c r="E17" s="32">
        <f t="shared" si="0"/>
        <v>515.11</v>
      </c>
      <c r="F17" s="33">
        <f t="shared" si="1"/>
        <v>34.770000000000003</v>
      </c>
      <c r="G17" s="34">
        <f t="shared" si="2"/>
        <v>331.11</v>
      </c>
      <c r="H17" s="35">
        <f t="shared" si="3"/>
        <v>41.98</v>
      </c>
      <c r="I17" s="25">
        <v>1.5925256324504898E-3</v>
      </c>
      <c r="J17" s="32">
        <f t="shared" si="4"/>
        <v>517.01</v>
      </c>
      <c r="K17" s="33">
        <f t="shared" si="5"/>
        <v>34.9</v>
      </c>
      <c r="L17" s="34">
        <f t="shared" si="6"/>
        <v>313.70999999999998</v>
      </c>
      <c r="M17" s="211">
        <f t="shared" si="28"/>
        <v>40.880000000000003</v>
      </c>
      <c r="N17" s="208">
        <v>1.6287948461674272E-3</v>
      </c>
      <c r="O17" s="32">
        <f t="shared" si="29"/>
        <v>528.79</v>
      </c>
      <c r="P17" s="33">
        <f t="shared" si="7"/>
        <v>35.69</v>
      </c>
      <c r="Q17" s="34">
        <f t="shared" si="63"/>
        <v>320.86</v>
      </c>
      <c r="R17" s="211">
        <f t="shared" si="44"/>
        <v>41.81</v>
      </c>
      <c r="S17" s="208">
        <v>1.6570133207479834E-3</v>
      </c>
      <c r="T17" s="32">
        <f t="shared" si="8"/>
        <v>537.95000000000005</v>
      </c>
      <c r="U17" s="33">
        <f t="shared" si="9"/>
        <v>36.31</v>
      </c>
      <c r="V17" s="34">
        <f t="shared" si="45"/>
        <v>326.42</v>
      </c>
      <c r="W17" s="211">
        <f t="shared" si="46"/>
        <v>42.53</v>
      </c>
      <c r="X17" s="208">
        <v>1.6240307735366421E-3</v>
      </c>
      <c r="Y17" s="32">
        <f t="shared" si="10"/>
        <v>527.24</v>
      </c>
      <c r="Z17" s="33">
        <f t="shared" si="11"/>
        <v>35.590000000000003</v>
      </c>
      <c r="AA17" s="34">
        <f t="shared" si="47"/>
        <v>319.92</v>
      </c>
      <c r="AB17" s="35">
        <f t="shared" si="48"/>
        <v>41.69</v>
      </c>
      <c r="AC17" s="25">
        <v>1.6322970706391239E-3</v>
      </c>
      <c r="AD17" s="32">
        <f t="shared" si="12"/>
        <v>529.91999999999996</v>
      </c>
      <c r="AE17" s="33">
        <f t="shared" si="13"/>
        <v>35.770000000000003</v>
      </c>
      <c r="AF17" s="34">
        <f t="shared" si="49"/>
        <v>321.55</v>
      </c>
      <c r="AG17" s="211">
        <f t="shared" si="50"/>
        <v>41.9</v>
      </c>
      <c r="AH17" s="208">
        <v>1.6868908668131223E-3</v>
      </c>
      <c r="AI17" s="32">
        <f t="shared" si="16"/>
        <v>547.65</v>
      </c>
      <c r="AJ17" s="33">
        <f t="shared" si="17"/>
        <v>36.96</v>
      </c>
      <c r="AK17" s="34">
        <f t="shared" si="51"/>
        <v>332.3</v>
      </c>
      <c r="AL17" s="211">
        <f t="shared" si="52"/>
        <v>43.3</v>
      </c>
      <c r="AM17" s="208">
        <v>1.670485539777574E-3</v>
      </c>
      <c r="AN17" s="32">
        <f t="shared" si="18"/>
        <v>542.32000000000005</v>
      </c>
      <c r="AO17" s="33">
        <f t="shared" si="19"/>
        <v>36.6</v>
      </c>
      <c r="AP17" s="34">
        <f t="shared" si="53"/>
        <v>329.07</v>
      </c>
      <c r="AQ17" s="211">
        <f t="shared" si="54"/>
        <v>42.88</v>
      </c>
      <c r="AR17" s="208">
        <v>1.6655979621808029E-3</v>
      </c>
      <c r="AS17" s="32">
        <f t="shared" si="20"/>
        <v>540.74</v>
      </c>
      <c r="AT17" s="33">
        <f t="shared" si="21"/>
        <v>36.5</v>
      </c>
      <c r="AU17" s="34">
        <f t="shared" si="55"/>
        <v>328.11</v>
      </c>
      <c r="AV17" s="35">
        <f t="shared" si="56"/>
        <v>42.76</v>
      </c>
      <c r="AW17" s="208">
        <v>1.6436127400472182E-3</v>
      </c>
      <c r="AX17" s="32">
        <f t="shared" si="22"/>
        <v>533.6</v>
      </c>
      <c r="AY17" s="33">
        <f t="shared" si="23"/>
        <v>36.020000000000003</v>
      </c>
      <c r="AZ17" s="34">
        <f t="shared" si="57"/>
        <v>323.77999999999997</v>
      </c>
      <c r="BA17" s="211">
        <f t="shared" si="58"/>
        <v>42.19</v>
      </c>
      <c r="BB17" s="208">
        <v>1.5672789467172194E-3</v>
      </c>
      <c r="BC17" s="32">
        <f t="shared" si="24"/>
        <v>508.82</v>
      </c>
      <c r="BD17" s="33">
        <f t="shared" si="25"/>
        <v>34.340000000000003</v>
      </c>
      <c r="BE17" s="34">
        <f t="shared" si="59"/>
        <v>308.74</v>
      </c>
      <c r="BF17" s="211">
        <f t="shared" si="60"/>
        <v>40.229999999999997</v>
      </c>
      <c r="BG17" s="208">
        <v>1.6672293995174206E-3</v>
      </c>
      <c r="BH17" s="32">
        <f t="shared" si="26"/>
        <v>541.27</v>
      </c>
      <c r="BI17" s="33">
        <f t="shared" si="27"/>
        <v>36.53</v>
      </c>
      <c r="BJ17" s="34">
        <f t="shared" si="61"/>
        <v>328.43</v>
      </c>
      <c r="BK17" s="35">
        <f t="shared" si="62"/>
        <v>42.8</v>
      </c>
    </row>
    <row r="18" spans="1:63" ht="30" customHeight="1">
      <c r="A18" s="252">
        <v>1412000104</v>
      </c>
      <c r="B18" s="253" t="s">
        <v>93</v>
      </c>
      <c r="C18" s="253" t="s">
        <v>81</v>
      </c>
      <c r="D18" s="25">
        <v>4.1780688542376616E-3</v>
      </c>
      <c r="E18" s="32">
        <f t="shared" si="0"/>
        <v>1356.41</v>
      </c>
      <c r="F18" s="33">
        <f t="shared" si="1"/>
        <v>91.55</v>
      </c>
      <c r="G18" s="34">
        <f t="shared" si="2"/>
        <v>871.88</v>
      </c>
      <c r="H18" s="35">
        <f t="shared" si="3"/>
        <v>110.55</v>
      </c>
      <c r="I18" s="25">
        <v>4.1826763798711222E-3</v>
      </c>
      <c r="J18" s="32">
        <f t="shared" si="4"/>
        <v>1357.9</v>
      </c>
      <c r="K18" s="33">
        <f t="shared" si="5"/>
        <v>91.65</v>
      </c>
      <c r="L18" s="34">
        <f t="shared" si="6"/>
        <v>823.95</v>
      </c>
      <c r="M18" s="211">
        <f t="shared" si="28"/>
        <v>107.37</v>
      </c>
      <c r="N18" s="208">
        <v>4.3247136823973244E-3</v>
      </c>
      <c r="O18" s="32">
        <f t="shared" si="29"/>
        <v>1404.02</v>
      </c>
      <c r="P18" s="33">
        <f t="shared" si="7"/>
        <v>94.77</v>
      </c>
      <c r="Q18" s="34">
        <f t="shared" si="63"/>
        <v>851.93</v>
      </c>
      <c r="R18" s="211">
        <f t="shared" si="44"/>
        <v>111.01</v>
      </c>
      <c r="S18" s="208">
        <v>4.1843198099355576E-3</v>
      </c>
      <c r="T18" s="32">
        <f t="shared" si="8"/>
        <v>1358.44</v>
      </c>
      <c r="U18" s="33">
        <f t="shared" si="9"/>
        <v>91.69</v>
      </c>
      <c r="V18" s="34">
        <f t="shared" si="45"/>
        <v>824.28</v>
      </c>
      <c r="W18" s="211">
        <f t="shared" si="46"/>
        <v>107.41</v>
      </c>
      <c r="X18" s="208">
        <v>4.0514642537368313E-3</v>
      </c>
      <c r="Y18" s="32">
        <f t="shared" si="10"/>
        <v>1315.31</v>
      </c>
      <c r="Z18" s="33">
        <f t="shared" si="11"/>
        <v>88.78</v>
      </c>
      <c r="AA18" s="34">
        <f t="shared" si="47"/>
        <v>798.11</v>
      </c>
      <c r="AB18" s="35">
        <f t="shared" si="48"/>
        <v>104</v>
      </c>
      <c r="AC18" s="25">
        <v>4.0708409328708119E-3</v>
      </c>
      <c r="AD18" s="32">
        <f t="shared" si="12"/>
        <v>1321.6</v>
      </c>
      <c r="AE18" s="33">
        <f t="shared" si="13"/>
        <v>89.2</v>
      </c>
      <c r="AF18" s="34">
        <f t="shared" si="49"/>
        <v>801.92</v>
      </c>
      <c r="AG18" s="211">
        <f t="shared" si="50"/>
        <v>104.5</v>
      </c>
      <c r="AH18" s="208">
        <v>4.2028778619738168E-3</v>
      </c>
      <c r="AI18" s="32">
        <f t="shared" si="16"/>
        <v>1364.46</v>
      </c>
      <c r="AJ18" s="33">
        <f t="shared" si="17"/>
        <v>92.1</v>
      </c>
      <c r="AK18" s="34">
        <f t="shared" si="51"/>
        <v>827.93</v>
      </c>
      <c r="AL18" s="211">
        <f t="shared" si="52"/>
        <v>107.89</v>
      </c>
      <c r="AM18" s="208">
        <v>4.1251358691926122E-3</v>
      </c>
      <c r="AN18" s="32">
        <f t="shared" si="18"/>
        <v>1339.22</v>
      </c>
      <c r="AO18" s="33">
        <f t="shared" si="19"/>
        <v>90.39</v>
      </c>
      <c r="AP18" s="34">
        <f t="shared" si="53"/>
        <v>812.62</v>
      </c>
      <c r="AQ18" s="211">
        <f t="shared" si="54"/>
        <v>105.89</v>
      </c>
      <c r="AR18" s="208">
        <v>4.1100875188915288E-3</v>
      </c>
      <c r="AS18" s="32">
        <f t="shared" si="20"/>
        <v>1334.34</v>
      </c>
      <c r="AT18" s="33">
        <f t="shared" si="21"/>
        <v>90.06</v>
      </c>
      <c r="AU18" s="34">
        <f t="shared" si="55"/>
        <v>809.65</v>
      </c>
      <c r="AV18" s="35">
        <f t="shared" si="56"/>
        <v>105.5</v>
      </c>
      <c r="AW18" s="208">
        <v>4.0330442736292169E-3</v>
      </c>
      <c r="AX18" s="32">
        <f t="shared" si="22"/>
        <v>1309.33</v>
      </c>
      <c r="AY18" s="33">
        <f t="shared" si="23"/>
        <v>88.37</v>
      </c>
      <c r="AZ18" s="34">
        <f t="shared" si="57"/>
        <v>794.48</v>
      </c>
      <c r="BA18" s="211">
        <f t="shared" si="58"/>
        <v>103.53</v>
      </c>
      <c r="BB18" s="208">
        <v>3.700506267105527E-3</v>
      </c>
      <c r="BC18" s="32">
        <f t="shared" si="24"/>
        <v>1201.3699999999999</v>
      </c>
      <c r="BD18" s="33">
        <f t="shared" si="25"/>
        <v>81.09</v>
      </c>
      <c r="BE18" s="34">
        <f t="shared" si="59"/>
        <v>728.97</v>
      </c>
      <c r="BF18" s="211">
        <f t="shared" si="60"/>
        <v>94.99</v>
      </c>
      <c r="BG18" s="208">
        <v>4.1334776378128928E-3</v>
      </c>
      <c r="BH18" s="32">
        <f t="shared" si="26"/>
        <v>1341.93</v>
      </c>
      <c r="BI18" s="33">
        <f t="shared" si="27"/>
        <v>90.58</v>
      </c>
      <c r="BJ18" s="34">
        <f t="shared" si="61"/>
        <v>814.26</v>
      </c>
      <c r="BK18" s="35">
        <f t="shared" si="62"/>
        <v>106.1</v>
      </c>
    </row>
    <row r="19" spans="1:63" ht="30" customHeight="1">
      <c r="A19" s="252">
        <v>1412000105</v>
      </c>
      <c r="B19" s="253" t="s">
        <v>94</v>
      </c>
      <c r="C19" s="253" t="s">
        <v>83</v>
      </c>
      <c r="D19" s="25">
        <v>9.8493434556969311E-4</v>
      </c>
      <c r="E19" s="32">
        <f t="shared" ref="E19:E20" si="64">ROUND($E$5*D19,2)</f>
        <v>319.76</v>
      </c>
      <c r="F19" s="33">
        <f t="shared" ref="F19:F20" si="65">ROUND($F$5*D19,2)</f>
        <v>21.58</v>
      </c>
      <c r="G19" s="34">
        <f t="shared" ref="G19:G20" si="66">ROUND($G$5*D19,2)</f>
        <v>205.54</v>
      </c>
      <c r="H19" s="35">
        <f t="shared" ref="H19:H20" si="67">ROUND($H$5*D19,2)</f>
        <v>26.06</v>
      </c>
      <c r="I19" s="25">
        <v>9.8629066202524616E-4</v>
      </c>
      <c r="J19" s="32">
        <f t="shared" ref="J19:J20" si="68">ROUND($E$5*I19,2)</f>
        <v>320.2</v>
      </c>
      <c r="K19" s="33">
        <f t="shared" ref="K19:K20" si="69">ROUND($F$5*I19,2)</f>
        <v>21.61</v>
      </c>
      <c r="L19" s="34">
        <f t="shared" ref="L19:L20" si="70">ROUND($L$5*I19,2)</f>
        <v>194.29</v>
      </c>
      <c r="M19" s="211">
        <f t="shared" ref="M19:M20" si="71">ROUND($M$5*I19,2)</f>
        <v>25.32</v>
      </c>
      <c r="N19" s="208">
        <v>1.0061404886839147E-3</v>
      </c>
      <c r="O19" s="32">
        <f t="shared" ref="O19:O20" si="72">ROUND($E$5*N19,2)</f>
        <v>326.64</v>
      </c>
      <c r="P19" s="33">
        <f t="shared" ref="P19:P20" si="73">ROUND($F$5*N19,2)</f>
        <v>22.05</v>
      </c>
      <c r="Q19" s="34">
        <f t="shared" ref="Q19:Q20" si="74">ROUND($L$5*N19,2)</f>
        <v>198.2</v>
      </c>
      <c r="R19" s="211">
        <f t="shared" ref="R19:R20" si="75">ROUND($M$5*N19,2)</f>
        <v>25.83</v>
      </c>
      <c r="S19" s="208">
        <v>9.8649134999522024E-4</v>
      </c>
      <c r="T19" s="32">
        <f t="shared" ref="T19:T20" si="76">ROUND($E$5*S19,2)</f>
        <v>320.26</v>
      </c>
      <c r="U19" s="33">
        <f t="shared" ref="U19:U20" si="77">ROUND($F$5*S19,2)</f>
        <v>21.62</v>
      </c>
      <c r="V19" s="34">
        <f t="shared" ref="V19:V20" si="78">ROUND($L$5*S19,2)</f>
        <v>194.33</v>
      </c>
      <c r="W19" s="211">
        <f t="shared" ref="W19:W20" si="79">ROUND($M$5*S19,2)</f>
        <v>25.32</v>
      </c>
      <c r="X19" s="208">
        <v>9.6871009009329016E-4</v>
      </c>
      <c r="Y19" s="32">
        <f t="shared" ref="Y19:Y20" si="80">ROUND($E$5*X19,2)</f>
        <v>314.49</v>
      </c>
      <c r="Z19" s="33">
        <f t="shared" ref="Z19:Z20" si="81">ROUND($F$5*X19,2)</f>
        <v>21.23</v>
      </c>
      <c r="AA19" s="34">
        <f t="shared" ref="AA19:AA20" si="82">ROUND($L$5*X19,2)</f>
        <v>190.83</v>
      </c>
      <c r="AB19" s="35">
        <f t="shared" ref="AB19:AB20" si="83">ROUND($M$5*X19,2)</f>
        <v>24.87</v>
      </c>
      <c r="AC19" s="25">
        <v>9.7185638507759134E-4</v>
      </c>
      <c r="AD19" s="32">
        <f t="shared" ref="AD19:AD20" si="84">ROUND($E$5*AC19,2)</f>
        <v>315.51</v>
      </c>
      <c r="AE19" s="33">
        <f t="shared" ref="AE19:AE20" si="85">ROUND($F$5*AC19,2)</f>
        <v>21.3</v>
      </c>
      <c r="AF19" s="34">
        <f t="shared" ref="AF19:AF20" si="86">ROUND($L$5*AC19,2)</f>
        <v>191.45</v>
      </c>
      <c r="AG19" s="211">
        <f t="shared" ref="AG19:AG20" si="87">ROUND($M$5*AC19,2)</f>
        <v>24.95</v>
      </c>
      <c r="AH19" s="208">
        <v>9.8886603198722984E-4</v>
      </c>
      <c r="AI19" s="32">
        <f t="shared" ref="AI19:AI20" si="88">ROUND($E$5*AH19,2)</f>
        <v>321.02999999999997</v>
      </c>
      <c r="AJ19" s="33">
        <f t="shared" ref="AJ19:AJ20" si="89">ROUND($F$5*AH19,2)</f>
        <v>21.67</v>
      </c>
      <c r="AK19" s="34">
        <f t="shared" ref="AK19:AK20" si="90">ROUND($L$5*AH19,2)</f>
        <v>194.8</v>
      </c>
      <c r="AL19" s="211">
        <f t="shared" ref="AL19:AL20" si="91">ROUND($M$5*AH19,2)</f>
        <v>25.38</v>
      </c>
      <c r="AM19" s="208">
        <v>9.790947043423245E-4</v>
      </c>
      <c r="AN19" s="32">
        <f t="shared" ref="AN19:AN20" si="92">ROUND($E$5*AM19,2)</f>
        <v>317.86</v>
      </c>
      <c r="AO19" s="33">
        <f t="shared" ref="AO19:AO20" si="93">ROUND($F$5*AM19,2)</f>
        <v>21.45</v>
      </c>
      <c r="AP19" s="34">
        <f t="shared" ref="AP19:AP20" si="94">ROUND($L$5*AM19,2)</f>
        <v>192.87</v>
      </c>
      <c r="AQ19" s="211">
        <f t="shared" ref="AQ19:AQ20" si="95">ROUND($M$5*AM19,2)</f>
        <v>25.13</v>
      </c>
      <c r="AR19" s="208">
        <v>9.769237737588391E-4</v>
      </c>
      <c r="AS19" s="32">
        <f t="shared" ref="AS19:AS20" si="96">ROUND($E$5*AR19,2)</f>
        <v>317.16000000000003</v>
      </c>
      <c r="AT19" s="33">
        <f t="shared" ref="AT19:AT20" si="97">ROUND($F$5*AR19,2)</f>
        <v>21.41</v>
      </c>
      <c r="AU19" s="34">
        <f t="shared" ref="AU19:AU20" si="98">ROUND($L$5*AR19,2)</f>
        <v>192.45</v>
      </c>
      <c r="AV19" s="35">
        <f t="shared" ref="AV19:AV20" si="99">ROUND($M$5*AR19,2)</f>
        <v>25.08</v>
      </c>
      <c r="AW19" s="208">
        <v>9.663051941068546E-4</v>
      </c>
      <c r="AX19" s="32">
        <f t="shared" ref="AX19:AX20" si="100">ROUND($E$5*AW19,2)</f>
        <v>313.70999999999998</v>
      </c>
      <c r="AY19" s="33">
        <f t="shared" ref="AY19:AY20" si="101">ROUND($F$5*AW19,2)</f>
        <v>21.17</v>
      </c>
      <c r="AZ19" s="34">
        <f t="shared" ref="AZ19:AZ20" si="102">ROUND($L$5*AW19,2)</f>
        <v>190.35</v>
      </c>
      <c r="BA19" s="211">
        <f t="shared" ref="BA19:BA20" si="103">ROUND($M$5*AW19,2)</f>
        <v>24.8</v>
      </c>
      <c r="BB19" s="208">
        <v>9.2350293193556993E-4</v>
      </c>
      <c r="BC19" s="32">
        <f t="shared" ref="BC19:BC20" si="104">ROUND($E$5*BB19,2)</f>
        <v>299.81</v>
      </c>
      <c r="BD19" s="33">
        <f t="shared" ref="BD19:BD20" si="105">ROUND($F$5*BB19,2)</f>
        <v>20.239999999999998</v>
      </c>
      <c r="BE19" s="34">
        <f t="shared" ref="BE19:BE20" si="106">ROUND($L$5*BB19,2)</f>
        <v>181.92</v>
      </c>
      <c r="BF19" s="211">
        <f t="shared" ref="BF19:BF20" si="107">ROUND($M$5*BB19,2)</f>
        <v>23.71</v>
      </c>
      <c r="BG19" s="208">
        <v>9.7932416333363368E-4</v>
      </c>
      <c r="BH19" s="32">
        <f t="shared" ref="BH19:BH20" si="108">ROUND($E$5*BG19,2)</f>
        <v>317.94</v>
      </c>
      <c r="BI19" s="33">
        <f t="shared" ref="BI19:BI20" si="109">ROUND($F$5*BG19,2)</f>
        <v>21.46</v>
      </c>
      <c r="BJ19" s="34">
        <f t="shared" ref="BJ19:BJ20" si="110">ROUND($L$5*BG19,2)</f>
        <v>192.92</v>
      </c>
      <c r="BK19" s="35">
        <f t="shared" ref="BK19:BK20" si="111">ROUND($M$5*BG19,2)</f>
        <v>25.14</v>
      </c>
    </row>
    <row r="20" spans="1:63" ht="30" customHeight="1">
      <c r="A20" s="30">
        <v>1412000075</v>
      </c>
      <c r="B20" s="31" t="s">
        <v>188</v>
      </c>
      <c r="C20" s="31" t="s">
        <v>189</v>
      </c>
      <c r="D20" s="25">
        <v>3.3039250958622721E-4</v>
      </c>
      <c r="E20" s="32">
        <f t="shared" si="64"/>
        <v>107.26</v>
      </c>
      <c r="F20" s="33">
        <f t="shared" si="65"/>
        <v>7.24</v>
      </c>
      <c r="G20" s="34">
        <f t="shared" si="66"/>
        <v>68.95</v>
      </c>
      <c r="H20" s="35">
        <f t="shared" si="67"/>
        <v>8.74</v>
      </c>
      <c r="I20" s="25">
        <v>3.6150710033019343E-4</v>
      </c>
      <c r="J20" s="32">
        <f t="shared" si="68"/>
        <v>117.36</v>
      </c>
      <c r="K20" s="33">
        <f t="shared" si="69"/>
        <v>7.92</v>
      </c>
      <c r="L20" s="34">
        <f t="shared" si="70"/>
        <v>71.209999999999994</v>
      </c>
      <c r="M20" s="211">
        <f t="shared" si="71"/>
        <v>9.2799999999999994</v>
      </c>
      <c r="N20" s="208">
        <v>3.8348399074282502E-4</v>
      </c>
      <c r="O20" s="32">
        <f t="shared" si="72"/>
        <v>124.5</v>
      </c>
      <c r="P20" s="33">
        <f t="shared" si="73"/>
        <v>8.4</v>
      </c>
      <c r="Q20" s="34">
        <f t="shared" si="74"/>
        <v>75.540000000000006</v>
      </c>
      <c r="R20" s="211">
        <f t="shared" si="75"/>
        <v>9.84</v>
      </c>
      <c r="S20" s="208">
        <v>3.6155850312577124E-4</v>
      </c>
      <c r="T20" s="32">
        <f t="shared" si="76"/>
        <v>117.38</v>
      </c>
      <c r="U20" s="33">
        <f t="shared" si="77"/>
        <v>7.92</v>
      </c>
      <c r="V20" s="34">
        <f t="shared" si="78"/>
        <v>71.22</v>
      </c>
      <c r="W20" s="211">
        <f t="shared" si="79"/>
        <v>9.2799999999999994</v>
      </c>
      <c r="X20" s="208">
        <v>3.4650014185827103E-4</v>
      </c>
      <c r="Y20" s="32">
        <f t="shared" si="80"/>
        <v>112.49</v>
      </c>
      <c r="Z20" s="33">
        <f t="shared" si="81"/>
        <v>7.59</v>
      </c>
      <c r="AA20" s="34">
        <f t="shared" si="82"/>
        <v>68.260000000000005</v>
      </c>
      <c r="AB20" s="35">
        <f t="shared" si="83"/>
        <v>8.89</v>
      </c>
      <c r="AC20" s="25">
        <v>3.5256694157921896E-4</v>
      </c>
      <c r="AD20" s="32">
        <f t="shared" si="84"/>
        <v>114.46</v>
      </c>
      <c r="AE20" s="33">
        <f t="shared" si="85"/>
        <v>7.73</v>
      </c>
      <c r="AF20" s="34">
        <f t="shared" si="86"/>
        <v>69.45</v>
      </c>
      <c r="AG20" s="211">
        <f t="shared" si="87"/>
        <v>9.0500000000000007</v>
      </c>
      <c r="AH20" s="208">
        <v>3.6289817539127204E-4</v>
      </c>
      <c r="AI20" s="32">
        <f t="shared" si="88"/>
        <v>117.81</v>
      </c>
      <c r="AJ20" s="33">
        <f t="shared" si="89"/>
        <v>7.95</v>
      </c>
      <c r="AK20" s="34">
        <f t="shared" si="90"/>
        <v>71.489999999999995</v>
      </c>
      <c r="AL20" s="211">
        <f t="shared" si="91"/>
        <v>9.32</v>
      </c>
      <c r="AM20" s="208">
        <v>3.5852169946145663E-4</v>
      </c>
      <c r="AN20" s="32">
        <f t="shared" si="92"/>
        <v>116.39</v>
      </c>
      <c r="AO20" s="33">
        <f t="shared" si="93"/>
        <v>7.86</v>
      </c>
      <c r="AP20" s="34">
        <f t="shared" si="94"/>
        <v>70.63</v>
      </c>
      <c r="AQ20" s="211">
        <f t="shared" si="95"/>
        <v>9.1999999999999993</v>
      </c>
      <c r="AR20" s="208">
        <v>3.5571794444854077E-4</v>
      </c>
      <c r="AS20" s="32">
        <f t="shared" si="96"/>
        <v>115.48</v>
      </c>
      <c r="AT20" s="33">
        <f t="shared" si="97"/>
        <v>7.79</v>
      </c>
      <c r="AU20" s="34">
        <f t="shared" si="98"/>
        <v>70.069999999999993</v>
      </c>
      <c r="AV20" s="35">
        <f t="shared" si="99"/>
        <v>9.1300000000000008</v>
      </c>
      <c r="AW20" s="208">
        <v>3.4483526533596337E-4</v>
      </c>
      <c r="AX20" s="32">
        <f t="shared" si="100"/>
        <v>111.95</v>
      </c>
      <c r="AY20" s="33">
        <f t="shared" si="101"/>
        <v>7.56</v>
      </c>
      <c r="AZ20" s="34">
        <f t="shared" si="102"/>
        <v>67.930000000000007</v>
      </c>
      <c r="BA20" s="211">
        <f t="shared" si="103"/>
        <v>8.85</v>
      </c>
      <c r="BB20" s="208">
        <v>3.1907425903883186E-4</v>
      </c>
      <c r="BC20" s="32">
        <f t="shared" si="104"/>
        <v>103.59</v>
      </c>
      <c r="BD20" s="33">
        <f t="shared" si="105"/>
        <v>6.99</v>
      </c>
      <c r="BE20" s="34">
        <f t="shared" si="106"/>
        <v>62.86</v>
      </c>
      <c r="BF20" s="211">
        <f t="shared" si="107"/>
        <v>8.19</v>
      </c>
      <c r="BG20" s="208">
        <v>3.5325822059568295E-4</v>
      </c>
      <c r="BH20" s="32">
        <f t="shared" si="108"/>
        <v>114.69</v>
      </c>
      <c r="BI20" s="33">
        <f t="shared" si="109"/>
        <v>7.74</v>
      </c>
      <c r="BJ20" s="34">
        <f t="shared" si="110"/>
        <v>69.59</v>
      </c>
      <c r="BK20" s="35">
        <f t="shared" si="111"/>
        <v>9.07</v>
      </c>
    </row>
    <row r="21" spans="1:63" ht="30" customHeight="1">
      <c r="A21" s="30">
        <v>1412000055</v>
      </c>
      <c r="B21" s="31" t="s">
        <v>190</v>
      </c>
      <c r="C21" s="31" t="s">
        <v>143</v>
      </c>
      <c r="D21" s="25">
        <v>6.2297100270205835E-4</v>
      </c>
      <c r="E21" s="32">
        <f t="shared" si="0"/>
        <v>202.25</v>
      </c>
      <c r="F21" s="33">
        <f t="shared" si="1"/>
        <v>13.65</v>
      </c>
      <c r="G21" s="34">
        <f t="shared" si="2"/>
        <v>130</v>
      </c>
      <c r="H21" s="35">
        <f t="shared" si="3"/>
        <v>16.48</v>
      </c>
      <c r="I21" s="25">
        <v>6.3657945939767893E-4</v>
      </c>
      <c r="J21" s="32">
        <f t="shared" si="4"/>
        <v>206.67</v>
      </c>
      <c r="K21" s="33">
        <f t="shared" si="5"/>
        <v>13.95</v>
      </c>
      <c r="L21" s="34">
        <f t="shared" si="6"/>
        <v>125.4</v>
      </c>
      <c r="M21" s="211">
        <f t="shared" si="28"/>
        <v>16.34</v>
      </c>
      <c r="N21" s="208">
        <v>6.7268435078985929E-4</v>
      </c>
      <c r="O21" s="32">
        <f t="shared" si="29"/>
        <v>218.39</v>
      </c>
      <c r="P21" s="33">
        <f t="shared" si="7"/>
        <v>14.74</v>
      </c>
      <c r="Q21" s="34">
        <f t="shared" si="63"/>
        <v>132.51</v>
      </c>
      <c r="R21" s="211">
        <f t="shared" si="44"/>
        <v>17.27</v>
      </c>
      <c r="S21" s="208">
        <v>6.3666390684755667E-4</v>
      </c>
      <c r="T21" s="32">
        <f t="shared" si="8"/>
        <v>206.69</v>
      </c>
      <c r="U21" s="33">
        <f t="shared" si="9"/>
        <v>13.95</v>
      </c>
      <c r="V21" s="34">
        <f t="shared" si="45"/>
        <v>125.42</v>
      </c>
      <c r="W21" s="211">
        <f t="shared" si="46"/>
        <v>16.34</v>
      </c>
      <c r="X21" s="208">
        <v>6.2117342395726603E-4</v>
      </c>
      <c r="Y21" s="32">
        <f t="shared" si="10"/>
        <v>201.66</v>
      </c>
      <c r="Z21" s="33">
        <f t="shared" si="11"/>
        <v>13.61</v>
      </c>
      <c r="AA21" s="34">
        <f t="shared" si="47"/>
        <v>122.37</v>
      </c>
      <c r="AB21" s="35">
        <f t="shared" si="48"/>
        <v>15.95</v>
      </c>
      <c r="AC21" s="25">
        <v>6.3157365205031963E-4</v>
      </c>
      <c r="AD21" s="32">
        <f t="shared" si="12"/>
        <v>205.04</v>
      </c>
      <c r="AE21" s="33">
        <f t="shared" si="13"/>
        <v>13.84</v>
      </c>
      <c r="AF21" s="34">
        <f t="shared" si="49"/>
        <v>124.41</v>
      </c>
      <c r="AG21" s="211">
        <f t="shared" si="50"/>
        <v>16.21</v>
      </c>
      <c r="AH21" s="208">
        <v>6.4928433858526765E-4</v>
      </c>
      <c r="AI21" s="32">
        <f t="shared" si="16"/>
        <v>210.79</v>
      </c>
      <c r="AJ21" s="33">
        <f t="shared" si="17"/>
        <v>14.23</v>
      </c>
      <c r="AK21" s="34">
        <f t="shared" si="51"/>
        <v>127.9</v>
      </c>
      <c r="AL21" s="211">
        <f t="shared" si="52"/>
        <v>16.670000000000002</v>
      </c>
      <c r="AM21" s="208">
        <v>6.4178180841986991E-4</v>
      </c>
      <c r="AN21" s="32">
        <f t="shared" si="18"/>
        <v>208.35</v>
      </c>
      <c r="AO21" s="33">
        <f t="shared" si="19"/>
        <v>14.06</v>
      </c>
      <c r="AP21" s="34">
        <f t="shared" si="53"/>
        <v>126.43</v>
      </c>
      <c r="AQ21" s="211">
        <f t="shared" si="54"/>
        <v>16.47</v>
      </c>
      <c r="AR21" s="208">
        <v>6.3697537125487116E-4</v>
      </c>
      <c r="AS21" s="32">
        <f t="shared" si="20"/>
        <v>206.79</v>
      </c>
      <c r="AT21" s="33">
        <f t="shared" si="21"/>
        <v>13.96</v>
      </c>
      <c r="AU21" s="34">
        <f t="shared" si="55"/>
        <v>125.48</v>
      </c>
      <c r="AV21" s="35">
        <f t="shared" si="56"/>
        <v>16.350000000000001</v>
      </c>
      <c r="AW21" s="208">
        <v>6.183193499190243E-4</v>
      </c>
      <c r="AX21" s="32">
        <f t="shared" si="22"/>
        <v>200.74</v>
      </c>
      <c r="AY21" s="33">
        <f t="shared" si="23"/>
        <v>13.55</v>
      </c>
      <c r="AZ21" s="34">
        <f t="shared" si="57"/>
        <v>121.8</v>
      </c>
      <c r="BA21" s="211">
        <f t="shared" si="58"/>
        <v>15.87</v>
      </c>
      <c r="BB21" s="208">
        <v>5.7415762483822744E-4</v>
      </c>
      <c r="BC21" s="32">
        <f t="shared" si="24"/>
        <v>186.4</v>
      </c>
      <c r="BD21" s="33">
        <f t="shared" si="25"/>
        <v>12.58</v>
      </c>
      <c r="BE21" s="34">
        <f t="shared" si="59"/>
        <v>113.1</v>
      </c>
      <c r="BF21" s="211">
        <f t="shared" si="60"/>
        <v>14.74</v>
      </c>
      <c r="BG21" s="208">
        <v>6.3275870179282934E-4</v>
      </c>
      <c r="BH21" s="32">
        <f t="shared" si="26"/>
        <v>205.42</v>
      </c>
      <c r="BI21" s="33">
        <f t="shared" si="27"/>
        <v>13.87</v>
      </c>
      <c r="BJ21" s="34">
        <f t="shared" si="61"/>
        <v>124.65</v>
      </c>
      <c r="BK21" s="35">
        <f t="shared" si="62"/>
        <v>16.239999999999998</v>
      </c>
    </row>
    <row r="22" spans="1:63" ht="30" customHeight="1">
      <c r="A22" s="63" t="s">
        <v>195</v>
      </c>
      <c r="B22" s="64" t="s">
        <v>194</v>
      </c>
      <c r="C22" s="64" t="s">
        <v>194</v>
      </c>
      <c r="D22" s="25">
        <v>2.7029812237032826E-4</v>
      </c>
      <c r="E22" s="32">
        <f t="shared" si="0"/>
        <v>87.75</v>
      </c>
      <c r="F22" s="33">
        <f t="shared" si="1"/>
        <v>5.92</v>
      </c>
      <c r="G22" s="34">
        <f t="shared" si="2"/>
        <v>56.41</v>
      </c>
      <c r="H22" s="35">
        <f t="shared" si="3"/>
        <v>7.15</v>
      </c>
      <c r="I22" s="25">
        <v>3.2473192743526431E-4</v>
      </c>
      <c r="J22" s="32">
        <f t="shared" si="4"/>
        <v>105.42</v>
      </c>
      <c r="K22" s="33">
        <f t="shared" si="5"/>
        <v>7.12</v>
      </c>
      <c r="L22" s="34">
        <f t="shared" si="6"/>
        <v>63.97</v>
      </c>
      <c r="M22" s="211">
        <f t="shared" si="28"/>
        <v>8.34</v>
      </c>
      <c r="N22" s="208">
        <v>3.2876299879279009E-4</v>
      </c>
      <c r="O22" s="32">
        <f t="shared" si="29"/>
        <v>106.73</v>
      </c>
      <c r="P22" s="33">
        <f t="shared" si="7"/>
        <v>7.2</v>
      </c>
      <c r="Q22" s="34">
        <f t="shared" si="63"/>
        <v>64.760000000000005</v>
      </c>
      <c r="R22" s="211">
        <f t="shared" si="44"/>
        <v>8.44</v>
      </c>
      <c r="S22" s="208">
        <v>3.1160492898670288E-4</v>
      </c>
      <c r="T22" s="32">
        <f t="shared" si="8"/>
        <v>101.16</v>
      </c>
      <c r="U22" s="33">
        <f t="shared" si="9"/>
        <v>6.83</v>
      </c>
      <c r="V22" s="34">
        <f t="shared" si="45"/>
        <v>61.38</v>
      </c>
      <c r="W22" s="211">
        <f t="shared" si="46"/>
        <v>8</v>
      </c>
      <c r="X22" s="208">
        <v>3.0192455388616693E-4</v>
      </c>
      <c r="Y22" s="32">
        <f t="shared" si="10"/>
        <v>98.02</v>
      </c>
      <c r="Z22" s="33">
        <f t="shared" si="11"/>
        <v>6.62</v>
      </c>
      <c r="AA22" s="34">
        <f t="shared" si="47"/>
        <v>59.48</v>
      </c>
      <c r="AB22" s="35">
        <f t="shared" si="48"/>
        <v>7.75</v>
      </c>
      <c r="AC22" s="25">
        <v>3.0582463942106206E-4</v>
      </c>
      <c r="AD22" s="32">
        <f t="shared" si="12"/>
        <v>99.29</v>
      </c>
      <c r="AE22" s="33">
        <f t="shared" si="13"/>
        <v>6.7</v>
      </c>
      <c r="AF22" s="34">
        <f t="shared" si="49"/>
        <v>60.24</v>
      </c>
      <c r="AG22" s="211">
        <f t="shared" si="50"/>
        <v>7.85</v>
      </c>
      <c r="AH22" s="208">
        <v>3.1246614687166767E-4</v>
      </c>
      <c r="AI22" s="32">
        <f t="shared" si="16"/>
        <v>101.44</v>
      </c>
      <c r="AJ22" s="33">
        <f t="shared" si="17"/>
        <v>6.85</v>
      </c>
      <c r="AK22" s="34">
        <f t="shared" si="51"/>
        <v>61.55</v>
      </c>
      <c r="AL22" s="211">
        <f t="shared" si="52"/>
        <v>8.02</v>
      </c>
      <c r="AM22" s="208">
        <v>3.096526980596434E-4</v>
      </c>
      <c r="AN22" s="32">
        <f t="shared" si="18"/>
        <v>100.53</v>
      </c>
      <c r="AO22" s="33">
        <f t="shared" si="19"/>
        <v>6.79</v>
      </c>
      <c r="AP22" s="34">
        <f t="shared" si="53"/>
        <v>61</v>
      </c>
      <c r="AQ22" s="211">
        <f t="shared" si="54"/>
        <v>7.95</v>
      </c>
      <c r="AR22" s="208">
        <v>3.0785028412276896E-4</v>
      </c>
      <c r="AS22" s="32">
        <f t="shared" si="20"/>
        <v>99.94</v>
      </c>
      <c r="AT22" s="33">
        <f t="shared" si="21"/>
        <v>6.75</v>
      </c>
      <c r="AU22" s="34">
        <f t="shared" si="55"/>
        <v>60.64</v>
      </c>
      <c r="AV22" s="35">
        <f t="shared" si="56"/>
        <v>7.9</v>
      </c>
      <c r="AW22" s="208">
        <v>2.9937377127275445E-4</v>
      </c>
      <c r="AX22" s="32">
        <f t="shared" si="22"/>
        <v>97.19</v>
      </c>
      <c r="AY22" s="33">
        <f t="shared" si="23"/>
        <v>6.56</v>
      </c>
      <c r="AZ22" s="34">
        <f t="shared" si="57"/>
        <v>58.97</v>
      </c>
      <c r="BA22" s="211">
        <f t="shared" si="58"/>
        <v>7.68</v>
      </c>
      <c r="BB22" s="208">
        <v>2.8281312436745566E-4</v>
      </c>
      <c r="BC22" s="32">
        <f t="shared" si="24"/>
        <v>91.82</v>
      </c>
      <c r="BD22" s="33">
        <f t="shared" si="25"/>
        <v>6.2</v>
      </c>
      <c r="BE22" s="34">
        <f t="shared" si="59"/>
        <v>55.71</v>
      </c>
      <c r="BF22" s="211">
        <f t="shared" si="60"/>
        <v>7.26</v>
      </c>
      <c r="BG22" s="208">
        <v>3.0478852822543134E-4</v>
      </c>
      <c r="BH22" s="32">
        <f t="shared" si="26"/>
        <v>98.95</v>
      </c>
      <c r="BI22" s="33">
        <f t="shared" si="27"/>
        <v>6.68</v>
      </c>
      <c r="BJ22" s="34">
        <f t="shared" si="61"/>
        <v>60.04</v>
      </c>
      <c r="BK22" s="35">
        <f t="shared" si="62"/>
        <v>7.82</v>
      </c>
    </row>
    <row r="23" spans="1:63" ht="30" customHeight="1">
      <c r="A23" s="63">
        <v>1412000040</v>
      </c>
      <c r="B23" s="64" t="s">
        <v>140</v>
      </c>
      <c r="C23" s="64" t="s">
        <v>140</v>
      </c>
      <c r="D23" s="25">
        <v>9.0256120250795406E-4</v>
      </c>
      <c r="E23" s="32">
        <f t="shared" ref="E23" si="112">ROUND($E$5*D23,2)</f>
        <v>293.02</v>
      </c>
      <c r="F23" s="33">
        <f t="shared" ref="F23" si="113">ROUND($F$5*D23,2)</f>
        <v>19.78</v>
      </c>
      <c r="G23" s="34">
        <f t="shared" ref="G23" si="114">ROUND($G$5*D23,2)</f>
        <v>188.35</v>
      </c>
      <c r="H23" s="35">
        <f t="shared" ref="H23" si="115">ROUND($H$5*D23,2)</f>
        <v>23.88</v>
      </c>
      <c r="I23" s="25">
        <v>9.0579836338048779E-4</v>
      </c>
      <c r="J23" s="32">
        <f t="shared" ref="J23" si="116">ROUND($E$5*I23,2)</f>
        <v>294.07</v>
      </c>
      <c r="K23" s="33">
        <f t="shared" ref="K23" si="117">ROUND($F$5*I23,2)</f>
        <v>19.850000000000001</v>
      </c>
      <c r="L23" s="34">
        <f t="shared" ref="L23" si="118">ROUND($L$5*I23,2)</f>
        <v>178.43</v>
      </c>
      <c r="M23" s="211">
        <f t="shared" ref="M23" si="119">ROUND($M$5*I23,2)</f>
        <v>23.25</v>
      </c>
      <c r="N23" s="208">
        <v>9.1386050609553924E-4</v>
      </c>
      <c r="O23" s="32">
        <f t="shared" ref="O23" si="120">ROUND($E$5*N23,2)</f>
        <v>296.68</v>
      </c>
      <c r="P23" s="33">
        <f t="shared" ref="P23" si="121">ROUND($F$5*N23,2)</f>
        <v>20.03</v>
      </c>
      <c r="Q23" s="34">
        <f t="shared" ref="Q23" si="122">ROUND($L$5*N23,2)</f>
        <v>180.02</v>
      </c>
      <c r="R23" s="211">
        <f t="shared" ref="R23" si="123">ROUND($M$5*N23,2)</f>
        <v>23.46</v>
      </c>
      <c r="S23" s="208">
        <v>9.0467326568522224E-4</v>
      </c>
      <c r="T23" s="32">
        <f t="shared" ref="T23" si="124">ROUND($E$5*S23,2)</f>
        <v>293.7</v>
      </c>
      <c r="U23" s="33">
        <f t="shared" ref="U23" si="125">ROUND($F$5*S23,2)</f>
        <v>19.82</v>
      </c>
      <c r="V23" s="34">
        <f t="shared" ref="V23" si="126">ROUND($L$5*S23,2)</f>
        <v>178.21</v>
      </c>
      <c r="W23" s="211">
        <f t="shared" ref="W23" si="127">ROUND($M$5*S23,2)</f>
        <v>23.22</v>
      </c>
      <c r="X23" s="208">
        <v>8.842369182507576E-4</v>
      </c>
      <c r="Y23" s="32">
        <f t="shared" ref="Y23" si="128">ROUND($E$5*X23,2)</f>
        <v>287.07</v>
      </c>
      <c r="Z23" s="33">
        <f t="shared" ref="Z23" si="129">ROUND($F$5*X23,2)</f>
        <v>19.38</v>
      </c>
      <c r="AA23" s="34">
        <f t="shared" ref="AA23" si="130">ROUND($L$5*X23,2)</f>
        <v>174.19</v>
      </c>
      <c r="AB23" s="35">
        <f t="shared" ref="AB23" si="131">ROUND($M$5*X23,2)</f>
        <v>22.7</v>
      </c>
      <c r="AC23" s="25">
        <v>8.9247043215775817E-4</v>
      </c>
      <c r="AD23" s="32">
        <f t="shared" ref="AD23" si="132">ROUND($E$5*AC23,2)</f>
        <v>289.74</v>
      </c>
      <c r="AE23" s="33">
        <f t="shared" ref="AE23" si="133">ROUND($F$5*AC23,2)</f>
        <v>19.559999999999999</v>
      </c>
      <c r="AF23" s="34">
        <f t="shared" ref="AF23" si="134">ROUND($L$5*AC23,2)</f>
        <v>175.81</v>
      </c>
      <c r="AG23" s="211">
        <f t="shared" ref="AG23" si="135">ROUND($M$5*AC23,2)</f>
        <v>22.91</v>
      </c>
      <c r="AH23" s="208">
        <v>9.0649139233125911E-4</v>
      </c>
      <c r="AI23" s="32">
        <f t="shared" ref="AI23" si="136">ROUND($E$5*AH23,2)</f>
        <v>294.29000000000002</v>
      </c>
      <c r="AJ23" s="33">
        <f t="shared" ref="AJ23" si="137">ROUND($F$5*AH23,2)</f>
        <v>19.86</v>
      </c>
      <c r="AK23" s="34">
        <f t="shared" ref="AK23" si="138">ROUND($L$5*AH23,2)</f>
        <v>178.57</v>
      </c>
      <c r="AL23" s="211">
        <f t="shared" ref="AL23" si="139">ROUND($M$5*AH23,2)</f>
        <v>23.27</v>
      </c>
      <c r="AM23" s="208">
        <v>9.0055188928365234E-4</v>
      </c>
      <c r="AN23" s="32">
        <f t="shared" ref="AN23" si="140">ROUND($E$5*AM23,2)</f>
        <v>292.36</v>
      </c>
      <c r="AO23" s="33">
        <f t="shared" ref="AO23" si="141">ROUND($F$5*AM23,2)</f>
        <v>19.73</v>
      </c>
      <c r="AP23" s="34">
        <f t="shared" ref="AP23" si="142">ROUND($L$5*AM23,2)</f>
        <v>177.4</v>
      </c>
      <c r="AQ23" s="211">
        <f t="shared" ref="AQ23" si="143">ROUND($M$5*AM23,2)</f>
        <v>23.12</v>
      </c>
      <c r="AR23" s="208">
        <v>8.9674679319469484E-4</v>
      </c>
      <c r="AS23" s="32">
        <f t="shared" ref="AS23" si="144">ROUND($E$5*AR23,2)</f>
        <v>291.13</v>
      </c>
      <c r="AT23" s="33">
        <f t="shared" ref="AT23" si="145">ROUND($F$5*AR23,2)</f>
        <v>19.649999999999999</v>
      </c>
      <c r="AU23" s="34">
        <f t="shared" ref="AU23" si="146">ROUND($L$5*AR23,2)</f>
        <v>176.65</v>
      </c>
      <c r="AV23" s="35">
        <f t="shared" ref="AV23" si="147">ROUND($M$5*AR23,2)</f>
        <v>23.02</v>
      </c>
      <c r="AW23" s="208">
        <v>8.7885193273355353E-4</v>
      </c>
      <c r="AX23" s="32">
        <f t="shared" ref="AX23" si="148">ROUND($E$5*AW23,2)</f>
        <v>285.32</v>
      </c>
      <c r="AY23" s="33">
        <f t="shared" ref="AY23" si="149">ROUND($F$5*AW23,2)</f>
        <v>19.260000000000002</v>
      </c>
      <c r="AZ23" s="34">
        <f t="shared" ref="AZ23" si="150">ROUND($L$5*AW23,2)</f>
        <v>173.13</v>
      </c>
      <c r="BA23" s="211">
        <f t="shared" ref="BA23" si="151">ROUND($M$5*AW23,2)</f>
        <v>22.56</v>
      </c>
      <c r="BB23" s="208">
        <v>8.4389056704458937E-4</v>
      </c>
      <c r="BC23" s="32">
        <f t="shared" ref="BC23" si="152">ROUND($E$5*BB23,2)</f>
        <v>273.97000000000003</v>
      </c>
      <c r="BD23" s="33">
        <f t="shared" ref="BD23" si="153">ROUND($F$5*BB23,2)</f>
        <v>18.489999999999998</v>
      </c>
      <c r="BE23" s="34">
        <f t="shared" ref="BE23" si="154">ROUND($L$5*BB23,2)</f>
        <v>166.24</v>
      </c>
      <c r="BF23" s="211">
        <f t="shared" ref="BF23" si="155">ROUND($M$5*BB23,2)</f>
        <v>21.66</v>
      </c>
      <c r="BG23" s="208">
        <v>8.9028308630031592E-4</v>
      </c>
      <c r="BH23" s="32">
        <f t="shared" ref="BH23" si="156">ROUND($E$5*BG23,2)</f>
        <v>289.02999999999997</v>
      </c>
      <c r="BI23" s="33">
        <f t="shared" ref="BI23" si="157">ROUND($F$5*BG23,2)</f>
        <v>19.510000000000002</v>
      </c>
      <c r="BJ23" s="34">
        <f t="shared" ref="BJ23" si="158">ROUND($L$5*BG23,2)</f>
        <v>175.38</v>
      </c>
      <c r="BK23" s="35">
        <f t="shared" ref="BK23" si="159">ROUND($M$5*BG23,2)</f>
        <v>22.85</v>
      </c>
    </row>
    <row r="24" spans="1:63" ht="30" customHeight="1">
      <c r="A24" s="63">
        <v>1412000089</v>
      </c>
      <c r="B24" s="64" t="s">
        <v>2</v>
      </c>
      <c r="C24" s="64" t="s">
        <v>2</v>
      </c>
      <c r="D24" s="25">
        <v>6.40004694771012E-4</v>
      </c>
      <c r="E24" s="32">
        <f t="shared" si="0"/>
        <v>207.78</v>
      </c>
      <c r="F24" s="33">
        <f t="shared" si="1"/>
        <v>14.02</v>
      </c>
      <c r="G24" s="34">
        <f t="shared" si="2"/>
        <v>133.56</v>
      </c>
      <c r="H24" s="35">
        <f t="shared" si="3"/>
        <v>16.93</v>
      </c>
      <c r="I24" s="25">
        <v>6.4378138245563482E-4</v>
      </c>
      <c r="J24" s="32">
        <f t="shared" si="4"/>
        <v>209</v>
      </c>
      <c r="K24" s="33">
        <f t="shared" si="5"/>
        <v>14.11</v>
      </c>
      <c r="L24" s="34">
        <f t="shared" si="6"/>
        <v>126.82</v>
      </c>
      <c r="M24" s="211">
        <f t="shared" si="28"/>
        <v>16.53</v>
      </c>
      <c r="N24" s="208">
        <v>7.0725791842826268E-4</v>
      </c>
      <c r="O24" s="32">
        <f t="shared" si="29"/>
        <v>229.61</v>
      </c>
      <c r="P24" s="33">
        <f t="shared" si="7"/>
        <v>15.5</v>
      </c>
      <c r="Q24" s="34">
        <f t="shared" si="63"/>
        <v>139.32</v>
      </c>
      <c r="R24" s="211">
        <f t="shared" si="44"/>
        <v>18.16</v>
      </c>
      <c r="S24" s="208">
        <v>6.6340951781270624E-4</v>
      </c>
      <c r="T24" s="32">
        <f t="shared" si="8"/>
        <v>215.38</v>
      </c>
      <c r="U24" s="33">
        <f t="shared" si="9"/>
        <v>14.54</v>
      </c>
      <c r="V24" s="34">
        <f t="shared" si="45"/>
        <v>130.69</v>
      </c>
      <c r="W24" s="211">
        <f t="shared" si="46"/>
        <v>17.03</v>
      </c>
      <c r="X24" s="208">
        <v>6.3867078144467008E-4</v>
      </c>
      <c r="Y24" s="32">
        <f t="shared" si="10"/>
        <v>207.34</v>
      </c>
      <c r="Z24" s="33">
        <f t="shared" si="11"/>
        <v>13.99</v>
      </c>
      <c r="AA24" s="34">
        <f t="shared" si="47"/>
        <v>125.81</v>
      </c>
      <c r="AB24" s="35">
        <f t="shared" si="48"/>
        <v>16.39</v>
      </c>
      <c r="AC24" s="25">
        <v>6.4863766670051324E-4</v>
      </c>
      <c r="AD24" s="32">
        <f t="shared" si="12"/>
        <v>210.58</v>
      </c>
      <c r="AE24" s="33">
        <f t="shared" si="13"/>
        <v>14.21</v>
      </c>
      <c r="AF24" s="34">
        <f t="shared" si="49"/>
        <v>127.78</v>
      </c>
      <c r="AG24" s="211">
        <f t="shared" si="50"/>
        <v>16.649999999999999</v>
      </c>
      <c r="AH24" s="208">
        <v>6.6561040796317178E-4</v>
      </c>
      <c r="AI24" s="32">
        <f t="shared" si="16"/>
        <v>216.09</v>
      </c>
      <c r="AJ24" s="33">
        <f t="shared" si="17"/>
        <v>14.59</v>
      </c>
      <c r="AK24" s="34">
        <f t="shared" si="51"/>
        <v>131.12</v>
      </c>
      <c r="AL24" s="211">
        <f t="shared" si="52"/>
        <v>17.09</v>
      </c>
      <c r="AM24" s="208">
        <v>6.5842048322133214E-4</v>
      </c>
      <c r="AN24" s="32">
        <f t="shared" si="18"/>
        <v>213.76</v>
      </c>
      <c r="AO24" s="33">
        <f t="shared" si="19"/>
        <v>14.43</v>
      </c>
      <c r="AP24" s="34">
        <f t="shared" si="53"/>
        <v>129.69999999999999</v>
      </c>
      <c r="AQ24" s="211">
        <f t="shared" si="54"/>
        <v>16.899999999999999</v>
      </c>
      <c r="AR24" s="208">
        <v>6.538143142715418E-4</v>
      </c>
      <c r="AS24" s="32">
        <f t="shared" si="20"/>
        <v>212.26</v>
      </c>
      <c r="AT24" s="33">
        <f t="shared" si="21"/>
        <v>14.33</v>
      </c>
      <c r="AU24" s="34">
        <f t="shared" si="55"/>
        <v>128.80000000000001</v>
      </c>
      <c r="AV24" s="35">
        <f t="shared" si="56"/>
        <v>16.78</v>
      </c>
      <c r="AW24" s="208">
        <v>6.3215211476594921E-4</v>
      </c>
      <c r="AX24" s="32">
        <f t="shared" si="22"/>
        <v>205.23</v>
      </c>
      <c r="AY24" s="33">
        <f t="shared" si="23"/>
        <v>13.85</v>
      </c>
      <c r="AZ24" s="34">
        <f t="shared" si="57"/>
        <v>124.53</v>
      </c>
      <c r="BA24" s="211">
        <f t="shared" si="58"/>
        <v>16.23</v>
      </c>
      <c r="BB24" s="208">
        <v>5.8983046156351891E-4</v>
      </c>
      <c r="BC24" s="32">
        <f t="shared" si="24"/>
        <v>191.49</v>
      </c>
      <c r="BD24" s="33">
        <f t="shared" si="25"/>
        <v>12.92</v>
      </c>
      <c r="BE24" s="34">
        <f t="shared" si="59"/>
        <v>116.19</v>
      </c>
      <c r="BF24" s="211">
        <f t="shared" si="60"/>
        <v>15.14</v>
      </c>
      <c r="BG24" s="208">
        <v>6.4598982697834564E-4</v>
      </c>
      <c r="BH24" s="32">
        <f t="shared" si="26"/>
        <v>209.72</v>
      </c>
      <c r="BI24" s="33">
        <f t="shared" si="27"/>
        <v>14.16</v>
      </c>
      <c r="BJ24" s="34">
        <f t="shared" si="61"/>
        <v>127.25</v>
      </c>
      <c r="BK24" s="35">
        <f t="shared" si="62"/>
        <v>16.579999999999998</v>
      </c>
    </row>
    <row r="25" spans="1:63" ht="30" customHeight="1">
      <c r="A25" s="63">
        <v>1412000039</v>
      </c>
      <c r="B25" s="63" t="s">
        <v>193</v>
      </c>
      <c r="C25" s="64" t="s">
        <v>193</v>
      </c>
      <c r="D25" s="25">
        <v>3.7592857162766652E-4</v>
      </c>
      <c r="E25" s="32">
        <f t="shared" si="0"/>
        <v>122.05</v>
      </c>
      <c r="F25" s="33">
        <f t="shared" si="1"/>
        <v>8.24</v>
      </c>
      <c r="G25" s="34">
        <f t="shared" si="2"/>
        <v>78.45</v>
      </c>
      <c r="H25" s="35">
        <f t="shared" si="3"/>
        <v>9.9499999999999993</v>
      </c>
      <c r="I25" s="25">
        <v>3.7790683660532604E-4</v>
      </c>
      <c r="J25" s="32">
        <f t="shared" si="4"/>
        <v>122.69</v>
      </c>
      <c r="K25" s="33">
        <f t="shared" si="5"/>
        <v>8.2799999999999994</v>
      </c>
      <c r="L25" s="34">
        <f t="shared" si="6"/>
        <v>74.44</v>
      </c>
      <c r="M25" s="211">
        <f t="shared" si="28"/>
        <v>9.6999999999999993</v>
      </c>
      <c r="N25" s="208">
        <v>3.8283370159785757E-4</v>
      </c>
      <c r="O25" s="32">
        <f t="shared" si="29"/>
        <v>124.29</v>
      </c>
      <c r="P25" s="33">
        <f t="shared" si="7"/>
        <v>8.39</v>
      </c>
      <c r="Q25" s="34">
        <f t="shared" si="63"/>
        <v>75.42</v>
      </c>
      <c r="R25" s="211">
        <f t="shared" si="44"/>
        <v>9.83</v>
      </c>
      <c r="S25" s="208">
        <v>3.6186272739041766E-4</v>
      </c>
      <c r="T25" s="32">
        <f t="shared" si="8"/>
        <v>117.48</v>
      </c>
      <c r="U25" s="33">
        <f t="shared" si="9"/>
        <v>7.93</v>
      </c>
      <c r="V25" s="34">
        <f t="shared" si="45"/>
        <v>71.28</v>
      </c>
      <c r="W25" s="211">
        <f t="shared" si="46"/>
        <v>9.2899999999999991</v>
      </c>
      <c r="X25" s="208">
        <v>3.5003115782309601E-4</v>
      </c>
      <c r="Y25" s="32">
        <f t="shared" si="10"/>
        <v>113.64</v>
      </c>
      <c r="Z25" s="33">
        <f t="shared" si="11"/>
        <v>7.67</v>
      </c>
      <c r="AA25" s="34">
        <f t="shared" si="47"/>
        <v>68.95</v>
      </c>
      <c r="AB25" s="35">
        <f t="shared" si="48"/>
        <v>8.99</v>
      </c>
      <c r="AC25" s="25">
        <v>3.5479792903241221E-4</v>
      </c>
      <c r="AD25" s="32">
        <f t="shared" si="12"/>
        <v>115.19</v>
      </c>
      <c r="AE25" s="33">
        <f t="shared" si="13"/>
        <v>7.77</v>
      </c>
      <c r="AF25" s="34">
        <f t="shared" si="49"/>
        <v>69.89</v>
      </c>
      <c r="AG25" s="211">
        <f t="shared" si="50"/>
        <v>9.11</v>
      </c>
      <c r="AH25" s="208">
        <v>3.6291532702759685E-4</v>
      </c>
      <c r="AI25" s="32">
        <f t="shared" si="16"/>
        <v>117.82</v>
      </c>
      <c r="AJ25" s="33">
        <f t="shared" si="17"/>
        <v>7.95</v>
      </c>
      <c r="AK25" s="34">
        <f t="shared" si="51"/>
        <v>71.489999999999995</v>
      </c>
      <c r="AL25" s="211">
        <f t="shared" si="52"/>
        <v>9.32</v>
      </c>
      <c r="AM25" s="208">
        <v>3.5947666736845614E-4</v>
      </c>
      <c r="AN25" s="32">
        <f t="shared" si="18"/>
        <v>116.7</v>
      </c>
      <c r="AO25" s="33">
        <f t="shared" si="19"/>
        <v>7.88</v>
      </c>
      <c r="AP25" s="34">
        <f t="shared" si="53"/>
        <v>70.81</v>
      </c>
      <c r="AQ25" s="211">
        <f t="shared" si="54"/>
        <v>9.23</v>
      </c>
      <c r="AR25" s="208">
        <v>3.57273717001165E-4</v>
      </c>
      <c r="AS25" s="32">
        <f t="shared" si="20"/>
        <v>115.99</v>
      </c>
      <c r="AT25" s="33">
        <f t="shared" si="21"/>
        <v>7.83</v>
      </c>
      <c r="AU25" s="34">
        <f t="shared" si="55"/>
        <v>70.38</v>
      </c>
      <c r="AV25" s="35">
        <f t="shared" si="56"/>
        <v>9.17</v>
      </c>
      <c r="AW25" s="208">
        <v>3.4691353462892513E-4</v>
      </c>
      <c r="AX25" s="32">
        <f t="shared" si="22"/>
        <v>112.63</v>
      </c>
      <c r="AY25" s="33">
        <f t="shared" si="23"/>
        <v>7.6</v>
      </c>
      <c r="AZ25" s="34">
        <f t="shared" si="57"/>
        <v>68.34</v>
      </c>
      <c r="BA25" s="211">
        <f t="shared" si="58"/>
        <v>8.91</v>
      </c>
      <c r="BB25" s="208">
        <v>3.2667274396689326E-4</v>
      </c>
      <c r="BC25" s="32">
        <f t="shared" si="24"/>
        <v>106.05</v>
      </c>
      <c r="BD25" s="33">
        <f t="shared" si="25"/>
        <v>7.16</v>
      </c>
      <c r="BE25" s="34">
        <f t="shared" si="59"/>
        <v>64.349999999999994</v>
      </c>
      <c r="BF25" s="211">
        <f t="shared" si="60"/>
        <v>8.39</v>
      </c>
      <c r="BG25" s="208">
        <v>3.5353157090441909E-4</v>
      </c>
      <c r="BH25" s="32">
        <f t="shared" si="26"/>
        <v>114.77</v>
      </c>
      <c r="BI25" s="33">
        <f t="shared" si="27"/>
        <v>7.75</v>
      </c>
      <c r="BJ25" s="34">
        <f t="shared" si="61"/>
        <v>69.64</v>
      </c>
      <c r="BK25" s="35">
        <f t="shared" si="62"/>
        <v>9.08</v>
      </c>
    </row>
    <row r="26" spans="1:63" ht="30" customHeight="1">
      <c r="A26" s="30">
        <v>1412000006</v>
      </c>
      <c r="B26" s="30" t="s">
        <v>95</v>
      </c>
      <c r="C26" s="31" t="s">
        <v>3</v>
      </c>
      <c r="D26" s="25">
        <v>7.5185714325533303E-4</v>
      </c>
      <c r="E26" s="32">
        <f t="shared" si="0"/>
        <v>244.09</v>
      </c>
      <c r="F26" s="33">
        <f t="shared" si="1"/>
        <v>16.48</v>
      </c>
      <c r="G26" s="34">
        <f t="shared" si="2"/>
        <v>156.9</v>
      </c>
      <c r="H26" s="35">
        <f t="shared" si="3"/>
        <v>19.89</v>
      </c>
      <c r="I26" s="25">
        <v>7.5581367321065208E-4</v>
      </c>
      <c r="J26" s="32">
        <f t="shared" si="4"/>
        <v>245.37</v>
      </c>
      <c r="K26" s="33">
        <f t="shared" si="5"/>
        <v>16.559999999999999</v>
      </c>
      <c r="L26" s="34">
        <f t="shared" si="6"/>
        <v>148.88999999999999</v>
      </c>
      <c r="M26" s="211">
        <f t="shared" si="28"/>
        <v>19.399999999999999</v>
      </c>
      <c r="N26" s="208">
        <v>8.7380880880585021E-4</v>
      </c>
      <c r="O26" s="32">
        <f t="shared" si="29"/>
        <v>283.68</v>
      </c>
      <c r="P26" s="33">
        <f t="shared" si="7"/>
        <v>19.149999999999999</v>
      </c>
      <c r="Q26" s="34">
        <f t="shared" si="63"/>
        <v>172.13</v>
      </c>
      <c r="R26" s="211">
        <f t="shared" si="44"/>
        <v>22.43</v>
      </c>
      <c r="S26" s="208">
        <v>8.4936995079012219E-4</v>
      </c>
      <c r="T26" s="32">
        <f t="shared" si="8"/>
        <v>275.75</v>
      </c>
      <c r="U26" s="33">
        <f t="shared" si="9"/>
        <v>18.61</v>
      </c>
      <c r="V26" s="34">
        <f t="shared" si="45"/>
        <v>167.32</v>
      </c>
      <c r="W26" s="211">
        <f t="shared" si="46"/>
        <v>21.8</v>
      </c>
      <c r="X26" s="208">
        <v>8.2032882548851451E-4</v>
      </c>
      <c r="Y26" s="32">
        <f t="shared" si="10"/>
        <v>266.32</v>
      </c>
      <c r="Z26" s="33">
        <f t="shared" si="11"/>
        <v>17.98</v>
      </c>
      <c r="AA26" s="34">
        <f t="shared" si="47"/>
        <v>161.6</v>
      </c>
      <c r="AB26" s="35">
        <f t="shared" si="48"/>
        <v>21.06</v>
      </c>
      <c r="AC26" s="25">
        <v>8.3202908209319983E-4</v>
      </c>
      <c r="AD26" s="32">
        <f t="shared" si="12"/>
        <v>270.12</v>
      </c>
      <c r="AE26" s="33">
        <f t="shared" si="13"/>
        <v>18.23</v>
      </c>
      <c r="AF26" s="34">
        <f t="shared" si="49"/>
        <v>163.9</v>
      </c>
      <c r="AG26" s="211">
        <f t="shared" si="50"/>
        <v>21.36</v>
      </c>
      <c r="AH26" s="208">
        <v>8.5195360444501652E-4</v>
      </c>
      <c r="AI26" s="32">
        <f t="shared" si="16"/>
        <v>276.58999999999997</v>
      </c>
      <c r="AJ26" s="33">
        <f t="shared" si="17"/>
        <v>18.670000000000002</v>
      </c>
      <c r="AK26" s="34">
        <f t="shared" si="51"/>
        <v>167.83</v>
      </c>
      <c r="AL26" s="211">
        <f t="shared" si="52"/>
        <v>21.87</v>
      </c>
      <c r="AM26" s="208">
        <v>8.4351325800894402E-4</v>
      </c>
      <c r="AN26" s="32">
        <f t="shared" si="18"/>
        <v>273.85000000000002</v>
      </c>
      <c r="AO26" s="33">
        <f t="shared" si="19"/>
        <v>18.48</v>
      </c>
      <c r="AP26" s="34">
        <f t="shared" si="53"/>
        <v>166.17</v>
      </c>
      <c r="AQ26" s="211">
        <f t="shared" si="54"/>
        <v>21.65</v>
      </c>
      <c r="AR26" s="208">
        <v>8.3810601619832038E-4</v>
      </c>
      <c r="AS26" s="32">
        <f t="shared" si="20"/>
        <v>272.08999999999997</v>
      </c>
      <c r="AT26" s="33">
        <f t="shared" si="21"/>
        <v>18.37</v>
      </c>
      <c r="AU26" s="34">
        <f t="shared" si="55"/>
        <v>165.1</v>
      </c>
      <c r="AV26" s="35">
        <f t="shared" si="56"/>
        <v>21.51</v>
      </c>
      <c r="AW26" s="208">
        <v>8.364463593263622E-4</v>
      </c>
      <c r="AX26" s="32">
        <f t="shared" si="22"/>
        <v>271.55</v>
      </c>
      <c r="AY26" s="33">
        <f t="shared" si="23"/>
        <v>18.329999999999998</v>
      </c>
      <c r="AZ26" s="34">
        <f t="shared" si="57"/>
        <v>164.77</v>
      </c>
      <c r="BA26" s="211">
        <f t="shared" si="58"/>
        <v>21.47</v>
      </c>
      <c r="BB26" s="208">
        <v>7.8492434673209919E-4</v>
      </c>
      <c r="BC26" s="32">
        <f t="shared" si="24"/>
        <v>254.83</v>
      </c>
      <c r="BD26" s="33">
        <f t="shared" si="25"/>
        <v>17.2</v>
      </c>
      <c r="BE26" s="34">
        <f t="shared" si="59"/>
        <v>154.62</v>
      </c>
      <c r="BF26" s="211">
        <f t="shared" si="60"/>
        <v>20.149999999999999</v>
      </c>
      <c r="BG26" s="208">
        <v>8.5329226984580148E-4</v>
      </c>
      <c r="BH26" s="32">
        <f t="shared" si="26"/>
        <v>277.02</v>
      </c>
      <c r="BI26" s="33">
        <f t="shared" si="27"/>
        <v>18.7</v>
      </c>
      <c r="BJ26" s="34">
        <f t="shared" si="61"/>
        <v>168.09</v>
      </c>
      <c r="BK26" s="35">
        <f t="shared" si="62"/>
        <v>21.9</v>
      </c>
    </row>
    <row r="27" spans="1:63" ht="30" customHeight="1">
      <c r="A27" s="30">
        <v>1412000034</v>
      </c>
      <c r="B27" s="30" t="s">
        <v>27</v>
      </c>
      <c r="C27" s="31" t="s">
        <v>28</v>
      </c>
      <c r="D27" s="25">
        <v>2.9617080965629764E-2</v>
      </c>
      <c r="E27" s="32">
        <f t="shared" si="0"/>
        <v>9615.17</v>
      </c>
      <c r="F27" s="33">
        <f t="shared" si="1"/>
        <v>648.99</v>
      </c>
      <c r="G27" s="34">
        <f t="shared" si="2"/>
        <v>6180.47</v>
      </c>
      <c r="H27" s="35">
        <f t="shared" si="3"/>
        <v>783.62</v>
      </c>
      <c r="I27" s="25">
        <v>2.9790964379628821E-2</v>
      </c>
      <c r="J27" s="32">
        <f t="shared" si="4"/>
        <v>9671.6200000000008</v>
      </c>
      <c r="K27" s="33">
        <f t="shared" si="5"/>
        <v>652.79999999999995</v>
      </c>
      <c r="L27" s="34">
        <f t="shared" si="6"/>
        <v>5868.57</v>
      </c>
      <c r="M27" s="211">
        <f t="shared" si="28"/>
        <v>764.72</v>
      </c>
      <c r="N27" s="208">
        <v>3.0200676408035722E-2</v>
      </c>
      <c r="O27" s="32">
        <f t="shared" si="29"/>
        <v>9804.64</v>
      </c>
      <c r="P27" s="33">
        <f t="shared" si="7"/>
        <v>661.77</v>
      </c>
      <c r="Q27" s="34">
        <f t="shared" si="63"/>
        <v>5949.28</v>
      </c>
      <c r="R27" s="211">
        <f t="shared" si="44"/>
        <v>775.24</v>
      </c>
      <c r="S27" s="208">
        <v>2.9812570376025797E-2</v>
      </c>
      <c r="T27" s="32">
        <f t="shared" si="8"/>
        <v>9678.64</v>
      </c>
      <c r="U27" s="33">
        <f t="shared" si="9"/>
        <v>653.27</v>
      </c>
      <c r="V27" s="34">
        <f t="shared" si="45"/>
        <v>5872.83</v>
      </c>
      <c r="W27" s="211">
        <f t="shared" si="46"/>
        <v>765.28</v>
      </c>
      <c r="X27" s="208">
        <v>2.9622170838420919E-2</v>
      </c>
      <c r="Y27" s="32">
        <f t="shared" si="10"/>
        <v>9616.83</v>
      </c>
      <c r="Z27" s="33">
        <f t="shared" si="11"/>
        <v>649.1</v>
      </c>
      <c r="AA27" s="34">
        <f t="shared" si="47"/>
        <v>5835.32</v>
      </c>
      <c r="AB27" s="35">
        <f t="shared" si="48"/>
        <v>760.39</v>
      </c>
      <c r="AC27" s="25">
        <v>2.9740473432979402E-2</v>
      </c>
      <c r="AD27" s="32">
        <f t="shared" si="12"/>
        <v>9655.23</v>
      </c>
      <c r="AE27" s="33">
        <f t="shared" si="13"/>
        <v>651.69000000000005</v>
      </c>
      <c r="AF27" s="34">
        <f t="shared" si="49"/>
        <v>5858.63</v>
      </c>
      <c r="AG27" s="211">
        <f t="shared" si="50"/>
        <v>763.43</v>
      </c>
      <c r="AH27" s="208">
        <v>3.0192001490408332E-2</v>
      </c>
      <c r="AI27" s="32">
        <f t="shared" si="16"/>
        <v>9801.82</v>
      </c>
      <c r="AJ27" s="33">
        <f t="shared" si="17"/>
        <v>661.58</v>
      </c>
      <c r="AK27" s="34">
        <f t="shared" si="51"/>
        <v>5947.58</v>
      </c>
      <c r="AL27" s="211">
        <f t="shared" si="52"/>
        <v>775.02</v>
      </c>
      <c r="AM27" s="208">
        <v>3.0099157679611528E-2</v>
      </c>
      <c r="AN27" s="32">
        <f t="shared" si="18"/>
        <v>9771.68</v>
      </c>
      <c r="AO27" s="33">
        <f t="shared" si="19"/>
        <v>659.55</v>
      </c>
      <c r="AP27" s="34">
        <f t="shared" si="53"/>
        <v>5929.29</v>
      </c>
      <c r="AQ27" s="211">
        <f t="shared" si="54"/>
        <v>772.63</v>
      </c>
      <c r="AR27" s="208">
        <v>3.0039678019694663E-2</v>
      </c>
      <c r="AS27" s="32">
        <f t="shared" si="20"/>
        <v>9752.3700000000008</v>
      </c>
      <c r="AT27" s="33">
        <f t="shared" si="21"/>
        <v>658.25</v>
      </c>
      <c r="AU27" s="34">
        <f t="shared" si="55"/>
        <v>5917.57</v>
      </c>
      <c r="AV27" s="35">
        <f t="shared" si="56"/>
        <v>771.11</v>
      </c>
      <c r="AW27" s="208">
        <v>2.9808809755663572E-2</v>
      </c>
      <c r="AX27" s="32">
        <f t="shared" si="22"/>
        <v>9677.42</v>
      </c>
      <c r="AY27" s="33">
        <f t="shared" si="23"/>
        <v>653.19000000000005</v>
      </c>
      <c r="AZ27" s="34">
        <f t="shared" si="57"/>
        <v>5872.09</v>
      </c>
      <c r="BA27" s="211">
        <f t="shared" si="58"/>
        <v>765.18</v>
      </c>
      <c r="BB27" s="208">
        <v>2.9262308407788717E-2</v>
      </c>
      <c r="BC27" s="32">
        <f t="shared" si="24"/>
        <v>9500</v>
      </c>
      <c r="BD27" s="33">
        <f t="shared" si="25"/>
        <v>641.21</v>
      </c>
      <c r="BE27" s="34">
        <f t="shared" si="59"/>
        <v>5764.43</v>
      </c>
      <c r="BF27" s="211">
        <f t="shared" si="60"/>
        <v>751.15</v>
      </c>
      <c r="BG27" s="208">
        <v>2.9987496735101919E-2</v>
      </c>
      <c r="BH27" s="32">
        <f t="shared" si="26"/>
        <v>9735.43</v>
      </c>
      <c r="BI27" s="33">
        <f t="shared" si="27"/>
        <v>657.1</v>
      </c>
      <c r="BJ27" s="34">
        <f t="shared" si="61"/>
        <v>5907.29</v>
      </c>
      <c r="BK27" s="35">
        <f t="shared" si="62"/>
        <v>769.77</v>
      </c>
    </row>
    <row r="28" spans="1:63" ht="30" customHeight="1">
      <c r="A28" s="30">
        <v>1412000048</v>
      </c>
      <c r="B28" s="30" t="s">
        <v>29</v>
      </c>
      <c r="C28" s="31" t="s">
        <v>30</v>
      </c>
      <c r="D28" s="25">
        <v>9.3427019806153263E-4</v>
      </c>
      <c r="E28" s="32">
        <f t="shared" si="0"/>
        <v>303.31</v>
      </c>
      <c r="F28" s="33">
        <f t="shared" si="1"/>
        <v>20.47</v>
      </c>
      <c r="G28" s="34">
        <f t="shared" si="2"/>
        <v>194.96</v>
      </c>
      <c r="H28" s="35">
        <f t="shared" si="3"/>
        <v>24.72</v>
      </c>
      <c r="I28" s="25">
        <v>9.4847032678739747E-4</v>
      </c>
      <c r="J28" s="32">
        <f t="shared" si="4"/>
        <v>307.92</v>
      </c>
      <c r="K28" s="33">
        <f t="shared" si="5"/>
        <v>20.78</v>
      </c>
      <c r="L28" s="34">
        <f t="shared" si="6"/>
        <v>186.84</v>
      </c>
      <c r="M28" s="211">
        <f t="shared" si="28"/>
        <v>24.35</v>
      </c>
      <c r="N28" s="208">
        <v>9.8614499606619437E-4</v>
      </c>
      <c r="O28" s="32">
        <f t="shared" si="29"/>
        <v>320.14999999999998</v>
      </c>
      <c r="P28" s="33">
        <f t="shared" si="7"/>
        <v>21.61</v>
      </c>
      <c r="Q28" s="34">
        <f t="shared" si="63"/>
        <v>194.26</v>
      </c>
      <c r="R28" s="211">
        <f t="shared" si="44"/>
        <v>25.31</v>
      </c>
      <c r="S28" s="208">
        <v>9.4855844586553086E-4</v>
      </c>
      <c r="T28" s="32">
        <f t="shared" si="8"/>
        <v>307.95</v>
      </c>
      <c r="U28" s="33">
        <f t="shared" si="9"/>
        <v>20.79</v>
      </c>
      <c r="V28" s="34">
        <f t="shared" si="45"/>
        <v>186.86</v>
      </c>
      <c r="W28" s="211">
        <f t="shared" si="46"/>
        <v>24.35</v>
      </c>
      <c r="X28" s="208">
        <v>9.2274411226410174E-4</v>
      </c>
      <c r="Y28" s="32">
        <f t="shared" si="10"/>
        <v>299.57</v>
      </c>
      <c r="Z28" s="33">
        <f t="shared" si="11"/>
        <v>20.22</v>
      </c>
      <c r="AA28" s="34">
        <f t="shared" si="47"/>
        <v>181.77</v>
      </c>
      <c r="AB28" s="35">
        <f t="shared" si="48"/>
        <v>23.69</v>
      </c>
      <c r="AC28" s="25">
        <v>9.3314434035715534E-4</v>
      </c>
      <c r="AD28" s="32">
        <f t="shared" si="12"/>
        <v>302.94</v>
      </c>
      <c r="AE28" s="33">
        <f t="shared" si="13"/>
        <v>20.45</v>
      </c>
      <c r="AF28" s="34">
        <f t="shared" si="49"/>
        <v>183.82</v>
      </c>
      <c r="AG28" s="211">
        <f t="shared" si="50"/>
        <v>23.95</v>
      </c>
      <c r="AH28" s="208">
        <v>9.5085502689210358E-4</v>
      </c>
      <c r="AI28" s="32">
        <f t="shared" si="16"/>
        <v>308.69</v>
      </c>
      <c r="AJ28" s="33">
        <f t="shared" si="17"/>
        <v>20.84</v>
      </c>
      <c r="AK28" s="34">
        <f t="shared" si="51"/>
        <v>187.31</v>
      </c>
      <c r="AL28" s="211">
        <f t="shared" si="52"/>
        <v>24.41</v>
      </c>
      <c r="AM28" s="208">
        <v>9.4335249672670572E-4</v>
      </c>
      <c r="AN28" s="32">
        <f t="shared" si="18"/>
        <v>306.26</v>
      </c>
      <c r="AO28" s="33">
        <f t="shared" si="19"/>
        <v>20.67</v>
      </c>
      <c r="AP28" s="34">
        <f t="shared" si="53"/>
        <v>185.83</v>
      </c>
      <c r="AQ28" s="211">
        <f t="shared" si="54"/>
        <v>24.22</v>
      </c>
      <c r="AR28" s="208">
        <v>9.3854605956170698E-4</v>
      </c>
      <c r="AS28" s="32">
        <f t="shared" si="20"/>
        <v>304.7</v>
      </c>
      <c r="AT28" s="33">
        <f t="shared" si="21"/>
        <v>20.57</v>
      </c>
      <c r="AU28" s="34">
        <f t="shared" si="55"/>
        <v>184.89</v>
      </c>
      <c r="AV28" s="35">
        <f t="shared" si="56"/>
        <v>24.09</v>
      </c>
      <c r="AW28" s="208">
        <v>9.1989003822586022E-4</v>
      </c>
      <c r="AX28" s="32">
        <f t="shared" si="22"/>
        <v>298.64</v>
      </c>
      <c r="AY28" s="33">
        <f t="shared" si="23"/>
        <v>20.16</v>
      </c>
      <c r="AZ28" s="34">
        <f t="shared" si="57"/>
        <v>181.21</v>
      </c>
      <c r="BA28" s="211">
        <f t="shared" si="58"/>
        <v>23.61</v>
      </c>
      <c r="BB28" s="208">
        <v>8.7572831314506347E-4</v>
      </c>
      <c r="BC28" s="32">
        <f t="shared" si="24"/>
        <v>284.3</v>
      </c>
      <c r="BD28" s="33">
        <f t="shared" si="25"/>
        <v>19.190000000000001</v>
      </c>
      <c r="BE28" s="34">
        <f t="shared" si="59"/>
        <v>172.51</v>
      </c>
      <c r="BF28" s="211">
        <f t="shared" si="60"/>
        <v>22.48</v>
      </c>
      <c r="BG28" s="208">
        <v>9.3432939009966537E-4</v>
      </c>
      <c r="BH28" s="32">
        <f t="shared" si="26"/>
        <v>303.33</v>
      </c>
      <c r="BI28" s="33">
        <f t="shared" si="27"/>
        <v>20.47</v>
      </c>
      <c r="BJ28" s="34">
        <f t="shared" si="61"/>
        <v>184.06</v>
      </c>
      <c r="BK28" s="35">
        <f t="shared" si="62"/>
        <v>23.98</v>
      </c>
    </row>
    <row r="29" spans="1:63" ht="30" customHeight="1">
      <c r="A29" s="30">
        <v>1412000063</v>
      </c>
      <c r="B29" s="30" t="s">
        <v>31</v>
      </c>
      <c r="C29" s="31" t="s">
        <v>96</v>
      </c>
      <c r="D29" s="25">
        <v>1.1633431065496882E-4</v>
      </c>
      <c r="E29" s="32">
        <f t="shared" si="0"/>
        <v>37.770000000000003</v>
      </c>
      <c r="F29" s="33">
        <f t="shared" si="1"/>
        <v>2.5499999999999998</v>
      </c>
      <c r="G29" s="34">
        <f t="shared" si="2"/>
        <v>24.28</v>
      </c>
      <c r="H29" s="35">
        <f t="shared" si="3"/>
        <v>3.08</v>
      </c>
      <c r="I29" s="25">
        <v>1.1193085187452981E-4</v>
      </c>
      <c r="J29" s="32">
        <f t="shared" si="4"/>
        <v>36.340000000000003</v>
      </c>
      <c r="K29" s="33">
        <f t="shared" si="5"/>
        <v>2.4500000000000002</v>
      </c>
      <c r="L29" s="34">
        <f t="shared" si="6"/>
        <v>22.05</v>
      </c>
      <c r="M29" s="211">
        <f t="shared" si="28"/>
        <v>2.87</v>
      </c>
      <c r="N29" s="208">
        <v>1.2605885285407877E-4</v>
      </c>
      <c r="O29" s="32">
        <f t="shared" si="29"/>
        <v>40.92</v>
      </c>
      <c r="P29" s="33">
        <f t="shared" si="7"/>
        <v>2.76</v>
      </c>
      <c r="Q29" s="34">
        <f t="shared" si="63"/>
        <v>24.83</v>
      </c>
      <c r="R29" s="211">
        <f t="shared" si="44"/>
        <v>3.24</v>
      </c>
      <c r="S29" s="208">
        <v>1.3261159795110642E-4</v>
      </c>
      <c r="T29" s="32">
        <f t="shared" si="8"/>
        <v>43.05</v>
      </c>
      <c r="U29" s="33">
        <f t="shared" si="9"/>
        <v>2.91</v>
      </c>
      <c r="V29" s="34">
        <f t="shared" si="45"/>
        <v>26.12</v>
      </c>
      <c r="W29" s="211">
        <f t="shared" si="46"/>
        <v>3.4</v>
      </c>
      <c r="X29" s="208">
        <v>1.2078002838378479E-4</v>
      </c>
      <c r="Y29" s="32">
        <f t="shared" si="10"/>
        <v>39.21</v>
      </c>
      <c r="Z29" s="33">
        <f t="shared" si="11"/>
        <v>2.65</v>
      </c>
      <c r="AA29" s="34">
        <f t="shared" si="47"/>
        <v>23.79</v>
      </c>
      <c r="AB29" s="35">
        <f t="shared" si="48"/>
        <v>3.1</v>
      </c>
      <c r="AC29" s="25">
        <v>1.4490999222301307E-4</v>
      </c>
      <c r="AD29" s="32">
        <f t="shared" si="12"/>
        <v>47.04</v>
      </c>
      <c r="AE29" s="33">
        <f t="shared" si="13"/>
        <v>3.18</v>
      </c>
      <c r="AF29" s="34">
        <f t="shared" si="49"/>
        <v>28.55</v>
      </c>
      <c r="AG29" s="211">
        <f t="shared" si="50"/>
        <v>3.72</v>
      </c>
      <c r="AH29" s="208">
        <v>1.4408373917553104E-4</v>
      </c>
      <c r="AI29" s="32">
        <f t="shared" si="16"/>
        <v>46.78</v>
      </c>
      <c r="AJ29" s="33">
        <f t="shared" si="17"/>
        <v>3.16</v>
      </c>
      <c r="AK29" s="34">
        <f t="shared" si="51"/>
        <v>28.38</v>
      </c>
      <c r="AL29" s="211">
        <f t="shared" si="52"/>
        <v>3.7</v>
      </c>
      <c r="AM29" s="208">
        <v>1.403324740928322E-4</v>
      </c>
      <c r="AN29" s="32">
        <f t="shared" si="18"/>
        <v>45.56</v>
      </c>
      <c r="AO29" s="33">
        <f t="shared" si="19"/>
        <v>3.08</v>
      </c>
      <c r="AP29" s="34">
        <f t="shared" si="53"/>
        <v>27.64</v>
      </c>
      <c r="AQ29" s="211">
        <f t="shared" si="54"/>
        <v>3.6</v>
      </c>
      <c r="AR29" s="208">
        <v>1.2802258756185398E-4</v>
      </c>
      <c r="AS29" s="32">
        <f t="shared" si="20"/>
        <v>41.56</v>
      </c>
      <c r="AT29" s="33">
        <f t="shared" si="21"/>
        <v>2.81</v>
      </c>
      <c r="AU29" s="34">
        <f t="shared" si="55"/>
        <v>25.22</v>
      </c>
      <c r="AV29" s="35">
        <f t="shared" si="56"/>
        <v>3.29</v>
      </c>
      <c r="AW29" s="208">
        <v>1.1947191111625737E-4</v>
      </c>
      <c r="AX29" s="32">
        <f t="shared" si="22"/>
        <v>38.79</v>
      </c>
      <c r="AY29" s="33">
        <f t="shared" si="23"/>
        <v>2.62</v>
      </c>
      <c r="AZ29" s="34">
        <f t="shared" si="57"/>
        <v>23.53</v>
      </c>
      <c r="BA29" s="211">
        <f t="shared" si="58"/>
        <v>3.07</v>
      </c>
      <c r="BB29" s="208">
        <v>9.1941858606439981E-5</v>
      </c>
      <c r="BC29" s="32">
        <f t="shared" si="24"/>
        <v>29.85</v>
      </c>
      <c r="BD29" s="33">
        <f t="shared" si="25"/>
        <v>2.0099999999999998</v>
      </c>
      <c r="BE29" s="34">
        <f t="shared" si="59"/>
        <v>18.11</v>
      </c>
      <c r="BF29" s="211">
        <f t="shared" si="60"/>
        <v>2.36</v>
      </c>
      <c r="BG29" s="208">
        <v>1.1635897400419072E-4</v>
      </c>
      <c r="BH29" s="32">
        <f t="shared" si="26"/>
        <v>37.78</v>
      </c>
      <c r="BI29" s="33">
        <f t="shared" si="27"/>
        <v>2.5499999999999998</v>
      </c>
      <c r="BJ29" s="34">
        <f t="shared" si="61"/>
        <v>22.92</v>
      </c>
      <c r="BK29" s="35">
        <f t="shared" si="62"/>
        <v>2.99</v>
      </c>
    </row>
    <row r="30" spans="1:63" ht="30" customHeight="1">
      <c r="A30" s="30">
        <v>1412000036</v>
      </c>
      <c r="B30" s="30" t="s">
        <v>127</v>
      </c>
      <c r="C30" s="31" t="s">
        <v>191</v>
      </c>
      <c r="D30" s="25">
        <v>9.4413479497626851E-2</v>
      </c>
      <c r="E30" s="32">
        <f t="shared" si="0"/>
        <v>30651.3</v>
      </c>
      <c r="F30" s="33">
        <f t="shared" si="1"/>
        <v>2068.84</v>
      </c>
      <c r="G30" s="34">
        <f t="shared" si="2"/>
        <v>19702.13</v>
      </c>
      <c r="H30" s="35">
        <f t="shared" si="3"/>
        <v>2498.0300000000002</v>
      </c>
      <c r="I30" s="25">
        <v>9.4412897602403123E-2</v>
      </c>
      <c r="J30" s="32">
        <f t="shared" si="4"/>
        <v>30651.11</v>
      </c>
      <c r="K30" s="33">
        <f t="shared" si="5"/>
        <v>2068.83</v>
      </c>
      <c r="L30" s="34">
        <f t="shared" si="6"/>
        <v>18598.560000000001</v>
      </c>
      <c r="M30" s="211">
        <f t="shared" si="28"/>
        <v>2423.54</v>
      </c>
      <c r="N30" s="208">
        <v>9.4507512923681258E-2</v>
      </c>
      <c r="O30" s="32">
        <f t="shared" si="29"/>
        <v>30681.83</v>
      </c>
      <c r="P30" s="33">
        <f t="shared" si="7"/>
        <v>2070.9</v>
      </c>
      <c r="Q30" s="34">
        <f t="shared" si="63"/>
        <v>18617.2</v>
      </c>
      <c r="R30" s="211">
        <f t="shared" si="44"/>
        <v>2425.9699999999998</v>
      </c>
      <c r="S30" s="208">
        <v>9.440128922943862E-2</v>
      </c>
      <c r="T30" s="32">
        <f t="shared" si="8"/>
        <v>30647.34</v>
      </c>
      <c r="U30" s="33">
        <f t="shared" si="9"/>
        <v>2068.5700000000002</v>
      </c>
      <c r="V30" s="34">
        <f t="shared" si="45"/>
        <v>18596.28</v>
      </c>
      <c r="W30" s="211">
        <f t="shared" si="46"/>
        <v>2423.2399999999998</v>
      </c>
      <c r="X30" s="208">
        <v>9.4225542820546362E-2</v>
      </c>
      <c r="Y30" s="32">
        <f t="shared" si="10"/>
        <v>30590.28</v>
      </c>
      <c r="Z30" s="33">
        <f t="shared" si="11"/>
        <v>2064.7199999999998</v>
      </c>
      <c r="AA30" s="34">
        <f t="shared" si="47"/>
        <v>18561.66</v>
      </c>
      <c r="AB30" s="35">
        <f t="shared" si="48"/>
        <v>2418.73</v>
      </c>
      <c r="AC30" s="25">
        <v>9.4223399480531905E-2</v>
      </c>
      <c r="AD30" s="32">
        <f t="shared" si="12"/>
        <v>30589.59</v>
      </c>
      <c r="AE30" s="33">
        <f t="shared" si="13"/>
        <v>2064.6799999999998</v>
      </c>
      <c r="AF30" s="34">
        <f t="shared" si="49"/>
        <v>18561.23</v>
      </c>
      <c r="AG30" s="211">
        <f t="shared" si="50"/>
        <v>2418.67</v>
      </c>
      <c r="AH30" s="208">
        <v>9.4297862985478459E-2</v>
      </c>
      <c r="AI30" s="32">
        <f t="shared" si="16"/>
        <v>30613.759999999998</v>
      </c>
      <c r="AJ30" s="33">
        <f t="shared" si="17"/>
        <v>2066.31</v>
      </c>
      <c r="AK30" s="34">
        <f t="shared" si="51"/>
        <v>18575.900000000001</v>
      </c>
      <c r="AL30" s="211">
        <f t="shared" si="52"/>
        <v>2420.59</v>
      </c>
      <c r="AM30" s="208">
        <v>9.4245799733503707E-2</v>
      </c>
      <c r="AN30" s="32">
        <f t="shared" si="18"/>
        <v>30596.86</v>
      </c>
      <c r="AO30" s="33">
        <f t="shared" si="19"/>
        <v>2065.17</v>
      </c>
      <c r="AP30" s="34">
        <f t="shared" si="53"/>
        <v>18565.650000000001</v>
      </c>
      <c r="AQ30" s="211">
        <f t="shared" si="54"/>
        <v>2419.25</v>
      </c>
      <c r="AR30" s="208">
        <v>9.4236979782522157E-2</v>
      </c>
      <c r="AS30" s="32">
        <f t="shared" si="20"/>
        <v>30594</v>
      </c>
      <c r="AT30" s="33">
        <f t="shared" si="21"/>
        <v>2064.9699999999998</v>
      </c>
      <c r="AU30" s="34">
        <f t="shared" si="55"/>
        <v>18563.91</v>
      </c>
      <c r="AV30" s="35">
        <f t="shared" si="56"/>
        <v>2419.02</v>
      </c>
      <c r="AW30" s="208">
        <v>9.4189592323279156E-2</v>
      </c>
      <c r="AX30" s="32">
        <f t="shared" si="22"/>
        <v>30578.61</v>
      </c>
      <c r="AY30" s="33">
        <f t="shared" si="23"/>
        <v>2063.94</v>
      </c>
      <c r="AZ30" s="34">
        <f t="shared" si="57"/>
        <v>18554.57</v>
      </c>
      <c r="BA30" s="211">
        <f t="shared" si="58"/>
        <v>2417.81</v>
      </c>
      <c r="BB30" s="208">
        <v>9.3971420259697166E-2</v>
      </c>
      <c r="BC30" s="32">
        <f t="shared" si="24"/>
        <v>30507.78</v>
      </c>
      <c r="BD30" s="33">
        <f t="shared" si="25"/>
        <v>2059.16</v>
      </c>
      <c r="BE30" s="34">
        <f t="shared" si="59"/>
        <v>18511.599999999999</v>
      </c>
      <c r="BF30" s="211">
        <f t="shared" si="60"/>
        <v>2412.21</v>
      </c>
      <c r="BG30" s="208">
        <v>9.4242519788084206E-2</v>
      </c>
      <c r="BH30" s="32">
        <f t="shared" si="26"/>
        <v>30595.8</v>
      </c>
      <c r="BI30" s="33">
        <f t="shared" si="27"/>
        <v>2065.1</v>
      </c>
      <c r="BJ30" s="34">
        <f t="shared" si="61"/>
        <v>18565</v>
      </c>
      <c r="BK30" s="35">
        <f t="shared" si="62"/>
        <v>2419.16</v>
      </c>
    </row>
    <row r="31" spans="1:63" ht="30" customHeight="1">
      <c r="A31" s="252">
        <v>1412000103</v>
      </c>
      <c r="B31" s="252" t="s">
        <v>127</v>
      </c>
      <c r="C31" s="253" t="s">
        <v>192</v>
      </c>
      <c r="D31" s="25">
        <v>0.15834582948980272</v>
      </c>
      <c r="E31" s="32">
        <f t="shared" ref="E31" si="160">ROUND($E$5*D31,2)</f>
        <v>51406.91</v>
      </c>
      <c r="F31" s="33">
        <f t="shared" ref="F31" si="161">ROUND($F$5*D31,2)</f>
        <v>3469.76</v>
      </c>
      <c r="G31" s="34">
        <f t="shared" ref="G31" si="162">ROUND($G$5*D31,2)</f>
        <v>33043.47</v>
      </c>
      <c r="H31" s="35">
        <f t="shared" ref="H31" si="163">ROUND($H$5*D31,2)</f>
        <v>4189.58</v>
      </c>
      <c r="I31" s="25">
        <v>0.15833182866541626</v>
      </c>
      <c r="J31" s="32">
        <f t="shared" ref="J31" si="164">ROUND($E$5*I31,2)</f>
        <v>51402.36</v>
      </c>
      <c r="K31" s="33">
        <f t="shared" ref="K31" si="165">ROUND($F$5*I31,2)</f>
        <v>3469.46</v>
      </c>
      <c r="L31" s="34">
        <f t="shared" ref="L31" si="166">ROUND($L$5*I31,2)</f>
        <v>31190.07</v>
      </c>
      <c r="M31" s="211">
        <f t="shared" ref="M31" si="167">ROUND($M$5*I31,2)</f>
        <v>4064.31</v>
      </c>
      <c r="N31" s="208">
        <v>0.15852198488577815</v>
      </c>
      <c r="O31" s="32">
        <f t="shared" ref="O31" si="168">ROUND($E$5*N31,2)</f>
        <v>51464.1</v>
      </c>
      <c r="P31" s="33">
        <f t="shared" ref="P31" si="169">ROUND($F$5*N31,2)</f>
        <v>3473.62</v>
      </c>
      <c r="Q31" s="34">
        <f t="shared" ref="Q31" si="170">ROUND($L$5*N31,2)</f>
        <v>31227.53</v>
      </c>
      <c r="R31" s="211">
        <f t="shared" ref="R31" si="171">ROUND($M$5*N31,2)</f>
        <v>4069.19</v>
      </c>
      <c r="S31" s="208">
        <v>0.15830867629872306</v>
      </c>
      <c r="T31" s="32">
        <f t="shared" ref="T31" si="172">ROUND($E$5*S31,2)</f>
        <v>51394.85</v>
      </c>
      <c r="U31" s="33">
        <f t="shared" ref="U31" si="173">ROUND($F$5*S31,2)</f>
        <v>3468.95</v>
      </c>
      <c r="V31" s="34">
        <f t="shared" ref="V31" si="174">ROUND($L$5*S31,2)</f>
        <v>31185.51</v>
      </c>
      <c r="W31" s="211">
        <f t="shared" ref="W31" si="175">ROUND($M$5*S31,2)</f>
        <v>4063.72</v>
      </c>
      <c r="X31" s="208">
        <v>0.15811111310140308</v>
      </c>
      <c r="Y31" s="32">
        <f t="shared" ref="Y31" si="176">ROUND($E$5*X31,2)</f>
        <v>51330.71</v>
      </c>
      <c r="Z31" s="33">
        <f t="shared" ref="Z31" si="177">ROUND($F$5*X31,2)</f>
        <v>3464.62</v>
      </c>
      <c r="AA31" s="34">
        <f t="shared" ref="AA31" si="178">ROUND($L$5*X31,2)</f>
        <v>31146.59</v>
      </c>
      <c r="AB31" s="35">
        <f t="shared" ref="AB31" si="179">ROUND($M$5*X31,2)</f>
        <v>4058.64</v>
      </c>
      <c r="AC31" s="25">
        <v>0.1580857008753897</v>
      </c>
      <c r="AD31" s="32">
        <f t="shared" ref="AD31" si="180">ROUND($E$5*AC31,2)</f>
        <v>51322.46</v>
      </c>
      <c r="AE31" s="33">
        <f t="shared" ref="AE31" si="181">ROUND($F$5*AC31,2)</f>
        <v>3464.06</v>
      </c>
      <c r="AF31" s="34">
        <f t="shared" ref="AF31" si="182">ROUND($L$5*AC31,2)</f>
        <v>31141.58</v>
      </c>
      <c r="AG31" s="211">
        <f t="shared" ref="AG31" si="183">ROUND($M$5*AC31,2)</f>
        <v>4057.99</v>
      </c>
      <c r="AH31" s="208">
        <v>0.15827227453104842</v>
      </c>
      <c r="AI31" s="32">
        <f t="shared" ref="AI31" si="184">ROUND($E$5*AH31,2)</f>
        <v>51383.03</v>
      </c>
      <c r="AJ31" s="33">
        <f t="shared" ref="AJ31" si="185">ROUND($F$5*AH31,2)</f>
        <v>3468.15</v>
      </c>
      <c r="AK31" s="34">
        <f t="shared" ref="AK31" si="186">ROUND($L$5*AH31,2)</f>
        <v>31178.34</v>
      </c>
      <c r="AL31" s="211">
        <f t="shared" ref="AL31" si="187">ROUND($M$5*AH31,2)</f>
        <v>4062.78</v>
      </c>
      <c r="AM31" s="208">
        <v>0.15814037562278174</v>
      </c>
      <c r="AN31" s="32">
        <f t="shared" ref="AN31" si="188">ROUND($E$5*AM31,2)</f>
        <v>51340.21</v>
      </c>
      <c r="AO31" s="33">
        <f t="shared" ref="AO31" si="189">ROUND($F$5*AM31,2)</f>
        <v>3465.26</v>
      </c>
      <c r="AP31" s="34">
        <f t="shared" ref="AP31" si="190">ROUND($L$5*AM31,2)</f>
        <v>31152.35</v>
      </c>
      <c r="AQ31" s="211">
        <f t="shared" ref="AQ31" si="191">ROUND($M$5*AM31,2)</f>
        <v>4059.4</v>
      </c>
      <c r="AR31" s="208">
        <v>0.15810771360401374</v>
      </c>
      <c r="AS31" s="32">
        <f t="shared" ref="AS31" si="192">ROUND($E$5*AR31,2)</f>
        <v>51329.61</v>
      </c>
      <c r="AT31" s="33">
        <f t="shared" ref="AT31" si="193">ROUND($F$5*AR31,2)</f>
        <v>3464.55</v>
      </c>
      <c r="AU31" s="34">
        <f t="shared" ref="AU31" si="194">ROUND($L$5*AR31,2)</f>
        <v>31145.919999999998</v>
      </c>
      <c r="AV31" s="35">
        <f t="shared" ref="AV31" si="195">ROUND($M$5*AR31,2)</f>
        <v>4058.56</v>
      </c>
      <c r="AW31" s="208">
        <v>0.15798789367499291</v>
      </c>
      <c r="AX31" s="32">
        <f t="shared" ref="AX31" si="196">ROUND($E$5*AW31,2)</f>
        <v>51290.71</v>
      </c>
      <c r="AY31" s="33">
        <f t="shared" ref="AY31" si="197">ROUND($F$5*AW31,2)</f>
        <v>3461.92</v>
      </c>
      <c r="AZ31" s="34">
        <f t="shared" ref="AZ31" si="198">ROUND($L$5*AW31,2)</f>
        <v>31122.31</v>
      </c>
      <c r="BA31" s="211">
        <f t="shared" ref="BA31" si="199">ROUND($M$5*AW31,2)</f>
        <v>4055.48</v>
      </c>
      <c r="BB31" s="208">
        <v>0.15749377299177791</v>
      </c>
      <c r="BC31" s="32">
        <f t="shared" ref="BC31" si="200">ROUND($E$5*BB31,2)</f>
        <v>51130.29</v>
      </c>
      <c r="BD31" s="33">
        <f t="shared" ref="BD31" si="201">ROUND($F$5*BB31,2)</f>
        <v>3451.09</v>
      </c>
      <c r="BE31" s="34">
        <f t="shared" ref="BE31" si="202">ROUND($L$5*BB31,2)</f>
        <v>31024.98</v>
      </c>
      <c r="BF31" s="211">
        <f t="shared" ref="BF31" si="203">ROUND($M$5*BB31,2)</f>
        <v>4042.8</v>
      </c>
      <c r="BG31" s="208">
        <v>0.15812365205811338</v>
      </c>
      <c r="BH31" s="32">
        <f t="shared" ref="BH31" si="204">ROUND($E$5*BG31,2)</f>
        <v>51334.78</v>
      </c>
      <c r="BI31" s="33">
        <f t="shared" ref="BI31" si="205">ROUND($F$5*BG31,2)</f>
        <v>3464.9</v>
      </c>
      <c r="BJ31" s="34">
        <f t="shared" ref="BJ31" si="206">ROUND($L$5*BG31,2)</f>
        <v>31149.06</v>
      </c>
      <c r="BK31" s="35">
        <f t="shared" ref="BK31" si="207">ROUND($M$5*BG31,2)</f>
        <v>4058.97</v>
      </c>
    </row>
    <row r="32" spans="1:63" ht="30" customHeight="1">
      <c r="A32" s="30">
        <v>1412000072</v>
      </c>
      <c r="B32" s="30" t="s">
        <v>128</v>
      </c>
      <c r="C32" s="31" t="s">
        <v>82</v>
      </c>
      <c r="D32" s="25">
        <v>0.11201152244293845</v>
      </c>
      <c r="E32" s="32">
        <f t="shared" si="0"/>
        <v>36364.5</v>
      </c>
      <c r="F32" s="33">
        <f t="shared" si="1"/>
        <v>2454.46</v>
      </c>
      <c r="G32" s="34">
        <f t="shared" si="2"/>
        <v>23374.47</v>
      </c>
      <c r="H32" s="35">
        <f t="shared" si="3"/>
        <v>2963.65</v>
      </c>
      <c r="I32" s="25">
        <v>0.11201399516489151</v>
      </c>
      <c r="J32" s="32">
        <f t="shared" si="4"/>
        <v>36365.300000000003</v>
      </c>
      <c r="K32" s="33">
        <f t="shared" si="5"/>
        <v>2454.5100000000002</v>
      </c>
      <c r="L32" s="34">
        <f t="shared" si="6"/>
        <v>22065.84</v>
      </c>
      <c r="M32" s="211">
        <f t="shared" si="28"/>
        <v>2875.35</v>
      </c>
      <c r="N32" s="208">
        <v>0.11206315326349092</v>
      </c>
      <c r="O32" s="32">
        <f t="shared" si="29"/>
        <v>36381.26</v>
      </c>
      <c r="P32" s="33">
        <f t="shared" si="7"/>
        <v>2455.59</v>
      </c>
      <c r="Q32" s="34">
        <f t="shared" si="63"/>
        <v>22075.52</v>
      </c>
      <c r="R32" s="211">
        <f t="shared" si="44"/>
        <v>2876.61</v>
      </c>
      <c r="S32" s="208">
        <v>0.11200162730182819</v>
      </c>
      <c r="T32" s="32">
        <f t="shared" si="8"/>
        <v>36361.279999999999</v>
      </c>
      <c r="U32" s="33">
        <f t="shared" si="9"/>
        <v>2454.2399999999998</v>
      </c>
      <c r="V32" s="34">
        <f t="shared" si="45"/>
        <v>22063.4</v>
      </c>
      <c r="W32" s="211">
        <f t="shared" si="46"/>
        <v>2875.03</v>
      </c>
      <c r="X32" s="208">
        <v>0.11196945474825766</v>
      </c>
      <c r="Y32" s="32">
        <f t="shared" si="10"/>
        <v>36350.839999999997</v>
      </c>
      <c r="Z32" s="33">
        <f t="shared" si="11"/>
        <v>2453.54</v>
      </c>
      <c r="AA32" s="34">
        <f t="shared" si="47"/>
        <v>22057.06</v>
      </c>
      <c r="AB32" s="35">
        <f t="shared" si="48"/>
        <v>2874.21</v>
      </c>
      <c r="AC32" s="25">
        <v>0.11196465129290258</v>
      </c>
      <c r="AD32" s="32">
        <f t="shared" si="12"/>
        <v>36349.279999999999</v>
      </c>
      <c r="AE32" s="33">
        <f t="shared" si="13"/>
        <v>2453.4299999999998</v>
      </c>
      <c r="AF32" s="34">
        <f t="shared" si="49"/>
        <v>22056.11</v>
      </c>
      <c r="AG32" s="211">
        <f t="shared" si="50"/>
        <v>2874.08</v>
      </c>
      <c r="AH32" s="208">
        <v>0.1120075407166654</v>
      </c>
      <c r="AI32" s="32">
        <f t="shared" si="16"/>
        <v>36363.199999999997</v>
      </c>
      <c r="AJ32" s="33">
        <f t="shared" si="17"/>
        <v>2454.37</v>
      </c>
      <c r="AK32" s="34">
        <f t="shared" si="51"/>
        <v>22064.560000000001</v>
      </c>
      <c r="AL32" s="211">
        <f t="shared" si="52"/>
        <v>2875.19</v>
      </c>
      <c r="AM32" s="208">
        <v>0.11198263064407844</v>
      </c>
      <c r="AN32" s="32">
        <f t="shared" si="18"/>
        <v>36355.120000000003</v>
      </c>
      <c r="AO32" s="33">
        <f t="shared" si="19"/>
        <v>2453.83</v>
      </c>
      <c r="AP32" s="34">
        <f t="shared" si="53"/>
        <v>22059.66</v>
      </c>
      <c r="AQ32" s="211">
        <f t="shared" si="54"/>
        <v>2874.55</v>
      </c>
      <c r="AR32" s="208">
        <v>0.11196501375455523</v>
      </c>
      <c r="AS32" s="32">
        <f t="shared" si="20"/>
        <v>36349.4</v>
      </c>
      <c r="AT32" s="33">
        <f t="shared" si="21"/>
        <v>2453.44</v>
      </c>
      <c r="AU32" s="34">
        <f t="shared" si="55"/>
        <v>22056.19</v>
      </c>
      <c r="AV32" s="35">
        <f t="shared" si="56"/>
        <v>2874.09</v>
      </c>
      <c r="AW32" s="208">
        <v>0.11193948204026999</v>
      </c>
      <c r="AX32" s="32">
        <f t="shared" si="22"/>
        <v>36341.11</v>
      </c>
      <c r="AY32" s="33">
        <f t="shared" si="23"/>
        <v>2452.88</v>
      </c>
      <c r="AZ32" s="34">
        <f t="shared" si="57"/>
        <v>22051.16</v>
      </c>
      <c r="BA32" s="211">
        <f t="shared" si="58"/>
        <v>2873.44</v>
      </c>
      <c r="BB32" s="208">
        <v>0.11183371804567449</v>
      </c>
      <c r="BC32" s="32">
        <f t="shared" si="24"/>
        <v>36306.769999999997</v>
      </c>
      <c r="BD32" s="33">
        <f t="shared" si="25"/>
        <v>2450.56</v>
      </c>
      <c r="BE32" s="34">
        <f t="shared" si="59"/>
        <v>22030.32</v>
      </c>
      <c r="BF32" s="211">
        <f t="shared" si="60"/>
        <v>2870.72</v>
      </c>
      <c r="BG32" s="208">
        <v>0.11195900474386929</v>
      </c>
      <c r="BH32" s="32">
        <f t="shared" si="26"/>
        <v>36347.449999999997</v>
      </c>
      <c r="BI32" s="33">
        <f t="shared" si="27"/>
        <v>2453.31</v>
      </c>
      <c r="BJ32" s="34">
        <f t="shared" si="61"/>
        <v>22055</v>
      </c>
      <c r="BK32" s="35">
        <f t="shared" si="62"/>
        <v>2873.94</v>
      </c>
    </row>
    <row r="33" spans="1:63" ht="30" customHeight="1">
      <c r="A33" s="30">
        <v>1412000073</v>
      </c>
      <c r="B33" s="30" t="s">
        <v>65</v>
      </c>
      <c r="C33" s="31" t="s">
        <v>66</v>
      </c>
      <c r="D33" s="25">
        <v>3.8122212644564678E-4</v>
      </c>
      <c r="E33" s="32">
        <f t="shared" si="0"/>
        <v>123.76</v>
      </c>
      <c r="F33" s="33">
        <f t="shared" si="1"/>
        <v>8.35</v>
      </c>
      <c r="G33" s="34">
        <f t="shared" si="2"/>
        <v>79.55</v>
      </c>
      <c r="H33" s="35">
        <f t="shared" si="3"/>
        <v>10.09</v>
      </c>
      <c r="I33" s="25">
        <v>3.8732903606806439E-4</v>
      </c>
      <c r="J33" s="32">
        <f t="shared" si="4"/>
        <v>125.75</v>
      </c>
      <c r="K33" s="33">
        <f t="shared" si="5"/>
        <v>8.49</v>
      </c>
      <c r="L33" s="34">
        <f t="shared" si="6"/>
        <v>76.3</v>
      </c>
      <c r="M33" s="211">
        <f t="shared" si="28"/>
        <v>9.94</v>
      </c>
      <c r="N33" s="208">
        <v>4.1087570436731252E-4</v>
      </c>
      <c r="O33" s="32">
        <f t="shared" si="29"/>
        <v>133.38999999999999</v>
      </c>
      <c r="P33" s="33">
        <f t="shared" si="7"/>
        <v>9</v>
      </c>
      <c r="Q33" s="34">
        <f t="shared" si="63"/>
        <v>80.94</v>
      </c>
      <c r="R33" s="211">
        <f t="shared" si="44"/>
        <v>10.55</v>
      </c>
      <c r="S33" s="208">
        <v>3.8738411049189781E-4</v>
      </c>
      <c r="T33" s="32">
        <f t="shared" si="8"/>
        <v>125.76</v>
      </c>
      <c r="U33" s="33">
        <f t="shared" si="9"/>
        <v>8.49</v>
      </c>
      <c r="V33" s="34">
        <f t="shared" si="45"/>
        <v>76.31</v>
      </c>
      <c r="W33" s="211">
        <f t="shared" si="46"/>
        <v>9.94</v>
      </c>
      <c r="X33" s="208">
        <v>3.7125015199100469E-4</v>
      </c>
      <c r="Y33" s="32">
        <f t="shared" si="10"/>
        <v>120.53</v>
      </c>
      <c r="Z33" s="33">
        <f t="shared" si="11"/>
        <v>8.14</v>
      </c>
      <c r="AA33" s="34">
        <f t="shared" si="47"/>
        <v>73.13</v>
      </c>
      <c r="AB33" s="35">
        <f t="shared" si="48"/>
        <v>9.5299999999999994</v>
      </c>
      <c r="AC33" s="25">
        <v>3.7775029454916321E-4</v>
      </c>
      <c r="AD33" s="32">
        <f t="shared" si="12"/>
        <v>122.64</v>
      </c>
      <c r="AE33" s="33">
        <f t="shared" si="13"/>
        <v>8.2799999999999994</v>
      </c>
      <c r="AF33" s="34">
        <f t="shared" si="49"/>
        <v>74.41</v>
      </c>
      <c r="AG33" s="211">
        <f t="shared" si="50"/>
        <v>9.6999999999999993</v>
      </c>
      <c r="AH33" s="208">
        <v>3.8881947363350578E-4</v>
      </c>
      <c r="AI33" s="32">
        <f t="shared" si="16"/>
        <v>126.23</v>
      </c>
      <c r="AJ33" s="33">
        <f t="shared" si="17"/>
        <v>8.52</v>
      </c>
      <c r="AK33" s="34">
        <f t="shared" si="51"/>
        <v>76.59</v>
      </c>
      <c r="AL33" s="211">
        <f t="shared" si="52"/>
        <v>9.98</v>
      </c>
      <c r="AM33" s="208">
        <v>3.8413039228013209E-4</v>
      </c>
      <c r="AN33" s="32">
        <f t="shared" si="18"/>
        <v>124.71</v>
      </c>
      <c r="AO33" s="33">
        <f t="shared" si="19"/>
        <v>8.42</v>
      </c>
      <c r="AP33" s="34">
        <f t="shared" si="53"/>
        <v>75.67</v>
      </c>
      <c r="AQ33" s="211">
        <f t="shared" si="54"/>
        <v>9.86</v>
      </c>
      <c r="AR33" s="208">
        <v>3.81126369052008E-4</v>
      </c>
      <c r="AS33" s="32">
        <f t="shared" si="20"/>
        <v>123.73</v>
      </c>
      <c r="AT33" s="33">
        <f t="shared" si="21"/>
        <v>8.35</v>
      </c>
      <c r="AU33" s="34">
        <f t="shared" si="55"/>
        <v>75.08</v>
      </c>
      <c r="AV33" s="35">
        <f t="shared" si="56"/>
        <v>9.7799999999999994</v>
      </c>
      <c r="AW33" s="208">
        <v>3.694663557171036E-4</v>
      </c>
      <c r="AX33" s="32">
        <f t="shared" si="22"/>
        <v>119.95</v>
      </c>
      <c r="AY33" s="33">
        <f t="shared" si="23"/>
        <v>8.1</v>
      </c>
      <c r="AZ33" s="34">
        <f t="shared" si="57"/>
        <v>72.78</v>
      </c>
      <c r="BA33" s="211">
        <f t="shared" si="58"/>
        <v>9.48</v>
      </c>
      <c r="BB33" s="208">
        <v>3.4186527754160559E-4</v>
      </c>
      <c r="BC33" s="32">
        <f t="shared" si="24"/>
        <v>110.99</v>
      </c>
      <c r="BD33" s="33">
        <f t="shared" si="25"/>
        <v>7.49</v>
      </c>
      <c r="BE33" s="34">
        <f t="shared" si="59"/>
        <v>67.34</v>
      </c>
      <c r="BF33" s="211">
        <f t="shared" si="60"/>
        <v>8.7799999999999994</v>
      </c>
      <c r="BG33" s="208">
        <v>3.7849095063823175E-4</v>
      </c>
      <c r="BH33" s="32">
        <f t="shared" si="26"/>
        <v>122.88</v>
      </c>
      <c r="BI33" s="33">
        <f t="shared" si="27"/>
        <v>8.2899999999999991</v>
      </c>
      <c r="BJ33" s="34">
        <f t="shared" si="61"/>
        <v>74.56</v>
      </c>
      <c r="BK33" s="35">
        <f t="shared" si="62"/>
        <v>9.7200000000000006</v>
      </c>
    </row>
    <row r="34" spans="1:63" ht="30" customHeight="1">
      <c r="A34" s="30">
        <v>1412000008</v>
      </c>
      <c r="B34" s="30" t="s">
        <v>32</v>
      </c>
      <c r="C34" s="31" t="s">
        <v>33</v>
      </c>
      <c r="D34" s="25">
        <v>2.5414808429709783E-4</v>
      </c>
      <c r="E34" s="32">
        <f t="shared" si="0"/>
        <v>82.51</v>
      </c>
      <c r="F34" s="33">
        <f t="shared" si="1"/>
        <v>5.57</v>
      </c>
      <c r="G34" s="34">
        <f t="shared" si="2"/>
        <v>53.04</v>
      </c>
      <c r="H34" s="35">
        <f t="shared" si="3"/>
        <v>6.72</v>
      </c>
      <c r="I34" s="25">
        <v>2.5821935737870959E-4</v>
      </c>
      <c r="J34" s="32">
        <f t="shared" si="4"/>
        <v>83.83</v>
      </c>
      <c r="K34" s="33">
        <f t="shared" si="5"/>
        <v>5.66</v>
      </c>
      <c r="L34" s="34">
        <f t="shared" si="6"/>
        <v>50.87</v>
      </c>
      <c r="M34" s="211">
        <f t="shared" si="28"/>
        <v>6.63</v>
      </c>
      <c r="N34" s="208">
        <v>2.7391713624487501E-4</v>
      </c>
      <c r="O34" s="32">
        <f t="shared" si="29"/>
        <v>88.93</v>
      </c>
      <c r="P34" s="33">
        <f t="shared" si="7"/>
        <v>6</v>
      </c>
      <c r="Q34" s="34">
        <f t="shared" si="63"/>
        <v>53.96</v>
      </c>
      <c r="R34" s="211">
        <f t="shared" si="44"/>
        <v>7.03</v>
      </c>
      <c r="S34" s="208">
        <v>2.5825607366126519E-4</v>
      </c>
      <c r="T34" s="32">
        <f t="shared" si="8"/>
        <v>83.84</v>
      </c>
      <c r="U34" s="33">
        <f t="shared" si="9"/>
        <v>5.66</v>
      </c>
      <c r="V34" s="34">
        <f t="shared" si="45"/>
        <v>50.87</v>
      </c>
      <c r="W34" s="211">
        <f t="shared" si="46"/>
        <v>6.63</v>
      </c>
      <c r="X34" s="208">
        <v>2.4750010132733644E-4</v>
      </c>
      <c r="Y34" s="32">
        <f t="shared" si="10"/>
        <v>80.349999999999994</v>
      </c>
      <c r="Z34" s="33">
        <f t="shared" si="11"/>
        <v>5.42</v>
      </c>
      <c r="AA34" s="34">
        <f t="shared" si="47"/>
        <v>48.76</v>
      </c>
      <c r="AB34" s="35">
        <f t="shared" si="48"/>
        <v>6.35</v>
      </c>
      <c r="AC34" s="25">
        <v>2.5183352969944216E-4</v>
      </c>
      <c r="AD34" s="32">
        <f t="shared" si="12"/>
        <v>81.760000000000005</v>
      </c>
      <c r="AE34" s="33">
        <f t="shared" si="13"/>
        <v>5.52</v>
      </c>
      <c r="AF34" s="34">
        <f t="shared" si="49"/>
        <v>49.61</v>
      </c>
      <c r="AG34" s="211">
        <f t="shared" si="50"/>
        <v>6.46</v>
      </c>
      <c r="AH34" s="208">
        <v>2.5921298242233715E-4</v>
      </c>
      <c r="AI34" s="32">
        <f t="shared" si="16"/>
        <v>84.15</v>
      </c>
      <c r="AJ34" s="33">
        <f t="shared" si="17"/>
        <v>5.68</v>
      </c>
      <c r="AK34" s="34">
        <f t="shared" si="51"/>
        <v>51.06</v>
      </c>
      <c r="AL34" s="211">
        <f t="shared" si="52"/>
        <v>6.65</v>
      </c>
      <c r="AM34" s="208">
        <v>2.5608692818675471E-4</v>
      </c>
      <c r="AN34" s="32">
        <f t="shared" si="18"/>
        <v>83.14</v>
      </c>
      <c r="AO34" s="33">
        <f t="shared" si="19"/>
        <v>5.61</v>
      </c>
      <c r="AP34" s="34">
        <f t="shared" si="53"/>
        <v>50.45</v>
      </c>
      <c r="AQ34" s="211">
        <f t="shared" si="54"/>
        <v>6.57</v>
      </c>
      <c r="AR34" s="208">
        <v>2.5408424603467198E-4</v>
      </c>
      <c r="AS34" s="32">
        <f t="shared" si="20"/>
        <v>82.49</v>
      </c>
      <c r="AT34" s="33">
        <f t="shared" si="21"/>
        <v>5.57</v>
      </c>
      <c r="AU34" s="34">
        <f t="shared" si="55"/>
        <v>50.05</v>
      </c>
      <c r="AV34" s="35">
        <f t="shared" si="56"/>
        <v>6.52</v>
      </c>
      <c r="AW34" s="208">
        <v>2.4631090381140242E-4</v>
      </c>
      <c r="AX34" s="32">
        <f t="shared" si="22"/>
        <v>79.959999999999994</v>
      </c>
      <c r="AY34" s="33">
        <f t="shared" si="23"/>
        <v>5.4</v>
      </c>
      <c r="AZ34" s="34">
        <f t="shared" si="57"/>
        <v>48.52</v>
      </c>
      <c r="BA34" s="211">
        <f t="shared" si="58"/>
        <v>6.32</v>
      </c>
      <c r="BB34" s="208">
        <v>2.2791018502773706E-4</v>
      </c>
      <c r="BC34" s="32">
        <f t="shared" si="24"/>
        <v>73.989999999999995</v>
      </c>
      <c r="BD34" s="33">
        <f t="shared" si="25"/>
        <v>4.99</v>
      </c>
      <c r="BE34" s="34">
        <f t="shared" si="59"/>
        <v>44.9</v>
      </c>
      <c r="BF34" s="211">
        <f t="shared" si="60"/>
        <v>5.85</v>
      </c>
      <c r="BG34" s="208">
        <v>2.5232730042548782E-4</v>
      </c>
      <c r="BH34" s="32">
        <f t="shared" si="26"/>
        <v>81.92</v>
      </c>
      <c r="BI34" s="33">
        <f t="shared" si="27"/>
        <v>5.53</v>
      </c>
      <c r="BJ34" s="34">
        <f t="shared" si="61"/>
        <v>49.71</v>
      </c>
      <c r="BK34" s="35">
        <f t="shared" si="62"/>
        <v>6.48</v>
      </c>
    </row>
    <row r="35" spans="1:63" ht="30" customHeight="1">
      <c r="A35" s="30">
        <v>1412000054</v>
      </c>
      <c r="B35" s="30" t="s">
        <v>34</v>
      </c>
      <c r="C35" s="31" t="s">
        <v>4</v>
      </c>
      <c r="D35" s="25">
        <v>3.5580731801593697E-4</v>
      </c>
      <c r="E35" s="32">
        <f t="shared" si="0"/>
        <v>115.51</v>
      </c>
      <c r="F35" s="33">
        <f t="shared" si="1"/>
        <v>7.8</v>
      </c>
      <c r="G35" s="34">
        <f t="shared" si="2"/>
        <v>74.25</v>
      </c>
      <c r="H35" s="35">
        <f t="shared" si="3"/>
        <v>9.41</v>
      </c>
      <c r="I35" s="25">
        <v>3.6150710033019343E-4</v>
      </c>
      <c r="J35" s="32">
        <f t="shared" si="4"/>
        <v>117.36</v>
      </c>
      <c r="K35" s="33">
        <f t="shared" si="5"/>
        <v>7.92</v>
      </c>
      <c r="L35" s="34">
        <f t="shared" si="6"/>
        <v>71.209999999999994</v>
      </c>
      <c r="M35" s="211">
        <f t="shared" si="28"/>
        <v>9.2799999999999994</v>
      </c>
      <c r="N35" s="208">
        <v>3.8348399074282502E-4</v>
      </c>
      <c r="O35" s="32">
        <f t="shared" si="29"/>
        <v>124.5</v>
      </c>
      <c r="P35" s="33">
        <f t="shared" si="7"/>
        <v>8.4</v>
      </c>
      <c r="Q35" s="34">
        <f t="shared" si="63"/>
        <v>75.540000000000006</v>
      </c>
      <c r="R35" s="211">
        <f t="shared" si="44"/>
        <v>9.84</v>
      </c>
      <c r="S35" s="208">
        <v>3.6155850312577124E-4</v>
      </c>
      <c r="T35" s="32">
        <f t="shared" si="8"/>
        <v>117.38</v>
      </c>
      <c r="U35" s="33">
        <f t="shared" si="9"/>
        <v>7.92</v>
      </c>
      <c r="V35" s="34">
        <f t="shared" si="45"/>
        <v>71.22</v>
      </c>
      <c r="W35" s="211">
        <f t="shared" si="46"/>
        <v>9.2799999999999994</v>
      </c>
      <c r="X35" s="208">
        <v>3.4650014185827103E-4</v>
      </c>
      <c r="Y35" s="32">
        <f t="shared" si="10"/>
        <v>112.49</v>
      </c>
      <c r="Z35" s="33">
        <f t="shared" si="11"/>
        <v>7.59</v>
      </c>
      <c r="AA35" s="34">
        <f t="shared" si="47"/>
        <v>68.260000000000005</v>
      </c>
      <c r="AB35" s="35">
        <f t="shared" si="48"/>
        <v>8.89</v>
      </c>
      <c r="AC35" s="25">
        <v>3.5256694157921896E-4</v>
      </c>
      <c r="AD35" s="32">
        <f t="shared" si="12"/>
        <v>114.46</v>
      </c>
      <c r="AE35" s="33">
        <f t="shared" si="13"/>
        <v>7.73</v>
      </c>
      <c r="AF35" s="34">
        <f t="shared" si="49"/>
        <v>69.45</v>
      </c>
      <c r="AG35" s="211">
        <f t="shared" si="50"/>
        <v>9.0500000000000007</v>
      </c>
      <c r="AH35" s="208">
        <v>3.6289817539127204E-4</v>
      </c>
      <c r="AI35" s="32">
        <f t="shared" si="16"/>
        <v>117.81</v>
      </c>
      <c r="AJ35" s="33">
        <f t="shared" si="17"/>
        <v>7.95</v>
      </c>
      <c r="AK35" s="34">
        <f t="shared" si="51"/>
        <v>71.489999999999995</v>
      </c>
      <c r="AL35" s="211">
        <f t="shared" si="52"/>
        <v>9.32</v>
      </c>
      <c r="AM35" s="208">
        <v>3.5852169946145663E-4</v>
      </c>
      <c r="AN35" s="32">
        <f t="shared" si="18"/>
        <v>116.39</v>
      </c>
      <c r="AO35" s="33">
        <f t="shared" si="19"/>
        <v>7.86</v>
      </c>
      <c r="AP35" s="34">
        <f t="shared" si="53"/>
        <v>70.63</v>
      </c>
      <c r="AQ35" s="211">
        <f t="shared" si="54"/>
        <v>9.1999999999999993</v>
      </c>
      <c r="AR35" s="208">
        <v>3.5571794444854077E-4</v>
      </c>
      <c r="AS35" s="32">
        <f t="shared" si="20"/>
        <v>115.48</v>
      </c>
      <c r="AT35" s="33">
        <f t="shared" si="21"/>
        <v>7.79</v>
      </c>
      <c r="AU35" s="34">
        <f t="shared" si="55"/>
        <v>70.069999999999993</v>
      </c>
      <c r="AV35" s="35">
        <f t="shared" si="56"/>
        <v>9.1300000000000008</v>
      </c>
      <c r="AW35" s="208">
        <v>3.4483526533596337E-4</v>
      </c>
      <c r="AX35" s="32">
        <f t="shared" si="22"/>
        <v>111.95</v>
      </c>
      <c r="AY35" s="33">
        <f t="shared" si="23"/>
        <v>7.56</v>
      </c>
      <c r="AZ35" s="34">
        <f t="shared" si="57"/>
        <v>67.930000000000007</v>
      </c>
      <c r="BA35" s="211">
        <f t="shared" si="58"/>
        <v>8.85</v>
      </c>
      <c r="BB35" s="208">
        <v>3.1907425903883186E-4</v>
      </c>
      <c r="BC35" s="32">
        <f t="shared" si="24"/>
        <v>103.59</v>
      </c>
      <c r="BD35" s="33">
        <f t="shared" si="25"/>
        <v>6.99</v>
      </c>
      <c r="BE35" s="34">
        <f t="shared" si="59"/>
        <v>62.86</v>
      </c>
      <c r="BF35" s="211">
        <f t="shared" si="60"/>
        <v>8.19</v>
      </c>
      <c r="BG35" s="208">
        <v>3.5325822059568295E-4</v>
      </c>
      <c r="BH35" s="32">
        <f t="shared" si="26"/>
        <v>114.69</v>
      </c>
      <c r="BI35" s="33">
        <f t="shared" si="27"/>
        <v>7.74</v>
      </c>
      <c r="BJ35" s="34">
        <f t="shared" si="61"/>
        <v>69.59</v>
      </c>
      <c r="BK35" s="35">
        <f t="shared" si="62"/>
        <v>9.07</v>
      </c>
    </row>
    <row r="36" spans="1:63" ht="30" customHeight="1">
      <c r="A36" s="30">
        <v>1412000010</v>
      </c>
      <c r="B36" s="30" t="s">
        <v>35</v>
      </c>
      <c r="C36" s="31" t="s">
        <v>36</v>
      </c>
      <c r="D36" s="25">
        <v>1.524888505782587E-4</v>
      </c>
      <c r="E36" s="32">
        <f t="shared" si="0"/>
        <v>49.51</v>
      </c>
      <c r="F36" s="33">
        <f t="shared" si="1"/>
        <v>3.34</v>
      </c>
      <c r="G36" s="34">
        <f t="shared" si="2"/>
        <v>31.82</v>
      </c>
      <c r="H36" s="35">
        <f t="shared" si="3"/>
        <v>4.03</v>
      </c>
      <c r="I36" s="25">
        <v>1.5493161442722576E-4</v>
      </c>
      <c r="J36" s="32">
        <f t="shared" si="4"/>
        <v>50.3</v>
      </c>
      <c r="K36" s="33">
        <f t="shared" si="5"/>
        <v>3.39</v>
      </c>
      <c r="L36" s="34">
        <f t="shared" si="6"/>
        <v>30.52</v>
      </c>
      <c r="M36" s="211">
        <f t="shared" si="28"/>
        <v>3.98</v>
      </c>
      <c r="N36" s="208">
        <v>1.6435028174692501E-4</v>
      </c>
      <c r="O36" s="32">
        <f t="shared" si="29"/>
        <v>53.36</v>
      </c>
      <c r="P36" s="33">
        <f t="shared" si="7"/>
        <v>3.6</v>
      </c>
      <c r="Q36" s="34">
        <f t="shared" si="63"/>
        <v>32.380000000000003</v>
      </c>
      <c r="R36" s="211">
        <f t="shared" si="44"/>
        <v>4.22</v>
      </c>
      <c r="S36" s="208">
        <v>1.5495364419675913E-4</v>
      </c>
      <c r="T36" s="32">
        <f t="shared" si="8"/>
        <v>50.31</v>
      </c>
      <c r="U36" s="33">
        <f t="shared" si="9"/>
        <v>3.4</v>
      </c>
      <c r="V36" s="34">
        <f t="shared" si="45"/>
        <v>30.52</v>
      </c>
      <c r="W36" s="211">
        <f t="shared" si="46"/>
        <v>3.98</v>
      </c>
      <c r="X36" s="208">
        <v>1.4850006079640185E-4</v>
      </c>
      <c r="Y36" s="32">
        <f t="shared" si="10"/>
        <v>48.21</v>
      </c>
      <c r="Z36" s="33">
        <f t="shared" si="11"/>
        <v>3.25</v>
      </c>
      <c r="AA36" s="34">
        <f t="shared" si="47"/>
        <v>29.25</v>
      </c>
      <c r="AB36" s="35">
        <f t="shared" si="48"/>
        <v>3.81</v>
      </c>
      <c r="AC36" s="25">
        <v>1.5110011781966528E-4</v>
      </c>
      <c r="AD36" s="32">
        <f t="shared" si="12"/>
        <v>49.05</v>
      </c>
      <c r="AE36" s="33">
        <f t="shared" si="13"/>
        <v>3.31</v>
      </c>
      <c r="AF36" s="34">
        <f t="shared" si="49"/>
        <v>29.77</v>
      </c>
      <c r="AG36" s="211">
        <f t="shared" si="50"/>
        <v>3.88</v>
      </c>
      <c r="AH36" s="208">
        <v>1.5552778945340231E-4</v>
      </c>
      <c r="AI36" s="32">
        <f t="shared" si="16"/>
        <v>50.49</v>
      </c>
      <c r="AJ36" s="33">
        <f t="shared" si="17"/>
        <v>3.41</v>
      </c>
      <c r="AK36" s="34">
        <f t="shared" si="51"/>
        <v>30.64</v>
      </c>
      <c r="AL36" s="211">
        <f t="shared" si="52"/>
        <v>3.99</v>
      </c>
      <c r="AM36" s="208">
        <v>1.5365215691205285E-4</v>
      </c>
      <c r="AN36" s="32">
        <f t="shared" si="18"/>
        <v>49.88</v>
      </c>
      <c r="AO36" s="33">
        <f t="shared" si="19"/>
        <v>3.37</v>
      </c>
      <c r="AP36" s="34">
        <f t="shared" si="53"/>
        <v>30.27</v>
      </c>
      <c r="AQ36" s="211">
        <f t="shared" si="54"/>
        <v>3.94</v>
      </c>
      <c r="AR36" s="208">
        <v>1.5245054762080319E-4</v>
      </c>
      <c r="AS36" s="32">
        <f t="shared" si="20"/>
        <v>49.49</v>
      </c>
      <c r="AT36" s="33">
        <f t="shared" si="21"/>
        <v>3.34</v>
      </c>
      <c r="AU36" s="34">
        <f t="shared" si="55"/>
        <v>30.03</v>
      </c>
      <c r="AV36" s="35">
        <f t="shared" si="56"/>
        <v>3.91</v>
      </c>
      <c r="AW36" s="208">
        <v>1.4778654228684147E-4</v>
      </c>
      <c r="AX36" s="32">
        <f t="shared" si="22"/>
        <v>47.98</v>
      </c>
      <c r="AY36" s="33">
        <f t="shared" si="23"/>
        <v>3.24</v>
      </c>
      <c r="AZ36" s="34">
        <f t="shared" si="57"/>
        <v>29.11</v>
      </c>
      <c r="BA36" s="211">
        <f t="shared" si="58"/>
        <v>3.79</v>
      </c>
      <c r="BB36" s="208">
        <v>1.3674611101664226E-4</v>
      </c>
      <c r="BC36" s="32">
        <f t="shared" si="24"/>
        <v>44.39</v>
      </c>
      <c r="BD36" s="33">
        <f t="shared" si="25"/>
        <v>3</v>
      </c>
      <c r="BE36" s="34">
        <f t="shared" si="59"/>
        <v>26.94</v>
      </c>
      <c r="BF36" s="211">
        <f t="shared" si="60"/>
        <v>3.51</v>
      </c>
      <c r="BG36" s="208">
        <v>1.5139638025529271E-4</v>
      </c>
      <c r="BH36" s="32">
        <f t="shared" si="26"/>
        <v>49.15</v>
      </c>
      <c r="BI36" s="33">
        <f t="shared" si="27"/>
        <v>3.32</v>
      </c>
      <c r="BJ36" s="34">
        <f t="shared" si="61"/>
        <v>29.82</v>
      </c>
      <c r="BK36" s="35">
        <f t="shared" si="62"/>
        <v>3.89</v>
      </c>
    </row>
    <row r="37" spans="1:63" s="39" customFormat="1" ht="30" customHeight="1">
      <c r="A37" s="63">
        <v>1412000094</v>
      </c>
      <c r="B37" s="68" t="s">
        <v>125</v>
      </c>
      <c r="C37" s="64" t="s">
        <v>151</v>
      </c>
      <c r="D37" s="65">
        <v>1.2707404214854892E-4</v>
      </c>
      <c r="E37" s="66">
        <f t="shared" si="0"/>
        <v>41.25</v>
      </c>
      <c r="F37" s="67">
        <f t="shared" si="1"/>
        <v>2.78</v>
      </c>
      <c r="G37" s="66">
        <f t="shared" si="2"/>
        <v>26.52</v>
      </c>
      <c r="H37" s="67">
        <f t="shared" si="3"/>
        <v>3.36</v>
      </c>
      <c r="I37" s="65">
        <v>1.291096786893548E-4</v>
      </c>
      <c r="J37" s="66">
        <f t="shared" si="4"/>
        <v>41.92</v>
      </c>
      <c r="K37" s="67">
        <f t="shared" si="5"/>
        <v>2.83</v>
      </c>
      <c r="L37" s="66">
        <f t="shared" si="6"/>
        <v>25.43</v>
      </c>
      <c r="M37" s="212">
        <f t="shared" si="28"/>
        <v>3.31</v>
      </c>
      <c r="N37" s="209">
        <v>1.3695856812243751E-4</v>
      </c>
      <c r="O37" s="66">
        <f t="shared" si="29"/>
        <v>44.46</v>
      </c>
      <c r="P37" s="67">
        <f t="shared" si="7"/>
        <v>3</v>
      </c>
      <c r="Q37" s="66">
        <f t="shared" si="63"/>
        <v>26.98</v>
      </c>
      <c r="R37" s="212">
        <f t="shared" si="44"/>
        <v>3.52</v>
      </c>
      <c r="S37" s="209">
        <v>1.2912803683063259E-4</v>
      </c>
      <c r="T37" s="66">
        <f t="shared" si="8"/>
        <v>41.92</v>
      </c>
      <c r="U37" s="67">
        <f t="shared" si="9"/>
        <v>2.83</v>
      </c>
      <c r="V37" s="66">
        <f t="shared" si="45"/>
        <v>25.44</v>
      </c>
      <c r="W37" s="212">
        <f t="shared" si="46"/>
        <v>3.31</v>
      </c>
      <c r="X37" s="209">
        <v>1.2375005066366822E-4</v>
      </c>
      <c r="Y37" s="66">
        <f t="shared" si="10"/>
        <v>40.18</v>
      </c>
      <c r="Z37" s="67">
        <f t="shared" si="11"/>
        <v>2.71</v>
      </c>
      <c r="AA37" s="66">
        <f t="shared" si="47"/>
        <v>24.38</v>
      </c>
      <c r="AB37" s="67">
        <f t="shared" si="48"/>
        <v>3.18</v>
      </c>
      <c r="AC37" s="65">
        <v>1.2591676484972108E-4</v>
      </c>
      <c r="AD37" s="66">
        <f t="shared" si="12"/>
        <v>40.880000000000003</v>
      </c>
      <c r="AE37" s="67">
        <f t="shared" si="13"/>
        <v>2.76</v>
      </c>
      <c r="AF37" s="66">
        <f t="shared" si="49"/>
        <v>24.8</v>
      </c>
      <c r="AG37" s="212">
        <f t="shared" si="50"/>
        <v>3.23</v>
      </c>
      <c r="AH37" s="209">
        <v>1.2960649121116858E-4</v>
      </c>
      <c r="AI37" s="66">
        <f t="shared" si="16"/>
        <v>42.08</v>
      </c>
      <c r="AJ37" s="67">
        <f t="shared" si="17"/>
        <v>2.84</v>
      </c>
      <c r="AK37" s="66">
        <f t="shared" si="51"/>
        <v>25.53</v>
      </c>
      <c r="AL37" s="212">
        <f t="shared" si="52"/>
        <v>3.33</v>
      </c>
      <c r="AM37" s="209">
        <v>1.2804346409337736E-4</v>
      </c>
      <c r="AN37" s="66">
        <f t="shared" si="18"/>
        <v>41.57</v>
      </c>
      <c r="AO37" s="67">
        <f t="shared" si="19"/>
        <v>2.81</v>
      </c>
      <c r="AP37" s="66">
        <f t="shared" si="53"/>
        <v>25.22</v>
      </c>
      <c r="AQ37" s="212">
        <f t="shared" si="54"/>
        <v>3.29</v>
      </c>
      <c r="AR37" s="209">
        <v>1.2704212301733599E-4</v>
      </c>
      <c r="AS37" s="66">
        <f t="shared" si="20"/>
        <v>41.24</v>
      </c>
      <c r="AT37" s="67">
        <f t="shared" si="21"/>
        <v>2.78</v>
      </c>
      <c r="AU37" s="66">
        <f t="shared" si="55"/>
        <v>25.03</v>
      </c>
      <c r="AV37" s="67">
        <f t="shared" si="56"/>
        <v>3.26</v>
      </c>
      <c r="AW37" s="209">
        <v>1.2315545190570121E-4</v>
      </c>
      <c r="AX37" s="66">
        <f t="shared" si="22"/>
        <v>39.979999999999997</v>
      </c>
      <c r="AY37" s="67">
        <f t="shared" si="23"/>
        <v>2.7</v>
      </c>
      <c r="AZ37" s="66">
        <f t="shared" si="57"/>
        <v>24.26</v>
      </c>
      <c r="BA37" s="212">
        <f t="shared" si="58"/>
        <v>3.16</v>
      </c>
      <c r="BB37" s="209">
        <v>1.1395509251386853E-4</v>
      </c>
      <c r="BC37" s="66">
        <f t="shared" si="24"/>
        <v>37</v>
      </c>
      <c r="BD37" s="67">
        <f t="shared" si="25"/>
        <v>2.5</v>
      </c>
      <c r="BE37" s="66">
        <f t="shared" si="59"/>
        <v>22.45</v>
      </c>
      <c r="BF37" s="212">
        <f t="shared" si="60"/>
        <v>2.93</v>
      </c>
      <c r="BG37" s="209">
        <v>1.2616365021274391E-4</v>
      </c>
      <c r="BH37" s="66">
        <f t="shared" si="26"/>
        <v>40.96</v>
      </c>
      <c r="BI37" s="67">
        <f t="shared" si="27"/>
        <v>2.76</v>
      </c>
      <c r="BJ37" s="66">
        <f t="shared" si="61"/>
        <v>24.85</v>
      </c>
      <c r="BK37" s="67">
        <f t="shared" si="62"/>
        <v>3.24</v>
      </c>
    </row>
    <row r="38" spans="1:63" ht="30" customHeight="1">
      <c r="A38" s="30">
        <v>1412000013</v>
      </c>
      <c r="B38" s="43" t="s">
        <v>114</v>
      </c>
      <c r="C38" s="31" t="s">
        <v>116</v>
      </c>
      <c r="D38" s="25">
        <v>4.3845581370267703E-3</v>
      </c>
      <c r="E38" s="32">
        <f t="shared" si="0"/>
        <v>1423.45</v>
      </c>
      <c r="F38" s="33">
        <f t="shared" si="1"/>
        <v>96.08</v>
      </c>
      <c r="G38" s="34">
        <f t="shared" si="2"/>
        <v>914.97</v>
      </c>
      <c r="H38" s="35">
        <f t="shared" si="3"/>
        <v>116.01</v>
      </c>
      <c r="I38" s="25">
        <v>4.3828399201213779E-3</v>
      </c>
      <c r="J38" s="32">
        <f t="shared" si="4"/>
        <v>1422.89</v>
      </c>
      <c r="K38" s="33">
        <f t="shared" si="5"/>
        <v>96.04</v>
      </c>
      <c r="L38" s="34">
        <f t="shared" si="6"/>
        <v>863.38</v>
      </c>
      <c r="M38" s="211">
        <f t="shared" si="28"/>
        <v>112.51</v>
      </c>
      <c r="N38" s="208">
        <v>4.4685050592671574E-3</v>
      </c>
      <c r="O38" s="32">
        <f t="shared" si="29"/>
        <v>1450.7</v>
      </c>
      <c r="P38" s="33">
        <f t="shared" si="7"/>
        <v>97.92</v>
      </c>
      <c r="Q38" s="34">
        <f t="shared" si="63"/>
        <v>880.26</v>
      </c>
      <c r="R38" s="211">
        <f t="shared" si="44"/>
        <v>114.7</v>
      </c>
      <c r="S38" s="208">
        <v>4.4482722918261549E-3</v>
      </c>
      <c r="T38" s="32">
        <f t="shared" si="8"/>
        <v>1444.13</v>
      </c>
      <c r="U38" s="33">
        <f t="shared" si="9"/>
        <v>97.47</v>
      </c>
      <c r="V38" s="34">
        <f t="shared" si="45"/>
        <v>876.27</v>
      </c>
      <c r="W38" s="211">
        <f t="shared" si="46"/>
        <v>114.19</v>
      </c>
      <c r="X38" s="208">
        <v>4.3589747716607802E-3</v>
      </c>
      <c r="Y38" s="32">
        <f t="shared" si="10"/>
        <v>1415.14</v>
      </c>
      <c r="Z38" s="33">
        <f t="shared" si="11"/>
        <v>95.52</v>
      </c>
      <c r="AA38" s="34">
        <f t="shared" si="47"/>
        <v>858.68</v>
      </c>
      <c r="AB38" s="35">
        <f t="shared" si="48"/>
        <v>111.89</v>
      </c>
      <c r="AC38" s="25">
        <v>4.3683353907456963E-3</v>
      </c>
      <c r="AD38" s="32">
        <f t="shared" si="12"/>
        <v>1418.18</v>
      </c>
      <c r="AE38" s="33">
        <f t="shared" si="13"/>
        <v>95.72</v>
      </c>
      <c r="AF38" s="34">
        <f t="shared" si="49"/>
        <v>860.53</v>
      </c>
      <c r="AG38" s="211">
        <f t="shared" si="50"/>
        <v>112.13</v>
      </c>
      <c r="AH38" s="208">
        <v>4.461468751806379E-3</v>
      </c>
      <c r="AI38" s="32">
        <f t="shared" si="16"/>
        <v>1448.41</v>
      </c>
      <c r="AJ38" s="33">
        <f t="shared" si="17"/>
        <v>97.76</v>
      </c>
      <c r="AK38" s="34">
        <f t="shared" si="51"/>
        <v>878.87</v>
      </c>
      <c r="AL38" s="211">
        <f t="shared" si="52"/>
        <v>114.52</v>
      </c>
      <c r="AM38" s="208">
        <v>4.4050177498831744E-3</v>
      </c>
      <c r="AN38" s="32">
        <f t="shared" si="18"/>
        <v>1430.09</v>
      </c>
      <c r="AO38" s="33">
        <f t="shared" si="19"/>
        <v>96.53</v>
      </c>
      <c r="AP38" s="34">
        <f t="shared" si="53"/>
        <v>867.75</v>
      </c>
      <c r="AQ38" s="211">
        <f t="shared" si="54"/>
        <v>113.07</v>
      </c>
      <c r="AR38" s="208">
        <v>4.3959424424706043E-3</v>
      </c>
      <c r="AS38" s="32">
        <f t="shared" si="20"/>
        <v>1427.14</v>
      </c>
      <c r="AT38" s="33">
        <f t="shared" si="21"/>
        <v>96.33</v>
      </c>
      <c r="AU38" s="34">
        <f t="shared" si="55"/>
        <v>865.96</v>
      </c>
      <c r="AV38" s="35">
        <f t="shared" si="56"/>
        <v>112.84</v>
      </c>
      <c r="AW38" s="208">
        <v>4.3461937091678702E-3</v>
      </c>
      <c r="AX38" s="32">
        <f t="shared" si="22"/>
        <v>1410.99</v>
      </c>
      <c r="AY38" s="33">
        <f t="shared" si="23"/>
        <v>95.24</v>
      </c>
      <c r="AZ38" s="34">
        <f t="shared" si="57"/>
        <v>856.16</v>
      </c>
      <c r="BA38" s="211">
        <f t="shared" si="58"/>
        <v>111.56</v>
      </c>
      <c r="BB38" s="208">
        <v>4.111390627059822E-3</v>
      </c>
      <c r="BC38" s="32">
        <f t="shared" si="24"/>
        <v>1334.76</v>
      </c>
      <c r="BD38" s="33">
        <f t="shared" si="25"/>
        <v>90.09</v>
      </c>
      <c r="BE38" s="34">
        <f t="shared" si="59"/>
        <v>809.91</v>
      </c>
      <c r="BF38" s="211">
        <f t="shared" si="60"/>
        <v>105.54</v>
      </c>
      <c r="BG38" s="208">
        <v>4.4165009292679545E-3</v>
      </c>
      <c r="BH38" s="32">
        <f t="shared" si="26"/>
        <v>1433.82</v>
      </c>
      <c r="BI38" s="33">
        <f t="shared" si="27"/>
        <v>96.78</v>
      </c>
      <c r="BJ38" s="34">
        <f t="shared" si="61"/>
        <v>870.01</v>
      </c>
      <c r="BK38" s="35">
        <f t="shared" si="62"/>
        <v>113.37</v>
      </c>
    </row>
    <row r="39" spans="1:63" ht="30" customHeight="1">
      <c r="A39" s="30">
        <v>1412000092</v>
      </c>
      <c r="B39" s="23" t="s">
        <v>115</v>
      </c>
      <c r="C39" s="31" t="s">
        <v>117</v>
      </c>
      <c r="D39" s="25">
        <v>3.1547686702164584E-3</v>
      </c>
      <c r="E39" s="32">
        <f t="shared" si="0"/>
        <v>1024.19</v>
      </c>
      <c r="F39" s="33">
        <f t="shared" si="1"/>
        <v>69.13</v>
      </c>
      <c r="G39" s="34">
        <f t="shared" si="2"/>
        <v>658.33</v>
      </c>
      <c r="H39" s="35">
        <f t="shared" si="3"/>
        <v>83.47</v>
      </c>
      <c r="I39" s="25">
        <v>3.1539861159823194E-3</v>
      </c>
      <c r="J39" s="32">
        <f t="shared" si="4"/>
        <v>1023.94</v>
      </c>
      <c r="K39" s="33">
        <f t="shared" si="5"/>
        <v>69.11</v>
      </c>
      <c r="L39" s="34">
        <f t="shared" si="6"/>
        <v>621.30999999999995</v>
      </c>
      <c r="M39" s="211">
        <f t="shared" si="28"/>
        <v>80.959999999999994</v>
      </c>
      <c r="N39" s="208">
        <v>3.1930019219299005E-3</v>
      </c>
      <c r="O39" s="32">
        <f t="shared" si="29"/>
        <v>1036.6099999999999</v>
      </c>
      <c r="P39" s="33">
        <f t="shared" si="7"/>
        <v>69.97</v>
      </c>
      <c r="Q39" s="34">
        <f t="shared" si="63"/>
        <v>629</v>
      </c>
      <c r="R39" s="211">
        <f t="shared" si="44"/>
        <v>81.96</v>
      </c>
      <c r="S39" s="208">
        <v>3.1802241651741631E-3</v>
      </c>
      <c r="T39" s="32">
        <f t="shared" si="8"/>
        <v>1032.46</v>
      </c>
      <c r="U39" s="33">
        <f t="shared" si="9"/>
        <v>69.69</v>
      </c>
      <c r="V39" s="34">
        <f t="shared" si="45"/>
        <v>626.48</v>
      </c>
      <c r="W39" s="211">
        <f t="shared" si="46"/>
        <v>81.63</v>
      </c>
      <c r="X39" s="208">
        <v>3.139787552269087E-3</v>
      </c>
      <c r="Y39" s="32">
        <f t="shared" si="10"/>
        <v>1019.33</v>
      </c>
      <c r="Z39" s="33">
        <f t="shared" si="11"/>
        <v>68.8</v>
      </c>
      <c r="AA39" s="34">
        <f t="shared" si="47"/>
        <v>618.51</v>
      </c>
      <c r="AB39" s="35">
        <f t="shared" si="48"/>
        <v>80.599999999999994</v>
      </c>
      <c r="AC39" s="25">
        <v>3.1440263231754641E-3</v>
      </c>
      <c r="AD39" s="32">
        <f t="shared" si="12"/>
        <v>1020.71</v>
      </c>
      <c r="AE39" s="33">
        <f t="shared" si="13"/>
        <v>68.89</v>
      </c>
      <c r="AF39" s="34">
        <f t="shared" si="49"/>
        <v>619.35</v>
      </c>
      <c r="AG39" s="211">
        <f t="shared" si="50"/>
        <v>80.709999999999994</v>
      </c>
      <c r="AH39" s="208">
        <v>3.1861999206369059E-3</v>
      </c>
      <c r="AI39" s="32">
        <f t="shared" si="16"/>
        <v>1034.4000000000001</v>
      </c>
      <c r="AJ39" s="33">
        <f t="shared" si="17"/>
        <v>69.819999999999993</v>
      </c>
      <c r="AK39" s="34">
        <f t="shared" si="51"/>
        <v>627.66</v>
      </c>
      <c r="AL39" s="211">
        <f t="shared" si="52"/>
        <v>81.790000000000006</v>
      </c>
      <c r="AM39" s="208">
        <v>3.1606372027848883E-3</v>
      </c>
      <c r="AN39" s="32">
        <f t="shared" si="18"/>
        <v>1026.0999999999999</v>
      </c>
      <c r="AO39" s="33">
        <f t="shared" si="19"/>
        <v>69.260000000000005</v>
      </c>
      <c r="AP39" s="34">
        <f t="shared" si="53"/>
        <v>622.62</v>
      </c>
      <c r="AQ39" s="211">
        <f t="shared" si="54"/>
        <v>81.13</v>
      </c>
      <c r="AR39" s="208">
        <v>3.1565276296169321E-3</v>
      </c>
      <c r="AS39" s="32">
        <f t="shared" si="20"/>
        <v>1024.77</v>
      </c>
      <c r="AT39" s="33">
        <f t="shared" si="21"/>
        <v>69.17</v>
      </c>
      <c r="AU39" s="34">
        <f t="shared" si="55"/>
        <v>621.80999999999995</v>
      </c>
      <c r="AV39" s="35">
        <f t="shared" si="56"/>
        <v>81.03</v>
      </c>
      <c r="AW39" s="208">
        <v>3.1339999013289019E-3</v>
      </c>
      <c r="AX39" s="32">
        <f t="shared" si="22"/>
        <v>1017.45</v>
      </c>
      <c r="AY39" s="33">
        <f t="shared" si="23"/>
        <v>68.67</v>
      </c>
      <c r="AZ39" s="34">
        <f t="shared" si="57"/>
        <v>617.37</v>
      </c>
      <c r="BA39" s="211">
        <f t="shared" si="58"/>
        <v>80.45</v>
      </c>
      <c r="BB39" s="208">
        <v>3.027673977355446E-3</v>
      </c>
      <c r="BC39" s="32">
        <f t="shared" si="24"/>
        <v>982.93</v>
      </c>
      <c r="BD39" s="33">
        <f t="shared" si="25"/>
        <v>66.34</v>
      </c>
      <c r="BE39" s="34">
        <f t="shared" si="59"/>
        <v>596.42999999999995</v>
      </c>
      <c r="BF39" s="211">
        <f t="shared" si="60"/>
        <v>77.72</v>
      </c>
      <c r="BG39" s="208">
        <v>3.1658371330723369E-3</v>
      </c>
      <c r="BH39" s="32">
        <f t="shared" si="26"/>
        <v>1027.79</v>
      </c>
      <c r="BI39" s="33">
        <f t="shared" si="27"/>
        <v>69.37</v>
      </c>
      <c r="BJ39" s="34">
        <f t="shared" si="61"/>
        <v>623.64</v>
      </c>
      <c r="BK39" s="35">
        <f t="shared" si="62"/>
        <v>81.27</v>
      </c>
    </row>
    <row r="40" spans="1:63" ht="30" customHeight="1">
      <c r="A40" s="30">
        <v>1412000035</v>
      </c>
      <c r="B40" s="30" t="s">
        <v>67</v>
      </c>
      <c r="C40" s="31" t="s">
        <v>68</v>
      </c>
      <c r="D40" s="25">
        <v>1.5031340494347136E-3</v>
      </c>
      <c r="E40" s="32">
        <f t="shared" si="0"/>
        <v>487.99</v>
      </c>
      <c r="F40" s="33">
        <f t="shared" si="1"/>
        <v>32.94</v>
      </c>
      <c r="G40" s="34">
        <f t="shared" si="2"/>
        <v>313.67</v>
      </c>
      <c r="H40" s="35">
        <f t="shared" si="3"/>
        <v>39.770000000000003</v>
      </c>
      <c r="I40" s="25">
        <v>1.5391578803868326E-3</v>
      </c>
      <c r="J40" s="32">
        <f t="shared" si="4"/>
        <v>499.69</v>
      </c>
      <c r="K40" s="33">
        <f t="shared" si="5"/>
        <v>33.729999999999997</v>
      </c>
      <c r="L40" s="34">
        <f t="shared" si="6"/>
        <v>303.2</v>
      </c>
      <c r="M40" s="211">
        <f t="shared" si="28"/>
        <v>39.51</v>
      </c>
      <c r="N40" s="208">
        <v>1.5831116612120954E-3</v>
      </c>
      <c r="O40" s="32">
        <f t="shared" si="29"/>
        <v>513.96</v>
      </c>
      <c r="P40" s="33">
        <f t="shared" si="7"/>
        <v>34.69</v>
      </c>
      <c r="Q40" s="34">
        <f t="shared" si="63"/>
        <v>311.86</v>
      </c>
      <c r="R40" s="211">
        <f t="shared" si="44"/>
        <v>40.64</v>
      </c>
      <c r="S40" s="208">
        <v>1.5392606859779884E-3</v>
      </c>
      <c r="T40" s="32">
        <f t="shared" si="8"/>
        <v>499.72</v>
      </c>
      <c r="U40" s="33">
        <f t="shared" si="9"/>
        <v>33.729999999999997</v>
      </c>
      <c r="V40" s="34">
        <f t="shared" si="45"/>
        <v>303.22000000000003</v>
      </c>
      <c r="W40" s="211">
        <f t="shared" si="46"/>
        <v>39.51</v>
      </c>
      <c r="X40" s="208">
        <v>1.5091439634429876E-3</v>
      </c>
      <c r="Y40" s="32">
        <f t="shared" si="10"/>
        <v>489.94</v>
      </c>
      <c r="Z40" s="33">
        <f t="shared" si="11"/>
        <v>33.07</v>
      </c>
      <c r="AA40" s="34">
        <f t="shared" si="47"/>
        <v>297.29000000000002</v>
      </c>
      <c r="AB40" s="35">
        <f t="shared" si="48"/>
        <v>38.74</v>
      </c>
      <c r="AC40" s="25">
        <v>1.5212775628848836E-3</v>
      </c>
      <c r="AD40" s="32">
        <f t="shared" si="12"/>
        <v>493.88</v>
      </c>
      <c r="AE40" s="33">
        <f t="shared" si="13"/>
        <v>33.340000000000003</v>
      </c>
      <c r="AF40" s="34">
        <f t="shared" si="49"/>
        <v>299.68</v>
      </c>
      <c r="AG40" s="211">
        <f t="shared" si="50"/>
        <v>39.049999999999997</v>
      </c>
      <c r="AH40" s="208">
        <v>1.54194003050899E-3</v>
      </c>
      <c r="AI40" s="32">
        <f t="shared" si="16"/>
        <v>500.59</v>
      </c>
      <c r="AJ40" s="33">
        <f t="shared" si="17"/>
        <v>33.79</v>
      </c>
      <c r="AK40" s="34">
        <f t="shared" si="51"/>
        <v>303.75</v>
      </c>
      <c r="AL40" s="211">
        <f t="shared" si="52"/>
        <v>39.58</v>
      </c>
      <c r="AM40" s="208">
        <v>1.533187078649359E-3</v>
      </c>
      <c r="AN40" s="32">
        <f t="shared" si="18"/>
        <v>497.75</v>
      </c>
      <c r="AO40" s="33">
        <f t="shared" si="19"/>
        <v>33.6</v>
      </c>
      <c r="AP40" s="34">
        <f t="shared" si="53"/>
        <v>302.02999999999997</v>
      </c>
      <c r="AQ40" s="211">
        <f t="shared" si="54"/>
        <v>39.36</v>
      </c>
      <c r="AR40" s="208">
        <v>1.5275795686235268E-3</v>
      </c>
      <c r="AS40" s="32">
        <f t="shared" si="20"/>
        <v>495.93</v>
      </c>
      <c r="AT40" s="33">
        <f t="shared" si="21"/>
        <v>33.47</v>
      </c>
      <c r="AU40" s="34">
        <f t="shared" si="55"/>
        <v>300.92</v>
      </c>
      <c r="AV40" s="35">
        <f t="shared" si="56"/>
        <v>39.21</v>
      </c>
      <c r="AW40" s="208">
        <v>1.5058142103983726E-3</v>
      </c>
      <c r="AX40" s="32">
        <f t="shared" si="22"/>
        <v>488.86</v>
      </c>
      <c r="AY40" s="33">
        <f t="shared" si="23"/>
        <v>33</v>
      </c>
      <c r="AZ40" s="34">
        <f t="shared" si="57"/>
        <v>296.63</v>
      </c>
      <c r="BA40" s="211">
        <f t="shared" si="58"/>
        <v>38.65</v>
      </c>
      <c r="BB40" s="208">
        <v>1.4542921978041099E-3</v>
      </c>
      <c r="BC40" s="32">
        <f t="shared" si="24"/>
        <v>472.14</v>
      </c>
      <c r="BD40" s="33">
        <f t="shared" si="25"/>
        <v>31.87</v>
      </c>
      <c r="BE40" s="34">
        <f t="shared" si="59"/>
        <v>286.48</v>
      </c>
      <c r="BF40" s="211">
        <f t="shared" si="60"/>
        <v>37.33</v>
      </c>
      <c r="BG40" s="208">
        <v>1.5226601209178121E-3</v>
      </c>
      <c r="BH40" s="32">
        <f t="shared" si="26"/>
        <v>494.33</v>
      </c>
      <c r="BI40" s="33">
        <f t="shared" si="27"/>
        <v>33.369999999999997</v>
      </c>
      <c r="BJ40" s="34">
        <f t="shared" si="61"/>
        <v>299.95</v>
      </c>
      <c r="BK40" s="35">
        <f t="shared" si="62"/>
        <v>39.090000000000003</v>
      </c>
    </row>
    <row r="41" spans="1:63" ht="30" customHeight="1">
      <c r="A41" s="31">
        <v>1412000080</v>
      </c>
      <c r="B41" s="30" t="s">
        <v>126</v>
      </c>
      <c r="C41" s="31" t="s">
        <v>118</v>
      </c>
      <c r="D41" s="25">
        <v>8.7930275875183013E-4</v>
      </c>
      <c r="E41" s="32">
        <f t="shared" si="0"/>
        <v>285.47000000000003</v>
      </c>
      <c r="F41" s="33">
        <f t="shared" si="1"/>
        <v>19.27</v>
      </c>
      <c r="G41" s="34">
        <f t="shared" si="2"/>
        <v>183.49</v>
      </c>
      <c r="H41" s="35">
        <f t="shared" si="3"/>
        <v>23.26</v>
      </c>
      <c r="I41" s="25">
        <v>8.7866941766610374E-4</v>
      </c>
      <c r="J41" s="32">
        <f t="shared" si="4"/>
        <v>285.26</v>
      </c>
      <c r="K41" s="33">
        <f t="shared" si="5"/>
        <v>19.25</v>
      </c>
      <c r="L41" s="34">
        <f t="shared" si="6"/>
        <v>173.09</v>
      </c>
      <c r="M41" s="211">
        <f t="shared" si="28"/>
        <v>22.56</v>
      </c>
      <c r="N41" s="208">
        <v>8.8021236137628481E-4</v>
      </c>
      <c r="O41" s="32">
        <f t="shared" si="29"/>
        <v>285.76</v>
      </c>
      <c r="P41" s="33">
        <f t="shared" si="7"/>
        <v>19.29</v>
      </c>
      <c r="Q41" s="34">
        <f t="shared" si="63"/>
        <v>173.39</v>
      </c>
      <c r="R41" s="211">
        <f t="shared" si="44"/>
        <v>22.59</v>
      </c>
      <c r="S41" s="208">
        <v>8.7812380762600153E-4</v>
      </c>
      <c r="T41" s="32">
        <f t="shared" si="8"/>
        <v>285.08</v>
      </c>
      <c r="U41" s="33">
        <f t="shared" si="9"/>
        <v>19.239999999999998</v>
      </c>
      <c r="V41" s="34">
        <f t="shared" si="45"/>
        <v>172.98</v>
      </c>
      <c r="W41" s="211">
        <f t="shared" si="46"/>
        <v>22.54</v>
      </c>
      <c r="X41" s="208">
        <v>9.1466336153036957E-4</v>
      </c>
      <c r="Y41" s="32">
        <f t="shared" si="10"/>
        <v>296.95</v>
      </c>
      <c r="Z41" s="33">
        <f t="shared" si="11"/>
        <v>20.04</v>
      </c>
      <c r="AA41" s="34">
        <f t="shared" si="47"/>
        <v>180.18</v>
      </c>
      <c r="AB41" s="35">
        <f t="shared" si="48"/>
        <v>23.48</v>
      </c>
      <c r="AC41" s="25">
        <v>9.1505460264321137E-4</v>
      </c>
      <c r="AD41" s="32">
        <f t="shared" si="12"/>
        <v>297.07</v>
      </c>
      <c r="AE41" s="33">
        <f t="shared" si="13"/>
        <v>20.05</v>
      </c>
      <c r="AF41" s="34">
        <f t="shared" si="49"/>
        <v>180.26</v>
      </c>
      <c r="AG41" s="211">
        <f t="shared" si="50"/>
        <v>23.49</v>
      </c>
      <c r="AH41" s="208">
        <v>9.1614613211715408E-4</v>
      </c>
      <c r="AI41" s="32">
        <f t="shared" si="16"/>
        <v>297.43</v>
      </c>
      <c r="AJ41" s="33">
        <f t="shared" si="17"/>
        <v>20.079999999999998</v>
      </c>
      <c r="AK41" s="34">
        <f t="shared" si="51"/>
        <v>180.47</v>
      </c>
      <c r="AL41" s="211">
        <f t="shared" si="52"/>
        <v>23.52</v>
      </c>
      <c r="AM41" s="208">
        <v>9.1560206810397684E-4</v>
      </c>
      <c r="AN41" s="32">
        <f t="shared" si="18"/>
        <v>297.25</v>
      </c>
      <c r="AO41" s="33">
        <f t="shared" si="19"/>
        <v>20.059999999999999</v>
      </c>
      <c r="AP41" s="34">
        <f t="shared" si="53"/>
        <v>180.37</v>
      </c>
      <c r="AQ41" s="211">
        <f t="shared" si="54"/>
        <v>23.5</v>
      </c>
      <c r="AR41" s="208">
        <v>9.3425557639161515E-4</v>
      </c>
      <c r="AS41" s="32">
        <f t="shared" si="20"/>
        <v>303.31</v>
      </c>
      <c r="AT41" s="33">
        <f t="shared" si="21"/>
        <v>20.47</v>
      </c>
      <c r="AU41" s="34">
        <f t="shared" si="55"/>
        <v>184.04</v>
      </c>
      <c r="AV41" s="35">
        <f t="shared" si="56"/>
        <v>23.98</v>
      </c>
      <c r="AW41" s="208">
        <v>9.3330239637253256E-4</v>
      </c>
      <c r="AX41" s="32">
        <f t="shared" si="22"/>
        <v>303</v>
      </c>
      <c r="AY41" s="33">
        <f t="shared" si="23"/>
        <v>20.45</v>
      </c>
      <c r="AZ41" s="34">
        <f t="shared" si="57"/>
        <v>183.85</v>
      </c>
      <c r="BA41" s="211">
        <f t="shared" si="58"/>
        <v>23.96</v>
      </c>
      <c r="BB41" s="208">
        <v>9.3028704301540051E-4</v>
      </c>
      <c r="BC41" s="32">
        <f t="shared" si="24"/>
        <v>302.02</v>
      </c>
      <c r="BD41" s="33">
        <f t="shared" si="25"/>
        <v>20.38</v>
      </c>
      <c r="BE41" s="34">
        <f t="shared" si="59"/>
        <v>183.26</v>
      </c>
      <c r="BF41" s="211">
        <f t="shared" si="60"/>
        <v>23.88</v>
      </c>
      <c r="BG41" s="208">
        <v>9.3420962148162991E-4</v>
      </c>
      <c r="BH41" s="32">
        <f t="shared" si="26"/>
        <v>303.29000000000002</v>
      </c>
      <c r="BI41" s="33">
        <f t="shared" si="27"/>
        <v>20.47</v>
      </c>
      <c r="BJ41" s="34">
        <f t="shared" si="61"/>
        <v>184.03</v>
      </c>
      <c r="BK41" s="35">
        <f t="shared" si="62"/>
        <v>23.98</v>
      </c>
    </row>
    <row r="42" spans="1:63" ht="30" customHeight="1">
      <c r="A42" s="30">
        <v>1412000016</v>
      </c>
      <c r="B42" s="30" t="s">
        <v>59</v>
      </c>
      <c r="C42" s="31" t="s">
        <v>61</v>
      </c>
      <c r="D42" s="25">
        <v>1.4999902976604925E-3</v>
      </c>
      <c r="E42" s="32">
        <f t="shared" si="0"/>
        <v>486.97</v>
      </c>
      <c r="F42" s="33">
        <f t="shared" si="1"/>
        <v>32.869999999999997</v>
      </c>
      <c r="G42" s="34">
        <f t="shared" si="2"/>
        <v>313.02</v>
      </c>
      <c r="H42" s="35">
        <f t="shared" si="3"/>
        <v>39.69</v>
      </c>
      <c r="I42" s="25">
        <v>1.5303459787104428E-3</v>
      </c>
      <c r="J42" s="32">
        <f t="shared" si="4"/>
        <v>496.83</v>
      </c>
      <c r="K42" s="33">
        <f t="shared" si="5"/>
        <v>33.53</v>
      </c>
      <c r="L42" s="34">
        <f t="shared" si="6"/>
        <v>301.47000000000003</v>
      </c>
      <c r="M42" s="211">
        <f t="shared" si="28"/>
        <v>39.28</v>
      </c>
      <c r="N42" s="208">
        <v>1.5316960544568506E-3</v>
      </c>
      <c r="O42" s="32">
        <f t="shared" si="29"/>
        <v>497.26</v>
      </c>
      <c r="P42" s="33">
        <f t="shared" si="7"/>
        <v>33.56</v>
      </c>
      <c r="Q42" s="34">
        <f t="shared" si="63"/>
        <v>301.73</v>
      </c>
      <c r="R42" s="211">
        <f t="shared" si="44"/>
        <v>39.32</v>
      </c>
      <c r="S42" s="208">
        <v>1.5137769522160405E-3</v>
      </c>
      <c r="T42" s="32">
        <f t="shared" si="8"/>
        <v>491.45</v>
      </c>
      <c r="U42" s="33">
        <f t="shared" si="9"/>
        <v>33.17</v>
      </c>
      <c r="V42" s="34">
        <f t="shared" si="45"/>
        <v>298.2</v>
      </c>
      <c r="W42" s="211">
        <f t="shared" si="46"/>
        <v>38.86</v>
      </c>
      <c r="X42" s="208">
        <v>1.5117298987025764E-3</v>
      </c>
      <c r="Y42" s="32">
        <f t="shared" si="10"/>
        <v>490.78</v>
      </c>
      <c r="Z42" s="33">
        <f t="shared" si="11"/>
        <v>33.130000000000003</v>
      </c>
      <c r="AA42" s="34">
        <f t="shared" si="47"/>
        <v>297.8</v>
      </c>
      <c r="AB42" s="35">
        <f t="shared" si="48"/>
        <v>38.81</v>
      </c>
      <c r="AC42" s="25">
        <v>1.5120459011398715E-3</v>
      </c>
      <c r="AD42" s="32">
        <f t="shared" si="12"/>
        <v>490.89</v>
      </c>
      <c r="AE42" s="33">
        <f t="shared" si="13"/>
        <v>33.130000000000003</v>
      </c>
      <c r="AF42" s="34">
        <f t="shared" si="49"/>
        <v>297.86</v>
      </c>
      <c r="AG42" s="211">
        <f t="shared" si="50"/>
        <v>38.81</v>
      </c>
      <c r="AH42" s="208">
        <v>1.5129275210995947E-3</v>
      </c>
      <c r="AI42" s="32">
        <f t="shared" si="16"/>
        <v>491.17</v>
      </c>
      <c r="AJ42" s="33">
        <f t="shared" si="17"/>
        <v>33.15</v>
      </c>
      <c r="AK42" s="34">
        <f t="shared" si="51"/>
        <v>298.02999999999997</v>
      </c>
      <c r="AL42" s="211">
        <f t="shared" si="52"/>
        <v>38.840000000000003</v>
      </c>
      <c r="AM42" s="208">
        <v>1.5124880847812593E-3</v>
      </c>
      <c r="AN42" s="32">
        <f t="shared" si="18"/>
        <v>491.03</v>
      </c>
      <c r="AO42" s="33">
        <f t="shared" si="19"/>
        <v>33.14</v>
      </c>
      <c r="AP42" s="34">
        <f t="shared" si="53"/>
        <v>297.95</v>
      </c>
      <c r="AQ42" s="211">
        <f t="shared" si="54"/>
        <v>38.82</v>
      </c>
      <c r="AR42" s="208">
        <v>1.5118486599591952E-3</v>
      </c>
      <c r="AS42" s="32">
        <f t="shared" si="20"/>
        <v>490.82</v>
      </c>
      <c r="AT42" s="33">
        <f t="shared" si="21"/>
        <v>33.130000000000003</v>
      </c>
      <c r="AU42" s="34">
        <f t="shared" si="55"/>
        <v>297.82</v>
      </c>
      <c r="AV42" s="35">
        <f t="shared" si="56"/>
        <v>38.81</v>
      </c>
      <c r="AW42" s="208">
        <v>1.5111072977221315E-3</v>
      </c>
      <c r="AX42" s="32">
        <f t="shared" si="22"/>
        <v>490.58</v>
      </c>
      <c r="AY42" s="33">
        <f t="shared" si="23"/>
        <v>33.11</v>
      </c>
      <c r="AZ42" s="34">
        <f t="shared" si="57"/>
        <v>297.68</v>
      </c>
      <c r="BA42" s="211">
        <f t="shared" si="58"/>
        <v>38.79</v>
      </c>
      <c r="BB42" s="208">
        <v>1.5087620228888068E-3</v>
      </c>
      <c r="BC42" s="32">
        <f t="shared" si="24"/>
        <v>489.82</v>
      </c>
      <c r="BD42" s="33">
        <f t="shared" si="25"/>
        <v>33.06</v>
      </c>
      <c r="BE42" s="34">
        <f t="shared" si="59"/>
        <v>297.20999999999998</v>
      </c>
      <c r="BF42" s="211">
        <f t="shared" si="60"/>
        <v>38.729999999999997</v>
      </c>
      <c r="BG42" s="208">
        <v>1.5118129172514297E-3</v>
      </c>
      <c r="BH42" s="32">
        <f t="shared" si="26"/>
        <v>490.81</v>
      </c>
      <c r="BI42" s="33">
        <f t="shared" si="27"/>
        <v>33.130000000000003</v>
      </c>
      <c r="BJ42" s="34">
        <f t="shared" si="61"/>
        <v>297.81</v>
      </c>
      <c r="BK42" s="35">
        <f t="shared" si="62"/>
        <v>38.81</v>
      </c>
    </row>
    <row r="43" spans="1:63" ht="30" customHeight="1">
      <c r="A43" s="30">
        <v>1412000069</v>
      </c>
      <c r="B43" s="30" t="s">
        <v>60</v>
      </c>
      <c r="C43" s="31" t="s">
        <v>62</v>
      </c>
      <c r="D43" s="25">
        <v>1.0458229655675984E-3</v>
      </c>
      <c r="E43" s="32">
        <f t="shared" si="0"/>
        <v>339.53</v>
      </c>
      <c r="F43" s="33">
        <f t="shared" si="1"/>
        <v>22.92</v>
      </c>
      <c r="G43" s="34">
        <f t="shared" si="2"/>
        <v>218.24</v>
      </c>
      <c r="H43" s="35">
        <f t="shared" si="3"/>
        <v>27.67</v>
      </c>
      <c r="I43" s="25">
        <v>1.0876871020815125E-3</v>
      </c>
      <c r="J43" s="32">
        <f t="shared" si="4"/>
        <v>353.12</v>
      </c>
      <c r="K43" s="33">
        <f t="shared" si="5"/>
        <v>23.83</v>
      </c>
      <c r="L43" s="34">
        <f t="shared" si="6"/>
        <v>214.27</v>
      </c>
      <c r="M43" s="211">
        <f t="shared" si="28"/>
        <v>27.92</v>
      </c>
      <c r="N43" s="208">
        <v>1.0885871525791175E-3</v>
      </c>
      <c r="O43" s="32">
        <f t="shared" si="29"/>
        <v>353.41</v>
      </c>
      <c r="P43" s="33">
        <f t="shared" si="7"/>
        <v>23.85</v>
      </c>
      <c r="Q43" s="34">
        <f t="shared" si="63"/>
        <v>214.44</v>
      </c>
      <c r="R43" s="211">
        <f t="shared" si="44"/>
        <v>27.94</v>
      </c>
      <c r="S43" s="208">
        <v>1.0766410844185777E-3</v>
      </c>
      <c r="T43" s="32">
        <f t="shared" si="8"/>
        <v>349.53</v>
      </c>
      <c r="U43" s="33">
        <f t="shared" si="9"/>
        <v>23.59</v>
      </c>
      <c r="V43" s="34">
        <f t="shared" si="45"/>
        <v>212.09</v>
      </c>
      <c r="W43" s="211">
        <f t="shared" si="46"/>
        <v>27.64</v>
      </c>
      <c r="X43" s="208">
        <v>1.0752763820762682E-3</v>
      </c>
      <c r="Y43" s="32">
        <f t="shared" si="10"/>
        <v>349.09</v>
      </c>
      <c r="Z43" s="33">
        <f t="shared" si="11"/>
        <v>23.56</v>
      </c>
      <c r="AA43" s="34">
        <f t="shared" si="47"/>
        <v>211.82</v>
      </c>
      <c r="AB43" s="35">
        <f t="shared" si="48"/>
        <v>27.6</v>
      </c>
      <c r="AC43" s="25">
        <v>1.0754870503677982E-3</v>
      </c>
      <c r="AD43" s="32">
        <f t="shared" si="12"/>
        <v>349.16</v>
      </c>
      <c r="AE43" s="33">
        <f t="shared" si="13"/>
        <v>23.57</v>
      </c>
      <c r="AF43" s="34">
        <f t="shared" si="49"/>
        <v>211.86</v>
      </c>
      <c r="AG43" s="211">
        <f t="shared" si="50"/>
        <v>27.61</v>
      </c>
      <c r="AH43" s="208">
        <v>1.076074797007614E-3</v>
      </c>
      <c r="AI43" s="32">
        <f t="shared" si="16"/>
        <v>349.35</v>
      </c>
      <c r="AJ43" s="33">
        <f t="shared" si="17"/>
        <v>23.58</v>
      </c>
      <c r="AK43" s="34">
        <f t="shared" si="51"/>
        <v>211.98</v>
      </c>
      <c r="AL43" s="211">
        <f t="shared" si="52"/>
        <v>27.62</v>
      </c>
      <c r="AM43" s="208">
        <v>1.0757818394620568E-3</v>
      </c>
      <c r="AN43" s="32">
        <f t="shared" si="18"/>
        <v>349.25</v>
      </c>
      <c r="AO43" s="33">
        <f t="shared" si="19"/>
        <v>23.57</v>
      </c>
      <c r="AP43" s="34">
        <f t="shared" si="53"/>
        <v>211.92</v>
      </c>
      <c r="AQ43" s="211">
        <f t="shared" si="54"/>
        <v>27.61</v>
      </c>
      <c r="AR43" s="208">
        <v>1.0753555562473475E-3</v>
      </c>
      <c r="AS43" s="32">
        <f t="shared" si="20"/>
        <v>349.11</v>
      </c>
      <c r="AT43" s="33">
        <f t="shared" si="21"/>
        <v>23.56</v>
      </c>
      <c r="AU43" s="34">
        <f t="shared" si="55"/>
        <v>211.84</v>
      </c>
      <c r="AV43" s="35">
        <f t="shared" si="56"/>
        <v>27.6</v>
      </c>
      <c r="AW43" s="208">
        <v>1.0748613147559718E-3</v>
      </c>
      <c r="AX43" s="32">
        <f t="shared" si="22"/>
        <v>348.95</v>
      </c>
      <c r="AY43" s="33">
        <f t="shared" si="23"/>
        <v>23.55</v>
      </c>
      <c r="AZ43" s="34">
        <f t="shared" si="57"/>
        <v>211.74</v>
      </c>
      <c r="BA43" s="211">
        <f t="shared" si="58"/>
        <v>27.59</v>
      </c>
      <c r="BB43" s="208">
        <v>1.073297798200422E-3</v>
      </c>
      <c r="BC43" s="32">
        <f t="shared" si="24"/>
        <v>348.45</v>
      </c>
      <c r="BD43" s="33">
        <f t="shared" si="25"/>
        <v>23.52</v>
      </c>
      <c r="BE43" s="34">
        <f t="shared" si="59"/>
        <v>211.43</v>
      </c>
      <c r="BF43" s="211">
        <f t="shared" si="60"/>
        <v>27.55</v>
      </c>
      <c r="BG43" s="208">
        <v>1.0753317277755038E-3</v>
      </c>
      <c r="BH43" s="32">
        <f t="shared" si="26"/>
        <v>349.11</v>
      </c>
      <c r="BI43" s="33">
        <f t="shared" si="27"/>
        <v>23.56</v>
      </c>
      <c r="BJ43" s="34">
        <f t="shared" si="61"/>
        <v>211.83</v>
      </c>
      <c r="BK43" s="35">
        <f t="shared" si="62"/>
        <v>27.6</v>
      </c>
    </row>
    <row r="44" spans="1:63" ht="30" customHeight="1">
      <c r="A44" s="30">
        <v>1412000084</v>
      </c>
      <c r="B44" s="30" t="s">
        <v>104</v>
      </c>
      <c r="C44" s="31" t="s">
        <v>105</v>
      </c>
      <c r="D44" s="25">
        <v>1.5648713451023345E-3</v>
      </c>
      <c r="E44" s="32">
        <f t="shared" si="0"/>
        <v>508.03</v>
      </c>
      <c r="F44" s="33">
        <f t="shared" si="1"/>
        <v>34.29</v>
      </c>
      <c r="G44" s="34">
        <f t="shared" si="2"/>
        <v>326.56</v>
      </c>
      <c r="H44" s="35">
        <f t="shared" si="3"/>
        <v>41.4</v>
      </c>
      <c r="I44" s="25">
        <v>1.5303459787104428E-3</v>
      </c>
      <c r="J44" s="32">
        <f t="shared" si="4"/>
        <v>496.83</v>
      </c>
      <c r="K44" s="33">
        <f t="shared" si="5"/>
        <v>33.53</v>
      </c>
      <c r="L44" s="34">
        <f t="shared" si="6"/>
        <v>301.47000000000003</v>
      </c>
      <c r="M44" s="211">
        <f t="shared" si="28"/>
        <v>39.28</v>
      </c>
      <c r="N44" s="208">
        <v>1.5316960544568506E-3</v>
      </c>
      <c r="O44" s="32">
        <f t="shared" si="29"/>
        <v>497.26</v>
      </c>
      <c r="P44" s="33">
        <f t="shared" si="7"/>
        <v>33.56</v>
      </c>
      <c r="Q44" s="34">
        <f t="shared" si="63"/>
        <v>301.73</v>
      </c>
      <c r="R44" s="211">
        <f t="shared" si="44"/>
        <v>39.32</v>
      </c>
      <c r="S44" s="208">
        <v>1.5762249333299636E-3</v>
      </c>
      <c r="T44" s="32">
        <f t="shared" si="8"/>
        <v>511.72</v>
      </c>
      <c r="U44" s="33">
        <f t="shared" si="9"/>
        <v>34.54</v>
      </c>
      <c r="V44" s="34">
        <f t="shared" si="45"/>
        <v>310.5</v>
      </c>
      <c r="W44" s="211">
        <f t="shared" si="46"/>
        <v>40.46</v>
      </c>
      <c r="X44" s="208">
        <v>1.5740804010777633E-3</v>
      </c>
      <c r="Y44" s="32">
        <f t="shared" si="10"/>
        <v>511.02</v>
      </c>
      <c r="Z44" s="33">
        <f t="shared" si="11"/>
        <v>34.49</v>
      </c>
      <c r="AA44" s="34">
        <f t="shared" si="47"/>
        <v>310.08</v>
      </c>
      <c r="AB44" s="35">
        <f t="shared" si="48"/>
        <v>40.409999999999997</v>
      </c>
      <c r="AC44" s="25">
        <v>1.5744114512501676E-3</v>
      </c>
      <c r="AD44" s="32">
        <f t="shared" si="12"/>
        <v>511.13</v>
      </c>
      <c r="AE44" s="33">
        <f t="shared" si="13"/>
        <v>34.5</v>
      </c>
      <c r="AF44" s="34">
        <f t="shared" si="49"/>
        <v>310.14999999999998</v>
      </c>
      <c r="AG44" s="211">
        <f t="shared" si="50"/>
        <v>40.409999999999997</v>
      </c>
      <c r="AH44" s="208">
        <v>1.5753350531127349E-3</v>
      </c>
      <c r="AI44" s="32">
        <f t="shared" si="16"/>
        <v>511.43</v>
      </c>
      <c r="AJ44" s="33">
        <f t="shared" si="17"/>
        <v>34.520000000000003</v>
      </c>
      <c r="AK44" s="34">
        <f t="shared" si="51"/>
        <v>310.33</v>
      </c>
      <c r="AL44" s="211">
        <f t="shared" si="52"/>
        <v>40.44</v>
      </c>
      <c r="AM44" s="208">
        <v>1.5748746912554311E-3</v>
      </c>
      <c r="AN44" s="32">
        <f t="shared" si="18"/>
        <v>511.28</v>
      </c>
      <c r="AO44" s="33">
        <f t="shared" si="19"/>
        <v>34.51</v>
      </c>
      <c r="AP44" s="34">
        <f t="shared" si="53"/>
        <v>310.24</v>
      </c>
      <c r="AQ44" s="211">
        <f t="shared" si="54"/>
        <v>40.43</v>
      </c>
      <c r="AR44" s="208">
        <v>1.5742048176323163E-3</v>
      </c>
      <c r="AS44" s="32">
        <f t="shared" si="20"/>
        <v>511.06</v>
      </c>
      <c r="AT44" s="33">
        <f t="shared" si="21"/>
        <v>34.49</v>
      </c>
      <c r="AU44" s="34">
        <f t="shared" si="55"/>
        <v>310.11</v>
      </c>
      <c r="AV44" s="35">
        <f t="shared" si="56"/>
        <v>40.409999999999997</v>
      </c>
      <c r="AW44" s="208">
        <v>1.573428152431583E-3</v>
      </c>
      <c r="AX44" s="32">
        <f t="shared" si="22"/>
        <v>510.81</v>
      </c>
      <c r="AY44" s="33">
        <f t="shared" si="23"/>
        <v>34.479999999999997</v>
      </c>
      <c r="AZ44" s="34">
        <f t="shared" si="57"/>
        <v>309.95</v>
      </c>
      <c r="BA44" s="211">
        <f t="shared" si="58"/>
        <v>40.39</v>
      </c>
      <c r="BB44" s="208">
        <v>1.5709711978442904E-3</v>
      </c>
      <c r="BC44" s="32">
        <f t="shared" si="24"/>
        <v>510.02</v>
      </c>
      <c r="BD44" s="33">
        <f t="shared" si="25"/>
        <v>34.42</v>
      </c>
      <c r="BE44" s="34">
        <f t="shared" si="59"/>
        <v>309.47000000000003</v>
      </c>
      <c r="BF44" s="211">
        <f t="shared" si="60"/>
        <v>40.33</v>
      </c>
      <c r="BG44" s="208">
        <v>1.574167372890848E-3</v>
      </c>
      <c r="BH44" s="32">
        <f t="shared" si="26"/>
        <v>511.05</v>
      </c>
      <c r="BI44" s="33">
        <f t="shared" si="27"/>
        <v>34.49</v>
      </c>
      <c r="BJ44" s="34">
        <f t="shared" si="61"/>
        <v>310.10000000000002</v>
      </c>
      <c r="BK44" s="35">
        <f t="shared" si="62"/>
        <v>40.409999999999997</v>
      </c>
    </row>
    <row r="45" spans="1:63" ht="30" customHeight="1">
      <c r="A45" s="30">
        <v>1412000018</v>
      </c>
      <c r="B45" s="30" t="s">
        <v>38</v>
      </c>
      <c r="C45" s="31" t="s">
        <v>39</v>
      </c>
      <c r="D45" s="25">
        <v>2.6702599181651649E-3</v>
      </c>
      <c r="E45" s="32">
        <f t="shared" si="0"/>
        <v>866.9</v>
      </c>
      <c r="F45" s="33">
        <f t="shared" si="1"/>
        <v>58.51</v>
      </c>
      <c r="G45" s="34">
        <f t="shared" si="2"/>
        <v>557.23</v>
      </c>
      <c r="H45" s="35">
        <f t="shared" si="3"/>
        <v>70.650000000000006</v>
      </c>
      <c r="I45" s="25">
        <v>2.7034101454499371E-3</v>
      </c>
      <c r="J45" s="32">
        <f t="shared" si="4"/>
        <v>877.66</v>
      </c>
      <c r="K45" s="33">
        <f t="shared" si="5"/>
        <v>59.24</v>
      </c>
      <c r="L45" s="34">
        <f t="shared" si="6"/>
        <v>532.54999999999995</v>
      </c>
      <c r="M45" s="211">
        <f t="shared" si="28"/>
        <v>69.400000000000006</v>
      </c>
      <c r="N45" s="208">
        <v>2.7332359252956505E-3</v>
      </c>
      <c r="O45" s="32">
        <f t="shared" si="29"/>
        <v>887.34</v>
      </c>
      <c r="P45" s="33">
        <f t="shared" si="7"/>
        <v>59.89</v>
      </c>
      <c r="Q45" s="34">
        <f t="shared" si="63"/>
        <v>538.41999999999996</v>
      </c>
      <c r="R45" s="211">
        <f t="shared" si="44"/>
        <v>70.16</v>
      </c>
      <c r="S45" s="208">
        <v>2.7034799063867928E-3</v>
      </c>
      <c r="T45" s="32">
        <f t="shared" si="8"/>
        <v>877.68</v>
      </c>
      <c r="U45" s="33">
        <f t="shared" si="9"/>
        <v>59.24</v>
      </c>
      <c r="V45" s="34">
        <f t="shared" si="45"/>
        <v>532.55999999999995</v>
      </c>
      <c r="W45" s="211">
        <f t="shared" si="46"/>
        <v>69.400000000000006</v>
      </c>
      <c r="X45" s="208">
        <v>2.6830435589523284E-3</v>
      </c>
      <c r="Y45" s="32">
        <f t="shared" si="10"/>
        <v>871.05</v>
      </c>
      <c r="Z45" s="33">
        <f t="shared" si="11"/>
        <v>58.79</v>
      </c>
      <c r="AA45" s="34">
        <f t="shared" si="47"/>
        <v>528.54</v>
      </c>
      <c r="AB45" s="35">
        <f t="shared" si="48"/>
        <v>68.87</v>
      </c>
      <c r="AC45" s="25">
        <v>2.6912770728593281E-3</v>
      </c>
      <c r="AD45" s="32">
        <f t="shared" si="12"/>
        <v>873.72</v>
      </c>
      <c r="AE45" s="33">
        <f t="shared" si="13"/>
        <v>58.97</v>
      </c>
      <c r="AF45" s="34">
        <f t="shared" si="49"/>
        <v>530.16</v>
      </c>
      <c r="AG45" s="211">
        <f t="shared" si="50"/>
        <v>69.08</v>
      </c>
      <c r="AH45" s="208">
        <v>2.7052980330328296E-3</v>
      </c>
      <c r="AI45" s="32">
        <f t="shared" si="16"/>
        <v>878.27</v>
      </c>
      <c r="AJ45" s="33">
        <f t="shared" si="17"/>
        <v>59.28</v>
      </c>
      <c r="AK45" s="34">
        <f t="shared" si="51"/>
        <v>532.91999999999996</v>
      </c>
      <c r="AL45" s="211">
        <f t="shared" si="52"/>
        <v>69.44</v>
      </c>
      <c r="AM45" s="208">
        <v>2.6993585299852222E-3</v>
      </c>
      <c r="AN45" s="32">
        <f t="shared" si="18"/>
        <v>876.35</v>
      </c>
      <c r="AO45" s="33">
        <f t="shared" si="19"/>
        <v>59.15</v>
      </c>
      <c r="AP45" s="34">
        <f t="shared" si="53"/>
        <v>531.75</v>
      </c>
      <c r="AQ45" s="211">
        <f t="shared" si="54"/>
        <v>69.290000000000006</v>
      </c>
      <c r="AR45" s="208">
        <v>2.6955534338962638E-3</v>
      </c>
      <c r="AS45" s="32">
        <f t="shared" si="20"/>
        <v>875.11</v>
      </c>
      <c r="AT45" s="33">
        <f t="shared" si="21"/>
        <v>59.07</v>
      </c>
      <c r="AU45" s="34">
        <f t="shared" si="55"/>
        <v>531</v>
      </c>
      <c r="AV45" s="35">
        <f t="shared" si="56"/>
        <v>69.19</v>
      </c>
      <c r="AW45" s="208">
        <v>2.6807840836720535E-3</v>
      </c>
      <c r="AX45" s="32">
        <f t="shared" si="22"/>
        <v>870.32</v>
      </c>
      <c r="AY45" s="33">
        <f t="shared" si="23"/>
        <v>58.74</v>
      </c>
      <c r="AZ45" s="34">
        <f t="shared" si="57"/>
        <v>528.09</v>
      </c>
      <c r="BA45" s="211">
        <f t="shared" si="58"/>
        <v>68.81</v>
      </c>
      <c r="BB45" s="208">
        <v>2.64582271798309E-3</v>
      </c>
      <c r="BC45" s="32">
        <f t="shared" si="24"/>
        <v>858.97</v>
      </c>
      <c r="BD45" s="33">
        <f t="shared" si="25"/>
        <v>57.98</v>
      </c>
      <c r="BE45" s="34">
        <f t="shared" si="59"/>
        <v>521.21</v>
      </c>
      <c r="BF45" s="211">
        <f t="shared" si="60"/>
        <v>67.92</v>
      </c>
      <c r="BG45" s="208">
        <v>2.6922152372388167E-3</v>
      </c>
      <c r="BH45" s="32">
        <f t="shared" si="26"/>
        <v>874.03</v>
      </c>
      <c r="BI45" s="33">
        <f t="shared" si="27"/>
        <v>58.99</v>
      </c>
      <c r="BJ45" s="34">
        <f t="shared" si="61"/>
        <v>530.34</v>
      </c>
      <c r="BK45" s="35">
        <f t="shared" si="62"/>
        <v>69.11</v>
      </c>
    </row>
    <row r="46" spans="1:63" ht="30" customHeight="1">
      <c r="A46" s="30">
        <v>1412000019</v>
      </c>
      <c r="B46" s="30" t="s">
        <v>100</v>
      </c>
      <c r="C46" s="31" t="s">
        <v>40</v>
      </c>
      <c r="D46" s="25">
        <v>4.9479456465924771E-3</v>
      </c>
      <c r="E46" s="32">
        <f t="shared" si="0"/>
        <v>1606.35</v>
      </c>
      <c r="F46" s="33">
        <f t="shared" si="1"/>
        <v>108.42</v>
      </c>
      <c r="G46" s="34">
        <f t="shared" si="2"/>
        <v>1032.53</v>
      </c>
      <c r="H46" s="35">
        <f t="shared" si="3"/>
        <v>130.91</v>
      </c>
      <c r="I46" s="25">
        <v>4.9471801044069065E-3</v>
      </c>
      <c r="J46" s="32">
        <f t="shared" si="4"/>
        <v>1606.1</v>
      </c>
      <c r="K46" s="33">
        <f t="shared" si="5"/>
        <v>108.41</v>
      </c>
      <c r="L46" s="34">
        <f t="shared" si="6"/>
        <v>974.55</v>
      </c>
      <c r="M46" s="211">
        <f t="shared" si="28"/>
        <v>126.99</v>
      </c>
      <c r="N46" s="208">
        <v>4.9853477406599737E-3</v>
      </c>
      <c r="O46" s="32">
        <f t="shared" si="29"/>
        <v>1618.49</v>
      </c>
      <c r="P46" s="33">
        <f t="shared" si="7"/>
        <v>109.24</v>
      </c>
      <c r="Q46" s="34">
        <f t="shared" si="63"/>
        <v>982.07</v>
      </c>
      <c r="R46" s="211">
        <f t="shared" si="44"/>
        <v>127.97</v>
      </c>
      <c r="S46" s="208">
        <v>4.9477032335045832E-3</v>
      </c>
      <c r="T46" s="32">
        <f t="shared" si="8"/>
        <v>1606.27</v>
      </c>
      <c r="U46" s="33">
        <f t="shared" si="9"/>
        <v>108.42</v>
      </c>
      <c r="V46" s="34">
        <f t="shared" si="45"/>
        <v>974.66</v>
      </c>
      <c r="W46" s="211">
        <f t="shared" si="46"/>
        <v>127.01</v>
      </c>
      <c r="X46" s="208">
        <v>4.9097939089060745E-3</v>
      </c>
      <c r="Y46" s="32">
        <f t="shared" si="10"/>
        <v>1593.96</v>
      </c>
      <c r="Z46" s="33">
        <f t="shared" si="11"/>
        <v>107.59</v>
      </c>
      <c r="AA46" s="34">
        <f t="shared" si="47"/>
        <v>967.19</v>
      </c>
      <c r="AB46" s="35">
        <f t="shared" si="48"/>
        <v>126.03</v>
      </c>
      <c r="AC46" s="25">
        <v>4.9137677566308017E-3</v>
      </c>
      <c r="AD46" s="32">
        <f t="shared" si="12"/>
        <v>1595.25</v>
      </c>
      <c r="AE46" s="33">
        <f t="shared" si="13"/>
        <v>107.67</v>
      </c>
      <c r="AF46" s="34">
        <f t="shared" si="49"/>
        <v>967.97</v>
      </c>
      <c r="AG46" s="211">
        <f t="shared" si="50"/>
        <v>126.13</v>
      </c>
      <c r="AH46" s="208">
        <v>4.9662816466579324E-3</v>
      </c>
      <c r="AI46" s="32">
        <f t="shared" si="16"/>
        <v>1612.3</v>
      </c>
      <c r="AJ46" s="33">
        <f t="shared" si="17"/>
        <v>108.82</v>
      </c>
      <c r="AK46" s="34">
        <f t="shared" si="51"/>
        <v>978.32</v>
      </c>
      <c r="AL46" s="211">
        <f t="shared" si="52"/>
        <v>127.48</v>
      </c>
      <c r="AM46" s="208">
        <v>4.9417840420497476E-3</v>
      </c>
      <c r="AN46" s="32">
        <f t="shared" si="18"/>
        <v>1604.35</v>
      </c>
      <c r="AO46" s="33">
        <f t="shared" si="19"/>
        <v>108.29</v>
      </c>
      <c r="AP46" s="34">
        <f t="shared" si="53"/>
        <v>973.49</v>
      </c>
      <c r="AQ46" s="211">
        <f t="shared" si="54"/>
        <v>126.85</v>
      </c>
      <c r="AR46" s="208">
        <v>4.9378457010971219E-3</v>
      </c>
      <c r="AS46" s="32">
        <f t="shared" si="20"/>
        <v>1603.07</v>
      </c>
      <c r="AT46" s="33">
        <f t="shared" si="21"/>
        <v>108.2</v>
      </c>
      <c r="AU46" s="34">
        <f t="shared" si="55"/>
        <v>972.71</v>
      </c>
      <c r="AV46" s="35">
        <f t="shared" si="56"/>
        <v>126.75</v>
      </c>
      <c r="AW46" s="208">
        <v>4.9162566281544277E-3</v>
      </c>
      <c r="AX46" s="32">
        <f t="shared" si="22"/>
        <v>1596.06</v>
      </c>
      <c r="AY46" s="33">
        <f t="shared" si="23"/>
        <v>107.73</v>
      </c>
      <c r="AZ46" s="34">
        <f t="shared" si="57"/>
        <v>968.46</v>
      </c>
      <c r="BA46" s="211">
        <f t="shared" si="58"/>
        <v>126.2</v>
      </c>
      <c r="BB46" s="208">
        <v>4.8143609510131998E-3</v>
      </c>
      <c r="BC46" s="32">
        <f t="shared" si="24"/>
        <v>1562.98</v>
      </c>
      <c r="BD46" s="33">
        <f t="shared" si="25"/>
        <v>105.5</v>
      </c>
      <c r="BE46" s="34">
        <f t="shared" si="59"/>
        <v>948.39</v>
      </c>
      <c r="BF46" s="211">
        <f t="shared" si="60"/>
        <v>123.58</v>
      </c>
      <c r="BG46" s="208">
        <v>4.9467673085752204E-3</v>
      </c>
      <c r="BH46" s="32">
        <f t="shared" si="26"/>
        <v>1605.97</v>
      </c>
      <c r="BI46" s="33">
        <f t="shared" si="27"/>
        <v>108.4</v>
      </c>
      <c r="BJ46" s="34">
        <f t="shared" si="61"/>
        <v>974.47</v>
      </c>
      <c r="BK46" s="35">
        <f t="shared" si="62"/>
        <v>126.98</v>
      </c>
    </row>
    <row r="47" spans="1:63" ht="30" customHeight="1">
      <c r="A47" s="30">
        <v>1412000070</v>
      </c>
      <c r="B47" s="30" t="s">
        <v>63</v>
      </c>
      <c r="C47" s="31" t="s">
        <v>64</v>
      </c>
      <c r="D47" s="25">
        <v>4.7304224239079641E-4</v>
      </c>
      <c r="E47" s="32">
        <f t="shared" si="0"/>
        <v>153.57</v>
      </c>
      <c r="F47" s="33">
        <f t="shared" si="1"/>
        <v>10.37</v>
      </c>
      <c r="G47" s="34">
        <f t="shared" si="2"/>
        <v>98.71</v>
      </c>
      <c r="H47" s="35">
        <f t="shared" si="3"/>
        <v>12.52</v>
      </c>
      <c r="I47" s="25">
        <v>4.7319198001027348E-4</v>
      </c>
      <c r="J47" s="32">
        <f t="shared" si="4"/>
        <v>153.62</v>
      </c>
      <c r="K47" s="33">
        <f t="shared" si="5"/>
        <v>10.37</v>
      </c>
      <c r="L47" s="34">
        <f t="shared" si="6"/>
        <v>93.21</v>
      </c>
      <c r="M47" s="211">
        <f t="shared" si="28"/>
        <v>12.15</v>
      </c>
      <c r="N47" s="208">
        <v>4.6581901500028988E-4</v>
      </c>
      <c r="O47" s="32">
        <f t="shared" si="29"/>
        <v>151.22999999999999</v>
      </c>
      <c r="P47" s="33">
        <f t="shared" si="7"/>
        <v>10.210000000000001</v>
      </c>
      <c r="Q47" s="34">
        <f t="shared" si="63"/>
        <v>91.76</v>
      </c>
      <c r="R47" s="211">
        <f t="shared" si="44"/>
        <v>11.96</v>
      </c>
      <c r="S47" s="208">
        <v>4.6465514596972005E-4</v>
      </c>
      <c r="T47" s="32">
        <f t="shared" si="8"/>
        <v>150.85</v>
      </c>
      <c r="U47" s="33">
        <f t="shared" si="9"/>
        <v>10.18</v>
      </c>
      <c r="V47" s="34">
        <f t="shared" si="45"/>
        <v>91.53</v>
      </c>
      <c r="W47" s="211">
        <f t="shared" si="46"/>
        <v>11.93</v>
      </c>
      <c r="X47" s="208">
        <v>4.642335914030507E-4</v>
      </c>
      <c r="Y47" s="32">
        <f t="shared" si="10"/>
        <v>150.71</v>
      </c>
      <c r="Z47" s="33">
        <f t="shared" si="11"/>
        <v>10.17</v>
      </c>
      <c r="AA47" s="34">
        <f t="shared" si="47"/>
        <v>91.45</v>
      </c>
      <c r="AB47" s="35">
        <f t="shared" si="48"/>
        <v>11.92</v>
      </c>
      <c r="AC47" s="25">
        <v>4.5814707974026246E-4</v>
      </c>
      <c r="AD47" s="32">
        <f t="shared" si="12"/>
        <v>148.74</v>
      </c>
      <c r="AE47" s="33">
        <f t="shared" si="13"/>
        <v>10.039999999999999</v>
      </c>
      <c r="AF47" s="34">
        <f t="shared" si="49"/>
        <v>90.25</v>
      </c>
      <c r="AG47" s="211">
        <f t="shared" si="50"/>
        <v>11.76</v>
      </c>
      <c r="AH47" s="208">
        <v>4.5776688294939694E-4</v>
      </c>
      <c r="AI47" s="32">
        <f t="shared" si="16"/>
        <v>148.61000000000001</v>
      </c>
      <c r="AJ47" s="33">
        <f t="shared" si="17"/>
        <v>10.029999999999999</v>
      </c>
      <c r="AK47" s="34">
        <f t="shared" si="51"/>
        <v>90.18</v>
      </c>
      <c r="AL47" s="211">
        <f t="shared" si="52"/>
        <v>11.75</v>
      </c>
      <c r="AM47" s="208">
        <v>4.5759947863764996E-4</v>
      </c>
      <c r="AN47" s="32">
        <f t="shared" si="18"/>
        <v>148.56</v>
      </c>
      <c r="AO47" s="33">
        <f t="shared" si="19"/>
        <v>10.029999999999999</v>
      </c>
      <c r="AP47" s="34">
        <f t="shared" si="53"/>
        <v>90.14</v>
      </c>
      <c r="AQ47" s="211">
        <f t="shared" si="54"/>
        <v>11.75</v>
      </c>
      <c r="AR47" s="208">
        <v>4.6006294621398061E-4</v>
      </c>
      <c r="AS47" s="32">
        <f t="shared" si="20"/>
        <v>149.36000000000001</v>
      </c>
      <c r="AT47" s="33">
        <f t="shared" si="21"/>
        <v>10.08</v>
      </c>
      <c r="AU47" s="34">
        <f t="shared" si="55"/>
        <v>90.63</v>
      </c>
      <c r="AV47" s="35">
        <f t="shared" si="56"/>
        <v>11.81</v>
      </c>
      <c r="AW47" s="208">
        <v>4.5978052250462292E-4</v>
      </c>
      <c r="AX47" s="32">
        <f t="shared" si="22"/>
        <v>149.27000000000001</v>
      </c>
      <c r="AY47" s="33">
        <f t="shared" si="23"/>
        <v>10.07</v>
      </c>
      <c r="AZ47" s="34">
        <f t="shared" si="57"/>
        <v>90.57</v>
      </c>
      <c r="BA47" s="211">
        <f t="shared" si="58"/>
        <v>11.8</v>
      </c>
      <c r="BB47" s="208">
        <v>4.5767418649526545E-4</v>
      </c>
      <c r="BC47" s="32">
        <f t="shared" si="24"/>
        <v>148.58000000000001</v>
      </c>
      <c r="BD47" s="33">
        <f t="shared" si="25"/>
        <v>10.029999999999999</v>
      </c>
      <c r="BE47" s="34">
        <f t="shared" si="59"/>
        <v>90.16</v>
      </c>
      <c r="BF47" s="211">
        <f t="shared" si="60"/>
        <v>11.75</v>
      </c>
      <c r="BG47" s="208">
        <v>4.6004932994435556E-4</v>
      </c>
      <c r="BH47" s="32">
        <f t="shared" si="26"/>
        <v>149.35</v>
      </c>
      <c r="BI47" s="33">
        <f t="shared" si="27"/>
        <v>10.08</v>
      </c>
      <c r="BJ47" s="34">
        <f t="shared" si="61"/>
        <v>90.63</v>
      </c>
      <c r="BK47" s="35">
        <f t="shared" si="62"/>
        <v>11.81</v>
      </c>
    </row>
    <row r="48" spans="1:63" ht="30" customHeight="1">
      <c r="A48" s="30">
        <v>1412000021</v>
      </c>
      <c r="B48" s="30" t="s">
        <v>41</v>
      </c>
      <c r="C48" s="31" t="s">
        <v>42</v>
      </c>
      <c r="D48" s="25">
        <v>4.139119620919469E-4</v>
      </c>
      <c r="E48" s="32">
        <f t="shared" si="0"/>
        <v>134.38</v>
      </c>
      <c r="F48" s="33">
        <f t="shared" si="1"/>
        <v>9.07</v>
      </c>
      <c r="G48" s="34">
        <f t="shared" si="2"/>
        <v>86.37</v>
      </c>
      <c r="H48" s="35">
        <f t="shared" si="3"/>
        <v>10.95</v>
      </c>
      <c r="I48" s="25">
        <v>4.1404298250898936E-4</v>
      </c>
      <c r="J48" s="32">
        <f t="shared" si="4"/>
        <v>134.41999999999999</v>
      </c>
      <c r="K48" s="33">
        <f t="shared" si="5"/>
        <v>9.07</v>
      </c>
      <c r="L48" s="34">
        <f t="shared" si="6"/>
        <v>81.56</v>
      </c>
      <c r="M48" s="211">
        <f t="shared" si="28"/>
        <v>10.63</v>
      </c>
      <c r="N48" s="208">
        <v>4.075916381252536E-4</v>
      </c>
      <c r="O48" s="32">
        <f t="shared" si="29"/>
        <v>132.32</v>
      </c>
      <c r="P48" s="33">
        <f t="shared" si="7"/>
        <v>8.93</v>
      </c>
      <c r="Q48" s="34">
        <f t="shared" si="63"/>
        <v>80.290000000000006</v>
      </c>
      <c r="R48" s="211">
        <f t="shared" si="44"/>
        <v>10.46</v>
      </c>
      <c r="S48" s="208">
        <v>4.0657325272350507E-4</v>
      </c>
      <c r="T48" s="32">
        <f t="shared" si="8"/>
        <v>131.99</v>
      </c>
      <c r="U48" s="33">
        <f t="shared" si="9"/>
        <v>8.91</v>
      </c>
      <c r="V48" s="34">
        <f t="shared" si="45"/>
        <v>80.09</v>
      </c>
      <c r="W48" s="211">
        <f t="shared" si="46"/>
        <v>10.44</v>
      </c>
      <c r="X48" s="208">
        <v>4.0620439247766941E-4</v>
      </c>
      <c r="Y48" s="32">
        <f t="shared" si="10"/>
        <v>131.87</v>
      </c>
      <c r="Z48" s="33">
        <f t="shared" si="11"/>
        <v>8.9</v>
      </c>
      <c r="AA48" s="34">
        <f t="shared" si="47"/>
        <v>80.02</v>
      </c>
      <c r="AB48" s="35">
        <f t="shared" si="48"/>
        <v>10.43</v>
      </c>
      <c r="AC48" s="25">
        <v>4.0087869477272966E-4</v>
      </c>
      <c r="AD48" s="32">
        <f t="shared" si="12"/>
        <v>130.15</v>
      </c>
      <c r="AE48" s="33">
        <f t="shared" si="13"/>
        <v>8.7799999999999994</v>
      </c>
      <c r="AF48" s="34">
        <f t="shared" si="49"/>
        <v>78.97</v>
      </c>
      <c r="AG48" s="211">
        <f t="shared" si="50"/>
        <v>10.29</v>
      </c>
      <c r="AH48" s="208">
        <v>4.0054602258072234E-4</v>
      </c>
      <c r="AI48" s="32">
        <f t="shared" si="16"/>
        <v>130.04</v>
      </c>
      <c r="AJ48" s="33">
        <f t="shared" si="17"/>
        <v>8.7799999999999994</v>
      </c>
      <c r="AK48" s="34">
        <f t="shared" si="51"/>
        <v>78.900000000000006</v>
      </c>
      <c r="AL48" s="211">
        <f t="shared" si="52"/>
        <v>10.28</v>
      </c>
      <c r="AM48" s="208">
        <v>4.0039954380794378E-4</v>
      </c>
      <c r="AN48" s="32">
        <f t="shared" si="18"/>
        <v>129.99</v>
      </c>
      <c r="AO48" s="33">
        <f t="shared" si="19"/>
        <v>8.77</v>
      </c>
      <c r="AP48" s="34">
        <f t="shared" si="53"/>
        <v>78.88</v>
      </c>
      <c r="AQ48" s="211">
        <f t="shared" si="54"/>
        <v>10.28</v>
      </c>
      <c r="AR48" s="208">
        <v>4.0255507793723303E-4</v>
      </c>
      <c r="AS48" s="32">
        <f t="shared" si="20"/>
        <v>130.69</v>
      </c>
      <c r="AT48" s="33">
        <f t="shared" si="21"/>
        <v>8.82</v>
      </c>
      <c r="AU48" s="34">
        <f t="shared" si="55"/>
        <v>79.3</v>
      </c>
      <c r="AV48" s="35">
        <f t="shared" si="56"/>
        <v>10.33</v>
      </c>
      <c r="AW48" s="208">
        <v>4.0230795719154507E-4</v>
      </c>
      <c r="AX48" s="32">
        <f t="shared" si="22"/>
        <v>130.61000000000001</v>
      </c>
      <c r="AY48" s="33">
        <f t="shared" si="23"/>
        <v>8.82</v>
      </c>
      <c r="AZ48" s="34">
        <f t="shared" si="57"/>
        <v>79.25</v>
      </c>
      <c r="BA48" s="211">
        <f t="shared" si="58"/>
        <v>10.33</v>
      </c>
      <c r="BB48" s="208">
        <v>4.0046491318335733E-4</v>
      </c>
      <c r="BC48" s="32">
        <f t="shared" si="24"/>
        <v>130.01</v>
      </c>
      <c r="BD48" s="33">
        <f t="shared" si="25"/>
        <v>8.7799999999999994</v>
      </c>
      <c r="BE48" s="34">
        <f t="shared" si="59"/>
        <v>78.89</v>
      </c>
      <c r="BF48" s="211">
        <f t="shared" si="60"/>
        <v>10.28</v>
      </c>
      <c r="BG48" s="208">
        <v>4.0254316370131113E-4</v>
      </c>
      <c r="BH48" s="32">
        <f t="shared" si="26"/>
        <v>130.69</v>
      </c>
      <c r="BI48" s="33">
        <f t="shared" si="27"/>
        <v>8.82</v>
      </c>
      <c r="BJ48" s="34">
        <f t="shared" si="61"/>
        <v>79.3</v>
      </c>
      <c r="BK48" s="35">
        <f t="shared" si="62"/>
        <v>10.33</v>
      </c>
    </row>
    <row r="49" spans="1:63" ht="30" customHeight="1">
      <c r="A49" s="30">
        <v>1412000022</v>
      </c>
      <c r="B49" s="30" t="s">
        <v>43</v>
      </c>
      <c r="C49" s="31" t="s">
        <v>44</v>
      </c>
      <c r="D49" s="25">
        <v>3.5478168179309727E-4</v>
      </c>
      <c r="E49" s="32">
        <f t="shared" si="0"/>
        <v>115.18</v>
      </c>
      <c r="F49" s="33">
        <f t="shared" si="1"/>
        <v>7.77</v>
      </c>
      <c r="G49" s="34">
        <f t="shared" si="2"/>
        <v>74.040000000000006</v>
      </c>
      <c r="H49" s="35">
        <f t="shared" si="3"/>
        <v>9.39</v>
      </c>
      <c r="I49" s="25">
        <v>3.5489398500770518E-4</v>
      </c>
      <c r="J49" s="32">
        <f t="shared" si="4"/>
        <v>115.22</v>
      </c>
      <c r="K49" s="33">
        <f t="shared" si="5"/>
        <v>7.78</v>
      </c>
      <c r="L49" s="34">
        <f t="shared" si="6"/>
        <v>69.91</v>
      </c>
      <c r="M49" s="211">
        <f t="shared" si="28"/>
        <v>9.11</v>
      </c>
      <c r="N49" s="208">
        <v>4.075916381252536E-4</v>
      </c>
      <c r="O49" s="32">
        <f t="shared" si="29"/>
        <v>132.32</v>
      </c>
      <c r="P49" s="33">
        <f t="shared" si="7"/>
        <v>8.93</v>
      </c>
      <c r="Q49" s="34">
        <f t="shared" si="63"/>
        <v>80.290000000000006</v>
      </c>
      <c r="R49" s="211">
        <f t="shared" si="44"/>
        <v>10.46</v>
      </c>
      <c r="S49" s="208">
        <v>4.0657325272350507E-4</v>
      </c>
      <c r="T49" s="32">
        <f t="shared" si="8"/>
        <v>131.99</v>
      </c>
      <c r="U49" s="33">
        <f t="shared" si="9"/>
        <v>8.91</v>
      </c>
      <c r="V49" s="34">
        <f t="shared" si="45"/>
        <v>80.09</v>
      </c>
      <c r="W49" s="211">
        <f t="shared" si="46"/>
        <v>10.44</v>
      </c>
      <c r="X49" s="208">
        <v>4.0620439247766941E-4</v>
      </c>
      <c r="Y49" s="32">
        <f t="shared" si="10"/>
        <v>131.87</v>
      </c>
      <c r="Z49" s="33">
        <f t="shared" si="11"/>
        <v>8.9</v>
      </c>
      <c r="AA49" s="34">
        <f t="shared" si="47"/>
        <v>80.02</v>
      </c>
      <c r="AB49" s="35">
        <f t="shared" si="48"/>
        <v>10.43</v>
      </c>
      <c r="AC49" s="25">
        <v>4.0087869477272966E-4</v>
      </c>
      <c r="AD49" s="32">
        <f t="shared" si="12"/>
        <v>130.15</v>
      </c>
      <c r="AE49" s="33">
        <f t="shared" si="13"/>
        <v>8.7799999999999994</v>
      </c>
      <c r="AF49" s="34">
        <f t="shared" si="49"/>
        <v>78.97</v>
      </c>
      <c r="AG49" s="211">
        <f t="shared" si="50"/>
        <v>10.29</v>
      </c>
      <c r="AH49" s="208">
        <v>4.5776688294939694E-4</v>
      </c>
      <c r="AI49" s="32">
        <f t="shared" si="16"/>
        <v>148.61000000000001</v>
      </c>
      <c r="AJ49" s="33">
        <f t="shared" si="17"/>
        <v>10.029999999999999</v>
      </c>
      <c r="AK49" s="34">
        <f t="shared" si="51"/>
        <v>90.18</v>
      </c>
      <c r="AL49" s="211">
        <f t="shared" si="52"/>
        <v>11.75</v>
      </c>
      <c r="AM49" s="208">
        <v>4.5759947863764996E-4</v>
      </c>
      <c r="AN49" s="32">
        <f t="shared" si="18"/>
        <v>148.56</v>
      </c>
      <c r="AO49" s="33">
        <f t="shared" si="19"/>
        <v>10.029999999999999</v>
      </c>
      <c r="AP49" s="34">
        <f t="shared" si="53"/>
        <v>90.14</v>
      </c>
      <c r="AQ49" s="211">
        <f t="shared" si="54"/>
        <v>11.75</v>
      </c>
      <c r="AR49" s="208">
        <v>4.0255507793723303E-4</v>
      </c>
      <c r="AS49" s="32">
        <f t="shared" si="20"/>
        <v>130.69</v>
      </c>
      <c r="AT49" s="33">
        <f t="shared" si="21"/>
        <v>8.82</v>
      </c>
      <c r="AU49" s="34">
        <f t="shared" si="55"/>
        <v>79.3</v>
      </c>
      <c r="AV49" s="35">
        <f t="shared" si="56"/>
        <v>10.33</v>
      </c>
      <c r="AW49" s="208">
        <v>4.0230795719154507E-4</v>
      </c>
      <c r="AX49" s="32">
        <f t="shared" si="22"/>
        <v>130.61000000000001</v>
      </c>
      <c r="AY49" s="33">
        <f t="shared" si="23"/>
        <v>8.82</v>
      </c>
      <c r="AZ49" s="34">
        <f t="shared" si="57"/>
        <v>79.25</v>
      </c>
      <c r="BA49" s="211">
        <f t="shared" si="58"/>
        <v>10.33</v>
      </c>
      <c r="BB49" s="208">
        <v>4.0046491318335733E-4</v>
      </c>
      <c r="BC49" s="32">
        <f t="shared" si="24"/>
        <v>130.01</v>
      </c>
      <c r="BD49" s="33">
        <f t="shared" si="25"/>
        <v>8.7799999999999994</v>
      </c>
      <c r="BE49" s="34">
        <f t="shared" si="59"/>
        <v>78.89</v>
      </c>
      <c r="BF49" s="211">
        <f t="shared" si="60"/>
        <v>10.28</v>
      </c>
      <c r="BG49" s="208">
        <v>4.0254316370131113E-4</v>
      </c>
      <c r="BH49" s="32">
        <f t="shared" si="26"/>
        <v>130.69</v>
      </c>
      <c r="BI49" s="33">
        <f t="shared" si="27"/>
        <v>8.82</v>
      </c>
      <c r="BJ49" s="34">
        <f t="shared" si="61"/>
        <v>79.3</v>
      </c>
      <c r="BK49" s="35">
        <f t="shared" si="62"/>
        <v>10.33</v>
      </c>
    </row>
    <row r="50" spans="1:63" ht="30" customHeight="1">
      <c r="A50" s="30">
        <v>1412000042</v>
      </c>
      <c r="B50" s="30" t="s">
        <v>45</v>
      </c>
      <c r="C50" s="31" t="s">
        <v>46</v>
      </c>
      <c r="D50" s="25">
        <v>2.9565140149424775E-4</v>
      </c>
      <c r="E50" s="32">
        <f t="shared" si="0"/>
        <v>95.98</v>
      </c>
      <c r="F50" s="33">
        <f t="shared" si="1"/>
        <v>6.48</v>
      </c>
      <c r="G50" s="34">
        <f t="shared" si="2"/>
        <v>61.7</v>
      </c>
      <c r="H50" s="35">
        <f t="shared" si="3"/>
        <v>7.82</v>
      </c>
      <c r="I50" s="25">
        <v>2.95744987506421E-4</v>
      </c>
      <c r="J50" s="32">
        <f t="shared" si="4"/>
        <v>96.01</v>
      </c>
      <c r="K50" s="33">
        <f t="shared" si="5"/>
        <v>6.48</v>
      </c>
      <c r="L50" s="34">
        <f t="shared" si="6"/>
        <v>58.26</v>
      </c>
      <c r="M50" s="211">
        <f t="shared" si="28"/>
        <v>7.59</v>
      </c>
      <c r="N50" s="208">
        <v>2.9113688437518116E-4</v>
      </c>
      <c r="O50" s="32">
        <f t="shared" si="29"/>
        <v>94.52</v>
      </c>
      <c r="P50" s="33">
        <f t="shared" si="7"/>
        <v>6.38</v>
      </c>
      <c r="Q50" s="34">
        <f t="shared" si="63"/>
        <v>57.35</v>
      </c>
      <c r="R50" s="211">
        <f t="shared" si="44"/>
        <v>7.47</v>
      </c>
      <c r="S50" s="208">
        <v>2.90409466231075E-4</v>
      </c>
      <c r="T50" s="32">
        <f t="shared" si="8"/>
        <v>94.28</v>
      </c>
      <c r="U50" s="33">
        <f t="shared" si="9"/>
        <v>6.36</v>
      </c>
      <c r="V50" s="34">
        <f t="shared" si="45"/>
        <v>57.21</v>
      </c>
      <c r="W50" s="211">
        <f t="shared" si="46"/>
        <v>7.45</v>
      </c>
      <c r="X50" s="208">
        <v>2.9014599462690672E-4</v>
      </c>
      <c r="Y50" s="32">
        <f t="shared" si="10"/>
        <v>94.2</v>
      </c>
      <c r="Z50" s="33">
        <f t="shared" si="11"/>
        <v>6.36</v>
      </c>
      <c r="AA50" s="34">
        <f t="shared" si="47"/>
        <v>57.16</v>
      </c>
      <c r="AB50" s="35">
        <f t="shared" si="48"/>
        <v>7.45</v>
      </c>
      <c r="AC50" s="25">
        <v>2.8634192483766399E-4</v>
      </c>
      <c r="AD50" s="32">
        <f t="shared" si="12"/>
        <v>92.96</v>
      </c>
      <c r="AE50" s="33">
        <f t="shared" si="13"/>
        <v>6.27</v>
      </c>
      <c r="AF50" s="34">
        <f t="shared" si="49"/>
        <v>56.41</v>
      </c>
      <c r="AG50" s="211">
        <f t="shared" si="50"/>
        <v>7.35</v>
      </c>
      <c r="AH50" s="208">
        <v>2.8610430184337307E-4</v>
      </c>
      <c r="AI50" s="32">
        <f t="shared" si="16"/>
        <v>92.88</v>
      </c>
      <c r="AJ50" s="33">
        <f t="shared" si="17"/>
        <v>6.27</v>
      </c>
      <c r="AK50" s="34">
        <f t="shared" si="51"/>
        <v>56.36</v>
      </c>
      <c r="AL50" s="211">
        <f t="shared" si="52"/>
        <v>7.34</v>
      </c>
      <c r="AM50" s="208">
        <v>2.8599967414853127E-4</v>
      </c>
      <c r="AN50" s="32">
        <f t="shared" si="18"/>
        <v>92.85</v>
      </c>
      <c r="AO50" s="33">
        <f t="shared" si="19"/>
        <v>6.27</v>
      </c>
      <c r="AP50" s="34">
        <f t="shared" si="53"/>
        <v>56.34</v>
      </c>
      <c r="AQ50" s="211">
        <f t="shared" si="54"/>
        <v>7.34</v>
      </c>
      <c r="AR50" s="208">
        <v>2.8753934138373786E-4</v>
      </c>
      <c r="AS50" s="32">
        <f t="shared" si="20"/>
        <v>93.35</v>
      </c>
      <c r="AT50" s="33">
        <f t="shared" si="21"/>
        <v>6.3</v>
      </c>
      <c r="AU50" s="34">
        <f t="shared" si="55"/>
        <v>56.64</v>
      </c>
      <c r="AV50" s="35">
        <f t="shared" si="56"/>
        <v>7.38</v>
      </c>
      <c r="AW50" s="208">
        <v>2.8736282656538931E-4</v>
      </c>
      <c r="AX50" s="32">
        <f t="shared" si="22"/>
        <v>93.29</v>
      </c>
      <c r="AY50" s="33">
        <f t="shared" si="23"/>
        <v>6.3</v>
      </c>
      <c r="AZ50" s="34">
        <f t="shared" si="57"/>
        <v>56.61</v>
      </c>
      <c r="BA50" s="211">
        <f t="shared" si="58"/>
        <v>7.38</v>
      </c>
      <c r="BB50" s="208">
        <v>2.8604636655954095E-4</v>
      </c>
      <c r="BC50" s="32">
        <f t="shared" si="24"/>
        <v>92.86</v>
      </c>
      <c r="BD50" s="33">
        <f t="shared" si="25"/>
        <v>6.27</v>
      </c>
      <c r="BE50" s="34">
        <f t="shared" si="59"/>
        <v>56.35</v>
      </c>
      <c r="BF50" s="211">
        <f t="shared" si="60"/>
        <v>7.34</v>
      </c>
      <c r="BG50" s="208">
        <v>2.8753083121522217E-4</v>
      </c>
      <c r="BH50" s="32">
        <f t="shared" si="26"/>
        <v>93.35</v>
      </c>
      <c r="BI50" s="33">
        <f t="shared" si="27"/>
        <v>6.3</v>
      </c>
      <c r="BJ50" s="34">
        <f t="shared" si="61"/>
        <v>56.64</v>
      </c>
      <c r="BK50" s="35">
        <f t="shared" si="62"/>
        <v>7.38</v>
      </c>
    </row>
    <row r="51" spans="1:63" ht="30" customHeight="1">
      <c r="A51" s="30">
        <v>1412000058</v>
      </c>
      <c r="B51" s="30" t="s">
        <v>48</v>
      </c>
      <c r="C51" s="31" t="s">
        <v>47</v>
      </c>
      <c r="D51" s="25">
        <v>1.2629075561635145E-3</v>
      </c>
      <c r="E51" s="32">
        <f t="shared" si="0"/>
        <v>410</v>
      </c>
      <c r="F51" s="33">
        <f t="shared" si="1"/>
        <v>27.67</v>
      </c>
      <c r="G51" s="34">
        <f t="shared" si="2"/>
        <v>263.54000000000002</v>
      </c>
      <c r="H51" s="35">
        <f t="shared" si="3"/>
        <v>33.409999999999997</v>
      </c>
      <c r="I51" s="25">
        <v>1.263244465807338E-3</v>
      </c>
      <c r="J51" s="32">
        <f t="shared" si="4"/>
        <v>410.11</v>
      </c>
      <c r="K51" s="33">
        <f t="shared" si="5"/>
        <v>27.68</v>
      </c>
      <c r="L51" s="34">
        <f t="shared" si="6"/>
        <v>248.85</v>
      </c>
      <c r="M51" s="211">
        <f t="shared" si="28"/>
        <v>32.43</v>
      </c>
      <c r="N51" s="208">
        <v>1.2466552945348747E-3</v>
      </c>
      <c r="O51" s="32">
        <f t="shared" si="29"/>
        <v>404.73</v>
      </c>
      <c r="P51" s="33">
        <f t="shared" si="7"/>
        <v>27.32</v>
      </c>
      <c r="Q51" s="34">
        <f t="shared" si="63"/>
        <v>245.58</v>
      </c>
      <c r="R51" s="211">
        <f t="shared" si="44"/>
        <v>32</v>
      </c>
      <c r="S51" s="208">
        <v>1.2440365892160928E-3</v>
      </c>
      <c r="T51" s="32">
        <f t="shared" si="8"/>
        <v>403.88</v>
      </c>
      <c r="U51" s="33">
        <f t="shared" si="9"/>
        <v>27.26</v>
      </c>
      <c r="V51" s="34">
        <f t="shared" si="45"/>
        <v>245.06</v>
      </c>
      <c r="W51" s="211">
        <f t="shared" si="46"/>
        <v>31.93</v>
      </c>
      <c r="X51" s="208">
        <v>1.243088091441087E-3</v>
      </c>
      <c r="Y51" s="32">
        <f t="shared" si="10"/>
        <v>403.57</v>
      </c>
      <c r="Z51" s="33">
        <f t="shared" si="11"/>
        <v>27.24</v>
      </c>
      <c r="AA51" s="34">
        <f t="shared" si="47"/>
        <v>244.88</v>
      </c>
      <c r="AB51" s="35">
        <f t="shared" si="48"/>
        <v>31.91</v>
      </c>
      <c r="AC51" s="25">
        <v>1.2293934401998129E-3</v>
      </c>
      <c r="AD51" s="32">
        <f t="shared" si="12"/>
        <v>399.12</v>
      </c>
      <c r="AE51" s="33">
        <f t="shared" si="13"/>
        <v>26.94</v>
      </c>
      <c r="AF51" s="34">
        <f t="shared" si="49"/>
        <v>242.18</v>
      </c>
      <c r="AG51" s="211">
        <f t="shared" si="50"/>
        <v>31.56</v>
      </c>
      <c r="AH51" s="208">
        <v>1.2285379974203657E-3</v>
      </c>
      <c r="AI51" s="32">
        <f t="shared" si="16"/>
        <v>398.84</v>
      </c>
      <c r="AJ51" s="33">
        <f t="shared" si="17"/>
        <v>26.92</v>
      </c>
      <c r="AK51" s="34">
        <f t="shared" si="51"/>
        <v>242.01</v>
      </c>
      <c r="AL51" s="211">
        <f t="shared" si="52"/>
        <v>31.54</v>
      </c>
      <c r="AM51" s="208">
        <v>1.2281613377189352E-3</v>
      </c>
      <c r="AN51" s="32">
        <f t="shared" si="18"/>
        <v>398.72</v>
      </c>
      <c r="AO51" s="33">
        <f t="shared" si="19"/>
        <v>26.91</v>
      </c>
      <c r="AP51" s="34">
        <f t="shared" si="53"/>
        <v>241.94</v>
      </c>
      <c r="AQ51" s="211">
        <f t="shared" si="54"/>
        <v>31.53</v>
      </c>
      <c r="AR51" s="208">
        <v>1.233704139765679E-3</v>
      </c>
      <c r="AS51" s="32">
        <f t="shared" si="20"/>
        <v>400.52</v>
      </c>
      <c r="AT51" s="33">
        <f t="shared" si="21"/>
        <v>27.03</v>
      </c>
      <c r="AU51" s="34">
        <f t="shared" si="55"/>
        <v>243.03</v>
      </c>
      <c r="AV51" s="35">
        <f t="shared" si="56"/>
        <v>31.67</v>
      </c>
      <c r="AW51" s="208">
        <v>1.2330686864196244E-3</v>
      </c>
      <c r="AX51" s="32">
        <f t="shared" si="22"/>
        <v>400.32</v>
      </c>
      <c r="AY51" s="33">
        <f t="shared" si="23"/>
        <v>27.02</v>
      </c>
      <c r="AZ51" s="34">
        <f t="shared" si="57"/>
        <v>242.9</v>
      </c>
      <c r="BA51" s="211">
        <f t="shared" si="58"/>
        <v>31.65</v>
      </c>
      <c r="BB51" s="208">
        <v>1.2283294303985701E-3</v>
      </c>
      <c r="BC51" s="32">
        <f t="shared" si="24"/>
        <v>398.78</v>
      </c>
      <c r="BD51" s="33">
        <f t="shared" si="25"/>
        <v>26.92</v>
      </c>
      <c r="BE51" s="34">
        <f t="shared" si="59"/>
        <v>241.97</v>
      </c>
      <c r="BF51" s="211">
        <f t="shared" si="60"/>
        <v>31.53</v>
      </c>
      <c r="BG51" s="208">
        <v>1.2336735031590229E-3</v>
      </c>
      <c r="BH51" s="32">
        <f t="shared" si="26"/>
        <v>400.51</v>
      </c>
      <c r="BI51" s="33">
        <f t="shared" si="27"/>
        <v>27.03</v>
      </c>
      <c r="BJ51" s="34">
        <f t="shared" si="61"/>
        <v>243.02</v>
      </c>
      <c r="BK51" s="35">
        <f t="shared" si="62"/>
        <v>31.67</v>
      </c>
    </row>
    <row r="52" spans="1:63" s="39" customFormat="1" ht="30" customHeight="1">
      <c r="A52" s="41">
        <v>1412000024</v>
      </c>
      <c r="B52" s="30" t="s">
        <v>49</v>
      </c>
      <c r="C52" s="42" t="s">
        <v>50</v>
      </c>
      <c r="D52" s="25">
        <v>5.6256871757508362E-2</v>
      </c>
      <c r="E52" s="37">
        <f t="shared" si="0"/>
        <v>18263.77</v>
      </c>
      <c r="F52" s="38">
        <f t="shared" si="1"/>
        <v>1232.73</v>
      </c>
      <c r="G52" s="34">
        <f t="shared" si="2"/>
        <v>11739.64</v>
      </c>
      <c r="H52" s="35">
        <f t="shared" si="3"/>
        <v>1488.47</v>
      </c>
      <c r="I52" s="25">
        <v>5.6257208667152184E-2</v>
      </c>
      <c r="J52" s="37">
        <f t="shared" si="4"/>
        <v>18263.88</v>
      </c>
      <c r="K52" s="38">
        <f t="shared" si="5"/>
        <v>1232.74</v>
      </c>
      <c r="L52" s="34">
        <f t="shared" si="6"/>
        <v>11082.21</v>
      </c>
      <c r="M52" s="211">
        <f t="shared" si="28"/>
        <v>1444.1</v>
      </c>
      <c r="N52" s="208">
        <v>5.6240619495879683E-2</v>
      </c>
      <c r="O52" s="37">
        <f t="shared" si="29"/>
        <v>18258.490000000002</v>
      </c>
      <c r="P52" s="38">
        <f t="shared" si="7"/>
        <v>1232.3800000000001</v>
      </c>
      <c r="Q52" s="34">
        <f t="shared" si="63"/>
        <v>11078.94</v>
      </c>
      <c r="R52" s="211">
        <f t="shared" si="44"/>
        <v>1443.67</v>
      </c>
      <c r="S52" s="208">
        <v>5.6238000790560932E-2</v>
      </c>
      <c r="T52" s="37">
        <f t="shared" si="8"/>
        <v>18257.64</v>
      </c>
      <c r="U52" s="38">
        <f t="shared" si="9"/>
        <v>1232.32</v>
      </c>
      <c r="V52" s="34">
        <f t="shared" si="45"/>
        <v>11078.42</v>
      </c>
      <c r="W52" s="211">
        <f t="shared" si="46"/>
        <v>1443.61</v>
      </c>
      <c r="X52" s="208">
        <v>5.6237052292785916E-2</v>
      </c>
      <c r="Y52" s="37">
        <f t="shared" si="10"/>
        <v>18257.34</v>
      </c>
      <c r="Z52" s="38">
        <f t="shared" si="11"/>
        <v>1232.3</v>
      </c>
      <c r="AA52" s="34">
        <f t="shared" si="47"/>
        <v>11078.24</v>
      </c>
      <c r="AB52" s="35">
        <f t="shared" si="48"/>
        <v>1443.58</v>
      </c>
      <c r="AC52" s="25">
        <v>5.6223357641544632E-2</v>
      </c>
      <c r="AD52" s="37">
        <f t="shared" si="12"/>
        <v>18252.89</v>
      </c>
      <c r="AE52" s="38">
        <f t="shared" si="13"/>
        <v>1232</v>
      </c>
      <c r="AF52" s="34">
        <f t="shared" si="49"/>
        <v>11075.54</v>
      </c>
      <c r="AG52" s="211">
        <f t="shared" si="50"/>
        <v>1443.23</v>
      </c>
      <c r="AH52" s="208">
        <v>5.6222502198765213E-2</v>
      </c>
      <c r="AI52" s="37">
        <f t="shared" si="16"/>
        <v>18252.61</v>
      </c>
      <c r="AJ52" s="38">
        <f t="shared" si="17"/>
        <v>1231.98</v>
      </c>
      <c r="AK52" s="34">
        <f t="shared" si="51"/>
        <v>11075.37</v>
      </c>
      <c r="AL52" s="211">
        <f t="shared" si="52"/>
        <v>1443.21</v>
      </c>
      <c r="AM52" s="208">
        <v>5.6222125539063757E-2</v>
      </c>
      <c r="AN52" s="37">
        <f t="shared" si="18"/>
        <v>18252.490000000002</v>
      </c>
      <c r="AO52" s="38">
        <f t="shared" si="19"/>
        <v>1231.97</v>
      </c>
      <c r="AP52" s="34">
        <f t="shared" si="53"/>
        <v>11075.3</v>
      </c>
      <c r="AQ52" s="211">
        <f t="shared" si="54"/>
        <v>1443.2</v>
      </c>
      <c r="AR52" s="208">
        <v>5.6227668341110482E-2</v>
      </c>
      <c r="AS52" s="37">
        <f t="shared" si="20"/>
        <v>18254.29</v>
      </c>
      <c r="AT52" s="38">
        <f t="shared" si="21"/>
        <v>1232.0899999999999</v>
      </c>
      <c r="AU52" s="34">
        <f t="shared" si="55"/>
        <v>11076.39</v>
      </c>
      <c r="AV52" s="35">
        <f t="shared" si="56"/>
        <v>1443.34</v>
      </c>
      <c r="AW52" s="208">
        <v>5.6227032887764469E-2</v>
      </c>
      <c r="AX52" s="37">
        <f t="shared" si="22"/>
        <v>18254.080000000002</v>
      </c>
      <c r="AY52" s="38">
        <f t="shared" si="23"/>
        <v>1232.08</v>
      </c>
      <c r="AZ52" s="34">
        <f t="shared" si="57"/>
        <v>11076.26</v>
      </c>
      <c r="BA52" s="211">
        <f t="shared" si="58"/>
        <v>1443.32</v>
      </c>
      <c r="BB52" s="208">
        <v>5.6222293631743421E-2</v>
      </c>
      <c r="BC52" s="37">
        <f t="shared" si="24"/>
        <v>18252.55</v>
      </c>
      <c r="BD52" s="38">
        <f t="shared" si="25"/>
        <v>1231.97</v>
      </c>
      <c r="BE52" s="34">
        <f t="shared" si="59"/>
        <v>11075.33</v>
      </c>
      <c r="BF52" s="211">
        <f t="shared" si="60"/>
        <v>1443.2</v>
      </c>
      <c r="BG52" s="208">
        <v>5.6227637704503876E-2</v>
      </c>
      <c r="BH52" s="37">
        <f t="shared" si="26"/>
        <v>18254.28</v>
      </c>
      <c r="BI52" s="38">
        <f t="shared" si="27"/>
        <v>1232.0899999999999</v>
      </c>
      <c r="BJ52" s="34">
        <f t="shared" si="61"/>
        <v>11076.38</v>
      </c>
      <c r="BK52" s="35">
        <f t="shared" si="62"/>
        <v>1443.34</v>
      </c>
    </row>
    <row r="53" spans="1:63" ht="30" customHeight="1">
      <c r="A53" s="30">
        <v>1412000025</v>
      </c>
      <c r="B53" s="30" t="s">
        <v>52</v>
      </c>
      <c r="C53" s="31" t="s">
        <v>5</v>
      </c>
      <c r="D53" s="25">
        <v>3.3543507788167575E-3</v>
      </c>
      <c r="E53" s="32">
        <f t="shared" si="0"/>
        <v>1088.99</v>
      </c>
      <c r="F53" s="33">
        <f t="shared" si="1"/>
        <v>73.5</v>
      </c>
      <c r="G53" s="34">
        <f t="shared" si="2"/>
        <v>699.98</v>
      </c>
      <c r="H53" s="35">
        <f t="shared" si="3"/>
        <v>88.75</v>
      </c>
      <c r="I53" s="25">
        <v>3.354631536853277E-3</v>
      </c>
      <c r="J53" s="32">
        <f t="shared" si="4"/>
        <v>1089.08</v>
      </c>
      <c r="K53" s="33">
        <f t="shared" si="5"/>
        <v>73.510000000000005</v>
      </c>
      <c r="L53" s="34">
        <f t="shared" si="6"/>
        <v>660.83</v>
      </c>
      <c r="M53" s="211">
        <f t="shared" si="28"/>
        <v>86.11</v>
      </c>
      <c r="N53" s="208">
        <v>3.3408072274595559E-3</v>
      </c>
      <c r="O53" s="32">
        <f t="shared" si="29"/>
        <v>1084.5899999999999</v>
      </c>
      <c r="P53" s="33">
        <f t="shared" si="7"/>
        <v>73.209999999999994</v>
      </c>
      <c r="Q53" s="34">
        <f t="shared" si="63"/>
        <v>658.11</v>
      </c>
      <c r="R53" s="211">
        <f t="shared" si="44"/>
        <v>85.76</v>
      </c>
      <c r="S53" s="208">
        <v>3.3386249730272387E-3</v>
      </c>
      <c r="T53" s="32">
        <f t="shared" si="8"/>
        <v>1083.8800000000001</v>
      </c>
      <c r="U53" s="33">
        <f t="shared" si="9"/>
        <v>73.16</v>
      </c>
      <c r="V53" s="34">
        <f t="shared" si="45"/>
        <v>657.68</v>
      </c>
      <c r="W53" s="211">
        <f t="shared" si="46"/>
        <v>85.7</v>
      </c>
      <c r="X53" s="208">
        <v>3.3378345582147336E-3</v>
      </c>
      <c r="Y53" s="32">
        <f t="shared" si="10"/>
        <v>1083.6300000000001</v>
      </c>
      <c r="Z53" s="33">
        <f t="shared" si="11"/>
        <v>73.14</v>
      </c>
      <c r="AA53" s="34">
        <f t="shared" si="47"/>
        <v>657.53</v>
      </c>
      <c r="AB53" s="35">
        <f t="shared" si="48"/>
        <v>85.68</v>
      </c>
      <c r="AC53" s="25">
        <v>3.326422348847005E-3</v>
      </c>
      <c r="AD53" s="32">
        <f t="shared" si="12"/>
        <v>1079.92</v>
      </c>
      <c r="AE53" s="33">
        <f t="shared" si="13"/>
        <v>72.89</v>
      </c>
      <c r="AF53" s="34">
        <f t="shared" si="49"/>
        <v>655.28</v>
      </c>
      <c r="AG53" s="211">
        <f t="shared" si="50"/>
        <v>85.39</v>
      </c>
      <c r="AH53" s="208">
        <v>3.3257094798641333E-3</v>
      </c>
      <c r="AI53" s="32">
        <f t="shared" si="16"/>
        <v>1079.69</v>
      </c>
      <c r="AJ53" s="33">
        <f t="shared" si="17"/>
        <v>72.87</v>
      </c>
      <c r="AK53" s="34">
        <f t="shared" si="51"/>
        <v>655.14</v>
      </c>
      <c r="AL53" s="211">
        <f t="shared" si="52"/>
        <v>85.37</v>
      </c>
      <c r="AM53" s="208">
        <v>3.3253955967796072E-3</v>
      </c>
      <c r="AN53" s="32">
        <f t="shared" si="18"/>
        <v>1079.5899999999999</v>
      </c>
      <c r="AO53" s="33">
        <f t="shared" si="19"/>
        <v>72.87</v>
      </c>
      <c r="AP53" s="34">
        <f t="shared" si="53"/>
        <v>655.08000000000004</v>
      </c>
      <c r="AQ53" s="211">
        <f t="shared" si="54"/>
        <v>85.36</v>
      </c>
      <c r="AR53" s="208">
        <v>3.3300145984852254E-3</v>
      </c>
      <c r="AS53" s="32">
        <f t="shared" si="20"/>
        <v>1081.0899999999999</v>
      </c>
      <c r="AT53" s="33">
        <f t="shared" si="21"/>
        <v>72.97</v>
      </c>
      <c r="AU53" s="34">
        <f t="shared" si="55"/>
        <v>655.99</v>
      </c>
      <c r="AV53" s="35">
        <f t="shared" si="56"/>
        <v>85.48</v>
      </c>
      <c r="AW53" s="208">
        <v>3.3294850540301819E-3</v>
      </c>
      <c r="AX53" s="32">
        <f t="shared" si="22"/>
        <v>1080.92</v>
      </c>
      <c r="AY53" s="33">
        <f t="shared" si="23"/>
        <v>72.959999999999994</v>
      </c>
      <c r="AZ53" s="34">
        <f t="shared" si="57"/>
        <v>655.88</v>
      </c>
      <c r="BA53" s="211">
        <f t="shared" si="58"/>
        <v>85.47</v>
      </c>
      <c r="BB53" s="208">
        <v>3.3255356740126375E-3</v>
      </c>
      <c r="BC53" s="32">
        <f t="shared" si="24"/>
        <v>1079.6300000000001</v>
      </c>
      <c r="BD53" s="33">
        <f t="shared" si="25"/>
        <v>72.87</v>
      </c>
      <c r="BE53" s="34">
        <f t="shared" si="59"/>
        <v>655.1</v>
      </c>
      <c r="BF53" s="211">
        <f t="shared" si="60"/>
        <v>85.37</v>
      </c>
      <c r="BG53" s="208">
        <v>3.3299890679796816E-3</v>
      </c>
      <c r="BH53" s="32">
        <f t="shared" si="26"/>
        <v>1081.08</v>
      </c>
      <c r="BI53" s="33">
        <f t="shared" si="27"/>
        <v>72.97</v>
      </c>
      <c r="BJ53" s="34">
        <f t="shared" si="61"/>
        <v>655.98</v>
      </c>
      <c r="BK53" s="35">
        <f t="shared" si="62"/>
        <v>85.48</v>
      </c>
    </row>
    <row r="54" spans="1:63" ht="30" customHeight="1">
      <c r="A54" s="30">
        <v>1412000091</v>
      </c>
      <c r="B54" s="30" t="s">
        <v>112</v>
      </c>
      <c r="C54" s="31" t="s">
        <v>113</v>
      </c>
      <c r="D54" s="25">
        <v>1.4193133749998159E-3</v>
      </c>
      <c r="E54" s="32">
        <f t="shared" si="0"/>
        <v>460.78</v>
      </c>
      <c r="F54" s="33">
        <f t="shared" si="1"/>
        <v>31.1</v>
      </c>
      <c r="G54" s="34">
        <f t="shared" si="2"/>
        <v>296.18</v>
      </c>
      <c r="H54" s="35">
        <f t="shared" si="3"/>
        <v>37.549999999999997</v>
      </c>
      <c r="I54" s="25">
        <v>1.4181939901020452E-3</v>
      </c>
      <c r="J54" s="32">
        <f t="shared" si="4"/>
        <v>460.42</v>
      </c>
      <c r="K54" s="33">
        <f t="shared" si="5"/>
        <v>31.08</v>
      </c>
      <c r="L54" s="34">
        <f t="shared" si="6"/>
        <v>279.37</v>
      </c>
      <c r="M54" s="211">
        <f t="shared" si="28"/>
        <v>36.4</v>
      </c>
      <c r="N54" s="208">
        <v>1.4740262880764111E-3</v>
      </c>
      <c r="O54" s="32">
        <f t="shared" si="29"/>
        <v>478.54</v>
      </c>
      <c r="P54" s="33">
        <f t="shared" si="7"/>
        <v>32.299999999999997</v>
      </c>
      <c r="Q54" s="34">
        <f t="shared" si="63"/>
        <v>290.37</v>
      </c>
      <c r="R54" s="211">
        <f t="shared" si="44"/>
        <v>37.840000000000003</v>
      </c>
      <c r="S54" s="208">
        <v>1.4168502877839526E-3</v>
      </c>
      <c r="T54" s="32">
        <f t="shared" si="8"/>
        <v>459.98</v>
      </c>
      <c r="U54" s="33">
        <f t="shared" si="9"/>
        <v>31.05</v>
      </c>
      <c r="V54" s="34">
        <f t="shared" si="45"/>
        <v>279.11</v>
      </c>
      <c r="W54" s="211">
        <f t="shared" si="46"/>
        <v>36.369999999999997</v>
      </c>
      <c r="X54" s="208">
        <v>1.3594596975267615E-3</v>
      </c>
      <c r="Y54" s="32">
        <f t="shared" si="10"/>
        <v>441.35</v>
      </c>
      <c r="Z54" s="33">
        <f t="shared" si="11"/>
        <v>29.79</v>
      </c>
      <c r="AA54" s="34">
        <f t="shared" si="47"/>
        <v>267.8</v>
      </c>
      <c r="AB54" s="35">
        <f t="shared" si="48"/>
        <v>34.9</v>
      </c>
      <c r="AC54" s="25">
        <v>1.3639429950617656E-3</v>
      </c>
      <c r="AD54" s="32">
        <f t="shared" si="12"/>
        <v>442.8</v>
      </c>
      <c r="AE54" s="33">
        <f t="shared" si="13"/>
        <v>29.89</v>
      </c>
      <c r="AF54" s="34">
        <f t="shared" si="49"/>
        <v>268.69</v>
      </c>
      <c r="AG54" s="211">
        <f t="shared" si="50"/>
        <v>35.01</v>
      </c>
      <c r="AH54" s="208">
        <v>1.4235938756010898E-3</v>
      </c>
      <c r="AI54" s="32">
        <f t="shared" si="16"/>
        <v>462.17</v>
      </c>
      <c r="AJ54" s="33">
        <f t="shared" si="17"/>
        <v>31.19</v>
      </c>
      <c r="AK54" s="34">
        <f t="shared" si="51"/>
        <v>280.44</v>
      </c>
      <c r="AL54" s="211">
        <f t="shared" si="52"/>
        <v>36.54</v>
      </c>
      <c r="AM54" s="208">
        <v>1.3873381742327967E-3</v>
      </c>
      <c r="AN54" s="32">
        <f t="shared" si="18"/>
        <v>450.4</v>
      </c>
      <c r="AO54" s="33">
        <f t="shared" si="19"/>
        <v>30.4</v>
      </c>
      <c r="AP54" s="34">
        <f t="shared" si="53"/>
        <v>273.29000000000002</v>
      </c>
      <c r="AQ54" s="211">
        <f t="shared" si="54"/>
        <v>35.61</v>
      </c>
      <c r="AR54" s="208">
        <v>1.3821321458056079E-3</v>
      </c>
      <c r="AS54" s="32">
        <f t="shared" si="20"/>
        <v>448.71</v>
      </c>
      <c r="AT54" s="33">
        <f t="shared" si="21"/>
        <v>30.29</v>
      </c>
      <c r="AU54" s="34">
        <f t="shared" si="55"/>
        <v>272.27</v>
      </c>
      <c r="AV54" s="35">
        <f t="shared" si="56"/>
        <v>35.479999999999997</v>
      </c>
      <c r="AW54" s="208">
        <v>1.3501472581368909E-3</v>
      </c>
      <c r="AX54" s="32">
        <f t="shared" si="22"/>
        <v>438.32</v>
      </c>
      <c r="AY54" s="33">
        <f t="shared" si="23"/>
        <v>29.59</v>
      </c>
      <c r="AZ54" s="34">
        <f t="shared" si="57"/>
        <v>265.97000000000003</v>
      </c>
      <c r="BA54" s="211">
        <f t="shared" si="58"/>
        <v>34.659999999999997</v>
      </c>
      <c r="BB54" s="208">
        <v>1.1989922818388223E-3</v>
      </c>
      <c r="BC54" s="32">
        <f t="shared" si="24"/>
        <v>389.25</v>
      </c>
      <c r="BD54" s="33">
        <f t="shared" si="25"/>
        <v>26.27</v>
      </c>
      <c r="BE54" s="34">
        <f t="shared" si="59"/>
        <v>236.19</v>
      </c>
      <c r="BF54" s="211">
        <f t="shared" si="60"/>
        <v>30.78</v>
      </c>
      <c r="BG54" s="208">
        <v>1.3953172049666891E-3</v>
      </c>
      <c r="BH54" s="32">
        <f t="shared" si="26"/>
        <v>452.99</v>
      </c>
      <c r="BI54" s="33">
        <f t="shared" si="27"/>
        <v>30.57</v>
      </c>
      <c r="BJ54" s="34">
        <f t="shared" si="61"/>
        <v>274.87</v>
      </c>
      <c r="BK54" s="35">
        <f t="shared" si="62"/>
        <v>35.82</v>
      </c>
    </row>
    <row r="55" spans="1:63" s="39" customFormat="1" ht="30" customHeight="1">
      <c r="A55" s="41">
        <v>1412000093</v>
      </c>
      <c r="B55" s="30" t="s">
        <v>119</v>
      </c>
      <c r="C55" s="42" t="s">
        <v>150</v>
      </c>
      <c r="D55" s="25">
        <v>4.7304224239079641E-4</v>
      </c>
      <c r="E55" s="37">
        <f t="shared" si="0"/>
        <v>153.57</v>
      </c>
      <c r="F55" s="38">
        <f t="shared" si="1"/>
        <v>10.37</v>
      </c>
      <c r="G55" s="34">
        <f t="shared" si="2"/>
        <v>98.71</v>
      </c>
      <c r="H55" s="35">
        <f t="shared" si="3"/>
        <v>12.52</v>
      </c>
      <c r="I55" s="25">
        <v>4.7319198001027348E-4</v>
      </c>
      <c r="J55" s="37">
        <f t="shared" si="4"/>
        <v>153.62</v>
      </c>
      <c r="K55" s="38">
        <f t="shared" si="5"/>
        <v>10.37</v>
      </c>
      <c r="L55" s="34">
        <f t="shared" si="6"/>
        <v>93.21</v>
      </c>
      <c r="M55" s="211">
        <f t="shared" si="28"/>
        <v>12.15</v>
      </c>
      <c r="N55" s="208">
        <v>4.6581901500028988E-4</v>
      </c>
      <c r="O55" s="37">
        <f t="shared" si="29"/>
        <v>151.22999999999999</v>
      </c>
      <c r="P55" s="38">
        <f t="shared" si="7"/>
        <v>10.210000000000001</v>
      </c>
      <c r="Q55" s="34">
        <f t="shared" si="63"/>
        <v>91.76</v>
      </c>
      <c r="R55" s="211">
        <f t="shared" si="44"/>
        <v>11.96</v>
      </c>
      <c r="S55" s="208">
        <v>4.6465514596972005E-4</v>
      </c>
      <c r="T55" s="37">
        <f t="shared" si="8"/>
        <v>150.85</v>
      </c>
      <c r="U55" s="38">
        <f t="shared" si="9"/>
        <v>10.18</v>
      </c>
      <c r="V55" s="34">
        <f t="shared" si="45"/>
        <v>91.53</v>
      </c>
      <c r="W55" s="211">
        <f t="shared" si="46"/>
        <v>11.93</v>
      </c>
      <c r="X55" s="208">
        <v>4.642335914030507E-4</v>
      </c>
      <c r="Y55" s="37">
        <f t="shared" si="10"/>
        <v>150.71</v>
      </c>
      <c r="Z55" s="38">
        <f t="shared" si="11"/>
        <v>10.17</v>
      </c>
      <c r="AA55" s="34">
        <f t="shared" si="47"/>
        <v>91.45</v>
      </c>
      <c r="AB55" s="35">
        <f t="shared" si="48"/>
        <v>11.92</v>
      </c>
      <c r="AC55" s="25">
        <v>4.5814707974026246E-4</v>
      </c>
      <c r="AD55" s="37">
        <f t="shared" si="12"/>
        <v>148.74</v>
      </c>
      <c r="AE55" s="38">
        <f t="shared" si="13"/>
        <v>10.039999999999999</v>
      </c>
      <c r="AF55" s="34">
        <f t="shared" si="49"/>
        <v>90.25</v>
      </c>
      <c r="AG55" s="211">
        <f t="shared" si="50"/>
        <v>11.76</v>
      </c>
      <c r="AH55" s="208">
        <v>4.5776688294939694E-4</v>
      </c>
      <c r="AI55" s="37">
        <f t="shared" si="16"/>
        <v>148.61000000000001</v>
      </c>
      <c r="AJ55" s="38">
        <f t="shared" si="17"/>
        <v>10.029999999999999</v>
      </c>
      <c r="AK55" s="34">
        <f t="shared" si="51"/>
        <v>90.18</v>
      </c>
      <c r="AL55" s="211">
        <f t="shared" si="52"/>
        <v>11.75</v>
      </c>
      <c r="AM55" s="208">
        <v>4.5759947863764996E-4</v>
      </c>
      <c r="AN55" s="37">
        <f t="shared" si="18"/>
        <v>148.56</v>
      </c>
      <c r="AO55" s="38">
        <f t="shared" si="19"/>
        <v>10.029999999999999</v>
      </c>
      <c r="AP55" s="34">
        <f t="shared" si="53"/>
        <v>90.14</v>
      </c>
      <c r="AQ55" s="211">
        <f t="shared" si="54"/>
        <v>11.75</v>
      </c>
      <c r="AR55" s="208">
        <v>4.6006294621398061E-4</v>
      </c>
      <c r="AS55" s="37">
        <f t="shared" si="20"/>
        <v>149.36000000000001</v>
      </c>
      <c r="AT55" s="38">
        <f t="shared" si="21"/>
        <v>10.08</v>
      </c>
      <c r="AU55" s="34">
        <f t="shared" si="55"/>
        <v>90.63</v>
      </c>
      <c r="AV55" s="35">
        <f t="shared" si="56"/>
        <v>11.81</v>
      </c>
      <c r="AW55" s="208">
        <v>4.5978052250462292E-4</v>
      </c>
      <c r="AX55" s="37">
        <f t="shared" si="22"/>
        <v>149.27000000000001</v>
      </c>
      <c r="AY55" s="38">
        <f t="shared" si="23"/>
        <v>10.07</v>
      </c>
      <c r="AZ55" s="34">
        <f t="shared" si="57"/>
        <v>90.57</v>
      </c>
      <c r="BA55" s="211">
        <f t="shared" si="58"/>
        <v>11.8</v>
      </c>
      <c r="BB55" s="208">
        <v>4.5767418649526545E-4</v>
      </c>
      <c r="BC55" s="37">
        <f t="shared" si="24"/>
        <v>148.58000000000001</v>
      </c>
      <c r="BD55" s="38">
        <f t="shared" si="25"/>
        <v>10.029999999999999</v>
      </c>
      <c r="BE55" s="34">
        <f t="shared" si="59"/>
        <v>90.16</v>
      </c>
      <c r="BF55" s="211">
        <f t="shared" si="60"/>
        <v>11.75</v>
      </c>
      <c r="BG55" s="208">
        <v>4.6004932994435556E-4</v>
      </c>
      <c r="BH55" s="37">
        <f t="shared" si="26"/>
        <v>149.35</v>
      </c>
      <c r="BI55" s="38">
        <f t="shared" si="27"/>
        <v>10.08</v>
      </c>
      <c r="BJ55" s="34">
        <f t="shared" si="61"/>
        <v>90.63</v>
      </c>
      <c r="BK55" s="35">
        <f t="shared" si="62"/>
        <v>11.81</v>
      </c>
    </row>
    <row r="56" spans="1:63" s="46" customFormat="1" ht="30" customHeight="1">
      <c r="A56" s="245">
        <v>1412000026</v>
      </c>
      <c r="B56" s="245" t="s">
        <v>53</v>
      </c>
      <c r="C56" s="246" t="s">
        <v>6</v>
      </c>
      <c r="D56" s="247">
        <v>0.17536836896124836</v>
      </c>
      <c r="E56" s="248">
        <f>ROUND($E$5*D56,2)-0.01+0.05-0.05-0.01+0.07-0.08</f>
        <v>56933.239999999991</v>
      </c>
      <c r="F56" s="249">
        <f>ROUND($F$5*D56,2)-0.03+0.05-0.01-0.01</f>
        <v>3842.7699999999995</v>
      </c>
      <c r="G56" s="248">
        <f>ROUND($G$5*D56,2)-0.01+0.04-0.08-0.01+0.03</f>
        <v>36595.689999999995</v>
      </c>
      <c r="H56" s="250">
        <f>ROUND($H$5*D56,2)+0.02-0.09-0.01+0.02+0.01+0.08</f>
        <v>4640.0000000000009</v>
      </c>
      <c r="I56" s="251">
        <v>0.1753686310020825</v>
      </c>
      <c r="J56" s="248">
        <f>ROUND($E$5*I56,2)+0.02-0.03</f>
        <v>56933.35</v>
      </c>
      <c r="K56" s="249">
        <f>ROUND($F$5*I56,2)+0.01</f>
        <v>3842.7900000000004</v>
      </c>
      <c r="L56" s="248">
        <f>ROUND($L$5*I56,2)-0.01+0.05</f>
        <v>34546.22</v>
      </c>
      <c r="M56" s="250">
        <f>ROUND($M$5*I56,2)+0.02-0.07</f>
        <v>4501.5900000000011</v>
      </c>
      <c r="N56" s="251">
        <v>0.17535572831331489</v>
      </c>
      <c r="O56" s="248">
        <f>ROUND($E$5*N56,2)+0.01-0.02</f>
        <v>56929.16</v>
      </c>
      <c r="P56" s="249">
        <f>ROUND($F$5*N56,2)-0.01+0.02</f>
        <v>3842.4999999999995</v>
      </c>
      <c r="Q56" s="248">
        <f>ROUND($L$5*N56,2)-0.06+0.1</f>
        <v>34543.68</v>
      </c>
      <c r="R56" s="250">
        <f>ROUND($M$5*N56,2)+0.01-0.02</f>
        <v>4501.3</v>
      </c>
      <c r="S56" s="251">
        <v>0.17535369154251149</v>
      </c>
      <c r="T56" s="248">
        <f>ROUND($E$5*S56,2)+0.03</f>
        <v>56928.54</v>
      </c>
      <c r="U56" s="249">
        <f>ROUND($F$5*S56,2)+0.01</f>
        <v>3842.46</v>
      </c>
      <c r="V56" s="248">
        <f>ROUND($L$5*S56,2)+0.03</f>
        <v>34543.26</v>
      </c>
      <c r="W56" s="250">
        <f>ROUND($M$5*S56,2)-0.01+0.01</f>
        <v>4501.25</v>
      </c>
      <c r="X56" s="251">
        <v>0.17535295382201976</v>
      </c>
      <c r="Y56" s="248">
        <f>ROUND($E$5*X56,2)-0.01</f>
        <v>56928.259999999995</v>
      </c>
      <c r="Z56" s="249">
        <f>ROUND($F$5*X56,2)+0.01</f>
        <v>3842.44</v>
      </c>
      <c r="AA56" s="248">
        <f>ROUND($L$5*X56,2)+0.01-0.03</f>
        <v>34543.07</v>
      </c>
      <c r="AB56" s="249">
        <f>ROUND($M$5*X56,2)-0.02</f>
        <v>4501.2099999999991</v>
      </c>
      <c r="AC56" s="251">
        <v>0.17534230242660984</v>
      </c>
      <c r="AD56" s="248">
        <f>ROUND($E$5*AC56,2)-0.01</f>
        <v>56924.799999999996</v>
      </c>
      <c r="AE56" s="249">
        <f>ROUND($F$5*AC56,2)-0.01</f>
        <v>3842.1899999999996</v>
      </c>
      <c r="AF56" s="248">
        <f>ROUND($L$5*AC56,2)+0.02</f>
        <v>34541.009999999995</v>
      </c>
      <c r="AG56" s="250">
        <f>ROUND($M$5*AC56,2)</f>
        <v>4500.96</v>
      </c>
      <c r="AH56" s="251">
        <v>0.17534163708222592</v>
      </c>
      <c r="AI56" s="248">
        <f>ROUND($E$5*AH56,2)+0.05</f>
        <v>56924.639999999999</v>
      </c>
      <c r="AJ56" s="249">
        <f>ROUND($F$5*AH56,2)-0.01</f>
        <v>3842.18</v>
      </c>
      <c r="AK56" s="248">
        <f>ROUND($L$5*AH56,2)-0.01</f>
        <v>34540.85</v>
      </c>
      <c r="AL56" s="250">
        <f>ROUND($M$5*AH56,2)</f>
        <v>4500.9399999999996</v>
      </c>
      <c r="AM56" s="251">
        <v>0.17534134412468028</v>
      </c>
      <c r="AN56" s="248">
        <f>ROUND($E$5*AM56,2)+0.01</f>
        <v>56924.51</v>
      </c>
      <c r="AO56" s="249">
        <f>ROUND($F$5*AM56,2)-0.03</f>
        <v>3842.1499999999996</v>
      </c>
      <c r="AP56" s="248">
        <f>ROUND($L$5*AM56,2)-0.01</f>
        <v>34540.79</v>
      </c>
      <c r="AQ56" s="250">
        <f>ROUND($M$5*AM56,2)</f>
        <v>4500.9399999999996</v>
      </c>
      <c r="AR56" s="251">
        <v>0.17534565519293879</v>
      </c>
      <c r="AS56" s="248">
        <f>ROUND($E$5*AR56,2)-0.02</f>
        <v>56925.880000000005</v>
      </c>
      <c r="AT56" s="249">
        <f>ROUND($F$5*AR56,2)</f>
        <v>3842.27</v>
      </c>
      <c r="AU56" s="248">
        <f>ROUND($L$5*AR56,2)</f>
        <v>34541.65</v>
      </c>
      <c r="AV56" s="249">
        <f>ROUND($M$5*AR56,2)+0.03</f>
        <v>4501.08</v>
      </c>
      <c r="AW56" s="251">
        <v>0.17534516095144756</v>
      </c>
      <c r="AX56" s="248">
        <f>ROUND($E$5*AW56,2)-0.02</f>
        <v>56925.72</v>
      </c>
      <c r="AY56" s="249">
        <f>ROUND($F$5*AW56,2)-0.02</f>
        <v>3842.2400000000002</v>
      </c>
      <c r="AZ56" s="248">
        <f>ROUND($L$5*AW56,2)</f>
        <v>34541.550000000003</v>
      </c>
      <c r="BA56" s="250">
        <f>ROUND($M$5*AW56,2)+0.01</f>
        <v>4501.04</v>
      </c>
      <c r="BB56" s="251">
        <v>0.17534147486343121</v>
      </c>
      <c r="BC56" s="248">
        <f>ROUND($E$5*BB56,2)+0.03-0.07</f>
        <v>56924.5</v>
      </c>
      <c r="BD56" s="249">
        <f>ROUND($F$5*BB56,2)-0.02</f>
        <v>3842.16</v>
      </c>
      <c r="BE56" s="248">
        <f>ROUND($L$5*BB56,2)</f>
        <v>34540.83</v>
      </c>
      <c r="BF56" s="250">
        <f>ROUND($M$5*BB56,2)-0.04</f>
        <v>4500.8999999999996</v>
      </c>
      <c r="BG56" s="251">
        <v>0.17534563136446699</v>
      </c>
      <c r="BH56" s="248">
        <f>ROUND($E$5*BG56,2)-0.05</f>
        <v>56925.84</v>
      </c>
      <c r="BI56" s="249">
        <f>ROUND($F$5*BG56,2)-0.02</f>
        <v>3842.25</v>
      </c>
      <c r="BJ56" s="248">
        <f>ROUND($L$5*BG56,2)+0.03</f>
        <v>34541.68</v>
      </c>
      <c r="BK56" s="249">
        <f>ROUND($M$5*BG56,2)-0.04</f>
        <v>4501.01</v>
      </c>
    </row>
    <row r="57" spans="1:63" ht="30" customHeight="1">
      <c r="A57" s="30">
        <v>1412000057</v>
      </c>
      <c r="B57" s="30" t="s">
        <v>70</v>
      </c>
      <c r="C57" s="31" t="s">
        <v>71</v>
      </c>
      <c r="D57" s="25">
        <v>4.5500791772573574E-4</v>
      </c>
      <c r="E57" s="32">
        <f t="shared" ref="E57:E62" si="208">ROUND($E$5*D57,2)</f>
        <v>147.72</v>
      </c>
      <c r="F57" s="33">
        <f t="shared" ref="F57:F62" si="209">ROUND($F$5*D57,2)</f>
        <v>9.9700000000000006</v>
      </c>
      <c r="G57" s="34">
        <f t="shared" ref="G57:G62" si="210">ROUND($G$5*D57,2)</f>
        <v>94.95</v>
      </c>
      <c r="H57" s="35">
        <f t="shared" ref="H57:H62" si="211">ROUND($H$5*D57,2)</f>
        <v>12.04</v>
      </c>
      <c r="I57" s="25">
        <v>4.5517637254764752E-4</v>
      </c>
      <c r="J57" s="32">
        <f t="shared" ref="J57:J69" si="212">ROUND($E$5*I57,2)</f>
        <v>147.77000000000001</v>
      </c>
      <c r="K57" s="33">
        <f t="shared" ref="K57:K69" si="213">ROUND($F$5*I57,2)</f>
        <v>9.9700000000000006</v>
      </c>
      <c r="L57" s="34">
        <f t="shared" ref="L57:L69" si="214">ROUND($L$5*I57,2)</f>
        <v>89.67</v>
      </c>
      <c r="M57" s="211">
        <f t="shared" ref="M57:M69" si="215">ROUND($M$5*I57,2)</f>
        <v>11.68</v>
      </c>
      <c r="N57" s="208">
        <v>4.5353509921864358E-4</v>
      </c>
      <c r="O57" s="32">
        <f t="shared" ref="O57:O69" si="216">ROUND($E$5*N57,2)</f>
        <v>147.24</v>
      </c>
      <c r="P57" s="33">
        <f t="shared" ref="P57:P69" si="217">ROUND($F$5*N57,2)</f>
        <v>9.94</v>
      </c>
      <c r="Q57" s="34">
        <f t="shared" si="63"/>
        <v>89.34</v>
      </c>
      <c r="R57" s="211">
        <f t="shared" si="44"/>
        <v>11.64</v>
      </c>
      <c r="S57" s="208">
        <v>4.4972635663679465E-4</v>
      </c>
      <c r="T57" s="32">
        <f t="shared" ref="T57:T69" si="218">ROUND($E$5*S57,2)</f>
        <v>146</v>
      </c>
      <c r="U57" s="33">
        <f t="shared" ref="U57:U69" si="219">ROUND($F$5*S57,2)</f>
        <v>9.85</v>
      </c>
      <c r="V57" s="34">
        <f t="shared" si="45"/>
        <v>88.59</v>
      </c>
      <c r="W57" s="211">
        <f t="shared" si="46"/>
        <v>11.54</v>
      </c>
      <c r="X57" s="208">
        <v>4.4925210774929167E-4</v>
      </c>
      <c r="Y57" s="32">
        <f t="shared" ref="Y57:Y64" si="220">ROUND($E$5*X57,2)</f>
        <v>145.85</v>
      </c>
      <c r="Z57" s="33">
        <f t="shared" ref="Z57:Z64" si="221">ROUND($F$5*X57,2)</f>
        <v>9.84</v>
      </c>
      <c r="AA57" s="34">
        <f t="shared" si="47"/>
        <v>88.5</v>
      </c>
      <c r="AB57" s="35">
        <f t="shared" si="48"/>
        <v>11.53</v>
      </c>
      <c r="AC57" s="25">
        <v>5.5976343324602338E-4</v>
      </c>
      <c r="AD57" s="32">
        <f t="shared" ref="AD57:AD69" si="222">ROUND($E$5*AC57,2)</f>
        <v>181.73</v>
      </c>
      <c r="AE57" s="33">
        <f t="shared" ref="AE57:AE69" si="223">ROUND($F$5*AC57,2)</f>
        <v>12.27</v>
      </c>
      <c r="AF57" s="34">
        <f>ROUND($L$5*AC57,2)</f>
        <v>110.27</v>
      </c>
      <c r="AG57" s="211">
        <f t="shared" si="50"/>
        <v>14.37</v>
      </c>
      <c r="AH57" s="208">
        <v>5.229914244989567E-4</v>
      </c>
      <c r="AI57" s="32">
        <f t="shared" ref="AI57:AI69" si="224">ROUND($E$5*AH57,2)</f>
        <v>169.79</v>
      </c>
      <c r="AJ57" s="33">
        <f t="shared" ref="AJ57:AJ69" si="225">ROUND($F$5*AH57,2)</f>
        <v>11.46</v>
      </c>
      <c r="AK57" s="34">
        <f t="shared" si="51"/>
        <v>103.03</v>
      </c>
      <c r="AL57" s="211">
        <f t="shared" si="52"/>
        <v>13.42</v>
      </c>
      <c r="AM57" s="208">
        <v>5.2276124357030472E-4</v>
      </c>
      <c r="AN57" s="32">
        <f t="shared" ref="AN57:AN69" si="226">ROUND($E$5*AM57,2)</f>
        <v>169.71</v>
      </c>
      <c r="AO57" s="33">
        <f t="shared" ref="AO57:AO69" si="227">ROUND($F$5*AM57,2)</f>
        <v>11.46</v>
      </c>
      <c r="AP57" s="34">
        <f t="shared" si="53"/>
        <v>102.98</v>
      </c>
      <c r="AQ57" s="211">
        <f t="shared" si="54"/>
        <v>13.42</v>
      </c>
      <c r="AR57" s="208">
        <v>5.2350876835739236E-4</v>
      </c>
      <c r="AS57" s="32">
        <f t="shared" ref="AS57:AS69" si="228">ROUND($E$5*AR57,2)</f>
        <v>169.96</v>
      </c>
      <c r="AT57" s="33">
        <f t="shared" ref="AT57:AT69" si="229">ROUND($F$5*AR57,2)</f>
        <v>11.47</v>
      </c>
      <c r="AU57" s="34">
        <f t="shared" si="55"/>
        <v>103.13</v>
      </c>
      <c r="AV57" s="35">
        <f t="shared" si="56"/>
        <v>13.44</v>
      </c>
      <c r="AW57" s="208">
        <v>5.2312043575702548E-4</v>
      </c>
      <c r="AX57" s="32">
        <f t="shared" ref="AX57:AX69" si="230">ROUND($E$5*AW57,2)</f>
        <v>169.83</v>
      </c>
      <c r="AY57" s="33">
        <f t="shared" ref="AY57:AY69" si="231">ROUND($F$5*AW57,2)</f>
        <v>11.46</v>
      </c>
      <c r="AZ57" s="34">
        <f>ROUND($L$5*AW57,2)+0.04</f>
        <v>103.09</v>
      </c>
      <c r="BA57" s="211">
        <f t="shared" si="58"/>
        <v>13.43</v>
      </c>
      <c r="BB57" s="208">
        <v>5.1500647301390553E-4</v>
      </c>
      <c r="BC57" s="32">
        <f t="shared" ref="BC57:BC69" si="232">ROUND($E$5*BB57,2)</f>
        <v>167.2</v>
      </c>
      <c r="BD57" s="33">
        <f t="shared" ref="BD57:BD69" si="233">ROUND($F$5*BB57,2)</f>
        <v>11.29</v>
      </c>
      <c r="BE57" s="34">
        <f t="shared" si="59"/>
        <v>101.45</v>
      </c>
      <c r="BF57" s="211">
        <f t="shared" si="60"/>
        <v>13.22</v>
      </c>
      <c r="BG57" s="208">
        <v>5.2349004598665778E-4</v>
      </c>
      <c r="BH57" s="32">
        <f t="shared" ref="BH57:BH69" si="234">ROUND($E$5*BG57,2)</f>
        <v>169.95</v>
      </c>
      <c r="BI57" s="33">
        <f t="shared" ref="BI57:BI69" si="235">ROUND($F$5*BG57,2)</f>
        <v>11.47</v>
      </c>
      <c r="BJ57" s="34">
        <f t="shared" si="61"/>
        <v>103.12</v>
      </c>
      <c r="BK57" s="35">
        <f t="shared" si="62"/>
        <v>13.44</v>
      </c>
    </row>
    <row r="58" spans="1:63" ht="30" customHeight="1">
      <c r="A58" s="237">
        <v>1412000101</v>
      </c>
      <c r="B58" s="237" t="s">
        <v>72</v>
      </c>
      <c r="C58" s="238" t="s">
        <v>184</v>
      </c>
      <c r="D58" s="244">
        <v>6.5723365893717383E-4</v>
      </c>
      <c r="E58" s="240">
        <f>ROUND($E$5*D58,2)</f>
        <v>213.37</v>
      </c>
      <c r="F58" s="241">
        <f>ROUND($F$5*D58,2)</f>
        <v>14.4</v>
      </c>
      <c r="G58" s="240">
        <f>ROUND($G$5*D58,2)</f>
        <v>137.15</v>
      </c>
      <c r="H58" s="241">
        <f>ROUND($H$5*D58,2)</f>
        <v>17.39</v>
      </c>
      <c r="I58" s="244">
        <v>6.5747698256882431E-4</v>
      </c>
      <c r="J58" s="240">
        <f t="shared" ref="J58" si="236">ROUND($E$5*I58,2)</f>
        <v>213.45</v>
      </c>
      <c r="K58" s="241">
        <f t="shared" ref="K58" si="237">ROUND($F$5*I58,2)</f>
        <v>14.41</v>
      </c>
      <c r="L58" s="240">
        <f t="shared" si="214"/>
        <v>129.52000000000001</v>
      </c>
      <c r="M58" s="242">
        <f t="shared" ref="M58" si="238">ROUND($M$5*I58,2)</f>
        <v>16.88</v>
      </c>
      <c r="N58" s="243">
        <v>6.5510625442692975E-4</v>
      </c>
      <c r="O58" s="240">
        <f t="shared" ref="O58" si="239">ROUND($E$5*N58,2)</f>
        <v>212.68</v>
      </c>
      <c r="P58" s="241">
        <f t="shared" ref="P58" si="240">ROUND($F$5*N58,2)</f>
        <v>14.36</v>
      </c>
      <c r="Q58" s="240">
        <f t="shared" si="63"/>
        <v>129.05000000000001</v>
      </c>
      <c r="R58" s="242">
        <f t="shared" si="44"/>
        <v>16.82</v>
      </c>
      <c r="S58" s="243">
        <v>6.4960473736425887E-4</v>
      </c>
      <c r="T58" s="240">
        <f t="shared" ref="T58" si="241">ROUND($E$5*S58,2)</f>
        <v>210.89</v>
      </c>
      <c r="U58" s="241">
        <f t="shared" ref="U58" si="242">ROUND($F$5*S58,2)</f>
        <v>14.23</v>
      </c>
      <c r="V58" s="240">
        <f t="shared" si="45"/>
        <v>127.97</v>
      </c>
      <c r="W58" s="242">
        <f t="shared" si="46"/>
        <v>16.68</v>
      </c>
      <c r="X58" s="243">
        <v>6.4891971119342129E-4</v>
      </c>
      <c r="Y58" s="240">
        <f t="shared" ref="Y58" si="243">ROUND($E$5*X58,2)</f>
        <v>210.67</v>
      </c>
      <c r="Z58" s="241">
        <f t="shared" ref="Z58" si="244">ROUND($F$5*X58,2)</f>
        <v>14.22</v>
      </c>
      <c r="AA58" s="240">
        <f t="shared" si="47"/>
        <v>127.83</v>
      </c>
      <c r="AB58" s="241">
        <f t="shared" si="48"/>
        <v>16.66</v>
      </c>
      <c r="AC58" s="244">
        <v>6.0641038601652532E-4</v>
      </c>
      <c r="AD58" s="240">
        <f t="shared" ref="AD58" si="245">ROUND($E$5*AC58,2)</f>
        <v>196.87</v>
      </c>
      <c r="AE58" s="241">
        <f t="shared" ref="AE58" si="246">ROUND($F$5*AC58,2)</f>
        <v>13.29</v>
      </c>
      <c r="AF58" s="240">
        <f t="shared" si="49"/>
        <v>119.46</v>
      </c>
      <c r="AG58" s="242">
        <f t="shared" si="50"/>
        <v>15.57</v>
      </c>
      <c r="AH58" s="243">
        <v>6.1808077440785806E-4</v>
      </c>
      <c r="AI58" s="240">
        <f t="shared" ref="AI58" si="247">ROUND($E$5*AH58,2)</f>
        <v>200.66</v>
      </c>
      <c r="AJ58" s="241">
        <f t="shared" ref="AJ58" si="248">ROUND($F$5*AH58,2)</f>
        <v>13.54</v>
      </c>
      <c r="AK58" s="240">
        <f t="shared" si="51"/>
        <v>121.76</v>
      </c>
      <c r="AL58" s="242">
        <f t="shared" si="52"/>
        <v>15.87</v>
      </c>
      <c r="AM58" s="243">
        <v>6.1780874240126933E-4</v>
      </c>
      <c r="AN58" s="240">
        <f t="shared" ref="AN58" si="249">ROUND($E$5*AM58,2)</f>
        <v>200.57</v>
      </c>
      <c r="AO58" s="241">
        <f t="shared" ref="AO58" si="250">ROUND($F$5*AM58,2)</f>
        <v>13.54</v>
      </c>
      <c r="AP58" s="240">
        <f t="shared" si="53"/>
        <v>121.7</v>
      </c>
      <c r="AQ58" s="242">
        <f t="shared" si="54"/>
        <v>15.86</v>
      </c>
      <c r="AR58" s="243">
        <v>6.1869218078600911E-4</v>
      </c>
      <c r="AS58" s="240">
        <f t="shared" ref="AS58" si="251">ROUND($E$5*AR58,2)</f>
        <v>200.86</v>
      </c>
      <c r="AT58" s="241">
        <f t="shared" ref="AT58" si="252">ROUND($F$5*AR58,2)</f>
        <v>13.56</v>
      </c>
      <c r="AU58" s="240">
        <f t="shared" si="55"/>
        <v>121.88</v>
      </c>
      <c r="AV58" s="241">
        <f t="shared" si="56"/>
        <v>15.88</v>
      </c>
      <c r="AW58" s="243">
        <v>6.1823324225830276E-4</v>
      </c>
      <c r="AX58" s="240">
        <f t="shared" ref="AX58" si="253">ROUND($E$5*AW58,2)</f>
        <v>200.71</v>
      </c>
      <c r="AY58" s="241">
        <f t="shared" ref="AY58" si="254">ROUND($F$5*AW58,2)</f>
        <v>13.55</v>
      </c>
      <c r="AZ58" s="240">
        <f t="shared" si="57"/>
        <v>121.79</v>
      </c>
      <c r="BA58" s="242">
        <f t="shared" si="58"/>
        <v>15.87</v>
      </c>
      <c r="BB58" s="243">
        <v>6.0864401356188836E-4</v>
      </c>
      <c r="BC58" s="240">
        <f t="shared" ref="BC58" si="255">ROUND($E$5*BB58,2)</f>
        <v>197.6</v>
      </c>
      <c r="BD58" s="241">
        <f t="shared" ref="BD58" si="256">ROUND($F$5*BB58,2)</f>
        <v>13.34</v>
      </c>
      <c r="BE58" s="240">
        <f t="shared" si="59"/>
        <v>119.9</v>
      </c>
      <c r="BF58" s="242">
        <f t="shared" si="60"/>
        <v>15.62</v>
      </c>
      <c r="BG58" s="243">
        <v>5.710800501672631E-4</v>
      </c>
      <c r="BH58" s="240">
        <f t="shared" ref="BH58" si="257">ROUND($E$5*BG58,2)</f>
        <v>185.4</v>
      </c>
      <c r="BI58" s="241">
        <f t="shared" ref="BI58" si="258">ROUND($F$5*BG58,2)</f>
        <v>12.51</v>
      </c>
      <c r="BJ58" s="240">
        <f t="shared" si="61"/>
        <v>112.5</v>
      </c>
      <c r="BK58" s="241">
        <f t="shared" si="62"/>
        <v>14.66</v>
      </c>
    </row>
    <row r="59" spans="1:63" ht="30" customHeight="1">
      <c r="A59" s="30">
        <v>1412000078</v>
      </c>
      <c r="B59" s="30" t="s">
        <v>111</v>
      </c>
      <c r="C59" s="31" t="s">
        <v>73</v>
      </c>
      <c r="D59" s="25">
        <v>6.5723365893717383E-4</v>
      </c>
      <c r="E59" s="32">
        <f t="shared" si="208"/>
        <v>213.37</v>
      </c>
      <c r="F59" s="33">
        <f t="shared" si="209"/>
        <v>14.4</v>
      </c>
      <c r="G59" s="34">
        <f t="shared" si="210"/>
        <v>137.15</v>
      </c>
      <c r="H59" s="35">
        <f t="shared" si="211"/>
        <v>17.39</v>
      </c>
      <c r="I59" s="25">
        <v>6.5747698256882431E-4</v>
      </c>
      <c r="J59" s="32">
        <f t="shared" si="212"/>
        <v>213.45</v>
      </c>
      <c r="K59" s="33">
        <f t="shared" si="213"/>
        <v>14.41</v>
      </c>
      <c r="L59" s="34">
        <f t="shared" si="214"/>
        <v>129.52000000000001</v>
      </c>
      <c r="M59" s="211">
        <f t="shared" si="215"/>
        <v>16.88</v>
      </c>
      <c r="N59" s="208">
        <v>6.5510625442692975E-4</v>
      </c>
      <c r="O59" s="32">
        <f t="shared" si="216"/>
        <v>212.68</v>
      </c>
      <c r="P59" s="33">
        <f t="shared" si="217"/>
        <v>14.36</v>
      </c>
      <c r="Q59" s="34">
        <f t="shared" si="63"/>
        <v>129.05000000000001</v>
      </c>
      <c r="R59" s="211">
        <f t="shared" si="44"/>
        <v>16.82</v>
      </c>
      <c r="S59" s="208">
        <v>6.4960473736425887E-4</v>
      </c>
      <c r="T59" s="32">
        <f t="shared" si="218"/>
        <v>210.89</v>
      </c>
      <c r="U59" s="33">
        <f t="shared" si="219"/>
        <v>14.23</v>
      </c>
      <c r="V59" s="34">
        <f t="shared" si="45"/>
        <v>127.97</v>
      </c>
      <c r="W59" s="211">
        <f t="shared" si="46"/>
        <v>16.68</v>
      </c>
      <c r="X59" s="208">
        <v>6.4891971119342129E-4</v>
      </c>
      <c r="Y59" s="32">
        <f t="shared" si="220"/>
        <v>210.67</v>
      </c>
      <c r="Z59" s="33">
        <f t="shared" si="221"/>
        <v>14.22</v>
      </c>
      <c r="AA59" s="34">
        <f t="shared" si="47"/>
        <v>127.83</v>
      </c>
      <c r="AB59" s="35">
        <f t="shared" si="48"/>
        <v>16.66</v>
      </c>
      <c r="AC59" s="25">
        <v>7.9299819709853297E-4</v>
      </c>
      <c r="AD59" s="32">
        <f t="shared" si="222"/>
        <v>257.45</v>
      </c>
      <c r="AE59" s="33">
        <f t="shared" si="223"/>
        <v>17.38</v>
      </c>
      <c r="AF59" s="34">
        <f t="shared" si="49"/>
        <v>156.21</v>
      </c>
      <c r="AG59" s="211">
        <f t="shared" si="50"/>
        <v>20.36</v>
      </c>
      <c r="AH59" s="208">
        <v>7.6071479927120988E-4</v>
      </c>
      <c r="AI59" s="32">
        <f t="shared" si="224"/>
        <v>246.97</v>
      </c>
      <c r="AJ59" s="33">
        <f t="shared" si="225"/>
        <v>16.670000000000002</v>
      </c>
      <c r="AK59" s="34">
        <f t="shared" si="51"/>
        <v>149.85</v>
      </c>
      <c r="AL59" s="211">
        <f t="shared" si="52"/>
        <v>19.53</v>
      </c>
      <c r="AM59" s="208">
        <v>7.6037999064771603E-4</v>
      </c>
      <c r="AN59" s="32">
        <f t="shared" si="226"/>
        <v>246.86</v>
      </c>
      <c r="AO59" s="33">
        <f t="shared" si="227"/>
        <v>16.66</v>
      </c>
      <c r="AP59" s="34">
        <f t="shared" si="53"/>
        <v>149.79</v>
      </c>
      <c r="AQ59" s="211">
        <f t="shared" si="54"/>
        <v>19.52</v>
      </c>
      <c r="AR59" s="208">
        <v>7.6146729942893438E-4</v>
      </c>
      <c r="AS59" s="32">
        <f t="shared" si="228"/>
        <v>247.21</v>
      </c>
      <c r="AT59" s="33">
        <f t="shared" si="229"/>
        <v>16.690000000000001</v>
      </c>
      <c r="AU59" s="34">
        <f t="shared" si="55"/>
        <v>150</v>
      </c>
      <c r="AV59" s="35">
        <f t="shared" si="56"/>
        <v>19.55</v>
      </c>
      <c r="AW59" s="208">
        <v>7.6090245201021879E-4</v>
      </c>
      <c r="AX59" s="32">
        <f t="shared" si="230"/>
        <v>247.03</v>
      </c>
      <c r="AY59" s="33">
        <f t="shared" si="231"/>
        <v>16.670000000000002</v>
      </c>
      <c r="AZ59" s="34">
        <f t="shared" si="57"/>
        <v>149.88999999999999</v>
      </c>
      <c r="BA59" s="211">
        <f t="shared" si="58"/>
        <v>19.53</v>
      </c>
      <c r="BB59" s="208">
        <v>7.4910032438386248E-4</v>
      </c>
      <c r="BC59" s="32">
        <f t="shared" si="232"/>
        <v>243.2</v>
      </c>
      <c r="BD59" s="33">
        <f t="shared" si="233"/>
        <v>16.41</v>
      </c>
      <c r="BE59" s="34">
        <f t="shared" si="59"/>
        <v>147.57</v>
      </c>
      <c r="BF59" s="211">
        <f t="shared" si="60"/>
        <v>19.23</v>
      </c>
      <c r="BG59" s="208">
        <v>7.6144006688968406E-4</v>
      </c>
      <c r="BH59" s="32">
        <f t="shared" si="234"/>
        <v>247.2</v>
      </c>
      <c r="BI59" s="33">
        <f t="shared" si="235"/>
        <v>16.690000000000001</v>
      </c>
      <c r="BJ59" s="34">
        <f t="shared" si="61"/>
        <v>150</v>
      </c>
      <c r="BK59" s="35">
        <f t="shared" si="62"/>
        <v>19.55</v>
      </c>
    </row>
    <row r="60" spans="1:63" ht="30" customHeight="1">
      <c r="A60" s="30">
        <v>1412000096</v>
      </c>
      <c r="B60" s="41" t="s">
        <v>120</v>
      </c>
      <c r="C60" s="31" t="s">
        <v>73</v>
      </c>
      <c r="D60" s="25">
        <v>7.0779009424003355E-4</v>
      </c>
      <c r="E60" s="32">
        <f t="shared" si="208"/>
        <v>229.78</v>
      </c>
      <c r="F60" s="33">
        <f t="shared" si="209"/>
        <v>15.51</v>
      </c>
      <c r="G60" s="34">
        <f t="shared" si="210"/>
        <v>147.69999999999999</v>
      </c>
      <c r="H60" s="35">
        <f t="shared" si="211"/>
        <v>18.73</v>
      </c>
      <c r="I60" s="25">
        <v>7.0805213507411848E-4</v>
      </c>
      <c r="J60" s="32">
        <f t="shared" si="212"/>
        <v>229.87</v>
      </c>
      <c r="K60" s="33">
        <f t="shared" si="213"/>
        <v>15.52</v>
      </c>
      <c r="L60" s="34">
        <f t="shared" si="214"/>
        <v>139.47999999999999</v>
      </c>
      <c r="M60" s="211">
        <f t="shared" si="215"/>
        <v>18.18</v>
      </c>
      <c r="N60" s="208">
        <v>7.0549904322900127E-4</v>
      </c>
      <c r="O60" s="32">
        <f t="shared" si="216"/>
        <v>229.04</v>
      </c>
      <c r="P60" s="33">
        <f t="shared" si="217"/>
        <v>15.46</v>
      </c>
      <c r="Q60" s="34">
        <f t="shared" si="63"/>
        <v>138.97999999999999</v>
      </c>
      <c r="R60" s="211">
        <f t="shared" si="44"/>
        <v>18.11</v>
      </c>
      <c r="S60" s="208">
        <v>6.9957433254612498E-4</v>
      </c>
      <c r="T60" s="32">
        <f t="shared" si="218"/>
        <v>227.12</v>
      </c>
      <c r="U60" s="33">
        <f t="shared" si="219"/>
        <v>15.33</v>
      </c>
      <c r="V60" s="34">
        <f t="shared" si="45"/>
        <v>137.81</v>
      </c>
      <c r="W60" s="211">
        <f t="shared" si="46"/>
        <v>17.96</v>
      </c>
      <c r="X60" s="208">
        <v>6.9883661205445366E-4</v>
      </c>
      <c r="Y60" s="32">
        <f t="shared" si="220"/>
        <v>226.88</v>
      </c>
      <c r="Z60" s="33">
        <f t="shared" si="221"/>
        <v>15.31</v>
      </c>
      <c r="AA60" s="34">
        <f t="shared" si="47"/>
        <v>137.66999999999999</v>
      </c>
      <c r="AB60" s="35">
        <f t="shared" si="48"/>
        <v>17.940000000000001</v>
      </c>
      <c r="AC60" s="25">
        <v>6.5305733878702737E-4</v>
      </c>
      <c r="AD60" s="32">
        <f t="shared" si="222"/>
        <v>212.01</v>
      </c>
      <c r="AE60" s="33">
        <f t="shared" si="223"/>
        <v>14.31</v>
      </c>
      <c r="AF60" s="34">
        <f t="shared" si="49"/>
        <v>128.65</v>
      </c>
      <c r="AG60" s="211">
        <f t="shared" si="50"/>
        <v>16.760000000000002</v>
      </c>
      <c r="AH60" s="208">
        <v>6.6562544936230863E-4</v>
      </c>
      <c r="AI60" s="32">
        <f t="shared" si="224"/>
        <v>216.1</v>
      </c>
      <c r="AJ60" s="33">
        <f t="shared" si="225"/>
        <v>14.59</v>
      </c>
      <c r="AK60" s="34">
        <f t="shared" si="51"/>
        <v>131.12</v>
      </c>
      <c r="AL60" s="211">
        <f t="shared" si="52"/>
        <v>17.09</v>
      </c>
      <c r="AM60" s="208">
        <v>6.6533249181675164E-4</v>
      </c>
      <c r="AN60" s="32">
        <f t="shared" si="226"/>
        <v>216</v>
      </c>
      <c r="AO60" s="33">
        <f t="shared" si="227"/>
        <v>14.58</v>
      </c>
      <c r="AP60" s="34">
        <f t="shared" si="53"/>
        <v>131.07</v>
      </c>
      <c r="AQ60" s="211">
        <f t="shared" si="54"/>
        <v>17.079999999999998</v>
      </c>
      <c r="AR60" s="208">
        <v>6.6628388700031775E-4</v>
      </c>
      <c r="AS60" s="32">
        <f t="shared" si="228"/>
        <v>216.31</v>
      </c>
      <c r="AT60" s="33">
        <f t="shared" si="229"/>
        <v>14.6</v>
      </c>
      <c r="AU60" s="34">
        <f t="shared" si="55"/>
        <v>131.25</v>
      </c>
      <c r="AV60" s="35">
        <f t="shared" si="56"/>
        <v>17.100000000000001</v>
      </c>
      <c r="AW60" s="208">
        <v>6.6578964550894173E-4</v>
      </c>
      <c r="AX60" s="32">
        <f t="shared" si="230"/>
        <v>216.15</v>
      </c>
      <c r="AY60" s="33">
        <f t="shared" si="231"/>
        <v>14.59</v>
      </c>
      <c r="AZ60" s="34">
        <f t="shared" si="57"/>
        <v>131.16</v>
      </c>
      <c r="BA60" s="211">
        <f t="shared" si="58"/>
        <v>17.09</v>
      </c>
      <c r="BB60" s="208">
        <v>7.0228155410987129E-4</v>
      </c>
      <c r="BC60" s="32">
        <f t="shared" si="232"/>
        <v>228</v>
      </c>
      <c r="BD60" s="33">
        <f t="shared" si="233"/>
        <v>15.39</v>
      </c>
      <c r="BE60" s="34">
        <f t="shared" si="59"/>
        <v>138.34</v>
      </c>
      <c r="BF60" s="211">
        <f t="shared" si="60"/>
        <v>18.03</v>
      </c>
      <c r="BG60" s="208">
        <v>6.6626005852847374E-4</v>
      </c>
      <c r="BH60" s="32">
        <f t="shared" si="234"/>
        <v>216.3</v>
      </c>
      <c r="BI60" s="33">
        <f t="shared" si="235"/>
        <v>14.6</v>
      </c>
      <c r="BJ60" s="34">
        <f t="shared" si="61"/>
        <v>131.25</v>
      </c>
      <c r="BK60" s="35">
        <f t="shared" si="62"/>
        <v>17.100000000000001</v>
      </c>
    </row>
    <row r="61" spans="1:63" ht="30" customHeight="1">
      <c r="A61" s="30">
        <v>1412000050</v>
      </c>
      <c r="B61" s="30" t="s">
        <v>74</v>
      </c>
      <c r="C61" s="31" t="s">
        <v>75</v>
      </c>
      <c r="D61" s="25">
        <v>7.5834652954289295E-4</v>
      </c>
      <c r="E61" s="32">
        <f t="shared" si="208"/>
        <v>246.2</v>
      </c>
      <c r="F61" s="33">
        <f t="shared" si="209"/>
        <v>16.62</v>
      </c>
      <c r="G61" s="34">
        <f t="shared" si="210"/>
        <v>158.25</v>
      </c>
      <c r="H61" s="35">
        <f t="shared" si="211"/>
        <v>20.059999999999999</v>
      </c>
      <c r="I61" s="25">
        <v>7.5862728757941254E-4</v>
      </c>
      <c r="J61" s="32">
        <f t="shared" si="212"/>
        <v>246.29</v>
      </c>
      <c r="K61" s="33">
        <f t="shared" si="213"/>
        <v>16.62</v>
      </c>
      <c r="L61" s="34">
        <f t="shared" si="214"/>
        <v>149.44</v>
      </c>
      <c r="M61" s="211">
        <f t="shared" si="215"/>
        <v>19.47</v>
      </c>
      <c r="N61" s="208">
        <v>7.5589183203107269E-4</v>
      </c>
      <c r="O61" s="32">
        <f t="shared" si="216"/>
        <v>245.4</v>
      </c>
      <c r="P61" s="33">
        <f t="shared" si="217"/>
        <v>16.559999999999999</v>
      </c>
      <c r="Q61" s="34">
        <f t="shared" si="63"/>
        <v>148.9</v>
      </c>
      <c r="R61" s="211">
        <f t="shared" si="44"/>
        <v>19.399999999999999</v>
      </c>
      <c r="S61" s="208">
        <v>7.4954392772799108E-4</v>
      </c>
      <c r="T61" s="32">
        <f t="shared" si="218"/>
        <v>243.34</v>
      </c>
      <c r="U61" s="33">
        <f t="shared" si="219"/>
        <v>16.420000000000002</v>
      </c>
      <c r="V61" s="34">
        <f t="shared" si="45"/>
        <v>147.65</v>
      </c>
      <c r="W61" s="211">
        <f t="shared" si="46"/>
        <v>19.239999999999998</v>
      </c>
      <c r="X61" s="208">
        <v>7.4875351291548613E-4</v>
      </c>
      <c r="Y61" s="32">
        <f t="shared" si="220"/>
        <v>243.08</v>
      </c>
      <c r="Z61" s="33">
        <f t="shared" si="221"/>
        <v>16.41</v>
      </c>
      <c r="AA61" s="34">
        <f t="shared" si="47"/>
        <v>147.5</v>
      </c>
      <c r="AB61" s="35">
        <f t="shared" si="48"/>
        <v>19.22</v>
      </c>
      <c r="AC61" s="25">
        <v>8.3964514986903491E-4</v>
      </c>
      <c r="AD61" s="32">
        <f t="shared" si="222"/>
        <v>272.58999999999997</v>
      </c>
      <c r="AE61" s="33">
        <f t="shared" si="223"/>
        <v>18.399999999999999</v>
      </c>
      <c r="AF61" s="34">
        <f t="shared" si="49"/>
        <v>165.4</v>
      </c>
      <c r="AG61" s="211">
        <f t="shared" si="50"/>
        <v>21.55</v>
      </c>
      <c r="AH61" s="208">
        <v>8.0825947422566045E-4</v>
      </c>
      <c r="AI61" s="32">
        <f t="shared" si="224"/>
        <v>262.39999999999998</v>
      </c>
      <c r="AJ61" s="33">
        <f t="shared" si="225"/>
        <v>17.71</v>
      </c>
      <c r="AK61" s="34">
        <f t="shared" si="51"/>
        <v>159.22</v>
      </c>
      <c r="AL61" s="211">
        <f t="shared" si="52"/>
        <v>20.75</v>
      </c>
      <c r="AM61" s="208">
        <v>8.0790374006319823E-4</v>
      </c>
      <c r="AN61" s="32">
        <f t="shared" si="226"/>
        <v>262.29000000000002</v>
      </c>
      <c r="AO61" s="33">
        <f t="shared" si="227"/>
        <v>17.7</v>
      </c>
      <c r="AP61" s="34">
        <f t="shared" si="53"/>
        <v>159.15</v>
      </c>
      <c r="AQ61" s="211">
        <f t="shared" si="54"/>
        <v>20.74</v>
      </c>
      <c r="AR61" s="208">
        <v>8.090590056432427E-4</v>
      </c>
      <c r="AS61" s="32">
        <f t="shared" si="228"/>
        <v>262.66000000000003</v>
      </c>
      <c r="AT61" s="33">
        <f t="shared" si="229"/>
        <v>17.73</v>
      </c>
      <c r="AU61" s="34">
        <f t="shared" si="55"/>
        <v>159.38</v>
      </c>
      <c r="AV61" s="35">
        <f t="shared" si="56"/>
        <v>20.77</v>
      </c>
      <c r="AW61" s="208">
        <v>8.0845885526085754E-4</v>
      </c>
      <c r="AX61" s="32">
        <f t="shared" si="230"/>
        <v>262.47000000000003</v>
      </c>
      <c r="AY61" s="33">
        <f t="shared" si="231"/>
        <v>17.72</v>
      </c>
      <c r="AZ61" s="34">
        <f t="shared" si="57"/>
        <v>159.26</v>
      </c>
      <c r="BA61" s="211">
        <f t="shared" si="58"/>
        <v>20.75</v>
      </c>
      <c r="BB61" s="208">
        <v>7.9591909465785411E-4</v>
      </c>
      <c r="BC61" s="32">
        <f t="shared" si="232"/>
        <v>258.39</v>
      </c>
      <c r="BD61" s="33">
        <f t="shared" si="233"/>
        <v>17.440000000000001</v>
      </c>
      <c r="BE61" s="34">
        <f t="shared" si="59"/>
        <v>156.79</v>
      </c>
      <c r="BF61" s="211">
        <f t="shared" si="60"/>
        <v>20.43</v>
      </c>
      <c r="BG61" s="208">
        <v>8.0903007107028938E-4</v>
      </c>
      <c r="BH61" s="32">
        <f t="shared" si="234"/>
        <v>262.64999999999998</v>
      </c>
      <c r="BI61" s="33">
        <f t="shared" si="235"/>
        <v>17.73</v>
      </c>
      <c r="BJ61" s="34">
        <f t="shared" si="61"/>
        <v>159.37</v>
      </c>
      <c r="BK61" s="35">
        <f t="shared" si="62"/>
        <v>20.77</v>
      </c>
    </row>
    <row r="62" spans="1:63" ht="30" customHeight="1">
      <c r="A62" s="30">
        <v>1412000077</v>
      </c>
      <c r="B62" s="30" t="s">
        <v>76</v>
      </c>
      <c r="C62" s="31" t="s">
        <v>77</v>
      </c>
      <c r="D62" s="25">
        <v>5.5612078833145492E-4</v>
      </c>
      <c r="E62" s="32">
        <f t="shared" si="208"/>
        <v>180.54</v>
      </c>
      <c r="F62" s="33">
        <f t="shared" si="209"/>
        <v>12.19</v>
      </c>
      <c r="G62" s="34">
        <f t="shared" si="210"/>
        <v>116.05</v>
      </c>
      <c r="H62" s="35">
        <f t="shared" si="211"/>
        <v>14.71</v>
      </c>
      <c r="I62" s="25">
        <v>5.5632667755823597E-4</v>
      </c>
      <c r="J62" s="32">
        <f t="shared" si="212"/>
        <v>180.61</v>
      </c>
      <c r="K62" s="33">
        <f t="shared" si="213"/>
        <v>12.19</v>
      </c>
      <c r="L62" s="34">
        <f t="shared" si="214"/>
        <v>109.59</v>
      </c>
      <c r="M62" s="211">
        <f t="shared" si="215"/>
        <v>14.28</v>
      </c>
      <c r="N62" s="208">
        <v>5.5432067682278669E-4</v>
      </c>
      <c r="O62" s="32">
        <f t="shared" si="216"/>
        <v>179.96</v>
      </c>
      <c r="P62" s="33">
        <f t="shared" si="217"/>
        <v>12.15</v>
      </c>
      <c r="Q62" s="34">
        <f t="shared" si="63"/>
        <v>109.2</v>
      </c>
      <c r="R62" s="211">
        <f t="shared" si="44"/>
        <v>14.23</v>
      </c>
      <c r="S62" s="208">
        <v>5.4966554700052687E-4</v>
      </c>
      <c r="T62" s="32">
        <f t="shared" si="218"/>
        <v>178.45</v>
      </c>
      <c r="U62" s="33">
        <f t="shared" si="219"/>
        <v>12.04</v>
      </c>
      <c r="V62" s="34">
        <f t="shared" si="45"/>
        <v>108.28</v>
      </c>
      <c r="W62" s="211">
        <f t="shared" si="46"/>
        <v>14.11</v>
      </c>
      <c r="X62" s="208">
        <v>5.4908590947135656E-4</v>
      </c>
      <c r="Y62" s="32">
        <f t="shared" si="220"/>
        <v>178.26</v>
      </c>
      <c r="Z62" s="33">
        <f t="shared" si="221"/>
        <v>12.03</v>
      </c>
      <c r="AA62" s="34">
        <f t="shared" si="47"/>
        <v>108.17</v>
      </c>
      <c r="AB62" s="35">
        <f t="shared" si="48"/>
        <v>14.09</v>
      </c>
      <c r="AC62" s="25">
        <v>5.1311648047552144E-4</v>
      </c>
      <c r="AD62" s="32">
        <f t="shared" si="222"/>
        <v>166.58</v>
      </c>
      <c r="AE62" s="33">
        <f t="shared" si="223"/>
        <v>11.24</v>
      </c>
      <c r="AF62" s="34">
        <f t="shared" si="49"/>
        <v>101.08</v>
      </c>
      <c r="AG62" s="211">
        <f t="shared" si="50"/>
        <v>13.17</v>
      </c>
      <c r="AH62" s="208">
        <v>5.229914244989567E-4</v>
      </c>
      <c r="AI62" s="32">
        <f t="shared" si="224"/>
        <v>169.79</v>
      </c>
      <c r="AJ62" s="33">
        <f t="shared" si="225"/>
        <v>11.46</v>
      </c>
      <c r="AK62" s="34">
        <f t="shared" si="51"/>
        <v>103.03</v>
      </c>
      <c r="AL62" s="211">
        <f t="shared" si="52"/>
        <v>13.42</v>
      </c>
      <c r="AM62" s="208">
        <v>5.2276124357030472E-4</v>
      </c>
      <c r="AN62" s="32">
        <f t="shared" si="226"/>
        <v>169.71</v>
      </c>
      <c r="AO62" s="33">
        <f t="shared" si="227"/>
        <v>11.46</v>
      </c>
      <c r="AP62" s="34">
        <f t="shared" si="53"/>
        <v>102.98</v>
      </c>
      <c r="AQ62" s="211">
        <f t="shared" si="54"/>
        <v>13.42</v>
      </c>
      <c r="AR62" s="208">
        <v>5.2350876835739236E-4</v>
      </c>
      <c r="AS62" s="32">
        <f t="shared" si="228"/>
        <v>169.96</v>
      </c>
      <c r="AT62" s="33">
        <f t="shared" si="229"/>
        <v>11.47</v>
      </c>
      <c r="AU62" s="34">
        <f t="shared" si="55"/>
        <v>103.13</v>
      </c>
      <c r="AV62" s="35">
        <f t="shared" si="56"/>
        <v>13.44</v>
      </c>
      <c r="AW62" s="208">
        <v>5.2312043575702548E-4</v>
      </c>
      <c r="AX62" s="32">
        <f t="shared" si="230"/>
        <v>169.83</v>
      </c>
      <c r="AY62" s="33">
        <f t="shared" si="231"/>
        <v>11.46</v>
      </c>
      <c r="AZ62" s="34">
        <f t="shared" si="57"/>
        <v>103.05</v>
      </c>
      <c r="BA62" s="211">
        <f t="shared" si="58"/>
        <v>13.43</v>
      </c>
      <c r="BB62" s="208">
        <v>5.1500647301390553E-4</v>
      </c>
      <c r="BC62" s="32">
        <f t="shared" si="232"/>
        <v>167.2</v>
      </c>
      <c r="BD62" s="33">
        <f t="shared" si="233"/>
        <v>11.29</v>
      </c>
      <c r="BE62" s="34">
        <f t="shared" si="59"/>
        <v>101.45</v>
      </c>
      <c r="BF62" s="211">
        <f t="shared" si="60"/>
        <v>13.22</v>
      </c>
      <c r="BG62" s="208">
        <v>5.2349004598665778E-4</v>
      </c>
      <c r="BH62" s="32">
        <f t="shared" si="234"/>
        <v>169.95</v>
      </c>
      <c r="BI62" s="33">
        <f t="shared" si="235"/>
        <v>11.47</v>
      </c>
      <c r="BJ62" s="34">
        <f t="shared" si="61"/>
        <v>103.12</v>
      </c>
      <c r="BK62" s="35">
        <f t="shared" si="62"/>
        <v>13.44</v>
      </c>
    </row>
    <row r="63" spans="1:63" ht="30" customHeight="1">
      <c r="A63" s="30">
        <v>1412000083</v>
      </c>
      <c r="B63" s="30" t="s">
        <v>102</v>
      </c>
      <c r="C63" s="31" t="s">
        <v>103</v>
      </c>
      <c r="D63" s="25">
        <v>5.055643530285953E-4</v>
      </c>
      <c r="E63" s="32">
        <f>ROUND($E$5*D63,2)</f>
        <v>164.13</v>
      </c>
      <c r="F63" s="33">
        <f>ROUND($F$5*D63,2)</f>
        <v>11.08</v>
      </c>
      <c r="G63" s="34">
        <f>ROUND($G$5*D63,2)</f>
        <v>105.5</v>
      </c>
      <c r="H63" s="35">
        <f>ROUND($H$5*D63,2)</f>
        <v>13.38</v>
      </c>
      <c r="I63" s="25">
        <v>5.0575152505294169E-4</v>
      </c>
      <c r="J63" s="32">
        <f t="shared" si="212"/>
        <v>164.19</v>
      </c>
      <c r="K63" s="33">
        <f t="shared" si="213"/>
        <v>11.08</v>
      </c>
      <c r="L63" s="34">
        <f t="shared" si="214"/>
        <v>99.63</v>
      </c>
      <c r="M63" s="211">
        <f t="shared" si="215"/>
        <v>12.98</v>
      </c>
      <c r="N63" s="208">
        <v>5.0392788802071516E-4</v>
      </c>
      <c r="O63" s="32">
        <f t="shared" si="216"/>
        <v>163.6</v>
      </c>
      <c r="P63" s="33">
        <f t="shared" si="217"/>
        <v>11.04</v>
      </c>
      <c r="Q63" s="34">
        <f t="shared" si="63"/>
        <v>99.27</v>
      </c>
      <c r="R63" s="211">
        <f t="shared" si="44"/>
        <v>12.94</v>
      </c>
      <c r="S63" s="208">
        <v>4.9969595181866076E-4</v>
      </c>
      <c r="T63" s="32">
        <f t="shared" si="218"/>
        <v>162.22999999999999</v>
      </c>
      <c r="U63" s="33">
        <f t="shared" si="219"/>
        <v>10.95</v>
      </c>
      <c r="V63" s="34">
        <f t="shared" si="45"/>
        <v>98.44</v>
      </c>
      <c r="W63" s="211">
        <f t="shared" si="46"/>
        <v>12.83</v>
      </c>
      <c r="X63" s="208">
        <v>4.9916900861032409E-4</v>
      </c>
      <c r="Y63" s="32">
        <f t="shared" si="220"/>
        <v>162.06</v>
      </c>
      <c r="Z63" s="33">
        <f t="shared" si="221"/>
        <v>10.94</v>
      </c>
      <c r="AA63" s="34">
        <f t="shared" si="47"/>
        <v>98.33</v>
      </c>
      <c r="AB63" s="35">
        <f t="shared" si="48"/>
        <v>12.81</v>
      </c>
      <c r="AC63" s="25">
        <v>4.6646952770501945E-4</v>
      </c>
      <c r="AD63" s="32">
        <f t="shared" si="222"/>
        <v>151.44</v>
      </c>
      <c r="AE63" s="33">
        <f t="shared" si="223"/>
        <v>10.220000000000001</v>
      </c>
      <c r="AF63" s="34">
        <f t="shared" si="49"/>
        <v>91.89</v>
      </c>
      <c r="AG63" s="211">
        <f t="shared" si="50"/>
        <v>11.97</v>
      </c>
      <c r="AH63" s="208">
        <v>4.7544674954450613E-4</v>
      </c>
      <c r="AI63" s="32">
        <f t="shared" si="224"/>
        <v>154.35</v>
      </c>
      <c r="AJ63" s="33">
        <f t="shared" si="225"/>
        <v>10.42</v>
      </c>
      <c r="AK63" s="34">
        <f t="shared" si="51"/>
        <v>93.66</v>
      </c>
      <c r="AL63" s="211">
        <f t="shared" si="52"/>
        <v>12.2</v>
      </c>
      <c r="AM63" s="208">
        <v>4.7523749415482252E-4</v>
      </c>
      <c r="AN63" s="32">
        <f t="shared" si="226"/>
        <v>154.29</v>
      </c>
      <c r="AO63" s="33">
        <f t="shared" si="227"/>
        <v>10.41</v>
      </c>
      <c r="AP63" s="34">
        <f t="shared" si="53"/>
        <v>93.62</v>
      </c>
      <c r="AQ63" s="211">
        <f t="shared" si="54"/>
        <v>12.2</v>
      </c>
      <c r="AR63" s="208">
        <v>4.7591706214308404E-4</v>
      </c>
      <c r="AS63" s="32">
        <f t="shared" si="228"/>
        <v>154.51</v>
      </c>
      <c r="AT63" s="33">
        <f t="shared" si="229"/>
        <v>10.43</v>
      </c>
      <c r="AU63" s="34">
        <f t="shared" si="55"/>
        <v>93.75</v>
      </c>
      <c r="AV63" s="35">
        <f t="shared" si="56"/>
        <v>12.22</v>
      </c>
      <c r="AW63" s="208">
        <v>4.7556403250638689E-4</v>
      </c>
      <c r="AX63" s="32">
        <f t="shared" si="230"/>
        <v>154.38999999999999</v>
      </c>
      <c r="AY63" s="33">
        <f t="shared" si="231"/>
        <v>10.42</v>
      </c>
      <c r="AZ63" s="34">
        <f t="shared" si="57"/>
        <v>93.68</v>
      </c>
      <c r="BA63" s="211">
        <f t="shared" si="58"/>
        <v>12.21</v>
      </c>
      <c r="BB63" s="208">
        <v>4.6818770273991417E-4</v>
      </c>
      <c r="BC63" s="32">
        <f t="shared" si="232"/>
        <v>152</v>
      </c>
      <c r="BD63" s="33">
        <f t="shared" si="233"/>
        <v>10.26</v>
      </c>
      <c r="BE63" s="34">
        <f t="shared" si="59"/>
        <v>92.23</v>
      </c>
      <c r="BF63" s="211">
        <f t="shared" si="60"/>
        <v>12.02</v>
      </c>
      <c r="BG63" s="208">
        <v>4.283100376254473E-4</v>
      </c>
      <c r="BH63" s="32">
        <f t="shared" si="234"/>
        <v>139.05000000000001</v>
      </c>
      <c r="BI63" s="33">
        <f t="shared" si="235"/>
        <v>9.39</v>
      </c>
      <c r="BJ63" s="34">
        <f t="shared" si="61"/>
        <v>84.37</v>
      </c>
      <c r="BK63" s="35">
        <f t="shared" si="62"/>
        <v>10.99</v>
      </c>
    </row>
    <row r="64" spans="1:63" ht="30" customHeight="1">
      <c r="A64" s="30">
        <v>1412000099</v>
      </c>
      <c r="B64" s="30" t="s">
        <v>122</v>
      </c>
      <c r="C64" s="31" t="s">
        <v>123</v>
      </c>
      <c r="D64" s="47">
        <v>5.055643530285953E-4</v>
      </c>
      <c r="E64" s="32">
        <f t="shared" ref="E64:E69" si="259">ROUND($E$5*D64,2)</f>
        <v>164.13</v>
      </c>
      <c r="F64" s="33">
        <f t="shared" ref="F64:F69" si="260">ROUND($F$5*D64,2)</f>
        <v>11.08</v>
      </c>
      <c r="G64" s="34">
        <f t="shared" ref="G64:G69" si="261">ROUND($G$5*D64,2)</f>
        <v>105.5</v>
      </c>
      <c r="H64" s="35">
        <f t="shared" ref="H64:H69" si="262">ROUND($H$5*D64,2)</f>
        <v>13.38</v>
      </c>
      <c r="I64" s="47">
        <v>5.0575152505294169E-4</v>
      </c>
      <c r="J64" s="32">
        <f t="shared" si="212"/>
        <v>164.19</v>
      </c>
      <c r="K64" s="33">
        <f t="shared" si="213"/>
        <v>11.08</v>
      </c>
      <c r="L64" s="34">
        <f t="shared" si="214"/>
        <v>99.63</v>
      </c>
      <c r="M64" s="211">
        <f>ROUND($M$5*I64,2)</f>
        <v>12.98</v>
      </c>
      <c r="N64" s="208">
        <v>5.0392788802071516E-4</v>
      </c>
      <c r="O64" s="32">
        <f t="shared" si="216"/>
        <v>163.6</v>
      </c>
      <c r="P64" s="33">
        <f t="shared" si="217"/>
        <v>11.04</v>
      </c>
      <c r="Q64" s="34">
        <f t="shared" si="63"/>
        <v>99.27</v>
      </c>
      <c r="R64" s="211">
        <f t="shared" si="44"/>
        <v>12.94</v>
      </c>
      <c r="S64" s="208">
        <v>5.4966554700052687E-4</v>
      </c>
      <c r="T64" s="32">
        <f t="shared" si="218"/>
        <v>178.45</v>
      </c>
      <c r="U64" s="33">
        <f t="shared" si="219"/>
        <v>12.04</v>
      </c>
      <c r="V64" s="34">
        <f t="shared" si="45"/>
        <v>108.28</v>
      </c>
      <c r="W64" s="211">
        <f t="shared" si="46"/>
        <v>14.11</v>
      </c>
      <c r="X64" s="208">
        <v>5.4908590947135656E-4</v>
      </c>
      <c r="Y64" s="32">
        <f t="shared" si="220"/>
        <v>178.26</v>
      </c>
      <c r="Z64" s="33">
        <f t="shared" si="221"/>
        <v>12.03</v>
      </c>
      <c r="AA64" s="34">
        <f t="shared" si="47"/>
        <v>108.17</v>
      </c>
      <c r="AB64" s="35">
        <f t="shared" si="48"/>
        <v>14.09</v>
      </c>
      <c r="AC64" s="47">
        <v>5.1311648047552144E-4</v>
      </c>
      <c r="AD64" s="32">
        <f t="shared" si="222"/>
        <v>166.58</v>
      </c>
      <c r="AE64" s="33">
        <f t="shared" si="223"/>
        <v>11.24</v>
      </c>
      <c r="AF64" s="34">
        <f t="shared" si="49"/>
        <v>101.08</v>
      </c>
      <c r="AG64" s="211">
        <f t="shared" si="50"/>
        <v>13.17</v>
      </c>
      <c r="AH64" s="208">
        <v>5.229914244989567E-4</v>
      </c>
      <c r="AI64" s="32">
        <f t="shared" si="224"/>
        <v>169.79</v>
      </c>
      <c r="AJ64" s="33">
        <f t="shared" si="225"/>
        <v>11.46</v>
      </c>
      <c r="AK64" s="34">
        <f t="shared" si="51"/>
        <v>103.03</v>
      </c>
      <c r="AL64" s="211">
        <f t="shared" si="52"/>
        <v>13.42</v>
      </c>
      <c r="AM64" s="208">
        <v>5.2276124357030472E-4</v>
      </c>
      <c r="AN64" s="32">
        <f t="shared" si="226"/>
        <v>169.71</v>
      </c>
      <c r="AO64" s="33">
        <f t="shared" si="227"/>
        <v>11.46</v>
      </c>
      <c r="AP64" s="34">
        <f t="shared" si="53"/>
        <v>102.98</v>
      </c>
      <c r="AQ64" s="211">
        <f t="shared" si="54"/>
        <v>13.42</v>
      </c>
      <c r="AR64" s="208">
        <v>5.2350876835739236E-4</v>
      </c>
      <c r="AS64" s="32">
        <f t="shared" si="228"/>
        <v>169.96</v>
      </c>
      <c r="AT64" s="33">
        <f t="shared" si="229"/>
        <v>11.47</v>
      </c>
      <c r="AU64" s="34">
        <f t="shared" si="55"/>
        <v>103.13</v>
      </c>
      <c r="AV64" s="35">
        <f t="shared" si="56"/>
        <v>13.44</v>
      </c>
      <c r="AW64" s="208">
        <v>5.2312043575702548E-4</v>
      </c>
      <c r="AX64" s="32">
        <f t="shared" si="230"/>
        <v>169.83</v>
      </c>
      <c r="AY64" s="33">
        <f t="shared" si="231"/>
        <v>11.46</v>
      </c>
      <c r="AZ64" s="34">
        <f t="shared" si="57"/>
        <v>103.05</v>
      </c>
      <c r="BA64" s="211">
        <f t="shared" si="58"/>
        <v>13.43</v>
      </c>
      <c r="BB64" s="208">
        <v>5.1500647301390553E-4</v>
      </c>
      <c r="BC64" s="32">
        <f t="shared" si="232"/>
        <v>167.2</v>
      </c>
      <c r="BD64" s="33">
        <f t="shared" si="233"/>
        <v>11.29</v>
      </c>
      <c r="BE64" s="34">
        <f t="shared" si="59"/>
        <v>101.45</v>
      </c>
      <c r="BF64" s="211">
        <f t="shared" si="60"/>
        <v>13.22</v>
      </c>
      <c r="BG64" s="208">
        <v>5.2349004598665778E-4</v>
      </c>
      <c r="BH64" s="32">
        <f t="shared" si="234"/>
        <v>169.95</v>
      </c>
      <c r="BI64" s="33">
        <f t="shared" si="235"/>
        <v>11.47</v>
      </c>
      <c r="BJ64" s="34">
        <f t="shared" si="61"/>
        <v>103.12</v>
      </c>
      <c r="BK64" s="35">
        <f t="shared" si="62"/>
        <v>13.44</v>
      </c>
    </row>
    <row r="65" spans="1:63" ht="30" customHeight="1">
      <c r="A65" s="237">
        <v>1412000100</v>
      </c>
      <c r="B65" s="237" t="s">
        <v>185</v>
      </c>
      <c r="C65" s="238" t="s">
        <v>186</v>
      </c>
      <c r="D65" s="239">
        <v>4.0445148242287623E-4</v>
      </c>
      <c r="E65" s="240">
        <f>ROUND($E$5*D65,2)</f>
        <v>131.31</v>
      </c>
      <c r="F65" s="241">
        <f>ROUND($F$5*D65,2)</f>
        <v>8.86</v>
      </c>
      <c r="G65" s="240">
        <f t="shared" ref="G65" si="263">ROUND($G$5*D65,2)</f>
        <v>84.4</v>
      </c>
      <c r="H65" s="241">
        <f t="shared" ref="H65" si="264">ROUND($H$5*D65,2)</f>
        <v>10.7</v>
      </c>
      <c r="I65" s="239">
        <v>4.0460122004235335E-4</v>
      </c>
      <c r="J65" s="240">
        <f t="shared" ref="J65" si="265">ROUND($E$5*I65,2)</f>
        <v>131.35</v>
      </c>
      <c r="K65" s="241">
        <f t="shared" ref="K65" si="266">ROUND($F$5*I65,2)</f>
        <v>8.8699999999999992</v>
      </c>
      <c r="L65" s="240">
        <f t="shared" si="214"/>
        <v>79.7</v>
      </c>
      <c r="M65" s="242">
        <f>ROUND($M$5*I65,2)</f>
        <v>10.39</v>
      </c>
      <c r="N65" s="243">
        <v>4.0314231041657216E-4</v>
      </c>
      <c r="O65" s="240">
        <f t="shared" ref="O65" si="267">ROUND($E$5*N65,2)</f>
        <v>130.88</v>
      </c>
      <c r="P65" s="241">
        <f t="shared" ref="P65" si="268">ROUND($F$5*N65,2)</f>
        <v>8.83</v>
      </c>
      <c r="Q65" s="240">
        <f t="shared" si="63"/>
        <v>79.42</v>
      </c>
      <c r="R65" s="242">
        <f t="shared" si="44"/>
        <v>10.35</v>
      </c>
      <c r="S65" s="243">
        <v>3.997567614549286E-4</v>
      </c>
      <c r="T65" s="240">
        <f t="shared" ref="T65" si="269">ROUND($E$5*S65,2)</f>
        <v>129.78</v>
      </c>
      <c r="U65" s="241">
        <f t="shared" ref="U65" si="270">ROUND($F$5*S65,2)</f>
        <v>8.76</v>
      </c>
      <c r="V65" s="240">
        <f t="shared" si="45"/>
        <v>78.75</v>
      </c>
      <c r="W65" s="242">
        <f t="shared" si="46"/>
        <v>10.26</v>
      </c>
      <c r="X65" s="243">
        <v>3.9933520688825925E-4</v>
      </c>
      <c r="Y65" s="240">
        <f t="shared" ref="Y65" si="271">ROUND($E$5*X65,2)</f>
        <v>129.63999999999999</v>
      </c>
      <c r="Z65" s="241">
        <f t="shared" ref="Z65" si="272">ROUND($F$5*X65,2)</f>
        <v>8.75</v>
      </c>
      <c r="AA65" s="240">
        <f t="shared" si="47"/>
        <v>78.67</v>
      </c>
      <c r="AB65" s="241">
        <f t="shared" si="48"/>
        <v>10.25</v>
      </c>
      <c r="AC65" s="239">
        <v>3.7317562216401562E-4</v>
      </c>
      <c r="AD65" s="240">
        <f t="shared" ref="AD65" si="273">ROUND($E$5*AC65,2)</f>
        <v>121.15</v>
      </c>
      <c r="AE65" s="241">
        <f t="shared" ref="AE65" si="274">ROUND($F$5*AC65,2)</f>
        <v>8.18</v>
      </c>
      <c r="AF65" s="240">
        <f t="shared" si="49"/>
        <v>73.510000000000005</v>
      </c>
      <c r="AG65" s="242">
        <f t="shared" si="50"/>
        <v>9.58</v>
      </c>
      <c r="AH65" s="243">
        <v>3.8035739963560494E-4</v>
      </c>
      <c r="AI65" s="240">
        <f t="shared" ref="AI65" si="275">ROUND($E$5*AH65,2)</f>
        <v>123.48</v>
      </c>
      <c r="AJ65" s="241">
        <f t="shared" ref="AJ65" si="276">ROUND($F$5*AH65,2)</f>
        <v>8.33</v>
      </c>
      <c r="AK65" s="240">
        <f t="shared" si="51"/>
        <v>74.930000000000007</v>
      </c>
      <c r="AL65" s="242">
        <f t="shared" si="52"/>
        <v>9.76</v>
      </c>
      <c r="AM65" s="243">
        <v>3.8018999532385802E-4</v>
      </c>
      <c r="AN65" s="240">
        <f t="shared" ref="AN65" si="277">ROUND($E$5*AM65,2)</f>
        <v>123.43</v>
      </c>
      <c r="AO65" s="241">
        <f t="shared" ref="AO65" si="278">ROUND($F$5*AM65,2)</f>
        <v>8.33</v>
      </c>
      <c r="AP65" s="240">
        <f t="shared" si="53"/>
        <v>74.89</v>
      </c>
      <c r="AQ65" s="242">
        <f t="shared" si="54"/>
        <v>9.76</v>
      </c>
      <c r="AR65" s="243">
        <v>3.8073364971446719E-4</v>
      </c>
      <c r="AS65" s="240">
        <f t="shared" ref="AS65" si="279">ROUND($E$5*AR65,2)</f>
        <v>123.61</v>
      </c>
      <c r="AT65" s="241">
        <f t="shared" ref="AT65" si="280">ROUND($F$5*AR65,2)</f>
        <v>8.34</v>
      </c>
      <c r="AU65" s="240">
        <f t="shared" si="55"/>
        <v>75</v>
      </c>
      <c r="AV65" s="241">
        <f t="shared" si="56"/>
        <v>9.77</v>
      </c>
      <c r="AW65" s="243">
        <v>3.804512260051094E-4</v>
      </c>
      <c r="AX65" s="240">
        <f t="shared" ref="AX65" si="281">ROUND($E$5*AW65,2)</f>
        <v>123.51</v>
      </c>
      <c r="AY65" s="241">
        <f t="shared" ref="AY65" si="282">ROUND($F$5*AW65,2)</f>
        <v>8.34</v>
      </c>
      <c r="AZ65" s="240">
        <f t="shared" si="57"/>
        <v>74.95</v>
      </c>
      <c r="BA65" s="242">
        <f t="shared" si="58"/>
        <v>9.77</v>
      </c>
      <c r="BB65" s="243">
        <v>4.2136893246592271E-4</v>
      </c>
      <c r="BC65" s="240">
        <f t="shared" ref="BC65" si="283">ROUND($E$5*BB65,2)</f>
        <v>136.80000000000001</v>
      </c>
      <c r="BD65" s="241">
        <f t="shared" ref="BD65" si="284">ROUND($F$5*BB65,2)</f>
        <v>9.23</v>
      </c>
      <c r="BE65" s="240">
        <f t="shared" si="59"/>
        <v>83.01</v>
      </c>
      <c r="BF65" s="242">
        <f t="shared" si="60"/>
        <v>10.82</v>
      </c>
      <c r="BG65" s="243">
        <v>4.7590004180605262E-4</v>
      </c>
      <c r="BH65" s="240">
        <f t="shared" ref="BH65" si="285">ROUND($E$5*BG65,2)</f>
        <v>154.5</v>
      </c>
      <c r="BI65" s="241">
        <f t="shared" ref="BI65" si="286">ROUND($F$5*BG65,2)</f>
        <v>10.43</v>
      </c>
      <c r="BJ65" s="240">
        <f t="shared" si="61"/>
        <v>93.75</v>
      </c>
      <c r="BK65" s="241">
        <f t="shared" si="62"/>
        <v>12.22</v>
      </c>
    </row>
    <row r="66" spans="1:63" ht="30" customHeight="1">
      <c r="A66" s="30">
        <v>1412000028</v>
      </c>
      <c r="B66" s="30" t="s">
        <v>54</v>
      </c>
      <c r="C66" s="31" t="s">
        <v>7</v>
      </c>
      <c r="D66" s="48">
        <v>8.5706813339543424E-4</v>
      </c>
      <c r="E66" s="32">
        <f t="shared" si="259"/>
        <v>278.25</v>
      </c>
      <c r="F66" s="33">
        <f t="shared" si="260"/>
        <v>18.78</v>
      </c>
      <c r="G66" s="34">
        <f t="shared" si="261"/>
        <v>178.85</v>
      </c>
      <c r="H66" s="35">
        <f t="shared" si="262"/>
        <v>22.68</v>
      </c>
      <c r="I66" s="25">
        <v>8.5729273982465006E-4</v>
      </c>
      <c r="J66" s="32">
        <f t="shared" si="212"/>
        <v>278.32</v>
      </c>
      <c r="K66" s="33">
        <f t="shared" si="213"/>
        <v>18.79</v>
      </c>
      <c r="L66" s="34">
        <f t="shared" si="214"/>
        <v>168.88</v>
      </c>
      <c r="M66" s="211">
        <f t="shared" si="215"/>
        <v>22.01</v>
      </c>
      <c r="N66" s="208">
        <v>8.4623329230967446E-4</v>
      </c>
      <c r="O66" s="32">
        <f t="shared" si="216"/>
        <v>274.73</v>
      </c>
      <c r="P66" s="33">
        <f t="shared" si="217"/>
        <v>18.54</v>
      </c>
      <c r="Q66" s="34">
        <f t="shared" si="63"/>
        <v>166.7</v>
      </c>
      <c r="R66" s="211">
        <f t="shared" si="44"/>
        <v>21.72</v>
      </c>
      <c r="S66" s="208">
        <v>8.4448748876381978E-4</v>
      </c>
      <c r="T66" s="32">
        <f t="shared" si="218"/>
        <v>274.16000000000003</v>
      </c>
      <c r="U66" s="33">
        <f t="shared" si="219"/>
        <v>18.5</v>
      </c>
      <c r="V66" s="34">
        <f t="shared" si="45"/>
        <v>166.36</v>
      </c>
      <c r="W66" s="211">
        <f t="shared" si="46"/>
        <v>21.68</v>
      </c>
      <c r="X66" s="208">
        <v>8.4385515691381583E-4</v>
      </c>
      <c r="Y66" s="32">
        <f t="shared" ref="Y66:Y69" si="287">ROUND($E$5*X66,2)</f>
        <v>273.95999999999998</v>
      </c>
      <c r="Z66" s="33">
        <f t="shared" ref="Z66:Z69" si="288">ROUND($F$5*X66,2)</f>
        <v>18.489999999999998</v>
      </c>
      <c r="AA66" s="34">
        <f t="shared" si="47"/>
        <v>166.23</v>
      </c>
      <c r="AB66" s="35">
        <f t="shared" si="48"/>
        <v>21.66</v>
      </c>
      <c r="AC66" s="25">
        <v>8.3472538941963318E-4</v>
      </c>
      <c r="AD66" s="32">
        <f t="shared" si="222"/>
        <v>270.99</v>
      </c>
      <c r="AE66" s="33">
        <f t="shared" si="223"/>
        <v>18.29</v>
      </c>
      <c r="AF66" s="34">
        <f t="shared" si="49"/>
        <v>164.43</v>
      </c>
      <c r="AG66" s="211">
        <f t="shared" si="50"/>
        <v>21.43</v>
      </c>
      <c r="AH66" s="208">
        <v>8.3415509423333495E-4</v>
      </c>
      <c r="AI66" s="32">
        <f t="shared" si="224"/>
        <v>270.81</v>
      </c>
      <c r="AJ66" s="33">
        <f t="shared" si="225"/>
        <v>18.28</v>
      </c>
      <c r="AK66" s="34">
        <f t="shared" si="51"/>
        <v>164.32</v>
      </c>
      <c r="AL66" s="211">
        <f t="shared" si="52"/>
        <v>21.41</v>
      </c>
      <c r="AM66" s="208">
        <v>8.3390398776571448E-4</v>
      </c>
      <c r="AN66" s="32">
        <f t="shared" si="226"/>
        <v>270.73</v>
      </c>
      <c r="AO66" s="33">
        <f t="shared" si="227"/>
        <v>18.27</v>
      </c>
      <c r="AP66" s="34">
        <f t="shared" si="53"/>
        <v>164.27</v>
      </c>
      <c r="AQ66" s="211">
        <f t="shared" si="54"/>
        <v>21.41</v>
      </c>
      <c r="AR66" s="208">
        <v>8.3759918913021059E-4</v>
      </c>
      <c r="AS66" s="32">
        <f t="shared" si="228"/>
        <v>271.93</v>
      </c>
      <c r="AT66" s="33">
        <f t="shared" si="229"/>
        <v>18.350000000000001</v>
      </c>
      <c r="AU66" s="34">
        <f t="shared" si="55"/>
        <v>165</v>
      </c>
      <c r="AV66" s="35">
        <f t="shared" si="56"/>
        <v>21.5</v>
      </c>
      <c r="AW66" s="208">
        <v>8.3717555356617424E-4</v>
      </c>
      <c r="AX66" s="32">
        <f t="shared" si="230"/>
        <v>271.79000000000002</v>
      </c>
      <c r="AY66" s="33">
        <f t="shared" si="231"/>
        <v>18.34</v>
      </c>
      <c r="AZ66" s="34">
        <f t="shared" si="57"/>
        <v>164.92</v>
      </c>
      <c r="BA66" s="211">
        <f t="shared" si="58"/>
        <v>21.49</v>
      </c>
      <c r="BB66" s="208">
        <v>8.3401604955213782E-4</v>
      </c>
      <c r="BC66" s="32">
        <f t="shared" si="232"/>
        <v>270.76</v>
      </c>
      <c r="BD66" s="33">
        <f t="shared" si="233"/>
        <v>18.28</v>
      </c>
      <c r="BE66" s="34">
        <f t="shared" si="59"/>
        <v>164.29</v>
      </c>
      <c r="BF66" s="211">
        <f t="shared" si="60"/>
        <v>21.41</v>
      </c>
      <c r="BG66" s="208">
        <v>8.3757876472577311E-4</v>
      </c>
      <c r="BH66" s="32">
        <f t="shared" si="234"/>
        <v>271.92</v>
      </c>
      <c r="BI66" s="33">
        <f t="shared" si="235"/>
        <v>18.350000000000001</v>
      </c>
      <c r="BJ66" s="34">
        <f t="shared" si="61"/>
        <v>165</v>
      </c>
      <c r="BK66" s="35">
        <f t="shared" si="62"/>
        <v>21.5</v>
      </c>
    </row>
    <row r="67" spans="1:63" ht="30" customHeight="1">
      <c r="A67" s="30">
        <v>1412000029</v>
      </c>
      <c r="B67" s="30" t="s">
        <v>55</v>
      </c>
      <c r="C67" s="31" t="s">
        <v>8</v>
      </c>
      <c r="D67" s="25">
        <v>8.7589125469868115E-4</v>
      </c>
      <c r="E67" s="32">
        <f t="shared" si="259"/>
        <v>284.36</v>
      </c>
      <c r="F67" s="33">
        <f t="shared" si="260"/>
        <v>19.190000000000001</v>
      </c>
      <c r="G67" s="34">
        <f t="shared" si="261"/>
        <v>182.78</v>
      </c>
      <c r="H67" s="35">
        <f t="shared" si="262"/>
        <v>23.17</v>
      </c>
      <c r="I67" s="25">
        <v>8.7595252176758415E-4</v>
      </c>
      <c r="J67" s="32">
        <f t="shared" si="212"/>
        <v>284.38</v>
      </c>
      <c r="K67" s="33">
        <f t="shared" si="213"/>
        <v>19.190000000000001</v>
      </c>
      <c r="L67" s="34">
        <f t="shared" si="214"/>
        <v>172.56</v>
      </c>
      <c r="M67" s="211">
        <f t="shared" si="215"/>
        <v>22.49</v>
      </c>
      <c r="N67" s="208">
        <v>8.7296730709363426E-4</v>
      </c>
      <c r="O67" s="32">
        <f t="shared" si="216"/>
        <v>283.41000000000003</v>
      </c>
      <c r="P67" s="33">
        <f t="shared" si="217"/>
        <v>19.13</v>
      </c>
      <c r="Q67" s="34">
        <f t="shared" si="63"/>
        <v>171.97</v>
      </c>
      <c r="R67" s="211">
        <f t="shared" si="44"/>
        <v>22.41</v>
      </c>
      <c r="S67" s="208">
        <v>8.6958477151034754E-4</v>
      </c>
      <c r="T67" s="32">
        <f t="shared" si="218"/>
        <v>282.31</v>
      </c>
      <c r="U67" s="33">
        <f t="shared" si="219"/>
        <v>19.05</v>
      </c>
      <c r="V67" s="34">
        <f t="shared" si="45"/>
        <v>171.3</v>
      </c>
      <c r="W67" s="211">
        <f t="shared" si="46"/>
        <v>22.32</v>
      </c>
      <c r="X67" s="208">
        <v>8.667413172787782E-4</v>
      </c>
      <c r="Y67" s="32">
        <f t="shared" si="287"/>
        <v>281.39</v>
      </c>
      <c r="Z67" s="33">
        <f t="shared" si="288"/>
        <v>18.989999999999998</v>
      </c>
      <c r="AA67" s="34">
        <f t="shared" si="47"/>
        <v>170.74</v>
      </c>
      <c r="AB67" s="35">
        <f t="shared" si="48"/>
        <v>22.25</v>
      </c>
      <c r="AC67" s="25">
        <v>8.6244135671333544E-4</v>
      </c>
      <c r="AD67" s="32">
        <f t="shared" si="222"/>
        <v>279.99</v>
      </c>
      <c r="AE67" s="33">
        <f t="shared" si="223"/>
        <v>18.899999999999999</v>
      </c>
      <c r="AF67" s="34">
        <f t="shared" si="49"/>
        <v>169.89</v>
      </c>
      <c r="AG67" s="211">
        <f t="shared" si="50"/>
        <v>22.14</v>
      </c>
      <c r="AH67" s="208">
        <v>8.6479205896152649E-4</v>
      </c>
      <c r="AI67" s="32">
        <f t="shared" si="224"/>
        <v>280.75</v>
      </c>
      <c r="AJ67" s="33">
        <f t="shared" si="225"/>
        <v>18.95</v>
      </c>
      <c r="AK67" s="34">
        <f t="shared" si="51"/>
        <v>170.36</v>
      </c>
      <c r="AL67" s="211">
        <f t="shared" si="52"/>
        <v>22.2</v>
      </c>
      <c r="AM67" s="208">
        <v>8.6306883586196518E-4</v>
      </c>
      <c r="AN67" s="32">
        <f t="shared" si="226"/>
        <v>280.19</v>
      </c>
      <c r="AO67" s="33">
        <f t="shared" si="227"/>
        <v>18.91</v>
      </c>
      <c r="AP67" s="34">
        <f t="shared" si="53"/>
        <v>170.02</v>
      </c>
      <c r="AQ67" s="211">
        <f t="shared" si="54"/>
        <v>22.15</v>
      </c>
      <c r="AR67" s="208">
        <v>8.6465958822121581E-4</v>
      </c>
      <c r="AS67" s="32">
        <f t="shared" si="228"/>
        <v>280.70999999999998</v>
      </c>
      <c r="AT67" s="33">
        <f t="shared" si="229"/>
        <v>18.95</v>
      </c>
      <c r="AU67" s="34">
        <f t="shared" si="55"/>
        <v>170.33</v>
      </c>
      <c r="AV67" s="35">
        <f t="shared" si="56"/>
        <v>22.2</v>
      </c>
      <c r="AW67" s="208">
        <v>8.6303978742119586E-4</v>
      </c>
      <c r="AX67" s="32">
        <f t="shared" si="230"/>
        <v>280.19</v>
      </c>
      <c r="AY67" s="33">
        <f t="shared" si="231"/>
        <v>18.91</v>
      </c>
      <c r="AZ67" s="34">
        <f t="shared" si="57"/>
        <v>170.01</v>
      </c>
      <c r="BA67" s="211">
        <f t="shared" si="58"/>
        <v>22.15</v>
      </c>
      <c r="BB67" s="208">
        <v>8.5481466516583698E-4</v>
      </c>
      <c r="BC67" s="32">
        <f t="shared" si="232"/>
        <v>277.52</v>
      </c>
      <c r="BD67" s="33">
        <f t="shared" si="233"/>
        <v>18.73</v>
      </c>
      <c r="BE67" s="34">
        <f t="shared" si="59"/>
        <v>168.39</v>
      </c>
      <c r="BF67" s="211">
        <f t="shared" si="60"/>
        <v>21.94</v>
      </c>
      <c r="BG67" s="208">
        <v>8.652312199849602E-4</v>
      </c>
      <c r="BH67" s="32">
        <f t="shared" si="234"/>
        <v>280.89999999999998</v>
      </c>
      <c r="BI67" s="33">
        <f t="shared" si="235"/>
        <v>18.96</v>
      </c>
      <c r="BJ67" s="34">
        <f t="shared" si="61"/>
        <v>170.44</v>
      </c>
      <c r="BK67" s="35">
        <f t="shared" si="62"/>
        <v>22.21</v>
      </c>
    </row>
    <row r="68" spans="1:63" ht="30" customHeight="1">
      <c r="A68" s="30">
        <v>1412000030</v>
      </c>
      <c r="B68" s="30" t="s">
        <v>101</v>
      </c>
      <c r="C68" s="31" t="s">
        <v>9</v>
      </c>
      <c r="D68" s="25">
        <v>1.2025467000964028E-3</v>
      </c>
      <c r="E68" s="32">
        <f t="shared" si="259"/>
        <v>390.41</v>
      </c>
      <c r="F68" s="33">
        <f t="shared" si="260"/>
        <v>26.35</v>
      </c>
      <c r="G68" s="34">
        <f t="shared" si="261"/>
        <v>250.95</v>
      </c>
      <c r="H68" s="35">
        <f t="shared" si="262"/>
        <v>31.82</v>
      </c>
      <c r="I68" s="25">
        <v>1.2028648925377918E-3</v>
      </c>
      <c r="J68" s="32">
        <f t="shared" si="212"/>
        <v>390.51</v>
      </c>
      <c r="K68" s="33">
        <f t="shared" si="213"/>
        <v>26.36</v>
      </c>
      <c r="L68" s="34">
        <f t="shared" si="214"/>
        <v>236.95</v>
      </c>
      <c r="M68" s="211">
        <f t="shared" si="215"/>
        <v>30.88</v>
      </c>
      <c r="N68" s="208">
        <v>1.1871973418915763E-3</v>
      </c>
      <c r="O68" s="32">
        <f t="shared" si="216"/>
        <v>385.42</v>
      </c>
      <c r="P68" s="33">
        <f t="shared" si="217"/>
        <v>26.01</v>
      </c>
      <c r="Q68" s="34">
        <f t="shared" si="63"/>
        <v>233.87</v>
      </c>
      <c r="R68" s="211">
        <f t="shared" si="44"/>
        <v>30.47</v>
      </c>
      <c r="S68" s="208">
        <v>1.1847241202016157E-3</v>
      </c>
      <c r="T68" s="32">
        <f t="shared" si="218"/>
        <v>384.62</v>
      </c>
      <c r="U68" s="33">
        <f t="shared" si="219"/>
        <v>25.96</v>
      </c>
      <c r="V68" s="34">
        <f t="shared" si="45"/>
        <v>233.38</v>
      </c>
      <c r="W68" s="211">
        <f t="shared" si="46"/>
        <v>30.41</v>
      </c>
      <c r="X68" s="208">
        <v>1.1838283167474434E-3</v>
      </c>
      <c r="Y68" s="32">
        <f t="shared" si="287"/>
        <v>384.33</v>
      </c>
      <c r="Z68" s="33">
        <f t="shared" si="288"/>
        <v>25.94</v>
      </c>
      <c r="AA68" s="34">
        <f t="shared" si="47"/>
        <v>233.2</v>
      </c>
      <c r="AB68" s="35">
        <f t="shared" si="48"/>
        <v>30.39</v>
      </c>
      <c r="AC68" s="25">
        <v>1.170894479464018E-3</v>
      </c>
      <c r="AD68" s="32">
        <f t="shared" si="222"/>
        <v>380.13</v>
      </c>
      <c r="AE68" s="33">
        <f t="shared" si="223"/>
        <v>25.66</v>
      </c>
      <c r="AF68" s="34">
        <f t="shared" si="49"/>
        <v>230.66</v>
      </c>
      <c r="AG68" s="211">
        <f t="shared" si="50"/>
        <v>30.06</v>
      </c>
      <c r="AH68" s="208">
        <v>1.1700865612834289E-3</v>
      </c>
      <c r="AI68" s="32">
        <f t="shared" si="224"/>
        <v>379.87</v>
      </c>
      <c r="AJ68" s="33">
        <f t="shared" si="225"/>
        <v>25.64</v>
      </c>
      <c r="AK68" s="34">
        <f t="shared" si="51"/>
        <v>230.5</v>
      </c>
      <c r="AL68" s="211">
        <f t="shared" si="52"/>
        <v>30.04</v>
      </c>
      <c r="AM68" s="208">
        <v>1.1697308271209667E-3</v>
      </c>
      <c r="AN68" s="32">
        <f t="shared" si="226"/>
        <v>379.75</v>
      </c>
      <c r="AO68" s="33">
        <f t="shared" si="227"/>
        <v>25.63</v>
      </c>
      <c r="AP68" s="34">
        <f t="shared" si="53"/>
        <v>230.43</v>
      </c>
      <c r="AQ68" s="211">
        <f t="shared" si="54"/>
        <v>30.03</v>
      </c>
      <c r="AR68" s="208">
        <v>1.174965695720669E-3</v>
      </c>
      <c r="AS68" s="32">
        <f t="shared" si="228"/>
        <v>381.45</v>
      </c>
      <c r="AT68" s="33">
        <f t="shared" si="229"/>
        <v>25.75</v>
      </c>
      <c r="AU68" s="34">
        <f t="shared" si="55"/>
        <v>231.46</v>
      </c>
      <c r="AV68" s="35">
        <f t="shared" si="56"/>
        <v>30.16</v>
      </c>
      <c r="AW68" s="208">
        <v>1.1743655453382842E-3</v>
      </c>
      <c r="AX68" s="32">
        <f t="shared" si="230"/>
        <v>381.26</v>
      </c>
      <c r="AY68" s="33">
        <f t="shared" si="231"/>
        <v>25.73</v>
      </c>
      <c r="AZ68" s="34">
        <f t="shared" si="57"/>
        <v>231.34</v>
      </c>
      <c r="BA68" s="211">
        <f t="shared" si="58"/>
        <v>30.15</v>
      </c>
      <c r="BB68" s="208">
        <v>1.1698895813183998E-3</v>
      </c>
      <c r="BC68" s="32">
        <f t="shared" si="232"/>
        <v>379.8</v>
      </c>
      <c r="BD68" s="33">
        <f t="shared" si="233"/>
        <v>25.64</v>
      </c>
      <c r="BE68" s="34">
        <f t="shared" si="59"/>
        <v>230.46</v>
      </c>
      <c r="BF68" s="211">
        <f t="shared" si="60"/>
        <v>30.03</v>
      </c>
      <c r="BG68" s="208">
        <v>1.1749367611477162E-3</v>
      </c>
      <c r="BH68" s="32">
        <f t="shared" si="234"/>
        <v>381.44</v>
      </c>
      <c r="BI68" s="33">
        <f t="shared" si="235"/>
        <v>25.75</v>
      </c>
      <c r="BJ68" s="34">
        <f t="shared" si="61"/>
        <v>231.45</v>
      </c>
      <c r="BK68" s="35">
        <f t="shared" si="62"/>
        <v>30.16</v>
      </c>
    </row>
    <row r="69" spans="1:63" ht="30" customHeight="1">
      <c r="A69" s="49">
        <v>1412000086</v>
      </c>
      <c r="B69" s="49" t="s">
        <v>0</v>
      </c>
      <c r="C69" s="49" t="s">
        <v>10</v>
      </c>
      <c r="D69" s="25">
        <v>1.5132069503851484E-3</v>
      </c>
      <c r="E69" s="32">
        <f t="shared" si="259"/>
        <v>491.26</v>
      </c>
      <c r="F69" s="33">
        <f t="shared" si="260"/>
        <v>33.159999999999997</v>
      </c>
      <c r="G69" s="34">
        <f t="shared" si="261"/>
        <v>315.77</v>
      </c>
      <c r="H69" s="35">
        <f t="shared" si="262"/>
        <v>40.04</v>
      </c>
      <c r="I69" s="25">
        <v>1.5134502740167988E-3</v>
      </c>
      <c r="J69" s="50">
        <f t="shared" si="212"/>
        <v>491.34</v>
      </c>
      <c r="K69" s="33">
        <f t="shared" si="213"/>
        <v>33.159999999999997</v>
      </c>
      <c r="L69" s="215">
        <f t="shared" si="214"/>
        <v>298.14</v>
      </c>
      <c r="M69" s="211">
        <f t="shared" si="215"/>
        <v>38.85</v>
      </c>
      <c r="N69" s="208">
        <v>1.617923959625647E-3</v>
      </c>
      <c r="O69" s="50">
        <f t="shared" si="216"/>
        <v>525.26</v>
      </c>
      <c r="P69" s="33">
        <f t="shared" si="217"/>
        <v>35.450000000000003</v>
      </c>
      <c r="Q69" s="34">
        <f t="shared" si="63"/>
        <v>318.72000000000003</v>
      </c>
      <c r="R69" s="211">
        <f t="shared" si="44"/>
        <v>41.53</v>
      </c>
      <c r="S69" s="208">
        <v>1.615741705193329E-3</v>
      </c>
      <c r="T69" s="50">
        <f t="shared" si="218"/>
        <v>524.54999999999995</v>
      </c>
      <c r="U69" s="33">
        <f t="shared" si="219"/>
        <v>35.409999999999997</v>
      </c>
      <c r="V69" s="34">
        <f t="shared" si="45"/>
        <v>318.29000000000002</v>
      </c>
      <c r="W69" s="211">
        <f t="shared" si="46"/>
        <v>41.48</v>
      </c>
      <c r="X69" s="208">
        <v>1.6149512903808239E-3</v>
      </c>
      <c r="Y69" s="50">
        <f t="shared" si="287"/>
        <v>524.29</v>
      </c>
      <c r="Z69" s="33">
        <f t="shared" si="288"/>
        <v>35.39</v>
      </c>
      <c r="AA69" s="34">
        <f t="shared" si="47"/>
        <v>318.13</v>
      </c>
      <c r="AB69" s="35">
        <f t="shared" si="48"/>
        <v>41.46</v>
      </c>
      <c r="AC69" s="25">
        <v>1.6035390810130957E-3</v>
      </c>
      <c r="AD69" s="50">
        <f t="shared" si="222"/>
        <v>520.59</v>
      </c>
      <c r="AE69" s="33">
        <f t="shared" si="223"/>
        <v>35.14</v>
      </c>
      <c r="AF69" s="34">
        <f t="shared" si="49"/>
        <v>315.88</v>
      </c>
      <c r="AG69" s="211">
        <f t="shared" si="50"/>
        <v>41.16</v>
      </c>
      <c r="AH69" s="208">
        <v>1.6028262120302236E-3</v>
      </c>
      <c r="AI69" s="50">
        <f t="shared" si="224"/>
        <v>520.36</v>
      </c>
      <c r="AJ69" s="33">
        <f t="shared" si="225"/>
        <v>35.119999999999997</v>
      </c>
      <c r="AK69" s="34">
        <f t="shared" si="51"/>
        <v>315.74</v>
      </c>
      <c r="AL69" s="211">
        <f t="shared" si="52"/>
        <v>41.14</v>
      </c>
      <c r="AM69" s="208">
        <v>1.6025123289456977E-3</v>
      </c>
      <c r="AN69" s="50">
        <f t="shared" si="226"/>
        <v>520.25</v>
      </c>
      <c r="AO69" s="33">
        <f t="shared" si="227"/>
        <v>35.119999999999997</v>
      </c>
      <c r="AP69" s="34">
        <f t="shared" si="53"/>
        <v>315.68</v>
      </c>
      <c r="AQ69" s="211">
        <f t="shared" si="54"/>
        <v>41.14</v>
      </c>
      <c r="AR69" s="208">
        <v>1.6071313306513174E-3</v>
      </c>
      <c r="AS69" s="50">
        <f t="shared" si="228"/>
        <v>521.75</v>
      </c>
      <c r="AT69" s="33">
        <f t="shared" si="229"/>
        <v>35.22</v>
      </c>
      <c r="AU69" s="34">
        <f t="shared" si="55"/>
        <v>316.58999999999997</v>
      </c>
      <c r="AV69" s="35">
        <f t="shared" si="56"/>
        <v>41.25</v>
      </c>
      <c r="AW69" s="208">
        <v>1.6066017861962722E-3</v>
      </c>
      <c r="AX69" s="50">
        <f t="shared" si="230"/>
        <v>521.58000000000004</v>
      </c>
      <c r="AY69" s="33">
        <f t="shared" si="231"/>
        <v>35.200000000000003</v>
      </c>
      <c r="AZ69" s="34">
        <f t="shared" si="57"/>
        <v>316.49</v>
      </c>
      <c r="BA69" s="211">
        <f t="shared" si="58"/>
        <v>41.24</v>
      </c>
      <c r="BB69" s="208">
        <v>1.6026524061787274E-3</v>
      </c>
      <c r="BC69" s="50">
        <f t="shared" si="232"/>
        <v>520.29999999999995</v>
      </c>
      <c r="BD69" s="33">
        <f t="shared" si="233"/>
        <v>35.119999999999997</v>
      </c>
      <c r="BE69" s="34">
        <f t="shared" si="59"/>
        <v>315.70999999999998</v>
      </c>
      <c r="BF69" s="211">
        <f t="shared" si="60"/>
        <v>41.14</v>
      </c>
      <c r="BG69" s="208">
        <v>1.6071058001457712E-3</v>
      </c>
      <c r="BH69" s="50">
        <f t="shared" si="234"/>
        <v>521.75</v>
      </c>
      <c r="BI69" s="33">
        <f t="shared" si="235"/>
        <v>35.22</v>
      </c>
      <c r="BJ69" s="34">
        <f t="shared" si="61"/>
        <v>316.58999999999997</v>
      </c>
      <c r="BK69" s="35">
        <f t="shared" si="62"/>
        <v>41.25</v>
      </c>
    </row>
    <row r="70" spans="1:63">
      <c r="A70" s="16"/>
      <c r="B70" s="16"/>
      <c r="C70" s="16" t="s">
        <v>19</v>
      </c>
      <c r="D70" s="51">
        <f t="shared" ref="D70:AL70" si="289">SUM(D7:D69)</f>
        <v>0.99999999999999989</v>
      </c>
      <c r="E70" s="52">
        <f t="shared" si="289"/>
        <v>324649.60000000003</v>
      </c>
      <c r="F70" s="53">
        <f t="shared" si="289"/>
        <v>21912.569999999996</v>
      </c>
      <c r="G70" s="54">
        <f t="shared" si="289"/>
        <v>208679.15999999997</v>
      </c>
      <c r="H70" s="55">
        <f t="shared" si="289"/>
        <v>26458.43</v>
      </c>
      <c r="I70" s="51">
        <f t="shared" si="289"/>
        <v>1</v>
      </c>
      <c r="J70" s="52">
        <f t="shared" si="289"/>
        <v>324649.59999999992</v>
      </c>
      <c r="K70" s="53">
        <f t="shared" si="289"/>
        <v>21912.57</v>
      </c>
      <c r="L70" s="54">
        <f t="shared" si="289"/>
        <v>196991.76999999996</v>
      </c>
      <c r="M70" s="54">
        <f t="shared" si="289"/>
        <v>25669.570000000007</v>
      </c>
      <c r="N70" s="51">
        <f t="shared" si="289"/>
        <v>0.99999999999999889</v>
      </c>
      <c r="O70" s="52">
        <f t="shared" si="289"/>
        <v>324649.59999999986</v>
      </c>
      <c r="P70" s="53">
        <f t="shared" si="289"/>
        <v>21912.570000000007</v>
      </c>
      <c r="Q70" s="54">
        <f t="shared" si="289"/>
        <v>196991.77000000005</v>
      </c>
      <c r="R70" s="213">
        <f t="shared" si="289"/>
        <v>25669.569999999989</v>
      </c>
      <c r="S70" s="51">
        <f t="shared" si="289"/>
        <v>0.99999999999999989</v>
      </c>
      <c r="T70" s="52">
        <f t="shared" si="289"/>
        <v>324649.59999999998</v>
      </c>
      <c r="U70" s="53">
        <f t="shared" si="289"/>
        <v>21912.569999999992</v>
      </c>
      <c r="V70" s="216">
        <f t="shared" si="289"/>
        <v>196991.76999999996</v>
      </c>
      <c r="W70" s="55">
        <f t="shared" si="289"/>
        <v>25669.57</v>
      </c>
      <c r="X70" s="51">
        <f t="shared" si="289"/>
        <v>0.99999999999999967</v>
      </c>
      <c r="Y70" s="52">
        <f t="shared" si="289"/>
        <v>324649.60000000003</v>
      </c>
      <c r="Z70" s="53">
        <f t="shared" si="289"/>
        <v>21912.57</v>
      </c>
      <c r="AA70" s="54">
        <f t="shared" si="289"/>
        <v>196991.77000000005</v>
      </c>
      <c r="AB70" s="55">
        <f t="shared" si="289"/>
        <v>25669.569999999989</v>
      </c>
      <c r="AC70" s="51">
        <f t="shared" si="289"/>
        <v>0.99999999999999911</v>
      </c>
      <c r="AD70" s="52">
        <f t="shared" si="289"/>
        <v>324649.60000000003</v>
      </c>
      <c r="AE70" s="53">
        <f t="shared" si="289"/>
        <v>21912.570000000003</v>
      </c>
      <c r="AF70" s="54">
        <f t="shared" si="289"/>
        <v>196991.76999999996</v>
      </c>
      <c r="AG70" s="54">
        <f t="shared" si="289"/>
        <v>25669.57</v>
      </c>
      <c r="AH70" s="51">
        <f t="shared" si="289"/>
        <v>1</v>
      </c>
      <c r="AI70" s="52">
        <f t="shared" si="289"/>
        <v>324649.59999999974</v>
      </c>
      <c r="AJ70" s="53">
        <f t="shared" si="289"/>
        <v>21912.569999999989</v>
      </c>
      <c r="AK70" s="54">
        <f t="shared" si="289"/>
        <v>196991.77</v>
      </c>
      <c r="AL70" s="213">
        <f t="shared" si="289"/>
        <v>25669.569999999996</v>
      </c>
      <c r="AM70" s="51">
        <v>8.5210201486755487E-4</v>
      </c>
      <c r="AN70" s="52">
        <f t="shared" ref="AN70:AW70" si="290">SUM(AN7:AN69)</f>
        <v>324649.60000000009</v>
      </c>
      <c r="AO70" s="53">
        <f t="shared" si="290"/>
        <v>21912.570000000003</v>
      </c>
      <c r="AP70" s="216">
        <f t="shared" si="290"/>
        <v>196991.77000000008</v>
      </c>
      <c r="AQ70" s="55">
        <f t="shared" si="290"/>
        <v>25669.569999999996</v>
      </c>
      <c r="AR70" s="51">
        <f t="shared" si="290"/>
        <v>0.99999999999999911</v>
      </c>
      <c r="AS70" s="52">
        <f t="shared" si="290"/>
        <v>324649.59999999998</v>
      </c>
      <c r="AT70" s="53">
        <f t="shared" si="290"/>
        <v>21912.570000000003</v>
      </c>
      <c r="AU70" s="54">
        <f t="shared" si="290"/>
        <v>196991.76999999993</v>
      </c>
      <c r="AV70" s="55">
        <f t="shared" si="290"/>
        <v>25669.569999999996</v>
      </c>
      <c r="AW70" s="51">
        <f t="shared" si="290"/>
        <v>0.99999999999999956</v>
      </c>
      <c r="AX70" s="52">
        <f t="shared" ref="AX70:BK70" si="291">SUM(AX7:AX69)</f>
        <v>324649.60000000015</v>
      </c>
      <c r="AY70" s="53">
        <f t="shared" si="291"/>
        <v>21912.569999999996</v>
      </c>
      <c r="AZ70" s="54">
        <f t="shared" si="291"/>
        <v>196991.77</v>
      </c>
      <c r="BA70" s="213">
        <f t="shared" si="291"/>
        <v>25669.570000000014</v>
      </c>
      <c r="BB70" s="51">
        <f t="shared" si="291"/>
        <v>1.0000000000000002</v>
      </c>
      <c r="BC70" s="52">
        <f t="shared" si="291"/>
        <v>324649.60000000003</v>
      </c>
      <c r="BD70" s="53">
        <f t="shared" si="291"/>
        <v>21912.569999999989</v>
      </c>
      <c r="BE70" s="216">
        <f t="shared" si="291"/>
        <v>196991.77000000011</v>
      </c>
      <c r="BF70" s="55">
        <f t="shared" si="291"/>
        <v>25669.569999999989</v>
      </c>
      <c r="BG70" s="51">
        <f t="shared" si="291"/>
        <v>1.0000000000000002</v>
      </c>
      <c r="BH70" s="52">
        <f t="shared" si="291"/>
        <v>324649.60000000009</v>
      </c>
      <c r="BI70" s="53">
        <f t="shared" si="291"/>
        <v>21912.57</v>
      </c>
      <c r="BJ70" s="54">
        <f t="shared" si="291"/>
        <v>196991.77</v>
      </c>
      <c r="BK70" s="55">
        <f t="shared" si="291"/>
        <v>25669.57</v>
      </c>
    </row>
    <row r="71" spans="1:63">
      <c r="E71" s="56">
        <f>E70-E5</f>
        <v>0</v>
      </c>
      <c r="F71" s="57">
        <f>F70-F5</f>
        <v>0</v>
      </c>
      <c r="G71" s="58">
        <f>G70-G5</f>
        <v>0</v>
      </c>
      <c r="H71" s="59">
        <f>H70-H5</f>
        <v>0</v>
      </c>
      <c r="J71" s="56">
        <f>J70-J5</f>
        <v>0</v>
      </c>
      <c r="K71" s="57">
        <f>K70-K5</f>
        <v>0</v>
      </c>
      <c r="L71" s="58">
        <f>L70-L5</f>
        <v>0</v>
      </c>
      <c r="M71" s="58">
        <f>M70-M5</f>
        <v>0</v>
      </c>
      <c r="O71" s="56">
        <f>O70-O5</f>
        <v>0</v>
      </c>
      <c r="P71" s="57">
        <f>P70-P5</f>
        <v>0</v>
      </c>
      <c r="Q71" s="58">
        <f>Q70-Q5</f>
        <v>0</v>
      </c>
      <c r="R71" s="214">
        <f>R70-R5</f>
        <v>0</v>
      </c>
      <c r="T71" s="56">
        <f>T70-T5</f>
        <v>0</v>
      </c>
      <c r="U71" s="57">
        <f>U70-U5</f>
        <v>0</v>
      </c>
      <c r="V71" s="58">
        <f>V70-V5</f>
        <v>0</v>
      </c>
      <c r="W71" s="59">
        <f>W70-W5</f>
        <v>0</v>
      </c>
      <c r="Y71" s="56">
        <f>Y70-Y5</f>
        <v>0</v>
      </c>
      <c r="Z71" s="57">
        <f>Z70-Z5</f>
        <v>0</v>
      </c>
      <c r="AA71" s="58">
        <f>AA70-AA5</f>
        <v>0</v>
      </c>
      <c r="AB71" s="59">
        <f>AB70-AB5</f>
        <v>0</v>
      </c>
      <c r="AD71" s="56">
        <f>AD70-AD5</f>
        <v>0</v>
      </c>
      <c r="AE71" s="57">
        <f>AE70-AE5</f>
        <v>0</v>
      </c>
      <c r="AF71" s="58">
        <f>AF70-AF5</f>
        <v>0</v>
      </c>
      <c r="AG71" s="58">
        <f>AG70-AG5</f>
        <v>0</v>
      </c>
      <c r="AI71" s="56">
        <f>AI70-AI5</f>
        <v>0</v>
      </c>
      <c r="AJ71" s="57">
        <f>AJ70-AJ5</f>
        <v>0</v>
      </c>
      <c r="AK71" s="58">
        <f>AK70-AK5</f>
        <v>0</v>
      </c>
      <c r="AL71" s="214">
        <f>AL70-AL5</f>
        <v>0</v>
      </c>
      <c r="AN71" s="56">
        <f>AN70-AN5</f>
        <v>0</v>
      </c>
      <c r="AO71" s="57">
        <f>AO70-AO5</f>
        <v>0</v>
      </c>
      <c r="AP71" s="58">
        <f>AP70-AP5</f>
        <v>0</v>
      </c>
      <c r="AQ71" s="59">
        <f>AQ70-AQ5</f>
        <v>0</v>
      </c>
      <c r="AS71" s="56">
        <f>AS70-AS5</f>
        <v>0</v>
      </c>
      <c r="AT71" s="57">
        <f>AT70-AT5</f>
        <v>0</v>
      </c>
      <c r="AU71" s="58">
        <f>AU70-AU5</f>
        <v>0</v>
      </c>
      <c r="AV71" s="59">
        <f>AV70-AV5</f>
        <v>0</v>
      </c>
      <c r="AX71" s="56">
        <f>AX70-AX5</f>
        <v>0</v>
      </c>
      <c r="AY71" s="57">
        <f>AY70-AY5</f>
        <v>0</v>
      </c>
      <c r="AZ71" s="58">
        <f>AZ70-AZ5</f>
        <v>0</v>
      </c>
      <c r="BA71" s="214">
        <f>BA70-BA5</f>
        <v>0</v>
      </c>
      <c r="BC71" s="56">
        <f>BC70-BC5</f>
        <v>0</v>
      </c>
      <c r="BD71" s="57">
        <f>BD70-BD5</f>
        <v>0</v>
      </c>
      <c r="BE71" s="58">
        <f>BE70-BE5</f>
        <v>0</v>
      </c>
      <c r="BF71" s="59">
        <f>BF70-BF5</f>
        <v>0</v>
      </c>
      <c r="BH71" s="56">
        <f>BH70-BH5</f>
        <v>0</v>
      </c>
      <c r="BI71" s="57">
        <f>BI70-BI5</f>
        <v>0</v>
      </c>
      <c r="BJ71" s="58">
        <f>BJ70-BJ5</f>
        <v>0</v>
      </c>
      <c r="BK71" s="59">
        <f>BK70-BK5</f>
        <v>0</v>
      </c>
    </row>
    <row r="72" spans="1:63" ht="14.15" customHeight="1">
      <c r="C72" s="1" t="s">
        <v>20</v>
      </c>
      <c r="G72" s="60">
        <f>SUM(G7:G69)-G56</f>
        <v>172083.46999999997</v>
      </c>
      <c r="H72" s="60">
        <f>SUM(H7:H69)-H56</f>
        <v>21818.43</v>
      </c>
      <c r="I72" s="236"/>
    </row>
    <row r="73" spans="1:63" ht="14.15" customHeight="1"/>
    <row r="74" spans="1:63" ht="14.15" customHeight="1">
      <c r="B74" s="61"/>
      <c r="C74" s="61"/>
    </row>
    <row r="77" spans="1:63">
      <c r="G77" s="62"/>
      <c r="H77" s="62"/>
    </row>
    <row r="80" spans="1:63" ht="23.5" customHeight="1"/>
    <row r="81" ht="23.5" customHeight="1"/>
    <row r="82" ht="23.5" customHeight="1"/>
    <row r="83" ht="23.5" customHeight="1"/>
    <row r="84" ht="23.5" customHeight="1"/>
    <row r="85" ht="23.5" customHeight="1"/>
    <row r="86" ht="23.5" customHeight="1"/>
    <row r="87" ht="23.5" customHeight="1"/>
  </sheetData>
  <autoFilter ref="A6:Z72" xr:uid="{00000000-0009-0000-0000-000002000000}"/>
  <mergeCells count="12">
    <mergeCell ref="Y3:AB3"/>
    <mergeCell ref="E3:H3"/>
    <mergeCell ref="J3:M3"/>
    <mergeCell ref="O3:R3"/>
    <mergeCell ref="T3:W3"/>
    <mergeCell ref="BC3:BF3"/>
    <mergeCell ref="BH3:BK3"/>
    <mergeCell ref="AD3:AG3"/>
    <mergeCell ref="AI3:AL3"/>
    <mergeCell ref="AN3:AQ3"/>
    <mergeCell ref="AS3:AV3"/>
    <mergeCell ref="AX3:BA3"/>
  </mergeCells>
  <phoneticPr fontId="5"/>
  <pageMargins left="0.25" right="0.25" top="0.75" bottom="0.75" header="0.3" footer="0.3"/>
  <pageSetup paperSize="9" scale="4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91AC-CCD6-433C-9F24-82B73A3784BD}">
  <sheetPr codeName="Sheet5"/>
  <dimension ref="A1:AD129"/>
  <sheetViews>
    <sheetView zoomScale="85" zoomScaleNormal="85" workbookViewId="0">
      <pane ySplit="6" topLeftCell="A7" activePane="bottomLeft" state="frozen"/>
      <selection pane="bottomLeft" activeCell="K17" sqref="K17"/>
    </sheetView>
  </sheetViews>
  <sheetFormatPr defaultRowHeight="14"/>
  <cols>
    <col min="1" max="1" width="11.6328125" style="1" bestFit="1" customWidth="1"/>
    <col min="2" max="2" width="28" style="1" hidden="1" customWidth="1"/>
    <col min="3" max="3" width="18.08984375" style="1" customWidth="1"/>
    <col min="4" max="4" width="14.453125" style="1" hidden="1" customWidth="1"/>
    <col min="5" max="5" width="10.26953125" style="163" hidden="1" customWidth="1"/>
    <col min="6" max="6" width="9.1796875" style="200" hidden="1" customWidth="1"/>
    <col min="7" max="11" width="16.1796875" style="1" customWidth="1"/>
    <col min="12" max="12" width="19" style="1" customWidth="1"/>
    <col min="13" max="17" width="16.1796875" style="1" customWidth="1"/>
    <col min="18" max="18" width="20.90625" style="1" bestFit="1" customWidth="1"/>
    <col min="19" max="19" width="16.1796875" style="1" customWidth="1"/>
    <col min="20" max="20" width="19" style="1" customWidth="1"/>
    <col min="21" max="21" width="16.1796875" style="1" customWidth="1"/>
    <col min="22" max="22" width="20.90625" style="1" bestFit="1" customWidth="1"/>
    <col min="23" max="25" width="16.1796875" style="1" customWidth="1"/>
    <col min="26" max="26" width="19" style="1" customWidth="1"/>
    <col min="27" max="27" width="16.1796875" style="1" customWidth="1"/>
    <col min="28" max="28" width="20.90625" style="1" bestFit="1" customWidth="1"/>
    <col min="29" max="30" width="16.1796875" style="1" customWidth="1"/>
    <col min="31" max="16384" width="8.7265625" style="1"/>
  </cols>
  <sheetData>
    <row r="1" spans="1:30" ht="18.649999999999999" customHeight="1">
      <c r="D1" s="161"/>
      <c r="E1" s="162"/>
      <c r="F1" s="162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</row>
    <row r="2" spans="1:30" ht="28" customHeight="1">
      <c r="B2" s="3"/>
      <c r="D2" s="161"/>
      <c r="F2" s="163"/>
      <c r="G2" s="319">
        <v>46113</v>
      </c>
      <c r="H2" s="320"/>
      <c r="I2" s="321">
        <f>IF(MONTH(G2)=12,EDATE(G2,1),EDATE(G2,1))</f>
        <v>46143</v>
      </c>
      <c r="J2" s="322"/>
      <c r="K2" s="319">
        <f t="shared" ref="K2" si="0">IF(MONTH(I2)=12,EDATE(I2,1),EDATE(I2,1))</f>
        <v>46174</v>
      </c>
      <c r="L2" s="320"/>
      <c r="M2" s="321">
        <f t="shared" ref="M2" si="1">IF(MONTH(K2)=12,EDATE(K2,1),EDATE(K2,1))</f>
        <v>46204</v>
      </c>
      <c r="N2" s="322"/>
      <c r="O2" s="319">
        <f t="shared" ref="O2" si="2">IF(MONTH(M2)=12,EDATE(M2,1),EDATE(M2,1))</f>
        <v>46235</v>
      </c>
      <c r="P2" s="320"/>
      <c r="Q2" s="321">
        <f t="shared" ref="Q2" si="3">IF(MONTH(O2)=12,EDATE(O2,1),EDATE(O2,1))</f>
        <v>46266</v>
      </c>
      <c r="R2" s="322"/>
      <c r="S2" s="319">
        <f t="shared" ref="S2" si="4">IF(MONTH(Q2)=12,EDATE(Q2,1),EDATE(Q2,1))</f>
        <v>46296</v>
      </c>
      <c r="T2" s="320"/>
      <c r="U2" s="321">
        <f t="shared" ref="U2" si="5">IF(MONTH(S2)=12,EDATE(S2,1),EDATE(S2,1))</f>
        <v>46327</v>
      </c>
      <c r="V2" s="322"/>
      <c r="W2" s="319">
        <f t="shared" ref="W2" si="6">IF(MONTH(U2)=12,EDATE(U2,1),EDATE(U2,1))</f>
        <v>46357</v>
      </c>
      <c r="X2" s="320"/>
      <c r="Y2" s="321">
        <f t="shared" ref="Y2" si="7">IF(MONTH(W2)=12,EDATE(W2,1),EDATE(W2,1))</f>
        <v>46388</v>
      </c>
      <c r="Z2" s="322"/>
      <c r="AA2" s="319">
        <f t="shared" ref="AA2" si="8">IF(MONTH(Y2)=12,EDATE(Y2,1),EDATE(Y2,1))</f>
        <v>46419</v>
      </c>
      <c r="AB2" s="320"/>
      <c r="AC2" s="321">
        <f t="shared" ref="AC2" si="9">IF(MONTH(AA2)=12,EDATE(AA2,1),EDATE(AA2,1))</f>
        <v>46447</v>
      </c>
      <c r="AD2" s="322"/>
    </row>
    <row r="3" spans="1:30" ht="21.5" customHeight="1">
      <c r="B3" s="3"/>
      <c r="C3" s="5"/>
      <c r="D3" s="164"/>
      <c r="E3" s="164"/>
      <c r="F3" s="165"/>
      <c r="G3" s="166" t="s">
        <v>174</v>
      </c>
      <c r="H3" s="167" t="s">
        <v>175</v>
      </c>
      <c r="I3" s="166" t="s">
        <v>174</v>
      </c>
      <c r="J3" s="167" t="s">
        <v>175</v>
      </c>
      <c r="K3" s="166" t="s">
        <v>174</v>
      </c>
      <c r="L3" s="167" t="s">
        <v>175</v>
      </c>
      <c r="M3" s="166" t="s">
        <v>174</v>
      </c>
      <c r="N3" s="167" t="s">
        <v>175</v>
      </c>
      <c r="O3" s="166" t="s">
        <v>174</v>
      </c>
      <c r="P3" s="167" t="s">
        <v>175</v>
      </c>
      <c r="Q3" s="166" t="s">
        <v>174</v>
      </c>
      <c r="R3" s="167" t="s">
        <v>175</v>
      </c>
      <c r="S3" s="166" t="s">
        <v>174</v>
      </c>
      <c r="T3" s="167" t="s">
        <v>175</v>
      </c>
      <c r="U3" s="166" t="s">
        <v>174</v>
      </c>
      <c r="V3" s="167" t="s">
        <v>175</v>
      </c>
      <c r="W3" s="166" t="s">
        <v>174</v>
      </c>
      <c r="X3" s="167" t="s">
        <v>175</v>
      </c>
      <c r="Y3" s="166" t="s">
        <v>174</v>
      </c>
      <c r="Z3" s="167" t="s">
        <v>175</v>
      </c>
      <c r="AA3" s="166" t="s">
        <v>174</v>
      </c>
      <c r="AB3" s="167" t="s">
        <v>175</v>
      </c>
      <c r="AC3" s="166" t="s">
        <v>174</v>
      </c>
      <c r="AD3" s="167" t="s">
        <v>175</v>
      </c>
    </row>
    <row r="4" spans="1:30">
      <c r="B4" s="3"/>
      <c r="C4" s="5"/>
      <c r="D4" s="168" t="s">
        <v>176</v>
      </c>
      <c r="E4" s="169" t="s">
        <v>177</v>
      </c>
      <c r="F4" s="170">
        <f>E70</f>
        <v>0</v>
      </c>
      <c r="G4" s="166" t="s">
        <v>129</v>
      </c>
      <c r="H4" s="167" t="s">
        <v>129</v>
      </c>
      <c r="I4" s="166" t="s">
        <v>129</v>
      </c>
      <c r="J4" s="167" t="s">
        <v>129</v>
      </c>
      <c r="K4" s="166" t="s">
        <v>129</v>
      </c>
      <c r="L4" s="167" t="s">
        <v>129</v>
      </c>
      <c r="M4" s="166" t="s">
        <v>129</v>
      </c>
      <c r="N4" s="167" t="s">
        <v>129</v>
      </c>
      <c r="O4" s="166" t="s">
        <v>129</v>
      </c>
      <c r="P4" s="167" t="s">
        <v>129</v>
      </c>
      <c r="Q4" s="166" t="s">
        <v>129</v>
      </c>
      <c r="R4" s="167" t="s">
        <v>129</v>
      </c>
      <c r="S4" s="166" t="s">
        <v>129</v>
      </c>
      <c r="T4" s="167" t="s">
        <v>129</v>
      </c>
      <c r="U4" s="166" t="s">
        <v>129</v>
      </c>
      <c r="V4" s="167" t="s">
        <v>129</v>
      </c>
      <c r="W4" s="166" t="s">
        <v>129</v>
      </c>
      <c r="X4" s="167" t="s">
        <v>129</v>
      </c>
      <c r="Y4" s="166" t="s">
        <v>129</v>
      </c>
      <c r="Z4" s="167" t="s">
        <v>129</v>
      </c>
      <c r="AA4" s="166" t="s">
        <v>129</v>
      </c>
      <c r="AB4" s="167" t="s">
        <v>129</v>
      </c>
      <c r="AC4" s="166" t="s">
        <v>129</v>
      </c>
      <c r="AD4" s="167" t="s">
        <v>129</v>
      </c>
    </row>
    <row r="5" spans="1:30">
      <c r="B5" s="3"/>
      <c r="D5" s="171" t="s">
        <v>178</v>
      </c>
      <c r="E5" s="172"/>
      <c r="F5" s="173"/>
      <c r="G5" s="174">
        <v>2389607989</v>
      </c>
      <c r="H5" s="202">
        <v>168200000</v>
      </c>
      <c r="I5" s="174">
        <v>2341505283</v>
      </c>
      <c r="J5" s="175">
        <v>178572000</v>
      </c>
      <c r="K5" s="174">
        <v>2662705192</v>
      </c>
      <c r="L5" s="175">
        <v>194100000</v>
      </c>
      <c r="M5" s="174">
        <v>2890515886</v>
      </c>
      <c r="N5" s="175">
        <v>297620000</v>
      </c>
      <c r="O5" s="174">
        <v>3008051207</v>
      </c>
      <c r="P5" s="175">
        <v>271740000</v>
      </c>
      <c r="Q5" s="174">
        <v>2667455145</v>
      </c>
      <c r="R5" s="175">
        <v>270446000</v>
      </c>
      <c r="S5" s="174">
        <v>2398897481</v>
      </c>
      <c r="T5" s="175">
        <v>251036000</v>
      </c>
      <c r="U5" s="174">
        <v>2375784802</v>
      </c>
      <c r="V5" s="175">
        <v>194100000</v>
      </c>
      <c r="W5" s="174">
        <v>2072229236</v>
      </c>
      <c r="X5" s="175">
        <v>192806000</v>
      </c>
      <c r="Y5" s="174">
        <v>2211942062</v>
      </c>
      <c r="Z5" s="175">
        <v>181160000</v>
      </c>
      <c r="AA5" s="174">
        <v>2285715841</v>
      </c>
      <c r="AB5" s="175">
        <v>168220000</v>
      </c>
      <c r="AC5" s="174">
        <v>2249588940</v>
      </c>
      <c r="AD5" s="175">
        <v>194100000</v>
      </c>
    </row>
    <row r="6" spans="1:30">
      <c r="A6" s="16" t="s">
        <v>13</v>
      </c>
      <c r="B6" s="16" t="s">
        <v>14</v>
      </c>
      <c r="C6" s="16" t="s">
        <v>15</v>
      </c>
      <c r="D6" s="16" t="s">
        <v>179</v>
      </c>
      <c r="E6" s="176" t="s">
        <v>180</v>
      </c>
      <c r="F6" s="177" t="s">
        <v>181</v>
      </c>
      <c r="G6" s="178" t="s">
        <v>182</v>
      </c>
      <c r="H6" s="179" t="s">
        <v>183</v>
      </c>
      <c r="I6" s="178" t="s">
        <v>182</v>
      </c>
      <c r="J6" s="179" t="s">
        <v>183</v>
      </c>
      <c r="K6" s="178" t="s">
        <v>182</v>
      </c>
      <c r="L6" s="179" t="s">
        <v>183</v>
      </c>
      <c r="M6" s="178" t="s">
        <v>182</v>
      </c>
      <c r="N6" s="179" t="s">
        <v>183</v>
      </c>
      <c r="O6" s="178" t="s">
        <v>182</v>
      </c>
      <c r="P6" s="179" t="s">
        <v>183</v>
      </c>
      <c r="Q6" s="178" t="s">
        <v>182</v>
      </c>
      <c r="R6" s="179" t="s">
        <v>183</v>
      </c>
      <c r="S6" s="178" t="s">
        <v>182</v>
      </c>
      <c r="T6" s="179" t="s">
        <v>183</v>
      </c>
      <c r="U6" s="178" t="s">
        <v>182</v>
      </c>
      <c r="V6" s="179" t="s">
        <v>183</v>
      </c>
      <c r="W6" s="178" t="s">
        <v>182</v>
      </c>
      <c r="X6" s="179" t="s">
        <v>183</v>
      </c>
      <c r="Y6" s="178" t="s">
        <v>182</v>
      </c>
      <c r="Z6" s="179" t="s">
        <v>183</v>
      </c>
      <c r="AA6" s="178" t="s">
        <v>182</v>
      </c>
      <c r="AB6" s="179" t="s">
        <v>183</v>
      </c>
      <c r="AC6" s="178" t="s">
        <v>182</v>
      </c>
      <c r="AD6" s="179" t="s">
        <v>183</v>
      </c>
    </row>
    <row r="7" spans="1:30" ht="25.9" customHeight="1">
      <c r="A7" s="22">
        <v>1412000005</v>
      </c>
      <c r="B7" s="23" t="s">
        <v>84</v>
      </c>
      <c r="C7" s="24" t="s">
        <v>85</v>
      </c>
      <c r="D7" s="180"/>
      <c r="E7" s="181"/>
      <c r="F7" s="182"/>
      <c r="G7" s="272">
        <v>145656656</v>
      </c>
      <c r="H7" s="273">
        <v>43433030</v>
      </c>
      <c r="I7" s="272">
        <v>125903402</v>
      </c>
      <c r="J7" s="273">
        <v>45693141</v>
      </c>
      <c r="K7" s="272">
        <v>138835031</v>
      </c>
      <c r="L7" s="273">
        <v>47491343</v>
      </c>
      <c r="M7" s="272">
        <v>147155898</v>
      </c>
      <c r="N7" s="273">
        <v>77356625</v>
      </c>
      <c r="O7" s="272">
        <v>153790158</v>
      </c>
      <c r="P7" s="273">
        <v>72527343</v>
      </c>
      <c r="Q7" s="272">
        <v>134570184</v>
      </c>
      <c r="R7" s="273">
        <v>70569143</v>
      </c>
      <c r="S7" s="272">
        <v>120271965</v>
      </c>
      <c r="T7" s="273">
        <v>64322875</v>
      </c>
      <c r="U7" s="272">
        <v>129168668</v>
      </c>
      <c r="V7" s="273">
        <v>49503841</v>
      </c>
      <c r="W7" s="272">
        <v>137246842</v>
      </c>
      <c r="X7" s="273">
        <v>48410454</v>
      </c>
      <c r="Y7" s="272">
        <v>160269338</v>
      </c>
      <c r="Z7" s="273">
        <v>47706660</v>
      </c>
      <c r="AA7" s="272">
        <v>159326628</v>
      </c>
      <c r="AB7" s="273">
        <v>48929597</v>
      </c>
      <c r="AC7" s="272">
        <v>160608544</v>
      </c>
      <c r="AD7" s="273">
        <v>49893202</v>
      </c>
    </row>
    <row r="8" spans="1:30" ht="25.9" customHeight="1">
      <c r="A8" s="30">
        <v>1412000081</v>
      </c>
      <c r="B8" s="30" t="s">
        <v>86</v>
      </c>
      <c r="C8" s="31" t="s">
        <v>87</v>
      </c>
      <c r="D8" s="184"/>
      <c r="E8" s="181"/>
      <c r="F8" s="182"/>
      <c r="G8" s="272">
        <v>207136304</v>
      </c>
      <c r="H8" s="273">
        <v>37282960</v>
      </c>
      <c r="I8" s="272">
        <v>205029766</v>
      </c>
      <c r="J8" s="273">
        <v>37067558</v>
      </c>
      <c r="K8" s="272">
        <v>233767130</v>
      </c>
      <c r="L8" s="273">
        <v>37628923</v>
      </c>
      <c r="M8" s="272">
        <v>244248329</v>
      </c>
      <c r="N8" s="273">
        <v>59833854</v>
      </c>
      <c r="O8" s="272">
        <v>263505172</v>
      </c>
      <c r="P8" s="273">
        <v>56329720</v>
      </c>
      <c r="Q8" s="272">
        <v>229805941</v>
      </c>
      <c r="R8" s="273">
        <v>54595567</v>
      </c>
      <c r="S8" s="272">
        <v>202139773</v>
      </c>
      <c r="T8" s="273">
        <v>49409397</v>
      </c>
      <c r="U8" s="272">
        <v>205410262</v>
      </c>
      <c r="V8" s="273">
        <v>38472724</v>
      </c>
      <c r="W8" s="272">
        <v>211450047</v>
      </c>
      <c r="X8" s="273">
        <v>39751402</v>
      </c>
      <c r="Y8" s="272">
        <v>193612701</v>
      </c>
      <c r="Z8" s="273">
        <v>37592490</v>
      </c>
      <c r="AA8" s="272">
        <v>214847892</v>
      </c>
      <c r="AB8" s="273">
        <v>33427150</v>
      </c>
      <c r="AC8" s="272">
        <v>219383962</v>
      </c>
      <c r="AD8" s="273">
        <v>40290607</v>
      </c>
    </row>
    <row r="9" spans="1:30" ht="25.9" customHeight="1">
      <c r="A9" s="30">
        <v>1412000066</v>
      </c>
      <c r="B9" s="36" t="s">
        <v>56</v>
      </c>
      <c r="C9" s="31" t="s">
        <v>57</v>
      </c>
      <c r="D9" s="185"/>
      <c r="E9" s="181"/>
      <c r="F9" s="182"/>
      <c r="G9" s="272">
        <v>8660259</v>
      </c>
      <c r="H9" s="273">
        <v>0</v>
      </c>
      <c r="I9" s="272">
        <v>9557487</v>
      </c>
      <c r="J9" s="273">
        <v>0</v>
      </c>
      <c r="K9" s="272">
        <v>15187227</v>
      </c>
      <c r="L9" s="273">
        <v>0</v>
      </c>
      <c r="M9" s="272">
        <v>16298009</v>
      </c>
      <c r="N9" s="273">
        <v>0</v>
      </c>
      <c r="O9" s="272">
        <v>17082503</v>
      </c>
      <c r="P9" s="273">
        <v>0</v>
      </c>
      <c r="Q9" s="272">
        <v>13771437</v>
      </c>
      <c r="R9" s="273">
        <v>0</v>
      </c>
      <c r="S9" s="272">
        <v>11786489</v>
      </c>
      <c r="T9" s="273">
        <v>0</v>
      </c>
      <c r="U9" s="272">
        <v>11009413</v>
      </c>
      <c r="V9" s="273">
        <v>0</v>
      </c>
      <c r="W9" s="272">
        <v>8888349</v>
      </c>
      <c r="X9" s="273">
        <v>0</v>
      </c>
      <c r="Y9" s="272">
        <v>7686171</v>
      </c>
      <c r="Z9" s="273">
        <v>0</v>
      </c>
      <c r="AA9" s="272">
        <v>6901292</v>
      </c>
      <c r="AB9" s="273">
        <v>0</v>
      </c>
      <c r="AC9" s="272">
        <v>6900755</v>
      </c>
      <c r="AD9" s="273">
        <v>0</v>
      </c>
    </row>
    <row r="10" spans="1:30" s="293" customFormat="1" ht="25.9" customHeight="1">
      <c r="A10" s="30">
        <v>1412000044</v>
      </c>
      <c r="B10" s="31" t="s">
        <v>21</v>
      </c>
      <c r="C10" s="31" t="s">
        <v>22</v>
      </c>
      <c r="D10" s="186"/>
      <c r="E10" s="181"/>
      <c r="F10" s="182"/>
      <c r="G10" s="272">
        <v>101616030</v>
      </c>
      <c r="H10" s="273">
        <v>794507</v>
      </c>
      <c r="I10" s="272">
        <v>113805039</v>
      </c>
      <c r="J10" s="273">
        <v>929895</v>
      </c>
      <c r="K10" s="272">
        <v>107257894</v>
      </c>
      <c r="L10" s="273">
        <v>1100039</v>
      </c>
      <c r="M10" s="272">
        <v>117258007</v>
      </c>
      <c r="N10" s="273">
        <v>1549269</v>
      </c>
      <c r="O10" s="272">
        <v>126486080</v>
      </c>
      <c r="P10" s="273">
        <v>1312098</v>
      </c>
      <c r="Q10" s="272">
        <v>121354856</v>
      </c>
      <c r="R10" s="273">
        <v>1334967</v>
      </c>
      <c r="S10" s="272">
        <v>122584302</v>
      </c>
      <c r="T10" s="273">
        <v>1314562</v>
      </c>
      <c r="U10" s="272">
        <v>126713377</v>
      </c>
      <c r="V10" s="273">
        <v>987353</v>
      </c>
      <c r="W10" s="272">
        <v>125096913</v>
      </c>
      <c r="X10" s="273">
        <v>969546</v>
      </c>
      <c r="Y10" s="272">
        <v>82644829</v>
      </c>
      <c r="Z10" s="273">
        <v>865224</v>
      </c>
      <c r="AA10" s="272">
        <v>90594618</v>
      </c>
      <c r="AB10" s="273">
        <v>669004</v>
      </c>
      <c r="AC10" s="272">
        <v>97309562</v>
      </c>
      <c r="AD10" s="273">
        <v>973690</v>
      </c>
    </row>
    <row r="11" spans="1:30" s="293" customFormat="1" ht="25.9" customHeight="1">
      <c r="A11" s="30">
        <v>1412000087</v>
      </c>
      <c r="B11" s="31" t="s">
        <v>107</v>
      </c>
      <c r="C11" s="31" t="s">
        <v>109</v>
      </c>
      <c r="D11" s="186"/>
      <c r="E11" s="181"/>
      <c r="F11" s="182"/>
      <c r="G11" s="272">
        <v>2937106</v>
      </c>
      <c r="H11" s="273">
        <v>235409</v>
      </c>
      <c r="I11" s="272">
        <v>3168420</v>
      </c>
      <c r="J11" s="273">
        <v>256523</v>
      </c>
      <c r="K11" s="272">
        <v>3077032</v>
      </c>
      <c r="L11" s="273">
        <v>303459</v>
      </c>
      <c r="M11" s="272">
        <v>3445750</v>
      </c>
      <c r="N11" s="273">
        <v>427385</v>
      </c>
      <c r="O11" s="272">
        <v>3679975</v>
      </c>
      <c r="P11" s="273">
        <v>361958</v>
      </c>
      <c r="Q11" s="272">
        <v>3185027</v>
      </c>
      <c r="R11" s="273">
        <v>368267</v>
      </c>
      <c r="S11" s="272">
        <v>3250987</v>
      </c>
      <c r="T11" s="273">
        <v>362638</v>
      </c>
      <c r="U11" s="272">
        <v>3166221</v>
      </c>
      <c r="V11" s="273">
        <v>272373</v>
      </c>
      <c r="W11" s="272">
        <v>2565034</v>
      </c>
      <c r="X11" s="273">
        <v>267461</v>
      </c>
      <c r="Y11" s="272">
        <v>2438434</v>
      </c>
      <c r="Z11" s="273">
        <v>238682</v>
      </c>
      <c r="AA11" s="272">
        <v>2752358</v>
      </c>
      <c r="AB11" s="273">
        <v>184553</v>
      </c>
      <c r="AC11" s="272">
        <v>2726879</v>
      </c>
      <c r="AD11" s="273">
        <v>268604</v>
      </c>
    </row>
    <row r="12" spans="1:30" s="293" customFormat="1" ht="25.9" customHeight="1">
      <c r="A12" s="30">
        <v>1412000088</v>
      </c>
      <c r="B12" s="31" t="s">
        <v>108</v>
      </c>
      <c r="C12" s="31" t="s">
        <v>110</v>
      </c>
      <c r="D12" s="186"/>
      <c r="E12" s="181"/>
      <c r="F12" s="182"/>
      <c r="G12" s="272">
        <v>7735986</v>
      </c>
      <c r="H12" s="273">
        <v>706228</v>
      </c>
      <c r="I12" s="272">
        <v>7595144</v>
      </c>
      <c r="J12" s="273">
        <v>769569</v>
      </c>
      <c r="K12" s="272">
        <v>7547919</v>
      </c>
      <c r="L12" s="273">
        <v>910377</v>
      </c>
      <c r="M12" s="272">
        <v>7320727</v>
      </c>
      <c r="N12" s="273">
        <v>1282154</v>
      </c>
      <c r="O12" s="272">
        <v>7162275</v>
      </c>
      <c r="P12" s="273">
        <v>1085874</v>
      </c>
      <c r="Q12" s="272">
        <v>7224513</v>
      </c>
      <c r="R12" s="273">
        <v>1104801</v>
      </c>
      <c r="S12" s="272">
        <v>6425486</v>
      </c>
      <c r="T12" s="273">
        <v>1087913</v>
      </c>
      <c r="U12" s="272">
        <v>6882646</v>
      </c>
      <c r="V12" s="273">
        <v>817120</v>
      </c>
      <c r="W12" s="272">
        <v>5018535</v>
      </c>
      <c r="X12" s="273">
        <v>802383</v>
      </c>
      <c r="Y12" s="272">
        <v>7359772</v>
      </c>
      <c r="Z12" s="273">
        <v>716047</v>
      </c>
      <c r="AA12" s="272">
        <v>8176995</v>
      </c>
      <c r="AB12" s="273">
        <v>553659</v>
      </c>
      <c r="AC12" s="272">
        <v>7314606</v>
      </c>
      <c r="AD12" s="273">
        <v>805812</v>
      </c>
    </row>
    <row r="13" spans="1:30" s="293" customFormat="1" ht="25.9" customHeight="1">
      <c r="A13" s="30">
        <v>1412000056</v>
      </c>
      <c r="B13" s="31" t="s">
        <v>23</v>
      </c>
      <c r="C13" s="31" t="s">
        <v>24</v>
      </c>
      <c r="D13" s="186"/>
      <c r="E13" s="181"/>
      <c r="F13" s="182"/>
      <c r="G13" s="272">
        <v>592427614</v>
      </c>
      <c r="H13" s="273">
        <v>3472288</v>
      </c>
      <c r="I13" s="272">
        <v>500428638</v>
      </c>
      <c r="J13" s="273">
        <v>3751647</v>
      </c>
      <c r="K13" s="272">
        <v>500350831</v>
      </c>
      <c r="L13" s="273">
        <v>4400156</v>
      </c>
      <c r="M13" s="272">
        <v>530470552</v>
      </c>
      <c r="N13" s="273">
        <v>6143655</v>
      </c>
      <c r="O13" s="272">
        <v>547294097</v>
      </c>
      <c r="P13" s="273">
        <v>5157902</v>
      </c>
      <c r="Q13" s="272">
        <v>389298659</v>
      </c>
      <c r="R13" s="273">
        <v>5293837</v>
      </c>
      <c r="S13" s="272">
        <v>443742553</v>
      </c>
      <c r="T13" s="273">
        <v>5258248</v>
      </c>
      <c r="U13" s="272">
        <v>453656082</v>
      </c>
      <c r="V13" s="273">
        <v>3983459</v>
      </c>
      <c r="W13" s="272">
        <v>390396333</v>
      </c>
      <c r="X13" s="273">
        <v>3945051</v>
      </c>
      <c r="Y13" s="272">
        <v>566521629</v>
      </c>
      <c r="Z13" s="273">
        <v>3520567</v>
      </c>
      <c r="AA13" s="272">
        <v>598407118</v>
      </c>
      <c r="AB13" s="273">
        <v>2722156</v>
      </c>
      <c r="AC13" s="272">
        <v>563985078</v>
      </c>
      <c r="AD13" s="273">
        <v>3961910</v>
      </c>
    </row>
    <row r="14" spans="1:30" ht="25.9" customHeight="1">
      <c r="A14" s="30">
        <v>1412000004</v>
      </c>
      <c r="B14" s="31" t="s">
        <v>88</v>
      </c>
      <c r="C14" s="31" t="s">
        <v>89</v>
      </c>
      <c r="D14" s="184"/>
      <c r="E14" s="181"/>
      <c r="F14" s="182"/>
      <c r="G14" s="272">
        <v>217557171</v>
      </c>
      <c r="H14" s="273">
        <v>29926417</v>
      </c>
      <c r="I14" s="272">
        <v>195546170</v>
      </c>
      <c r="J14" s="273">
        <v>32802865</v>
      </c>
      <c r="K14" s="272">
        <v>216687222</v>
      </c>
      <c r="L14" s="273">
        <v>34177076</v>
      </c>
      <c r="M14" s="272">
        <v>233958853</v>
      </c>
      <c r="N14" s="273">
        <v>54224430</v>
      </c>
      <c r="O14" s="272">
        <v>239911156</v>
      </c>
      <c r="P14" s="273">
        <v>52664895</v>
      </c>
      <c r="Q14" s="272">
        <v>224873351</v>
      </c>
      <c r="R14" s="273">
        <v>53168533</v>
      </c>
      <c r="S14" s="272">
        <v>198924667</v>
      </c>
      <c r="T14" s="273">
        <v>45556371</v>
      </c>
      <c r="U14" s="272">
        <v>192388076</v>
      </c>
      <c r="V14" s="273">
        <v>37212998</v>
      </c>
      <c r="W14" s="272">
        <v>172751094</v>
      </c>
      <c r="X14" s="273">
        <v>37043358</v>
      </c>
      <c r="Y14" s="272">
        <v>223709328</v>
      </c>
      <c r="Z14" s="273">
        <v>35623360</v>
      </c>
      <c r="AA14" s="272">
        <v>222227053</v>
      </c>
      <c r="AB14" s="273">
        <v>39263637</v>
      </c>
      <c r="AC14" s="272">
        <v>205654872</v>
      </c>
      <c r="AD14" s="273">
        <v>36261546</v>
      </c>
    </row>
    <row r="15" spans="1:30" ht="25.9" customHeight="1">
      <c r="A15" s="63">
        <v>1412000098</v>
      </c>
      <c r="B15" s="64" t="s">
        <v>124</v>
      </c>
      <c r="C15" s="64" t="s">
        <v>121</v>
      </c>
      <c r="D15" s="187"/>
      <c r="E15" s="188"/>
      <c r="F15" s="189"/>
      <c r="G15" s="272">
        <v>14605850</v>
      </c>
      <c r="H15" s="273">
        <v>1441882</v>
      </c>
      <c r="I15" s="272">
        <v>15646037</v>
      </c>
      <c r="J15" s="273">
        <v>1571203</v>
      </c>
      <c r="K15" s="272">
        <v>19795032</v>
      </c>
      <c r="L15" s="273">
        <v>1858687</v>
      </c>
      <c r="M15" s="272">
        <v>24881242</v>
      </c>
      <c r="N15" s="273">
        <v>2617731</v>
      </c>
      <c r="O15" s="272">
        <v>24880553</v>
      </c>
      <c r="P15" s="273">
        <v>2216993</v>
      </c>
      <c r="Q15" s="272">
        <v>25397094</v>
      </c>
      <c r="R15" s="273">
        <v>2255635</v>
      </c>
      <c r="S15" s="272">
        <v>18957781</v>
      </c>
      <c r="T15" s="273">
        <v>2221156</v>
      </c>
      <c r="U15" s="272">
        <v>16413961</v>
      </c>
      <c r="V15" s="273">
        <v>1668286</v>
      </c>
      <c r="W15" s="272">
        <v>13441741</v>
      </c>
      <c r="X15" s="273">
        <v>1638199</v>
      </c>
      <c r="Y15" s="272">
        <v>11448663</v>
      </c>
      <c r="Z15" s="273">
        <v>1372424</v>
      </c>
      <c r="AA15" s="272">
        <v>11803536</v>
      </c>
      <c r="AB15" s="273">
        <v>1061179</v>
      </c>
      <c r="AC15" s="272">
        <v>12715104</v>
      </c>
      <c r="AD15" s="273">
        <v>1544473</v>
      </c>
    </row>
    <row r="16" spans="1:30" ht="25.9" customHeight="1">
      <c r="A16" s="30">
        <v>1412000062</v>
      </c>
      <c r="B16" s="40" t="s">
        <v>90</v>
      </c>
      <c r="C16" s="31" t="s">
        <v>91</v>
      </c>
      <c r="D16" s="184"/>
      <c r="E16" s="181"/>
      <c r="F16" s="182"/>
      <c r="G16" s="272">
        <v>1006022</v>
      </c>
      <c r="H16" s="273">
        <v>882785</v>
      </c>
      <c r="I16" s="272">
        <v>790110</v>
      </c>
      <c r="J16" s="273">
        <v>961961</v>
      </c>
      <c r="K16" s="272">
        <v>727029</v>
      </c>
      <c r="L16" s="273">
        <v>1137971</v>
      </c>
      <c r="M16" s="272">
        <v>769064</v>
      </c>
      <c r="N16" s="273">
        <v>1602693</v>
      </c>
      <c r="O16" s="272">
        <v>810421</v>
      </c>
      <c r="P16" s="273">
        <v>1357343</v>
      </c>
      <c r="Q16" s="272">
        <v>764773</v>
      </c>
      <c r="R16" s="273">
        <v>1381001</v>
      </c>
      <c r="S16" s="272">
        <v>692555</v>
      </c>
      <c r="T16" s="273">
        <v>1359892</v>
      </c>
      <c r="U16" s="272">
        <v>755120</v>
      </c>
      <c r="V16" s="273">
        <v>1021400</v>
      </c>
      <c r="W16" s="272">
        <v>911565</v>
      </c>
      <c r="X16" s="273">
        <v>1002979</v>
      </c>
      <c r="Y16" s="272">
        <v>1096034</v>
      </c>
      <c r="Z16" s="273">
        <v>895059</v>
      </c>
      <c r="AA16" s="272">
        <v>1112669</v>
      </c>
      <c r="AB16" s="273">
        <v>692074</v>
      </c>
      <c r="AC16" s="272">
        <v>1045056</v>
      </c>
      <c r="AD16" s="273">
        <v>1007265</v>
      </c>
    </row>
    <row r="17" spans="1:30" ht="25.9" customHeight="1">
      <c r="A17" s="252">
        <v>1412000053</v>
      </c>
      <c r="B17" s="253" t="s">
        <v>92</v>
      </c>
      <c r="C17" s="253" t="s">
        <v>80</v>
      </c>
      <c r="D17" s="184"/>
      <c r="E17" s="181"/>
      <c r="F17" s="182"/>
      <c r="G17" s="272">
        <v>2132140</v>
      </c>
      <c r="H17" s="273">
        <v>882785</v>
      </c>
      <c r="I17" s="272">
        <v>2023881</v>
      </c>
      <c r="J17" s="273">
        <v>961961</v>
      </c>
      <c r="K17" s="272">
        <v>1970184</v>
      </c>
      <c r="L17" s="273">
        <v>1137971</v>
      </c>
      <c r="M17" s="272">
        <v>2192145</v>
      </c>
      <c r="N17" s="273">
        <v>1869808</v>
      </c>
      <c r="O17" s="272">
        <v>2204081</v>
      </c>
      <c r="P17" s="273">
        <v>1583566</v>
      </c>
      <c r="Q17" s="272">
        <v>2134874</v>
      </c>
      <c r="R17" s="273">
        <v>1611168</v>
      </c>
      <c r="S17" s="272">
        <v>1851504</v>
      </c>
      <c r="T17" s="273">
        <v>1677200</v>
      </c>
      <c r="U17" s="272">
        <v>1779961</v>
      </c>
      <c r="V17" s="273">
        <v>1259726</v>
      </c>
      <c r="W17" s="272">
        <v>1836753</v>
      </c>
      <c r="X17" s="273">
        <v>1237007</v>
      </c>
      <c r="Y17" s="272">
        <v>2113805</v>
      </c>
      <c r="Z17" s="273">
        <v>1103906</v>
      </c>
      <c r="AA17" s="272">
        <v>2142741</v>
      </c>
      <c r="AB17" s="273">
        <v>853557</v>
      </c>
      <c r="AC17" s="272">
        <v>2152242</v>
      </c>
      <c r="AD17" s="273">
        <v>1242294</v>
      </c>
    </row>
    <row r="18" spans="1:30" ht="25.9" customHeight="1">
      <c r="A18" s="252">
        <v>1412000104</v>
      </c>
      <c r="B18" s="253" t="s">
        <v>93</v>
      </c>
      <c r="C18" s="253" t="s">
        <v>81</v>
      </c>
      <c r="D18" s="184"/>
      <c r="E18" s="181"/>
      <c r="F18" s="182"/>
      <c r="G18" s="272">
        <v>2823689</v>
      </c>
      <c r="H18" s="273">
        <v>4502204</v>
      </c>
      <c r="I18" s="272">
        <v>2608289</v>
      </c>
      <c r="J18" s="273">
        <v>4906000</v>
      </c>
      <c r="K18" s="272">
        <v>3070485</v>
      </c>
      <c r="L18" s="273">
        <v>5803654</v>
      </c>
      <c r="M18" s="272">
        <v>3752959</v>
      </c>
      <c r="N18" s="273">
        <v>8173732</v>
      </c>
      <c r="O18" s="272">
        <v>3807782</v>
      </c>
      <c r="P18" s="273">
        <v>6922448</v>
      </c>
      <c r="Q18" s="272">
        <v>3704697</v>
      </c>
      <c r="R18" s="273">
        <v>7043104</v>
      </c>
      <c r="S18" s="272">
        <v>3086946</v>
      </c>
      <c r="T18" s="273">
        <v>6935447</v>
      </c>
      <c r="U18" s="272">
        <v>2722585</v>
      </c>
      <c r="V18" s="273">
        <v>5209139</v>
      </c>
      <c r="W18" s="272">
        <v>2477720</v>
      </c>
      <c r="X18" s="273">
        <v>5115193</v>
      </c>
      <c r="Y18" s="272">
        <v>2622817</v>
      </c>
      <c r="Z18" s="273">
        <v>4564802</v>
      </c>
      <c r="AA18" s="272">
        <v>2629315</v>
      </c>
      <c r="AB18" s="273">
        <v>3529575</v>
      </c>
      <c r="AC18" s="272">
        <v>2604029</v>
      </c>
      <c r="AD18" s="273">
        <v>5137052</v>
      </c>
    </row>
    <row r="19" spans="1:30" ht="25.9" customHeight="1">
      <c r="A19" s="252">
        <v>1412000105</v>
      </c>
      <c r="B19" s="253" t="s">
        <v>92</v>
      </c>
      <c r="C19" s="253" t="s">
        <v>83</v>
      </c>
      <c r="D19" s="184"/>
      <c r="E19" s="181"/>
      <c r="F19" s="182"/>
      <c r="G19" s="272">
        <v>1175945</v>
      </c>
      <c r="H19" s="273">
        <v>588523</v>
      </c>
      <c r="I19" s="272">
        <v>1460384</v>
      </c>
      <c r="J19" s="273">
        <v>641307</v>
      </c>
      <c r="K19" s="272">
        <v>1266849</v>
      </c>
      <c r="L19" s="273">
        <v>758648</v>
      </c>
      <c r="M19" s="272">
        <v>1336549</v>
      </c>
      <c r="N19" s="273">
        <v>1068462</v>
      </c>
      <c r="O19" s="272">
        <v>1258211</v>
      </c>
      <c r="P19" s="273">
        <v>904895</v>
      </c>
      <c r="Q19" s="272">
        <v>1249708</v>
      </c>
      <c r="R19" s="273">
        <v>920667</v>
      </c>
      <c r="S19" s="272">
        <v>1083953</v>
      </c>
      <c r="T19" s="273">
        <v>906594</v>
      </c>
      <c r="U19" s="272">
        <v>980997</v>
      </c>
      <c r="V19" s="273">
        <v>680933</v>
      </c>
      <c r="W19" s="272">
        <v>907949</v>
      </c>
      <c r="X19" s="273">
        <v>668653</v>
      </c>
      <c r="Y19" s="272">
        <v>1056831</v>
      </c>
      <c r="Z19" s="273">
        <v>596706</v>
      </c>
      <c r="AA19" s="272">
        <v>1081190</v>
      </c>
      <c r="AB19" s="273">
        <v>461382</v>
      </c>
      <c r="AC19" s="272">
        <v>1239766</v>
      </c>
      <c r="AD19" s="273">
        <v>671510</v>
      </c>
    </row>
    <row r="20" spans="1:30" ht="25.9" customHeight="1">
      <c r="A20" s="30">
        <v>1412000075</v>
      </c>
      <c r="B20" s="31" t="s">
        <v>93</v>
      </c>
      <c r="C20" s="31" t="s">
        <v>189</v>
      </c>
      <c r="D20" s="184"/>
      <c r="E20" s="181"/>
      <c r="F20" s="182"/>
      <c r="G20" s="272">
        <v>1408431</v>
      </c>
      <c r="H20" s="273">
        <v>382540</v>
      </c>
      <c r="I20" s="272">
        <v>1106153</v>
      </c>
      <c r="J20" s="273">
        <v>448915</v>
      </c>
      <c r="K20" s="272">
        <v>1017840</v>
      </c>
      <c r="L20" s="273">
        <v>531053</v>
      </c>
      <c r="M20" s="272">
        <v>1076689</v>
      </c>
      <c r="N20" s="273">
        <v>747923</v>
      </c>
      <c r="O20" s="272">
        <v>1134589</v>
      </c>
      <c r="P20" s="273">
        <v>633427</v>
      </c>
      <c r="Q20" s="272">
        <v>1070683</v>
      </c>
      <c r="R20" s="273">
        <v>644467</v>
      </c>
      <c r="S20" s="272">
        <v>969577</v>
      </c>
      <c r="T20" s="273">
        <v>634616</v>
      </c>
      <c r="U20" s="272">
        <v>1057168</v>
      </c>
      <c r="V20" s="273">
        <v>476653</v>
      </c>
      <c r="W20" s="272">
        <v>1276190</v>
      </c>
      <c r="X20" s="273">
        <v>468057</v>
      </c>
      <c r="Y20" s="272">
        <v>1534448</v>
      </c>
      <c r="Z20" s="273">
        <v>417694</v>
      </c>
      <c r="AA20" s="272">
        <v>1557736</v>
      </c>
      <c r="AB20" s="273">
        <v>322968</v>
      </c>
      <c r="AC20" s="272">
        <v>1463078</v>
      </c>
      <c r="AD20" s="273">
        <v>470057</v>
      </c>
    </row>
    <row r="21" spans="1:30" ht="25.9" customHeight="1">
      <c r="A21" s="30">
        <v>1412000055</v>
      </c>
      <c r="B21" s="31" t="s">
        <v>94</v>
      </c>
      <c r="C21" s="31" t="s">
        <v>143</v>
      </c>
      <c r="D21" s="184"/>
      <c r="E21" s="181"/>
      <c r="F21" s="182"/>
      <c r="G21" s="272">
        <v>890062</v>
      </c>
      <c r="H21" s="273">
        <v>676802</v>
      </c>
      <c r="I21" s="272">
        <v>1507373</v>
      </c>
      <c r="J21" s="273">
        <v>737503</v>
      </c>
      <c r="K21" s="272">
        <v>1844190</v>
      </c>
      <c r="L21" s="273">
        <v>872445</v>
      </c>
      <c r="M21" s="272">
        <v>2842183</v>
      </c>
      <c r="N21" s="273">
        <v>1228731</v>
      </c>
      <c r="O21" s="272">
        <v>2736663</v>
      </c>
      <c r="P21" s="273">
        <v>1085874</v>
      </c>
      <c r="Q21" s="272">
        <v>2484326</v>
      </c>
      <c r="R21" s="273">
        <v>1104801</v>
      </c>
      <c r="S21" s="272">
        <v>2001666</v>
      </c>
      <c r="T21" s="273">
        <v>1087913</v>
      </c>
      <c r="U21" s="272">
        <v>1562538</v>
      </c>
      <c r="V21" s="273">
        <v>817120</v>
      </c>
      <c r="W21" s="272">
        <v>636390</v>
      </c>
      <c r="X21" s="273">
        <v>802383</v>
      </c>
      <c r="Y21" s="272">
        <v>997602</v>
      </c>
      <c r="Z21" s="273">
        <v>716047</v>
      </c>
      <c r="AA21" s="272">
        <v>747989</v>
      </c>
      <c r="AB21" s="273">
        <v>553659</v>
      </c>
      <c r="AC21" s="272">
        <v>528668</v>
      </c>
      <c r="AD21" s="273">
        <v>805812</v>
      </c>
    </row>
    <row r="22" spans="1:30" ht="25.9" customHeight="1">
      <c r="A22" s="279" t="s">
        <v>195</v>
      </c>
      <c r="B22" s="280" t="str">
        <f>VLOOKUP(A22,'[7]list cost center'!$B:$C,2,0)</f>
        <v>製造システム開発課</v>
      </c>
      <c r="C22" s="64" t="s">
        <v>194</v>
      </c>
      <c r="D22" s="184"/>
      <c r="E22" s="181"/>
      <c r="F22" s="182"/>
      <c r="G22" s="272">
        <v>319390</v>
      </c>
      <c r="H22" s="273">
        <v>205983</v>
      </c>
      <c r="I22" s="272">
        <v>505800</v>
      </c>
      <c r="J22" s="273">
        <v>288588</v>
      </c>
      <c r="K22" s="272">
        <v>710738</v>
      </c>
      <c r="L22" s="273">
        <v>341391</v>
      </c>
      <c r="M22" s="272">
        <v>859879</v>
      </c>
      <c r="N22" s="273">
        <v>480808</v>
      </c>
      <c r="O22" s="272">
        <v>890108</v>
      </c>
      <c r="P22" s="273">
        <v>407203</v>
      </c>
      <c r="Q22" s="272">
        <v>834166</v>
      </c>
      <c r="R22" s="273">
        <v>414300</v>
      </c>
      <c r="S22" s="272">
        <v>743293</v>
      </c>
      <c r="T22" s="273">
        <v>407967</v>
      </c>
      <c r="U22" s="272">
        <v>600844</v>
      </c>
      <c r="V22" s="273">
        <v>306420</v>
      </c>
      <c r="W22" s="272">
        <v>400293</v>
      </c>
      <c r="X22" s="273">
        <v>300894</v>
      </c>
      <c r="Y22" s="272">
        <v>297540</v>
      </c>
      <c r="Z22" s="273">
        <v>268518</v>
      </c>
      <c r="AA22" s="272">
        <v>251594</v>
      </c>
      <c r="AB22" s="273">
        <v>207622</v>
      </c>
      <c r="AC22" s="272">
        <v>224588</v>
      </c>
      <c r="AD22" s="273">
        <v>302180</v>
      </c>
    </row>
    <row r="23" spans="1:30" ht="25.9" customHeight="1">
      <c r="A23" s="279">
        <v>1412000040</v>
      </c>
      <c r="B23" s="280" t="str">
        <f>VLOOKUP(A23,'[7]list cost center'!$B:$C,2,0)</f>
        <v>電気製造技術課</v>
      </c>
      <c r="C23" s="64" t="s">
        <v>140</v>
      </c>
      <c r="D23" s="184"/>
      <c r="E23" s="181"/>
      <c r="F23" s="182"/>
      <c r="G23" s="272">
        <v>1577160</v>
      </c>
      <c r="H23" s="273">
        <v>529671</v>
      </c>
      <c r="I23" s="272">
        <v>2053287</v>
      </c>
      <c r="J23" s="273">
        <v>577177</v>
      </c>
      <c r="K23" s="272">
        <v>2791574</v>
      </c>
      <c r="L23" s="273">
        <v>682783</v>
      </c>
      <c r="M23" s="272">
        <v>3290266</v>
      </c>
      <c r="N23" s="273">
        <v>1015039</v>
      </c>
      <c r="O23" s="272">
        <v>3419370</v>
      </c>
      <c r="P23" s="273">
        <v>859650</v>
      </c>
      <c r="Q23" s="272">
        <v>3270194</v>
      </c>
      <c r="R23" s="273">
        <v>874634</v>
      </c>
      <c r="S23" s="272">
        <v>2959172</v>
      </c>
      <c r="T23" s="273">
        <v>861265</v>
      </c>
      <c r="U23" s="272">
        <v>2460327</v>
      </c>
      <c r="V23" s="273">
        <v>646887</v>
      </c>
      <c r="W23" s="272">
        <v>1758044</v>
      </c>
      <c r="X23" s="273">
        <v>635220</v>
      </c>
      <c r="Y23" s="272">
        <v>1450135</v>
      </c>
      <c r="Z23" s="273">
        <v>566871</v>
      </c>
      <c r="AA23" s="272">
        <v>1247404</v>
      </c>
      <c r="AB23" s="273">
        <v>438313</v>
      </c>
      <c r="AC23" s="272">
        <v>1203521</v>
      </c>
      <c r="AD23" s="273">
        <v>637935</v>
      </c>
    </row>
    <row r="24" spans="1:30" ht="25.9" customHeight="1">
      <c r="A24" s="30">
        <v>1412000089</v>
      </c>
      <c r="B24" s="31" t="s">
        <v>25</v>
      </c>
      <c r="C24" s="31" t="s">
        <v>2</v>
      </c>
      <c r="D24" s="184"/>
      <c r="E24" s="181"/>
      <c r="F24" s="182"/>
      <c r="G24" s="272">
        <v>906826</v>
      </c>
      <c r="H24" s="273">
        <v>617950</v>
      </c>
      <c r="I24" s="272">
        <v>1127690</v>
      </c>
      <c r="J24" s="273">
        <v>673373</v>
      </c>
      <c r="K24" s="272">
        <v>1581241</v>
      </c>
      <c r="L24" s="273">
        <v>872445</v>
      </c>
      <c r="M24" s="272">
        <v>1917798</v>
      </c>
      <c r="N24" s="273">
        <v>1228731</v>
      </c>
      <c r="O24" s="272">
        <v>1996141</v>
      </c>
      <c r="P24" s="273">
        <v>1040629</v>
      </c>
      <c r="Q24" s="272">
        <v>1836440</v>
      </c>
      <c r="R24" s="273">
        <v>1058767</v>
      </c>
      <c r="S24" s="272">
        <v>1626428</v>
      </c>
      <c r="T24" s="273">
        <v>1042584</v>
      </c>
      <c r="U24" s="272">
        <v>1364099</v>
      </c>
      <c r="V24" s="273">
        <v>783073</v>
      </c>
      <c r="W24" s="272">
        <v>975745</v>
      </c>
      <c r="X24" s="273">
        <v>768951</v>
      </c>
      <c r="Y24" s="272">
        <v>825052</v>
      </c>
      <c r="Z24" s="273">
        <v>686212</v>
      </c>
      <c r="AA24" s="272">
        <v>748518</v>
      </c>
      <c r="AB24" s="273">
        <v>530590</v>
      </c>
      <c r="AC24" s="272">
        <v>730912</v>
      </c>
      <c r="AD24" s="273">
        <v>772237</v>
      </c>
    </row>
    <row r="25" spans="1:30" ht="25.9" customHeight="1">
      <c r="A25" s="30">
        <v>1412000039</v>
      </c>
      <c r="B25" s="30" t="s">
        <v>26</v>
      </c>
      <c r="C25" s="31" t="s">
        <v>193</v>
      </c>
      <c r="D25" s="184"/>
      <c r="E25" s="181"/>
      <c r="F25" s="182"/>
      <c r="G25" s="272">
        <v>501782</v>
      </c>
      <c r="H25" s="273">
        <v>323688</v>
      </c>
      <c r="I25" s="272">
        <v>636813</v>
      </c>
      <c r="J25" s="273">
        <v>352719</v>
      </c>
      <c r="K25" s="272">
        <v>857224</v>
      </c>
      <c r="L25" s="273">
        <v>417256</v>
      </c>
      <c r="M25" s="272">
        <v>1031307</v>
      </c>
      <c r="N25" s="273">
        <v>587654</v>
      </c>
      <c r="O25" s="272">
        <v>1072257</v>
      </c>
      <c r="P25" s="273">
        <v>497692</v>
      </c>
      <c r="Q25" s="272">
        <v>996110</v>
      </c>
      <c r="R25" s="273">
        <v>506367</v>
      </c>
      <c r="S25" s="272">
        <v>886494</v>
      </c>
      <c r="T25" s="273">
        <v>498627</v>
      </c>
      <c r="U25" s="272">
        <v>738237</v>
      </c>
      <c r="V25" s="273">
        <v>374513</v>
      </c>
      <c r="W25" s="272">
        <v>522626</v>
      </c>
      <c r="X25" s="273">
        <v>367759</v>
      </c>
      <c r="Y25" s="272">
        <v>432496</v>
      </c>
      <c r="Z25" s="273">
        <v>328188</v>
      </c>
      <c r="AA25" s="272">
        <v>385287</v>
      </c>
      <c r="AB25" s="273">
        <v>253760</v>
      </c>
      <c r="AC25" s="272">
        <v>371606</v>
      </c>
      <c r="AD25" s="273">
        <v>369331</v>
      </c>
    </row>
    <row r="26" spans="1:30" ht="25.9" customHeight="1">
      <c r="A26" s="30">
        <v>1412000006</v>
      </c>
      <c r="B26" s="30" t="s">
        <v>95</v>
      </c>
      <c r="C26" s="31" t="s">
        <v>3</v>
      </c>
      <c r="D26" s="184"/>
      <c r="E26" s="181"/>
      <c r="F26" s="182"/>
      <c r="G26" s="272">
        <v>932009</v>
      </c>
      <c r="H26" s="273">
        <v>647376</v>
      </c>
      <c r="I26" s="272">
        <v>1158252</v>
      </c>
      <c r="J26" s="273">
        <v>705438</v>
      </c>
      <c r="K26" s="272">
        <v>1702420</v>
      </c>
      <c r="L26" s="273">
        <v>986242</v>
      </c>
      <c r="M26" s="272">
        <v>2125161</v>
      </c>
      <c r="N26" s="273">
        <v>1442423</v>
      </c>
      <c r="O26" s="272">
        <v>2211909</v>
      </c>
      <c r="P26" s="273">
        <v>1221608</v>
      </c>
      <c r="Q26" s="272">
        <v>2026479</v>
      </c>
      <c r="R26" s="273">
        <v>1242901</v>
      </c>
      <c r="S26" s="272">
        <v>1790128</v>
      </c>
      <c r="T26" s="273">
        <v>1223902</v>
      </c>
      <c r="U26" s="272">
        <v>1500861</v>
      </c>
      <c r="V26" s="273">
        <v>919260</v>
      </c>
      <c r="W26" s="272">
        <v>1070755</v>
      </c>
      <c r="X26" s="273">
        <v>902681</v>
      </c>
      <c r="Y26" s="272">
        <v>923989</v>
      </c>
      <c r="Z26" s="273">
        <v>835389</v>
      </c>
      <c r="AA26" s="272">
        <v>842827</v>
      </c>
      <c r="AB26" s="273">
        <v>645935</v>
      </c>
      <c r="AC26" s="272">
        <v>821816</v>
      </c>
      <c r="AD26" s="273">
        <v>940114</v>
      </c>
    </row>
    <row r="27" spans="1:30" ht="25.9" customHeight="1">
      <c r="A27" s="30">
        <v>1412000034</v>
      </c>
      <c r="B27" s="30" t="s">
        <v>27</v>
      </c>
      <c r="C27" s="31" t="s">
        <v>28</v>
      </c>
      <c r="D27" s="184"/>
      <c r="E27" s="181"/>
      <c r="F27" s="182"/>
      <c r="G27" s="272">
        <v>163038029</v>
      </c>
      <c r="H27" s="273">
        <v>7621379</v>
      </c>
      <c r="I27" s="272">
        <v>164531905</v>
      </c>
      <c r="J27" s="273">
        <v>8369059</v>
      </c>
      <c r="K27" s="272">
        <v>177726638</v>
      </c>
      <c r="L27" s="273">
        <v>9900352</v>
      </c>
      <c r="M27" s="272">
        <v>199855801</v>
      </c>
      <c r="N27" s="273">
        <v>14050271</v>
      </c>
      <c r="O27" s="272">
        <v>196958068</v>
      </c>
      <c r="P27" s="273">
        <v>12351818</v>
      </c>
      <c r="Q27" s="272">
        <v>175801510</v>
      </c>
      <c r="R27" s="273">
        <v>12567108</v>
      </c>
      <c r="S27" s="272">
        <v>156730616</v>
      </c>
      <c r="T27" s="273">
        <v>13462927</v>
      </c>
      <c r="U27" s="272">
        <v>156194483</v>
      </c>
      <c r="V27" s="273">
        <v>10111858</v>
      </c>
      <c r="W27" s="272">
        <v>123504928</v>
      </c>
      <c r="X27" s="273">
        <v>9929492</v>
      </c>
      <c r="Y27" s="272">
        <v>149215972</v>
      </c>
      <c r="Z27" s="273">
        <v>8861087</v>
      </c>
      <c r="AA27" s="272">
        <v>155458919</v>
      </c>
      <c r="AB27" s="273">
        <v>6851528</v>
      </c>
      <c r="AC27" s="272">
        <v>145990387</v>
      </c>
      <c r="AD27" s="273">
        <v>9971925</v>
      </c>
    </row>
    <row r="28" spans="1:30" ht="25.9" customHeight="1">
      <c r="A28" s="30">
        <v>1412000048</v>
      </c>
      <c r="B28" s="30" t="s">
        <v>29</v>
      </c>
      <c r="C28" s="31" t="s">
        <v>30</v>
      </c>
      <c r="D28" s="184"/>
      <c r="E28" s="181"/>
      <c r="F28" s="182"/>
      <c r="G28" s="272">
        <v>1268149</v>
      </c>
      <c r="H28" s="273">
        <v>706228</v>
      </c>
      <c r="I28" s="272">
        <v>2147688</v>
      </c>
      <c r="J28" s="273">
        <v>769569</v>
      </c>
      <c r="K28" s="272">
        <v>2627580</v>
      </c>
      <c r="L28" s="273">
        <v>910377</v>
      </c>
      <c r="M28" s="272">
        <v>4049509</v>
      </c>
      <c r="N28" s="273">
        <v>1282154</v>
      </c>
      <c r="O28" s="272">
        <v>3899166</v>
      </c>
      <c r="P28" s="273">
        <v>1085874</v>
      </c>
      <c r="Q28" s="272">
        <v>3539639</v>
      </c>
      <c r="R28" s="273">
        <v>1104801</v>
      </c>
      <c r="S28" s="272">
        <v>2851950</v>
      </c>
      <c r="T28" s="273">
        <v>1087913</v>
      </c>
      <c r="U28" s="272">
        <v>2226285</v>
      </c>
      <c r="V28" s="273">
        <v>817120</v>
      </c>
      <c r="W28" s="272">
        <v>906721</v>
      </c>
      <c r="X28" s="273">
        <v>802383</v>
      </c>
      <c r="Y28" s="272">
        <v>1421372</v>
      </c>
      <c r="Z28" s="273">
        <v>716047</v>
      </c>
      <c r="AA28" s="272">
        <v>1065726</v>
      </c>
      <c r="AB28" s="273">
        <v>553659</v>
      </c>
      <c r="AC28" s="272">
        <v>753239</v>
      </c>
      <c r="AD28" s="273">
        <v>805812</v>
      </c>
    </row>
    <row r="29" spans="1:30" ht="25.9" customHeight="1">
      <c r="A29" s="30">
        <v>1412000063</v>
      </c>
      <c r="B29" s="30" t="s">
        <v>31</v>
      </c>
      <c r="C29" s="31" t="s">
        <v>96</v>
      </c>
      <c r="D29" s="184"/>
      <c r="E29" s="181"/>
      <c r="F29" s="182"/>
      <c r="G29" s="272">
        <v>67886</v>
      </c>
      <c r="H29" s="273">
        <v>294262</v>
      </c>
      <c r="I29" s="272">
        <v>114969</v>
      </c>
      <c r="J29" s="273">
        <v>288588</v>
      </c>
      <c r="K29" s="272">
        <v>140659</v>
      </c>
      <c r="L29" s="273">
        <v>341391</v>
      </c>
      <c r="M29" s="272">
        <v>216777</v>
      </c>
      <c r="N29" s="273">
        <v>587654</v>
      </c>
      <c r="O29" s="272">
        <v>208729</v>
      </c>
      <c r="P29" s="273">
        <v>497692</v>
      </c>
      <c r="Q29" s="272">
        <v>189483</v>
      </c>
      <c r="R29" s="273">
        <v>598434</v>
      </c>
      <c r="S29" s="272">
        <v>152669</v>
      </c>
      <c r="T29" s="273">
        <v>543957</v>
      </c>
      <c r="U29" s="272">
        <v>119177</v>
      </c>
      <c r="V29" s="273">
        <v>408560</v>
      </c>
      <c r="W29" s="272">
        <v>48538</v>
      </c>
      <c r="X29" s="273">
        <v>367759</v>
      </c>
      <c r="Y29" s="272">
        <v>76088</v>
      </c>
      <c r="Z29" s="273">
        <v>328188</v>
      </c>
      <c r="AA29" s="272">
        <v>57050</v>
      </c>
      <c r="AB29" s="273">
        <v>230691</v>
      </c>
      <c r="AC29" s="272">
        <v>40322</v>
      </c>
      <c r="AD29" s="273">
        <v>335755</v>
      </c>
    </row>
    <row r="30" spans="1:30" ht="25.9" customHeight="1">
      <c r="A30" s="30">
        <v>1412000036</v>
      </c>
      <c r="B30" s="30" t="s">
        <v>127</v>
      </c>
      <c r="C30" s="31" t="s">
        <v>191</v>
      </c>
      <c r="D30" s="184"/>
      <c r="E30" s="181"/>
      <c r="F30" s="182"/>
      <c r="G30" s="272">
        <v>161259654</v>
      </c>
      <c r="H30" s="273">
        <v>3207453</v>
      </c>
      <c r="I30" s="272">
        <v>184240060</v>
      </c>
      <c r="J30" s="273">
        <v>3495124</v>
      </c>
      <c r="K30" s="272">
        <v>253069181</v>
      </c>
      <c r="L30" s="273">
        <v>4134630</v>
      </c>
      <c r="M30" s="272">
        <v>296661048</v>
      </c>
      <c r="N30" s="273">
        <v>5769693</v>
      </c>
      <c r="O30" s="272">
        <v>315090256</v>
      </c>
      <c r="P30" s="273">
        <v>4569720</v>
      </c>
      <c r="Q30" s="272">
        <v>304173947</v>
      </c>
      <c r="R30" s="273">
        <v>4603336</v>
      </c>
      <c r="S30" s="272">
        <v>248315991</v>
      </c>
      <c r="T30" s="273">
        <v>4487642</v>
      </c>
      <c r="U30" s="272">
        <v>227011674</v>
      </c>
      <c r="V30" s="273">
        <v>3370619</v>
      </c>
      <c r="W30" s="272">
        <v>145857668</v>
      </c>
      <c r="X30" s="273">
        <v>3309831</v>
      </c>
      <c r="Y30" s="272">
        <v>111240594</v>
      </c>
      <c r="Z30" s="273">
        <v>2953696</v>
      </c>
      <c r="AA30" s="272">
        <v>111421595</v>
      </c>
      <c r="AB30" s="273">
        <v>2283843</v>
      </c>
      <c r="AC30" s="272">
        <v>114848341</v>
      </c>
      <c r="AD30" s="273">
        <v>3290400</v>
      </c>
    </row>
    <row r="31" spans="1:30" ht="25.9" customHeight="1">
      <c r="A31" s="252">
        <v>1412000103</v>
      </c>
      <c r="B31" s="252" t="s">
        <v>127</v>
      </c>
      <c r="C31" s="253" t="s">
        <v>192</v>
      </c>
      <c r="D31" s="184"/>
      <c r="E31" s="181"/>
      <c r="F31" s="182"/>
      <c r="G31" s="272">
        <v>222773975</v>
      </c>
      <c r="H31" s="273">
        <v>7062281</v>
      </c>
      <c r="I31" s="272">
        <v>235897731</v>
      </c>
      <c r="J31" s="273">
        <v>7663621</v>
      </c>
      <c r="K31" s="272">
        <v>276218650</v>
      </c>
      <c r="L31" s="273">
        <v>9027907</v>
      </c>
      <c r="M31" s="272">
        <v>280665744</v>
      </c>
      <c r="N31" s="273">
        <v>12661271</v>
      </c>
      <c r="O31" s="272">
        <v>288220435</v>
      </c>
      <c r="P31" s="273">
        <v>10723007</v>
      </c>
      <c r="Q31" s="272">
        <v>253851821</v>
      </c>
      <c r="R31" s="273">
        <v>10725773</v>
      </c>
      <c r="S31" s="272">
        <v>224748729</v>
      </c>
      <c r="T31" s="273">
        <v>10516495</v>
      </c>
      <c r="U31" s="272">
        <v>224101936</v>
      </c>
      <c r="V31" s="273">
        <v>7864778</v>
      </c>
      <c r="W31" s="272">
        <v>211605801</v>
      </c>
      <c r="X31" s="273">
        <v>7689506</v>
      </c>
      <c r="Y31" s="272">
        <v>209306608</v>
      </c>
      <c r="Z31" s="273">
        <v>6832286</v>
      </c>
      <c r="AA31" s="272">
        <v>205844960</v>
      </c>
      <c r="AB31" s="273">
        <v>5282828</v>
      </c>
      <c r="AC31" s="272">
        <v>207775235</v>
      </c>
      <c r="AD31" s="273">
        <v>7655215</v>
      </c>
    </row>
    <row r="32" spans="1:30" ht="25.9" customHeight="1">
      <c r="A32" s="30">
        <v>1412000072</v>
      </c>
      <c r="B32" s="30" t="s">
        <v>128</v>
      </c>
      <c r="C32" s="31" t="s">
        <v>82</v>
      </c>
      <c r="D32" s="184"/>
      <c r="E32" s="181"/>
      <c r="F32" s="182"/>
      <c r="G32" s="272">
        <v>163498803</v>
      </c>
      <c r="H32" s="273">
        <v>1559587</v>
      </c>
      <c r="I32" s="272">
        <v>168181531</v>
      </c>
      <c r="J32" s="273">
        <v>1699464</v>
      </c>
      <c r="K32" s="272">
        <v>221042029</v>
      </c>
      <c r="L32" s="273">
        <v>2010416</v>
      </c>
      <c r="M32" s="272">
        <v>231291016</v>
      </c>
      <c r="N32" s="273">
        <v>2778000</v>
      </c>
      <c r="O32" s="272">
        <v>237637802</v>
      </c>
      <c r="P32" s="273">
        <v>2397972</v>
      </c>
      <c r="Q32" s="272">
        <v>214142546</v>
      </c>
      <c r="R32" s="273">
        <v>2393735</v>
      </c>
      <c r="S32" s="272">
        <v>184104738</v>
      </c>
      <c r="T32" s="273">
        <v>2357146</v>
      </c>
      <c r="U32" s="272">
        <v>181718754</v>
      </c>
      <c r="V32" s="273">
        <v>1770426</v>
      </c>
      <c r="W32" s="272">
        <v>153923936</v>
      </c>
      <c r="X32" s="273">
        <v>1705064</v>
      </c>
      <c r="Y32" s="272">
        <v>140562218</v>
      </c>
      <c r="Z32" s="273">
        <v>1521601</v>
      </c>
      <c r="AA32" s="272">
        <v>139773745</v>
      </c>
      <c r="AB32" s="273">
        <v>1176525</v>
      </c>
      <c r="AC32" s="272">
        <v>142960935</v>
      </c>
      <c r="AD32" s="273">
        <v>1678775</v>
      </c>
    </row>
    <row r="33" spans="1:30" ht="25.9" customHeight="1">
      <c r="A33" s="30">
        <v>1412000073</v>
      </c>
      <c r="B33" s="30" t="s">
        <v>65</v>
      </c>
      <c r="C33" s="31" t="s">
        <v>66</v>
      </c>
      <c r="D33" s="184"/>
      <c r="E33" s="181"/>
      <c r="F33" s="182"/>
      <c r="G33" s="272">
        <v>1207227</v>
      </c>
      <c r="H33" s="273">
        <v>441393</v>
      </c>
      <c r="I33" s="272">
        <v>948132</v>
      </c>
      <c r="J33" s="273">
        <v>480980</v>
      </c>
      <c r="K33" s="272">
        <v>872435</v>
      </c>
      <c r="L33" s="273">
        <v>568986</v>
      </c>
      <c r="M33" s="272">
        <v>922876</v>
      </c>
      <c r="N33" s="273">
        <v>801346</v>
      </c>
      <c r="O33" s="272">
        <v>972505</v>
      </c>
      <c r="P33" s="273">
        <v>678671</v>
      </c>
      <c r="Q33" s="272">
        <v>917728</v>
      </c>
      <c r="R33" s="273">
        <v>690500</v>
      </c>
      <c r="S33" s="272">
        <v>831066</v>
      </c>
      <c r="T33" s="273">
        <v>679946</v>
      </c>
      <c r="U33" s="272">
        <v>906144</v>
      </c>
      <c r="V33" s="273">
        <v>510700</v>
      </c>
      <c r="W33" s="272">
        <v>1093877</v>
      </c>
      <c r="X33" s="273">
        <v>501490</v>
      </c>
      <c r="Y33" s="272">
        <v>1315241</v>
      </c>
      <c r="Z33" s="273">
        <v>447530</v>
      </c>
      <c r="AA33" s="272">
        <v>1335202</v>
      </c>
      <c r="AB33" s="273">
        <v>346037</v>
      </c>
      <c r="AC33" s="272">
        <v>1254067</v>
      </c>
      <c r="AD33" s="273">
        <v>503633</v>
      </c>
    </row>
    <row r="34" spans="1:30" ht="25.9" customHeight="1">
      <c r="A34" s="30">
        <v>1412000008</v>
      </c>
      <c r="B34" s="30" t="s">
        <v>32</v>
      </c>
      <c r="C34" s="31" t="s">
        <v>33</v>
      </c>
      <c r="D34" s="184"/>
      <c r="E34" s="181"/>
      <c r="F34" s="182"/>
      <c r="G34" s="272">
        <v>1892497</v>
      </c>
      <c r="H34" s="273">
        <v>294262</v>
      </c>
      <c r="I34" s="272">
        <v>1697070</v>
      </c>
      <c r="J34" s="273">
        <v>320654</v>
      </c>
      <c r="K34" s="272">
        <v>1548171</v>
      </c>
      <c r="L34" s="273">
        <v>379324</v>
      </c>
      <c r="M34" s="272">
        <v>1665083</v>
      </c>
      <c r="N34" s="273">
        <v>534231</v>
      </c>
      <c r="O34" s="272">
        <v>1776206</v>
      </c>
      <c r="P34" s="273">
        <v>452448</v>
      </c>
      <c r="Q34" s="272">
        <v>1730953</v>
      </c>
      <c r="R34" s="273">
        <v>460334</v>
      </c>
      <c r="S34" s="272">
        <v>1417376</v>
      </c>
      <c r="T34" s="273">
        <v>453297</v>
      </c>
      <c r="U34" s="272">
        <v>1568216</v>
      </c>
      <c r="V34" s="273">
        <v>340467</v>
      </c>
      <c r="W34" s="272">
        <v>1678744</v>
      </c>
      <c r="X34" s="273">
        <v>334326</v>
      </c>
      <c r="Y34" s="272">
        <v>1920136</v>
      </c>
      <c r="Z34" s="273">
        <v>298353</v>
      </c>
      <c r="AA34" s="272">
        <v>1987771</v>
      </c>
      <c r="AB34" s="273">
        <v>230691</v>
      </c>
      <c r="AC34" s="272">
        <v>1977773</v>
      </c>
      <c r="AD34" s="273">
        <v>335755</v>
      </c>
    </row>
    <row r="35" spans="1:30" ht="25.9" customHeight="1">
      <c r="A35" s="30">
        <v>1412000054</v>
      </c>
      <c r="B35" s="30" t="s">
        <v>34</v>
      </c>
      <c r="C35" s="31" t="s">
        <v>4</v>
      </c>
      <c r="D35" s="184"/>
      <c r="E35" s="181"/>
      <c r="F35" s="182"/>
      <c r="G35" s="272">
        <v>2609255</v>
      </c>
      <c r="H35" s="273">
        <v>411966</v>
      </c>
      <c r="I35" s="272">
        <v>2344293</v>
      </c>
      <c r="J35" s="273">
        <v>448915</v>
      </c>
      <c r="K35" s="272">
        <v>2138358</v>
      </c>
      <c r="L35" s="273">
        <v>531053</v>
      </c>
      <c r="M35" s="272">
        <v>2300354</v>
      </c>
      <c r="N35" s="273">
        <v>747923</v>
      </c>
      <c r="O35" s="272">
        <v>2454271</v>
      </c>
      <c r="P35" s="273">
        <v>633427</v>
      </c>
      <c r="Q35" s="272">
        <v>2392744</v>
      </c>
      <c r="R35" s="273">
        <v>644467</v>
      </c>
      <c r="S35" s="272">
        <v>1956624</v>
      </c>
      <c r="T35" s="273">
        <v>634616</v>
      </c>
      <c r="U35" s="272">
        <v>2165298</v>
      </c>
      <c r="V35" s="273">
        <v>476653</v>
      </c>
      <c r="W35" s="272">
        <v>2313779</v>
      </c>
      <c r="X35" s="273">
        <v>468057</v>
      </c>
      <c r="Y35" s="272">
        <v>2644349</v>
      </c>
      <c r="Z35" s="273">
        <v>417694</v>
      </c>
      <c r="AA35" s="272">
        <v>2738372</v>
      </c>
      <c r="AB35" s="273">
        <v>322968</v>
      </c>
      <c r="AC35" s="272">
        <v>2727080</v>
      </c>
      <c r="AD35" s="273">
        <v>470057</v>
      </c>
    </row>
    <row r="36" spans="1:30" ht="25.9" customHeight="1">
      <c r="A36" s="30">
        <v>1412000010</v>
      </c>
      <c r="B36" s="30" t="s">
        <v>35</v>
      </c>
      <c r="C36" s="31" t="s">
        <v>36</v>
      </c>
      <c r="D36" s="184"/>
      <c r="E36" s="181"/>
      <c r="F36" s="182"/>
      <c r="G36" s="272">
        <v>1075137</v>
      </c>
      <c r="H36" s="273">
        <v>176557</v>
      </c>
      <c r="I36" s="272">
        <v>970835</v>
      </c>
      <c r="J36" s="273">
        <v>192392</v>
      </c>
      <c r="K36" s="272">
        <v>885281</v>
      </c>
      <c r="L36" s="273">
        <v>227594</v>
      </c>
      <c r="M36" s="272">
        <v>952906</v>
      </c>
      <c r="N36" s="273">
        <v>320539</v>
      </c>
      <c r="O36" s="272">
        <v>1017098</v>
      </c>
      <c r="P36" s="273">
        <v>271469</v>
      </c>
      <c r="Q36" s="272">
        <v>992686</v>
      </c>
      <c r="R36" s="273">
        <v>276200</v>
      </c>
      <c r="S36" s="272">
        <v>808872</v>
      </c>
      <c r="T36" s="273">
        <v>271978</v>
      </c>
      <c r="U36" s="272">
        <v>895623</v>
      </c>
      <c r="V36" s="273">
        <v>204280</v>
      </c>
      <c r="W36" s="272">
        <v>952553</v>
      </c>
      <c r="X36" s="273">
        <v>200596</v>
      </c>
      <c r="Y36" s="272">
        <v>1086320</v>
      </c>
      <c r="Z36" s="273">
        <v>179012</v>
      </c>
      <c r="AA36" s="272">
        <v>1125902</v>
      </c>
      <c r="AB36" s="273">
        <v>138415</v>
      </c>
      <c r="AC36" s="272">
        <v>1123960</v>
      </c>
      <c r="AD36" s="273">
        <v>201453</v>
      </c>
    </row>
    <row r="37" spans="1:30" ht="25.9" customHeight="1">
      <c r="A37" s="63">
        <v>1412000094</v>
      </c>
      <c r="B37" s="68" t="s">
        <v>125</v>
      </c>
      <c r="C37" s="64" t="s">
        <v>151</v>
      </c>
      <c r="D37" s="190"/>
      <c r="E37" s="188"/>
      <c r="F37" s="189"/>
      <c r="G37" s="272">
        <v>100602</v>
      </c>
      <c r="H37" s="273">
        <v>147131</v>
      </c>
      <c r="I37" s="272">
        <v>79011</v>
      </c>
      <c r="J37" s="273">
        <v>160327</v>
      </c>
      <c r="K37" s="272">
        <v>72703</v>
      </c>
      <c r="L37" s="273">
        <v>189662</v>
      </c>
      <c r="M37" s="272">
        <v>76906</v>
      </c>
      <c r="N37" s="273">
        <v>267115</v>
      </c>
      <c r="O37" s="272">
        <v>81042</v>
      </c>
      <c r="P37" s="273">
        <v>226224</v>
      </c>
      <c r="Q37" s="272">
        <v>76477</v>
      </c>
      <c r="R37" s="273">
        <v>230167</v>
      </c>
      <c r="S37" s="272">
        <v>69255</v>
      </c>
      <c r="T37" s="273">
        <v>226649</v>
      </c>
      <c r="U37" s="272">
        <v>75512</v>
      </c>
      <c r="V37" s="273">
        <v>170233</v>
      </c>
      <c r="W37" s="272">
        <v>91156</v>
      </c>
      <c r="X37" s="273">
        <v>167163</v>
      </c>
      <c r="Y37" s="272">
        <v>109603</v>
      </c>
      <c r="Z37" s="273">
        <v>149177</v>
      </c>
      <c r="AA37" s="272">
        <v>111267</v>
      </c>
      <c r="AB37" s="273">
        <v>115346</v>
      </c>
      <c r="AC37" s="272">
        <v>104506</v>
      </c>
      <c r="AD37" s="273">
        <v>167878</v>
      </c>
    </row>
    <row r="38" spans="1:30" ht="25.9" customHeight="1">
      <c r="A38" s="30">
        <v>1412000013</v>
      </c>
      <c r="B38" s="43" t="s">
        <v>114</v>
      </c>
      <c r="C38" s="31" t="s">
        <v>116</v>
      </c>
      <c r="D38" s="184"/>
      <c r="E38" s="181"/>
      <c r="F38" s="182"/>
      <c r="G38" s="272">
        <v>5044904</v>
      </c>
      <c r="H38" s="273">
        <v>2972043</v>
      </c>
      <c r="I38" s="272">
        <v>6313112</v>
      </c>
      <c r="J38" s="273">
        <v>3238602</v>
      </c>
      <c r="K38" s="272">
        <v>9261809</v>
      </c>
      <c r="L38" s="273">
        <v>3831171</v>
      </c>
      <c r="M38" s="272">
        <v>11074826</v>
      </c>
      <c r="N38" s="273">
        <v>5662847</v>
      </c>
      <c r="O38" s="272">
        <v>11388031</v>
      </c>
      <c r="P38" s="273">
        <v>4795944</v>
      </c>
      <c r="Q38" s="272">
        <v>11315123</v>
      </c>
      <c r="R38" s="273">
        <v>4879536</v>
      </c>
      <c r="S38" s="272">
        <v>9060997</v>
      </c>
      <c r="T38" s="273">
        <v>4804951</v>
      </c>
      <c r="U38" s="272">
        <v>8158610</v>
      </c>
      <c r="V38" s="273">
        <v>3608946</v>
      </c>
      <c r="W38" s="272">
        <v>5910096</v>
      </c>
      <c r="X38" s="273">
        <v>3543859</v>
      </c>
      <c r="Y38" s="272">
        <v>5244116</v>
      </c>
      <c r="Z38" s="273">
        <v>3162543</v>
      </c>
      <c r="AA38" s="272">
        <v>5358378</v>
      </c>
      <c r="AB38" s="273">
        <v>2445326</v>
      </c>
      <c r="AC38" s="272">
        <v>4380891</v>
      </c>
      <c r="AD38" s="273">
        <v>3559004</v>
      </c>
    </row>
    <row r="39" spans="1:30" ht="25.9" customHeight="1">
      <c r="A39" s="30">
        <v>1412000092</v>
      </c>
      <c r="B39" s="23" t="s">
        <v>115</v>
      </c>
      <c r="C39" s="31" t="s">
        <v>117</v>
      </c>
      <c r="D39" s="184"/>
      <c r="E39" s="181"/>
      <c r="F39" s="182"/>
      <c r="G39" s="272">
        <v>5597890</v>
      </c>
      <c r="H39" s="273">
        <v>1353604</v>
      </c>
      <c r="I39" s="272">
        <v>5467007</v>
      </c>
      <c r="J39" s="273">
        <v>1475007</v>
      </c>
      <c r="K39" s="272">
        <v>6010480</v>
      </c>
      <c r="L39" s="273">
        <v>1744890</v>
      </c>
      <c r="M39" s="272">
        <v>6599482</v>
      </c>
      <c r="N39" s="273">
        <v>2564308</v>
      </c>
      <c r="O39" s="272">
        <v>7031358</v>
      </c>
      <c r="P39" s="273">
        <v>2171748</v>
      </c>
      <c r="Q39" s="272">
        <v>6684089</v>
      </c>
      <c r="R39" s="273">
        <v>2209601</v>
      </c>
      <c r="S39" s="272">
        <v>5753478</v>
      </c>
      <c r="T39" s="273">
        <v>2175827</v>
      </c>
      <c r="U39" s="272">
        <v>5842593</v>
      </c>
      <c r="V39" s="273">
        <v>1634240</v>
      </c>
      <c r="W39" s="272">
        <v>5925955</v>
      </c>
      <c r="X39" s="273">
        <v>1604766</v>
      </c>
      <c r="Y39" s="272">
        <v>5108741</v>
      </c>
      <c r="Z39" s="273">
        <v>1432095</v>
      </c>
      <c r="AA39" s="272">
        <v>4249388</v>
      </c>
      <c r="AB39" s="273">
        <v>1107318</v>
      </c>
      <c r="AC39" s="272">
        <v>4173923</v>
      </c>
      <c r="AD39" s="273">
        <v>1611624</v>
      </c>
    </row>
    <row r="40" spans="1:30" ht="25.9" customHeight="1">
      <c r="A40" s="30">
        <v>1412000035</v>
      </c>
      <c r="B40" s="30" t="s">
        <v>67</v>
      </c>
      <c r="C40" s="31" t="s">
        <v>68</v>
      </c>
      <c r="D40" s="184"/>
      <c r="E40" s="181"/>
      <c r="F40" s="182"/>
      <c r="G40" s="272">
        <v>1092855</v>
      </c>
      <c r="H40" s="273">
        <v>765080</v>
      </c>
      <c r="I40" s="272">
        <v>1399265</v>
      </c>
      <c r="J40" s="273">
        <v>897830</v>
      </c>
      <c r="K40" s="272">
        <v>2231952</v>
      </c>
      <c r="L40" s="273">
        <v>1062107</v>
      </c>
      <c r="M40" s="272">
        <v>3075616</v>
      </c>
      <c r="N40" s="273">
        <v>1495846</v>
      </c>
      <c r="O40" s="272">
        <v>3143751</v>
      </c>
      <c r="P40" s="273">
        <v>1266853</v>
      </c>
      <c r="Q40" s="272">
        <v>2957092</v>
      </c>
      <c r="R40" s="273">
        <v>1288934</v>
      </c>
      <c r="S40" s="272">
        <v>2604116</v>
      </c>
      <c r="T40" s="273">
        <v>1269232</v>
      </c>
      <c r="U40" s="272">
        <v>2123445</v>
      </c>
      <c r="V40" s="273">
        <v>953306</v>
      </c>
      <c r="W40" s="272">
        <v>1339392</v>
      </c>
      <c r="X40" s="273">
        <v>936114</v>
      </c>
      <c r="Y40" s="272">
        <v>1473205</v>
      </c>
      <c r="Z40" s="273">
        <v>835389</v>
      </c>
      <c r="AA40" s="272">
        <v>1479460</v>
      </c>
      <c r="AB40" s="273">
        <v>645935</v>
      </c>
      <c r="AC40" s="272">
        <v>1155700</v>
      </c>
      <c r="AD40" s="273">
        <v>940114</v>
      </c>
    </row>
    <row r="41" spans="1:30" ht="25.9" customHeight="1">
      <c r="A41" s="31">
        <v>1412000080</v>
      </c>
      <c r="B41" s="30" t="s">
        <v>126</v>
      </c>
      <c r="C41" s="31" t="s">
        <v>118</v>
      </c>
      <c r="D41" s="187"/>
      <c r="E41" s="188"/>
      <c r="F41" s="189"/>
      <c r="G41" s="272">
        <v>391678</v>
      </c>
      <c r="H41" s="273">
        <v>706228</v>
      </c>
      <c r="I41" s="272">
        <v>563787</v>
      </c>
      <c r="J41" s="273">
        <v>769569</v>
      </c>
      <c r="K41" s="272">
        <v>823714</v>
      </c>
      <c r="L41" s="273">
        <v>910377</v>
      </c>
      <c r="M41" s="272">
        <v>1182127</v>
      </c>
      <c r="N41" s="273">
        <v>1282154</v>
      </c>
      <c r="O41" s="272">
        <v>1129362</v>
      </c>
      <c r="P41" s="273">
        <v>1176364</v>
      </c>
      <c r="Q41" s="272">
        <v>1027823</v>
      </c>
      <c r="R41" s="273">
        <v>1196867</v>
      </c>
      <c r="S41" s="272">
        <v>716971</v>
      </c>
      <c r="T41" s="273">
        <v>1178573</v>
      </c>
      <c r="U41" s="272">
        <v>680000</v>
      </c>
      <c r="V41" s="273">
        <v>885213</v>
      </c>
      <c r="W41" s="272">
        <v>575025</v>
      </c>
      <c r="X41" s="273">
        <v>902681</v>
      </c>
      <c r="Y41" s="272">
        <v>442483</v>
      </c>
      <c r="Z41" s="273">
        <v>805553</v>
      </c>
      <c r="AA41" s="272">
        <v>418420</v>
      </c>
      <c r="AB41" s="273">
        <v>622866</v>
      </c>
      <c r="AC41" s="272">
        <v>336810</v>
      </c>
      <c r="AD41" s="273">
        <v>906539</v>
      </c>
    </row>
    <row r="42" spans="1:30" ht="25.9" customHeight="1">
      <c r="A42" s="30">
        <v>1412000016</v>
      </c>
      <c r="B42" s="30" t="s">
        <v>59</v>
      </c>
      <c r="C42" s="31" t="s">
        <v>61</v>
      </c>
      <c r="D42" s="184"/>
      <c r="E42" s="181"/>
      <c r="F42" s="182"/>
      <c r="G42" s="272">
        <v>1921872</v>
      </c>
      <c r="H42" s="273">
        <v>588523</v>
      </c>
      <c r="I42" s="272">
        <v>2480640</v>
      </c>
      <c r="J42" s="273">
        <v>673373</v>
      </c>
      <c r="K42" s="272">
        <v>3515599</v>
      </c>
      <c r="L42" s="273">
        <v>796580</v>
      </c>
      <c r="M42" s="272">
        <v>4147708</v>
      </c>
      <c r="N42" s="273">
        <v>1121885</v>
      </c>
      <c r="O42" s="272">
        <v>4300099</v>
      </c>
      <c r="P42" s="273">
        <v>950140</v>
      </c>
      <c r="Q42" s="272">
        <v>4204373</v>
      </c>
      <c r="R42" s="273">
        <v>966701</v>
      </c>
      <c r="S42" s="272">
        <v>3282459</v>
      </c>
      <c r="T42" s="273">
        <v>951924</v>
      </c>
      <c r="U42" s="272">
        <v>2945590</v>
      </c>
      <c r="V42" s="273">
        <v>714980</v>
      </c>
      <c r="W42" s="272">
        <v>2222225</v>
      </c>
      <c r="X42" s="273">
        <v>702085</v>
      </c>
      <c r="Y42" s="272">
        <v>1743850</v>
      </c>
      <c r="Z42" s="273">
        <v>626542</v>
      </c>
      <c r="AA42" s="272">
        <v>1734857</v>
      </c>
      <c r="AB42" s="273">
        <v>484451</v>
      </c>
      <c r="AC42" s="272">
        <v>1538814</v>
      </c>
      <c r="AD42" s="273">
        <v>705086</v>
      </c>
    </row>
    <row r="43" spans="1:30" ht="25.9" customHeight="1">
      <c r="A43" s="30">
        <v>1412000069</v>
      </c>
      <c r="B43" s="30" t="s">
        <v>60</v>
      </c>
      <c r="C43" s="31" t="s">
        <v>62</v>
      </c>
      <c r="D43" s="184"/>
      <c r="E43" s="181"/>
      <c r="F43" s="182"/>
      <c r="G43" s="272">
        <v>1580420</v>
      </c>
      <c r="H43" s="273">
        <v>382540</v>
      </c>
      <c r="I43" s="272">
        <v>2045116</v>
      </c>
      <c r="J43" s="273">
        <v>448915</v>
      </c>
      <c r="K43" s="272">
        <v>2889434</v>
      </c>
      <c r="L43" s="273">
        <v>531053</v>
      </c>
      <c r="M43" s="272">
        <v>3306614</v>
      </c>
      <c r="N43" s="273">
        <v>747923</v>
      </c>
      <c r="O43" s="272">
        <v>3458336</v>
      </c>
      <c r="P43" s="273">
        <v>633427</v>
      </c>
      <c r="Q43" s="272">
        <v>3451986</v>
      </c>
      <c r="R43" s="273">
        <v>644467</v>
      </c>
      <c r="S43" s="272">
        <v>2690258</v>
      </c>
      <c r="T43" s="273">
        <v>634616</v>
      </c>
      <c r="U43" s="272">
        <v>2423945</v>
      </c>
      <c r="V43" s="273">
        <v>476653</v>
      </c>
      <c r="W43" s="272">
        <v>1825765</v>
      </c>
      <c r="X43" s="273">
        <v>468057</v>
      </c>
      <c r="Y43" s="272">
        <v>1423782</v>
      </c>
      <c r="Z43" s="273">
        <v>417694</v>
      </c>
      <c r="AA43" s="272">
        <v>1430877</v>
      </c>
      <c r="AB43" s="273">
        <v>322968</v>
      </c>
      <c r="AC43" s="272">
        <v>1267888</v>
      </c>
      <c r="AD43" s="273">
        <v>470057</v>
      </c>
    </row>
    <row r="44" spans="1:30" ht="25.9" customHeight="1">
      <c r="A44" s="30">
        <v>1412000084</v>
      </c>
      <c r="B44" s="30" t="s">
        <v>104</v>
      </c>
      <c r="C44" s="31" t="s">
        <v>105</v>
      </c>
      <c r="D44" s="184"/>
      <c r="E44" s="181"/>
      <c r="F44" s="182"/>
      <c r="G44" s="272">
        <v>1024356</v>
      </c>
      <c r="H44" s="273">
        <v>617950</v>
      </c>
      <c r="I44" s="272">
        <v>1306572</v>
      </c>
      <c r="J44" s="273">
        <v>673373</v>
      </c>
      <c r="K44" s="272">
        <v>1878495</v>
      </c>
      <c r="L44" s="273">
        <v>796580</v>
      </c>
      <c r="M44" s="272">
        <v>2643439</v>
      </c>
      <c r="N44" s="273">
        <v>1175308</v>
      </c>
      <c r="O44" s="272">
        <v>2645540</v>
      </c>
      <c r="P44" s="273">
        <v>995385</v>
      </c>
      <c r="Q44" s="272">
        <v>2364643</v>
      </c>
      <c r="R44" s="273">
        <v>1012734</v>
      </c>
      <c r="S44" s="272">
        <v>1861202</v>
      </c>
      <c r="T44" s="273">
        <v>997254</v>
      </c>
      <c r="U44" s="272">
        <v>1639454</v>
      </c>
      <c r="V44" s="273">
        <v>749026</v>
      </c>
      <c r="W44" s="272">
        <v>1246019</v>
      </c>
      <c r="X44" s="273">
        <v>735518</v>
      </c>
      <c r="Y44" s="272">
        <v>1005928</v>
      </c>
      <c r="Z44" s="273">
        <v>656377</v>
      </c>
      <c r="AA44" s="272">
        <v>955367</v>
      </c>
      <c r="AB44" s="273">
        <v>507521</v>
      </c>
      <c r="AC44" s="272">
        <v>851481</v>
      </c>
      <c r="AD44" s="273">
        <v>738661</v>
      </c>
    </row>
    <row r="45" spans="1:30" ht="25.9" customHeight="1">
      <c r="A45" s="30">
        <v>1412000018</v>
      </c>
      <c r="B45" s="30" t="s">
        <v>38</v>
      </c>
      <c r="C45" s="31" t="s">
        <v>39</v>
      </c>
      <c r="D45" s="184"/>
      <c r="E45" s="181"/>
      <c r="F45" s="182"/>
      <c r="G45" s="272">
        <v>11516532</v>
      </c>
      <c r="H45" s="273">
        <v>529671</v>
      </c>
      <c r="I45" s="272">
        <v>15406768</v>
      </c>
      <c r="J45" s="273">
        <v>609242</v>
      </c>
      <c r="K45" s="272">
        <v>13717420</v>
      </c>
      <c r="L45" s="273">
        <v>720715</v>
      </c>
      <c r="M45" s="272">
        <v>15155492</v>
      </c>
      <c r="N45" s="273">
        <v>1015039</v>
      </c>
      <c r="O45" s="272">
        <v>12343574</v>
      </c>
      <c r="P45" s="273">
        <v>859650</v>
      </c>
      <c r="Q45" s="272">
        <v>13206708</v>
      </c>
      <c r="R45" s="273">
        <v>874634</v>
      </c>
      <c r="S45" s="272">
        <v>10406026</v>
      </c>
      <c r="T45" s="273">
        <v>861265</v>
      </c>
      <c r="U45" s="272">
        <v>9643859</v>
      </c>
      <c r="V45" s="273">
        <v>646887</v>
      </c>
      <c r="W45" s="272">
        <v>9059803</v>
      </c>
      <c r="X45" s="273">
        <v>635220</v>
      </c>
      <c r="Y45" s="272">
        <v>12014577</v>
      </c>
      <c r="Z45" s="273">
        <v>566871</v>
      </c>
      <c r="AA45" s="272">
        <v>12638580</v>
      </c>
      <c r="AB45" s="273">
        <v>438313</v>
      </c>
      <c r="AC45" s="272">
        <v>11991376</v>
      </c>
      <c r="AD45" s="273">
        <v>637935</v>
      </c>
    </row>
    <row r="46" spans="1:30" ht="25.9" customHeight="1">
      <c r="A46" s="30">
        <v>1412000019</v>
      </c>
      <c r="B46" s="30" t="s">
        <v>100</v>
      </c>
      <c r="C46" s="31" t="s">
        <v>40</v>
      </c>
      <c r="D46" s="184"/>
      <c r="E46" s="181"/>
      <c r="F46" s="182"/>
      <c r="G46" s="272">
        <v>9359788</v>
      </c>
      <c r="H46" s="273">
        <v>1324178</v>
      </c>
      <c r="I46" s="272">
        <v>10296187</v>
      </c>
      <c r="J46" s="273">
        <v>1442941</v>
      </c>
      <c r="K46" s="272">
        <v>12468552</v>
      </c>
      <c r="L46" s="273">
        <v>1706957</v>
      </c>
      <c r="M46" s="272">
        <v>13679786</v>
      </c>
      <c r="N46" s="273">
        <v>2404039</v>
      </c>
      <c r="O46" s="272">
        <v>14355289</v>
      </c>
      <c r="P46" s="273">
        <v>2036014</v>
      </c>
      <c r="Q46" s="272">
        <v>13382200</v>
      </c>
      <c r="R46" s="273">
        <v>2071501</v>
      </c>
      <c r="S46" s="272">
        <v>11015273</v>
      </c>
      <c r="T46" s="273">
        <v>2085167</v>
      </c>
      <c r="U46" s="272">
        <v>10269379</v>
      </c>
      <c r="V46" s="273">
        <v>1566146</v>
      </c>
      <c r="W46" s="272">
        <v>9652961</v>
      </c>
      <c r="X46" s="273">
        <v>1537901</v>
      </c>
      <c r="Y46" s="272">
        <v>8129943</v>
      </c>
      <c r="Z46" s="273">
        <v>1372424</v>
      </c>
      <c r="AA46" s="272">
        <v>8987470</v>
      </c>
      <c r="AB46" s="273">
        <v>1061179</v>
      </c>
      <c r="AC46" s="272">
        <v>7873676</v>
      </c>
      <c r="AD46" s="273">
        <v>1544473</v>
      </c>
    </row>
    <row r="47" spans="1:30" ht="25.9" customHeight="1">
      <c r="A47" s="30">
        <v>1412000070</v>
      </c>
      <c r="B47" s="30" t="s">
        <v>63</v>
      </c>
      <c r="C47" s="31" t="s">
        <v>64</v>
      </c>
      <c r="D47" s="184"/>
      <c r="E47" s="181"/>
      <c r="F47" s="182"/>
      <c r="G47" s="272">
        <v>643091</v>
      </c>
      <c r="H47" s="273">
        <v>235409</v>
      </c>
      <c r="I47" s="272">
        <v>674947</v>
      </c>
      <c r="J47" s="273">
        <v>256523</v>
      </c>
      <c r="K47" s="272">
        <v>608572</v>
      </c>
      <c r="L47" s="273">
        <v>303459</v>
      </c>
      <c r="M47" s="272">
        <v>664037</v>
      </c>
      <c r="N47" s="273">
        <v>427385</v>
      </c>
      <c r="O47" s="272">
        <v>721526</v>
      </c>
      <c r="P47" s="273">
        <v>361958</v>
      </c>
      <c r="Q47" s="272">
        <v>723347</v>
      </c>
      <c r="R47" s="273">
        <v>368267</v>
      </c>
      <c r="S47" s="272">
        <v>532856</v>
      </c>
      <c r="T47" s="273">
        <v>362638</v>
      </c>
      <c r="U47" s="272">
        <v>600774</v>
      </c>
      <c r="V47" s="273">
        <v>272373</v>
      </c>
      <c r="W47" s="272">
        <v>555857</v>
      </c>
      <c r="X47" s="273">
        <v>267461</v>
      </c>
      <c r="Y47" s="272">
        <v>589801</v>
      </c>
      <c r="Z47" s="273">
        <v>238682</v>
      </c>
      <c r="AA47" s="272">
        <v>623646</v>
      </c>
      <c r="AB47" s="273">
        <v>184553</v>
      </c>
      <c r="AC47" s="272">
        <v>683800</v>
      </c>
      <c r="AD47" s="273">
        <v>268604</v>
      </c>
    </row>
    <row r="48" spans="1:30" ht="25.9" customHeight="1">
      <c r="A48" s="30">
        <v>1412000021</v>
      </c>
      <c r="B48" s="30" t="s">
        <v>41</v>
      </c>
      <c r="C48" s="31" t="s">
        <v>42</v>
      </c>
      <c r="D48" s="184"/>
      <c r="E48" s="181"/>
      <c r="F48" s="182"/>
      <c r="G48" s="272">
        <v>564503</v>
      </c>
      <c r="H48" s="273">
        <v>205983</v>
      </c>
      <c r="I48" s="272">
        <v>592152</v>
      </c>
      <c r="J48" s="273">
        <v>224458</v>
      </c>
      <c r="K48" s="272">
        <v>533728</v>
      </c>
      <c r="L48" s="273">
        <v>265527</v>
      </c>
      <c r="M48" s="272">
        <v>582126</v>
      </c>
      <c r="N48" s="273">
        <v>373962</v>
      </c>
      <c r="O48" s="272">
        <v>633052</v>
      </c>
      <c r="P48" s="273">
        <v>316713</v>
      </c>
      <c r="Q48" s="272">
        <v>634376</v>
      </c>
      <c r="R48" s="273">
        <v>322234</v>
      </c>
      <c r="S48" s="272">
        <v>467300</v>
      </c>
      <c r="T48" s="273">
        <v>317308</v>
      </c>
      <c r="U48" s="272">
        <v>527016</v>
      </c>
      <c r="V48" s="273">
        <v>238327</v>
      </c>
      <c r="W48" s="272">
        <v>488254</v>
      </c>
      <c r="X48" s="273">
        <v>234028</v>
      </c>
      <c r="Y48" s="272">
        <v>518351</v>
      </c>
      <c r="Z48" s="273">
        <v>208847</v>
      </c>
      <c r="AA48" s="272">
        <v>547263</v>
      </c>
      <c r="AB48" s="273">
        <v>161484</v>
      </c>
      <c r="AC48" s="272">
        <v>600979</v>
      </c>
      <c r="AD48" s="273">
        <v>235029</v>
      </c>
    </row>
    <row r="49" spans="1:30" ht="25.9" customHeight="1">
      <c r="A49" s="30">
        <v>1412000022</v>
      </c>
      <c r="B49" s="30" t="s">
        <v>43</v>
      </c>
      <c r="C49" s="31" t="s">
        <v>44</v>
      </c>
      <c r="D49" s="184"/>
      <c r="E49" s="181"/>
      <c r="F49" s="182"/>
      <c r="G49" s="272">
        <v>485916</v>
      </c>
      <c r="H49" s="273">
        <v>176557</v>
      </c>
      <c r="I49" s="272">
        <v>509357</v>
      </c>
      <c r="J49" s="273">
        <v>192392</v>
      </c>
      <c r="K49" s="272">
        <v>533728</v>
      </c>
      <c r="L49" s="273">
        <v>265527</v>
      </c>
      <c r="M49" s="272">
        <v>582126</v>
      </c>
      <c r="N49" s="273">
        <v>373962</v>
      </c>
      <c r="O49" s="272">
        <v>633052</v>
      </c>
      <c r="P49" s="273">
        <v>316713</v>
      </c>
      <c r="Q49" s="272">
        <v>634376</v>
      </c>
      <c r="R49" s="273">
        <v>322234</v>
      </c>
      <c r="S49" s="272">
        <v>532856</v>
      </c>
      <c r="T49" s="273">
        <v>362638</v>
      </c>
      <c r="U49" s="272">
        <v>600774</v>
      </c>
      <c r="V49" s="273">
        <v>272373</v>
      </c>
      <c r="W49" s="272">
        <v>488254</v>
      </c>
      <c r="X49" s="273">
        <v>234028</v>
      </c>
      <c r="Y49" s="272">
        <v>518351</v>
      </c>
      <c r="Z49" s="273">
        <v>208847</v>
      </c>
      <c r="AA49" s="272">
        <v>547263</v>
      </c>
      <c r="AB49" s="273">
        <v>161484</v>
      </c>
      <c r="AC49" s="272">
        <v>600979</v>
      </c>
      <c r="AD49" s="273">
        <v>235029</v>
      </c>
    </row>
    <row r="50" spans="1:30" ht="25.9" customHeight="1">
      <c r="A50" s="30">
        <v>1412000042</v>
      </c>
      <c r="B50" s="30" t="s">
        <v>45</v>
      </c>
      <c r="C50" s="31" t="s">
        <v>46</v>
      </c>
      <c r="D50" s="184"/>
      <c r="E50" s="181"/>
      <c r="F50" s="182"/>
      <c r="G50" s="272">
        <v>407329</v>
      </c>
      <c r="H50" s="273">
        <v>147131</v>
      </c>
      <c r="I50" s="272">
        <v>426562</v>
      </c>
      <c r="J50" s="273">
        <v>160327</v>
      </c>
      <c r="K50" s="272">
        <v>384040</v>
      </c>
      <c r="L50" s="273">
        <v>189662</v>
      </c>
      <c r="M50" s="272">
        <v>418303</v>
      </c>
      <c r="N50" s="273">
        <v>267115</v>
      </c>
      <c r="O50" s="272">
        <v>456104</v>
      </c>
      <c r="P50" s="273">
        <v>226224</v>
      </c>
      <c r="Q50" s="272">
        <v>456436</v>
      </c>
      <c r="R50" s="273">
        <v>230167</v>
      </c>
      <c r="S50" s="272">
        <v>336187</v>
      </c>
      <c r="T50" s="273">
        <v>226649</v>
      </c>
      <c r="U50" s="272">
        <v>379499</v>
      </c>
      <c r="V50" s="273">
        <v>170233</v>
      </c>
      <c r="W50" s="272">
        <v>353050</v>
      </c>
      <c r="X50" s="273">
        <v>167163</v>
      </c>
      <c r="Y50" s="272">
        <v>375452</v>
      </c>
      <c r="Z50" s="273">
        <v>149177</v>
      </c>
      <c r="AA50" s="272">
        <v>394496</v>
      </c>
      <c r="AB50" s="273">
        <v>115346</v>
      </c>
      <c r="AC50" s="272">
        <v>435337</v>
      </c>
      <c r="AD50" s="273">
        <v>167878</v>
      </c>
    </row>
    <row r="51" spans="1:30" ht="25.9" customHeight="1">
      <c r="A51" s="30">
        <v>1412000058</v>
      </c>
      <c r="B51" s="30" t="s">
        <v>48</v>
      </c>
      <c r="C51" s="31" t="s">
        <v>47</v>
      </c>
      <c r="D51" s="184"/>
      <c r="E51" s="181"/>
      <c r="F51" s="182"/>
      <c r="G51" s="272">
        <v>1428963</v>
      </c>
      <c r="H51" s="273">
        <v>529671</v>
      </c>
      <c r="I51" s="272">
        <v>1502897</v>
      </c>
      <c r="J51" s="273">
        <v>577177</v>
      </c>
      <c r="K51" s="272">
        <v>1357012</v>
      </c>
      <c r="L51" s="273">
        <v>682783</v>
      </c>
      <c r="M51" s="272">
        <v>1483151</v>
      </c>
      <c r="N51" s="273">
        <v>961616</v>
      </c>
      <c r="O51" s="272">
        <v>1606269</v>
      </c>
      <c r="P51" s="273">
        <v>814406</v>
      </c>
      <c r="Q51" s="272">
        <v>1613049</v>
      </c>
      <c r="R51" s="273">
        <v>828601</v>
      </c>
      <c r="S51" s="272">
        <v>1188422</v>
      </c>
      <c r="T51" s="273">
        <v>815935</v>
      </c>
      <c r="U51" s="272">
        <v>1338359</v>
      </c>
      <c r="V51" s="273">
        <v>612840</v>
      </c>
      <c r="W51" s="272">
        <v>1231880</v>
      </c>
      <c r="X51" s="273">
        <v>601787</v>
      </c>
      <c r="Y51" s="272">
        <v>1304300</v>
      </c>
      <c r="Z51" s="273">
        <v>537036</v>
      </c>
      <c r="AA51" s="272">
        <v>1387482</v>
      </c>
      <c r="AB51" s="273">
        <v>415244</v>
      </c>
      <c r="AC51" s="272">
        <v>1512012</v>
      </c>
      <c r="AD51" s="273">
        <v>604359</v>
      </c>
    </row>
    <row r="52" spans="1:30" ht="25.9" customHeight="1">
      <c r="A52" s="41">
        <v>1412000024</v>
      </c>
      <c r="B52" s="30" t="s">
        <v>49</v>
      </c>
      <c r="C52" s="42" t="s">
        <v>50</v>
      </c>
      <c r="D52" s="184"/>
      <c r="E52" s="181"/>
      <c r="F52" s="182"/>
      <c r="G52" s="272">
        <v>143165710</v>
      </c>
      <c r="H52" s="273">
        <v>529671</v>
      </c>
      <c r="I52" s="272">
        <v>161282874</v>
      </c>
      <c r="J52" s="273">
        <v>577177</v>
      </c>
      <c r="K52" s="272">
        <v>209006788</v>
      </c>
      <c r="L52" s="273">
        <v>682783</v>
      </c>
      <c r="M52" s="272">
        <v>242099677</v>
      </c>
      <c r="N52" s="273">
        <v>961616</v>
      </c>
      <c r="O52" s="272">
        <v>267213069</v>
      </c>
      <c r="P52" s="273">
        <v>814406</v>
      </c>
      <c r="Q52" s="272">
        <v>255241617</v>
      </c>
      <c r="R52" s="273">
        <v>828601</v>
      </c>
      <c r="S52" s="272">
        <v>197149424</v>
      </c>
      <c r="T52" s="273">
        <v>815935</v>
      </c>
      <c r="U52" s="272">
        <v>190404424</v>
      </c>
      <c r="V52" s="273">
        <v>612840</v>
      </c>
      <c r="W52" s="272">
        <v>141027713</v>
      </c>
      <c r="X52" s="273">
        <v>601787</v>
      </c>
      <c r="Y52" s="272">
        <v>118928406</v>
      </c>
      <c r="Z52" s="273">
        <v>537036</v>
      </c>
      <c r="AA52" s="272">
        <v>125555157</v>
      </c>
      <c r="AB52" s="273">
        <v>415244</v>
      </c>
      <c r="AC52" s="272">
        <v>129760344</v>
      </c>
      <c r="AD52" s="273">
        <v>604359</v>
      </c>
    </row>
    <row r="53" spans="1:30" ht="25.9" customHeight="1">
      <c r="A53" s="30">
        <v>1412000025</v>
      </c>
      <c r="B53" s="30" t="s">
        <v>52</v>
      </c>
      <c r="C53" s="31" t="s">
        <v>5</v>
      </c>
      <c r="D53" s="184"/>
      <c r="E53" s="181"/>
      <c r="F53" s="182"/>
      <c r="G53" s="272">
        <v>5531228</v>
      </c>
      <c r="H53" s="273">
        <v>441393</v>
      </c>
      <c r="I53" s="272">
        <v>5837262</v>
      </c>
      <c r="J53" s="273">
        <v>480980</v>
      </c>
      <c r="K53" s="272">
        <v>6292427</v>
      </c>
      <c r="L53" s="273">
        <v>568986</v>
      </c>
      <c r="M53" s="272">
        <v>6880759</v>
      </c>
      <c r="N53" s="273">
        <v>801346</v>
      </c>
      <c r="O53" s="272">
        <v>7991226</v>
      </c>
      <c r="P53" s="273">
        <v>678671</v>
      </c>
      <c r="Q53" s="272">
        <v>8123426</v>
      </c>
      <c r="R53" s="273">
        <v>690500</v>
      </c>
      <c r="S53" s="272">
        <v>5446009</v>
      </c>
      <c r="T53" s="273">
        <v>679946</v>
      </c>
      <c r="U53" s="272">
        <v>6125188</v>
      </c>
      <c r="V53" s="273">
        <v>510700</v>
      </c>
      <c r="W53" s="272">
        <v>6261748</v>
      </c>
      <c r="X53" s="273">
        <v>501490</v>
      </c>
      <c r="Y53" s="272">
        <v>5795201</v>
      </c>
      <c r="Z53" s="273">
        <v>447530</v>
      </c>
      <c r="AA53" s="272">
        <v>5651089</v>
      </c>
      <c r="AB53" s="273">
        <v>346037</v>
      </c>
      <c r="AC53" s="272">
        <v>6364414</v>
      </c>
      <c r="AD53" s="273">
        <v>503633</v>
      </c>
    </row>
    <row r="54" spans="1:30" ht="25.9" customHeight="1">
      <c r="A54" s="30">
        <v>1412000091</v>
      </c>
      <c r="B54" s="30" t="s">
        <v>112</v>
      </c>
      <c r="C54" s="31" t="s">
        <v>113</v>
      </c>
      <c r="D54" s="184"/>
      <c r="E54" s="181"/>
      <c r="F54" s="182"/>
      <c r="G54" s="272">
        <v>11793796</v>
      </c>
      <c r="H54" s="273">
        <v>2059832</v>
      </c>
      <c r="I54" s="272">
        <v>11931172</v>
      </c>
      <c r="J54" s="273">
        <v>2244575</v>
      </c>
      <c r="K54" s="272">
        <v>10795988</v>
      </c>
      <c r="L54" s="273">
        <v>2655267</v>
      </c>
      <c r="M54" s="272">
        <v>11049610</v>
      </c>
      <c r="N54" s="273">
        <v>3739616</v>
      </c>
      <c r="O54" s="272">
        <v>11623279</v>
      </c>
      <c r="P54" s="273">
        <v>3167133</v>
      </c>
      <c r="Q54" s="272">
        <v>12065381</v>
      </c>
      <c r="R54" s="273">
        <v>3222335</v>
      </c>
      <c r="S54" s="272">
        <v>10411675</v>
      </c>
      <c r="T54" s="273">
        <v>3173081</v>
      </c>
      <c r="U54" s="272">
        <v>10567257</v>
      </c>
      <c r="V54" s="273">
        <v>2383266</v>
      </c>
      <c r="W54" s="272">
        <v>11116828</v>
      </c>
      <c r="X54" s="273">
        <v>2340284</v>
      </c>
      <c r="Y54" s="272">
        <v>10681655</v>
      </c>
      <c r="Z54" s="273">
        <v>2088472</v>
      </c>
      <c r="AA54" s="272">
        <v>13070456</v>
      </c>
      <c r="AB54" s="273">
        <v>1614838</v>
      </c>
      <c r="AC54" s="272">
        <v>12791150</v>
      </c>
      <c r="AD54" s="273">
        <v>2350285</v>
      </c>
    </row>
    <row r="55" spans="1:30" ht="25.9" customHeight="1">
      <c r="A55" s="41">
        <v>1412000093</v>
      </c>
      <c r="B55" s="30" t="s">
        <v>119</v>
      </c>
      <c r="C55" s="42" t="s">
        <v>150</v>
      </c>
      <c r="D55" s="184"/>
      <c r="E55" s="181"/>
      <c r="F55" s="182"/>
      <c r="G55" s="272">
        <v>628698</v>
      </c>
      <c r="H55" s="273">
        <v>235409</v>
      </c>
      <c r="I55" s="272">
        <v>662359</v>
      </c>
      <c r="J55" s="273">
        <v>256523</v>
      </c>
      <c r="K55" s="272">
        <v>598752</v>
      </c>
      <c r="L55" s="273">
        <v>303459</v>
      </c>
      <c r="M55" s="272">
        <v>655291</v>
      </c>
      <c r="N55" s="273">
        <v>427385</v>
      </c>
      <c r="O55" s="272">
        <v>707794</v>
      </c>
      <c r="P55" s="273">
        <v>361958</v>
      </c>
      <c r="Q55" s="272">
        <v>711762</v>
      </c>
      <c r="R55" s="273">
        <v>368267</v>
      </c>
      <c r="S55" s="272">
        <v>524452</v>
      </c>
      <c r="T55" s="273">
        <v>362638</v>
      </c>
      <c r="U55" s="272">
        <v>590068</v>
      </c>
      <c r="V55" s="273">
        <v>272373</v>
      </c>
      <c r="W55" s="272">
        <v>540819</v>
      </c>
      <c r="X55" s="273">
        <v>267461</v>
      </c>
      <c r="Y55" s="272">
        <v>571599</v>
      </c>
      <c r="Z55" s="273">
        <v>238682</v>
      </c>
      <c r="AA55" s="272">
        <v>611068</v>
      </c>
      <c r="AB55" s="273">
        <v>184553</v>
      </c>
      <c r="AC55" s="272">
        <v>662569</v>
      </c>
      <c r="AD55" s="273">
        <v>268604</v>
      </c>
    </row>
    <row r="56" spans="1:30" ht="25.9" customHeight="1">
      <c r="A56" s="44">
        <v>1412000026</v>
      </c>
      <c r="B56" s="44" t="s">
        <v>53</v>
      </c>
      <c r="C56" s="45" t="s">
        <v>6</v>
      </c>
      <c r="D56" s="192"/>
      <c r="E56" s="193"/>
      <c r="F56" s="194"/>
      <c r="G56" s="274">
        <v>141325095</v>
      </c>
      <c r="H56" s="275">
        <v>411969</v>
      </c>
      <c r="I56" s="274">
        <v>143541115</v>
      </c>
      <c r="J56" s="275">
        <v>448914</v>
      </c>
      <c r="K56" s="274">
        <v>167464494</v>
      </c>
      <c r="L56" s="275">
        <v>531055</v>
      </c>
      <c r="M56" s="274">
        <v>182732712</v>
      </c>
      <c r="N56" s="275">
        <v>747920</v>
      </c>
      <c r="O56" s="274">
        <v>183984582</v>
      </c>
      <c r="P56" s="275">
        <v>633426</v>
      </c>
      <c r="Q56" s="274">
        <v>182058350</v>
      </c>
      <c r="R56" s="275">
        <v>644466</v>
      </c>
      <c r="S56" s="274">
        <v>153589033</v>
      </c>
      <c r="T56" s="275">
        <v>634616</v>
      </c>
      <c r="U56" s="274">
        <v>148336176</v>
      </c>
      <c r="V56" s="275">
        <v>476654</v>
      </c>
      <c r="W56" s="274">
        <v>136985010</v>
      </c>
      <c r="X56" s="275">
        <v>468059</v>
      </c>
      <c r="Y56" s="274">
        <v>133643336</v>
      </c>
      <c r="Z56" s="275">
        <v>417697</v>
      </c>
      <c r="AA56" s="274">
        <v>136213009</v>
      </c>
      <c r="AB56" s="275">
        <v>322966</v>
      </c>
      <c r="AC56" s="274">
        <v>137810537</v>
      </c>
      <c r="AD56" s="275">
        <v>470052</v>
      </c>
    </row>
    <row r="57" spans="1:30" ht="25.9" customHeight="1">
      <c r="A57" s="30">
        <v>1412000057</v>
      </c>
      <c r="B57" s="30" t="s">
        <v>70</v>
      </c>
      <c r="C57" s="31" t="s">
        <v>71</v>
      </c>
      <c r="D57" s="184"/>
      <c r="E57" s="181"/>
      <c r="F57" s="182"/>
      <c r="G57" s="272">
        <v>893684</v>
      </c>
      <c r="H57" s="273">
        <v>264836</v>
      </c>
      <c r="I57" s="272">
        <v>940484</v>
      </c>
      <c r="J57" s="273">
        <v>288588</v>
      </c>
      <c r="K57" s="272">
        <v>843311</v>
      </c>
      <c r="L57" s="273">
        <v>341391</v>
      </c>
      <c r="M57" s="272">
        <v>911454</v>
      </c>
      <c r="N57" s="273">
        <v>480808</v>
      </c>
      <c r="O57" s="272">
        <v>987828</v>
      </c>
      <c r="P57" s="273">
        <v>407203</v>
      </c>
      <c r="Q57" s="272">
        <v>1198187</v>
      </c>
      <c r="R57" s="273">
        <v>552400</v>
      </c>
      <c r="S57" s="272">
        <v>827017</v>
      </c>
      <c r="T57" s="273">
        <v>498627</v>
      </c>
      <c r="U57" s="272">
        <v>948786</v>
      </c>
      <c r="V57" s="273">
        <v>374513</v>
      </c>
      <c r="W57" s="272">
        <v>920424</v>
      </c>
      <c r="X57" s="273">
        <v>367759</v>
      </c>
      <c r="Y57" s="272">
        <v>965608</v>
      </c>
      <c r="Z57" s="273">
        <v>328188</v>
      </c>
      <c r="AA57" s="272">
        <v>1003076</v>
      </c>
      <c r="AB57" s="273">
        <v>253760</v>
      </c>
      <c r="AC57" s="272">
        <v>1097005</v>
      </c>
      <c r="AD57" s="273">
        <v>369331</v>
      </c>
    </row>
    <row r="58" spans="1:30" ht="25.9" customHeight="1">
      <c r="A58" s="223">
        <v>1412000101</v>
      </c>
      <c r="B58" s="223" t="s">
        <v>72</v>
      </c>
      <c r="C58" s="224" t="s">
        <v>184</v>
      </c>
      <c r="D58" s="225"/>
      <c r="E58" s="226"/>
      <c r="F58" s="227"/>
      <c r="G58" s="276">
        <v>1134397</v>
      </c>
      <c r="H58" s="277">
        <v>382540</v>
      </c>
      <c r="I58" s="276">
        <v>1164916</v>
      </c>
      <c r="J58" s="277">
        <v>416850</v>
      </c>
      <c r="K58" s="276">
        <v>1010700</v>
      </c>
      <c r="L58" s="277">
        <v>493121</v>
      </c>
      <c r="M58" s="276">
        <v>1080085</v>
      </c>
      <c r="N58" s="277">
        <v>694500</v>
      </c>
      <c r="O58" s="276">
        <v>1165272</v>
      </c>
      <c r="P58" s="277">
        <v>588182</v>
      </c>
      <c r="Q58" s="276">
        <v>1076107</v>
      </c>
      <c r="R58" s="277">
        <v>598434</v>
      </c>
      <c r="S58" s="276">
        <v>814180</v>
      </c>
      <c r="T58" s="277">
        <v>589286</v>
      </c>
      <c r="U58" s="276">
        <v>954823</v>
      </c>
      <c r="V58" s="277">
        <v>442607</v>
      </c>
      <c r="W58" s="276">
        <v>926497</v>
      </c>
      <c r="X58" s="277">
        <v>434624</v>
      </c>
      <c r="Y58" s="276">
        <v>999423</v>
      </c>
      <c r="Z58" s="277">
        <v>387859</v>
      </c>
      <c r="AA58" s="276">
        <v>1058500</v>
      </c>
      <c r="AB58" s="277">
        <v>299899</v>
      </c>
      <c r="AC58" s="276">
        <v>1059224</v>
      </c>
      <c r="AD58" s="277">
        <v>402906</v>
      </c>
    </row>
    <row r="59" spans="1:30" ht="25.9" customHeight="1">
      <c r="A59" s="30">
        <v>1412000078</v>
      </c>
      <c r="B59" s="30" t="s">
        <v>111</v>
      </c>
      <c r="C59" s="31" t="s">
        <v>73</v>
      </c>
      <c r="D59" s="184"/>
      <c r="E59" s="181"/>
      <c r="F59" s="182"/>
      <c r="G59" s="272">
        <v>1242729</v>
      </c>
      <c r="H59" s="273">
        <v>382540</v>
      </c>
      <c r="I59" s="272">
        <v>1298920</v>
      </c>
      <c r="J59" s="273">
        <v>416850</v>
      </c>
      <c r="K59" s="272">
        <v>1154295</v>
      </c>
      <c r="L59" s="273">
        <v>493121</v>
      </c>
      <c r="M59" s="272">
        <v>1243788</v>
      </c>
      <c r="N59" s="273">
        <v>694500</v>
      </c>
      <c r="O59" s="272">
        <v>1346373</v>
      </c>
      <c r="P59" s="273">
        <v>588182</v>
      </c>
      <c r="Q59" s="272">
        <v>1612074</v>
      </c>
      <c r="R59" s="273">
        <v>782567</v>
      </c>
      <c r="S59" s="272">
        <v>1140163</v>
      </c>
      <c r="T59" s="273">
        <v>725276</v>
      </c>
      <c r="U59" s="272">
        <v>1316026</v>
      </c>
      <c r="V59" s="273">
        <v>544747</v>
      </c>
      <c r="W59" s="272">
        <v>1276769</v>
      </c>
      <c r="X59" s="273">
        <v>534922</v>
      </c>
      <c r="Y59" s="272">
        <v>1350001</v>
      </c>
      <c r="Z59" s="273">
        <v>477365</v>
      </c>
      <c r="AA59" s="272">
        <v>1410192</v>
      </c>
      <c r="AB59" s="273">
        <v>369106</v>
      </c>
      <c r="AC59" s="272">
        <v>1538348</v>
      </c>
      <c r="AD59" s="273">
        <v>537208</v>
      </c>
    </row>
    <row r="60" spans="1:30" ht="25.9" customHeight="1">
      <c r="A60" s="30">
        <v>1412000096</v>
      </c>
      <c r="B60" s="41" t="s">
        <v>120</v>
      </c>
      <c r="C60" s="31" t="s">
        <v>73</v>
      </c>
      <c r="D60" s="187"/>
      <c r="E60" s="188"/>
      <c r="F60" s="189"/>
      <c r="G60" s="191">
        <v>1329990</v>
      </c>
      <c r="H60" s="278">
        <v>411966</v>
      </c>
      <c r="I60" s="191">
        <v>1388529</v>
      </c>
      <c r="J60" s="278">
        <v>448915</v>
      </c>
      <c r="K60" s="191">
        <v>1232041</v>
      </c>
      <c r="L60" s="278">
        <v>531053</v>
      </c>
      <c r="M60" s="191">
        <v>1326872</v>
      </c>
      <c r="N60" s="278">
        <v>747923</v>
      </c>
      <c r="O60" s="191">
        <v>1436010</v>
      </c>
      <c r="P60" s="278">
        <v>633427</v>
      </c>
      <c r="Q60" s="191">
        <v>1363742</v>
      </c>
      <c r="R60" s="278">
        <v>644467</v>
      </c>
      <c r="S60" s="191">
        <v>1014905</v>
      </c>
      <c r="T60" s="278">
        <v>634616</v>
      </c>
      <c r="U60" s="191">
        <v>1169130</v>
      </c>
      <c r="V60" s="278">
        <v>476653</v>
      </c>
      <c r="W60" s="191">
        <v>1134231</v>
      </c>
      <c r="X60" s="278">
        <v>468057</v>
      </c>
      <c r="Y60" s="191">
        <v>1196244</v>
      </c>
      <c r="Z60" s="278">
        <v>417694</v>
      </c>
      <c r="AA60" s="191">
        <v>1328769</v>
      </c>
      <c r="AB60" s="278">
        <v>346037</v>
      </c>
      <c r="AC60" s="191">
        <v>1361811</v>
      </c>
      <c r="AD60" s="278">
        <v>470057</v>
      </c>
    </row>
    <row r="61" spans="1:30" ht="25.9" customHeight="1">
      <c r="A61" s="30">
        <v>1412000050</v>
      </c>
      <c r="B61" s="30" t="s">
        <v>74</v>
      </c>
      <c r="C61" s="31" t="s">
        <v>75</v>
      </c>
      <c r="D61" s="184"/>
      <c r="E61" s="181"/>
      <c r="F61" s="182"/>
      <c r="G61" s="272">
        <v>1417251</v>
      </c>
      <c r="H61" s="273">
        <v>441393</v>
      </c>
      <c r="I61" s="272">
        <v>1478138</v>
      </c>
      <c r="J61" s="273">
        <v>480980</v>
      </c>
      <c r="K61" s="272">
        <v>1309787</v>
      </c>
      <c r="L61" s="273">
        <v>568986</v>
      </c>
      <c r="M61" s="272">
        <v>1409955</v>
      </c>
      <c r="N61" s="273">
        <v>801346</v>
      </c>
      <c r="O61" s="272">
        <v>1525646</v>
      </c>
      <c r="P61" s="273">
        <v>678671</v>
      </c>
      <c r="Q61" s="272">
        <v>1694852</v>
      </c>
      <c r="R61" s="273">
        <v>828601</v>
      </c>
      <c r="S61" s="272">
        <v>1202793</v>
      </c>
      <c r="T61" s="273">
        <v>770605</v>
      </c>
      <c r="U61" s="272">
        <v>1389474</v>
      </c>
      <c r="V61" s="273">
        <v>578793</v>
      </c>
      <c r="W61" s="272">
        <v>1348038</v>
      </c>
      <c r="X61" s="273">
        <v>568355</v>
      </c>
      <c r="Y61" s="272">
        <v>1426880</v>
      </c>
      <c r="Z61" s="273">
        <v>507200</v>
      </c>
      <c r="AA61" s="272">
        <v>1491615</v>
      </c>
      <c r="AB61" s="273">
        <v>392175</v>
      </c>
      <c r="AC61" s="272">
        <v>1626617</v>
      </c>
      <c r="AD61" s="273">
        <v>570784</v>
      </c>
    </row>
    <row r="62" spans="1:30" ht="25.9" customHeight="1">
      <c r="A62" s="30">
        <v>1412000077</v>
      </c>
      <c r="B62" s="30" t="s">
        <v>76</v>
      </c>
      <c r="C62" s="31" t="s">
        <v>77</v>
      </c>
      <c r="D62" s="184"/>
      <c r="E62" s="181"/>
      <c r="F62" s="182"/>
      <c r="G62" s="272">
        <v>1068206</v>
      </c>
      <c r="H62" s="273">
        <v>323688</v>
      </c>
      <c r="I62" s="272">
        <v>1119702</v>
      </c>
      <c r="J62" s="273">
        <v>352719</v>
      </c>
      <c r="K62" s="272">
        <v>998803</v>
      </c>
      <c r="L62" s="273">
        <v>417256</v>
      </c>
      <c r="M62" s="272">
        <v>1077621</v>
      </c>
      <c r="N62" s="273">
        <v>587654</v>
      </c>
      <c r="O62" s="272">
        <v>1167101</v>
      </c>
      <c r="P62" s="273">
        <v>497692</v>
      </c>
      <c r="Q62" s="272">
        <v>1115409</v>
      </c>
      <c r="R62" s="273">
        <v>506367</v>
      </c>
      <c r="S62" s="272">
        <v>827017</v>
      </c>
      <c r="T62" s="273">
        <v>498627</v>
      </c>
      <c r="U62" s="272">
        <v>948786</v>
      </c>
      <c r="V62" s="273">
        <v>374513</v>
      </c>
      <c r="W62" s="272">
        <v>920424</v>
      </c>
      <c r="X62" s="273">
        <v>367759</v>
      </c>
      <c r="Y62" s="272">
        <v>965608</v>
      </c>
      <c r="Z62" s="273">
        <v>328188</v>
      </c>
      <c r="AA62" s="272">
        <v>1003076</v>
      </c>
      <c r="AB62" s="273">
        <v>253760</v>
      </c>
      <c r="AC62" s="272">
        <v>1097005</v>
      </c>
      <c r="AD62" s="273">
        <v>369331</v>
      </c>
    </row>
    <row r="63" spans="1:30" ht="25.9" customHeight="1">
      <c r="A63" s="30">
        <v>1412000083</v>
      </c>
      <c r="B63" s="30" t="s">
        <v>102</v>
      </c>
      <c r="C63" s="31" t="s">
        <v>103</v>
      </c>
      <c r="D63" s="184"/>
      <c r="E63" s="181"/>
      <c r="F63" s="182"/>
      <c r="G63" s="272">
        <v>872613</v>
      </c>
      <c r="H63" s="273">
        <v>294262</v>
      </c>
      <c r="I63" s="272">
        <v>896090</v>
      </c>
      <c r="J63" s="273">
        <v>320654</v>
      </c>
      <c r="K63" s="272">
        <v>777461</v>
      </c>
      <c r="L63" s="273">
        <v>379324</v>
      </c>
      <c r="M63" s="272">
        <v>830835</v>
      </c>
      <c r="N63" s="273">
        <v>534231</v>
      </c>
      <c r="O63" s="272">
        <v>896363</v>
      </c>
      <c r="P63" s="273">
        <v>452448</v>
      </c>
      <c r="Q63" s="272">
        <v>827775</v>
      </c>
      <c r="R63" s="273">
        <v>460334</v>
      </c>
      <c r="S63" s="272">
        <v>626293</v>
      </c>
      <c r="T63" s="273">
        <v>453297</v>
      </c>
      <c r="U63" s="272">
        <v>734479</v>
      </c>
      <c r="V63" s="273">
        <v>340467</v>
      </c>
      <c r="W63" s="272">
        <v>712690</v>
      </c>
      <c r="X63" s="273">
        <v>334326</v>
      </c>
      <c r="Y63" s="272">
        <v>768787</v>
      </c>
      <c r="Z63" s="273">
        <v>298353</v>
      </c>
      <c r="AA63" s="272">
        <v>814231</v>
      </c>
      <c r="AB63" s="273">
        <v>230691</v>
      </c>
      <c r="AC63" s="272">
        <v>794418</v>
      </c>
      <c r="AD63" s="273">
        <v>302180</v>
      </c>
    </row>
    <row r="64" spans="1:30" ht="25.9" customHeight="1">
      <c r="A64" s="30">
        <v>1412000099</v>
      </c>
      <c r="B64" s="30" t="s">
        <v>122</v>
      </c>
      <c r="C64" s="31" t="s">
        <v>123</v>
      </c>
      <c r="D64" s="187"/>
      <c r="E64" s="188"/>
      <c r="F64" s="189"/>
      <c r="G64" s="191">
        <v>872613</v>
      </c>
      <c r="H64" s="278">
        <v>294262</v>
      </c>
      <c r="I64" s="191">
        <v>896090</v>
      </c>
      <c r="J64" s="278">
        <v>320654</v>
      </c>
      <c r="K64" s="191">
        <v>777461</v>
      </c>
      <c r="L64" s="278">
        <v>379324</v>
      </c>
      <c r="M64" s="191">
        <v>913918</v>
      </c>
      <c r="N64" s="278">
        <v>587654</v>
      </c>
      <c r="O64" s="191">
        <v>985999</v>
      </c>
      <c r="P64" s="278">
        <v>497692</v>
      </c>
      <c r="Q64" s="191">
        <v>910552</v>
      </c>
      <c r="R64" s="278">
        <v>506367</v>
      </c>
      <c r="S64" s="191">
        <v>688922</v>
      </c>
      <c r="T64" s="278">
        <v>498627</v>
      </c>
      <c r="U64" s="191">
        <v>807927</v>
      </c>
      <c r="V64" s="278">
        <v>374513</v>
      </c>
      <c r="W64" s="191">
        <v>783959</v>
      </c>
      <c r="X64" s="278">
        <v>367759</v>
      </c>
      <c r="Y64" s="191">
        <v>845665</v>
      </c>
      <c r="Z64" s="278">
        <v>328188</v>
      </c>
      <c r="AA64" s="191">
        <v>895654</v>
      </c>
      <c r="AB64" s="278">
        <v>253760</v>
      </c>
      <c r="AC64" s="191">
        <v>970956</v>
      </c>
      <c r="AD64" s="278">
        <v>369331</v>
      </c>
    </row>
    <row r="65" spans="1:30" ht="25.9" customHeight="1">
      <c r="A65" s="223">
        <v>1412000100</v>
      </c>
      <c r="B65" s="223" t="s">
        <v>185</v>
      </c>
      <c r="C65" s="224" t="s">
        <v>186</v>
      </c>
      <c r="D65" s="225"/>
      <c r="E65" s="226"/>
      <c r="F65" s="227"/>
      <c r="G65" s="276">
        <v>698091</v>
      </c>
      <c r="H65" s="277">
        <v>235409</v>
      </c>
      <c r="I65" s="276">
        <v>716872</v>
      </c>
      <c r="J65" s="277">
        <v>256523</v>
      </c>
      <c r="K65" s="276">
        <v>621969</v>
      </c>
      <c r="L65" s="277">
        <v>303459</v>
      </c>
      <c r="M65" s="276">
        <v>664668</v>
      </c>
      <c r="N65" s="277">
        <v>427385</v>
      </c>
      <c r="O65" s="276">
        <v>717090</v>
      </c>
      <c r="P65" s="277">
        <v>361958</v>
      </c>
      <c r="Q65" s="276">
        <v>662220</v>
      </c>
      <c r="R65" s="277">
        <v>368267</v>
      </c>
      <c r="S65" s="276">
        <v>501034</v>
      </c>
      <c r="T65" s="277">
        <v>362638</v>
      </c>
      <c r="U65" s="276">
        <v>587583</v>
      </c>
      <c r="V65" s="277">
        <v>272373</v>
      </c>
      <c r="W65" s="276">
        <v>570152</v>
      </c>
      <c r="X65" s="277">
        <v>267461</v>
      </c>
      <c r="Y65" s="276">
        <v>615029</v>
      </c>
      <c r="Z65" s="277">
        <v>238682</v>
      </c>
      <c r="AA65" s="276">
        <v>732808</v>
      </c>
      <c r="AB65" s="277">
        <v>207622</v>
      </c>
      <c r="AC65" s="276">
        <v>882687</v>
      </c>
      <c r="AD65" s="277">
        <v>335755</v>
      </c>
    </row>
    <row r="66" spans="1:30" ht="25.9" customHeight="1">
      <c r="A66" s="30">
        <v>1412000028</v>
      </c>
      <c r="B66" s="30" t="s">
        <v>54</v>
      </c>
      <c r="C66" s="31" t="s">
        <v>7</v>
      </c>
      <c r="D66" s="184"/>
      <c r="E66" s="181"/>
      <c r="F66" s="182"/>
      <c r="G66" s="272">
        <v>943047</v>
      </c>
      <c r="H66" s="273">
        <v>353114</v>
      </c>
      <c r="I66" s="272">
        <v>993539</v>
      </c>
      <c r="J66" s="273">
        <v>384784</v>
      </c>
      <c r="K66" s="272">
        <v>898127</v>
      </c>
      <c r="L66" s="273">
        <v>455189</v>
      </c>
      <c r="M66" s="272">
        <v>982936</v>
      </c>
      <c r="N66" s="273">
        <v>641077</v>
      </c>
      <c r="O66" s="272">
        <v>1061691</v>
      </c>
      <c r="P66" s="273">
        <v>542937</v>
      </c>
      <c r="Q66" s="272">
        <v>1067643</v>
      </c>
      <c r="R66" s="273">
        <v>552400</v>
      </c>
      <c r="S66" s="272">
        <v>786678</v>
      </c>
      <c r="T66" s="273">
        <v>543957</v>
      </c>
      <c r="U66" s="272">
        <v>885102</v>
      </c>
      <c r="V66" s="273">
        <v>408560</v>
      </c>
      <c r="W66" s="272">
        <v>811228</v>
      </c>
      <c r="X66" s="273">
        <v>401192</v>
      </c>
      <c r="Y66" s="272">
        <v>857398</v>
      </c>
      <c r="Z66" s="273">
        <v>358024</v>
      </c>
      <c r="AA66" s="272">
        <v>916603</v>
      </c>
      <c r="AB66" s="273">
        <v>276829</v>
      </c>
      <c r="AC66" s="272">
        <v>993854</v>
      </c>
      <c r="AD66" s="273">
        <v>402906</v>
      </c>
    </row>
    <row r="67" spans="1:30" ht="25.9" customHeight="1">
      <c r="A67" s="30">
        <v>1412000029</v>
      </c>
      <c r="B67" s="30" t="s">
        <v>55</v>
      </c>
      <c r="C67" s="31" t="s">
        <v>8</v>
      </c>
      <c r="D67" s="184"/>
      <c r="E67" s="181"/>
      <c r="F67" s="182"/>
      <c r="G67" s="272">
        <v>1269875</v>
      </c>
      <c r="H67" s="273">
        <v>264836</v>
      </c>
      <c r="I67" s="272">
        <v>1488937</v>
      </c>
      <c r="J67" s="273">
        <v>288588</v>
      </c>
      <c r="K67" s="272">
        <v>1639454</v>
      </c>
      <c r="L67" s="273">
        <v>341391</v>
      </c>
      <c r="M67" s="272">
        <v>1696768</v>
      </c>
      <c r="N67" s="273">
        <v>480808</v>
      </c>
      <c r="O67" s="272">
        <v>1692929</v>
      </c>
      <c r="P67" s="273">
        <v>407203</v>
      </c>
      <c r="Q67" s="272">
        <v>1657413</v>
      </c>
      <c r="R67" s="273">
        <v>414300</v>
      </c>
      <c r="S67" s="272">
        <v>1123410</v>
      </c>
      <c r="T67" s="273">
        <v>407967</v>
      </c>
      <c r="U67" s="272">
        <v>1263230</v>
      </c>
      <c r="V67" s="273">
        <v>306420</v>
      </c>
      <c r="W67" s="272">
        <v>912368</v>
      </c>
      <c r="X67" s="273">
        <v>300894</v>
      </c>
      <c r="Y67" s="272">
        <v>891009</v>
      </c>
      <c r="Z67" s="273">
        <v>268518</v>
      </c>
      <c r="AA67" s="272">
        <v>895211</v>
      </c>
      <c r="AB67" s="273">
        <v>207622</v>
      </c>
      <c r="AC67" s="272">
        <v>940003</v>
      </c>
      <c r="AD67" s="273">
        <v>302180</v>
      </c>
    </row>
    <row r="68" spans="1:30" ht="25.9" customHeight="1">
      <c r="A68" s="30">
        <v>1412000030</v>
      </c>
      <c r="B68" s="30" t="s">
        <v>101</v>
      </c>
      <c r="C68" s="31" t="s">
        <v>9</v>
      </c>
      <c r="D68" s="184"/>
      <c r="E68" s="181"/>
      <c r="F68" s="182"/>
      <c r="G68" s="272">
        <v>1335983</v>
      </c>
      <c r="H68" s="273">
        <v>500245</v>
      </c>
      <c r="I68" s="272">
        <v>1407514</v>
      </c>
      <c r="J68" s="273">
        <v>545111</v>
      </c>
      <c r="K68" s="272">
        <v>1272347</v>
      </c>
      <c r="L68" s="273">
        <v>644850</v>
      </c>
      <c r="M68" s="272">
        <v>1392493</v>
      </c>
      <c r="N68" s="273">
        <v>908192</v>
      </c>
      <c r="O68" s="272">
        <v>1504063</v>
      </c>
      <c r="P68" s="273">
        <v>769161</v>
      </c>
      <c r="Q68" s="272">
        <v>1512495</v>
      </c>
      <c r="R68" s="273">
        <v>782567</v>
      </c>
      <c r="S68" s="272">
        <v>1114461</v>
      </c>
      <c r="T68" s="273">
        <v>770605</v>
      </c>
      <c r="U68" s="272">
        <v>1253894</v>
      </c>
      <c r="V68" s="273">
        <v>578793</v>
      </c>
      <c r="W68" s="272">
        <v>1149240</v>
      </c>
      <c r="X68" s="273">
        <v>568355</v>
      </c>
      <c r="Y68" s="272">
        <v>1214647</v>
      </c>
      <c r="Z68" s="273">
        <v>507200</v>
      </c>
      <c r="AA68" s="272">
        <v>1298520</v>
      </c>
      <c r="AB68" s="273">
        <v>392175</v>
      </c>
      <c r="AC68" s="272">
        <v>1407960</v>
      </c>
      <c r="AD68" s="273">
        <v>570784</v>
      </c>
    </row>
    <row r="69" spans="1:30" ht="25.9" customHeight="1">
      <c r="A69" s="49">
        <v>1412000086</v>
      </c>
      <c r="B69" s="49" t="s">
        <v>0</v>
      </c>
      <c r="C69" s="49" t="s">
        <v>10</v>
      </c>
      <c r="D69" s="195"/>
      <c r="E69" s="181"/>
      <c r="F69" s="182"/>
      <c r="G69" s="174">
        <v>2227240</v>
      </c>
      <c r="H69" s="273">
        <v>382540</v>
      </c>
      <c r="I69" s="174">
        <v>2665041</v>
      </c>
      <c r="J69" s="273">
        <v>416850</v>
      </c>
      <c r="K69" s="174">
        <v>3409675</v>
      </c>
      <c r="L69" s="273">
        <v>568986</v>
      </c>
      <c r="M69" s="174">
        <v>4082224</v>
      </c>
      <c r="N69" s="273">
        <v>801346</v>
      </c>
      <c r="O69" s="174">
        <v>4550470</v>
      </c>
      <c r="P69" s="273">
        <v>678671</v>
      </c>
      <c r="Q69" s="174">
        <v>4237473</v>
      </c>
      <c r="R69" s="273">
        <v>690500</v>
      </c>
      <c r="S69" s="174">
        <v>2898009</v>
      </c>
      <c r="T69" s="273">
        <v>679946</v>
      </c>
      <c r="U69" s="174">
        <v>3014607</v>
      </c>
      <c r="V69" s="273">
        <v>510700</v>
      </c>
      <c r="W69" s="174">
        <v>2349943</v>
      </c>
      <c r="X69" s="273">
        <v>501490</v>
      </c>
      <c r="Y69" s="174">
        <v>2392571</v>
      </c>
      <c r="Z69" s="273">
        <v>447530</v>
      </c>
      <c r="AA69" s="174">
        <v>2308591</v>
      </c>
      <c r="AB69" s="273">
        <v>346037</v>
      </c>
      <c r="AC69" s="174">
        <v>2485883</v>
      </c>
      <c r="AD69" s="273">
        <v>503633</v>
      </c>
    </row>
    <row r="70" spans="1:30" ht="30" customHeight="1">
      <c r="A70" s="16"/>
      <c r="B70" s="16"/>
      <c r="C70" s="16" t="s">
        <v>19</v>
      </c>
      <c r="D70" s="196">
        <f t="shared" ref="D70:AD70" si="10">SUM(D7:D69)</f>
        <v>0</v>
      </c>
      <c r="E70" s="197">
        <f t="shared" si="10"/>
        <v>0</v>
      </c>
      <c r="F70" s="198">
        <f t="shared" si="10"/>
        <v>0</v>
      </c>
      <c r="G70" s="199">
        <f t="shared" si="10"/>
        <v>2389607989</v>
      </c>
      <c r="H70" s="199">
        <f t="shared" si="10"/>
        <v>168200000</v>
      </c>
      <c r="I70" s="199">
        <f t="shared" si="10"/>
        <v>2341505283</v>
      </c>
      <c r="J70" s="199">
        <f t="shared" si="10"/>
        <v>178572000</v>
      </c>
      <c r="K70" s="199">
        <f t="shared" si="10"/>
        <v>2662705192</v>
      </c>
      <c r="L70" s="199">
        <f t="shared" si="10"/>
        <v>194100000</v>
      </c>
      <c r="M70" s="199">
        <f t="shared" si="10"/>
        <v>2890515886</v>
      </c>
      <c r="N70" s="199">
        <f t="shared" si="10"/>
        <v>297620000</v>
      </c>
      <c r="O70" s="199">
        <f t="shared" si="10"/>
        <v>3008051207</v>
      </c>
      <c r="P70" s="199">
        <f t="shared" si="10"/>
        <v>271740000</v>
      </c>
      <c r="Q70" s="199">
        <f t="shared" si="10"/>
        <v>2667455145</v>
      </c>
      <c r="R70" s="199">
        <f t="shared" si="10"/>
        <v>270446000</v>
      </c>
      <c r="S70" s="199">
        <f t="shared" si="10"/>
        <v>2398897481</v>
      </c>
      <c r="T70" s="199">
        <f t="shared" si="10"/>
        <v>251036000</v>
      </c>
      <c r="U70" s="199">
        <f t="shared" si="10"/>
        <v>2375784802</v>
      </c>
      <c r="V70" s="199">
        <f t="shared" si="10"/>
        <v>194100000</v>
      </c>
      <c r="W70" s="199">
        <f t="shared" si="10"/>
        <v>2072229236</v>
      </c>
      <c r="X70" s="199">
        <f t="shared" si="10"/>
        <v>192806000</v>
      </c>
      <c r="Y70" s="199">
        <f t="shared" si="10"/>
        <v>2211942062</v>
      </c>
      <c r="Z70" s="199">
        <f t="shared" si="10"/>
        <v>181160000</v>
      </c>
      <c r="AA70" s="199">
        <f t="shared" si="10"/>
        <v>2285715841</v>
      </c>
      <c r="AB70" s="199">
        <f t="shared" si="10"/>
        <v>168220000</v>
      </c>
      <c r="AC70" s="199">
        <f t="shared" si="10"/>
        <v>2249588940</v>
      </c>
      <c r="AD70" s="199">
        <f t="shared" si="10"/>
        <v>194100000</v>
      </c>
    </row>
    <row r="71" spans="1:30" ht="30" customHeight="1">
      <c r="G71" s="201">
        <f t="shared" ref="G71:AD71" si="11">G70-G5</f>
        <v>0</v>
      </c>
      <c r="H71" s="183">
        <f t="shared" si="11"/>
        <v>0</v>
      </c>
      <c r="I71" s="201">
        <f t="shared" si="11"/>
        <v>0</v>
      </c>
      <c r="J71" s="183">
        <f t="shared" si="11"/>
        <v>0</v>
      </c>
      <c r="K71" s="201">
        <f t="shared" si="11"/>
        <v>0</v>
      </c>
      <c r="L71" s="183">
        <f t="shared" si="11"/>
        <v>0</v>
      </c>
      <c r="M71" s="201">
        <f t="shared" si="11"/>
        <v>0</v>
      </c>
      <c r="N71" s="183">
        <f t="shared" si="11"/>
        <v>0</v>
      </c>
      <c r="O71" s="201">
        <f t="shared" si="11"/>
        <v>0</v>
      </c>
      <c r="P71" s="183">
        <f t="shared" si="11"/>
        <v>0</v>
      </c>
      <c r="Q71" s="201">
        <f t="shared" si="11"/>
        <v>0</v>
      </c>
      <c r="R71" s="183">
        <f t="shared" si="11"/>
        <v>0</v>
      </c>
      <c r="S71" s="201">
        <f t="shared" si="11"/>
        <v>0</v>
      </c>
      <c r="T71" s="183">
        <f t="shared" si="11"/>
        <v>0</v>
      </c>
      <c r="U71" s="201">
        <f t="shared" si="11"/>
        <v>0</v>
      </c>
      <c r="V71" s="183">
        <f t="shared" si="11"/>
        <v>0</v>
      </c>
      <c r="W71" s="201">
        <f t="shared" si="11"/>
        <v>0</v>
      </c>
      <c r="X71" s="183">
        <f t="shared" si="11"/>
        <v>0</v>
      </c>
      <c r="Y71" s="201">
        <f t="shared" si="11"/>
        <v>0</v>
      </c>
      <c r="Z71" s="183">
        <f t="shared" si="11"/>
        <v>0</v>
      </c>
      <c r="AA71" s="201">
        <f t="shared" si="11"/>
        <v>0</v>
      </c>
      <c r="AB71" s="183">
        <f t="shared" si="11"/>
        <v>0</v>
      </c>
      <c r="AC71" s="201">
        <f t="shared" si="11"/>
        <v>0</v>
      </c>
      <c r="AD71" s="183">
        <f t="shared" si="11"/>
        <v>0</v>
      </c>
    </row>
    <row r="72" spans="1:30">
      <c r="C72" s="1" t="s">
        <v>20</v>
      </c>
    </row>
    <row r="74" spans="1:30" ht="19.899999999999999" customHeight="1">
      <c r="B74" s="61"/>
      <c r="C74" s="61"/>
      <c r="D74" s="294"/>
    </row>
    <row r="75" spans="1:30" ht="19.899999999999999" customHeight="1"/>
    <row r="76" spans="1:30" ht="19.899999999999999" customHeight="1"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</row>
    <row r="77" spans="1:30" ht="19.899999999999999" customHeight="1"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</row>
    <row r="78" spans="1:30" ht="19.899999999999999" customHeight="1"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</row>
    <row r="79" spans="1:30" ht="19.899999999999999" customHeight="1"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</row>
    <row r="80" spans="1:30" ht="19.899999999999999" customHeight="1"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</row>
    <row r="81" spans="2:30" ht="19.899999999999999" customHeight="1">
      <c r="B81" s="1" t="s">
        <v>84</v>
      </c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</row>
    <row r="82" spans="2:30" ht="19.899999999999999" customHeight="1">
      <c r="B82" s="1" t="s">
        <v>86</v>
      </c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</row>
    <row r="83" spans="2:30" ht="19.899999999999999" customHeight="1">
      <c r="B83" s="1" t="s">
        <v>56</v>
      </c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</row>
    <row r="84" spans="2:30" ht="19.899999999999999" customHeight="1">
      <c r="B84" s="1" t="s">
        <v>21</v>
      </c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</row>
    <row r="85" spans="2:30" ht="19.899999999999999" customHeight="1">
      <c r="B85" s="1" t="s">
        <v>23</v>
      </c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</row>
    <row r="86" spans="2:30" ht="19.899999999999999" customHeight="1">
      <c r="B86" s="1" t="s">
        <v>88</v>
      </c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</row>
    <row r="87" spans="2:30" ht="19.899999999999999" customHeight="1">
      <c r="B87" s="1" t="s">
        <v>90</v>
      </c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</row>
    <row r="88" spans="2:30" ht="19.899999999999999" customHeight="1">
      <c r="B88" s="1" t="s">
        <v>92</v>
      </c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</row>
    <row r="89" spans="2:30" ht="19.899999999999999" customHeight="1">
      <c r="B89" s="1" t="s">
        <v>93</v>
      </c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</row>
    <row r="90" spans="2:30" ht="19.899999999999999" customHeight="1">
      <c r="B90" s="1" t="s">
        <v>94</v>
      </c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</row>
    <row r="91" spans="2:30" ht="19.899999999999999" customHeight="1">
      <c r="B91" s="1" t="s">
        <v>25</v>
      </c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</row>
    <row r="92" spans="2:30" ht="19.899999999999999" customHeight="1">
      <c r="B92" s="1" t="s">
        <v>26</v>
      </c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</row>
    <row r="93" spans="2:30" ht="19.899999999999999" customHeight="1">
      <c r="B93" s="1" t="s">
        <v>95</v>
      </c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</row>
    <row r="94" spans="2:30" ht="19.899999999999999" customHeight="1">
      <c r="B94" s="1" t="s">
        <v>27</v>
      </c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</row>
    <row r="95" spans="2:30" ht="19.899999999999999" customHeight="1">
      <c r="B95" s="1" t="s">
        <v>29</v>
      </c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</row>
    <row r="96" spans="2:30" ht="19.899999999999999" customHeight="1">
      <c r="B96" s="1" t="s">
        <v>31</v>
      </c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</row>
    <row r="97" spans="2:30" ht="19.899999999999999" customHeight="1">
      <c r="B97" s="1" t="s">
        <v>97</v>
      </c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</row>
    <row r="98" spans="2:30" ht="19.899999999999999" customHeight="1">
      <c r="B98" s="1" t="s">
        <v>98</v>
      </c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</row>
    <row r="99" spans="2:30" ht="19.899999999999999" customHeight="1">
      <c r="B99" s="1" t="s">
        <v>65</v>
      </c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</row>
    <row r="100" spans="2:30" ht="19.899999999999999" customHeight="1">
      <c r="B100" s="1" t="s">
        <v>32</v>
      </c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</row>
    <row r="101" spans="2:30" ht="19.899999999999999" customHeight="1">
      <c r="B101" s="1" t="s">
        <v>34</v>
      </c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</row>
    <row r="102" spans="2:30" ht="19.899999999999999" customHeight="1">
      <c r="B102" s="1" t="s">
        <v>35</v>
      </c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</row>
    <row r="103" spans="2:30" ht="19.899999999999999" customHeight="1">
      <c r="B103" s="1" t="s">
        <v>37</v>
      </c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</row>
    <row r="104" spans="2:30" ht="19.899999999999999" customHeight="1">
      <c r="B104" s="1" t="s">
        <v>67</v>
      </c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</row>
    <row r="105" spans="2:30" ht="19.899999999999999" customHeight="1">
      <c r="B105" s="1" t="s">
        <v>99</v>
      </c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</row>
    <row r="106" spans="2:30" ht="19.899999999999999" customHeight="1">
      <c r="B106" s="1" t="s">
        <v>69</v>
      </c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</row>
    <row r="107" spans="2:30" ht="19.899999999999999" customHeight="1">
      <c r="B107" s="1" t="s">
        <v>59</v>
      </c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</row>
    <row r="108" spans="2:30" ht="19.899999999999999" customHeight="1">
      <c r="B108" s="1" t="s">
        <v>60</v>
      </c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</row>
    <row r="109" spans="2:30" ht="19.899999999999999" customHeight="1">
      <c r="B109" s="1" t="s">
        <v>104</v>
      </c>
      <c r="G109" s="161"/>
      <c r="H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</row>
    <row r="110" spans="2:30" ht="19.899999999999999" customHeight="1">
      <c r="B110" s="1" t="s">
        <v>38</v>
      </c>
      <c r="G110" s="161"/>
      <c r="H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</row>
    <row r="111" spans="2:30" ht="19.899999999999999" customHeight="1">
      <c r="B111" s="1" t="s">
        <v>100</v>
      </c>
      <c r="G111" s="161"/>
      <c r="H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</row>
    <row r="112" spans="2:30" ht="19.899999999999999" customHeight="1">
      <c r="B112" s="1" t="s">
        <v>63</v>
      </c>
      <c r="G112" s="161"/>
      <c r="H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</row>
    <row r="113" spans="2:30" ht="19.899999999999999" customHeight="1">
      <c r="B113" s="1" t="s">
        <v>41</v>
      </c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</row>
    <row r="114" spans="2:30" ht="19.899999999999999" customHeight="1">
      <c r="B114" s="1" t="s">
        <v>43</v>
      </c>
      <c r="G114" s="161"/>
      <c r="H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</row>
    <row r="115" spans="2:30" ht="19.899999999999999" customHeight="1">
      <c r="B115" s="1" t="s">
        <v>45</v>
      </c>
      <c r="G115" s="161"/>
      <c r="H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</row>
    <row r="116" spans="2:30" ht="19.899999999999999" customHeight="1">
      <c r="B116" s="1" t="s">
        <v>48</v>
      </c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</row>
    <row r="117" spans="2:30" ht="19.899999999999999" customHeight="1">
      <c r="B117" s="1" t="s">
        <v>49</v>
      </c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</row>
    <row r="118" spans="2:30" ht="19.899999999999999" customHeight="1">
      <c r="B118" s="1" t="s">
        <v>51</v>
      </c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</row>
    <row r="119" spans="2:30" ht="19.899999999999999" customHeight="1">
      <c r="B119" s="1" t="s">
        <v>52</v>
      </c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</row>
    <row r="120" spans="2:30" ht="19.899999999999999" customHeight="1">
      <c r="B120" s="1" t="s">
        <v>53</v>
      </c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</row>
    <row r="121" spans="2:30" ht="19.899999999999999" customHeight="1">
      <c r="B121" s="1" t="s">
        <v>70</v>
      </c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</row>
    <row r="122" spans="2:30" ht="19.899999999999999" customHeight="1">
      <c r="B122" s="1" t="s">
        <v>72</v>
      </c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</row>
    <row r="123" spans="2:30" ht="19.899999999999999" customHeight="1">
      <c r="B123" s="1" t="s">
        <v>74</v>
      </c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</row>
    <row r="124" spans="2:30" ht="19.899999999999999" customHeight="1">
      <c r="B124" s="1" t="s">
        <v>76</v>
      </c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</row>
    <row r="125" spans="2:30" ht="19.899999999999999" customHeight="1">
      <c r="B125" s="1" t="s">
        <v>102</v>
      </c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</row>
    <row r="126" spans="2:30" ht="19.899999999999999" customHeight="1">
      <c r="B126" s="1" t="s">
        <v>54</v>
      </c>
    </row>
    <row r="127" spans="2:30" ht="19.899999999999999" customHeight="1">
      <c r="B127" s="1" t="s">
        <v>55</v>
      </c>
    </row>
    <row r="128" spans="2:30">
      <c r="B128" s="1" t="s">
        <v>101</v>
      </c>
    </row>
    <row r="129" spans="2:2">
      <c r="B129" s="1" t="s">
        <v>0</v>
      </c>
    </row>
  </sheetData>
  <mergeCells count="12">
    <mergeCell ref="G2:H2"/>
    <mergeCell ref="I2:J2"/>
    <mergeCell ref="K2:L2"/>
    <mergeCell ref="M2:N2"/>
    <mergeCell ref="O2:P2"/>
    <mergeCell ref="AA2:AB2"/>
    <mergeCell ref="AC2:AD2"/>
    <mergeCell ref="Q2:R2"/>
    <mergeCell ref="S2:T2"/>
    <mergeCell ref="U2:V2"/>
    <mergeCell ref="W2:X2"/>
    <mergeCell ref="Y2:Z2"/>
  </mergeCells>
  <pageMargins left="0.70866141732283505" right="0.70866141732283505" top="0.74803149606299202" bottom="0.74803149606299202" header="0.31496062992126" footer="0.31496062992126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減価償却費（Depreciation）</vt:lpstr>
      <vt:lpstr>固定資産金利（Interest）</vt:lpstr>
      <vt:lpstr>水道光熱費（Electric &amp; Water）</vt:lpstr>
      <vt:lpstr>B&amp;L</vt:lpstr>
      <vt:lpstr>E&amp;W</vt:lpstr>
      <vt:lpstr>'B&amp;L'!Print_Area</vt:lpstr>
      <vt:lpstr>'E&amp;W'!Print_Area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Morita，Kiyohide(守田清秀)</dc:creator>
  <cp:lastModifiedBy>Nguyễn Thị Thiện Duyên(Nguyen Thi Thien Duyen)</cp:lastModifiedBy>
  <cp:lastPrinted>2024-11-19T03:06:29Z</cp:lastPrinted>
  <dcterms:created xsi:type="dcterms:W3CDTF">2013-02-01T02:30:29Z</dcterms:created>
  <dcterms:modified xsi:type="dcterms:W3CDTF">2026-01-05T01:30:12Z</dcterms:modified>
</cp:coreProperties>
</file>